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iteria" sheetId="1" state="visible" r:id="rId1"/>
    <sheet name="Exp1" sheetId="2" state="visible" r:id="rId2"/>
    <sheet name="Exp3" sheetId="3" state="visible" r:id="rId3"/>
    <sheet name="Exp3_fuzz" sheetId="4" state="visible" r:id="rId4"/>
    <sheet name="Exp4" sheetId="5" state="visible" r:id="rId5"/>
    <sheet name="Exp4_coverage" sheetId="6" state="visible" r:id="rId6"/>
    <sheet name="Exp5_cost" sheetId="7" state="visible" r:id="rId7"/>
    <sheet name="Exp5_stats" sheetId="8" state="visible" r:id="rId8"/>
    <sheet name="Exp5_tput" sheetId="9" state="visible" r:id="rId9"/>
    <sheet name="Exp5_latency" sheetId="10" state="visible" r:id="rId10"/>
    <sheet name="Exp5_policy" sheetId="11" state="visible" r:id="rId11"/>
    <sheet name="Exp5_sat" sheetId="12" state="visible" r:id="rId12"/>
    <sheet name="Exp5_footprint" sheetId="13" state="visible" r:id="rId13"/>
    <sheet name="Exp6_matrix" sheetId="14" state="visible" r:id="rId14"/>
    <sheet name="Exp6_scenarios" sheetId="15" state="visible" r:id="rId15"/>
    <sheet name="Exp6_waits" sheetId="16" state="visible" r:id="rId16"/>
    <sheet name="Exp7" sheetId="17" state="visible" r:id="rId17"/>
    <sheet name="Environment" sheetId="18" state="visible" r:id="rId18"/>
    <sheet name="About" sheetId="19" state="visible" r:id="rId1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10" fontId="2" fillId="0" borderId="0" pivotButton="0" quotePrefix="0" xfId="0"/>
    <xf numFmtId="0" fontId="1" fillId="2" borderId="0" applyAlignment="1" pivotButton="0" quotePrefix="0" xfId="0">
      <alignment vertical="top" wrapText="1"/>
    </xf>
    <xf numFmtId="9"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eval</author>
  </authors>
  <commentList>
    <comment ref="D11" authorId="0" shapeId="0">
      <text>
        <t>H2 and H3 hold. Per client and arm shares in Exp4_coverage.</t>
      </text>
    </comment>
  </commentList>
</comments>
</file>

<file path=xl/comments/comment2.xml><?xml version="1.0" encoding="utf-8"?>
<comments xmlns="http://schemas.openxmlformats.org/spreadsheetml/2006/main">
  <authors>
    <author>eval</author>
  </authors>
  <commentList>
    <comment ref="S1" authorId="0" shapeId="0">
      <text>
        <t>Computed by eval/score.py reference_verdict(): policy/README.md applied to the server's own decode of the ClientHello.</t>
      </text>
    </comment>
    <comment ref="AA1" authorId="0" shapeId="0">
      <text>
        <t>Durumeric et al., NDSS 2017, section V-A; rules in the eval/score.py docstring.</t>
      </text>
    </comment>
  </commentList>
</comments>
</file>

<file path=xl/comments/comment3.xml><?xml version="1.0" encoding="utf-8"?>
<comments xmlns="http://schemas.openxmlformats.org/spreadsheetml/2006/main">
  <authors>
    <author>eval</author>
  </authors>
  <commentList>
    <comment ref="A1" authorId="0" shapeId="0">
      <text>
        <t>Share of connections with a decidable version verdict (allow or violation), per client and arm. C9.</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22" customWidth="1" min="3" max="3"/>
    <col width="60" customWidth="1" min="4" max="4"/>
    <col width="20" customWidth="1" min="5" max="5"/>
    <col width="10" customWidth="1" min="6" max="6"/>
  </cols>
  <sheetData>
    <row r="1">
      <c r="A1" s="1" t="inlineStr">
        <is>
          <t>ID</t>
        </is>
      </c>
      <c r="B1" s="1" t="inlineStr">
        <is>
          <t>Criterion</t>
        </is>
      </c>
      <c r="C1" s="1" t="inlineStr">
        <is>
          <t>Target</t>
        </is>
      </c>
      <c r="D1" s="1" t="inlineStr">
        <is>
          <t>Measured</t>
        </is>
      </c>
      <c r="E1" s="1" t="inlineStr">
        <is>
          <t>Out of / threshold</t>
        </is>
      </c>
      <c r="F1" s="1" t="inlineStr">
        <is>
          <t>Status</t>
        </is>
      </c>
    </row>
    <row r="2">
      <c r="A2" s="2" t="inlineStr">
        <is>
          <t>C1</t>
        </is>
      </c>
      <c r="B2" s="2" t="inlineStr">
        <is>
          <t>Functional correctness</t>
        </is>
      </c>
      <c r="C2" s="2" t="inlineStr">
        <is>
          <t>14 of 14</t>
        </is>
      </c>
      <c r="D2" s="2">
        <f>COUNTIF(Exp1!$D$2:$D$15,"PASS")</f>
        <v/>
      </c>
      <c r="E2" s="2" t="n">
        <v>14</v>
      </c>
      <c r="F2" s="2">
        <f>IF(D2=E2,"met","not met")</f>
        <v/>
      </c>
    </row>
    <row r="3">
      <c r="A3" s="2" t="inlineStr">
        <is>
          <t>C2</t>
        </is>
      </c>
      <c r="B3" s="2" t="inlineStr">
        <is>
          <t>Detection rate</t>
        </is>
      </c>
      <c r="C3" s="2" t="inlineStr">
        <is>
          <t>100%</t>
        </is>
      </c>
      <c r="D3" s="2">
        <f>COUNTIF(Exp3!$I$2:$I$501,"&gt;=1")</f>
        <v/>
      </c>
      <c r="E3" s="2">
        <f>COUNTA(Exp3!$A$2:$A$501)</f>
        <v/>
      </c>
      <c r="F3" s="2">
        <f>IF(D3=E3,"met","not met")</f>
        <v/>
      </c>
    </row>
    <row r="4">
      <c r="A4" s="2" t="inlineStr">
        <is>
          <t>C3</t>
        </is>
      </c>
      <c r="B4" s="2" t="inlineStr">
        <is>
          <t>False positives</t>
        </is>
      </c>
      <c r="C4" s="2" t="inlineStr">
        <is>
          <t>0</t>
        </is>
      </c>
      <c r="D4" s="2">
        <f>Exp1!G6</f>
        <v/>
      </c>
      <c r="E4" s="2" t="n">
        <v>0</v>
      </c>
      <c r="F4" s="2">
        <f>IF(D4=E4,"met","not met")</f>
        <v/>
      </c>
    </row>
    <row r="5">
      <c r="A5" s="2" t="inlineStr">
        <is>
          <t>C4</t>
        </is>
      </c>
      <c r="B5" s="2" t="inlineStr">
        <is>
          <t>Cipher list accuracy</t>
        </is>
      </c>
      <c r="C5" s="2" t="inlineStr">
        <is>
          <t>100%</t>
        </is>
      </c>
      <c r="D5" s="2">
        <f>COUNTIF(Exp3!$V$2:$V$501,TRUE)</f>
        <v/>
      </c>
      <c r="E5" s="2">
        <f>COUNTIF(Exp3!$N$2:$N$501,TRUE)</f>
        <v/>
      </c>
      <c r="F5" s="2">
        <f>IF(D5=E5,"met","not met")</f>
        <v/>
      </c>
    </row>
    <row r="6">
      <c r="A6" s="2" t="inlineStr">
        <is>
          <t>C5</t>
        </is>
      </c>
      <c r="B6" s="2" t="inlineStr">
        <is>
          <t>Version accuracy</t>
        </is>
      </c>
      <c r="C6" s="2" t="inlineStr">
        <is>
          <t>100%</t>
        </is>
      </c>
      <c r="D6" s="2">
        <f>COUNTIF(Exp3!$W$2:$W$501,TRUE)</f>
        <v/>
      </c>
      <c r="E6" s="2">
        <f>COUNTIF(Exp3!$O$2:$O$501,TRUE)</f>
        <v/>
      </c>
      <c r="F6" s="2">
        <f>IF(D6=E6,"met","not met")</f>
        <v/>
      </c>
    </row>
    <row r="7">
      <c r="A7" s="2" t="inlineStr">
        <is>
          <t>C6</t>
        </is>
      </c>
      <c r="B7" s="2" t="inlineStr">
        <is>
          <t>False certainty</t>
        </is>
      </c>
      <c r="C7" s="2" t="inlineStr">
        <is>
          <t>0</t>
        </is>
      </c>
      <c r="D7" s="2">
        <f>COUNTIF(Exp3!$V$2:$V$501,FALSE)+COUNTIF(Exp3!$W$2:$W$501,FALSE)+COUNTIF(Exp3!$T$2:$T$501,FALSE)+COUNTIF(Exp3!$U$2:$U$501,FALSE)</f>
        <v/>
      </c>
      <c r="E7" s="2" t="n">
        <v>0</v>
      </c>
      <c r="F7" s="2">
        <f>IF(D7=E7,"met","not met")</f>
        <v/>
      </c>
    </row>
    <row r="8">
      <c r="A8" s="2" t="inlineStr">
        <is>
          <t>C7</t>
        </is>
      </c>
      <c r="B8" s="2" t="inlineStr">
        <is>
          <t>Container attribution</t>
        </is>
      </c>
      <c r="C8" s="2" t="inlineStr">
        <is>
          <t>100%</t>
        </is>
      </c>
      <c r="D8" s="2">
        <f>COUNTIF(Exp3!$X$2:$X$501,TRUE)</f>
        <v/>
      </c>
      <c r="E8" s="2">
        <f>COUNTA(Exp3!$A$2:$A$501)</f>
        <v/>
      </c>
      <c r="F8" s="2">
        <f>IF(D8=E8,"met","not met")</f>
        <v/>
      </c>
    </row>
    <row r="9">
      <c r="A9" s="2" t="inlineStr">
        <is>
          <t>C8</t>
        </is>
      </c>
      <c r="B9" s="2" t="inlineStr">
        <is>
          <t>Truncation reporting (split flagged)</t>
        </is>
      </c>
      <c r="C9" s="2" t="inlineStr">
        <is>
          <t>100%</t>
        </is>
      </c>
      <c r="D9" s="2">
        <f>COUNTIFS(Exp4!$K$2:$K$1441,TRUE,Exp4!$L$2:$L$1441,TRUE)</f>
        <v/>
      </c>
      <c r="E9" s="2">
        <f>COUNTIF(Exp4!$K$2:$K$1441,TRUE)</f>
        <v/>
      </c>
      <c r="F9" s="2">
        <f>IF(D9=E9,"met","not met")</f>
        <v/>
      </c>
    </row>
    <row r="10">
      <c r="A10" s="2" t="inlineStr">
        <is>
          <t>C8</t>
        </is>
      </c>
      <c r="B10" s="2" t="inlineStr">
        <is>
          <t>Truncation reporting (fits but flagged)</t>
        </is>
      </c>
      <c r="C10" s="2" t="inlineStr">
        <is>
          <t>0</t>
        </is>
      </c>
      <c r="D10" s="2">
        <f>COUNTIFS(Exp4!$K$2:$K$1441,FALSE,Exp4!$L$2:$L$1441,TRUE)</f>
        <v/>
      </c>
      <c r="E10" s="2" t="n">
        <v>0</v>
      </c>
      <c r="F10" s="2">
        <f>IF(D10=E10,"met","not met")</f>
        <v/>
      </c>
    </row>
    <row r="11">
      <c r="A11" s="2" t="inlineStr">
        <is>
          <t>C9</t>
        </is>
      </c>
      <c r="B11" s="2" t="inlineStr">
        <is>
          <t>Fragmentation coverage</t>
        </is>
      </c>
      <c r="C11" s="2" t="inlineStr">
        <is>
          <t>tested against H1 to H3</t>
        </is>
      </c>
      <c r="D11" s="2" t="inlineStr">
        <is>
          <t>H1 holds except openssl MLKEM768 (pure PQ) at 1500-off: fits</t>
        </is>
      </c>
      <c r="E11" s="2" t="inlineStr">
        <is>
          <t>see Exp4_coverage</t>
        </is>
      </c>
      <c r="F11" s="2" t="inlineStr">
        <is>
          <t>reported</t>
        </is>
      </c>
    </row>
    <row r="12">
      <c r="A12" s="2" t="inlineStr">
        <is>
          <t>C10</t>
        </is>
      </c>
      <c r="B12" s="2" t="inlineStr">
        <is>
          <t>Verdict agreement</t>
        </is>
      </c>
      <c r="C12" s="2" t="inlineStr">
        <is>
          <t>100%</t>
        </is>
      </c>
      <c r="D12" s="2">
        <f>COUNTIF(Exp3!$Y$2:$Y$501,TRUE)</f>
        <v/>
      </c>
      <c r="E12" s="2">
        <f>COUNTIF(Exp3!$R$2:$R$501,"&lt;&gt;unknown")</f>
        <v/>
      </c>
      <c r="F12" s="2">
        <f>IF(D12=E12,"met","not met")</f>
        <v/>
      </c>
    </row>
    <row r="13">
      <c r="A13" s="2" t="inlineStr">
        <is>
          <t>C11</t>
        </is>
      </c>
      <c r="B13" s="2" t="inlineStr">
        <is>
          <t>Enforcement accuracy (rows 8 to 10)</t>
        </is>
      </c>
      <c r="C13" s="2" t="inlineStr">
        <is>
          <t>all pass</t>
        </is>
      </c>
      <c r="D13" s="2">
        <f>COUNTIF(Exp1!$D$9:$D$11,"PASS")</f>
        <v/>
      </c>
      <c r="E13" s="2" t="n">
        <v>3</v>
      </c>
      <c r="F13" s="2">
        <f>IF(D13=E13,"met","not met")</f>
        <v/>
      </c>
    </row>
    <row r="14">
      <c r="A14" s="2" t="inlineStr">
        <is>
          <t>C12</t>
        </is>
      </c>
      <c r="B14" s="2" t="inlineStr">
        <is>
          <t>Safe failure (rows 9, 11 to 13)</t>
        </is>
      </c>
      <c r="C14" s="2" t="inlineStr">
        <is>
          <t>all hold</t>
        </is>
      </c>
      <c r="D14" s="2">
        <f>COUNTIF(Exp1!$D$10,"PASS")+COUNTIF(Exp1!$D$12:$D$14,"PASS")</f>
        <v/>
      </c>
      <c r="E14" s="2" t="n">
        <v>4</v>
      </c>
      <c r="F14" s="2">
        <f>IF(D14=E14,"met","not met")</f>
        <v/>
      </c>
    </row>
    <row r="15">
      <c r="A15" s="2" t="inlineStr">
        <is>
          <t>C13</t>
        </is>
      </c>
      <c r="B15" s="2" t="inlineStr">
        <is>
          <t>Handshake overhead, worst change</t>
        </is>
      </c>
      <c r="C15" s="2" t="inlineStr">
        <is>
          <t>under 5%</t>
        </is>
      </c>
      <c r="D15" s="3">
        <f>MAX(ABS(MEDIAN(Exp5_cost!$E$12:$E$21)/MEDIAN(Exp5_cost!$E$2:$E$11)-1),ABS(MEDIAN(Exp5_cost!$E$22:$E$31)/MEDIAN(Exp5_cost!$E$2:$E$11)-1))</f>
        <v/>
      </c>
      <c r="E15" s="3" t="n">
        <v>0.05</v>
      </c>
      <c r="F15" s="2">
        <f>IF(D15&lt;E15,"met","not met")</f>
        <v/>
      </c>
    </row>
    <row r="16">
      <c r="A16" s="2" t="inlineStr">
        <is>
          <t>C14</t>
        </is>
      </c>
      <c r="B16" s="2" t="inlineStr">
        <is>
          <t>Kernel cost per call, enforce (ns)</t>
        </is>
      </c>
      <c r="C16" s="2" t="inlineStr">
        <is>
          <t>reported</t>
        </is>
      </c>
      <c r="D16" s="2">
        <f>AVERAGEIFS(Exp5_stats!$F$2:$F$7,Exp5_stats!$A$2:$A$7,"enforce")</f>
        <v/>
      </c>
      <c r="E16" s="2" t="inlineStr"/>
      <c r="F16" s="2" t="inlineStr">
        <is>
          <t>reported</t>
        </is>
      </c>
    </row>
    <row r="17">
      <c r="A17" s="2" t="inlineStr">
        <is>
          <t>C15</t>
        </is>
      </c>
      <c r="B17" s="2" t="inlineStr">
        <is>
          <t>Event loss in experiment 5</t>
        </is>
      </c>
      <c r="C17" s="2" t="inlineStr">
        <is>
          <t>0</t>
        </is>
      </c>
      <c r="D17" s="2">
        <f>SUM(Exp5_cost!$H$2:$H$31)+SUM(Exp5_stats!$G$2:$G$7)+SUM(Exp5_tput!$F$2:$F$16)+Exp5_latency!F4+SUM(Exp5_policy!$H$2:$H$21)</f>
        <v/>
      </c>
      <c r="E17" s="2" t="n">
        <v>0</v>
      </c>
      <c r="F17" s="2">
        <f>IF(D17=E17,"met","not met")</f>
        <v/>
      </c>
    </row>
    <row r="18">
      <c r="A18" s="2" t="inlineStr">
        <is>
          <t>C16</t>
        </is>
      </c>
      <c r="B18" s="2" t="inlineStr">
        <is>
          <t>Robustness: false complete fields</t>
        </is>
      </c>
      <c r="C18" s="2" t="inlineStr">
        <is>
          <t>0</t>
        </is>
      </c>
      <c r="D18" s="2">
        <f>SUM(Exp3_fuzz!$I$2:$I$5006)</f>
        <v/>
      </c>
      <c r="E18" s="2" t="n">
        <v>0</v>
      </c>
      <c r="F18" s="2">
        <f>IF(D18=E18,"met","not met")</f>
        <v/>
      </c>
    </row>
    <row r="19">
      <c r="A19" s="2" t="inlineStr">
        <is>
          <t>C17</t>
        </is>
      </c>
      <c r="B19" s="2" t="inlineStr">
        <is>
          <t>Data-path overhead, worst change</t>
        </is>
      </c>
      <c r="C19" s="2" t="inlineStr">
        <is>
          <t>under 5%</t>
        </is>
      </c>
      <c r="D19" s="3">
        <f>MAX(ABS(MEDIAN(Exp5_tput!$E$7:$E$11)/MEDIAN(Exp5_tput!$E$2:$E$6)-1),ABS(MEDIAN(Exp5_tput!$E$12:$E$16)/MEDIAN(Exp5_tput!$E$2:$E$6)-1))</f>
        <v/>
      </c>
      <c r="E19" s="3" t="n">
        <v>0.05</v>
      </c>
      <c r="F19" s="2">
        <f>IF(D19&lt;E19,"met","not met")</f>
        <v/>
      </c>
    </row>
    <row r="20">
      <c r="A20" s="2" t="inlineStr">
        <is>
          <t>C18</t>
        </is>
      </c>
      <c r="B20" s="2" t="inlineStr">
        <is>
          <t>Tail latency p99, worst change</t>
        </is>
      </c>
      <c r="C20" s="2" t="inlineStr">
        <is>
          <t>under 10%</t>
        </is>
      </c>
      <c r="D20" s="3">
        <f>MAX(Exp5_latency!G3/Exp5_latency!F3-1,Exp5_latency!H3/Exp5_latency!F3-1)</f>
        <v/>
      </c>
      <c r="E20" s="3" t="n">
        <v>0.1</v>
      </c>
      <c r="F20" s="2">
        <f>IF(D20&lt;E20,"met","not met")</f>
        <v/>
      </c>
    </row>
    <row r="21">
      <c r="A21" s="2" t="inlineStr">
        <is>
          <t>C19</t>
        </is>
      </c>
      <c r="B21" s="2" t="inlineStr">
        <is>
          <t>Policy scalability, 1 to 64 rules</t>
        </is>
      </c>
      <c r="C21" s="2" t="inlineStr">
        <is>
          <t>under 5%</t>
        </is>
      </c>
      <c r="D21" s="3">
        <f>MAX(ABS(MEDIAN(Exp5_policy!$F$12:$F$16)/MEDIAN(Exp5_policy!$F$2:$F$6)-1),ABS(MEDIAN(Exp5_policy!$F$17:$F$21)/MEDIAN(Exp5_policy!$F$2:$F$6)-1))</f>
        <v/>
      </c>
      <c r="E21" s="3" t="n">
        <v>0.05</v>
      </c>
      <c r="F21" s="2">
        <f>IF(D21&lt;E21,"met","not met")</f>
        <v/>
      </c>
    </row>
    <row r="22">
      <c r="A22" s="2" t="inlineStr">
        <is>
          <t>C19</t>
        </is>
      </c>
      <c r="B22" s="2" t="inlineStr">
        <is>
          <t>Policy scalability, 1 against 30 ciphers</t>
        </is>
      </c>
      <c r="C22" s="2" t="inlineStr">
        <is>
          <t>under 5%</t>
        </is>
      </c>
      <c r="D22" s="3">
        <f>ABS(MEDIAN(Exp5_policy!$F$7:$F$11)/MEDIAN(Exp5_policy!$F$2:$F$6)-1)</f>
        <v/>
      </c>
      <c r="E22" s="3" t="n">
        <v>0.05</v>
      </c>
      <c r="F22" s="2">
        <f>IF(D22&lt;E22,"met","not met")</f>
        <v/>
      </c>
    </row>
    <row r="23">
      <c r="A23" s="2" t="inlineStr">
        <is>
          <t>C20</t>
        </is>
      </c>
      <c r="B23" s="2" t="inlineStr">
        <is>
          <t>Saturation: highest rate with no drop (per s)</t>
        </is>
      </c>
      <c r="C23" s="2" t="inlineStr">
        <is>
          <t>reported</t>
        </is>
      </c>
      <c r="D23" s="2">
        <f>_xlfn.MAXIFS(Exp5_sat!$D$2:$D$5,Exp5_sat!$F$2:$F$5,0)</f>
        <v/>
      </c>
      <c r="E23" s="2" t="inlineStr"/>
      <c r="F23" s="2" t="inlineStr">
        <is>
          <t>reported</t>
        </is>
      </c>
    </row>
    <row r="24">
      <c r="A24" s="2" t="inlineStr">
        <is>
          <t>C21</t>
        </is>
      </c>
      <c r="B24" s="2" t="inlineStr">
        <is>
          <t>Footprint: JIT bytes</t>
        </is>
      </c>
      <c r="C24" s="2" t="inlineStr">
        <is>
          <t>reported</t>
        </is>
      </c>
      <c r="D24" s="2">
        <f>Exp5_footprint!B3</f>
        <v/>
      </c>
      <c r="E24" s="2" t="inlineStr"/>
      <c r="F24" s="2" t="inlineStr">
        <is>
          <t>reported</t>
        </is>
      </c>
    </row>
    <row r="25">
      <c r="A25" s="2" t="inlineStr">
        <is>
          <t>C22</t>
        </is>
      </c>
      <c r="B25" s="2" t="inlineStr">
        <is>
          <t>Enforcement at scale</t>
        </is>
      </c>
      <c r="C25" s="2" t="inlineStr">
        <is>
          <t>100%</t>
        </is>
      </c>
      <c r="D25" s="2">
        <f>COUNTIF(Exp6_matrix!$I$2:$I$73,TRUE)</f>
        <v/>
      </c>
      <c r="E25" s="2">
        <f>COUNTA(Exp6_matrix!$A$2:$A$73)</f>
        <v/>
      </c>
      <c r="F25" s="2">
        <f>IF(D25=E25,"met","not met")</f>
        <v/>
      </c>
    </row>
    <row r="26">
      <c r="A26" s="2" t="inlineStr">
        <is>
          <t>C23</t>
        </is>
      </c>
      <c r="B26" s="2" t="inlineStr">
        <is>
          <t>Scenario validation</t>
        </is>
      </c>
      <c r="C26" s="2" t="inlineStr">
        <is>
          <t>all</t>
        </is>
      </c>
      <c r="D26" s="2">
        <f>COUNTIFS(Exp6_scenarios!$B$2:$B$4,"&lt;&gt;allow",Exp6_scenarios!$D$2:$D$4,TRUE)</f>
        <v/>
      </c>
      <c r="E26" s="2">
        <f>COUNTA(Exp6_scenarios!$A$2:$A$4)</f>
        <v/>
      </c>
      <c r="F26" s="2">
        <f>IF(D26=E26,"met","not met")</f>
        <v/>
      </c>
    </row>
    <row r="27">
      <c r="A27" s="2" t="inlineStr">
        <is>
          <t>C24</t>
        </is>
      </c>
      <c r="B27" s="2" t="inlineStr">
        <is>
          <t>Attribution under concurrency</t>
        </is>
      </c>
      <c r="C27" s="2" t="inlineStr">
        <is>
          <t>100%, none unnamed</t>
        </is>
      </c>
      <c r="D27" s="2">
        <f>SUM(Exp7!$I$2:$I$61)</f>
        <v/>
      </c>
      <c r="E27" s="2">
        <f>SUM(Exp7!$H$2:$H$61)</f>
        <v/>
      </c>
      <c r="F27" s="2">
        <f>IF(D27=E27,"met","not met")</f>
        <v/>
      </c>
    </row>
    <row r="28">
      <c r="A28" s="2" t="inlineStr">
        <is>
          <t>C25</t>
        </is>
      </c>
      <c r="B28" s="2" t="inlineStr">
        <is>
          <t>Grade agreement</t>
        </is>
      </c>
      <c r="C28" s="2" t="inlineStr">
        <is>
          <t>100%</t>
        </is>
      </c>
      <c r="D28" s="2">
        <f>COUNTIF(Exp3!$AC$2:$AC$501,TRUE)</f>
        <v/>
      </c>
      <c r="E28" s="2">
        <f>COUNTIF(Exp3!$AB$2:$AB$501,TRUE)</f>
        <v/>
      </c>
      <c r="F28" s="2">
        <f>IF(D28=E28,"met","not met")</f>
        <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80" customWidth="1" min="3" max="3"/>
    <col width="10" customWidth="1" min="4" max="4"/>
    <col width="26" customWidth="1" min="6" max="6"/>
  </cols>
  <sheetData>
    <row r="1">
      <c r="A1" s="4" t="inlineStr">
        <is>
          <t>No</t>
        </is>
      </c>
      <c r="B1" s="4" t="inlineStr">
        <is>
          <t>Function</t>
        </is>
      </c>
      <c r="C1" s="4" t="inlineStr">
        <is>
          <t>Evidence</t>
        </is>
      </c>
      <c r="D1" s="4" t="inlineStr">
        <is>
          <t>Result</t>
        </is>
      </c>
      <c r="F1" t="inlineStr">
        <is>
          <t>C3 traffic</t>
        </is>
      </c>
      <c r="G1" t="inlineStr">
        <is>
          <t>Value</t>
        </is>
      </c>
    </row>
    <row r="2">
      <c r="A2" s="2" t="n">
        <v>1</v>
      </c>
      <c r="B2" s="2" t="inlineStr">
        <is>
          <t>Detect a ClientHello</t>
        </is>
      </c>
      <c r="C2" s="2" t="inlineStr">
        <is>
          <t>verify-M3: one event per TLS case</t>
        </is>
      </c>
      <c r="D2" s="2" t="inlineStr">
        <is>
          <t>PASS</t>
        </is>
      </c>
      <c r="F2" t="inlineStr">
        <is>
          <t>SSH connections</t>
        </is>
      </c>
      <c r="G2" t="n">
        <v>1</v>
      </c>
    </row>
    <row r="3">
      <c r="A3" s="2" t="n">
        <v>2</v>
      </c>
      <c r="B3" s="2" t="inlineStr">
        <is>
          <t>Ignore other traffic</t>
        </is>
      </c>
      <c r="C3" s="2" t="inlineStr">
        <is>
          <t>verify-M3 plaintext (HTTP), verify-M6.6 junk; here: 1 SSH and 100 random-byte connections, 101 received with 409621 bytes, 0 events</t>
        </is>
      </c>
      <c r="D3" s="2" t="inlineStr">
        <is>
          <t>PASS</t>
        </is>
      </c>
      <c r="F3" t="inlineStr">
        <is>
          <t>Random-byte connections</t>
        </is>
      </c>
      <c r="G3" t="n">
        <v>100</v>
      </c>
    </row>
    <row r="4">
      <c r="A4" s="2" t="n">
        <v>3</v>
      </c>
      <c r="B4" s="2" t="inlineStr">
        <is>
          <t>Read the cipher suites</t>
        </is>
      </c>
      <c r="C4" s="2" t="inlineStr">
        <is>
          <t>verify-M3 tls12_two, tls13_one, cipher_cap</t>
        </is>
      </c>
      <c r="D4" s="2" t="inlineStr">
        <is>
          <t>PASS</t>
        </is>
      </c>
      <c r="F4" t="inlineStr">
        <is>
          <t>Connections received</t>
        </is>
      </c>
      <c r="G4" t="n">
        <v>101</v>
      </c>
    </row>
    <row r="5">
      <c r="A5" s="2" t="n">
        <v>4</v>
      </c>
      <c r="B5" s="2" t="inlineStr">
        <is>
          <t>Read the versions</t>
        </is>
      </c>
      <c r="C5" s="2" t="inlineStr">
        <is>
          <t>verify-M3 tls12_two, tls13_one, default_small</t>
        </is>
      </c>
      <c r="D5" s="2" t="inlineStr">
        <is>
          <t>PASS</t>
        </is>
      </c>
      <c r="F5" t="inlineStr">
        <is>
          <t>Bytes received</t>
        </is>
      </c>
      <c r="G5" t="n">
        <v>409621</v>
      </c>
    </row>
    <row r="6">
      <c r="A6" s="2" t="n">
        <v>5</v>
      </c>
      <c r="B6" s="2" t="inlineStr">
        <is>
          <t>Flag a split ClientHello</t>
        </is>
      </c>
      <c r="C6" s="2" t="inlineStr">
        <is>
          <t>verify-M3 default_pqc, versions_cut</t>
        </is>
      </c>
      <c r="D6" s="2" t="inlineStr">
        <is>
          <t>PASS</t>
        </is>
      </c>
      <c r="F6" t="inlineStr">
        <is>
          <t>skbouncer events</t>
        </is>
      </c>
      <c r="G6" t="n">
        <v>0</v>
      </c>
    </row>
    <row r="7">
      <c r="A7" s="2" t="n">
        <v>6</v>
      </c>
      <c r="B7" s="2" t="inlineStr">
        <is>
          <t>Name the container</t>
        </is>
      </c>
      <c r="C7" s="2" t="inlineStr">
        <is>
          <t>verify-M4 shared network namespace; verify-M5 five containers, one veth</t>
        </is>
      </c>
      <c r="D7" s="2" t="inlineStr">
        <is>
          <t>PASS</t>
        </is>
      </c>
    </row>
    <row r="8">
      <c r="A8" s="2" t="n">
        <v>7</v>
      </c>
      <c r="B8" s="2" t="inlineStr">
        <is>
          <t>Audit a violation</t>
        </is>
      </c>
      <c r="C8" s="2" t="inlineStr">
        <is>
          <t>verify-M5</t>
        </is>
      </c>
      <c r="D8" s="2" t="inlineStr">
        <is>
          <t>PASS</t>
        </is>
      </c>
    </row>
    <row r="9">
      <c r="A9" s="2" t="n">
        <v>8</v>
      </c>
      <c r="B9" s="2" t="inlineStr">
        <is>
          <t>Enforce a violation</t>
        </is>
      </c>
      <c r="C9" s="2" t="inlineStr">
        <is>
          <t>verify-M6 ports 4472, 4473</t>
        </is>
      </c>
      <c r="D9" s="2" t="inlineStr">
        <is>
          <t>PASS</t>
        </is>
      </c>
    </row>
    <row r="10">
      <c r="A10" s="2" t="n">
        <v>9</v>
      </c>
      <c r="B10" s="2" t="inlineStr">
        <is>
          <t>Fail open</t>
        </is>
      </c>
      <c r="C10" s="2" t="inlineStr">
        <is>
          <t>verify-M6 port 4475</t>
        </is>
      </c>
      <c r="D10" s="2" t="inlineStr">
        <is>
          <t>PASS</t>
        </is>
      </c>
    </row>
    <row r="11">
      <c r="A11" s="2" t="n">
        <v>10</v>
      </c>
      <c r="B11" s="2" t="inlineStr">
        <is>
          <t>Block unknown on request</t>
        </is>
      </c>
      <c r="C11" s="2" t="inlineStr">
        <is>
          <t>verify-M6 port 4478</t>
        </is>
      </c>
      <c r="D11" s="2" t="inlineStr">
        <is>
          <t>PASS</t>
        </is>
      </c>
    </row>
    <row r="12">
      <c r="A12" s="2" t="n">
        <v>11</v>
      </c>
      <c r="B12" s="2" t="inlineStr">
        <is>
          <t>Refuse the root cgroup</t>
        </is>
      </c>
      <c r="C12" s="2" t="inlineStr">
        <is>
          <t>verify-M6 refusal root_cgroup</t>
        </is>
      </c>
      <c r="D12" s="2" t="inlineStr">
        <is>
          <t>PASS</t>
        </is>
      </c>
    </row>
    <row r="13">
      <c r="A13" s="2" t="n">
        <v>12</v>
      </c>
      <c r="B13" s="2" t="inlineStr">
        <is>
          <t>Refuse a non-veth in enforce mode</t>
        </is>
      </c>
      <c r="C13" s="2" t="inlineStr">
        <is>
          <t>verify-M6 refusal not_a_veth (lo)</t>
        </is>
      </c>
      <c r="D13" s="2" t="inlineStr">
        <is>
          <t>PASS</t>
        </is>
      </c>
    </row>
    <row r="14">
      <c r="A14" s="2" t="n">
        <v>13</v>
      </c>
      <c r="B14" s="2" t="inlineStr">
        <is>
          <t>Detach on exit</t>
        </is>
      </c>
      <c r="C14" s="2" t="inlineStr">
        <is>
          <t>verify-M6.6 deaths (SIGPIPE, SIGHUP, SIGUSR2), coexist (SIGINT)</t>
        </is>
      </c>
      <c r="D14" s="2" t="inlineStr">
        <is>
          <t>PASS</t>
        </is>
      </c>
    </row>
    <row r="15">
      <c r="A15" s="2" t="n">
        <v>14</v>
      </c>
      <c r="B15" s="2" t="inlineStr">
        <is>
          <t>Control</t>
        </is>
      </c>
      <c r="C15" s="2" t="inlineStr">
        <is>
          <t>here: row 8's client, skbouncer stopped: attached 0, established True, server got the ClientHello True</t>
        </is>
      </c>
      <c r="D15" s="2"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0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6" customWidth="1" min="3" max="3"/>
    <col width="10" customWidth="1" min="4" max="4"/>
    <col width="19" customWidth="1" min="5" max="5"/>
    <col width="23" customWidth="1" min="6" max="6"/>
    <col width="50" customWidth="1" min="7" max="7"/>
    <col width="17" customWidth="1" min="8" max="8"/>
    <col width="10" customWidth="1" min="9" max="9"/>
    <col width="17" customWidth="1" min="10" max="10"/>
    <col width="18" customWidth="1" min="11" max="11"/>
    <col width="22" customWidth="1" min="12" max="12"/>
    <col width="14" customWidth="1" min="13" max="13"/>
    <col width="14" customWidth="1" min="14" max="14"/>
    <col width="15" customWidth="1" min="15" max="15"/>
    <col width="50" customWidth="1" min="16" max="16"/>
    <col width="16" customWidth="1" min="17" max="17"/>
    <col width="10" customWidth="1" min="18" max="18"/>
    <col width="19" customWidth="1" min="19" max="19"/>
    <col width="18" customWidth="1" min="20" max="20"/>
    <col width="14" customWidth="1" min="21" max="21"/>
    <col width="14" customWidth="1" min="22" max="22"/>
    <col width="15" customWidth="1" min="23" max="23"/>
    <col width="17" customWidth="1" min="24" max="24"/>
    <col width="16" customWidth="1" min="25" max="25"/>
    <col width="19" customWidth="1" min="26" max="26"/>
    <col width="16" customWidth="1" min="27" max="27"/>
    <col width="14" customWidth="1" min="28" max="28"/>
    <col width="14" customWidth="1" min="29" max="29"/>
  </cols>
  <sheetData>
    <row r="1">
      <c r="A1" s="4" t="inlineStr">
        <is>
          <t>Run</t>
        </is>
      </c>
      <c r="B1" s="4" t="inlineStr">
        <is>
          <t>Client</t>
        </is>
      </c>
      <c r="C1" s="4" t="inlineStr">
        <is>
          <t>Container</t>
        </is>
      </c>
      <c r="D1" s="4" t="inlineStr">
        <is>
          <t>Port</t>
        </is>
      </c>
      <c r="E1" s="4" t="inlineStr">
        <is>
          <t>Server record_len</t>
        </is>
      </c>
      <c r="F1" s="4" t="inlineStr">
        <is>
          <t>Server legacy_version</t>
        </is>
      </c>
      <c r="G1" s="4" t="inlineStr">
        <is>
          <t>Server ciphers</t>
        </is>
      </c>
      <c r="H1" s="4" t="inlineStr">
        <is>
          <t>Server versions</t>
        </is>
      </c>
      <c r="I1" s="4" t="inlineStr">
        <is>
          <t>Events</t>
        </is>
      </c>
      <c r="J1" s="4" t="inlineStr">
        <is>
          <t>Event container</t>
        </is>
      </c>
      <c r="K1" s="4" t="inlineStr">
        <is>
          <t>Event record_len</t>
        </is>
      </c>
      <c r="L1" s="4" t="inlineStr">
        <is>
          <t>Event legacy_version</t>
        </is>
      </c>
      <c r="M1" s="4" t="inlineStr">
        <is>
          <t>captured_len</t>
        </is>
      </c>
      <c r="N1" s="4" t="inlineStr">
        <is>
          <t>ciphers_seen</t>
        </is>
      </c>
      <c r="O1" s="4" t="inlineStr">
        <is>
          <t>versions_seen</t>
        </is>
      </c>
      <c r="P1" s="4" t="inlineStr">
        <is>
          <t>Event ciphers</t>
        </is>
      </c>
      <c r="Q1" s="4" t="inlineStr">
        <is>
          <t>Event versions</t>
        </is>
      </c>
      <c r="R1" s="4" t="inlineStr">
        <is>
          <t>Verdict</t>
        </is>
      </c>
      <c r="S1" s="4" t="inlineStr">
        <is>
          <t>Reference verdict</t>
        </is>
      </c>
      <c r="T1" s="4" t="inlineStr">
        <is>
          <t>record_len match</t>
        </is>
      </c>
      <c r="U1" s="4" t="inlineStr">
        <is>
          <t>legacy match</t>
        </is>
      </c>
      <c r="V1" s="4" t="inlineStr">
        <is>
          <t>Cipher match</t>
        </is>
      </c>
      <c r="W1" s="4" t="inlineStr">
        <is>
          <t>Version match</t>
        </is>
      </c>
      <c r="X1" s="4" t="inlineStr">
        <is>
          <t>Named correctly</t>
        </is>
      </c>
      <c r="Y1" s="4" t="inlineStr">
        <is>
          <t>Verdict agrees</t>
        </is>
      </c>
      <c r="Z1" s="4" t="inlineStr">
        <is>
          <t>Grade (skbouncer)</t>
        </is>
      </c>
      <c r="AA1" s="4" t="inlineStr">
        <is>
          <t>Grade (server)</t>
        </is>
      </c>
      <c r="AB1" s="4" t="inlineStr">
        <is>
          <t>Read in full</t>
        </is>
      </c>
      <c r="AC1" s="4" t="inlineStr">
        <is>
          <t>Grade agrees</t>
        </is>
      </c>
    </row>
    <row r="2">
      <c r="A2" s="2" t="inlineStr">
        <is>
          <t>census</t>
        </is>
      </c>
      <c r="B2" s="2" t="inlineStr">
        <is>
          <t>openssl 3.5.8 default</t>
        </is>
      </c>
      <c r="C2" s="2" t="inlineStr">
        <is>
          <t>skb-eval-8352-c5001</t>
        </is>
      </c>
      <c r="D2" s="2" t="n">
        <v>5001</v>
      </c>
      <c r="E2" s="2" t="n">
        <v>1543</v>
      </c>
      <c r="F2" s="2" t="n">
        <v>771</v>
      </c>
      <c r="G2" s="2" t="inlineStr">
        <is>
          <t>1302 1303 1301 c02c c030 009f cca9 cca8 ccaa c02b c02f 009e c024 c028 006b c023 c027 0067 c00a c014 0039 c009 c013 0033 009d 009c 003d 003c 0035 002f</t>
        </is>
      </c>
      <c r="H2" s="2" t="inlineStr">
        <is>
          <t>0304 0303</t>
        </is>
      </c>
      <c r="I2" s="2" t="n">
        <v>1</v>
      </c>
      <c r="J2" s="2" t="inlineStr">
        <is>
          <t>skb-eval-8352-c5001</t>
        </is>
      </c>
      <c r="K2" s="2" t="n">
        <v>1543</v>
      </c>
      <c r="L2" s="2" t="n">
        <v>771</v>
      </c>
      <c r="M2" s="2" t="n">
        <v>1443</v>
      </c>
      <c r="N2" s="2" t="b">
        <v>1</v>
      </c>
      <c r="O2" s="2" t="b">
        <v>1</v>
      </c>
      <c r="P2" s="2" t="inlineStr">
        <is>
          <t>1302 1303 1301 c02c c030 009f cca9 cca8 ccaa c02b c02f 009e c024 c028 006b c023 c027 0067 c00a c014 0039 c009 c013 0033 009d 009c 003d 003c 0035 002f</t>
        </is>
      </c>
      <c r="Q2" s="2" t="inlineStr">
        <is>
          <t>0304 0303</t>
        </is>
      </c>
      <c r="R2" s="2" t="inlineStr">
        <is>
          <t>violation</t>
        </is>
      </c>
      <c r="S2" s="2" t="inlineStr">
        <is>
          <t>violation</t>
        </is>
      </c>
      <c r="T2" s="2">
        <f>K2=E2</f>
        <v/>
      </c>
      <c r="U2" s="2">
        <f>L2=F2</f>
        <v/>
      </c>
      <c r="V2" s="2">
        <f>IF(N2,EXACT(P2,G2),"")</f>
        <v/>
      </c>
      <c r="W2" s="2">
        <f>IF(O2,EXACT(Q2,H2),"")</f>
        <v/>
      </c>
      <c r="X2" s="2">
        <f>J2=C2</f>
        <v/>
      </c>
      <c r="Y2" s="2">
        <f>IF(R2="unknown","",R2=S2)</f>
        <v/>
      </c>
      <c r="Z2" s="2" t="inlineStr">
        <is>
          <t>A</t>
        </is>
      </c>
      <c r="AA2" s="2" t="inlineStr">
        <is>
          <t>A</t>
        </is>
      </c>
      <c r="AB2" s="2">
        <f>AND(N2,O2,A2&lt;&gt;"census-mixed")</f>
        <v/>
      </c>
      <c r="AC2" s="2">
        <f>IF(AB2,Z2=AA2,"")</f>
        <v/>
      </c>
    </row>
    <row r="3">
      <c r="A3" s="2" t="inlineStr">
        <is>
          <t>census</t>
        </is>
      </c>
      <c r="B3" s="2" t="inlineStr">
        <is>
          <t>openssl 3.5.8 default</t>
        </is>
      </c>
      <c r="C3" s="2" t="inlineStr">
        <is>
          <t>skb-eval-8352-c5002</t>
        </is>
      </c>
      <c r="D3" s="2" t="n">
        <v>5002</v>
      </c>
      <c r="E3" s="2" t="n">
        <v>1543</v>
      </c>
      <c r="F3" s="2" t="n">
        <v>771</v>
      </c>
      <c r="G3" s="2" t="inlineStr">
        <is>
          <t>1302 1303 1301 c02c c030 009f cca9 cca8 ccaa c02b c02f 009e c024 c028 006b c023 c027 0067 c00a c014 0039 c009 c013 0033 009d 009c 003d 003c 0035 002f</t>
        </is>
      </c>
      <c r="H3" s="2" t="inlineStr">
        <is>
          <t>0304 0303</t>
        </is>
      </c>
      <c r="I3" s="2" t="n">
        <v>1</v>
      </c>
      <c r="J3" s="2" t="inlineStr">
        <is>
          <t>skb-eval-8352-c5002</t>
        </is>
      </c>
      <c r="K3" s="2" t="n">
        <v>1543</v>
      </c>
      <c r="L3" s="2" t="n">
        <v>771</v>
      </c>
      <c r="M3" s="2" t="n">
        <v>1443</v>
      </c>
      <c r="N3" s="2" t="b">
        <v>1</v>
      </c>
      <c r="O3" s="2" t="b">
        <v>1</v>
      </c>
      <c r="P3" s="2" t="inlineStr">
        <is>
          <t>1302 1303 1301 c02c c030 009f cca9 cca8 ccaa c02b c02f 009e c024 c028 006b c023 c027 0067 c00a c014 0039 c009 c013 0033 009d 009c 003d 003c 0035 002f</t>
        </is>
      </c>
      <c r="Q3" s="2" t="inlineStr">
        <is>
          <t>0304 0303</t>
        </is>
      </c>
      <c r="R3" s="2" t="inlineStr">
        <is>
          <t>violation</t>
        </is>
      </c>
      <c r="S3" s="2" t="inlineStr">
        <is>
          <t>violation</t>
        </is>
      </c>
      <c r="T3" s="2">
        <f>K3=E3</f>
        <v/>
      </c>
      <c r="U3" s="2">
        <f>L3=F3</f>
        <v/>
      </c>
      <c r="V3" s="2">
        <f>IF(N3,EXACT(P3,G3),"")</f>
        <v/>
      </c>
      <c r="W3" s="2">
        <f>IF(O3,EXACT(Q3,H3),"")</f>
        <v/>
      </c>
      <c r="X3" s="2">
        <f>J3=C3</f>
        <v/>
      </c>
      <c r="Y3" s="2">
        <f>IF(R3="unknown","",R3=S3)</f>
        <v/>
      </c>
      <c r="Z3" s="2" t="inlineStr">
        <is>
          <t>A</t>
        </is>
      </c>
      <c r="AA3" s="2" t="inlineStr">
        <is>
          <t>A</t>
        </is>
      </c>
      <c r="AB3" s="2">
        <f>AND(N3,O3,A3&lt;&gt;"census-mixed")</f>
        <v/>
      </c>
      <c r="AC3" s="2">
        <f>IF(AB3,Z3=AA3,"")</f>
        <v/>
      </c>
    </row>
    <row r="4">
      <c r="A4" s="2" t="inlineStr">
        <is>
          <t>census</t>
        </is>
      </c>
      <c r="B4" s="2" t="inlineStr">
        <is>
          <t>openssl 3.5.8 default</t>
        </is>
      </c>
      <c r="C4" s="2" t="inlineStr">
        <is>
          <t>skb-eval-8352-c5003</t>
        </is>
      </c>
      <c r="D4" s="2" t="n">
        <v>5003</v>
      </c>
      <c r="E4" s="2" t="n">
        <v>1543</v>
      </c>
      <c r="F4" s="2" t="n">
        <v>771</v>
      </c>
      <c r="G4" s="2" t="inlineStr">
        <is>
          <t>1302 1303 1301 c02c c030 009f cca9 cca8 ccaa c02b c02f 009e c024 c028 006b c023 c027 0067 c00a c014 0039 c009 c013 0033 009d 009c 003d 003c 0035 002f</t>
        </is>
      </c>
      <c r="H4" s="2" t="inlineStr">
        <is>
          <t>0304 0303</t>
        </is>
      </c>
      <c r="I4" s="2" t="n">
        <v>1</v>
      </c>
      <c r="J4" s="2" t="inlineStr">
        <is>
          <t>skb-eval-8352-c5003</t>
        </is>
      </c>
      <c r="K4" s="2" t="n">
        <v>1543</v>
      </c>
      <c r="L4" s="2" t="n">
        <v>771</v>
      </c>
      <c r="M4" s="2" t="n">
        <v>1443</v>
      </c>
      <c r="N4" s="2" t="b">
        <v>1</v>
      </c>
      <c r="O4" s="2" t="b">
        <v>1</v>
      </c>
      <c r="P4" s="2" t="inlineStr">
        <is>
          <t>1302 1303 1301 c02c c030 009f cca9 cca8 ccaa c02b c02f 009e c024 c028 006b c023 c027 0067 c00a c014 0039 c009 c013 0033 009d 009c 003d 003c 0035 002f</t>
        </is>
      </c>
      <c r="Q4" s="2" t="inlineStr">
        <is>
          <t>0304 0303</t>
        </is>
      </c>
      <c r="R4" s="2" t="inlineStr">
        <is>
          <t>violation</t>
        </is>
      </c>
      <c r="S4" s="2" t="inlineStr">
        <is>
          <t>violation</t>
        </is>
      </c>
      <c r="T4" s="2">
        <f>K4=E4</f>
        <v/>
      </c>
      <c r="U4" s="2">
        <f>L4=F4</f>
        <v/>
      </c>
      <c r="V4" s="2">
        <f>IF(N4,EXACT(P4,G4),"")</f>
        <v/>
      </c>
      <c r="W4" s="2">
        <f>IF(O4,EXACT(Q4,H4),"")</f>
        <v/>
      </c>
      <c r="X4" s="2">
        <f>J4=C4</f>
        <v/>
      </c>
      <c r="Y4" s="2">
        <f>IF(R4="unknown","",R4=S4)</f>
        <v/>
      </c>
      <c r="Z4" s="2" t="inlineStr">
        <is>
          <t>A</t>
        </is>
      </c>
      <c r="AA4" s="2" t="inlineStr">
        <is>
          <t>A</t>
        </is>
      </c>
      <c r="AB4" s="2">
        <f>AND(N4,O4,A4&lt;&gt;"census-mixed")</f>
        <v/>
      </c>
      <c r="AC4" s="2">
        <f>IF(AB4,Z4=AA4,"")</f>
        <v/>
      </c>
    </row>
    <row r="5">
      <c r="A5" s="2" t="inlineStr">
        <is>
          <t>census</t>
        </is>
      </c>
      <c r="B5" s="2" t="inlineStr">
        <is>
          <t>openssl 3.5.8 default</t>
        </is>
      </c>
      <c r="C5" s="2" t="inlineStr">
        <is>
          <t>skb-eval-8352-c5004</t>
        </is>
      </c>
      <c r="D5" s="2" t="n">
        <v>5004</v>
      </c>
      <c r="E5" s="2" t="n">
        <v>1543</v>
      </c>
      <c r="F5" s="2" t="n">
        <v>771</v>
      </c>
      <c r="G5" s="2" t="inlineStr">
        <is>
          <t>1302 1303 1301 c02c c030 009f cca9 cca8 ccaa c02b c02f 009e c024 c028 006b c023 c027 0067 c00a c014 0039 c009 c013 0033 009d 009c 003d 003c 0035 002f</t>
        </is>
      </c>
      <c r="H5" s="2" t="inlineStr">
        <is>
          <t>0304 0303</t>
        </is>
      </c>
      <c r="I5" s="2" t="n">
        <v>1</v>
      </c>
      <c r="J5" s="2" t="inlineStr">
        <is>
          <t>skb-eval-8352-c5004</t>
        </is>
      </c>
      <c r="K5" s="2" t="n">
        <v>1543</v>
      </c>
      <c r="L5" s="2" t="n">
        <v>771</v>
      </c>
      <c r="M5" s="2" t="n">
        <v>1443</v>
      </c>
      <c r="N5" s="2" t="b">
        <v>1</v>
      </c>
      <c r="O5" s="2" t="b">
        <v>1</v>
      </c>
      <c r="P5" s="2" t="inlineStr">
        <is>
          <t>1302 1303 1301 c02c c030 009f cca9 cca8 ccaa c02b c02f 009e c024 c028 006b c023 c027 0067 c00a c014 0039 c009 c013 0033 009d 009c 003d 003c 0035 002f</t>
        </is>
      </c>
      <c r="Q5" s="2" t="inlineStr">
        <is>
          <t>0304 0303</t>
        </is>
      </c>
      <c r="R5" s="2" t="inlineStr">
        <is>
          <t>violation</t>
        </is>
      </c>
      <c r="S5" s="2" t="inlineStr">
        <is>
          <t>violation</t>
        </is>
      </c>
      <c r="T5" s="2">
        <f>K5=E5</f>
        <v/>
      </c>
      <c r="U5" s="2">
        <f>L5=F5</f>
        <v/>
      </c>
      <c r="V5" s="2">
        <f>IF(N5,EXACT(P5,G5),"")</f>
        <v/>
      </c>
      <c r="W5" s="2">
        <f>IF(O5,EXACT(Q5,H5),"")</f>
        <v/>
      </c>
      <c r="X5" s="2">
        <f>J5=C5</f>
        <v/>
      </c>
      <c r="Y5" s="2">
        <f>IF(R5="unknown","",R5=S5)</f>
        <v/>
      </c>
      <c r="Z5" s="2" t="inlineStr">
        <is>
          <t>A</t>
        </is>
      </c>
      <c r="AA5" s="2" t="inlineStr">
        <is>
          <t>A</t>
        </is>
      </c>
      <c r="AB5" s="2">
        <f>AND(N5,O5,A5&lt;&gt;"census-mixed")</f>
        <v/>
      </c>
      <c r="AC5" s="2">
        <f>IF(AB5,Z5=AA5,"")</f>
        <v/>
      </c>
    </row>
    <row r="6">
      <c r="A6" s="2" t="inlineStr">
        <is>
          <t>census</t>
        </is>
      </c>
      <c r="B6" s="2" t="inlineStr">
        <is>
          <t>openssl 3.5.8 default</t>
        </is>
      </c>
      <c r="C6" s="2" t="inlineStr">
        <is>
          <t>skb-eval-8352-c5005</t>
        </is>
      </c>
      <c r="D6" s="2" t="n">
        <v>5005</v>
      </c>
      <c r="E6" s="2" t="n">
        <v>1543</v>
      </c>
      <c r="F6" s="2" t="n">
        <v>771</v>
      </c>
      <c r="G6" s="2" t="inlineStr">
        <is>
          <t>1302 1303 1301 c02c c030 009f cca9 cca8 ccaa c02b c02f 009e c024 c028 006b c023 c027 0067 c00a c014 0039 c009 c013 0033 009d 009c 003d 003c 0035 002f</t>
        </is>
      </c>
      <c r="H6" s="2" t="inlineStr">
        <is>
          <t>0304 0303</t>
        </is>
      </c>
      <c r="I6" s="2" t="n">
        <v>1</v>
      </c>
      <c r="J6" s="2" t="inlineStr">
        <is>
          <t>skb-eval-8352-c5005</t>
        </is>
      </c>
      <c r="K6" s="2" t="n">
        <v>1543</v>
      </c>
      <c r="L6" s="2" t="n">
        <v>771</v>
      </c>
      <c r="M6" s="2" t="n">
        <v>1443</v>
      </c>
      <c r="N6" s="2" t="b">
        <v>1</v>
      </c>
      <c r="O6" s="2" t="b">
        <v>1</v>
      </c>
      <c r="P6" s="2" t="inlineStr">
        <is>
          <t>1302 1303 1301 c02c c030 009f cca9 cca8 ccaa c02b c02f 009e c024 c028 006b c023 c027 0067 c00a c014 0039 c009 c013 0033 009d 009c 003d 003c 0035 002f</t>
        </is>
      </c>
      <c r="Q6" s="2" t="inlineStr">
        <is>
          <t>0304 0303</t>
        </is>
      </c>
      <c r="R6" s="2" t="inlineStr">
        <is>
          <t>violation</t>
        </is>
      </c>
      <c r="S6" s="2" t="inlineStr">
        <is>
          <t>violation</t>
        </is>
      </c>
      <c r="T6" s="2">
        <f>K6=E6</f>
        <v/>
      </c>
      <c r="U6" s="2">
        <f>L6=F6</f>
        <v/>
      </c>
      <c r="V6" s="2">
        <f>IF(N6,EXACT(P6,G6),"")</f>
        <v/>
      </c>
      <c r="W6" s="2">
        <f>IF(O6,EXACT(Q6,H6),"")</f>
        <v/>
      </c>
      <c r="X6" s="2">
        <f>J6=C6</f>
        <v/>
      </c>
      <c r="Y6" s="2">
        <f>IF(R6="unknown","",R6=S6)</f>
        <v/>
      </c>
      <c r="Z6" s="2" t="inlineStr">
        <is>
          <t>A</t>
        </is>
      </c>
      <c r="AA6" s="2" t="inlineStr">
        <is>
          <t>A</t>
        </is>
      </c>
      <c r="AB6" s="2">
        <f>AND(N6,O6,A6&lt;&gt;"census-mixed")</f>
        <v/>
      </c>
      <c r="AC6" s="2">
        <f>IF(AB6,Z6=AA6,"")</f>
        <v/>
      </c>
    </row>
    <row r="7">
      <c r="A7" s="2" t="inlineStr">
        <is>
          <t>census</t>
        </is>
      </c>
      <c r="B7" s="2" t="inlineStr">
        <is>
          <t>openssl 3.5.8 default</t>
        </is>
      </c>
      <c r="C7" s="2" t="inlineStr">
        <is>
          <t>skb-eval-8352-c5006</t>
        </is>
      </c>
      <c r="D7" s="2" t="n">
        <v>5006</v>
      </c>
      <c r="E7" s="2" t="n">
        <v>1543</v>
      </c>
      <c r="F7" s="2" t="n">
        <v>771</v>
      </c>
      <c r="G7" s="2" t="inlineStr">
        <is>
          <t>1302 1303 1301 c02c c030 009f cca9 cca8 ccaa c02b c02f 009e c024 c028 006b c023 c027 0067 c00a c014 0039 c009 c013 0033 009d 009c 003d 003c 0035 002f</t>
        </is>
      </c>
      <c r="H7" s="2" t="inlineStr">
        <is>
          <t>0304 0303</t>
        </is>
      </c>
      <c r="I7" s="2" t="n">
        <v>1</v>
      </c>
      <c r="J7" s="2" t="inlineStr">
        <is>
          <t>skb-eval-8352-c5006</t>
        </is>
      </c>
      <c r="K7" s="2" t="n">
        <v>1543</v>
      </c>
      <c r="L7" s="2" t="n">
        <v>771</v>
      </c>
      <c r="M7" s="2" t="n">
        <v>1443</v>
      </c>
      <c r="N7" s="2" t="b">
        <v>1</v>
      </c>
      <c r="O7" s="2" t="b">
        <v>1</v>
      </c>
      <c r="P7" s="2" t="inlineStr">
        <is>
          <t>1302 1303 1301 c02c c030 009f cca9 cca8 ccaa c02b c02f 009e c024 c028 006b c023 c027 0067 c00a c014 0039 c009 c013 0033 009d 009c 003d 003c 0035 002f</t>
        </is>
      </c>
      <c r="Q7" s="2" t="inlineStr">
        <is>
          <t>0304 0303</t>
        </is>
      </c>
      <c r="R7" s="2" t="inlineStr">
        <is>
          <t>violation</t>
        </is>
      </c>
      <c r="S7" s="2" t="inlineStr">
        <is>
          <t>violation</t>
        </is>
      </c>
      <c r="T7" s="2">
        <f>K7=E7</f>
        <v/>
      </c>
      <c r="U7" s="2">
        <f>L7=F7</f>
        <v/>
      </c>
      <c r="V7" s="2">
        <f>IF(N7,EXACT(P7,G7),"")</f>
        <v/>
      </c>
      <c r="W7" s="2">
        <f>IF(O7,EXACT(Q7,H7),"")</f>
        <v/>
      </c>
      <c r="X7" s="2">
        <f>J7=C7</f>
        <v/>
      </c>
      <c r="Y7" s="2">
        <f>IF(R7="unknown","",R7=S7)</f>
        <v/>
      </c>
      <c r="Z7" s="2" t="inlineStr">
        <is>
          <t>A</t>
        </is>
      </c>
      <c r="AA7" s="2" t="inlineStr">
        <is>
          <t>A</t>
        </is>
      </c>
      <c r="AB7" s="2">
        <f>AND(N7,O7,A7&lt;&gt;"census-mixed")</f>
        <v/>
      </c>
      <c r="AC7" s="2">
        <f>IF(AB7,Z7=AA7,"")</f>
        <v/>
      </c>
    </row>
    <row r="8">
      <c r="A8" s="2" t="inlineStr">
        <is>
          <t>census</t>
        </is>
      </c>
      <c r="B8" s="2" t="inlineStr">
        <is>
          <t>openssl 3.5.8 default</t>
        </is>
      </c>
      <c r="C8" s="2" t="inlineStr">
        <is>
          <t>skb-eval-8352-c5007</t>
        </is>
      </c>
      <c r="D8" s="2" t="n">
        <v>5007</v>
      </c>
      <c r="E8" s="2" t="n">
        <v>1543</v>
      </c>
      <c r="F8" s="2" t="n">
        <v>771</v>
      </c>
      <c r="G8" s="2" t="inlineStr">
        <is>
          <t>1302 1303 1301 c02c c030 009f cca9 cca8 ccaa c02b c02f 009e c024 c028 006b c023 c027 0067 c00a c014 0039 c009 c013 0033 009d 009c 003d 003c 0035 002f</t>
        </is>
      </c>
      <c r="H8" s="2" t="inlineStr">
        <is>
          <t>0304 0303</t>
        </is>
      </c>
      <c r="I8" s="2" t="n">
        <v>1</v>
      </c>
      <c r="J8" s="2" t="inlineStr">
        <is>
          <t>skb-eval-8352-c5007</t>
        </is>
      </c>
      <c r="K8" s="2" t="n">
        <v>1543</v>
      </c>
      <c r="L8" s="2" t="n">
        <v>771</v>
      </c>
      <c r="M8" s="2" t="n">
        <v>1443</v>
      </c>
      <c r="N8" s="2" t="b">
        <v>1</v>
      </c>
      <c r="O8" s="2" t="b">
        <v>1</v>
      </c>
      <c r="P8" s="2" t="inlineStr">
        <is>
          <t>1302 1303 1301 c02c c030 009f cca9 cca8 ccaa c02b c02f 009e c024 c028 006b c023 c027 0067 c00a c014 0039 c009 c013 0033 009d 009c 003d 003c 0035 002f</t>
        </is>
      </c>
      <c r="Q8" s="2" t="inlineStr">
        <is>
          <t>0304 0303</t>
        </is>
      </c>
      <c r="R8" s="2" t="inlineStr">
        <is>
          <t>violation</t>
        </is>
      </c>
      <c r="S8" s="2" t="inlineStr">
        <is>
          <t>violation</t>
        </is>
      </c>
      <c r="T8" s="2">
        <f>K8=E8</f>
        <v/>
      </c>
      <c r="U8" s="2">
        <f>L8=F8</f>
        <v/>
      </c>
      <c r="V8" s="2">
        <f>IF(N8,EXACT(P8,G8),"")</f>
        <v/>
      </c>
      <c r="W8" s="2">
        <f>IF(O8,EXACT(Q8,H8),"")</f>
        <v/>
      </c>
      <c r="X8" s="2">
        <f>J8=C8</f>
        <v/>
      </c>
      <c r="Y8" s="2">
        <f>IF(R8="unknown","",R8=S8)</f>
        <v/>
      </c>
      <c r="Z8" s="2" t="inlineStr">
        <is>
          <t>A</t>
        </is>
      </c>
      <c r="AA8" s="2" t="inlineStr">
        <is>
          <t>A</t>
        </is>
      </c>
      <c r="AB8" s="2">
        <f>AND(N8,O8,A8&lt;&gt;"census-mixed")</f>
        <v/>
      </c>
      <c r="AC8" s="2">
        <f>IF(AB8,Z8=AA8,"")</f>
        <v/>
      </c>
    </row>
    <row r="9">
      <c r="A9" s="2" t="inlineStr">
        <is>
          <t>census</t>
        </is>
      </c>
      <c r="B9" s="2" t="inlineStr">
        <is>
          <t>openssl 3.5.8 default</t>
        </is>
      </c>
      <c r="C9" s="2" t="inlineStr">
        <is>
          <t>skb-eval-8352-c5008</t>
        </is>
      </c>
      <c r="D9" s="2" t="n">
        <v>5008</v>
      </c>
      <c r="E9" s="2" t="n">
        <v>1543</v>
      </c>
      <c r="F9" s="2" t="n">
        <v>771</v>
      </c>
      <c r="G9" s="2" t="inlineStr">
        <is>
          <t>1302 1303 1301 c02c c030 009f cca9 cca8 ccaa c02b c02f 009e c024 c028 006b c023 c027 0067 c00a c014 0039 c009 c013 0033 009d 009c 003d 003c 0035 002f</t>
        </is>
      </c>
      <c r="H9" s="2" t="inlineStr">
        <is>
          <t>0304 0303</t>
        </is>
      </c>
      <c r="I9" s="2" t="n">
        <v>1</v>
      </c>
      <c r="J9" s="2" t="inlineStr">
        <is>
          <t>skb-eval-8352-c5008</t>
        </is>
      </c>
      <c r="K9" s="2" t="n">
        <v>1543</v>
      </c>
      <c r="L9" s="2" t="n">
        <v>771</v>
      </c>
      <c r="M9" s="2" t="n">
        <v>1443</v>
      </c>
      <c r="N9" s="2" t="b">
        <v>1</v>
      </c>
      <c r="O9" s="2" t="b">
        <v>1</v>
      </c>
      <c r="P9" s="2" t="inlineStr">
        <is>
          <t>1302 1303 1301 c02c c030 009f cca9 cca8 ccaa c02b c02f 009e c024 c028 006b c023 c027 0067 c00a c014 0039 c009 c013 0033 009d 009c 003d 003c 0035 002f</t>
        </is>
      </c>
      <c r="Q9" s="2" t="inlineStr">
        <is>
          <t>0304 0303</t>
        </is>
      </c>
      <c r="R9" s="2" t="inlineStr">
        <is>
          <t>violation</t>
        </is>
      </c>
      <c r="S9" s="2" t="inlineStr">
        <is>
          <t>violation</t>
        </is>
      </c>
      <c r="T9" s="2">
        <f>K9=E9</f>
        <v/>
      </c>
      <c r="U9" s="2">
        <f>L9=F9</f>
        <v/>
      </c>
      <c r="V9" s="2">
        <f>IF(N9,EXACT(P9,G9),"")</f>
        <v/>
      </c>
      <c r="W9" s="2">
        <f>IF(O9,EXACT(Q9,H9),"")</f>
        <v/>
      </c>
      <c r="X9" s="2">
        <f>J9=C9</f>
        <v/>
      </c>
      <c r="Y9" s="2">
        <f>IF(R9="unknown","",R9=S9)</f>
        <v/>
      </c>
      <c r="Z9" s="2" t="inlineStr">
        <is>
          <t>A</t>
        </is>
      </c>
      <c r="AA9" s="2" t="inlineStr">
        <is>
          <t>A</t>
        </is>
      </c>
      <c r="AB9" s="2">
        <f>AND(N9,O9,A9&lt;&gt;"census-mixed")</f>
        <v/>
      </c>
      <c r="AC9" s="2">
        <f>IF(AB9,Z9=AA9,"")</f>
        <v/>
      </c>
    </row>
    <row r="10">
      <c r="A10" s="2" t="inlineStr">
        <is>
          <t>census</t>
        </is>
      </c>
      <c r="B10" s="2" t="inlineStr">
        <is>
          <t>openssl 3.5.8 default</t>
        </is>
      </c>
      <c r="C10" s="2" t="inlineStr">
        <is>
          <t>skb-eval-8352-c5009</t>
        </is>
      </c>
      <c r="D10" s="2" t="n">
        <v>5009</v>
      </c>
      <c r="E10" s="2" t="n">
        <v>1543</v>
      </c>
      <c r="F10" s="2" t="n">
        <v>771</v>
      </c>
      <c r="G10" s="2" t="inlineStr">
        <is>
          <t>1302 1303 1301 c02c c030 009f cca9 cca8 ccaa c02b c02f 009e c024 c028 006b c023 c027 0067 c00a c014 0039 c009 c013 0033 009d 009c 003d 003c 0035 002f</t>
        </is>
      </c>
      <c r="H10" s="2" t="inlineStr">
        <is>
          <t>0304 0303</t>
        </is>
      </c>
      <c r="I10" s="2" t="n">
        <v>1</v>
      </c>
      <c r="J10" s="2" t="inlineStr">
        <is>
          <t>skb-eval-8352-c5009</t>
        </is>
      </c>
      <c r="K10" s="2" t="n">
        <v>1543</v>
      </c>
      <c r="L10" s="2" t="n">
        <v>771</v>
      </c>
      <c r="M10" s="2" t="n">
        <v>1443</v>
      </c>
      <c r="N10" s="2" t="b">
        <v>1</v>
      </c>
      <c r="O10" s="2" t="b">
        <v>1</v>
      </c>
      <c r="P10" s="2" t="inlineStr">
        <is>
          <t>1302 1303 1301 c02c c030 009f cca9 cca8 ccaa c02b c02f 009e c024 c028 006b c023 c027 0067 c00a c014 0039 c009 c013 0033 009d 009c 003d 003c 0035 002f</t>
        </is>
      </c>
      <c r="Q10" s="2" t="inlineStr">
        <is>
          <t>0304 0303</t>
        </is>
      </c>
      <c r="R10" s="2" t="inlineStr">
        <is>
          <t>violation</t>
        </is>
      </c>
      <c r="S10" s="2" t="inlineStr">
        <is>
          <t>violation</t>
        </is>
      </c>
      <c r="T10" s="2">
        <f>K10=E10</f>
        <v/>
      </c>
      <c r="U10" s="2">
        <f>L10=F10</f>
        <v/>
      </c>
      <c r="V10" s="2">
        <f>IF(N10,EXACT(P10,G10),"")</f>
        <v/>
      </c>
      <c r="W10" s="2">
        <f>IF(O10,EXACT(Q10,H10),"")</f>
        <v/>
      </c>
      <c r="X10" s="2">
        <f>J10=C10</f>
        <v/>
      </c>
      <c r="Y10" s="2">
        <f>IF(R10="unknown","",R10=S10)</f>
        <v/>
      </c>
      <c r="Z10" s="2" t="inlineStr">
        <is>
          <t>A</t>
        </is>
      </c>
      <c r="AA10" s="2" t="inlineStr">
        <is>
          <t>A</t>
        </is>
      </c>
      <c r="AB10" s="2">
        <f>AND(N10,O10,A10&lt;&gt;"census-mixed")</f>
        <v/>
      </c>
      <c r="AC10" s="2">
        <f>IF(AB10,Z10=AA10,"")</f>
        <v/>
      </c>
    </row>
    <row r="11">
      <c r="A11" s="2" t="inlineStr">
        <is>
          <t>census</t>
        </is>
      </c>
      <c r="B11" s="2" t="inlineStr">
        <is>
          <t>openssl 3.5.8 default</t>
        </is>
      </c>
      <c r="C11" s="2" t="inlineStr">
        <is>
          <t>skb-eval-8352-c5010</t>
        </is>
      </c>
      <c r="D11" s="2" t="n">
        <v>5010</v>
      </c>
      <c r="E11" s="2" t="n">
        <v>1543</v>
      </c>
      <c r="F11" s="2" t="n">
        <v>771</v>
      </c>
      <c r="G11" s="2" t="inlineStr">
        <is>
          <t>1302 1303 1301 c02c c030 009f cca9 cca8 ccaa c02b c02f 009e c024 c028 006b c023 c027 0067 c00a c014 0039 c009 c013 0033 009d 009c 003d 003c 0035 002f</t>
        </is>
      </c>
      <c r="H11" s="2" t="inlineStr">
        <is>
          <t>0304 0303</t>
        </is>
      </c>
      <c r="I11" s="2" t="n">
        <v>1</v>
      </c>
      <c r="J11" s="2" t="inlineStr">
        <is>
          <t>skb-eval-8352-c5010</t>
        </is>
      </c>
      <c r="K11" s="2" t="n">
        <v>1543</v>
      </c>
      <c r="L11" s="2" t="n">
        <v>771</v>
      </c>
      <c r="M11" s="2" t="n">
        <v>1443</v>
      </c>
      <c r="N11" s="2" t="b">
        <v>1</v>
      </c>
      <c r="O11" s="2" t="b">
        <v>1</v>
      </c>
      <c r="P11" s="2" t="inlineStr">
        <is>
          <t>1302 1303 1301 c02c c030 009f cca9 cca8 ccaa c02b c02f 009e c024 c028 006b c023 c027 0067 c00a c014 0039 c009 c013 0033 009d 009c 003d 003c 0035 002f</t>
        </is>
      </c>
      <c r="Q11" s="2" t="inlineStr">
        <is>
          <t>0304 0303</t>
        </is>
      </c>
      <c r="R11" s="2" t="inlineStr">
        <is>
          <t>violation</t>
        </is>
      </c>
      <c r="S11" s="2" t="inlineStr">
        <is>
          <t>violation</t>
        </is>
      </c>
      <c r="T11" s="2">
        <f>K11=E11</f>
        <v/>
      </c>
      <c r="U11" s="2">
        <f>L11=F11</f>
        <v/>
      </c>
      <c r="V11" s="2">
        <f>IF(N11,EXACT(P11,G11),"")</f>
        <v/>
      </c>
      <c r="W11" s="2">
        <f>IF(O11,EXACT(Q11,H11),"")</f>
        <v/>
      </c>
      <c r="X11" s="2">
        <f>J11=C11</f>
        <v/>
      </c>
      <c r="Y11" s="2">
        <f>IF(R11="unknown","",R11=S11)</f>
        <v/>
      </c>
      <c r="Z11" s="2" t="inlineStr">
        <is>
          <t>A</t>
        </is>
      </c>
      <c r="AA11" s="2" t="inlineStr">
        <is>
          <t>A</t>
        </is>
      </c>
      <c r="AB11" s="2">
        <f>AND(N11,O11,A11&lt;&gt;"census-mixed")</f>
        <v/>
      </c>
      <c r="AC11" s="2">
        <f>IF(AB11,Z11=AA11,"")</f>
        <v/>
      </c>
    </row>
    <row r="12">
      <c r="A12" s="2" t="inlineStr">
        <is>
          <t>census</t>
        </is>
      </c>
      <c r="B12" s="2" t="inlineStr">
        <is>
          <t>openssl X25519 only (classical)</t>
        </is>
      </c>
      <c r="C12" s="2" t="inlineStr">
        <is>
          <t>skb-eval-8352-c5011</t>
        </is>
      </c>
      <c r="D12" s="2" t="n">
        <v>5011</v>
      </c>
      <c r="E12" s="2" t="n">
        <v>309</v>
      </c>
      <c r="F12" s="2" t="n">
        <v>771</v>
      </c>
      <c r="G12" s="2" t="inlineStr">
        <is>
          <t>1302 1303 1301 c02c c030 009f cca9 cca8 ccaa c02b c02f 009e c024 c028 006b c023 c027 0067 c00a c014 0039 c009 c013 0033 009d 009c 003d 003c 0035 002f</t>
        </is>
      </c>
      <c r="H12" s="2" t="inlineStr">
        <is>
          <t>0304 0303</t>
        </is>
      </c>
      <c r="I12" s="2" t="n">
        <v>1</v>
      </c>
      <c r="J12" s="2" t="inlineStr">
        <is>
          <t>skb-eval-8352-c5011</t>
        </is>
      </c>
      <c r="K12" s="2" t="n">
        <v>309</v>
      </c>
      <c r="L12" s="2" t="n">
        <v>771</v>
      </c>
      <c r="M12" s="2" t="n">
        <v>309</v>
      </c>
      <c r="N12" s="2" t="b">
        <v>1</v>
      </c>
      <c r="O12" s="2" t="b">
        <v>1</v>
      </c>
      <c r="P12" s="2" t="inlineStr">
        <is>
          <t>1302 1303 1301 c02c c030 009f cca9 cca8 ccaa c02b c02f 009e c024 c028 006b c023 c027 0067 c00a c014 0039 c009 c013 0033 009d 009c 003d 003c 0035 002f</t>
        </is>
      </c>
      <c r="Q12" s="2" t="inlineStr">
        <is>
          <t>0304 0303</t>
        </is>
      </c>
      <c r="R12" s="2" t="inlineStr">
        <is>
          <t>violation</t>
        </is>
      </c>
      <c r="S12" s="2" t="inlineStr">
        <is>
          <t>violation</t>
        </is>
      </c>
      <c r="T12" s="2">
        <f>K12=E12</f>
        <v/>
      </c>
      <c r="U12" s="2">
        <f>L12=F12</f>
        <v/>
      </c>
      <c r="V12" s="2">
        <f>IF(N12,EXACT(P12,G12),"")</f>
        <v/>
      </c>
      <c r="W12" s="2">
        <f>IF(O12,EXACT(Q12,H12),"")</f>
        <v/>
      </c>
      <c r="X12" s="2">
        <f>J12=C12</f>
        <v/>
      </c>
      <c r="Y12" s="2">
        <f>IF(R12="unknown","",R12=S12)</f>
        <v/>
      </c>
      <c r="Z12" s="2" t="inlineStr">
        <is>
          <t>A</t>
        </is>
      </c>
      <c r="AA12" s="2" t="inlineStr">
        <is>
          <t>A</t>
        </is>
      </c>
      <c r="AB12" s="2">
        <f>AND(N12,O12,A12&lt;&gt;"census-mixed")</f>
        <v/>
      </c>
      <c r="AC12" s="2">
        <f>IF(AB12,Z12=AA12,"")</f>
        <v/>
      </c>
    </row>
    <row r="13">
      <c r="A13" s="2" t="inlineStr">
        <is>
          <t>census</t>
        </is>
      </c>
      <c r="B13" s="2" t="inlineStr">
        <is>
          <t>openssl X25519 only (classical)</t>
        </is>
      </c>
      <c r="C13" s="2" t="inlineStr">
        <is>
          <t>skb-eval-8352-c5012</t>
        </is>
      </c>
      <c r="D13" s="2" t="n">
        <v>5012</v>
      </c>
      <c r="E13" s="2" t="n">
        <v>309</v>
      </c>
      <c r="F13" s="2" t="n">
        <v>771</v>
      </c>
      <c r="G13" s="2" t="inlineStr">
        <is>
          <t>1302 1303 1301 c02c c030 009f cca9 cca8 ccaa c02b c02f 009e c024 c028 006b c023 c027 0067 c00a c014 0039 c009 c013 0033 009d 009c 003d 003c 0035 002f</t>
        </is>
      </c>
      <c r="H13" s="2" t="inlineStr">
        <is>
          <t>0304 0303</t>
        </is>
      </c>
      <c r="I13" s="2" t="n">
        <v>1</v>
      </c>
      <c r="J13" s="2" t="inlineStr">
        <is>
          <t>skb-eval-8352-c5012</t>
        </is>
      </c>
      <c r="K13" s="2" t="n">
        <v>309</v>
      </c>
      <c r="L13" s="2" t="n">
        <v>771</v>
      </c>
      <c r="M13" s="2" t="n">
        <v>309</v>
      </c>
      <c r="N13" s="2" t="b">
        <v>1</v>
      </c>
      <c r="O13" s="2" t="b">
        <v>1</v>
      </c>
      <c r="P13" s="2" t="inlineStr">
        <is>
          <t>1302 1303 1301 c02c c030 009f cca9 cca8 ccaa c02b c02f 009e c024 c028 006b c023 c027 0067 c00a c014 0039 c009 c013 0033 009d 009c 003d 003c 0035 002f</t>
        </is>
      </c>
      <c r="Q13" s="2" t="inlineStr">
        <is>
          <t>0304 0303</t>
        </is>
      </c>
      <c r="R13" s="2" t="inlineStr">
        <is>
          <t>violation</t>
        </is>
      </c>
      <c r="S13" s="2" t="inlineStr">
        <is>
          <t>violation</t>
        </is>
      </c>
      <c r="T13" s="2">
        <f>K13=E13</f>
        <v/>
      </c>
      <c r="U13" s="2">
        <f>L13=F13</f>
        <v/>
      </c>
      <c r="V13" s="2">
        <f>IF(N13,EXACT(P13,G13),"")</f>
        <v/>
      </c>
      <c r="W13" s="2">
        <f>IF(O13,EXACT(Q13,H13),"")</f>
        <v/>
      </c>
      <c r="X13" s="2">
        <f>J13=C13</f>
        <v/>
      </c>
      <c r="Y13" s="2">
        <f>IF(R13="unknown","",R13=S13)</f>
        <v/>
      </c>
      <c r="Z13" s="2" t="inlineStr">
        <is>
          <t>A</t>
        </is>
      </c>
      <c r="AA13" s="2" t="inlineStr">
        <is>
          <t>A</t>
        </is>
      </c>
      <c r="AB13" s="2">
        <f>AND(N13,O13,A13&lt;&gt;"census-mixed")</f>
        <v/>
      </c>
      <c r="AC13" s="2">
        <f>IF(AB13,Z13=AA13,"")</f>
        <v/>
      </c>
    </row>
    <row r="14">
      <c r="A14" s="2" t="inlineStr">
        <is>
          <t>census</t>
        </is>
      </c>
      <c r="B14" s="2" t="inlineStr">
        <is>
          <t>openssl X25519 only (classical)</t>
        </is>
      </c>
      <c r="C14" s="2" t="inlineStr">
        <is>
          <t>skb-eval-8352-c5013</t>
        </is>
      </c>
      <c r="D14" s="2" t="n">
        <v>5013</v>
      </c>
      <c r="E14" s="2" t="n">
        <v>309</v>
      </c>
      <c r="F14" s="2" t="n">
        <v>771</v>
      </c>
      <c r="G14" s="2" t="inlineStr">
        <is>
          <t>1302 1303 1301 c02c c030 009f cca9 cca8 ccaa c02b c02f 009e c024 c028 006b c023 c027 0067 c00a c014 0039 c009 c013 0033 009d 009c 003d 003c 0035 002f</t>
        </is>
      </c>
      <c r="H14" s="2" t="inlineStr">
        <is>
          <t>0304 0303</t>
        </is>
      </c>
      <c r="I14" s="2" t="n">
        <v>1</v>
      </c>
      <c r="J14" s="2" t="inlineStr">
        <is>
          <t>skb-eval-8352-c5013</t>
        </is>
      </c>
      <c r="K14" s="2" t="n">
        <v>309</v>
      </c>
      <c r="L14" s="2" t="n">
        <v>771</v>
      </c>
      <c r="M14" s="2" t="n">
        <v>309</v>
      </c>
      <c r="N14" s="2" t="b">
        <v>1</v>
      </c>
      <c r="O14" s="2" t="b">
        <v>1</v>
      </c>
      <c r="P14" s="2" t="inlineStr">
        <is>
          <t>1302 1303 1301 c02c c030 009f cca9 cca8 ccaa c02b c02f 009e c024 c028 006b c023 c027 0067 c00a c014 0039 c009 c013 0033 009d 009c 003d 003c 0035 002f</t>
        </is>
      </c>
      <c r="Q14" s="2" t="inlineStr">
        <is>
          <t>0304 0303</t>
        </is>
      </c>
      <c r="R14" s="2" t="inlineStr">
        <is>
          <t>violation</t>
        </is>
      </c>
      <c r="S14" s="2" t="inlineStr">
        <is>
          <t>violation</t>
        </is>
      </c>
      <c r="T14" s="2">
        <f>K14=E14</f>
        <v/>
      </c>
      <c r="U14" s="2">
        <f>L14=F14</f>
        <v/>
      </c>
      <c r="V14" s="2">
        <f>IF(N14,EXACT(P14,G14),"")</f>
        <v/>
      </c>
      <c r="W14" s="2">
        <f>IF(O14,EXACT(Q14,H14),"")</f>
        <v/>
      </c>
      <c r="X14" s="2">
        <f>J14=C14</f>
        <v/>
      </c>
      <c r="Y14" s="2">
        <f>IF(R14="unknown","",R14=S14)</f>
        <v/>
      </c>
      <c r="Z14" s="2" t="inlineStr">
        <is>
          <t>A</t>
        </is>
      </c>
      <c r="AA14" s="2" t="inlineStr">
        <is>
          <t>A</t>
        </is>
      </c>
      <c r="AB14" s="2">
        <f>AND(N14,O14,A14&lt;&gt;"census-mixed")</f>
        <v/>
      </c>
      <c r="AC14" s="2">
        <f>IF(AB14,Z14=AA14,"")</f>
        <v/>
      </c>
    </row>
    <row r="15">
      <c r="A15" s="2" t="inlineStr">
        <is>
          <t>census</t>
        </is>
      </c>
      <c r="B15" s="2" t="inlineStr">
        <is>
          <t>openssl X25519 only (classical)</t>
        </is>
      </c>
      <c r="C15" s="2" t="inlineStr">
        <is>
          <t>skb-eval-8352-c5014</t>
        </is>
      </c>
      <c r="D15" s="2" t="n">
        <v>5014</v>
      </c>
      <c r="E15" s="2" t="n">
        <v>309</v>
      </c>
      <c r="F15" s="2" t="n">
        <v>771</v>
      </c>
      <c r="G15" s="2" t="inlineStr">
        <is>
          <t>1302 1303 1301 c02c c030 009f cca9 cca8 ccaa c02b c02f 009e c024 c028 006b c023 c027 0067 c00a c014 0039 c009 c013 0033 009d 009c 003d 003c 0035 002f</t>
        </is>
      </c>
      <c r="H15" s="2" t="inlineStr">
        <is>
          <t>0304 0303</t>
        </is>
      </c>
      <c r="I15" s="2" t="n">
        <v>1</v>
      </c>
      <c r="J15" s="2" t="inlineStr">
        <is>
          <t>skb-eval-8352-c5014</t>
        </is>
      </c>
      <c r="K15" s="2" t="n">
        <v>309</v>
      </c>
      <c r="L15" s="2" t="n">
        <v>771</v>
      </c>
      <c r="M15" s="2" t="n">
        <v>309</v>
      </c>
      <c r="N15" s="2" t="b">
        <v>1</v>
      </c>
      <c r="O15" s="2" t="b">
        <v>1</v>
      </c>
      <c r="P15" s="2" t="inlineStr">
        <is>
          <t>1302 1303 1301 c02c c030 009f cca9 cca8 ccaa c02b c02f 009e c024 c028 006b c023 c027 0067 c00a c014 0039 c009 c013 0033 009d 009c 003d 003c 0035 002f</t>
        </is>
      </c>
      <c r="Q15" s="2" t="inlineStr">
        <is>
          <t>0304 0303</t>
        </is>
      </c>
      <c r="R15" s="2" t="inlineStr">
        <is>
          <t>violation</t>
        </is>
      </c>
      <c r="S15" s="2" t="inlineStr">
        <is>
          <t>violation</t>
        </is>
      </c>
      <c r="T15" s="2">
        <f>K15=E15</f>
        <v/>
      </c>
      <c r="U15" s="2">
        <f>L15=F15</f>
        <v/>
      </c>
      <c r="V15" s="2">
        <f>IF(N15,EXACT(P15,G15),"")</f>
        <v/>
      </c>
      <c r="W15" s="2">
        <f>IF(O15,EXACT(Q15,H15),"")</f>
        <v/>
      </c>
      <c r="X15" s="2">
        <f>J15=C15</f>
        <v/>
      </c>
      <c r="Y15" s="2">
        <f>IF(R15="unknown","",R15=S15)</f>
        <v/>
      </c>
      <c r="Z15" s="2" t="inlineStr">
        <is>
          <t>A</t>
        </is>
      </c>
      <c r="AA15" s="2" t="inlineStr">
        <is>
          <t>A</t>
        </is>
      </c>
      <c r="AB15" s="2">
        <f>AND(N15,O15,A15&lt;&gt;"census-mixed")</f>
        <v/>
      </c>
      <c r="AC15" s="2">
        <f>IF(AB15,Z15=AA15,"")</f>
        <v/>
      </c>
    </row>
    <row r="16">
      <c r="A16" s="2" t="inlineStr">
        <is>
          <t>census</t>
        </is>
      </c>
      <c r="B16" s="2" t="inlineStr">
        <is>
          <t>openssl X25519 only (classical)</t>
        </is>
      </c>
      <c r="C16" s="2" t="inlineStr">
        <is>
          <t>skb-eval-8352-c5015</t>
        </is>
      </c>
      <c r="D16" s="2" t="n">
        <v>5015</v>
      </c>
      <c r="E16" s="2" t="n">
        <v>309</v>
      </c>
      <c r="F16" s="2" t="n">
        <v>771</v>
      </c>
      <c r="G16" s="2" t="inlineStr">
        <is>
          <t>1302 1303 1301 c02c c030 009f cca9 cca8 ccaa c02b c02f 009e c024 c028 006b c023 c027 0067 c00a c014 0039 c009 c013 0033 009d 009c 003d 003c 0035 002f</t>
        </is>
      </c>
      <c r="H16" s="2" t="inlineStr">
        <is>
          <t>0304 0303</t>
        </is>
      </c>
      <c r="I16" s="2" t="n">
        <v>1</v>
      </c>
      <c r="J16" s="2" t="inlineStr">
        <is>
          <t>skb-eval-8352-c5015</t>
        </is>
      </c>
      <c r="K16" s="2" t="n">
        <v>309</v>
      </c>
      <c r="L16" s="2" t="n">
        <v>771</v>
      </c>
      <c r="M16" s="2" t="n">
        <v>309</v>
      </c>
      <c r="N16" s="2" t="b">
        <v>1</v>
      </c>
      <c r="O16" s="2" t="b">
        <v>1</v>
      </c>
      <c r="P16" s="2" t="inlineStr">
        <is>
          <t>1302 1303 1301 c02c c030 009f cca9 cca8 ccaa c02b c02f 009e c024 c028 006b c023 c027 0067 c00a c014 0039 c009 c013 0033 009d 009c 003d 003c 0035 002f</t>
        </is>
      </c>
      <c r="Q16" s="2" t="inlineStr">
        <is>
          <t>0304 0303</t>
        </is>
      </c>
      <c r="R16" s="2" t="inlineStr">
        <is>
          <t>violation</t>
        </is>
      </c>
      <c r="S16" s="2" t="inlineStr">
        <is>
          <t>violation</t>
        </is>
      </c>
      <c r="T16" s="2">
        <f>K16=E16</f>
        <v/>
      </c>
      <c r="U16" s="2">
        <f>L16=F16</f>
        <v/>
      </c>
      <c r="V16" s="2">
        <f>IF(N16,EXACT(P16,G16),"")</f>
        <v/>
      </c>
      <c r="W16" s="2">
        <f>IF(O16,EXACT(Q16,H16),"")</f>
        <v/>
      </c>
      <c r="X16" s="2">
        <f>J16=C16</f>
        <v/>
      </c>
      <c r="Y16" s="2">
        <f>IF(R16="unknown","",R16=S16)</f>
        <v/>
      </c>
      <c r="Z16" s="2" t="inlineStr">
        <is>
          <t>A</t>
        </is>
      </c>
      <c r="AA16" s="2" t="inlineStr">
        <is>
          <t>A</t>
        </is>
      </c>
      <c r="AB16" s="2">
        <f>AND(N16,O16,A16&lt;&gt;"census-mixed")</f>
        <v/>
      </c>
      <c r="AC16" s="2">
        <f>IF(AB16,Z16=AA16,"")</f>
        <v/>
      </c>
    </row>
    <row r="17">
      <c r="A17" s="2" t="inlineStr">
        <is>
          <t>census</t>
        </is>
      </c>
      <c r="B17" s="2" t="inlineStr">
        <is>
          <t>openssl X25519 only (classical)</t>
        </is>
      </c>
      <c r="C17" s="2" t="inlineStr">
        <is>
          <t>skb-eval-8352-c5016</t>
        </is>
      </c>
      <c r="D17" s="2" t="n">
        <v>5016</v>
      </c>
      <c r="E17" s="2" t="n">
        <v>309</v>
      </c>
      <c r="F17" s="2" t="n">
        <v>771</v>
      </c>
      <c r="G17" s="2" t="inlineStr">
        <is>
          <t>1302 1303 1301 c02c c030 009f cca9 cca8 ccaa c02b c02f 009e c024 c028 006b c023 c027 0067 c00a c014 0039 c009 c013 0033 009d 009c 003d 003c 0035 002f</t>
        </is>
      </c>
      <c r="H17" s="2" t="inlineStr">
        <is>
          <t>0304 0303</t>
        </is>
      </c>
      <c r="I17" s="2" t="n">
        <v>1</v>
      </c>
      <c r="J17" s="2" t="inlineStr">
        <is>
          <t>skb-eval-8352-c5016</t>
        </is>
      </c>
      <c r="K17" s="2" t="n">
        <v>309</v>
      </c>
      <c r="L17" s="2" t="n">
        <v>771</v>
      </c>
      <c r="M17" s="2" t="n">
        <v>309</v>
      </c>
      <c r="N17" s="2" t="b">
        <v>1</v>
      </c>
      <c r="O17" s="2" t="b">
        <v>1</v>
      </c>
      <c r="P17" s="2" t="inlineStr">
        <is>
          <t>1302 1303 1301 c02c c030 009f cca9 cca8 ccaa c02b c02f 009e c024 c028 006b c023 c027 0067 c00a c014 0039 c009 c013 0033 009d 009c 003d 003c 0035 002f</t>
        </is>
      </c>
      <c r="Q17" s="2" t="inlineStr">
        <is>
          <t>0304 0303</t>
        </is>
      </c>
      <c r="R17" s="2" t="inlineStr">
        <is>
          <t>violation</t>
        </is>
      </c>
      <c r="S17" s="2" t="inlineStr">
        <is>
          <t>violation</t>
        </is>
      </c>
      <c r="T17" s="2">
        <f>K17=E17</f>
        <v/>
      </c>
      <c r="U17" s="2">
        <f>L17=F17</f>
        <v/>
      </c>
      <c r="V17" s="2">
        <f>IF(N17,EXACT(P17,G17),"")</f>
        <v/>
      </c>
      <c r="W17" s="2">
        <f>IF(O17,EXACT(Q17,H17),"")</f>
        <v/>
      </c>
      <c r="X17" s="2">
        <f>J17=C17</f>
        <v/>
      </c>
      <c r="Y17" s="2">
        <f>IF(R17="unknown","",R17=S17)</f>
        <v/>
      </c>
      <c r="Z17" s="2" t="inlineStr">
        <is>
          <t>A</t>
        </is>
      </c>
      <c r="AA17" s="2" t="inlineStr">
        <is>
          <t>A</t>
        </is>
      </c>
      <c r="AB17" s="2">
        <f>AND(N17,O17,A17&lt;&gt;"census-mixed")</f>
        <v/>
      </c>
      <c r="AC17" s="2">
        <f>IF(AB17,Z17=AA17,"")</f>
        <v/>
      </c>
    </row>
    <row r="18">
      <c r="A18" s="2" t="inlineStr">
        <is>
          <t>census</t>
        </is>
      </c>
      <c r="B18" s="2" t="inlineStr">
        <is>
          <t>openssl X25519 only (classical)</t>
        </is>
      </c>
      <c r="C18" s="2" t="inlineStr">
        <is>
          <t>skb-eval-8352-c5017</t>
        </is>
      </c>
      <c r="D18" s="2" t="n">
        <v>5017</v>
      </c>
      <c r="E18" s="2" t="n">
        <v>309</v>
      </c>
      <c r="F18" s="2" t="n">
        <v>771</v>
      </c>
      <c r="G18" s="2" t="inlineStr">
        <is>
          <t>1302 1303 1301 c02c c030 009f cca9 cca8 ccaa c02b c02f 009e c024 c028 006b c023 c027 0067 c00a c014 0039 c009 c013 0033 009d 009c 003d 003c 0035 002f</t>
        </is>
      </c>
      <c r="H18" s="2" t="inlineStr">
        <is>
          <t>0304 0303</t>
        </is>
      </c>
      <c r="I18" s="2" t="n">
        <v>1</v>
      </c>
      <c r="J18" s="2" t="inlineStr">
        <is>
          <t>skb-eval-8352-c5017</t>
        </is>
      </c>
      <c r="K18" s="2" t="n">
        <v>309</v>
      </c>
      <c r="L18" s="2" t="n">
        <v>771</v>
      </c>
      <c r="M18" s="2" t="n">
        <v>309</v>
      </c>
      <c r="N18" s="2" t="b">
        <v>1</v>
      </c>
      <c r="O18" s="2" t="b">
        <v>1</v>
      </c>
      <c r="P18" s="2" t="inlineStr">
        <is>
          <t>1302 1303 1301 c02c c030 009f cca9 cca8 ccaa c02b c02f 009e c024 c028 006b c023 c027 0067 c00a c014 0039 c009 c013 0033 009d 009c 003d 003c 0035 002f</t>
        </is>
      </c>
      <c r="Q18" s="2" t="inlineStr">
        <is>
          <t>0304 0303</t>
        </is>
      </c>
      <c r="R18" s="2" t="inlineStr">
        <is>
          <t>violation</t>
        </is>
      </c>
      <c r="S18" s="2" t="inlineStr">
        <is>
          <t>violation</t>
        </is>
      </c>
      <c r="T18" s="2">
        <f>K18=E18</f>
        <v/>
      </c>
      <c r="U18" s="2">
        <f>L18=F18</f>
        <v/>
      </c>
      <c r="V18" s="2">
        <f>IF(N18,EXACT(P18,G18),"")</f>
        <v/>
      </c>
      <c r="W18" s="2">
        <f>IF(O18,EXACT(Q18,H18),"")</f>
        <v/>
      </c>
      <c r="X18" s="2">
        <f>J18=C18</f>
        <v/>
      </c>
      <c r="Y18" s="2">
        <f>IF(R18="unknown","",R18=S18)</f>
        <v/>
      </c>
      <c r="Z18" s="2" t="inlineStr">
        <is>
          <t>A</t>
        </is>
      </c>
      <c r="AA18" s="2" t="inlineStr">
        <is>
          <t>A</t>
        </is>
      </c>
      <c r="AB18" s="2">
        <f>AND(N18,O18,A18&lt;&gt;"census-mixed")</f>
        <v/>
      </c>
      <c r="AC18" s="2">
        <f>IF(AB18,Z18=AA18,"")</f>
        <v/>
      </c>
    </row>
    <row r="19">
      <c r="A19" s="2" t="inlineStr">
        <is>
          <t>census</t>
        </is>
      </c>
      <c r="B19" s="2" t="inlineStr">
        <is>
          <t>openssl X25519 only (classical)</t>
        </is>
      </c>
      <c r="C19" s="2" t="inlineStr">
        <is>
          <t>skb-eval-8352-c5018</t>
        </is>
      </c>
      <c r="D19" s="2" t="n">
        <v>5018</v>
      </c>
      <c r="E19" s="2" t="n">
        <v>309</v>
      </c>
      <c r="F19" s="2" t="n">
        <v>771</v>
      </c>
      <c r="G19" s="2" t="inlineStr">
        <is>
          <t>1302 1303 1301 c02c c030 009f cca9 cca8 ccaa c02b c02f 009e c024 c028 006b c023 c027 0067 c00a c014 0039 c009 c013 0033 009d 009c 003d 003c 0035 002f</t>
        </is>
      </c>
      <c r="H19" s="2" t="inlineStr">
        <is>
          <t>0304 0303</t>
        </is>
      </c>
      <c r="I19" s="2" t="n">
        <v>1</v>
      </c>
      <c r="J19" s="2" t="inlineStr">
        <is>
          <t>skb-eval-8352-c5018</t>
        </is>
      </c>
      <c r="K19" s="2" t="n">
        <v>309</v>
      </c>
      <c r="L19" s="2" t="n">
        <v>771</v>
      </c>
      <c r="M19" s="2" t="n">
        <v>309</v>
      </c>
      <c r="N19" s="2" t="b">
        <v>1</v>
      </c>
      <c r="O19" s="2" t="b">
        <v>1</v>
      </c>
      <c r="P19" s="2" t="inlineStr">
        <is>
          <t>1302 1303 1301 c02c c030 009f cca9 cca8 ccaa c02b c02f 009e c024 c028 006b c023 c027 0067 c00a c014 0039 c009 c013 0033 009d 009c 003d 003c 0035 002f</t>
        </is>
      </c>
      <c r="Q19" s="2" t="inlineStr">
        <is>
          <t>0304 0303</t>
        </is>
      </c>
      <c r="R19" s="2" t="inlineStr">
        <is>
          <t>violation</t>
        </is>
      </c>
      <c r="S19" s="2" t="inlineStr">
        <is>
          <t>violation</t>
        </is>
      </c>
      <c r="T19" s="2">
        <f>K19=E19</f>
        <v/>
      </c>
      <c r="U19" s="2">
        <f>L19=F19</f>
        <v/>
      </c>
      <c r="V19" s="2">
        <f>IF(N19,EXACT(P19,G19),"")</f>
        <v/>
      </c>
      <c r="W19" s="2">
        <f>IF(O19,EXACT(Q19,H19),"")</f>
        <v/>
      </c>
      <c r="X19" s="2">
        <f>J19=C19</f>
        <v/>
      </c>
      <c r="Y19" s="2">
        <f>IF(R19="unknown","",R19=S19)</f>
        <v/>
      </c>
      <c r="Z19" s="2" t="inlineStr">
        <is>
          <t>A</t>
        </is>
      </c>
      <c r="AA19" s="2" t="inlineStr">
        <is>
          <t>A</t>
        </is>
      </c>
      <c r="AB19" s="2">
        <f>AND(N19,O19,A19&lt;&gt;"census-mixed")</f>
        <v/>
      </c>
      <c r="AC19" s="2">
        <f>IF(AB19,Z19=AA19,"")</f>
        <v/>
      </c>
    </row>
    <row r="20">
      <c r="A20" s="2" t="inlineStr">
        <is>
          <t>census</t>
        </is>
      </c>
      <c r="B20" s="2" t="inlineStr">
        <is>
          <t>openssl X25519 only (classical)</t>
        </is>
      </c>
      <c r="C20" s="2" t="inlineStr">
        <is>
          <t>skb-eval-8352-c5019</t>
        </is>
      </c>
      <c r="D20" s="2" t="n">
        <v>5019</v>
      </c>
      <c r="E20" s="2" t="n">
        <v>309</v>
      </c>
      <c r="F20" s="2" t="n">
        <v>771</v>
      </c>
      <c r="G20" s="2" t="inlineStr">
        <is>
          <t>1302 1303 1301 c02c c030 009f cca9 cca8 ccaa c02b c02f 009e c024 c028 006b c023 c027 0067 c00a c014 0039 c009 c013 0033 009d 009c 003d 003c 0035 002f</t>
        </is>
      </c>
      <c r="H20" s="2" t="inlineStr">
        <is>
          <t>0304 0303</t>
        </is>
      </c>
      <c r="I20" s="2" t="n">
        <v>1</v>
      </c>
      <c r="J20" s="2" t="inlineStr">
        <is>
          <t>skb-eval-8352-c5019</t>
        </is>
      </c>
      <c r="K20" s="2" t="n">
        <v>309</v>
      </c>
      <c r="L20" s="2" t="n">
        <v>771</v>
      </c>
      <c r="M20" s="2" t="n">
        <v>309</v>
      </c>
      <c r="N20" s="2" t="b">
        <v>1</v>
      </c>
      <c r="O20" s="2" t="b">
        <v>1</v>
      </c>
      <c r="P20" s="2" t="inlineStr">
        <is>
          <t>1302 1303 1301 c02c c030 009f cca9 cca8 ccaa c02b c02f 009e c024 c028 006b c023 c027 0067 c00a c014 0039 c009 c013 0033 009d 009c 003d 003c 0035 002f</t>
        </is>
      </c>
      <c r="Q20" s="2" t="inlineStr">
        <is>
          <t>0304 0303</t>
        </is>
      </c>
      <c r="R20" s="2" t="inlineStr">
        <is>
          <t>violation</t>
        </is>
      </c>
      <c r="S20" s="2" t="inlineStr">
        <is>
          <t>violation</t>
        </is>
      </c>
      <c r="T20" s="2">
        <f>K20=E20</f>
        <v/>
      </c>
      <c r="U20" s="2">
        <f>L20=F20</f>
        <v/>
      </c>
      <c r="V20" s="2">
        <f>IF(N20,EXACT(P20,G20),"")</f>
        <v/>
      </c>
      <c r="W20" s="2">
        <f>IF(O20,EXACT(Q20,H20),"")</f>
        <v/>
      </c>
      <c r="X20" s="2">
        <f>J20=C20</f>
        <v/>
      </c>
      <c r="Y20" s="2">
        <f>IF(R20="unknown","",R20=S20)</f>
        <v/>
      </c>
      <c r="Z20" s="2" t="inlineStr">
        <is>
          <t>A</t>
        </is>
      </c>
      <c r="AA20" s="2" t="inlineStr">
        <is>
          <t>A</t>
        </is>
      </c>
      <c r="AB20" s="2">
        <f>AND(N20,O20,A20&lt;&gt;"census-mixed")</f>
        <v/>
      </c>
      <c r="AC20" s="2">
        <f>IF(AB20,Z20=AA20,"")</f>
        <v/>
      </c>
    </row>
    <row r="21">
      <c r="A21" s="2" t="inlineStr">
        <is>
          <t>census</t>
        </is>
      </c>
      <c r="B21" s="2" t="inlineStr">
        <is>
          <t>openssl X25519 only (classical)</t>
        </is>
      </c>
      <c r="C21" s="2" t="inlineStr">
        <is>
          <t>skb-eval-8352-c5020</t>
        </is>
      </c>
      <c r="D21" s="2" t="n">
        <v>5020</v>
      </c>
      <c r="E21" s="2" t="n">
        <v>309</v>
      </c>
      <c r="F21" s="2" t="n">
        <v>771</v>
      </c>
      <c r="G21" s="2" t="inlineStr">
        <is>
          <t>1302 1303 1301 c02c c030 009f cca9 cca8 ccaa c02b c02f 009e c024 c028 006b c023 c027 0067 c00a c014 0039 c009 c013 0033 009d 009c 003d 003c 0035 002f</t>
        </is>
      </c>
      <c r="H21" s="2" t="inlineStr">
        <is>
          <t>0304 0303</t>
        </is>
      </c>
      <c r="I21" s="2" t="n">
        <v>1</v>
      </c>
      <c r="J21" s="2" t="inlineStr">
        <is>
          <t>skb-eval-8352-c5020</t>
        </is>
      </c>
      <c r="K21" s="2" t="n">
        <v>309</v>
      </c>
      <c r="L21" s="2" t="n">
        <v>771</v>
      </c>
      <c r="M21" s="2" t="n">
        <v>309</v>
      </c>
      <c r="N21" s="2" t="b">
        <v>1</v>
      </c>
      <c r="O21" s="2" t="b">
        <v>1</v>
      </c>
      <c r="P21" s="2" t="inlineStr">
        <is>
          <t>1302 1303 1301 c02c c030 009f cca9 cca8 ccaa c02b c02f 009e c024 c028 006b c023 c027 0067 c00a c014 0039 c009 c013 0033 009d 009c 003d 003c 0035 002f</t>
        </is>
      </c>
      <c r="Q21" s="2" t="inlineStr">
        <is>
          <t>0304 0303</t>
        </is>
      </c>
      <c r="R21" s="2" t="inlineStr">
        <is>
          <t>violation</t>
        </is>
      </c>
      <c r="S21" s="2" t="inlineStr">
        <is>
          <t>violation</t>
        </is>
      </c>
      <c r="T21" s="2">
        <f>K21=E21</f>
        <v/>
      </c>
      <c r="U21" s="2">
        <f>L21=F21</f>
        <v/>
      </c>
      <c r="V21" s="2">
        <f>IF(N21,EXACT(P21,G21),"")</f>
        <v/>
      </c>
      <c r="W21" s="2">
        <f>IF(O21,EXACT(Q21,H21),"")</f>
        <v/>
      </c>
      <c r="X21" s="2">
        <f>J21=C21</f>
        <v/>
      </c>
      <c r="Y21" s="2">
        <f>IF(R21="unknown","",R21=S21)</f>
        <v/>
      </c>
      <c r="Z21" s="2" t="inlineStr">
        <is>
          <t>A</t>
        </is>
      </c>
      <c r="AA21" s="2" t="inlineStr">
        <is>
          <t>A</t>
        </is>
      </c>
      <c r="AB21" s="2">
        <f>AND(N21,O21,A21&lt;&gt;"census-mixed")</f>
        <v/>
      </c>
      <c r="AC21" s="2">
        <f>IF(AB21,Z21=AA21,"")</f>
        <v/>
      </c>
    </row>
    <row r="22">
      <c r="A22" s="2" t="inlineStr">
        <is>
          <t>census</t>
        </is>
      </c>
      <c r="B22" s="2" t="inlineStr">
        <is>
          <t>openssl secp256r1 only (classical)</t>
        </is>
      </c>
      <c r="C22" s="2" t="inlineStr">
        <is>
          <t>skb-eval-8352-c5021</t>
        </is>
      </c>
      <c r="D22" s="2" t="n">
        <v>5021</v>
      </c>
      <c r="E22" s="2" t="n">
        <v>342</v>
      </c>
      <c r="F22" s="2" t="n">
        <v>771</v>
      </c>
      <c r="G22" s="2" t="inlineStr">
        <is>
          <t>1302 1303 1301 c02c c030 009f cca9 cca8 ccaa c02b c02f 009e c024 c028 006b c023 c027 0067 c00a c014 0039 c009 c013 0033 009d 009c 003d 003c 0035 002f</t>
        </is>
      </c>
      <c r="H22" s="2" t="inlineStr">
        <is>
          <t>0304 0303</t>
        </is>
      </c>
      <c r="I22" s="2" t="n">
        <v>1</v>
      </c>
      <c r="J22" s="2" t="inlineStr">
        <is>
          <t>skb-eval-8352-c5021</t>
        </is>
      </c>
      <c r="K22" s="2" t="n">
        <v>342</v>
      </c>
      <c r="L22" s="2" t="n">
        <v>771</v>
      </c>
      <c r="M22" s="2" t="n">
        <v>342</v>
      </c>
      <c r="N22" s="2" t="b">
        <v>1</v>
      </c>
      <c r="O22" s="2" t="b">
        <v>1</v>
      </c>
      <c r="P22" s="2" t="inlineStr">
        <is>
          <t>1302 1303 1301 c02c c030 009f cca9 cca8 ccaa c02b c02f 009e c024 c028 006b c023 c027 0067 c00a c014 0039 c009 c013 0033 009d 009c 003d 003c 0035 002f</t>
        </is>
      </c>
      <c r="Q22" s="2" t="inlineStr">
        <is>
          <t>0304 0303</t>
        </is>
      </c>
      <c r="R22" s="2" t="inlineStr">
        <is>
          <t>violation</t>
        </is>
      </c>
      <c r="S22" s="2" t="inlineStr">
        <is>
          <t>violation</t>
        </is>
      </c>
      <c r="T22" s="2">
        <f>K22=E22</f>
        <v/>
      </c>
      <c r="U22" s="2">
        <f>L22=F22</f>
        <v/>
      </c>
      <c r="V22" s="2">
        <f>IF(N22,EXACT(P22,G22),"")</f>
        <v/>
      </c>
      <c r="W22" s="2">
        <f>IF(O22,EXACT(Q22,H22),"")</f>
        <v/>
      </c>
      <c r="X22" s="2">
        <f>J22=C22</f>
        <v/>
      </c>
      <c r="Y22" s="2">
        <f>IF(R22="unknown","",R22=S22)</f>
        <v/>
      </c>
      <c r="Z22" s="2" t="inlineStr">
        <is>
          <t>A</t>
        </is>
      </c>
      <c r="AA22" s="2" t="inlineStr">
        <is>
          <t>A</t>
        </is>
      </c>
      <c r="AB22" s="2">
        <f>AND(N22,O22,A22&lt;&gt;"census-mixed")</f>
        <v/>
      </c>
      <c r="AC22" s="2">
        <f>IF(AB22,Z22=AA22,"")</f>
        <v/>
      </c>
    </row>
    <row r="23">
      <c r="A23" s="2" t="inlineStr">
        <is>
          <t>census</t>
        </is>
      </c>
      <c r="B23" s="2" t="inlineStr">
        <is>
          <t>openssl secp256r1 only (classical)</t>
        </is>
      </c>
      <c r="C23" s="2" t="inlineStr">
        <is>
          <t>skb-eval-8352-c5022</t>
        </is>
      </c>
      <c r="D23" s="2" t="n">
        <v>5022</v>
      </c>
      <c r="E23" s="2" t="n">
        <v>342</v>
      </c>
      <c r="F23" s="2" t="n">
        <v>771</v>
      </c>
      <c r="G23" s="2" t="inlineStr">
        <is>
          <t>1302 1303 1301 c02c c030 009f cca9 cca8 ccaa c02b c02f 009e c024 c028 006b c023 c027 0067 c00a c014 0039 c009 c013 0033 009d 009c 003d 003c 0035 002f</t>
        </is>
      </c>
      <c r="H23" s="2" t="inlineStr">
        <is>
          <t>0304 0303</t>
        </is>
      </c>
      <c r="I23" s="2" t="n">
        <v>1</v>
      </c>
      <c r="J23" s="2" t="inlineStr">
        <is>
          <t>skb-eval-8352-c5022</t>
        </is>
      </c>
      <c r="K23" s="2" t="n">
        <v>342</v>
      </c>
      <c r="L23" s="2" t="n">
        <v>771</v>
      </c>
      <c r="M23" s="2" t="n">
        <v>342</v>
      </c>
      <c r="N23" s="2" t="b">
        <v>1</v>
      </c>
      <c r="O23" s="2" t="b">
        <v>1</v>
      </c>
      <c r="P23" s="2" t="inlineStr">
        <is>
          <t>1302 1303 1301 c02c c030 009f cca9 cca8 ccaa c02b c02f 009e c024 c028 006b c023 c027 0067 c00a c014 0039 c009 c013 0033 009d 009c 003d 003c 0035 002f</t>
        </is>
      </c>
      <c r="Q23" s="2" t="inlineStr">
        <is>
          <t>0304 0303</t>
        </is>
      </c>
      <c r="R23" s="2" t="inlineStr">
        <is>
          <t>violation</t>
        </is>
      </c>
      <c r="S23" s="2" t="inlineStr">
        <is>
          <t>violation</t>
        </is>
      </c>
      <c r="T23" s="2">
        <f>K23=E23</f>
        <v/>
      </c>
      <c r="U23" s="2">
        <f>L23=F23</f>
        <v/>
      </c>
      <c r="V23" s="2">
        <f>IF(N23,EXACT(P23,G23),"")</f>
        <v/>
      </c>
      <c r="W23" s="2">
        <f>IF(O23,EXACT(Q23,H23),"")</f>
        <v/>
      </c>
      <c r="X23" s="2">
        <f>J23=C23</f>
        <v/>
      </c>
      <c r="Y23" s="2">
        <f>IF(R23="unknown","",R23=S23)</f>
        <v/>
      </c>
      <c r="Z23" s="2" t="inlineStr">
        <is>
          <t>A</t>
        </is>
      </c>
      <c r="AA23" s="2" t="inlineStr">
        <is>
          <t>A</t>
        </is>
      </c>
      <c r="AB23" s="2">
        <f>AND(N23,O23,A23&lt;&gt;"census-mixed")</f>
        <v/>
      </c>
      <c r="AC23" s="2">
        <f>IF(AB23,Z23=AA23,"")</f>
        <v/>
      </c>
    </row>
    <row r="24">
      <c r="A24" s="2" t="inlineStr">
        <is>
          <t>census</t>
        </is>
      </c>
      <c r="B24" s="2" t="inlineStr">
        <is>
          <t>openssl secp256r1 only (classical)</t>
        </is>
      </c>
      <c r="C24" s="2" t="inlineStr">
        <is>
          <t>skb-eval-8352-c5023</t>
        </is>
      </c>
      <c r="D24" s="2" t="n">
        <v>5023</v>
      </c>
      <c r="E24" s="2" t="n">
        <v>342</v>
      </c>
      <c r="F24" s="2" t="n">
        <v>771</v>
      </c>
      <c r="G24" s="2" t="inlineStr">
        <is>
          <t>1302 1303 1301 c02c c030 009f cca9 cca8 ccaa c02b c02f 009e c024 c028 006b c023 c027 0067 c00a c014 0039 c009 c013 0033 009d 009c 003d 003c 0035 002f</t>
        </is>
      </c>
      <c r="H24" s="2" t="inlineStr">
        <is>
          <t>0304 0303</t>
        </is>
      </c>
      <c r="I24" s="2" t="n">
        <v>1</v>
      </c>
      <c r="J24" s="2" t="inlineStr">
        <is>
          <t>skb-eval-8352-c5023</t>
        </is>
      </c>
      <c r="K24" s="2" t="n">
        <v>342</v>
      </c>
      <c r="L24" s="2" t="n">
        <v>771</v>
      </c>
      <c r="M24" s="2" t="n">
        <v>342</v>
      </c>
      <c r="N24" s="2" t="b">
        <v>1</v>
      </c>
      <c r="O24" s="2" t="b">
        <v>1</v>
      </c>
      <c r="P24" s="2" t="inlineStr">
        <is>
          <t>1302 1303 1301 c02c c030 009f cca9 cca8 ccaa c02b c02f 009e c024 c028 006b c023 c027 0067 c00a c014 0039 c009 c013 0033 009d 009c 003d 003c 0035 002f</t>
        </is>
      </c>
      <c r="Q24" s="2" t="inlineStr">
        <is>
          <t>0304 0303</t>
        </is>
      </c>
      <c r="R24" s="2" t="inlineStr">
        <is>
          <t>violation</t>
        </is>
      </c>
      <c r="S24" s="2" t="inlineStr">
        <is>
          <t>violation</t>
        </is>
      </c>
      <c r="T24" s="2">
        <f>K24=E24</f>
        <v/>
      </c>
      <c r="U24" s="2">
        <f>L24=F24</f>
        <v/>
      </c>
      <c r="V24" s="2">
        <f>IF(N24,EXACT(P24,G24),"")</f>
        <v/>
      </c>
      <c r="W24" s="2">
        <f>IF(O24,EXACT(Q24,H24),"")</f>
        <v/>
      </c>
      <c r="X24" s="2">
        <f>J24=C24</f>
        <v/>
      </c>
      <c r="Y24" s="2">
        <f>IF(R24="unknown","",R24=S24)</f>
        <v/>
      </c>
      <c r="Z24" s="2" t="inlineStr">
        <is>
          <t>A</t>
        </is>
      </c>
      <c r="AA24" s="2" t="inlineStr">
        <is>
          <t>A</t>
        </is>
      </c>
      <c r="AB24" s="2">
        <f>AND(N24,O24,A24&lt;&gt;"census-mixed")</f>
        <v/>
      </c>
      <c r="AC24" s="2">
        <f>IF(AB24,Z24=AA24,"")</f>
        <v/>
      </c>
    </row>
    <row r="25">
      <c r="A25" s="2" t="inlineStr">
        <is>
          <t>census</t>
        </is>
      </c>
      <c r="B25" s="2" t="inlineStr">
        <is>
          <t>openssl secp256r1 only (classical)</t>
        </is>
      </c>
      <c r="C25" s="2" t="inlineStr">
        <is>
          <t>skb-eval-8352-c5024</t>
        </is>
      </c>
      <c r="D25" s="2" t="n">
        <v>5024</v>
      </c>
      <c r="E25" s="2" t="n">
        <v>342</v>
      </c>
      <c r="F25" s="2" t="n">
        <v>771</v>
      </c>
      <c r="G25" s="2" t="inlineStr">
        <is>
          <t>1302 1303 1301 c02c c030 009f cca9 cca8 ccaa c02b c02f 009e c024 c028 006b c023 c027 0067 c00a c014 0039 c009 c013 0033 009d 009c 003d 003c 0035 002f</t>
        </is>
      </c>
      <c r="H25" s="2" t="inlineStr">
        <is>
          <t>0304 0303</t>
        </is>
      </c>
      <c r="I25" s="2" t="n">
        <v>1</v>
      </c>
      <c r="J25" s="2" t="inlineStr">
        <is>
          <t>skb-eval-8352-c5024</t>
        </is>
      </c>
      <c r="K25" s="2" t="n">
        <v>342</v>
      </c>
      <c r="L25" s="2" t="n">
        <v>771</v>
      </c>
      <c r="M25" s="2" t="n">
        <v>342</v>
      </c>
      <c r="N25" s="2" t="b">
        <v>1</v>
      </c>
      <c r="O25" s="2" t="b">
        <v>1</v>
      </c>
      <c r="P25" s="2" t="inlineStr">
        <is>
          <t>1302 1303 1301 c02c c030 009f cca9 cca8 ccaa c02b c02f 009e c024 c028 006b c023 c027 0067 c00a c014 0039 c009 c013 0033 009d 009c 003d 003c 0035 002f</t>
        </is>
      </c>
      <c r="Q25" s="2" t="inlineStr">
        <is>
          <t>0304 0303</t>
        </is>
      </c>
      <c r="R25" s="2" t="inlineStr">
        <is>
          <t>violation</t>
        </is>
      </c>
      <c r="S25" s="2" t="inlineStr">
        <is>
          <t>violation</t>
        </is>
      </c>
      <c r="T25" s="2">
        <f>K25=E25</f>
        <v/>
      </c>
      <c r="U25" s="2">
        <f>L25=F25</f>
        <v/>
      </c>
      <c r="V25" s="2">
        <f>IF(N25,EXACT(P25,G25),"")</f>
        <v/>
      </c>
      <c r="W25" s="2">
        <f>IF(O25,EXACT(Q25,H25),"")</f>
        <v/>
      </c>
      <c r="X25" s="2">
        <f>J25=C25</f>
        <v/>
      </c>
      <c r="Y25" s="2">
        <f>IF(R25="unknown","",R25=S25)</f>
        <v/>
      </c>
      <c r="Z25" s="2" t="inlineStr">
        <is>
          <t>A</t>
        </is>
      </c>
      <c r="AA25" s="2" t="inlineStr">
        <is>
          <t>A</t>
        </is>
      </c>
      <c r="AB25" s="2">
        <f>AND(N25,O25,A25&lt;&gt;"census-mixed")</f>
        <v/>
      </c>
      <c r="AC25" s="2">
        <f>IF(AB25,Z25=AA25,"")</f>
        <v/>
      </c>
    </row>
    <row r="26">
      <c r="A26" s="2" t="inlineStr">
        <is>
          <t>census</t>
        </is>
      </c>
      <c r="B26" s="2" t="inlineStr">
        <is>
          <t>openssl secp256r1 only (classical)</t>
        </is>
      </c>
      <c r="C26" s="2" t="inlineStr">
        <is>
          <t>skb-eval-8352-c5025</t>
        </is>
      </c>
      <c r="D26" s="2" t="n">
        <v>5025</v>
      </c>
      <c r="E26" s="2" t="n">
        <v>342</v>
      </c>
      <c r="F26" s="2" t="n">
        <v>771</v>
      </c>
      <c r="G26" s="2" t="inlineStr">
        <is>
          <t>1302 1303 1301 c02c c030 009f cca9 cca8 ccaa c02b c02f 009e c024 c028 006b c023 c027 0067 c00a c014 0039 c009 c013 0033 009d 009c 003d 003c 0035 002f</t>
        </is>
      </c>
      <c r="H26" s="2" t="inlineStr">
        <is>
          <t>0304 0303</t>
        </is>
      </c>
      <c r="I26" s="2" t="n">
        <v>1</v>
      </c>
      <c r="J26" s="2" t="inlineStr">
        <is>
          <t>skb-eval-8352-c5025</t>
        </is>
      </c>
      <c r="K26" s="2" t="n">
        <v>342</v>
      </c>
      <c r="L26" s="2" t="n">
        <v>771</v>
      </c>
      <c r="M26" s="2" t="n">
        <v>342</v>
      </c>
      <c r="N26" s="2" t="b">
        <v>1</v>
      </c>
      <c r="O26" s="2" t="b">
        <v>1</v>
      </c>
      <c r="P26" s="2" t="inlineStr">
        <is>
          <t>1302 1303 1301 c02c c030 009f cca9 cca8 ccaa c02b c02f 009e c024 c028 006b c023 c027 0067 c00a c014 0039 c009 c013 0033 009d 009c 003d 003c 0035 002f</t>
        </is>
      </c>
      <c r="Q26" s="2" t="inlineStr">
        <is>
          <t>0304 0303</t>
        </is>
      </c>
      <c r="R26" s="2" t="inlineStr">
        <is>
          <t>violation</t>
        </is>
      </c>
      <c r="S26" s="2" t="inlineStr">
        <is>
          <t>violation</t>
        </is>
      </c>
      <c r="T26" s="2">
        <f>K26=E26</f>
        <v/>
      </c>
      <c r="U26" s="2">
        <f>L26=F26</f>
        <v/>
      </c>
      <c r="V26" s="2">
        <f>IF(N26,EXACT(P26,G26),"")</f>
        <v/>
      </c>
      <c r="W26" s="2">
        <f>IF(O26,EXACT(Q26,H26),"")</f>
        <v/>
      </c>
      <c r="X26" s="2">
        <f>J26=C26</f>
        <v/>
      </c>
      <c r="Y26" s="2">
        <f>IF(R26="unknown","",R26=S26)</f>
        <v/>
      </c>
      <c r="Z26" s="2" t="inlineStr">
        <is>
          <t>A</t>
        </is>
      </c>
      <c r="AA26" s="2" t="inlineStr">
        <is>
          <t>A</t>
        </is>
      </c>
      <c r="AB26" s="2">
        <f>AND(N26,O26,A26&lt;&gt;"census-mixed")</f>
        <v/>
      </c>
      <c r="AC26" s="2">
        <f>IF(AB26,Z26=AA26,"")</f>
        <v/>
      </c>
    </row>
    <row r="27">
      <c r="A27" s="2" t="inlineStr">
        <is>
          <t>census</t>
        </is>
      </c>
      <c r="B27" s="2" t="inlineStr">
        <is>
          <t>openssl secp256r1 only (classical)</t>
        </is>
      </c>
      <c r="C27" s="2" t="inlineStr">
        <is>
          <t>skb-eval-8352-c5026</t>
        </is>
      </c>
      <c r="D27" s="2" t="n">
        <v>5026</v>
      </c>
      <c r="E27" s="2" t="n">
        <v>342</v>
      </c>
      <c r="F27" s="2" t="n">
        <v>771</v>
      </c>
      <c r="G27" s="2" t="inlineStr">
        <is>
          <t>1302 1303 1301 c02c c030 009f cca9 cca8 ccaa c02b c02f 009e c024 c028 006b c023 c027 0067 c00a c014 0039 c009 c013 0033 009d 009c 003d 003c 0035 002f</t>
        </is>
      </c>
      <c r="H27" s="2" t="inlineStr">
        <is>
          <t>0304 0303</t>
        </is>
      </c>
      <c r="I27" s="2" t="n">
        <v>1</v>
      </c>
      <c r="J27" s="2" t="inlineStr">
        <is>
          <t>skb-eval-8352-c5026</t>
        </is>
      </c>
      <c r="K27" s="2" t="n">
        <v>342</v>
      </c>
      <c r="L27" s="2" t="n">
        <v>771</v>
      </c>
      <c r="M27" s="2" t="n">
        <v>342</v>
      </c>
      <c r="N27" s="2" t="b">
        <v>1</v>
      </c>
      <c r="O27" s="2" t="b">
        <v>1</v>
      </c>
      <c r="P27" s="2" t="inlineStr">
        <is>
          <t>1302 1303 1301 c02c c030 009f cca9 cca8 ccaa c02b c02f 009e c024 c028 006b c023 c027 0067 c00a c014 0039 c009 c013 0033 009d 009c 003d 003c 0035 002f</t>
        </is>
      </c>
      <c r="Q27" s="2" t="inlineStr">
        <is>
          <t>0304 0303</t>
        </is>
      </c>
      <c r="R27" s="2" t="inlineStr">
        <is>
          <t>violation</t>
        </is>
      </c>
      <c r="S27" s="2" t="inlineStr">
        <is>
          <t>violation</t>
        </is>
      </c>
      <c r="T27" s="2">
        <f>K27=E27</f>
        <v/>
      </c>
      <c r="U27" s="2">
        <f>L27=F27</f>
        <v/>
      </c>
      <c r="V27" s="2">
        <f>IF(N27,EXACT(P27,G27),"")</f>
        <v/>
      </c>
      <c r="W27" s="2">
        <f>IF(O27,EXACT(Q27,H27),"")</f>
        <v/>
      </c>
      <c r="X27" s="2">
        <f>J27=C27</f>
        <v/>
      </c>
      <c r="Y27" s="2">
        <f>IF(R27="unknown","",R27=S27)</f>
        <v/>
      </c>
      <c r="Z27" s="2" t="inlineStr">
        <is>
          <t>A</t>
        </is>
      </c>
      <c r="AA27" s="2" t="inlineStr">
        <is>
          <t>A</t>
        </is>
      </c>
      <c r="AB27" s="2">
        <f>AND(N27,O27,A27&lt;&gt;"census-mixed")</f>
        <v/>
      </c>
      <c r="AC27" s="2">
        <f>IF(AB27,Z27=AA27,"")</f>
        <v/>
      </c>
    </row>
    <row r="28">
      <c r="A28" s="2" t="inlineStr">
        <is>
          <t>census</t>
        </is>
      </c>
      <c r="B28" s="2" t="inlineStr">
        <is>
          <t>openssl secp256r1 only (classical)</t>
        </is>
      </c>
      <c r="C28" s="2" t="inlineStr">
        <is>
          <t>skb-eval-8352-c5027</t>
        </is>
      </c>
      <c r="D28" s="2" t="n">
        <v>5027</v>
      </c>
      <c r="E28" s="2" t="n">
        <v>342</v>
      </c>
      <c r="F28" s="2" t="n">
        <v>771</v>
      </c>
      <c r="G28" s="2" t="inlineStr">
        <is>
          <t>1302 1303 1301 c02c c030 009f cca9 cca8 ccaa c02b c02f 009e c024 c028 006b c023 c027 0067 c00a c014 0039 c009 c013 0033 009d 009c 003d 003c 0035 002f</t>
        </is>
      </c>
      <c r="H28" s="2" t="inlineStr">
        <is>
          <t>0304 0303</t>
        </is>
      </c>
      <c r="I28" s="2" t="n">
        <v>1</v>
      </c>
      <c r="J28" s="2" t="inlineStr">
        <is>
          <t>skb-eval-8352-c5027</t>
        </is>
      </c>
      <c r="K28" s="2" t="n">
        <v>342</v>
      </c>
      <c r="L28" s="2" t="n">
        <v>771</v>
      </c>
      <c r="M28" s="2" t="n">
        <v>342</v>
      </c>
      <c r="N28" s="2" t="b">
        <v>1</v>
      </c>
      <c r="O28" s="2" t="b">
        <v>1</v>
      </c>
      <c r="P28" s="2" t="inlineStr">
        <is>
          <t>1302 1303 1301 c02c c030 009f cca9 cca8 ccaa c02b c02f 009e c024 c028 006b c023 c027 0067 c00a c014 0039 c009 c013 0033 009d 009c 003d 003c 0035 002f</t>
        </is>
      </c>
      <c r="Q28" s="2" t="inlineStr">
        <is>
          <t>0304 0303</t>
        </is>
      </c>
      <c r="R28" s="2" t="inlineStr">
        <is>
          <t>violation</t>
        </is>
      </c>
      <c r="S28" s="2" t="inlineStr">
        <is>
          <t>violation</t>
        </is>
      </c>
      <c r="T28" s="2">
        <f>K28=E28</f>
        <v/>
      </c>
      <c r="U28" s="2">
        <f>L28=F28</f>
        <v/>
      </c>
      <c r="V28" s="2">
        <f>IF(N28,EXACT(P28,G28),"")</f>
        <v/>
      </c>
      <c r="W28" s="2">
        <f>IF(O28,EXACT(Q28,H28),"")</f>
        <v/>
      </c>
      <c r="X28" s="2">
        <f>J28=C28</f>
        <v/>
      </c>
      <c r="Y28" s="2">
        <f>IF(R28="unknown","",R28=S28)</f>
        <v/>
      </c>
      <c r="Z28" s="2" t="inlineStr">
        <is>
          <t>A</t>
        </is>
      </c>
      <c r="AA28" s="2" t="inlineStr">
        <is>
          <t>A</t>
        </is>
      </c>
      <c r="AB28" s="2">
        <f>AND(N28,O28,A28&lt;&gt;"census-mixed")</f>
        <v/>
      </c>
      <c r="AC28" s="2">
        <f>IF(AB28,Z28=AA28,"")</f>
        <v/>
      </c>
    </row>
    <row r="29">
      <c r="A29" s="2" t="inlineStr">
        <is>
          <t>census</t>
        </is>
      </c>
      <c r="B29" s="2" t="inlineStr">
        <is>
          <t>openssl secp256r1 only (classical)</t>
        </is>
      </c>
      <c r="C29" s="2" t="inlineStr">
        <is>
          <t>skb-eval-8352-c5028</t>
        </is>
      </c>
      <c r="D29" s="2" t="n">
        <v>5028</v>
      </c>
      <c r="E29" s="2" t="n">
        <v>342</v>
      </c>
      <c r="F29" s="2" t="n">
        <v>771</v>
      </c>
      <c r="G29" s="2" t="inlineStr">
        <is>
          <t>1302 1303 1301 c02c c030 009f cca9 cca8 ccaa c02b c02f 009e c024 c028 006b c023 c027 0067 c00a c014 0039 c009 c013 0033 009d 009c 003d 003c 0035 002f</t>
        </is>
      </c>
      <c r="H29" s="2" t="inlineStr">
        <is>
          <t>0304 0303</t>
        </is>
      </c>
      <c r="I29" s="2" t="n">
        <v>1</v>
      </c>
      <c r="J29" s="2" t="inlineStr">
        <is>
          <t>skb-eval-8352-c5028</t>
        </is>
      </c>
      <c r="K29" s="2" t="n">
        <v>342</v>
      </c>
      <c r="L29" s="2" t="n">
        <v>771</v>
      </c>
      <c r="M29" s="2" t="n">
        <v>342</v>
      </c>
      <c r="N29" s="2" t="b">
        <v>1</v>
      </c>
      <c r="O29" s="2" t="b">
        <v>1</v>
      </c>
      <c r="P29" s="2" t="inlineStr">
        <is>
          <t>1302 1303 1301 c02c c030 009f cca9 cca8 ccaa c02b c02f 009e c024 c028 006b c023 c027 0067 c00a c014 0039 c009 c013 0033 009d 009c 003d 003c 0035 002f</t>
        </is>
      </c>
      <c r="Q29" s="2" t="inlineStr">
        <is>
          <t>0304 0303</t>
        </is>
      </c>
      <c r="R29" s="2" t="inlineStr">
        <is>
          <t>violation</t>
        </is>
      </c>
      <c r="S29" s="2" t="inlineStr">
        <is>
          <t>violation</t>
        </is>
      </c>
      <c r="T29" s="2">
        <f>K29=E29</f>
        <v/>
      </c>
      <c r="U29" s="2">
        <f>L29=F29</f>
        <v/>
      </c>
      <c r="V29" s="2">
        <f>IF(N29,EXACT(P29,G29),"")</f>
        <v/>
      </c>
      <c r="W29" s="2">
        <f>IF(O29,EXACT(Q29,H29),"")</f>
        <v/>
      </c>
      <c r="X29" s="2">
        <f>J29=C29</f>
        <v/>
      </c>
      <c r="Y29" s="2">
        <f>IF(R29="unknown","",R29=S29)</f>
        <v/>
      </c>
      <c r="Z29" s="2" t="inlineStr">
        <is>
          <t>A</t>
        </is>
      </c>
      <c r="AA29" s="2" t="inlineStr">
        <is>
          <t>A</t>
        </is>
      </c>
      <c r="AB29" s="2">
        <f>AND(N29,O29,A29&lt;&gt;"census-mixed")</f>
        <v/>
      </c>
      <c r="AC29" s="2">
        <f>IF(AB29,Z29=AA29,"")</f>
        <v/>
      </c>
    </row>
    <row r="30">
      <c r="A30" s="2" t="inlineStr">
        <is>
          <t>census</t>
        </is>
      </c>
      <c r="B30" s="2" t="inlineStr">
        <is>
          <t>openssl secp256r1 only (classical)</t>
        </is>
      </c>
      <c r="C30" s="2" t="inlineStr">
        <is>
          <t>skb-eval-8352-c5029</t>
        </is>
      </c>
      <c r="D30" s="2" t="n">
        <v>5029</v>
      </c>
      <c r="E30" s="2" t="n">
        <v>342</v>
      </c>
      <c r="F30" s="2" t="n">
        <v>771</v>
      </c>
      <c r="G30" s="2" t="inlineStr">
        <is>
          <t>1302 1303 1301 c02c c030 009f cca9 cca8 ccaa c02b c02f 009e c024 c028 006b c023 c027 0067 c00a c014 0039 c009 c013 0033 009d 009c 003d 003c 0035 002f</t>
        </is>
      </c>
      <c r="H30" s="2" t="inlineStr">
        <is>
          <t>0304 0303</t>
        </is>
      </c>
      <c r="I30" s="2" t="n">
        <v>1</v>
      </c>
      <c r="J30" s="2" t="inlineStr">
        <is>
          <t>skb-eval-8352-c5029</t>
        </is>
      </c>
      <c r="K30" s="2" t="n">
        <v>342</v>
      </c>
      <c r="L30" s="2" t="n">
        <v>771</v>
      </c>
      <c r="M30" s="2" t="n">
        <v>342</v>
      </c>
      <c r="N30" s="2" t="b">
        <v>1</v>
      </c>
      <c r="O30" s="2" t="b">
        <v>1</v>
      </c>
      <c r="P30" s="2" t="inlineStr">
        <is>
          <t>1302 1303 1301 c02c c030 009f cca9 cca8 ccaa c02b c02f 009e c024 c028 006b c023 c027 0067 c00a c014 0039 c009 c013 0033 009d 009c 003d 003c 0035 002f</t>
        </is>
      </c>
      <c r="Q30" s="2" t="inlineStr">
        <is>
          <t>0304 0303</t>
        </is>
      </c>
      <c r="R30" s="2" t="inlineStr">
        <is>
          <t>violation</t>
        </is>
      </c>
      <c r="S30" s="2" t="inlineStr">
        <is>
          <t>violation</t>
        </is>
      </c>
      <c r="T30" s="2">
        <f>K30=E30</f>
        <v/>
      </c>
      <c r="U30" s="2">
        <f>L30=F30</f>
        <v/>
      </c>
      <c r="V30" s="2">
        <f>IF(N30,EXACT(P30,G30),"")</f>
        <v/>
      </c>
      <c r="W30" s="2">
        <f>IF(O30,EXACT(Q30,H30),"")</f>
        <v/>
      </c>
      <c r="X30" s="2">
        <f>J30=C30</f>
        <v/>
      </c>
      <c r="Y30" s="2">
        <f>IF(R30="unknown","",R30=S30)</f>
        <v/>
      </c>
      <c r="Z30" s="2" t="inlineStr">
        <is>
          <t>A</t>
        </is>
      </c>
      <c r="AA30" s="2" t="inlineStr">
        <is>
          <t>A</t>
        </is>
      </c>
      <c r="AB30" s="2">
        <f>AND(N30,O30,A30&lt;&gt;"census-mixed")</f>
        <v/>
      </c>
      <c r="AC30" s="2">
        <f>IF(AB30,Z30=AA30,"")</f>
        <v/>
      </c>
    </row>
    <row r="31">
      <c r="A31" s="2" t="inlineStr">
        <is>
          <t>census</t>
        </is>
      </c>
      <c r="B31" s="2" t="inlineStr">
        <is>
          <t>openssl secp256r1 only (classical)</t>
        </is>
      </c>
      <c r="C31" s="2" t="inlineStr">
        <is>
          <t>skb-eval-8352-c5030</t>
        </is>
      </c>
      <c r="D31" s="2" t="n">
        <v>5030</v>
      </c>
      <c r="E31" s="2" t="n">
        <v>342</v>
      </c>
      <c r="F31" s="2" t="n">
        <v>771</v>
      </c>
      <c r="G31" s="2" t="inlineStr">
        <is>
          <t>1302 1303 1301 c02c c030 009f cca9 cca8 ccaa c02b c02f 009e c024 c028 006b c023 c027 0067 c00a c014 0039 c009 c013 0033 009d 009c 003d 003c 0035 002f</t>
        </is>
      </c>
      <c r="H31" s="2" t="inlineStr">
        <is>
          <t>0304 0303</t>
        </is>
      </c>
      <c r="I31" s="2" t="n">
        <v>1</v>
      </c>
      <c r="J31" s="2" t="inlineStr">
        <is>
          <t>skb-eval-8352-c5030</t>
        </is>
      </c>
      <c r="K31" s="2" t="n">
        <v>342</v>
      </c>
      <c r="L31" s="2" t="n">
        <v>771</v>
      </c>
      <c r="M31" s="2" t="n">
        <v>342</v>
      </c>
      <c r="N31" s="2" t="b">
        <v>1</v>
      </c>
      <c r="O31" s="2" t="b">
        <v>1</v>
      </c>
      <c r="P31" s="2" t="inlineStr">
        <is>
          <t>1302 1303 1301 c02c c030 009f cca9 cca8 ccaa c02b c02f 009e c024 c028 006b c023 c027 0067 c00a c014 0039 c009 c013 0033 009d 009c 003d 003c 0035 002f</t>
        </is>
      </c>
      <c r="Q31" s="2" t="inlineStr">
        <is>
          <t>0304 0303</t>
        </is>
      </c>
      <c r="R31" s="2" t="inlineStr">
        <is>
          <t>violation</t>
        </is>
      </c>
      <c r="S31" s="2" t="inlineStr">
        <is>
          <t>violation</t>
        </is>
      </c>
      <c r="T31" s="2">
        <f>K31=E31</f>
        <v/>
      </c>
      <c r="U31" s="2">
        <f>L31=F31</f>
        <v/>
      </c>
      <c r="V31" s="2">
        <f>IF(N31,EXACT(P31,G31),"")</f>
        <v/>
      </c>
      <c r="W31" s="2">
        <f>IF(O31,EXACT(Q31,H31),"")</f>
        <v/>
      </c>
      <c r="X31" s="2">
        <f>J31=C31</f>
        <v/>
      </c>
      <c r="Y31" s="2">
        <f>IF(R31="unknown","",R31=S31)</f>
        <v/>
      </c>
      <c r="Z31" s="2" t="inlineStr">
        <is>
          <t>A</t>
        </is>
      </c>
      <c r="AA31" s="2" t="inlineStr">
        <is>
          <t>A</t>
        </is>
      </c>
      <c r="AB31" s="2">
        <f>AND(N31,O31,A31&lt;&gt;"census-mixed")</f>
        <v/>
      </c>
      <c r="AC31" s="2">
        <f>IF(AB31,Z31=AA31,"")</f>
        <v/>
      </c>
    </row>
    <row r="32">
      <c r="A32" s="2" t="inlineStr">
        <is>
          <t>census</t>
        </is>
      </c>
      <c r="B32" s="2" t="inlineStr">
        <is>
          <t>openssl X25519MLKEM768 only</t>
        </is>
      </c>
      <c r="C32" s="2" t="inlineStr">
        <is>
          <t>skb-eval-8352-c5031</t>
        </is>
      </c>
      <c r="D32" s="2" t="n">
        <v>5031</v>
      </c>
      <c r="E32" s="2" t="n">
        <v>1485</v>
      </c>
      <c r="F32" s="2" t="n">
        <v>771</v>
      </c>
      <c r="G32" s="2" t="inlineStr">
        <is>
          <t>1302 1303 1301 c02c c030 009f cca9 cca8 ccaa c02b c02f 009e c024 c028 006b c023 c027 0067 c00a c014 0039 c009 c013 0033 009d 009c 003d 003c 0035 002f</t>
        </is>
      </c>
      <c r="H32" s="2" t="inlineStr">
        <is>
          <t>0304 0303</t>
        </is>
      </c>
      <c r="I32" s="2" t="n">
        <v>1</v>
      </c>
      <c r="J32" s="2" t="inlineStr">
        <is>
          <t>skb-eval-8352-c5031</t>
        </is>
      </c>
      <c r="K32" s="2" t="n">
        <v>1485</v>
      </c>
      <c r="L32" s="2" t="n">
        <v>771</v>
      </c>
      <c r="M32" s="2" t="n">
        <v>1443</v>
      </c>
      <c r="N32" s="2" t="b">
        <v>1</v>
      </c>
      <c r="O32" s="2" t="b">
        <v>1</v>
      </c>
      <c r="P32" s="2" t="inlineStr">
        <is>
          <t>1302 1303 1301 c02c c030 009f cca9 cca8 ccaa c02b c02f 009e c024 c028 006b c023 c027 0067 c00a c014 0039 c009 c013 0033 009d 009c 003d 003c 0035 002f</t>
        </is>
      </c>
      <c r="Q32" s="2" t="inlineStr">
        <is>
          <t>0304 0303</t>
        </is>
      </c>
      <c r="R32" s="2" t="inlineStr">
        <is>
          <t>violation</t>
        </is>
      </c>
      <c r="S32" s="2" t="inlineStr">
        <is>
          <t>violation</t>
        </is>
      </c>
      <c r="T32" s="2">
        <f>K32=E32</f>
        <v/>
      </c>
      <c r="U32" s="2">
        <f>L32=F32</f>
        <v/>
      </c>
      <c r="V32" s="2">
        <f>IF(N32,EXACT(P32,G32),"")</f>
        <v/>
      </c>
      <c r="W32" s="2">
        <f>IF(O32,EXACT(Q32,H32),"")</f>
        <v/>
      </c>
      <c r="X32" s="2">
        <f>J32=C32</f>
        <v/>
      </c>
      <c r="Y32" s="2">
        <f>IF(R32="unknown","",R32=S32)</f>
        <v/>
      </c>
      <c r="Z32" s="2" t="inlineStr">
        <is>
          <t>A</t>
        </is>
      </c>
      <c r="AA32" s="2" t="inlineStr">
        <is>
          <t>A</t>
        </is>
      </c>
      <c r="AB32" s="2">
        <f>AND(N32,O32,A32&lt;&gt;"census-mixed")</f>
        <v/>
      </c>
      <c r="AC32" s="2">
        <f>IF(AB32,Z32=AA32,"")</f>
        <v/>
      </c>
    </row>
    <row r="33">
      <c r="A33" s="2" t="inlineStr">
        <is>
          <t>census</t>
        </is>
      </c>
      <c r="B33" s="2" t="inlineStr">
        <is>
          <t>openssl X25519MLKEM768 only</t>
        </is>
      </c>
      <c r="C33" s="2" t="inlineStr">
        <is>
          <t>skb-eval-8352-c5032</t>
        </is>
      </c>
      <c r="D33" s="2" t="n">
        <v>5032</v>
      </c>
      <c r="E33" s="2" t="n">
        <v>1485</v>
      </c>
      <c r="F33" s="2" t="n">
        <v>771</v>
      </c>
      <c r="G33" s="2" t="inlineStr">
        <is>
          <t>1302 1303 1301 c02c c030 009f cca9 cca8 ccaa c02b c02f 009e c024 c028 006b c023 c027 0067 c00a c014 0039 c009 c013 0033 009d 009c 003d 003c 0035 002f</t>
        </is>
      </c>
      <c r="H33" s="2" t="inlineStr">
        <is>
          <t>0304 0303</t>
        </is>
      </c>
      <c r="I33" s="2" t="n">
        <v>1</v>
      </c>
      <c r="J33" s="2" t="inlineStr">
        <is>
          <t>skb-eval-8352-c5032</t>
        </is>
      </c>
      <c r="K33" s="2" t="n">
        <v>1485</v>
      </c>
      <c r="L33" s="2" t="n">
        <v>771</v>
      </c>
      <c r="M33" s="2" t="n">
        <v>1443</v>
      </c>
      <c r="N33" s="2" t="b">
        <v>1</v>
      </c>
      <c r="O33" s="2" t="b">
        <v>1</v>
      </c>
      <c r="P33" s="2" t="inlineStr">
        <is>
          <t>1302 1303 1301 c02c c030 009f cca9 cca8 ccaa c02b c02f 009e c024 c028 006b c023 c027 0067 c00a c014 0039 c009 c013 0033 009d 009c 003d 003c 0035 002f</t>
        </is>
      </c>
      <c r="Q33" s="2" t="inlineStr">
        <is>
          <t>0304 0303</t>
        </is>
      </c>
      <c r="R33" s="2" t="inlineStr">
        <is>
          <t>violation</t>
        </is>
      </c>
      <c r="S33" s="2" t="inlineStr">
        <is>
          <t>violation</t>
        </is>
      </c>
      <c r="T33" s="2">
        <f>K33=E33</f>
        <v/>
      </c>
      <c r="U33" s="2">
        <f>L33=F33</f>
        <v/>
      </c>
      <c r="V33" s="2">
        <f>IF(N33,EXACT(P33,G33),"")</f>
        <v/>
      </c>
      <c r="W33" s="2">
        <f>IF(O33,EXACT(Q33,H33),"")</f>
        <v/>
      </c>
      <c r="X33" s="2">
        <f>J33=C33</f>
        <v/>
      </c>
      <c r="Y33" s="2">
        <f>IF(R33="unknown","",R33=S33)</f>
        <v/>
      </c>
      <c r="Z33" s="2" t="inlineStr">
        <is>
          <t>A</t>
        </is>
      </c>
      <c r="AA33" s="2" t="inlineStr">
        <is>
          <t>A</t>
        </is>
      </c>
      <c r="AB33" s="2">
        <f>AND(N33,O33,A33&lt;&gt;"census-mixed")</f>
        <v/>
      </c>
      <c r="AC33" s="2">
        <f>IF(AB33,Z33=AA33,"")</f>
        <v/>
      </c>
    </row>
    <row r="34">
      <c r="A34" s="2" t="inlineStr">
        <is>
          <t>census</t>
        </is>
      </c>
      <c r="B34" s="2" t="inlineStr">
        <is>
          <t>openssl X25519MLKEM768 only</t>
        </is>
      </c>
      <c r="C34" s="2" t="inlineStr">
        <is>
          <t>skb-eval-8352-c5033</t>
        </is>
      </c>
      <c r="D34" s="2" t="n">
        <v>5033</v>
      </c>
      <c r="E34" s="2" t="n">
        <v>1485</v>
      </c>
      <c r="F34" s="2" t="n">
        <v>771</v>
      </c>
      <c r="G34" s="2" t="inlineStr">
        <is>
          <t>1302 1303 1301 c02c c030 009f cca9 cca8 ccaa c02b c02f 009e c024 c028 006b c023 c027 0067 c00a c014 0039 c009 c013 0033 009d 009c 003d 003c 0035 002f</t>
        </is>
      </c>
      <c r="H34" s="2" t="inlineStr">
        <is>
          <t>0304 0303</t>
        </is>
      </c>
      <c r="I34" s="2" t="n">
        <v>1</v>
      </c>
      <c r="J34" s="2" t="inlineStr">
        <is>
          <t>skb-eval-8352-c5033</t>
        </is>
      </c>
      <c r="K34" s="2" t="n">
        <v>1485</v>
      </c>
      <c r="L34" s="2" t="n">
        <v>771</v>
      </c>
      <c r="M34" s="2" t="n">
        <v>1443</v>
      </c>
      <c r="N34" s="2" t="b">
        <v>1</v>
      </c>
      <c r="O34" s="2" t="b">
        <v>1</v>
      </c>
      <c r="P34" s="2" t="inlineStr">
        <is>
          <t>1302 1303 1301 c02c c030 009f cca9 cca8 ccaa c02b c02f 009e c024 c028 006b c023 c027 0067 c00a c014 0039 c009 c013 0033 009d 009c 003d 003c 0035 002f</t>
        </is>
      </c>
      <c r="Q34" s="2" t="inlineStr">
        <is>
          <t>0304 0303</t>
        </is>
      </c>
      <c r="R34" s="2" t="inlineStr">
        <is>
          <t>violation</t>
        </is>
      </c>
      <c r="S34" s="2" t="inlineStr">
        <is>
          <t>violation</t>
        </is>
      </c>
      <c r="T34" s="2">
        <f>K34=E34</f>
        <v/>
      </c>
      <c r="U34" s="2">
        <f>L34=F34</f>
        <v/>
      </c>
      <c r="V34" s="2">
        <f>IF(N34,EXACT(P34,G34),"")</f>
        <v/>
      </c>
      <c r="W34" s="2">
        <f>IF(O34,EXACT(Q34,H34),"")</f>
        <v/>
      </c>
      <c r="X34" s="2">
        <f>J34=C34</f>
        <v/>
      </c>
      <c r="Y34" s="2">
        <f>IF(R34="unknown","",R34=S34)</f>
        <v/>
      </c>
      <c r="Z34" s="2" t="inlineStr">
        <is>
          <t>A</t>
        </is>
      </c>
      <c r="AA34" s="2" t="inlineStr">
        <is>
          <t>A</t>
        </is>
      </c>
      <c r="AB34" s="2">
        <f>AND(N34,O34,A34&lt;&gt;"census-mixed")</f>
        <v/>
      </c>
      <c r="AC34" s="2">
        <f>IF(AB34,Z34=AA34,"")</f>
        <v/>
      </c>
    </row>
    <row r="35">
      <c r="A35" s="2" t="inlineStr">
        <is>
          <t>census</t>
        </is>
      </c>
      <c r="B35" s="2" t="inlineStr">
        <is>
          <t>openssl X25519MLKEM768 only</t>
        </is>
      </c>
      <c r="C35" s="2" t="inlineStr">
        <is>
          <t>skb-eval-8352-c5034</t>
        </is>
      </c>
      <c r="D35" s="2" t="n">
        <v>5034</v>
      </c>
      <c r="E35" s="2" t="n">
        <v>1485</v>
      </c>
      <c r="F35" s="2" t="n">
        <v>771</v>
      </c>
      <c r="G35" s="2" t="inlineStr">
        <is>
          <t>1302 1303 1301 c02c c030 009f cca9 cca8 ccaa c02b c02f 009e c024 c028 006b c023 c027 0067 c00a c014 0039 c009 c013 0033 009d 009c 003d 003c 0035 002f</t>
        </is>
      </c>
      <c r="H35" s="2" t="inlineStr">
        <is>
          <t>0304 0303</t>
        </is>
      </c>
      <c r="I35" s="2" t="n">
        <v>1</v>
      </c>
      <c r="J35" s="2" t="inlineStr">
        <is>
          <t>skb-eval-8352-c5034</t>
        </is>
      </c>
      <c r="K35" s="2" t="n">
        <v>1485</v>
      </c>
      <c r="L35" s="2" t="n">
        <v>771</v>
      </c>
      <c r="M35" s="2" t="n">
        <v>1443</v>
      </c>
      <c r="N35" s="2" t="b">
        <v>1</v>
      </c>
      <c r="O35" s="2" t="b">
        <v>1</v>
      </c>
      <c r="P35" s="2" t="inlineStr">
        <is>
          <t>1302 1303 1301 c02c c030 009f cca9 cca8 ccaa c02b c02f 009e c024 c028 006b c023 c027 0067 c00a c014 0039 c009 c013 0033 009d 009c 003d 003c 0035 002f</t>
        </is>
      </c>
      <c r="Q35" s="2" t="inlineStr">
        <is>
          <t>0304 0303</t>
        </is>
      </c>
      <c r="R35" s="2" t="inlineStr">
        <is>
          <t>violation</t>
        </is>
      </c>
      <c r="S35" s="2" t="inlineStr">
        <is>
          <t>violation</t>
        </is>
      </c>
      <c r="T35" s="2">
        <f>K35=E35</f>
        <v/>
      </c>
      <c r="U35" s="2">
        <f>L35=F35</f>
        <v/>
      </c>
      <c r="V35" s="2">
        <f>IF(N35,EXACT(P35,G35),"")</f>
        <v/>
      </c>
      <c r="W35" s="2">
        <f>IF(O35,EXACT(Q35,H35),"")</f>
        <v/>
      </c>
      <c r="X35" s="2">
        <f>J35=C35</f>
        <v/>
      </c>
      <c r="Y35" s="2">
        <f>IF(R35="unknown","",R35=S35)</f>
        <v/>
      </c>
      <c r="Z35" s="2" t="inlineStr">
        <is>
          <t>A</t>
        </is>
      </c>
      <c r="AA35" s="2" t="inlineStr">
        <is>
          <t>A</t>
        </is>
      </c>
      <c r="AB35" s="2">
        <f>AND(N35,O35,A35&lt;&gt;"census-mixed")</f>
        <v/>
      </c>
      <c r="AC35" s="2">
        <f>IF(AB35,Z35=AA35,"")</f>
        <v/>
      </c>
    </row>
    <row r="36">
      <c r="A36" s="2" t="inlineStr">
        <is>
          <t>census</t>
        </is>
      </c>
      <c r="B36" s="2" t="inlineStr">
        <is>
          <t>openssl X25519MLKEM768 only</t>
        </is>
      </c>
      <c r="C36" s="2" t="inlineStr">
        <is>
          <t>skb-eval-8352-c5035</t>
        </is>
      </c>
      <c r="D36" s="2" t="n">
        <v>5035</v>
      </c>
      <c r="E36" s="2" t="n">
        <v>1485</v>
      </c>
      <c r="F36" s="2" t="n">
        <v>771</v>
      </c>
      <c r="G36" s="2" t="inlineStr">
        <is>
          <t>1302 1303 1301 c02c c030 009f cca9 cca8 ccaa c02b c02f 009e c024 c028 006b c023 c027 0067 c00a c014 0039 c009 c013 0033 009d 009c 003d 003c 0035 002f</t>
        </is>
      </c>
      <c r="H36" s="2" t="inlineStr">
        <is>
          <t>0304 0303</t>
        </is>
      </c>
      <c r="I36" s="2" t="n">
        <v>1</v>
      </c>
      <c r="J36" s="2" t="inlineStr">
        <is>
          <t>skb-eval-8352-c5035</t>
        </is>
      </c>
      <c r="K36" s="2" t="n">
        <v>1485</v>
      </c>
      <c r="L36" s="2" t="n">
        <v>771</v>
      </c>
      <c r="M36" s="2" t="n">
        <v>1443</v>
      </c>
      <c r="N36" s="2" t="b">
        <v>1</v>
      </c>
      <c r="O36" s="2" t="b">
        <v>1</v>
      </c>
      <c r="P36" s="2" t="inlineStr">
        <is>
          <t>1302 1303 1301 c02c c030 009f cca9 cca8 ccaa c02b c02f 009e c024 c028 006b c023 c027 0067 c00a c014 0039 c009 c013 0033 009d 009c 003d 003c 0035 002f</t>
        </is>
      </c>
      <c r="Q36" s="2" t="inlineStr">
        <is>
          <t>0304 0303</t>
        </is>
      </c>
      <c r="R36" s="2" t="inlineStr">
        <is>
          <t>violation</t>
        </is>
      </c>
      <c r="S36" s="2" t="inlineStr">
        <is>
          <t>violation</t>
        </is>
      </c>
      <c r="T36" s="2">
        <f>K36=E36</f>
        <v/>
      </c>
      <c r="U36" s="2">
        <f>L36=F36</f>
        <v/>
      </c>
      <c r="V36" s="2">
        <f>IF(N36,EXACT(P36,G36),"")</f>
        <v/>
      </c>
      <c r="W36" s="2">
        <f>IF(O36,EXACT(Q36,H36),"")</f>
        <v/>
      </c>
      <c r="X36" s="2">
        <f>J36=C36</f>
        <v/>
      </c>
      <c r="Y36" s="2">
        <f>IF(R36="unknown","",R36=S36)</f>
        <v/>
      </c>
      <c r="Z36" s="2" t="inlineStr">
        <is>
          <t>A</t>
        </is>
      </c>
      <c r="AA36" s="2" t="inlineStr">
        <is>
          <t>A</t>
        </is>
      </c>
      <c r="AB36" s="2">
        <f>AND(N36,O36,A36&lt;&gt;"census-mixed")</f>
        <v/>
      </c>
      <c r="AC36" s="2">
        <f>IF(AB36,Z36=AA36,"")</f>
        <v/>
      </c>
    </row>
    <row r="37">
      <c r="A37" s="2" t="inlineStr">
        <is>
          <t>census</t>
        </is>
      </c>
      <c r="B37" s="2" t="inlineStr">
        <is>
          <t>openssl X25519MLKEM768 only</t>
        </is>
      </c>
      <c r="C37" s="2" t="inlineStr">
        <is>
          <t>skb-eval-8352-c5036</t>
        </is>
      </c>
      <c r="D37" s="2" t="n">
        <v>5036</v>
      </c>
      <c r="E37" s="2" t="n">
        <v>1485</v>
      </c>
      <c r="F37" s="2" t="n">
        <v>771</v>
      </c>
      <c r="G37" s="2" t="inlineStr">
        <is>
          <t>1302 1303 1301 c02c c030 009f cca9 cca8 ccaa c02b c02f 009e c024 c028 006b c023 c027 0067 c00a c014 0039 c009 c013 0033 009d 009c 003d 003c 0035 002f</t>
        </is>
      </c>
      <c r="H37" s="2" t="inlineStr">
        <is>
          <t>0304 0303</t>
        </is>
      </c>
      <c r="I37" s="2" t="n">
        <v>1</v>
      </c>
      <c r="J37" s="2" t="inlineStr">
        <is>
          <t>skb-eval-8352-c5036</t>
        </is>
      </c>
      <c r="K37" s="2" t="n">
        <v>1485</v>
      </c>
      <c r="L37" s="2" t="n">
        <v>771</v>
      </c>
      <c r="M37" s="2" t="n">
        <v>1443</v>
      </c>
      <c r="N37" s="2" t="b">
        <v>1</v>
      </c>
      <c r="O37" s="2" t="b">
        <v>1</v>
      </c>
      <c r="P37" s="2" t="inlineStr">
        <is>
          <t>1302 1303 1301 c02c c030 009f cca9 cca8 ccaa c02b c02f 009e c024 c028 006b c023 c027 0067 c00a c014 0039 c009 c013 0033 009d 009c 003d 003c 0035 002f</t>
        </is>
      </c>
      <c r="Q37" s="2" t="inlineStr">
        <is>
          <t>0304 0303</t>
        </is>
      </c>
      <c r="R37" s="2" t="inlineStr">
        <is>
          <t>violation</t>
        </is>
      </c>
      <c r="S37" s="2" t="inlineStr">
        <is>
          <t>violation</t>
        </is>
      </c>
      <c r="T37" s="2">
        <f>K37=E37</f>
        <v/>
      </c>
      <c r="U37" s="2">
        <f>L37=F37</f>
        <v/>
      </c>
      <c r="V37" s="2">
        <f>IF(N37,EXACT(P37,G37),"")</f>
        <v/>
      </c>
      <c r="W37" s="2">
        <f>IF(O37,EXACT(Q37,H37),"")</f>
        <v/>
      </c>
      <c r="X37" s="2">
        <f>J37=C37</f>
        <v/>
      </c>
      <c r="Y37" s="2">
        <f>IF(R37="unknown","",R37=S37)</f>
        <v/>
      </c>
      <c r="Z37" s="2" t="inlineStr">
        <is>
          <t>A</t>
        </is>
      </c>
      <c r="AA37" s="2" t="inlineStr">
        <is>
          <t>A</t>
        </is>
      </c>
      <c r="AB37" s="2">
        <f>AND(N37,O37,A37&lt;&gt;"census-mixed")</f>
        <v/>
      </c>
      <c r="AC37" s="2">
        <f>IF(AB37,Z37=AA37,"")</f>
        <v/>
      </c>
    </row>
    <row r="38">
      <c r="A38" s="2" t="inlineStr">
        <is>
          <t>census</t>
        </is>
      </c>
      <c r="B38" s="2" t="inlineStr">
        <is>
          <t>openssl X25519MLKEM768 only</t>
        </is>
      </c>
      <c r="C38" s="2" t="inlineStr">
        <is>
          <t>skb-eval-8352-c5037</t>
        </is>
      </c>
      <c r="D38" s="2" t="n">
        <v>5037</v>
      </c>
      <c r="E38" s="2" t="n">
        <v>1485</v>
      </c>
      <c r="F38" s="2" t="n">
        <v>771</v>
      </c>
      <c r="G38" s="2" t="inlineStr">
        <is>
          <t>1302 1303 1301 c02c c030 009f cca9 cca8 ccaa c02b c02f 009e c024 c028 006b c023 c027 0067 c00a c014 0039 c009 c013 0033 009d 009c 003d 003c 0035 002f</t>
        </is>
      </c>
      <c r="H38" s="2" t="inlineStr">
        <is>
          <t>0304 0303</t>
        </is>
      </c>
      <c r="I38" s="2" t="n">
        <v>1</v>
      </c>
      <c r="J38" s="2" t="inlineStr">
        <is>
          <t>skb-eval-8352-c5037</t>
        </is>
      </c>
      <c r="K38" s="2" t="n">
        <v>1485</v>
      </c>
      <c r="L38" s="2" t="n">
        <v>771</v>
      </c>
      <c r="M38" s="2" t="n">
        <v>1443</v>
      </c>
      <c r="N38" s="2" t="b">
        <v>1</v>
      </c>
      <c r="O38" s="2" t="b">
        <v>1</v>
      </c>
      <c r="P38" s="2" t="inlineStr">
        <is>
          <t>1302 1303 1301 c02c c030 009f cca9 cca8 ccaa c02b c02f 009e c024 c028 006b c023 c027 0067 c00a c014 0039 c009 c013 0033 009d 009c 003d 003c 0035 002f</t>
        </is>
      </c>
      <c r="Q38" s="2" t="inlineStr">
        <is>
          <t>0304 0303</t>
        </is>
      </c>
      <c r="R38" s="2" t="inlineStr">
        <is>
          <t>violation</t>
        </is>
      </c>
      <c r="S38" s="2" t="inlineStr">
        <is>
          <t>violation</t>
        </is>
      </c>
      <c r="T38" s="2">
        <f>K38=E38</f>
        <v/>
      </c>
      <c r="U38" s="2">
        <f>L38=F38</f>
        <v/>
      </c>
      <c r="V38" s="2">
        <f>IF(N38,EXACT(P38,G38),"")</f>
        <v/>
      </c>
      <c r="W38" s="2">
        <f>IF(O38,EXACT(Q38,H38),"")</f>
        <v/>
      </c>
      <c r="X38" s="2">
        <f>J38=C38</f>
        <v/>
      </c>
      <c r="Y38" s="2">
        <f>IF(R38="unknown","",R38=S38)</f>
        <v/>
      </c>
      <c r="Z38" s="2" t="inlineStr">
        <is>
          <t>A</t>
        </is>
      </c>
      <c r="AA38" s="2" t="inlineStr">
        <is>
          <t>A</t>
        </is>
      </c>
      <c r="AB38" s="2">
        <f>AND(N38,O38,A38&lt;&gt;"census-mixed")</f>
        <v/>
      </c>
      <c r="AC38" s="2">
        <f>IF(AB38,Z38=AA38,"")</f>
        <v/>
      </c>
    </row>
    <row r="39">
      <c r="A39" s="2" t="inlineStr">
        <is>
          <t>census</t>
        </is>
      </c>
      <c r="B39" s="2" t="inlineStr">
        <is>
          <t>openssl X25519MLKEM768 only</t>
        </is>
      </c>
      <c r="C39" s="2" t="inlineStr">
        <is>
          <t>skb-eval-8352-c5038</t>
        </is>
      </c>
      <c r="D39" s="2" t="n">
        <v>5038</v>
      </c>
      <c r="E39" s="2" t="n">
        <v>1485</v>
      </c>
      <c r="F39" s="2" t="n">
        <v>771</v>
      </c>
      <c r="G39" s="2" t="inlineStr">
        <is>
          <t>1302 1303 1301 c02c c030 009f cca9 cca8 ccaa c02b c02f 009e c024 c028 006b c023 c027 0067 c00a c014 0039 c009 c013 0033 009d 009c 003d 003c 0035 002f</t>
        </is>
      </c>
      <c r="H39" s="2" t="inlineStr">
        <is>
          <t>0304 0303</t>
        </is>
      </c>
      <c r="I39" s="2" t="n">
        <v>1</v>
      </c>
      <c r="J39" s="2" t="inlineStr">
        <is>
          <t>skb-eval-8352-c5038</t>
        </is>
      </c>
      <c r="K39" s="2" t="n">
        <v>1485</v>
      </c>
      <c r="L39" s="2" t="n">
        <v>771</v>
      </c>
      <c r="M39" s="2" t="n">
        <v>1443</v>
      </c>
      <c r="N39" s="2" t="b">
        <v>1</v>
      </c>
      <c r="O39" s="2" t="b">
        <v>1</v>
      </c>
      <c r="P39" s="2" t="inlineStr">
        <is>
          <t>1302 1303 1301 c02c c030 009f cca9 cca8 ccaa c02b c02f 009e c024 c028 006b c023 c027 0067 c00a c014 0039 c009 c013 0033 009d 009c 003d 003c 0035 002f</t>
        </is>
      </c>
      <c r="Q39" s="2" t="inlineStr">
        <is>
          <t>0304 0303</t>
        </is>
      </c>
      <c r="R39" s="2" t="inlineStr">
        <is>
          <t>violation</t>
        </is>
      </c>
      <c r="S39" s="2" t="inlineStr">
        <is>
          <t>violation</t>
        </is>
      </c>
      <c r="T39" s="2">
        <f>K39=E39</f>
        <v/>
      </c>
      <c r="U39" s="2">
        <f>L39=F39</f>
        <v/>
      </c>
      <c r="V39" s="2">
        <f>IF(N39,EXACT(P39,G39),"")</f>
        <v/>
      </c>
      <c r="W39" s="2">
        <f>IF(O39,EXACT(Q39,H39),"")</f>
        <v/>
      </c>
      <c r="X39" s="2">
        <f>J39=C39</f>
        <v/>
      </c>
      <c r="Y39" s="2">
        <f>IF(R39="unknown","",R39=S39)</f>
        <v/>
      </c>
      <c r="Z39" s="2" t="inlineStr">
        <is>
          <t>A</t>
        </is>
      </c>
      <c r="AA39" s="2" t="inlineStr">
        <is>
          <t>A</t>
        </is>
      </c>
      <c r="AB39" s="2">
        <f>AND(N39,O39,A39&lt;&gt;"census-mixed")</f>
        <v/>
      </c>
      <c r="AC39" s="2">
        <f>IF(AB39,Z39=AA39,"")</f>
        <v/>
      </c>
    </row>
    <row r="40">
      <c r="A40" s="2" t="inlineStr">
        <is>
          <t>census</t>
        </is>
      </c>
      <c r="B40" s="2" t="inlineStr">
        <is>
          <t>openssl X25519MLKEM768 only</t>
        </is>
      </c>
      <c r="C40" s="2" t="inlineStr">
        <is>
          <t>skb-eval-8352-c5039</t>
        </is>
      </c>
      <c r="D40" s="2" t="n">
        <v>5039</v>
      </c>
      <c r="E40" s="2" t="n">
        <v>1485</v>
      </c>
      <c r="F40" s="2" t="n">
        <v>771</v>
      </c>
      <c r="G40" s="2" t="inlineStr">
        <is>
          <t>1302 1303 1301 c02c c030 009f cca9 cca8 ccaa c02b c02f 009e c024 c028 006b c023 c027 0067 c00a c014 0039 c009 c013 0033 009d 009c 003d 003c 0035 002f</t>
        </is>
      </c>
      <c r="H40" s="2" t="inlineStr">
        <is>
          <t>0304 0303</t>
        </is>
      </c>
      <c r="I40" s="2" t="n">
        <v>1</v>
      </c>
      <c r="J40" s="2" t="inlineStr">
        <is>
          <t>skb-eval-8352-c5039</t>
        </is>
      </c>
      <c r="K40" s="2" t="n">
        <v>1485</v>
      </c>
      <c r="L40" s="2" t="n">
        <v>771</v>
      </c>
      <c r="M40" s="2" t="n">
        <v>1443</v>
      </c>
      <c r="N40" s="2" t="b">
        <v>1</v>
      </c>
      <c r="O40" s="2" t="b">
        <v>1</v>
      </c>
      <c r="P40" s="2" t="inlineStr">
        <is>
          <t>1302 1303 1301 c02c c030 009f cca9 cca8 ccaa c02b c02f 009e c024 c028 006b c023 c027 0067 c00a c014 0039 c009 c013 0033 009d 009c 003d 003c 0035 002f</t>
        </is>
      </c>
      <c r="Q40" s="2" t="inlineStr">
        <is>
          <t>0304 0303</t>
        </is>
      </c>
      <c r="R40" s="2" t="inlineStr">
        <is>
          <t>violation</t>
        </is>
      </c>
      <c r="S40" s="2" t="inlineStr">
        <is>
          <t>violation</t>
        </is>
      </c>
      <c r="T40" s="2">
        <f>K40=E40</f>
        <v/>
      </c>
      <c r="U40" s="2">
        <f>L40=F40</f>
        <v/>
      </c>
      <c r="V40" s="2">
        <f>IF(N40,EXACT(P40,G40),"")</f>
        <v/>
      </c>
      <c r="W40" s="2">
        <f>IF(O40,EXACT(Q40,H40),"")</f>
        <v/>
      </c>
      <c r="X40" s="2">
        <f>J40=C40</f>
        <v/>
      </c>
      <c r="Y40" s="2">
        <f>IF(R40="unknown","",R40=S40)</f>
        <v/>
      </c>
      <c r="Z40" s="2" t="inlineStr">
        <is>
          <t>A</t>
        </is>
      </c>
      <c r="AA40" s="2" t="inlineStr">
        <is>
          <t>A</t>
        </is>
      </c>
      <c r="AB40" s="2">
        <f>AND(N40,O40,A40&lt;&gt;"census-mixed")</f>
        <v/>
      </c>
      <c r="AC40" s="2">
        <f>IF(AB40,Z40=AA40,"")</f>
        <v/>
      </c>
    </row>
    <row r="41">
      <c r="A41" s="2" t="inlineStr">
        <is>
          <t>census</t>
        </is>
      </c>
      <c r="B41" s="2" t="inlineStr">
        <is>
          <t>openssl X25519MLKEM768 only</t>
        </is>
      </c>
      <c r="C41" s="2" t="inlineStr">
        <is>
          <t>skb-eval-8352-c5040</t>
        </is>
      </c>
      <c r="D41" s="2" t="n">
        <v>5040</v>
      </c>
      <c r="E41" s="2" t="n">
        <v>1485</v>
      </c>
      <c r="F41" s="2" t="n">
        <v>771</v>
      </c>
      <c r="G41" s="2" t="inlineStr">
        <is>
          <t>1302 1303 1301 c02c c030 009f cca9 cca8 ccaa c02b c02f 009e c024 c028 006b c023 c027 0067 c00a c014 0039 c009 c013 0033 009d 009c 003d 003c 0035 002f</t>
        </is>
      </c>
      <c r="H41" s="2" t="inlineStr">
        <is>
          <t>0304 0303</t>
        </is>
      </c>
      <c r="I41" s="2" t="n">
        <v>1</v>
      </c>
      <c r="J41" s="2" t="inlineStr">
        <is>
          <t>skb-eval-8352-c5040</t>
        </is>
      </c>
      <c r="K41" s="2" t="n">
        <v>1485</v>
      </c>
      <c r="L41" s="2" t="n">
        <v>771</v>
      </c>
      <c r="M41" s="2" t="n">
        <v>1443</v>
      </c>
      <c r="N41" s="2" t="b">
        <v>1</v>
      </c>
      <c r="O41" s="2" t="b">
        <v>1</v>
      </c>
      <c r="P41" s="2" t="inlineStr">
        <is>
          <t>1302 1303 1301 c02c c030 009f cca9 cca8 ccaa c02b c02f 009e c024 c028 006b c023 c027 0067 c00a c014 0039 c009 c013 0033 009d 009c 003d 003c 0035 002f</t>
        </is>
      </c>
      <c r="Q41" s="2" t="inlineStr">
        <is>
          <t>0304 0303</t>
        </is>
      </c>
      <c r="R41" s="2" t="inlineStr">
        <is>
          <t>violation</t>
        </is>
      </c>
      <c r="S41" s="2" t="inlineStr">
        <is>
          <t>violation</t>
        </is>
      </c>
      <c r="T41" s="2">
        <f>K41=E41</f>
        <v/>
      </c>
      <c r="U41" s="2">
        <f>L41=F41</f>
        <v/>
      </c>
      <c r="V41" s="2">
        <f>IF(N41,EXACT(P41,G41),"")</f>
        <v/>
      </c>
      <c r="W41" s="2">
        <f>IF(O41,EXACT(Q41,H41),"")</f>
        <v/>
      </c>
      <c r="X41" s="2">
        <f>J41=C41</f>
        <v/>
      </c>
      <c r="Y41" s="2">
        <f>IF(R41="unknown","",R41=S41)</f>
        <v/>
      </c>
      <c r="Z41" s="2" t="inlineStr">
        <is>
          <t>A</t>
        </is>
      </c>
      <c r="AA41" s="2" t="inlineStr">
        <is>
          <t>A</t>
        </is>
      </c>
      <c r="AB41" s="2">
        <f>AND(N41,O41,A41&lt;&gt;"census-mixed")</f>
        <v/>
      </c>
      <c r="AC41" s="2">
        <f>IF(AB41,Z41=AA41,"")</f>
        <v/>
      </c>
    </row>
    <row r="42">
      <c r="A42" s="2" t="inlineStr">
        <is>
          <t>census</t>
        </is>
      </c>
      <c r="B42" s="2" t="inlineStr">
        <is>
          <t>openssl SecP256r1MLKEM768</t>
        </is>
      </c>
      <c r="C42" s="2" t="inlineStr">
        <is>
          <t>skb-eval-8352-c5041</t>
        </is>
      </c>
      <c r="D42" s="2" t="n">
        <v>5041</v>
      </c>
      <c r="E42" s="2" t="n">
        <v>1518</v>
      </c>
      <c r="F42" s="2" t="n">
        <v>771</v>
      </c>
      <c r="G42" s="2" t="inlineStr">
        <is>
          <t>1302 1303 1301 c02c c030 009f cca9 cca8 ccaa c02b c02f 009e c024 c028 006b c023 c027 0067 c00a c014 0039 c009 c013 0033 009d 009c 003d 003c 0035 002f</t>
        </is>
      </c>
      <c r="H42" s="2" t="inlineStr">
        <is>
          <t>0304 0303</t>
        </is>
      </c>
      <c r="I42" s="2" t="n">
        <v>1</v>
      </c>
      <c r="J42" s="2" t="inlineStr">
        <is>
          <t>skb-eval-8352-c5041</t>
        </is>
      </c>
      <c r="K42" s="2" t="n">
        <v>1518</v>
      </c>
      <c r="L42" s="2" t="n">
        <v>771</v>
      </c>
      <c r="M42" s="2" t="n">
        <v>1443</v>
      </c>
      <c r="N42" s="2" t="b">
        <v>1</v>
      </c>
      <c r="O42" s="2" t="b">
        <v>1</v>
      </c>
      <c r="P42" s="2" t="inlineStr">
        <is>
          <t>1302 1303 1301 c02c c030 009f cca9 cca8 ccaa c02b c02f 009e c024 c028 006b c023 c027 0067 c00a c014 0039 c009 c013 0033 009d 009c 003d 003c 0035 002f</t>
        </is>
      </c>
      <c r="Q42" s="2" t="inlineStr">
        <is>
          <t>0304 0303</t>
        </is>
      </c>
      <c r="R42" s="2" t="inlineStr">
        <is>
          <t>violation</t>
        </is>
      </c>
      <c r="S42" s="2" t="inlineStr">
        <is>
          <t>violation</t>
        </is>
      </c>
      <c r="T42" s="2">
        <f>K42=E42</f>
        <v/>
      </c>
      <c r="U42" s="2">
        <f>L42=F42</f>
        <v/>
      </c>
      <c r="V42" s="2">
        <f>IF(N42,EXACT(P42,G42),"")</f>
        <v/>
      </c>
      <c r="W42" s="2">
        <f>IF(O42,EXACT(Q42,H42),"")</f>
        <v/>
      </c>
      <c r="X42" s="2">
        <f>J42=C42</f>
        <v/>
      </c>
      <c r="Y42" s="2">
        <f>IF(R42="unknown","",R42=S42)</f>
        <v/>
      </c>
      <c r="Z42" s="2" t="inlineStr">
        <is>
          <t>A</t>
        </is>
      </c>
      <c r="AA42" s="2" t="inlineStr">
        <is>
          <t>A</t>
        </is>
      </c>
      <c r="AB42" s="2">
        <f>AND(N42,O42,A42&lt;&gt;"census-mixed")</f>
        <v/>
      </c>
      <c r="AC42" s="2">
        <f>IF(AB42,Z42=AA42,"")</f>
        <v/>
      </c>
    </row>
    <row r="43">
      <c r="A43" s="2" t="inlineStr">
        <is>
          <t>census</t>
        </is>
      </c>
      <c r="B43" s="2" t="inlineStr">
        <is>
          <t>openssl SecP256r1MLKEM768</t>
        </is>
      </c>
      <c r="C43" s="2" t="inlineStr">
        <is>
          <t>skb-eval-8352-c5042</t>
        </is>
      </c>
      <c r="D43" s="2" t="n">
        <v>5042</v>
      </c>
      <c r="E43" s="2" t="n">
        <v>1518</v>
      </c>
      <c r="F43" s="2" t="n">
        <v>771</v>
      </c>
      <c r="G43" s="2" t="inlineStr">
        <is>
          <t>1302 1303 1301 c02c c030 009f cca9 cca8 ccaa c02b c02f 009e c024 c028 006b c023 c027 0067 c00a c014 0039 c009 c013 0033 009d 009c 003d 003c 0035 002f</t>
        </is>
      </c>
      <c r="H43" s="2" t="inlineStr">
        <is>
          <t>0304 0303</t>
        </is>
      </c>
      <c r="I43" s="2" t="n">
        <v>1</v>
      </c>
      <c r="J43" s="2" t="inlineStr">
        <is>
          <t>skb-eval-8352-c5042</t>
        </is>
      </c>
      <c r="K43" s="2" t="n">
        <v>1518</v>
      </c>
      <c r="L43" s="2" t="n">
        <v>771</v>
      </c>
      <c r="M43" s="2" t="n">
        <v>1443</v>
      </c>
      <c r="N43" s="2" t="b">
        <v>1</v>
      </c>
      <c r="O43" s="2" t="b">
        <v>1</v>
      </c>
      <c r="P43" s="2" t="inlineStr">
        <is>
          <t>1302 1303 1301 c02c c030 009f cca9 cca8 ccaa c02b c02f 009e c024 c028 006b c023 c027 0067 c00a c014 0039 c009 c013 0033 009d 009c 003d 003c 0035 002f</t>
        </is>
      </c>
      <c r="Q43" s="2" t="inlineStr">
        <is>
          <t>0304 0303</t>
        </is>
      </c>
      <c r="R43" s="2" t="inlineStr">
        <is>
          <t>violation</t>
        </is>
      </c>
      <c r="S43" s="2" t="inlineStr">
        <is>
          <t>violation</t>
        </is>
      </c>
      <c r="T43" s="2">
        <f>K43=E43</f>
        <v/>
      </c>
      <c r="U43" s="2">
        <f>L43=F43</f>
        <v/>
      </c>
      <c r="V43" s="2">
        <f>IF(N43,EXACT(P43,G43),"")</f>
        <v/>
      </c>
      <c r="W43" s="2">
        <f>IF(O43,EXACT(Q43,H43),"")</f>
        <v/>
      </c>
      <c r="X43" s="2">
        <f>J43=C43</f>
        <v/>
      </c>
      <c r="Y43" s="2">
        <f>IF(R43="unknown","",R43=S43)</f>
        <v/>
      </c>
      <c r="Z43" s="2" t="inlineStr">
        <is>
          <t>A</t>
        </is>
      </c>
      <c r="AA43" s="2" t="inlineStr">
        <is>
          <t>A</t>
        </is>
      </c>
      <c r="AB43" s="2">
        <f>AND(N43,O43,A43&lt;&gt;"census-mixed")</f>
        <v/>
      </c>
      <c r="AC43" s="2">
        <f>IF(AB43,Z43=AA43,"")</f>
        <v/>
      </c>
    </row>
    <row r="44">
      <c r="A44" s="2" t="inlineStr">
        <is>
          <t>census</t>
        </is>
      </c>
      <c r="B44" s="2" t="inlineStr">
        <is>
          <t>openssl SecP256r1MLKEM768</t>
        </is>
      </c>
      <c r="C44" s="2" t="inlineStr">
        <is>
          <t>skb-eval-8352-c5043</t>
        </is>
      </c>
      <c r="D44" s="2" t="n">
        <v>5043</v>
      </c>
      <c r="E44" s="2" t="n">
        <v>1518</v>
      </c>
      <c r="F44" s="2" t="n">
        <v>771</v>
      </c>
      <c r="G44" s="2" t="inlineStr">
        <is>
          <t>1302 1303 1301 c02c c030 009f cca9 cca8 ccaa c02b c02f 009e c024 c028 006b c023 c027 0067 c00a c014 0039 c009 c013 0033 009d 009c 003d 003c 0035 002f</t>
        </is>
      </c>
      <c r="H44" s="2" t="inlineStr">
        <is>
          <t>0304 0303</t>
        </is>
      </c>
      <c r="I44" s="2" t="n">
        <v>1</v>
      </c>
      <c r="J44" s="2" t="inlineStr">
        <is>
          <t>skb-eval-8352-c5043</t>
        </is>
      </c>
      <c r="K44" s="2" t="n">
        <v>1518</v>
      </c>
      <c r="L44" s="2" t="n">
        <v>771</v>
      </c>
      <c r="M44" s="2" t="n">
        <v>1443</v>
      </c>
      <c r="N44" s="2" t="b">
        <v>1</v>
      </c>
      <c r="O44" s="2" t="b">
        <v>1</v>
      </c>
      <c r="P44" s="2" t="inlineStr">
        <is>
          <t>1302 1303 1301 c02c c030 009f cca9 cca8 ccaa c02b c02f 009e c024 c028 006b c023 c027 0067 c00a c014 0039 c009 c013 0033 009d 009c 003d 003c 0035 002f</t>
        </is>
      </c>
      <c r="Q44" s="2" t="inlineStr">
        <is>
          <t>0304 0303</t>
        </is>
      </c>
      <c r="R44" s="2" t="inlineStr">
        <is>
          <t>violation</t>
        </is>
      </c>
      <c r="S44" s="2" t="inlineStr">
        <is>
          <t>violation</t>
        </is>
      </c>
      <c r="T44" s="2">
        <f>K44=E44</f>
        <v/>
      </c>
      <c r="U44" s="2">
        <f>L44=F44</f>
        <v/>
      </c>
      <c r="V44" s="2">
        <f>IF(N44,EXACT(P44,G44),"")</f>
        <v/>
      </c>
      <c r="W44" s="2">
        <f>IF(O44,EXACT(Q44,H44),"")</f>
        <v/>
      </c>
      <c r="X44" s="2">
        <f>J44=C44</f>
        <v/>
      </c>
      <c r="Y44" s="2">
        <f>IF(R44="unknown","",R44=S44)</f>
        <v/>
      </c>
      <c r="Z44" s="2" t="inlineStr">
        <is>
          <t>A</t>
        </is>
      </c>
      <c r="AA44" s="2" t="inlineStr">
        <is>
          <t>A</t>
        </is>
      </c>
      <c r="AB44" s="2">
        <f>AND(N44,O44,A44&lt;&gt;"census-mixed")</f>
        <v/>
      </c>
      <c r="AC44" s="2">
        <f>IF(AB44,Z44=AA44,"")</f>
        <v/>
      </c>
    </row>
    <row r="45">
      <c r="A45" s="2" t="inlineStr">
        <is>
          <t>census</t>
        </is>
      </c>
      <c r="B45" s="2" t="inlineStr">
        <is>
          <t>openssl SecP256r1MLKEM768</t>
        </is>
      </c>
      <c r="C45" s="2" t="inlineStr">
        <is>
          <t>skb-eval-8352-c5044</t>
        </is>
      </c>
      <c r="D45" s="2" t="n">
        <v>5044</v>
      </c>
      <c r="E45" s="2" t="n">
        <v>1518</v>
      </c>
      <c r="F45" s="2" t="n">
        <v>771</v>
      </c>
      <c r="G45" s="2" t="inlineStr">
        <is>
          <t>1302 1303 1301 c02c c030 009f cca9 cca8 ccaa c02b c02f 009e c024 c028 006b c023 c027 0067 c00a c014 0039 c009 c013 0033 009d 009c 003d 003c 0035 002f</t>
        </is>
      </c>
      <c r="H45" s="2" t="inlineStr">
        <is>
          <t>0304 0303</t>
        </is>
      </c>
      <c r="I45" s="2" t="n">
        <v>1</v>
      </c>
      <c r="J45" s="2" t="inlineStr">
        <is>
          <t>skb-eval-8352-c5044</t>
        </is>
      </c>
      <c r="K45" s="2" t="n">
        <v>1518</v>
      </c>
      <c r="L45" s="2" t="n">
        <v>771</v>
      </c>
      <c r="M45" s="2" t="n">
        <v>1443</v>
      </c>
      <c r="N45" s="2" t="b">
        <v>1</v>
      </c>
      <c r="O45" s="2" t="b">
        <v>1</v>
      </c>
      <c r="P45" s="2" t="inlineStr">
        <is>
          <t>1302 1303 1301 c02c c030 009f cca9 cca8 ccaa c02b c02f 009e c024 c028 006b c023 c027 0067 c00a c014 0039 c009 c013 0033 009d 009c 003d 003c 0035 002f</t>
        </is>
      </c>
      <c r="Q45" s="2" t="inlineStr">
        <is>
          <t>0304 0303</t>
        </is>
      </c>
      <c r="R45" s="2" t="inlineStr">
        <is>
          <t>violation</t>
        </is>
      </c>
      <c r="S45" s="2" t="inlineStr">
        <is>
          <t>violation</t>
        </is>
      </c>
      <c r="T45" s="2">
        <f>K45=E45</f>
        <v/>
      </c>
      <c r="U45" s="2">
        <f>L45=F45</f>
        <v/>
      </c>
      <c r="V45" s="2">
        <f>IF(N45,EXACT(P45,G45),"")</f>
        <v/>
      </c>
      <c r="W45" s="2">
        <f>IF(O45,EXACT(Q45,H45),"")</f>
        <v/>
      </c>
      <c r="X45" s="2">
        <f>J45=C45</f>
        <v/>
      </c>
      <c r="Y45" s="2">
        <f>IF(R45="unknown","",R45=S45)</f>
        <v/>
      </c>
      <c r="Z45" s="2" t="inlineStr">
        <is>
          <t>A</t>
        </is>
      </c>
      <c r="AA45" s="2" t="inlineStr">
        <is>
          <t>A</t>
        </is>
      </c>
      <c r="AB45" s="2">
        <f>AND(N45,O45,A45&lt;&gt;"census-mixed")</f>
        <v/>
      </c>
      <c r="AC45" s="2">
        <f>IF(AB45,Z45=AA45,"")</f>
        <v/>
      </c>
    </row>
    <row r="46">
      <c r="A46" s="2" t="inlineStr">
        <is>
          <t>census</t>
        </is>
      </c>
      <c r="B46" s="2" t="inlineStr">
        <is>
          <t>openssl SecP256r1MLKEM768</t>
        </is>
      </c>
      <c r="C46" s="2" t="inlineStr">
        <is>
          <t>skb-eval-8352-c5045</t>
        </is>
      </c>
      <c r="D46" s="2" t="n">
        <v>5045</v>
      </c>
      <c r="E46" s="2" t="n">
        <v>1518</v>
      </c>
      <c r="F46" s="2" t="n">
        <v>771</v>
      </c>
      <c r="G46" s="2" t="inlineStr">
        <is>
          <t>1302 1303 1301 c02c c030 009f cca9 cca8 ccaa c02b c02f 009e c024 c028 006b c023 c027 0067 c00a c014 0039 c009 c013 0033 009d 009c 003d 003c 0035 002f</t>
        </is>
      </c>
      <c r="H46" s="2" t="inlineStr">
        <is>
          <t>0304 0303</t>
        </is>
      </c>
      <c r="I46" s="2" t="n">
        <v>1</v>
      </c>
      <c r="J46" s="2" t="inlineStr">
        <is>
          <t>skb-eval-8352-c5045</t>
        </is>
      </c>
      <c r="K46" s="2" t="n">
        <v>1518</v>
      </c>
      <c r="L46" s="2" t="n">
        <v>771</v>
      </c>
      <c r="M46" s="2" t="n">
        <v>1443</v>
      </c>
      <c r="N46" s="2" t="b">
        <v>1</v>
      </c>
      <c r="O46" s="2" t="b">
        <v>1</v>
      </c>
      <c r="P46" s="2" t="inlineStr">
        <is>
          <t>1302 1303 1301 c02c c030 009f cca9 cca8 ccaa c02b c02f 009e c024 c028 006b c023 c027 0067 c00a c014 0039 c009 c013 0033 009d 009c 003d 003c 0035 002f</t>
        </is>
      </c>
      <c r="Q46" s="2" t="inlineStr">
        <is>
          <t>0304 0303</t>
        </is>
      </c>
      <c r="R46" s="2" t="inlineStr">
        <is>
          <t>violation</t>
        </is>
      </c>
      <c r="S46" s="2" t="inlineStr">
        <is>
          <t>violation</t>
        </is>
      </c>
      <c r="T46" s="2">
        <f>K46=E46</f>
        <v/>
      </c>
      <c r="U46" s="2">
        <f>L46=F46</f>
        <v/>
      </c>
      <c r="V46" s="2">
        <f>IF(N46,EXACT(P46,G46),"")</f>
        <v/>
      </c>
      <c r="W46" s="2">
        <f>IF(O46,EXACT(Q46,H46),"")</f>
        <v/>
      </c>
      <c r="X46" s="2">
        <f>J46=C46</f>
        <v/>
      </c>
      <c r="Y46" s="2">
        <f>IF(R46="unknown","",R46=S46)</f>
        <v/>
      </c>
      <c r="Z46" s="2" t="inlineStr">
        <is>
          <t>A</t>
        </is>
      </c>
      <c r="AA46" s="2" t="inlineStr">
        <is>
          <t>A</t>
        </is>
      </c>
      <c r="AB46" s="2">
        <f>AND(N46,O46,A46&lt;&gt;"census-mixed")</f>
        <v/>
      </c>
      <c r="AC46" s="2">
        <f>IF(AB46,Z46=AA46,"")</f>
        <v/>
      </c>
    </row>
    <row r="47">
      <c r="A47" s="2" t="inlineStr">
        <is>
          <t>census</t>
        </is>
      </c>
      <c r="B47" s="2" t="inlineStr">
        <is>
          <t>openssl SecP256r1MLKEM768</t>
        </is>
      </c>
      <c r="C47" s="2" t="inlineStr">
        <is>
          <t>skb-eval-8352-c5046</t>
        </is>
      </c>
      <c r="D47" s="2" t="n">
        <v>5046</v>
      </c>
      <c r="E47" s="2" t="n">
        <v>1518</v>
      </c>
      <c r="F47" s="2" t="n">
        <v>771</v>
      </c>
      <c r="G47" s="2" t="inlineStr">
        <is>
          <t>1302 1303 1301 c02c c030 009f cca9 cca8 ccaa c02b c02f 009e c024 c028 006b c023 c027 0067 c00a c014 0039 c009 c013 0033 009d 009c 003d 003c 0035 002f</t>
        </is>
      </c>
      <c r="H47" s="2" t="inlineStr">
        <is>
          <t>0304 0303</t>
        </is>
      </c>
      <c r="I47" s="2" t="n">
        <v>1</v>
      </c>
      <c r="J47" s="2" t="inlineStr">
        <is>
          <t>skb-eval-8352-c5046</t>
        </is>
      </c>
      <c r="K47" s="2" t="n">
        <v>1518</v>
      </c>
      <c r="L47" s="2" t="n">
        <v>771</v>
      </c>
      <c r="M47" s="2" t="n">
        <v>1443</v>
      </c>
      <c r="N47" s="2" t="b">
        <v>1</v>
      </c>
      <c r="O47" s="2" t="b">
        <v>1</v>
      </c>
      <c r="P47" s="2" t="inlineStr">
        <is>
          <t>1302 1303 1301 c02c c030 009f cca9 cca8 ccaa c02b c02f 009e c024 c028 006b c023 c027 0067 c00a c014 0039 c009 c013 0033 009d 009c 003d 003c 0035 002f</t>
        </is>
      </c>
      <c r="Q47" s="2" t="inlineStr">
        <is>
          <t>0304 0303</t>
        </is>
      </c>
      <c r="R47" s="2" t="inlineStr">
        <is>
          <t>violation</t>
        </is>
      </c>
      <c r="S47" s="2" t="inlineStr">
        <is>
          <t>violation</t>
        </is>
      </c>
      <c r="T47" s="2">
        <f>K47=E47</f>
        <v/>
      </c>
      <c r="U47" s="2">
        <f>L47=F47</f>
        <v/>
      </c>
      <c r="V47" s="2">
        <f>IF(N47,EXACT(P47,G47),"")</f>
        <v/>
      </c>
      <c r="W47" s="2">
        <f>IF(O47,EXACT(Q47,H47),"")</f>
        <v/>
      </c>
      <c r="X47" s="2">
        <f>J47=C47</f>
        <v/>
      </c>
      <c r="Y47" s="2">
        <f>IF(R47="unknown","",R47=S47)</f>
        <v/>
      </c>
      <c r="Z47" s="2" t="inlineStr">
        <is>
          <t>A</t>
        </is>
      </c>
      <c r="AA47" s="2" t="inlineStr">
        <is>
          <t>A</t>
        </is>
      </c>
      <c r="AB47" s="2">
        <f>AND(N47,O47,A47&lt;&gt;"census-mixed")</f>
        <v/>
      </c>
      <c r="AC47" s="2">
        <f>IF(AB47,Z47=AA47,"")</f>
        <v/>
      </c>
    </row>
    <row r="48">
      <c r="A48" s="2" t="inlineStr">
        <is>
          <t>census</t>
        </is>
      </c>
      <c r="B48" s="2" t="inlineStr">
        <is>
          <t>openssl SecP256r1MLKEM768</t>
        </is>
      </c>
      <c r="C48" s="2" t="inlineStr">
        <is>
          <t>skb-eval-8352-c5047</t>
        </is>
      </c>
      <c r="D48" s="2" t="n">
        <v>5047</v>
      </c>
      <c r="E48" s="2" t="n">
        <v>1518</v>
      </c>
      <c r="F48" s="2" t="n">
        <v>771</v>
      </c>
      <c r="G48" s="2" t="inlineStr">
        <is>
          <t>1302 1303 1301 c02c c030 009f cca9 cca8 ccaa c02b c02f 009e c024 c028 006b c023 c027 0067 c00a c014 0039 c009 c013 0033 009d 009c 003d 003c 0035 002f</t>
        </is>
      </c>
      <c r="H48" s="2" t="inlineStr">
        <is>
          <t>0304 0303</t>
        </is>
      </c>
      <c r="I48" s="2" t="n">
        <v>1</v>
      </c>
      <c r="J48" s="2" t="inlineStr">
        <is>
          <t>skb-eval-8352-c5047</t>
        </is>
      </c>
      <c r="K48" s="2" t="n">
        <v>1518</v>
      </c>
      <c r="L48" s="2" t="n">
        <v>771</v>
      </c>
      <c r="M48" s="2" t="n">
        <v>1443</v>
      </c>
      <c r="N48" s="2" t="b">
        <v>1</v>
      </c>
      <c r="O48" s="2" t="b">
        <v>1</v>
      </c>
      <c r="P48" s="2" t="inlineStr">
        <is>
          <t>1302 1303 1301 c02c c030 009f cca9 cca8 ccaa c02b c02f 009e c024 c028 006b c023 c027 0067 c00a c014 0039 c009 c013 0033 009d 009c 003d 003c 0035 002f</t>
        </is>
      </c>
      <c r="Q48" s="2" t="inlineStr">
        <is>
          <t>0304 0303</t>
        </is>
      </c>
      <c r="R48" s="2" t="inlineStr">
        <is>
          <t>violation</t>
        </is>
      </c>
      <c r="S48" s="2" t="inlineStr">
        <is>
          <t>violation</t>
        </is>
      </c>
      <c r="T48" s="2">
        <f>K48=E48</f>
        <v/>
      </c>
      <c r="U48" s="2">
        <f>L48=F48</f>
        <v/>
      </c>
      <c r="V48" s="2">
        <f>IF(N48,EXACT(P48,G48),"")</f>
        <v/>
      </c>
      <c r="W48" s="2">
        <f>IF(O48,EXACT(Q48,H48),"")</f>
        <v/>
      </c>
      <c r="X48" s="2">
        <f>J48=C48</f>
        <v/>
      </c>
      <c r="Y48" s="2">
        <f>IF(R48="unknown","",R48=S48)</f>
        <v/>
      </c>
      <c r="Z48" s="2" t="inlineStr">
        <is>
          <t>A</t>
        </is>
      </c>
      <c r="AA48" s="2" t="inlineStr">
        <is>
          <t>A</t>
        </is>
      </c>
      <c r="AB48" s="2">
        <f>AND(N48,O48,A48&lt;&gt;"census-mixed")</f>
        <v/>
      </c>
      <c r="AC48" s="2">
        <f>IF(AB48,Z48=AA48,"")</f>
        <v/>
      </c>
    </row>
    <row r="49">
      <c r="A49" s="2" t="inlineStr">
        <is>
          <t>census</t>
        </is>
      </c>
      <c r="B49" s="2" t="inlineStr">
        <is>
          <t>openssl SecP256r1MLKEM768</t>
        </is>
      </c>
      <c r="C49" s="2" t="inlineStr">
        <is>
          <t>skb-eval-8352-c5048</t>
        </is>
      </c>
      <c r="D49" s="2" t="n">
        <v>5048</v>
      </c>
      <c r="E49" s="2" t="n">
        <v>1518</v>
      </c>
      <c r="F49" s="2" t="n">
        <v>771</v>
      </c>
      <c r="G49" s="2" t="inlineStr">
        <is>
          <t>1302 1303 1301 c02c c030 009f cca9 cca8 ccaa c02b c02f 009e c024 c028 006b c023 c027 0067 c00a c014 0039 c009 c013 0033 009d 009c 003d 003c 0035 002f</t>
        </is>
      </c>
      <c r="H49" s="2" t="inlineStr">
        <is>
          <t>0304 0303</t>
        </is>
      </c>
      <c r="I49" s="2" t="n">
        <v>1</v>
      </c>
      <c r="J49" s="2" t="inlineStr">
        <is>
          <t>skb-eval-8352-c5048</t>
        </is>
      </c>
      <c r="K49" s="2" t="n">
        <v>1518</v>
      </c>
      <c r="L49" s="2" t="n">
        <v>771</v>
      </c>
      <c r="M49" s="2" t="n">
        <v>1443</v>
      </c>
      <c r="N49" s="2" t="b">
        <v>1</v>
      </c>
      <c r="O49" s="2" t="b">
        <v>1</v>
      </c>
      <c r="P49" s="2" t="inlineStr">
        <is>
          <t>1302 1303 1301 c02c c030 009f cca9 cca8 ccaa c02b c02f 009e c024 c028 006b c023 c027 0067 c00a c014 0039 c009 c013 0033 009d 009c 003d 003c 0035 002f</t>
        </is>
      </c>
      <c r="Q49" s="2" t="inlineStr">
        <is>
          <t>0304 0303</t>
        </is>
      </c>
      <c r="R49" s="2" t="inlineStr">
        <is>
          <t>violation</t>
        </is>
      </c>
      <c r="S49" s="2" t="inlineStr">
        <is>
          <t>violation</t>
        </is>
      </c>
      <c r="T49" s="2">
        <f>K49=E49</f>
        <v/>
      </c>
      <c r="U49" s="2">
        <f>L49=F49</f>
        <v/>
      </c>
      <c r="V49" s="2">
        <f>IF(N49,EXACT(P49,G49),"")</f>
        <v/>
      </c>
      <c r="W49" s="2">
        <f>IF(O49,EXACT(Q49,H49),"")</f>
        <v/>
      </c>
      <c r="X49" s="2">
        <f>J49=C49</f>
        <v/>
      </c>
      <c r="Y49" s="2">
        <f>IF(R49="unknown","",R49=S49)</f>
        <v/>
      </c>
      <c r="Z49" s="2" t="inlineStr">
        <is>
          <t>A</t>
        </is>
      </c>
      <c r="AA49" s="2" t="inlineStr">
        <is>
          <t>A</t>
        </is>
      </c>
      <c r="AB49" s="2">
        <f>AND(N49,O49,A49&lt;&gt;"census-mixed")</f>
        <v/>
      </c>
      <c r="AC49" s="2">
        <f>IF(AB49,Z49=AA49,"")</f>
        <v/>
      </c>
    </row>
    <row r="50">
      <c r="A50" s="2" t="inlineStr">
        <is>
          <t>census</t>
        </is>
      </c>
      <c r="B50" s="2" t="inlineStr">
        <is>
          <t>openssl SecP256r1MLKEM768</t>
        </is>
      </c>
      <c r="C50" s="2" t="inlineStr">
        <is>
          <t>skb-eval-8352-c5049</t>
        </is>
      </c>
      <c r="D50" s="2" t="n">
        <v>5049</v>
      </c>
      <c r="E50" s="2" t="n">
        <v>1518</v>
      </c>
      <c r="F50" s="2" t="n">
        <v>771</v>
      </c>
      <c r="G50" s="2" t="inlineStr">
        <is>
          <t>1302 1303 1301 c02c c030 009f cca9 cca8 ccaa c02b c02f 009e c024 c028 006b c023 c027 0067 c00a c014 0039 c009 c013 0033 009d 009c 003d 003c 0035 002f</t>
        </is>
      </c>
      <c r="H50" s="2" t="inlineStr">
        <is>
          <t>0304 0303</t>
        </is>
      </c>
      <c r="I50" s="2" t="n">
        <v>1</v>
      </c>
      <c r="J50" s="2" t="inlineStr">
        <is>
          <t>skb-eval-8352-c5049</t>
        </is>
      </c>
      <c r="K50" s="2" t="n">
        <v>1518</v>
      </c>
      <c r="L50" s="2" t="n">
        <v>771</v>
      </c>
      <c r="M50" s="2" t="n">
        <v>1443</v>
      </c>
      <c r="N50" s="2" t="b">
        <v>1</v>
      </c>
      <c r="O50" s="2" t="b">
        <v>1</v>
      </c>
      <c r="P50" s="2" t="inlineStr">
        <is>
          <t>1302 1303 1301 c02c c030 009f cca9 cca8 ccaa c02b c02f 009e c024 c028 006b c023 c027 0067 c00a c014 0039 c009 c013 0033 009d 009c 003d 003c 0035 002f</t>
        </is>
      </c>
      <c r="Q50" s="2" t="inlineStr">
        <is>
          <t>0304 0303</t>
        </is>
      </c>
      <c r="R50" s="2" t="inlineStr">
        <is>
          <t>violation</t>
        </is>
      </c>
      <c r="S50" s="2" t="inlineStr">
        <is>
          <t>violation</t>
        </is>
      </c>
      <c r="T50" s="2">
        <f>K50=E50</f>
        <v/>
      </c>
      <c r="U50" s="2">
        <f>L50=F50</f>
        <v/>
      </c>
      <c r="V50" s="2">
        <f>IF(N50,EXACT(P50,G50),"")</f>
        <v/>
      </c>
      <c r="W50" s="2">
        <f>IF(O50,EXACT(Q50,H50),"")</f>
        <v/>
      </c>
      <c r="X50" s="2">
        <f>J50=C50</f>
        <v/>
      </c>
      <c r="Y50" s="2">
        <f>IF(R50="unknown","",R50=S50)</f>
        <v/>
      </c>
      <c r="Z50" s="2" t="inlineStr">
        <is>
          <t>A</t>
        </is>
      </c>
      <c r="AA50" s="2" t="inlineStr">
        <is>
          <t>A</t>
        </is>
      </c>
      <c r="AB50" s="2">
        <f>AND(N50,O50,A50&lt;&gt;"census-mixed")</f>
        <v/>
      </c>
      <c r="AC50" s="2">
        <f>IF(AB50,Z50=AA50,"")</f>
        <v/>
      </c>
    </row>
    <row r="51">
      <c r="A51" s="2" t="inlineStr">
        <is>
          <t>census</t>
        </is>
      </c>
      <c r="B51" s="2" t="inlineStr">
        <is>
          <t>openssl SecP256r1MLKEM768</t>
        </is>
      </c>
      <c r="C51" s="2" t="inlineStr">
        <is>
          <t>skb-eval-8352-c5050</t>
        </is>
      </c>
      <c r="D51" s="2" t="n">
        <v>5050</v>
      </c>
      <c r="E51" s="2" t="n">
        <v>1518</v>
      </c>
      <c r="F51" s="2" t="n">
        <v>771</v>
      </c>
      <c r="G51" s="2" t="inlineStr">
        <is>
          <t>1302 1303 1301 c02c c030 009f cca9 cca8 ccaa c02b c02f 009e c024 c028 006b c023 c027 0067 c00a c014 0039 c009 c013 0033 009d 009c 003d 003c 0035 002f</t>
        </is>
      </c>
      <c r="H51" s="2" t="inlineStr">
        <is>
          <t>0304 0303</t>
        </is>
      </c>
      <c r="I51" s="2" t="n">
        <v>1</v>
      </c>
      <c r="J51" s="2" t="inlineStr">
        <is>
          <t>skb-eval-8352-c5050</t>
        </is>
      </c>
      <c r="K51" s="2" t="n">
        <v>1518</v>
      </c>
      <c r="L51" s="2" t="n">
        <v>771</v>
      </c>
      <c r="M51" s="2" t="n">
        <v>1443</v>
      </c>
      <c r="N51" s="2" t="b">
        <v>1</v>
      </c>
      <c r="O51" s="2" t="b">
        <v>1</v>
      </c>
      <c r="P51" s="2" t="inlineStr">
        <is>
          <t>1302 1303 1301 c02c c030 009f cca9 cca8 ccaa c02b c02f 009e c024 c028 006b c023 c027 0067 c00a c014 0039 c009 c013 0033 009d 009c 003d 003c 0035 002f</t>
        </is>
      </c>
      <c r="Q51" s="2" t="inlineStr">
        <is>
          <t>0304 0303</t>
        </is>
      </c>
      <c r="R51" s="2" t="inlineStr">
        <is>
          <t>violation</t>
        </is>
      </c>
      <c r="S51" s="2" t="inlineStr">
        <is>
          <t>violation</t>
        </is>
      </c>
      <c r="T51" s="2">
        <f>K51=E51</f>
        <v/>
      </c>
      <c r="U51" s="2">
        <f>L51=F51</f>
        <v/>
      </c>
      <c r="V51" s="2">
        <f>IF(N51,EXACT(P51,G51),"")</f>
        <v/>
      </c>
      <c r="W51" s="2">
        <f>IF(O51,EXACT(Q51,H51),"")</f>
        <v/>
      </c>
      <c r="X51" s="2">
        <f>J51=C51</f>
        <v/>
      </c>
      <c r="Y51" s="2">
        <f>IF(R51="unknown","",R51=S51)</f>
        <v/>
      </c>
      <c r="Z51" s="2" t="inlineStr">
        <is>
          <t>A</t>
        </is>
      </c>
      <c r="AA51" s="2" t="inlineStr">
        <is>
          <t>A</t>
        </is>
      </c>
      <c r="AB51" s="2">
        <f>AND(N51,O51,A51&lt;&gt;"census-mixed")</f>
        <v/>
      </c>
      <c r="AC51" s="2">
        <f>IF(AB51,Z51=AA51,"")</f>
        <v/>
      </c>
    </row>
    <row r="52">
      <c r="A52" s="2" t="inlineStr">
        <is>
          <t>census</t>
        </is>
      </c>
      <c r="B52" s="2" t="inlineStr">
        <is>
          <t>openssl SecP384r1MLKEM1024</t>
        </is>
      </c>
      <c r="C52" s="2" t="inlineStr">
        <is>
          <t>skb-eval-8352-c5051</t>
        </is>
      </c>
      <c r="D52" s="2" t="n">
        <v>5051</v>
      </c>
      <c r="E52" s="2" t="n">
        <v>1934</v>
      </c>
      <c r="F52" s="2" t="n">
        <v>771</v>
      </c>
      <c r="G52" s="2" t="inlineStr">
        <is>
          <t>1302 1303 1301 c02c c030 009f cca9 cca8 ccaa c02b c02f 009e c024 c028 006b c023 c027 0067 c00a c014 0039 c009 c013 0033 009d 009c 003d 003c 0035 002f</t>
        </is>
      </c>
      <c r="H52" s="2" t="inlineStr">
        <is>
          <t>0304 0303</t>
        </is>
      </c>
      <c r="I52" s="2" t="n">
        <v>1</v>
      </c>
      <c r="J52" s="2" t="inlineStr">
        <is>
          <t>skb-eval-8352-c5051</t>
        </is>
      </c>
      <c r="K52" s="2" t="n">
        <v>1934</v>
      </c>
      <c r="L52" s="2" t="n">
        <v>771</v>
      </c>
      <c r="M52" s="2" t="n">
        <v>1443</v>
      </c>
      <c r="N52" s="2" t="b">
        <v>1</v>
      </c>
      <c r="O52" s="2" t="b">
        <v>1</v>
      </c>
      <c r="P52" s="2" t="inlineStr">
        <is>
          <t>1302 1303 1301 c02c c030 009f cca9 cca8 ccaa c02b c02f 009e c024 c028 006b c023 c027 0067 c00a c014 0039 c009 c013 0033 009d 009c 003d 003c 0035 002f</t>
        </is>
      </c>
      <c r="Q52" s="2" t="inlineStr">
        <is>
          <t>0304 0303</t>
        </is>
      </c>
      <c r="R52" s="2" t="inlineStr">
        <is>
          <t>violation</t>
        </is>
      </c>
      <c r="S52" s="2" t="inlineStr">
        <is>
          <t>violation</t>
        </is>
      </c>
      <c r="T52" s="2">
        <f>K52=E52</f>
        <v/>
      </c>
      <c r="U52" s="2">
        <f>L52=F52</f>
        <v/>
      </c>
      <c r="V52" s="2">
        <f>IF(N52,EXACT(P52,G52),"")</f>
        <v/>
      </c>
      <c r="W52" s="2">
        <f>IF(O52,EXACT(Q52,H52),"")</f>
        <v/>
      </c>
      <c r="X52" s="2">
        <f>J52=C52</f>
        <v/>
      </c>
      <c r="Y52" s="2">
        <f>IF(R52="unknown","",R52=S52)</f>
        <v/>
      </c>
      <c r="Z52" s="2" t="inlineStr">
        <is>
          <t>A</t>
        </is>
      </c>
      <c r="AA52" s="2" t="inlineStr">
        <is>
          <t>A</t>
        </is>
      </c>
      <c r="AB52" s="2">
        <f>AND(N52,O52,A52&lt;&gt;"census-mixed")</f>
        <v/>
      </c>
      <c r="AC52" s="2">
        <f>IF(AB52,Z52=AA52,"")</f>
        <v/>
      </c>
    </row>
    <row r="53">
      <c r="A53" s="2" t="inlineStr">
        <is>
          <t>census</t>
        </is>
      </c>
      <c r="B53" s="2" t="inlineStr">
        <is>
          <t>openssl SecP384r1MLKEM1024</t>
        </is>
      </c>
      <c r="C53" s="2" t="inlineStr">
        <is>
          <t>skb-eval-8352-c5052</t>
        </is>
      </c>
      <c r="D53" s="2" t="n">
        <v>5052</v>
      </c>
      <c r="E53" s="2" t="n">
        <v>1934</v>
      </c>
      <c r="F53" s="2" t="n">
        <v>771</v>
      </c>
      <c r="G53" s="2" t="inlineStr">
        <is>
          <t>1302 1303 1301 c02c c030 009f cca9 cca8 ccaa c02b c02f 009e c024 c028 006b c023 c027 0067 c00a c014 0039 c009 c013 0033 009d 009c 003d 003c 0035 002f</t>
        </is>
      </c>
      <c r="H53" s="2" t="inlineStr">
        <is>
          <t>0304 0303</t>
        </is>
      </c>
      <c r="I53" s="2" t="n">
        <v>1</v>
      </c>
      <c r="J53" s="2" t="inlineStr">
        <is>
          <t>skb-eval-8352-c5052</t>
        </is>
      </c>
      <c r="K53" s="2" t="n">
        <v>1934</v>
      </c>
      <c r="L53" s="2" t="n">
        <v>771</v>
      </c>
      <c r="M53" s="2" t="n">
        <v>1443</v>
      </c>
      <c r="N53" s="2" t="b">
        <v>1</v>
      </c>
      <c r="O53" s="2" t="b">
        <v>1</v>
      </c>
      <c r="P53" s="2" t="inlineStr">
        <is>
          <t>1302 1303 1301 c02c c030 009f cca9 cca8 ccaa c02b c02f 009e c024 c028 006b c023 c027 0067 c00a c014 0039 c009 c013 0033 009d 009c 003d 003c 0035 002f</t>
        </is>
      </c>
      <c r="Q53" s="2" t="inlineStr">
        <is>
          <t>0304 0303</t>
        </is>
      </c>
      <c r="R53" s="2" t="inlineStr">
        <is>
          <t>violation</t>
        </is>
      </c>
      <c r="S53" s="2" t="inlineStr">
        <is>
          <t>violation</t>
        </is>
      </c>
      <c r="T53" s="2">
        <f>K53=E53</f>
        <v/>
      </c>
      <c r="U53" s="2">
        <f>L53=F53</f>
        <v/>
      </c>
      <c r="V53" s="2">
        <f>IF(N53,EXACT(P53,G53),"")</f>
        <v/>
      </c>
      <c r="W53" s="2">
        <f>IF(O53,EXACT(Q53,H53),"")</f>
        <v/>
      </c>
      <c r="X53" s="2">
        <f>J53=C53</f>
        <v/>
      </c>
      <c r="Y53" s="2">
        <f>IF(R53="unknown","",R53=S53)</f>
        <v/>
      </c>
      <c r="Z53" s="2" t="inlineStr">
        <is>
          <t>A</t>
        </is>
      </c>
      <c r="AA53" s="2" t="inlineStr">
        <is>
          <t>A</t>
        </is>
      </c>
      <c r="AB53" s="2">
        <f>AND(N53,O53,A53&lt;&gt;"census-mixed")</f>
        <v/>
      </c>
      <c r="AC53" s="2">
        <f>IF(AB53,Z53=AA53,"")</f>
        <v/>
      </c>
    </row>
    <row r="54">
      <c r="A54" s="2" t="inlineStr">
        <is>
          <t>census</t>
        </is>
      </c>
      <c r="B54" s="2" t="inlineStr">
        <is>
          <t>openssl SecP384r1MLKEM1024</t>
        </is>
      </c>
      <c r="C54" s="2" t="inlineStr">
        <is>
          <t>skb-eval-8352-c5053</t>
        </is>
      </c>
      <c r="D54" s="2" t="n">
        <v>5053</v>
      </c>
      <c r="E54" s="2" t="n">
        <v>1934</v>
      </c>
      <c r="F54" s="2" t="n">
        <v>771</v>
      </c>
      <c r="G54" s="2" t="inlineStr">
        <is>
          <t>1302 1303 1301 c02c c030 009f cca9 cca8 ccaa c02b c02f 009e c024 c028 006b c023 c027 0067 c00a c014 0039 c009 c013 0033 009d 009c 003d 003c 0035 002f</t>
        </is>
      </c>
      <c r="H54" s="2" t="inlineStr">
        <is>
          <t>0304 0303</t>
        </is>
      </c>
      <c r="I54" s="2" t="n">
        <v>1</v>
      </c>
      <c r="J54" s="2" t="inlineStr">
        <is>
          <t>skb-eval-8352-c5053</t>
        </is>
      </c>
      <c r="K54" s="2" t="n">
        <v>1934</v>
      </c>
      <c r="L54" s="2" t="n">
        <v>771</v>
      </c>
      <c r="M54" s="2" t="n">
        <v>1443</v>
      </c>
      <c r="N54" s="2" t="b">
        <v>1</v>
      </c>
      <c r="O54" s="2" t="b">
        <v>1</v>
      </c>
      <c r="P54" s="2" t="inlineStr">
        <is>
          <t>1302 1303 1301 c02c c030 009f cca9 cca8 ccaa c02b c02f 009e c024 c028 006b c023 c027 0067 c00a c014 0039 c009 c013 0033 009d 009c 003d 003c 0035 002f</t>
        </is>
      </c>
      <c r="Q54" s="2" t="inlineStr">
        <is>
          <t>0304 0303</t>
        </is>
      </c>
      <c r="R54" s="2" t="inlineStr">
        <is>
          <t>violation</t>
        </is>
      </c>
      <c r="S54" s="2" t="inlineStr">
        <is>
          <t>violation</t>
        </is>
      </c>
      <c r="T54" s="2">
        <f>K54=E54</f>
        <v/>
      </c>
      <c r="U54" s="2">
        <f>L54=F54</f>
        <v/>
      </c>
      <c r="V54" s="2">
        <f>IF(N54,EXACT(P54,G54),"")</f>
        <v/>
      </c>
      <c r="W54" s="2">
        <f>IF(O54,EXACT(Q54,H54),"")</f>
        <v/>
      </c>
      <c r="X54" s="2">
        <f>J54=C54</f>
        <v/>
      </c>
      <c r="Y54" s="2">
        <f>IF(R54="unknown","",R54=S54)</f>
        <v/>
      </c>
      <c r="Z54" s="2" t="inlineStr">
        <is>
          <t>A</t>
        </is>
      </c>
      <c r="AA54" s="2" t="inlineStr">
        <is>
          <t>A</t>
        </is>
      </c>
      <c r="AB54" s="2">
        <f>AND(N54,O54,A54&lt;&gt;"census-mixed")</f>
        <v/>
      </c>
      <c r="AC54" s="2">
        <f>IF(AB54,Z54=AA54,"")</f>
        <v/>
      </c>
    </row>
    <row r="55">
      <c r="A55" s="2" t="inlineStr">
        <is>
          <t>census</t>
        </is>
      </c>
      <c r="B55" s="2" t="inlineStr">
        <is>
          <t>openssl SecP384r1MLKEM1024</t>
        </is>
      </c>
      <c r="C55" s="2" t="inlineStr">
        <is>
          <t>skb-eval-8352-c5054</t>
        </is>
      </c>
      <c r="D55" s="2" t="n">
        <v>5054</v>
      </c>
      <c r="E55" s="2" t="n">
        <v>1934</v>
      </c>
      <c r="F55" s="2" t="n">
        <v>771</v>
      </c>
      <c r="G55" s="2" t="inlineStr">
        <is>
          <t>1302 1303 1301 c02c c030 009f cca9 cca8 ccaa c02b c02f 009e c024 c028 006b c023 c027 0067 c00a c014 0039 c009 c013 0033 009d 009c 003d 003c 0035 002f</t>
        </is>
      </c>
      <c r="H55" s="2" t="inlineStr">
        <is>
          <t>0304 0303</t>
        </is>
      </c>
      <c r="I55" s="2" t="n">
        <v>1</v>
      </c>
      <c r="J55" s="2" t="inlineStr">
        <is>
          <t>skb-eval-8352-c5054</t>
        </is>
      </c>
      <c r="K55" s="2" t="n">
        <v>1934</v>
      </c>
      <c r="L55" s="2" t="n">
        <v>771</v>
      </c>
      <c r="M55" s="2" t="n">
        <v>1443</v>
      </c>
      <c r="N55" s="2" t="b">
        <v>1</v>
      </c>
      <c r="O55" s="2" t="b">
        <v>1</v>
      </c>
      <c r="P55" s="2" t="inlineStr">
        <is>
          <t>1302 1303 1301 c02c c030 009f cca9 cca8 ccaa c02b c02f 009e c024 c028 006b c023 c027 0067 c00a c014 0039 c009 c013 0033 009d 009c 003d 003c 0035 002f</t>
        </is>
      </c>
      <c r="Q55" s="2" t="inlineStr">
        <is>
          <t>0304 0303</t>
        </is>
      </c>
      <c r="R55" s="2" t="inlineStr">
        <is>
          <t>violation</t>
        </is>
      </c>
      <c r="S55" s="2" t="inlineStr">
        <is>
          <t>violation</t>
        </is>
      </c>
      <c r="T55" s="2">
        <f>K55=E55</f>
        <v/>
      </c>
      <c r="U55" s="2">
        <f>L55=F55</f>
        <v/>
      </c>
      <c r="V55" s="2">
        <f>IF(N55,EXACT(P55,G55),"")</f>
        <v/>
      </c>
      <c r="W55" s="2">
        <f>IF(O55,EXACT(Q55,H55),"")</f>
        <v/>
      </c>
      <c r="X55" s="2">
        <f>J55=C55</f>
        <v/>
      </c>
      <c r="Y55" s="2">
        <f>IF(R55="unknown","",R55=S55)</f>
        <v/>
      </c>
      <c r="Z55" s="2" t="inlineStr">
        <is>
          <t>A</t>
        </is>
      </c>
      <c r="AA55" s="2" t="inlineStr">
        <is>
          <t>A</t>
        </is>
      </c>
      <c r="AB55" s="2">
        <f>AND(N55,O55,A55&lt;&gt;"census-mixed")</f>
        <v/>
      </c>
      <c r="AC55" s="2">
        <f>IF(AB55,Z55=AA55,"")</f>
        <v/>
      </c>
    </row>
    <row r="56">
      <c r="A56" s="2" t="inlineStr">
        <is>
          <t>census</t>
        </is>
      </c>
      <c r="B56" s="2" t="inlineStr">
        <is>
          <t>openssl SecP384r1MLKEM1024</t>
        </is>
      </c>
      <c r="C56" s="2" t="inlineStr">
        <is>
          <t>skb-eval-8352-c5055</t>
        </is>
      </c>
      <c r="D56" s="2" t="n">
        <v>5055</v>
      </c>
      <c r="E56" s="2" t="n">
        <v>1934</v>
      </c>
      <c r="F56" s="2" t="n">
        <v>771</v>
      </c>
      <c r="G56" s="2" t="inlineStr">
        <is>
          <t>1302 1303 1301 c02c c030 009f cca9 cca8 ccaa c02b c02f 009e c024 c028 006b c023 c027 0067 c00a c014 0039 c009 c013 0033 009d 009c 003d 003c 0035 002f</t>
        </is>
      </c>
      <c r="H56" s="2" t="inlineStr">
        <is>
          <t>0304 0303</t>
        </is>
      </c>
      <c r="I56" s="2" t="n">
        <v>1</v>
      </c>
      <c r="J56" s="2" t="inlineStr">
        <is>
          <t>skb-eval-8352-c5055</t>
        </is>
      </c>
      <c r="K56" s="2" t="n">
        <v>1934</v>
      </c>
      <c r="L56" s="2" t="n">
        <v>771</v>
      </c>
      <c r="M56" s="2" t="n">
        <v>1443</v>
      </c>
      <c r="N56" s="2" t="b">
        <v>1</v>
      </c>
      <c r="O56" s="2" t="b">
        <v>1</v>
      </c>
      <c r="P56" s="2" t="inlineStr">
        <is>
          <t>1302 1303 1301 c02c c030 009f cca9 cca8 ccaa c02b c02f 009e c024 c028 006b c023 c027 0067 c00a c014 0039 c009 c013 0033 009d 009c 003d 003c 0035 002f</t>
        </is>
      </c>
      <c r="Q56" s="2" t="inlineStr">
        <is>
          <t>0304 0303</t>
        </is>
      </c>
      <c r="R56" s="2" t="inlineStr">
        <is>
          <t>violation</t>
        </is>
      </c>
      <c r="S56" s="2" t="inlineStr">
        <is>
          <t>violation</t>
        </is>
      </c>
      <c r="T56" s="2">
        <f>K56=E56</f>
        <v/>
      </c>
      <c r="U56" s="2">
        <f>L56=F56</f>
        <v/>
      </c>
      <c r="V56" s="2">
        <f>IF(N56,EXACT(P56,G56),"")</f>
        <v/>
      </c>
      <c r="W56" s="2">
        <f>IF(O56,EXACT(Q56,H56),"")</f>
        <v/>
      </c>
      <c r="X56" s="2">
        <f>J56=C56</f>
        <v/>
      </c>
      <c r="Y56" s="2">
        <f>IF(R56="unknown","",R56=S56)</f>
        <v/>
      </c>
      <c r="Z56" s="2" t="inlineStr">
        <is>
          <t>A</t>
        </is>
      </c>
      <c r="AA56" s="2" t="inlineStr">
        <is>
          <t>A</t>
        </is>
      </c>
      <c r="AB56" s="2">
        <f>AND(N56,O56,A56&lt;&gt;"census-mixed")</f>
        <v/>
      </c>
      <c r="AC56" s="2">
        <f>IF(AB56,Z56=AA56,"")</f>
        <v/>
      </c>
    </row>
    <row r="57">
      <c r="A57" s="2" t="inlineStr">
        <is>
          <t>census</t>
        </is>
      </c>
      <c r="B57" s="2" t="inlineStr">
        <is>
          <t>openssl SecP384r1MLKEM1024</t>
        </is>
      </c>
      <c r="C57" s="2" t="inlineStr">
        <is>
          <t>skb-eval-8352-c5056</t>
        </is>
      </c>
      <c r="D57" s="2" t="n">
        <v>5056</v>
      </c>
      <c r="E57" s="2" t="n">
        <v>1934</v>
      </c>
      <c r="F57" s="2" t="n">
        <v>771</v>
      </c>
      <c r="G57" s="2" t="inlineStr">
        <is>
          <t>1302 1303 1301 c02c c030 009f cca9 cca8 ccaa c02b c02f 009e c024 c028 006b c023 c027 0067 c00a c014 0039 c009 c013 0033 009d 009c 003d 003c 0035 002f</t>
        </is>
      </c>
      <c r="H57" s="2" t="inlineStr">
        <is>
          <t>0304 0303</t>
        </is>
      </c>
      <c r="I57" s="2" t="n">
        <v>1</v>
      </c>
      <c r="J57" s="2" t="inlineStr">
        <is>
          <t>skb-eval-8352-c5056</t>
        </is>
      </c>
      <c r="K57" s="2" t="n">
        <v>1934</v>
      </c>
      <c r="L57" s="2" t="n">
        <v>771</v>
      </c>
      <c r="M57" s="2" t="n">
        <v>1443</v>
      </c>
      <c r="N57" s="2" t="b">
        <v>1</v>
      </c>
      <c r="O57" s="2" t="b">
        <v>1</v>
      </c>
      <c r="P57" s="2" t="inlineStr">
        <is>
          <t>1302 1303 1301 c02c c030 009f cca9 cca8 ccaa c02b c02f 009e c024 c028 006b c023 c027 0067 c00a c014 0039 c009 c013 0033 009d 009c 003d 003c 0035 002f</t>
        </is>
      </c>
      <c r="Q57" s="2" t="inlineStr">
        <is>
          <t>0304 0303</t>
        </is>
      </c>
      <c r="R57" s="2" t="inlineStr">
        <is>
          <t>violation</t>
        </is>
      </c>
      <c r="S57" s="2" t="inlineStr">
        <is>
          <t>violation</t>
        </is>
      </c>
      <c r="T57" s="2">
        <f>K57=E57</f>
        <v/>
      </c>
      <c r="U57" s="2">
        <f>L57=F57</f>
        <v/>
      </c>
      <c r="V57" s="2">
        <f>IF(N57,EXACT(P57,G57),"")</f>
        <v/>
      </c>
      <c r="W57" s="2">
        <f>IF(O57,EXACT(Q57,H57),"")</f>
        <v/>
      </c>
      <c r="X57" s="2">
        <f>J57=C57</f>
        <v/>
      </c>
      <c r="Y57" s="2">
        <f>IF(R57="unknown","",R57=S57)</f>
        <v/>
      </c>
      <c r="Z57" s="2" t="inlineStr">
        <is>
          <t>A</t>
        </is>
      </c>
      <c r="AA57" s="2" t="inlineStr">
        <is>
          <t>A</t>
        </is>
      </c>
      <c r="AB57" s="2">
        <f>AND(N57,O57,A57&lt;&gt;"census-mixed")</f>
        <v/>
      </c>
      <c r="AC57" s="2">
        <f>IF(AB57,Z57=AA57,"")</f>
        <v/>
      </c>
    </row>
    <row r="58">
      <c r="A58" s="2" t="inlineStr">
        <is>
          <t>census</t>
        </is>
      </c>
      <c r="B58" s="2" t="inlineStr">
        <is>
          <t>openssl SecP384r1MLKEM1024</t>
        </is>
      </c>
      <c r="C58" s="2" t="inlineStr">
        <is>
          <t>skb-eval-8352-c5057</t>
        </is>
      </c>
      <c r="D58" s="2" t="n">
        <v>5057</v>
      </c>
      <c r="E58" s="2" t="n">
        <v>1934</v>
      </c>
      <c r="F58" s="2" t="n">
        <v>771</v>
      </c>
      <c r="G58" s="2" t="inlineStr">
        <is>
          <t>1302 1303 1301 c02c c030 009f cca9 cca8 ccaa c02b c02f 009e c024 c028 006b c023 c027 0067 c00a c014 0039 c009 c013 0033 009d 009c 003d 003c 0035 002f</t>
        </is>
      </c>
      <c r="H58" s="2" t="inlineStr">
        <is>
          <t>0304 0303</t>
        </is>
      </c>
      <c r="I58" s="2" t="n">
        <v>1</v>
      </c>
      <c r="J58" s="2" t="inlineStr">
        <is>
          <t>skb-eval-8352-c5057</t>
        </is>
      </c>
      <c r="K58" s="2" t="n">
        <v>1934</v>
      </c>
      <c r="L58" s="2" t="n">
        <v>771</v>
      </c>
      <c r="M58" s="2" t="n">
        <v>1443</v>
      </c>
      <c r="N58" s="2" t="b">
        <v>1</v>
      </c>
      <c r="O58" s="2" t="b">
        <v>1</v>
      </c>
      <c r="P58" s="2" t="inlineStr">
        <is>
          <t>1302 1303 1301 c02c c030 009f cca9 cca8 ccaa c02b c02f 009e c024 c028 006b c023 c027 0067 c00a c014 0039 c009 c013 0033 009d 009c 003d 003c 0035 002f</t>
        </is>
      </c>
      <c r="Q58" s="2" t="inlineStr">
        <is>
          <t>0304 0303</t>
        </is>
      </c>
      <c r="R58" s="2" t="inlineStr">
        <is>
          <t>violation</t>
        </is>
      </c>
      <c r="S58" s="2" t="inlineStr">
        <is>
          <t>violation</t>
        </is>
      </c>
      <c r="T58" s="2">
        <f>K58=E58</f>
        <v/>
      </c>
      <c r="U58" s="2">
        <f>L58=F58</f>
        <v/>
      </c>
      <c r="V58" s="2">
        <f>IF(N58,EXACT(P58,G58),"")</f>
        <v/>
      </c>
      <c r="W58" s="2">
        <f>IF(O58,EXACT(Q58,H58),"")</f>
        <v/>
      </c>
      <c r="X58" s="2">
        <f>J58=C58</f>
        <v/>
      </c>
      <c r="Y58" s="2">
        <f>IF(R58="unknown","",R58=S58)</f>
        <v/>
      </c>
      <c r="Z58" s="2" t="inlineStr">
        <is>
          <t>A</t>
        </is>
      </c>
      <c r="AA58" s="2" t="inlineStr">
        <is>
          <t>A</t>
        </is>
      </c>
      <c r="AB58" s="2">
        <f>AND(N58,O58,A58&lt;&gt;"census-mixed")</f>
        <v/>
      </c>
      <c r="AC58" s="2">
        <f>IF(AB58,Z58=AA58,"")</f>
        <v/>
      </c>
    </row>
    <row r="59">
      <c r="A59" s="2" t="inlineStr">
        <is>
          <t>census</t>
        </is>
      </c>
      <c r="B59" s="2" t="inlineStr">
        <is>
          <t>openssl SecP384r1MLKEM1024</t>
        </is>
      </c>
      <c r="C59" s="2" t="inlineStr">
        <is>
          <t>skb-eval-8352-c5058</t>
        </is>
      </c>
      <c r="D59" s="2" t="n">
        <v>5058</v>
      </c>
      <c r="E59" s="2" t="n">
        <v>1934</v>
      </c>
      <c r="F59" s="2" t="n">
        <v>771</v>
      </c>
      <c r="G59" s="2" t="inlineStr">
        <is>
          <t>1302 1303 1301 c02c c030 009f cca9 cca8 ccaa c02b c02f 009e c024 c028 006b c023 c027 0067 c00a c014 0039 c009 c013 0033 009d 009c 003d 003c 0035 002f</t>
        </is>
      </c>
      <c r="H59" s="2" t="inlineStr">
        <is>
          <t>0304 0303</t>
        </is>
      </c>
      <c r="I59" s="2" t="n">
        <v>1</v>
      </c>
      <c r="J59" s="2" t="inlineStr">
        <is>
          <t>skb-eval-8352-c5058</t>
        </is>
      </c>
      <c r="K59" s="2" t="n">
        <v>1934</v>
      </c>
      <c r="L59" s="2" t="n">
        <v>771</v>
      </c>
      <c r="M59" s="2" t="n">
        <v>1443</v>
      </c>
      <c r="N59" s="2" t="b">
        <v>1</v>
      </c>
      <c r="O59" s="2" t="b">
        <v>1</v>
      </c>
      <c r="P59" s="2" t="inlineStr">
        <is>
          <t>1302 1303 1301 c02c c030 009f cca9 cca8 ccaa c02b c02f 009e c024 c028 006b c023 c027 0067 c00a c014 0039 c009 c013 0033 009d 009c 003d 003c 0035 002f</t>
        </is>
      </c>
      <c r="Q59" s="2" t="inlineStr">
        <is>
          <t>0304 0303</t>
        </is>
      </c>
      <c r="R59" s="2" t="inlineStr">
        <is>
          <t>violation</t>
        </is>
      </c>
      <c r="S59" s="2" t="inlineStr">
        <is>
          <t>violation</t>
        </is>
      </c>
      <c r="T59" s="2">
        <f>K59=E59</f>
        <v/>
      </c>
      <c r="U59" s="2">
        <f>L59=F59</f>
        <v/>
      </c>
      <c r="V59" s="2">
        <f>IF(N59,EXACT(P59,G59),"")</f>
        <v/>
      </c>
      <c r="W59" s="2">
        <f>IF(O59,EXACT(Q59,H59),"")</f>
        <v/>
      </c>
      <c r="X59" s="2">
        <f>J59=C59</f>
        <v/>
      </c>
      <c r="Y59" s="2">
        <f>IF(R59="unknown","",R59=S59)</f>
        <v/>
      </c>
      <c r="Z59" s="2" t="inlineStr">
        <is>
          <t>A</t>
        </is>
      </c>
      <c r="AA59" s="2" t="inlineStr">
        <is>
          <t>A</t>
        </is>
      </c>
      <c r="AB59" s="2">
        <f>AND(N59,O59,A59&lt;&gt;"census-mixed")</f>
        <v/>
      </c>
      <c r="AC59" s="2">
        <f>IF(AB59,Z59=AA59,"")</f>
        <v/>
      </c>
    </row>
    <row r="60">
      <c r="A60" s="2" t="inlineStr">
        <is>
          <t>census</t>
        </is>
      </c>
      <c r="B60" s="2" t="inlineStr">
        <is>
          <t>openssl SecP384r1MLKEM1024</t>
        </is>
      </c>
      <c r="C60" s="2" t="inlineStr">
        <is>
          <t>skb-eval-8352-c5059</t>
        </is>
      </c>
      <c r="D60" s="2" t="n">
        <v>5059</v>
      </c>
      <c r="E60" s="2" t="n">
        <v>1934</v>
      </c>
      <c r="F60" s="2" t="n">
        <v>771</v>
      </c>
      <c r="G60" s="2" t="inlineStr">
        <is>
          <t>1302 1303 1301 c02c c030 009f cca9 cca8 ccaa c02b c02f 009e c024 c028 006b c023 c027 0067 c00a c014 0039 c009 c013 0033 009d 009c 003d 003c 0035 002f</t>
        </is>
      </c>
      <c r="H60" s="2" t="inlineStr">
        <is>
          <t>0304 0303</t>
        </is>
      </c>
      <c r="I60" s="2" t="n">
        <v>1</v>
      </c>
      <c r="J60" s="2" t="inlineStr">
        <is>
          <t>skb-eval-8352-c5059</t>
        </is>
      </c>
      <c r="K60" s="2" t="n">
        <v>1934</v>
      </c>
      <c r="L60" s="2" t="n">
        <v>771</v>
      </c>
      <c r="M60" s="2" t="n">
        <v>1443</v>
      </c>
      <c r="N60" s="2" t="b">
        <v>1</v>
      </c>
      <c r="O60" s="2" t="b">
        <v>1</v>
      </c>
      <c r="P60" s="2" t="inlineStr">
        <is>
          <t>1302 1303 1301 c02c c030 009f cca9 cca8 ccaa c02b c02f 009e c024 c028 006b c023 c027 0067 c00a c014 0039 c009 c013 0033 009d 009c 003d 003c 0035 002f</t>
        </is>
      </c>
      <c r="Q60" s="2" t="inlineStr">
        <is>
          <t>0304 0303</t>
        </is>
      </c>
      <c r="R60" s="2" t="inlineStr">
        <is>
          <t>violation</t>
        </is>
      </c>
      <c r="S60" s="2" t="inlineStr">
        <is>
          <t>violation</t>
        </is>
      </c>
      <c r="T60" s="2">
        <f>K60=E60</f>
        <v/>
      </c>
      <c r="U60" s="2">
        <f>L60=F60</f>
        <v/>
      </c>
      <c r="V60" s="2">
        <f>IF(N60,EXACT(P60,G60),"")</f>
        <v/>
      </c>
      <c r="W60" s="2">
        <f>IF(O60,EXACT(Q60,H60),"")</f>
        <v/>
      </c>
      <c r="X60" s="2">
        <f>J60=C60</f>
        <v/>
      </c>
      <c r="Y60" s="2">
        <f>IF(R60="unknown","",R60=S60)</f>
        <v/>
      </c>
      <c r="Z60" s="2" t="inlineStr">
        <is>
          <t>A</t>
        </is>
      </c>
      <c r="AA60" s="2" t="inlineStr">
        <is>
          <t>A</t>
        </is>
      </c>
      <c r="AB60" s="2">
        <f>AND(N60,O60,A60&lt;&gt;"census-mixed")</f>
        <v/>
      </c>
      <c r="AC60" s="2">
        <f>IF(AB60,Z60=AA60,"")</f>
        <v/>
      </c>
    </row>
    <row r="61">
      <c r="A61" s="2" t="inlineStr">
        <is>
          <t>census</t>
        </is>
      </c>
      <c r="B61" s="2" t="inlineStr">
        <is>
          <t>openssl SecP384r1MLKEM1024</t>
        </is>
      </c>
      <c r="C61" s="2" t="inlineStr">
        <is>
          <t>skb-eval-8352-c5060</t>
        </is>
      </c>
      <c r="D61" s="2" t="n">
        <v>5060</v>
      </c>
      <c r="E61" s="2" t="n">
        <v>1934</v>
      </c>
      <c r="F61" s="2" t="n">
        <v>771</v>
      </c>
      <c r="G61" s="2" t="inlineStr">
        <is>
          <t>1302 1303 1301 c02c c030 009f cca9 cca8 ccaa c02b c02f 009e c024 c028 006b c023 c027 0067 c00a c014 0039 c009 c013 0033 009d 009c 003d 003c 0035 002f</t>
        </is>
      </c>
      <c r="H61" s="2" t="inlineStr">
        <is>
          <t>0304 0303</t>
        </is>
      </c>
      <c r="I61" s="2" t="n">
        <v>1</v>
      </c>
      <c r="J61" s="2" t="inlineStr">
        <is>
          <t>skb-eval-8352-c5060</t>
        </is>
      </c>
      <c r="K61" s="2" t="n">
        <v>1934</v>
      </c>
      <c r="L61" s="2" t="n">
        <v>771</v>
      </c>
      <c r="M61" s="2" t="n">
        <v>1443</v>
      </c>
      <c r="N61" s="2" t="b">
        <v>1</v>
      </c>
      <c r="O61" s="2" t="b">
        <v>1</v>
      </c>
      <c r="P61" s="2" t="inlineStr">
        <is>
          <t>1302 1303 1301 c02c c030 009f cca9 cca8 ccaa c02b c02f 009e c024 c028 006b c023 c027 0067 c00a c014 0039 c009 c013 0033 009d 009c 003d 003c 0035 002f</t>
        </is>
      </c>
      <c r="Q61" s="2" t="inlineStr">
        <is>
          <t>0304 0303</t>
        </is>
      </c>
      <c r="R61" s="2" t="inlineStr">
        <is>
          <t>violation</t>
        </is>
      </c>
      <c r="S61" s="2" t="inlineStr">
        <is>
          <t>violation</t>
        </is>
      </c>
      <c r="T61" s="2">
        <f>K61=E61</f>
        <v/>
      </c>
      <c r="U61" s="2">
        <f>L61=F61</f>
        <v/>
      </c>
      <c r="V61" s="2">
        <f>IF(N61,EXACT(P61,G61),"")</f>
        <v/>
      </c>
      <c r="W61" s="2">
        <f>IF(O61,EXACT(Q61,H61),"")</f>
        <v/>
      </c>
      <c r="X61" s="2">
        <f>J61=C61</f>
        <v/>
      </c>
      <c r="Y61" s="2">
        <f>IF(R61="unknown","",R61=S61)</f>
        <v/>
      </c>
      <c r="Z61" s="2" t="inlineStr">
        <is>
          <t>A</t>
        </is>
      </c>
      <c r="AA61" s="2" t="inlineStr">
        <is>
          <t>A</t>
        </is>
      </c>
      <c r="AB61" s="2">
        <f>AND(N61,O61,A61&lt;&gt;"census-mixed")</f>
        <v/>
      </c>
      <c r="AC61" s="2">
        <f>IF(AB61,Z61=AA61,"")</f>
        <v/>
      </c>
    </row>
    <row r="62">
      <c r="A62" s="2" t="inlineStr">
        <is>
          <t>census</t>
        </is>
      </c>
      <c r="B62" s="2" t="inlineStr">
        <is>
          <t>openssl MLKEM768 (pure PQ)</t>
        </is>
      </c>
      <c r="C62" s="2" t="inlineStr">
        <is>
          <t>skb-eval-8352-c5061</t>
        </is>
      </c>
      <c r="D62" s="2" t="n">
        <v>5061</v>
      </c>
      <c r="E62" s="2" t="n">
        <v>1453</v>
      </c>
      <c r="F62" s="2" t="n">
        <v>771</v>
      </c>
      <c r="G62" s="2" t="inlineStr">
        <is>
          <t>1302 1303 1301 c02c c030 009f cca9 cca8 ccaa c02b c02f 009e c024 c028 006b c023 c027 0067 c00a c014 0039 c009 c013 0033 009d 009c 003d 003c 0035 002f</t>
        </is>
      </c>
      <c r="H62" s="2" t="inlineStr">
        <is>
          <t>0304 0303</t>
        </is>
      </c>
      <c r="I62" s="2" t="n">
        <v>1</v>
      </c>
      <c r="J62" s="2" t="inlineStr">
        <is>
          <t>skb-eval-8352-c5061</t>
        </is>
      </c>
      <c r="K62" s="2" t="n">
        <v>1453</v>
      </c>
      <c r="L62" s="2" t="n">
        <v>771</v>
      </c>
      <c r="M62" s="2" t="n">
        <v>1443</v>
      </c>
      <c r="N62" s="2" t="b">
        <v>1</v>
      </c>
      <c r="O62" s="2" t="b">
        <v>1</v>
      </c>
      <c r="P62" s="2" t="inlineStr">
        <is>
          <t>1302 1303 1301 c02c c030 009f cca9 cca8 ccaa c02b c02f 009e c024 c028 006b c023 c027 0067 c00a c014 0039 c009 c013 0033 009d 009c 003d 003c 0035 002f</t>
        </is>
      </c>
      <c r="Q62" s="2" t="inlineStr">
        <is>
          <t>0304 0303</t>
        </is>
      </c>
      <c r="R62" s="2" t="inlineStr">
        <is>
          <t>violation</t>
        </is>
      </c>
      <c r="S62" s="2" t="inlineStr">
        <is>
          <t>violation</t>
        </is>
      </c>
      <c r="T62" s="2">
        <f>K62=E62</f>
        <v/>
      </c>
      <c r="U62" s="2">
        <f>L62=F62</f>
        <v/>
      </c>
      <c r="V62" s="2">
        <f>IF(N62,EXACT(P62,G62),"")</f>
        <v/>
      </c>
      <c r="W62" s="2">
        <f>IF(O62,EXACT(Q62,H62),"")</f>
        <v/>
      </c>
      <c r="X62" s="2">
        <f>J62=C62</f>
        <v/>
      </c>
      <c r="Y62" s="2">
        <f>IF(R62="unknown","",R62=S62)</f>
        <v/>
      </c>
      <c r="Z62" s="2" t="inlineStr">
        <is>
          <t>A</t>
        </is>
      </c>
      <c r="AA62" s="2" t="inlineStr">
        <is>
          <t>A</t>
        </is>
      </c>
      <c r="AB62" s="2">
        <f>AND(N62,O62,A62&lt;&gt;"census-mixed")</f>
        <v/>
      </c>
      <c r="AC62" s="2">
        <f>IF(AB62,Z62=AA62,"")</f>
        <v/>
      </c>
    </row>
    <row r="63">
      <c r="A63" s="2" t="inlineStr">
        <is>
          <t>census</t>
        </is>
      </c>
      <c r="B63" s="2" t="inlineStr">
        <is>
          <t>openssl MLKEM768 (pure PQ)</t>
        </is>
      </c>
      <c r="C63" s="2" t="inlineStr">
        <is>
          <t>skb-eval-8352-c5062</t>
        </is>
      </c>
      <c r="D63" s="2" t="n">
        <v>5062</v>
      </c>
      <c r="E63" s="2" t="n">
        <v>1453</v>
      </c>
      <c r="F63" s="2" t="n">
        <v>771</v>
      </c>
      <c r="G63" s="2" t="inlineStr">
        <is>
          <t>1302 1303 1301 c02c c030 009f cca9 cca8 ccaa c02b c02f 009e c024 c028 006b c023 c027 0067 c00a c014 0039 c009 c013 0033 009d 009c 003d 003c 0035 002f</t>
        </is>
      </c>
      <c r="H63" s="2" t="inlineStr">
        <is>
          <t>0304 0303</t>
        </is>
      </c>
      <c r="I63" s="2" t="n">
        <v>1</v>
      </c>
      <c r="J63" s="2" t="inlineStr">
        <is>
          <t>skb-eval-8352-c5062</t>
        </is>
      </c>
      <c r="K63" s="2" t="n">
        <v>1453</v>
      </c>
      <c r="L63" s="2" t="n">
        <v>771</v>
      </c>
      <c r="M63" s="2" t="n">
        <v>1443</v>
      </c>
      <c r="N63" s="2" t="b">
        <v>1</v>
      </c>
      <c r="O63" s="2" t="b">
        <v>1</v>
      </c>
      <c r="P63" s="2" t="inlineStr">
        <is>
          <t>1302 1303 1301 c02c c030 009f cca9 cca8 ccaa c02b c02f 009e c024 c028 006b c023 c027 0067 c00a c014 0039 c009 c013 0033 009d 009c 003d 003c 0035 002f</t>
        </is>
      </c>
      <c r="Q63" s="2" t="inlineStr">
        <is>
          <t>0304 0303</t>
        </is>
      </c>
      <c r="R63" s="2" t="inlineStr">
        <is>
          <t>violation</t>
        </is>
      </c>
      <c r="S63" s="2" t="inlineStr">
        <is>
          <t>violation</t>
        </is>
      </c>
      <c r="T63" s="2">
        <f>K63=E63</f>
        <v/>
      </c>
      <c r="U63" s="2">
        <f>L63=F63</f>
        <v/>
      </c>
      <c r="V63" s="2">
        <f>IF(N63,EXACT(P63,G63),"")</f>
        <v/>
      </c>
      <c r="W63" s="2">
        <f>IF(O63,EXACT(Q63,H63),"")</f>
        <v/>
      </c>
      <c r="X63" s="2">
        <f>J63=C63</f>
        <v/>
      </c>
      <c r="Y63" s="2">
        <f>IF(R63="unknown","",R63=S63)</f>
        <v/>
      </c>
      <c r="Z63" s="2" t="inlineStr">
        <is>
          <t>A</t>
        </is>
      </c>
      <c r="AA63" s="2" t="inlineStr">
        <is>
          <t>A</t>
        </is>
      </c>
      <c r="AB63" s="2">
        <f>AND(N63,O63,A63&lt;&gt;"census-mixed")</f>
        <v/>
      </c>
      <c r="AC63" s="2">
        <f>IF(AB63,Z63=AA63,"")</f>
        <v/>
      </c>
    </row>
    <row r="64">
      <c r="A64" s="2" t="inlineStr">
        <is>
          <t>census</t>
        </is>
      </c>
      <c r="B64" s="2" t="inlineStr">
        <is>
          <t>openssl MLKEM768 (pure PQ)</t>
        </is>
      </c>
      <c r="C64" s="2" t="inlineStr">
        <is>
          <t>skb-eval-8352-c5063</t>
        </is>
      </c>
      <c r="D64" s="2" t="n">
        <v>5063</v>
      </c>
      <c r="E64" s="2" t="n">
        <v>1453</v>
      </c>
      <c r="F64" s="2" t="n">
        <v>771</v>
      </c>
      <c r="G64" s="2" t="inlineStr">
        <is>
          <t>1302 1303 1301 c02c c030 009f cca9 cca8 ccaa c02b c02f 009e c024 c028 006b c023 c027 0067 c00a c014 0039 c009 c013 0033 009d 009c 003d 003c 0035 002f</t>
        </is>
      </c>
      <c r="H64" s="2" t="inlineStr">
        <is>
          <t>0304 0303</t>
        </is>
      </c>
      <c r="I64" s="2" t="n">
        <v>1</v>
      </c>
      <c r="J64" s="2" t="inlineStr">
        <is>
          <t>skb-eval-8352-c5063</t>
        </is>
      </c>
      <c r="K64" s="2" t="n">
        <v>1453</v>
      </c>
      <c r="L64" s="2" t="n">
        <v>771</v>
      </c>
      <c r="M64" s="2" t="n">
        <v>1443</v>
      </c>
      <c r="N64" s="2" t="b">
        <v>1</v>
      </c>
      <c r="O64" s="2" t="b">
        <v>1</v>
      </c>
      <c r="P64" s="2" t="inlineStr">
        <is>
          <t>1302 1303 1301 c02c c030 009f cca9 cca8 ccaa c02b c02f 009e c024 c028 006b c023 c027 0067 c00a c014 0039 c009 c013 0033 009d 009c 003d 003c 0035 002f</t>
        </is>
      </c>
      <c r="Q64" s="2" t="inlineStr">
        <is>
          <t>0304 0303</t>
        </is>
      </c>
      <c r="R64" s="2" t="inlineStr">
        <is>
          <t>violation</t>
        </is>
      </c>
      <c r="S64" s="2" t="inlineStr">
        <is>
          <t>violation</t>
        </is>
      </c>
      <c r="T64" s="2">
        <f>K64=E64</f>
        <v/>
      </c>
      <c r="U64" s="2">
        <f>L64=F64</f>
        <v/>
      </c>
      <c r="V64" s="2">
        <f>IF(N64,EXACT(P64,G64),"")</f>
        <v/>
      </c>
      <c r="W64" s="2">
        <f>IF(O64,EXACT(Q64,H64),"")</f>
        <v/>
      </c>
      <c r="X64" s="2">
        <f>J64=C64</f>
        <v/>
      </c>
      <c r="Y64" s="2">
        <f>IF(R64="unknown","",R64=S64)</f>
        <v/>
      </c>
      <c r="Z64" s="2" t="inlineStr">
        <is>
          <t>A</t>
        </is>
      </c>
      <c r="AA64" s="2" t="inlineStr">
        <is>
          <t>A</t>
        </is>
      </c>
      <c r="AB64" s="2">
        <f>AND(N64,O64,A64&lt;&gt;"census-mixed")</f>
        <v/>
      </c>
      <c r="AC64" s="2">
        <f>IF(AB64,Z64=AA64,"")</f>
        <v/>
      </c>
    </row>
    <row r="65">
      <c r="A65" s="2" t="inlineStr">
        <is>
          <t>census</t>
        </is>
      </c>
      <c r="B65" s="2" t="inlineStr">
        <is>
          <t>openssl MLKEM768 (pure PQ)</t>
        </is>
      </c>
      <c r="C65" s="2" t="inlineStr">
        <is>
          <t>skb-eval-8352-c5064</t>
        </is>
      </c>
      <c r="D65" s="2" t="n">
        <v>5064</v>
      </c>
      <c r="E65" s="2" t="n">
        <v>1453</v>
      </c>
      <c r="F65" s="2" t="n">
        <v>771</v>
      </c>
      <c r="G65" s="2" t="inlineStr">
        <is>
          <t>1302 1303 1301 c02c c030 009f cca9 cca8 ccaa c02b c02f 009e c024 c028 006b c023 c027 0067 c00a c014 0039 c009 c013 0033 009d 009c 003d 003c 0035 002f</t>
        </is>
      </c>
      <c r="H65" s="2" t="inlineStr">
        <is>
          <t>0304 0303</t>
        </is>
      </c>
      <c r="I65" s="2" t="n">
        <v>1</v>
      </c>
      <c r="J65" s="2" t="inlineStr">
        <is>
          <t>skb-eval-8352-c5064</t>
        </is>
      </c>
      <c r="K65" s="2" t="n">
        <v>1453</v>
      </c>
      <c r="L65" s="2" t="n">
        <v>771</v>
      </c>
      <c r="M65" s="2" t="n">
        <v>1443</v>
      </c>
      <c r="N65" s="2" t="b">
        <v>1</v>
      </c>
      <c r="O65" s="2" t="b">
        <v>1</v>
      </c>
      <c r="P65" s="2" t="inlineStr">
        <is>
          <t>1302 1303 1301 c02c c030 009f cca9 cca8 ccaa c02b c02f 009e c024 c028 006b c023 c027 0067 c00a c014 0039 c009 c013 0033 009d 009c 003d 003c 0035 002f</t>
        </is>
      </c>
      <c r="Q65" s="2" t="inlineStr">
        <is>
          <t>0304 0303</t>
        </is>
      </c>
      <c r="R65" s="2" t="inlineStr">
        <is>
          <t>violation</t>
        </is>
      </c>
      <c r="S65" s="2" t="inlineStr">
        <is>
          <t>violation</t>
        </is>
      </c>
      <c r="T65" s="2">
        <f>K65=E65</f>
        <v/>
      </c>
      <c r="U65" s="2">
        <f>L65=F65</f>
        <v/>
      </c>
      <c r="V65" s="2">
        <f>IF(N65,EXACT(P65,G65),"")</f>
        <v/>
      </c>
      <c r="W65" s="2">
        <f>IF(O65,EXACT(Q65,H65),"")</f>
        <v/>
      </c>
      <c r="X65" s="2">
        <f>J65=C65</f>
        <v/>
      </c>
      <c r="Y65" s="2">
        <f>IF(R65="unknown","",R65=S65)</f>
        <v/>
      </c>
      <c r="Z65" s="2" t="inlineStr">
        <is>
          <t>A</t>
        </is>
      </c>
      <c r="AA65" s="2" t="inlineStr">
        <is>
          <t>A</t>
        </is>
      </c>
      <c r="AB65" s="2">
        <f>AND(N65,O65,A65&lt;&gt;"census-mixed")</f>
        <v/>
      </c>
      <c r="AC65" s="2">
        <f>IF(AB65,Z65=AA65,"")</f>
        <v/>
      </c>
    </row>
    <row r="66">
      <c r="A66" s="2" t="inlineStr">
        <is>
          <t>census</t>
        </is>
      </c>
      <c r="B66" s="2" t="inlineStr">
        <is>
          <t>openssl MLKEM768 (pure PQ)</t>
        </is>
      </c>
      <c r="C66" s="2" t="inlineStr">
        <is>
          <t>skb-eval-8352-c5065</t>
        </is>
      </c>
      <c r="D66" s="2" t="n">
        <v>5065</v>
      </c>
      <c r="E66" s="2" t="n">
        <v>1453</v>
      </c>
      <c r="F66" s="2" t="n">
        <v>771</v>
      </c>
      <c r="G66" s="2" t="inlineStr">
        <is>
          <t>1302 1303 1301 c02c c030 009f cca9 cca8 ccaa c02b c02f 009e c024 c028 006b c023 c027 0067 c00a c014 0039 c009 c013 0033 009d 009c 003d 003c 0035 002f</t>
        </is>
      </c>
      <c r="H66" s="2" t="inlineStr">
        <is>
          <t>0304 0303</t>
        </is>
      </c>
      <c r="I66" s="2" t="n">
        <v>1</v>
      </c>
      <c r="J66" s="2" t="inlineStr">
        <is>
          <t>skb-eval-8352-c5065</t>
        </is>
      </c>
      <c r="K66" s="2" t="n">
        <v>1453</v>
      </c>
      <c r="L66" s="2" t="n">
        <v>771</v>
      </c>
      <c r="M66" s="2" t="n">
        <v>1443</v>
      </c>
      <c r="N66" s="2" t="b">
        <v>1</v>
      </c>
      <c r="O66" s="2" t="b">
        <v>1</v>
      </c>
      <c r="P66" s="2" t="inlineStr">
        <is>
          <t>1302 1303 1301 c02c c030 009f cca9 cca8 ccaa c02b c02f 009e c024 c028 006b c023 c027 0067 c00a c014 0039 c009 c013 0033 009d 009c 003d 003c 0035 002f</t>
        </is>
      </c>
      <c r="Q66" s="2" t="inlineStr">
        <is>
          <t>0304 0303</t>
        </is>
      </c>
      <c r="R66" s="2" t="inlineStr">
        <is>
          <t>violation</t>
        </is>
      </c>
      <c r="S66" s="2" t="inlineStr">
        <is>
          <t>violation</t>
        </is>
      </c>
      <c r="T66" s="2">
        <f>K66=E66</f>
        <v/>
      </c>
      <c r="U66" s="2">
        <f>L66=F66</f>
        <v/>
      </c>
      <c r="V66" s="2">
        <f>IF(N66,EXACT(P66,G66),"")</f>
        <v/>
      </c>
      <c r="W66" s="2">
        <f>IF(O66,EXACT(Q66,H66),"")</f>
        <v/>
      </c>
      <c r="X66" s="2">
        <f>J66=C66</f>
        <v/>
      </c>
      <c r="Y66" s="2">
        <f>IF(R66="unknown","",R66=S66)</f>
        <v/>
      </c>
      <c r="Z66" s="2" t="inlineStr">
        <is>
          <t>A</t>
        </is>
      </c>
      <c r="AA66" s="2" t="inlineStr">
        <is>
          <t>A</t>
        </is>
      </c>
      <c r="AB66" s="2">
        <f>AND(N66,O66,A66&lt;&gt;"census-mixed")</f>
        <v/>
      </c>
      <c r="AC66" s="2">
        <f>IF(AB66,Z66=AA66,"")</f>
        <v/>
      </c>
    </row>
    <row r="67">
      <c r="A67" s="2" t="inlineStr">
        <is>
          <t>census</t>
        </is>
      </c>
      <c r="B67" s="2" t="inlineStr">
        <is>
          <t>openssl MLKEM768 (pure PQ)</t>
        </is>
      </c>
      <c r="C67" s="2" t="inlineStr">
        <is>
          <t>skb-eval-8352-c5066</t>
        </is>
      </c>
      <c r="D67" s="2" t="n">
        <v>5066</v>
      </c>
      <c r="E67" s="2" t="n">
        <v>1453</v>
      </c>
      <c r="F67" s="2" t="n">
        <v>771</v>
      </c>
      <c r="G67" s="2" t="inlineStr">
        <is>
          <t>1302 1303 1301 c02c c030 009f cca9 cca8 ccaa c02b c02f 009e c024 c028 006b c023 c027 0067 c00a c014 0039 c009 c013 0033 009d 009c 003d 003c 0035 002f</t>
        </is>
      </c>
      <c r="H67" s="2" t="inlineStr">
        <is>
          <t>0304 0303</t>
        </is>
      </c>
      <c r="I67" s="2" t="n">
        <v>1</v>
      </c>
      <c r="J67" s="2" t="inlineStr">
        <is>
          <t>skb-eval-8352-c5066</t>
        </is>
      </c>
      <c r="K67" s="2" t="n">
        <v>1453</v>
      </c>
      <c r="L67" s="2" t="n">
        <v>771</v>
      </c>
      <c r="M67" s="2" t="n">
        <v>1443</v>
      </c>
      <c r="N67" s="2" t="b">
        <v>1</v>
      </c>
      <c r="O67" s="2" t="b">
        <v>1</v>
      </c>
      <c r="P67" s="2" t="inlineStr">
        <is>
          <t>1302 1303 1301 c02c c030 009f cca9 cca8 ccaa c02b c02f 009e c024 c028 006b c023 c027 0067 c00a c014 0039 c009 c013 0033 009d 009c 003d 003c 0035 002f</t>
        </is>
      </c>
      <c r="Q67" s="2" t="inlineStr">
        <is>
          <t>0304 0303</t>
        </is>
      </c>
      <c r="R67" s="2" t="inlineStr">
        <is>
          <t>violation</t>
        </is>
      </c>
      <c r="S67" s="2" t="inlineStr">
        <is>
          <t>violation</t>
        </is>
      </c>
      <c r="T67" s="2">
        <f>K67=E67</f>
        <v/>
      </c>
      <c r="U67" s="2">
        <f>L67=F67</f>
        <v/>
      </c>
      <c r="V67" s="2">
        <f>IF(N67,EXACT(P67,G67),"")</f>
        <v/>
      </c>
      <c r="W67" s="2">
        <f>IF(O67,EXACT(Q67,H67),"")</f>
        <v/>
      </c>
      <c r="X67" s="2">
        <f>J67=C67</f>
        <v/>
      </c>
      <c r="Y67" s="2">
        <f>IF(R67="unknown","",R67=S67)</f>
        <v/>
      </c>
      <c r="Z67" s="2" t="inlineStr">
        <is>
          <t>A</t>
        </is>
      </c>
      <c r="AA67" s="2" t="inlineStr">
        <is>
          <t>A</t>
        </is>
      </c>
      <c r="AB67" s="2">
        <f>AND(N67,O67,A67&lt;&gt;"census-mixed")</f>
        <v/>
      </c>
      <c r="AC67" s="2">
        <f>IF(AB67,Z67=AA67,"")</f>
        <v/>
      </c>
    </row>
    <row r="68">
      <c r="A68" s="2" t="inlineStr">
        <is>
          <t>census</t>
        </is>
      </c>
      <c r="B68" s="2" t="inlineStr">
        <is>
          <t>openssl MLKEM768 (pure PQ)</t>
        </is>
      </c>
      <c r="C68" s="2" t="inlineStr">
        <is>
          <t>skb-eval-8352-c5067</t>
        </is>
      </c>
      <c r="D68" s="2" t="n">
        <v>5067</v>
      </c>
      <c r="E68" s="2" t="n">
        <v>1453</v>
      </c>
      <c r="F68" s="2" t="n">
        <v>771</v>
      </c>
      <c r="G68" s="2" t="inlineStr">
        <is>
          <t>1302 1303 1301 c02c c030 009f cca9 cca8 ccaa c02b c02f 009e c024 c028 006b c023 c027 0067 c00a c014 0039 c009 c013 0033 009d 009c 003d 003c 0035 002f</t>
        </is>
      </c>
      <c r="H68" s="2" t="inlineStr">
        <is>
          <t>0304 0303</t>
        </is>
      </c>
      <c r="I68" s="2" t="n">
        <v>1</v>
      </c>
      <c r="J68" s="2" t="inlineStr">
        <is>
          <t>skb-eval-8352-c5067</t>
        </is>
      </c>
      <c r="K68" s="2" t="n">
        <v>1453</v>
      </c>
      <c r="L68" s="2" t="n">
        <v>771</v>
      </c>
      <c r="M68" s="2" t="n">
        <v>1443</v>
      </c>
      <c r="N68" s="2" t="b">
        <v>1</v>
      </c>
      <c r="O68" s="2" t="b">
        <v>1</v>
      </c>
      <c r="P68" s="2" t="inlineStr">
        <is>
          <t>1302 1303 1301 c02c c030 009f cca9 cca8 ccaa c02b c02f 009e c024 c028 006b c023 c027 0067 c00a c014 0039 c009 c013 0033 009d 009c 003d 003c 0035 002f</t>
        </is>
      </c>
      <c r="Q68" s="2" t="inlineStr">
        <is>
          <t>0304 0303</t>
        </is>
      </c>
      <c r="R68" s="2" t="inlineStr">
        <is>
          <t>violation</t>
        </is>
      </c>
      <c r="S68" s="2" t="inlineStr">
        <is>
          <t>violation</t>
        </is>
      </c>
      <c r="T68" s="2">
        <f>K68=E68</f>
        <v/>
      </c>
      <c r="U68" s="2">
        <f>L68=F68</f>
        <v/>
      </c>
      <c r="V68" s="2">
        <f>IF(N68,EXACT(P68,G68),"")</f>
        <v/>
      </c>
      <c r="W68" s="2">
        <f>IF(O68,EXACT(Q68,H68),"")</f>
        <v/>
      </c>
      <c r="X68" s="2">
        <f>J68=C68</f>
        <v/>
      </c>
      <c r="Y68" s="2">
        <f>IF(R68="unknown","",R68=S68)</f>
        <v/>
      </c>
      <c r="Z68" s="2" t="inlineStr">
        <is>
          <t>A</t>
        </is>
      </c>
      <c r="AA68" s="2" t="inlineStr">
        <is>
          <t>A</t>
        </is>
      </c>
      <c r="AB68" s="2">
        <f>AND(N68,O68,A68&lt;&gt;"census-mixed")</f>
        <v/>
      </c>
      <c r="AC68" s="2">
        <f>IF(AB68,Z68=AA68,"")</f>
        <v/>
      </c>
    </row>
    <row r="69">
      <c r="A69" s="2" t="inlineStr">
        <is>
          <t>census</t>
        </is>
      </c>
      <c r="B69" s="2" t="inlineStr">
        <is>
          <t>openssl MLKEM768 (pure PQ)</t>
        </is>
      </c>
      <c r="C69" s="2" t="inlineStr">
        <is>
          <t>skb-eval-8352-c5068</t>
        </is>
      </c>
      <c r="D69" s="2" t="n">
        <v>5068</v>
      </c>
      <c r="E69" s="2" t="n">
        <v>1453</v>
      </c>
      <c r="F69" s="2" t="n">
        <v>771</v>
      </c>
      <c r="G69" s="2" t="inlineStr">
        <is>
          <t>1302 1303 1301 c02c c030 009f cca9 cca8 ccaa c02b c02f 009e c024 c028 006b c023 c027 0067 c00a c014 0039 c009 c013 0033 009d 009c 003d 003c 0035 002f</t>
        </is>
      </c>
      <c r="H69" s="2" t="inlineStr">
        <is>
          <t>0304 0303</t>
        </is>
      </c>
      <c r="I69" s="2" t="n">
        <v>1</v>
      </c>
      <c r="J69" s="2" t="inlineStr">
        <is>
          <t>skb-eval-8352-c5068</t>
        </is>
      </c>
      <c r="K69" s="2" t="n">
        <v>1453</v>
      </c>
      <c r="L69" s="2" t="n">
        <v>771</v>
      </c>
      <c r="M69" s="2" t="n">
        <v>1443</v>
      </c>
      <c r="N69" s="2" t="b">
        <v>1</v>
      </c>
      <c r="O69" s="2" t="b">
        <v>1</v>
      </c>
      <c r="P69" s="2" t="inlineStr">
        <is>
          <t>1302 1303 1301 c02c c030 009f cca9 cca8 ccaa c02b c02f 009e c024 c028 006b c023 c027 0067 c00a c014 0039 c009 c013 0033 009d 009c 003d 003c 0035 002f</t>
        </is>
      </c>
      <c r="Q69" s="2" t="inlineStr">
        <is>
          <t>0304 0303</t>
        </is>
      </c>
      <c r="R69" s="2" t="inlineStr">
        <is>
          <t>violation</t>
        </is>
      </c>
      <c r="S69" s="2" t="inlineStr">
        <is>
          <t>violation</t>
        </is>
      </c>
      <c r="T69" s="2">
        <f>K69=E69</f>
        <v/>
      </c>
      <c r="U69" s="2">
        <f>L69=F69</f>
        <v/>
      </c>
      <c r="V69" s="2">
        <f>IF(N69,EXACT(P69,G69),"")</f>
        <v/>
      </c>
      <c r="W69" s="2">
        <f>IF(O69,EXACT(Q69,H69),"")</f>
        <v/>
      </c>
      <c r="X69" s="2">
        <f>J69=C69</f>
        <v/>
      </c>
      <c r="Y69" s="2">
        <f>IF(R69="unknown","",R69=S69)</f>
        <v/>
      </c>
      <c r="Z69" s="2" t="inlineStr">
        <is>
          <t>A</t>
        </is>
      </c>
      <c r="AA69" s="2" t="inlineStr">
        <is>
          <t>A</t>
        </is>
      </c>
      <c r="AB69" s="2">
        <f>AND(N69,O69,A69&lt;&gt;"census-mixed")</f>
        <v/>
      </c>
      <c r="AC69" s="2">
        <f>IF(AB69,Z69=AA69,"")</f>
        <v/>
      </c>
    </row>
    <row r="70">
      <c r="A70" s="2" t="inlineStr">
        <is>
          <t>census</t>
        </is>
      </c>
      <c r="B70" s="2" t="inlineStr">
        <is>
          <t>openssl MLKEM768 (pure PQ)</t>
        </is>
      </c>
      <c r="C70" s="2" t="inlineStr">
        <is>
          <t>skb-eval-8352-c5069</t>
        </is>
      </c>
      <c r="D70" s="2" t="n">
        <v>5069</v>
      </c>
      <c r="E70" s="2" t="n">
        <v>1453</v>
      </c>
      <c r="F70" s="2" t="n">
        <v>771</v>
      </c>
      <c r="G70" s="2" t="inlineStr">
        <is>
          <t>1302 1303 1301 c02c c030 009f cca9 cca8 ccaa c02b c02f 009e c024 c028 006b c023 c027 0067 c00a c014 0039 c009 c013 0033 009d 009c 003d 003c 0035 002f</t>
        </is>
      </c>
      <c r="H70" s="2" t="inlineStr">
        <is>
          <t>0304 0303</t>
        </is>
      </c>
      <c r="I70" s="2" t="n">
        <v>1</v>
      </c>
      <c r="J70" s="2" t="inlineStr">
        <is>
          <t>skb-eval-8352-c5069</t>
        </is>
      </c>
      <c r="K70" s="2" t="n">
        <v>1453</v>
      </c>
      <c r="L70" s="2" t="n">
        <v>771</v>
      </c>
      <c r="M70" s="2" t="n">
        <v>1443</v>
      </c>
      <c r="N70" s="2" t="b">
        <v>1</v>
      </c>
      <c r="O70" s="2" t="b">
        <v>1</v>
      </c>
      <c r="P70" s="2" t="inlineStr">
        <is>
          <t>1302 1303 1301 c02c c030 009f cca9 cca8 ccaa c02b c02f 009e c024 c028 006b c023 c027 0067 c00a c014 0039 c009 c013 0033 009d 009c 003d 003c 0035 002f</t>
        </is>
      </c>
      <c r="Q70" s="2" t="inlineStr">
        <is>
          <t>0304 0303</t>
        </is>
      </c>
      <c r="R70" s="2" t="inlineStr">
        <is>
          <t>violation</t>
        </is>
      </c>
      <c r="S70" s="2" t="inlineStr">
        <is>
          <t>violation</t>
        </is>
      </c>
      <c r="T70" s="2">
        <f>K70=E70</f>
        <v/>
      </c>
      <c r="U70" s="2">
        <f>L70=F70</f>
        <v/>
      </c>
      <c r="V70" s="2">
        <f>IF(N70,EXACT(P70,G70),"")</f>
        <v/>
      </c>
      <c r="W70" s="2">
        <f>IF(O70,EXACT(Q70,H70),"")</f>
        <v/>
      </c>
      <c r="X70" s="2">
        <f>J70=C70</f>
        <v/>
      </c>
      <c r="Y70" s="2">
        <f>IF(R70="unknown","",R70=S70)</f>
        <v/>
      </c>
      <c r="Z70" s="2" t="inlineStr">
        <is>
          <t>A</t>
        </is>
      </c>
      <c r="AA70" s="2" t="inlineStr">
        <is>
          <t>A</t>
        </is>
      </c>
      <c r="AB70" s="2">
        <f>AND(N70,O70,A70&lt;&gt;"census-mixed")</f>
        <v/>
      </c>
      <c r="AC70" s="2">
        <f>IF(AB70,Z70=AA70,"")</f>
        <v/>
      </c>
    </row>
    <row r="71">
      <c r="A71" s="2" t="inlineStr">
        <is>
          <t>census</t>
        </is>
      </c>
      <c r="B71" s="2" t="inlineStr">
        <is>
          <t>openssl MLKEM768 (pure PQ)</t>
        </is>
      </c>
      <c r="C71" s="2" t="inlineStr">
        <is>
          <t>skb-eval-8352-c5070</t>
        </is>
      </c>
      <c r="D71" s="2" t="n">
        <v>5070</v>
      </c>
      <c r="E71" s="2" t="n">
        <v>1453</v>
      </c>
      <c r="F71" s="2" t="n">
        <v>771</v>
      </c>
      <c r="G71" s="2" t="inlineStr">
        <is>
          <t>1302 1303 1301 c02c c030 009f cca9 cca8 ccaa c02b c02f 009e c024 c028 006b c023 c027 0067 c00a c014 0039 c009 c013 0033 009d 009c 003d 003c 0035 002f</t>
        </is>
      </c>
      <c r="H71" s="2" t="inlineStr">
        <is>
          <t>0304 0303</t>
        </is>
      </c>
      <c r="I71" s="2" t="n">
        <v>1</v>
      </c>
      <c r="J71" s="2" t="inlineStr">
        <is>
          <t>skb-eval-8352-c5070</t>
        </is>
      </c>
      <c r="K71" s="2" t="n">
        <v>1453</v>
      </c>
      <c r="L71" s="2" t="n">
        <v>771</v>
      </c>
      <c r="M71" s="2" t="n">
        <v>1443</v>
      </c>
      <c r="N71" s="2" t="b">
        <v>1</v>
      </c>
      <c r="O71" s="2" t="b">
        <v>1</v>
      </c>
      <c r="P71" s="2" t="inlineStr">
        <is>
          <t>1302 1303 1301 c02c c030 009f cca9 cca8 ccaa c02b c02f 009e c024 c028 006b c023 c027 0067 c00a c014 0039 c009 c013 0033 009d 009c 003d 003c 0035 002f</t>
        </is>
      </c>
      <c r="Q71" s="2" t="inlineStr">
        <is>
          <t>0304 0303</t>
        </is>
      </c>
      <c r="R71" s="2" t="inlineStr">
        <is>
          <t>violation</t>
        </is>
      </c>
      <c r="S71" s="2" t="inlineStr">
        <is>
          <t>violation</t>
        </is>
      </c>
      <c r="T71" s="2">
        <f>K71=E71</f>
        <v/>
      </c>
      <c r="U71" s="2">
        <f>L71=F71</f>
        <v/>
      </c>
      <c r="V71" s="2">
        <f>IF(N71,EXACT(P71,G71),"")</f>
        <v/>
      </c>
      <c r="W71" s="2">
        <f>IF(O71,EXACT(Q71,H71),"")</f>
        <v/>
      </c>
      <c r="X71" s="2">
        <f>J71=C71</f>
        <v/>
      </c>
      <c r="Y71" s="2">
        <f>IF(R71="unknown","",R71=S71)</f>
        <v/>
      </c>
      <c r="Z71" s="2" t="inlineStr">
        <is>
          <t>A</t>
        </is>
      </c>
      <c r="AA71" s="2" t="inlineStr">
        <is>
          <t>A</t>
        </is>
      </c>
      <c r="AB71" s="2">
        <f>AND(N71,O71,A71&lt;&gt;"census-mixed")</f>
        <v/>
      </c>
      <c r="AC71" s="2">
        <f>IF(AB71,Z71=AA71,"")</f>
        <v/>
      </c>
    </row>
    <row r="72">
      <c r="A72" s="2" t="inlineStr">
        <is>
          <t>census</t>
        </is>
      </c>
      <c r="B72" s="2" t="inlineStr">
        <is>
          <t>openssl MLKEM1024 (pure PQ)</t>
        </is>
      </c>
      <c r="C72" s="2" t="inlineStr">
        <is>
          <t>skb-eval-8352-c5071</t>
        </is>
      </c>
      <c r="D72" s="2" t="n">
        <v>5071</v>
      </c>
      <c r="E72" s="2" t="n">
        <v>1837</v>
      </c>
      <c r="F72" s="2" t="n">
        <v>771</v>
      </c>
      <c r="G72" s="2" t="inlineStr">
        <is>
          <t>1302 1303 1301 c02c c030 009f cca9 cca8 ccaa c02b c02f 009e c024 c028 006b c023 c027 0067 c00a c014 0039 c009 c013 0033 009d 009c 003d 003c 0035 002f</t>
        </is>
      </c>
      <c r="H72" s="2" t="inlineStr">
        <is>
          <t>0304 0303</t>
        </is>
      </c>
      <c r="I72" s="2" t="n">
        <v>1</v>
      </c>
      <c r="J72" s="2" t="inlineStr">
        <is>
          <t>skb-eval-8352-c5071</t>
        </is>
      </c>
      <c r="K72" s="2" t="n">
        <v>1837</v>
      </c>
      <c r="L72" s="2" t="n">
        <v>771</v>
      </c>
      <c r="M72" s="2" t="n">
        <v>1443</v>
      </c>
      <c r="N72" s="2" t="b">
        <v>1</v>
      </c>
      <c r="O72" s="2" t="b">
        <v>1</v>
      </c>
      <c r="P72" s="2" t="inlineStr">
        <is>
          <t>1302 1303 1301 c02c c030 009f cca9 cca8 ccaa c02b c02f 009e c024 c028 006b c023 c027 0067 c00a c014 0039 c009 c013 0033 009d 009c 003d 003c 0035 002f</t>
        </is>
      </c>
      <c r="Q72" s="2" t="inlineStr">
        <is>
          <t>0304 0303</t>
        </is>
      </c>
      <c r="R72" s="2" t="inlineStr">
        <is>
          <t>violation</t>
        </is>
      </c>
      <c r="S72" s="2" t="inlineStr">
        <is>
          <t>violation</t>
        </is>
      </c>
      <c r="T72" s="2">
        <f>K72=E72</f>
        <v/>
      </c>
      <c r="U72" s="2">
        <f>L72=F72</f>
        <v/>
      </c>
      <c r="V72" s="2">
        <f>IF(N72,EXACT(P72,G72),"")</f>
        <v/>
      </c>
      <c r="W72" s="2">
        <f>IF(O72,EXACT(Q72,H72),"")</f>
        <v/>
      </c>
      <c r="X72" s="2">
        <f>J72=C72</f>
        <v/>
      </c>
      <c r="Y72" s="2">
        <f>IF(R72="unknown","",R72=S72)</f>
        <v/>
      </c>
      <c r="Z72" s="2" t="inlineStr">
        <is>
          <t>A</t>
        </is>
      </c>
      <c r="AA72" s="2" t="inlineStr">
        <is>
          <t>A</t>
        </is>
      </c>
      <c r="AB72" s="2">
        <f>AND(N72,O72,A72&lt;&gt;"census-mixed")</f>
        <v/>
      </c>
      <c r="AC72" s="2">
        <f>IF(AB72,Z72=AA72,"")</f>
        <v/>
      </c>
    </row>
    <row r="73">
      <c r="A73" s="2" t="inlineStr">
        <is>
          <t>census</t>
        </is>
      </c>
      <c r="B73" s="2" t="inlineStr">
        <is>
          <t>openssl MLKEM1024 (pure PQ)</t>
        </is>
      </c>
      <c r="C73" s="2" t="inlineStr">
        <is>
          <t>skb-eval-8352-c5072</t>
        </is>
      </c>
      <c r="D73" s="2" t="n">
        <v>5072</v>
      </c>
      <c r="E73" s="2" t="n">
        <v>1837</v>
      </c>
      <c r="F73" s="2" t="n">
        <v>771</v>
      </c>
      <c r="G73" s="2" t="inlineStr">
        <is>
          <t>1302 1303 1301 c02c c030 009f cca9 cca8 ccaa c02b c02f 009e c024 c028 006b c023 c027 0067 c00a c014 0039 c009 c013 0033 009d 009c 003d 003c 0035 002f</t>
        </is>
      </c>
      <c r="H73" s="2" t="inlineStr">
        <is>
          <t>0304 0303</t>
        </is>
      </c>
      <c r="I73" s="2" t="n">
        <v>1</v>
      </c>
      <c r="J73" s="2" t="inlineStr">
        <is>
          <t>skb-eval-8352-c5072</t>
        </is>
      </c>
      <c r="K73" s="2" t="n">
        <v>1837</v>
      </c>
      <c r="L73" s="2" t="n">
        <v>771</v>
      </c>
      <c r="M73" s="2" t="n">
        <v>1443</v>
      </c>
      <c r="N73" s="2" t="b">
        <v>1</v>
      </c>
      <c r="O73" s="2" t="b">
        <v>1</v>
      </c>
      <c r="P73" s="2" t="inlineStr">
        <is>
          <t>1302 1303 1301 c02c c030 009f cca9 cca8 ccaa c02b c02f 009e c024 c028 006b c023 c027 0067 c00a c014 0039 c009 c013 0033 009d 009c 003d 003c 0035 002f</t>
        </is>
      </c>
      <c r="Q73" s="2" t="inlineStr">
        <is>
          <t>0304 0303</t>
        </is>
      </c>
      <c r="R73" s="2" t="inlineStr">
        <is>
          <t>violation</t>
        </is>
      </c>
      <c r="S73" s="2" t="inlineStr">
        <is>
          <t>violation</t>
        </is>
      </c>
      <c r="T73" s="2">
        <f>K73=E73</f>
        <v/>
      </c>
      <c r="U73" s="2">
        <f>L73=F73</f>
        <v/>
      </c>
      <c r="V73" s="2">
        <f>IF(N73,EXACT(P73,G73),"")</f>
        <v/>
      </c>
      <c r="W73" s="2">
        <f>IF(O73,EXACT(Q73,H73),"")</f>
        <v/>
      </c>
      <c r="X73" s="2">
        <f>J73=C73</f>
        <v/>
      </c>
      <c r="Y73" s="2">
        <f>IF(R73="unknown","",R73=S73)</f>
        <v/>
      </c>
      <c r="Z73" s="2" t="inlineStr">
        <is>
          <t>A</t>
        </is>
      </c>
      <c r="AA73" s="2" t="inlineStr">
        <is>
          <t>A</t>
        </is>
      </c>
      <c r="AB73" s="2">
        <f>AND(N73,O73,A73&lt;&gt;"census-mixed")</f>
        <v/>
      </c>
      <c r="AC73" s="2">
        <f>IF(AB73,Z73=AA73,"")</f>
        <v/>
      </c>
    </row>
    <row r="74">
      <c r="A74" s="2" t="inlineStr">
        <is>
          <t>census</t>
        </is>
      </c>
      <c r="B74" s="2" t="inlineStr">
        <is>
          <t>openssl MLKEM1024 (pure PQ)</t>
        </is>
      </c>
      <c r="C74" s="2" t="inlineStr">
        <is>
          <t>skb-eval-8352-c5073</t>
        </is>
      </c>
      <c r="D74" s="2" t="n">
        <v>5073</v>
      </c>
      <c r="E74" s="2" t="n">
        <v>1837</v>
      </c>
      <c r="F74" s="2" t="n">
        <v>771</v>
      </c>
      <c r="G74" s="2" t="inlineStr">
        <is>
          <t>1302 1303 1301 c02c c030 009f cca9 cca8 ccaa c02b c02f 009e c024 c028 006b c023 c027 0067 c00a c014 0039 c009 c013 0033 009d 009c 003d 003c 0035 002f</t>
        </is>
      </c>
      <c r="H74" s="2" t="inlineStr">
        <is>
          <t>0304 0303</t>
        </is>
      </c>
      <c r="I74" s="2" t="n">
        <v>1</v>
      </c>
      <c r="J74" s="2" t="inlineStr">
        <is>
          <t>skb-eval-8352-c5073</t>
        </is>
      </c>
      <c r="K74" s="2" t="n">
        <v>1837</v>
      </c>
      <c r="L74" s="2" t="n">
        <v>771</v>
      </c>
      <c r="M74" s="2" t="n">
        <v>1443</v>
      </c>
      <c r="N74" s="2" t="b">
        <v>1</v>
      </c>
      <c r="O74" s="2" t="b">
        <v>1</v>
      </c>
      <c r="P74" s="2" t="inlineStr">
        <is>
          <t>1302 1303 1301 c02c c030 009f cca9 cca8 ccaa c02b c02f 009e c024 c028 006b c023 c027 0067 c00a c014 0039 c009 c013 0033 009d 009c 003d 003c 0035 002f</t>
        </is>
      </c>
      <c r="Q74" s="2" t="inlineStr">
        <is>
          <t>0304 0303</t>
        </is>
      </c>
      <c r="R74" s="2" t="inlineStr">
        <is>
          <t>violation</t>
        </is>
      </c>
      <c r="S74" s="2" t="inlineStr">
        <is>
          <t>violation</t>
        </is>
      </c>
      <c r="T74" s="2">
        <f>K74=E74</f>
        <v/>
      </c>
      <c r="U74" s="2">
        <f>L74=F74</f>
        <v/>
      </c>
      <c r="V74" s="2">
        <f>IF(N74,EXACT(P74,G74),"")</f>
        <v/>
      </c>
      <c r="W74" s="2">
        <f>IF(O74,EXACT(Q74,H74),"")</f>
        <v/>
      </c>
      <c r="X74" s="2">
        <f>J74=C74</f>
        <v/>
      </c>
      <c r="Y74" s="2">
        <f>IF(R74="unknown","",R74=S74)</f>
        <v/>
      </c>
      <c r="Z74" s="2" t="inlineStr">
        <is>
          <t>A</t>
        </is>
      </c>
      <c r="AA74" s="2" t="inlineStr">
        <is>
          <t>A</t>
        </is>
      </c>
      <c r="AB74" s="2">
        <f>AND(N74,O74,A74&lt;&gt;"census-mixed")</f>
        <v/>
      </c>
      <c r="AC74" s="2">
        <f>IF(AB74,Z74=AA74,"")</f>
        <v/>
      </c>
    </row>
    <row r="75">
      <c r="A75" s="2" t="inlineStr">
        <is>
          <t>census</t>
        </is>
      </c>
      <c r="B75" s="2" t="inlineStr">
        <is>
          <t>openssl MLKEM1024 (pure PQ)</t>
        </is>
      </c>
      <c r="C75" s="2" t="inlineStr">
        <is>
          <t>skb-eval-8352-c5074</t>
        </is>
      </c>
      <c r="D75" s="2" t="n">
        <v>5074</v>
      </c>
      <c r="E75" s="2" t="n">
        <v>1837</v>
      </c>
      <c r="F75" s="2" t="n">
        <v>771</v>
      </c>
      <c r="G75" s="2" t="inlineStr">
        <is>
          <t>1302 1303 1301 c02c c030 009f cca9 cca8 ccaa c02b c02f 009e c024 c028 006b c023 c027 0067 c00a c014 0039 c009 c013 0033 009d 009c 003d 003c 0035 002f</t>
        </is>
      </c>
      <c r="H75" s="2" t="inlineStr">
        <is>
          <t>0304 0303</t>
        </is>
      </c>
      <c r="I75" s="2" t="n">
        <v>1</v>
      </c>
      <c r="J75" s="2" t="inlineStr">
        <is>
          <t>skb-eval-8352-c5074</t>
        </is>
      </c>
      <c r="K75" s="2" t="n">
        <v>1837</v>
      </c>
      <c r="L75" s="2" t="n">
        <v>771</v>
      </c>
      <c r="M75" s="2" t="n">
        <v>1443</v>
      </c>
      <c r="N75" s="2" t="b">
        <v>1</v>
      </c>
      <c r="O75" s="2" t="b">
        <v>1</v>
      </c>
      <c r="P75" s="2" t="inlineStr">
        <is>
          <t>1302 1303 1301 c02c c030 009f cca9 cca8 ccaa c02b c02f 009e c024 c028 006b c023 c027 0067 c00a c014 0039 c009 c013 0033 009d 009c 003d 003c 0035 002f</t>
        </is>
      </c>
      <c r="Q75" s="2" t="inlineStr">
        <is>
          <t>0304 0303</t>
        </is>
      </c>
      <c r="R75" s="2" t="inlineStr">
        <is>
          <t>violation</t>
        </is>
      </c>
      <c r="S75" s="2" t="inlineStr">
        <is>
          <t>violation</t>
        </is>
      </c>
      <c r="T75" s="2">
        <f>K75=E75</f>
        <v/>
      </c>
      <c r="U75" s="2">
        <f>L75=F75</f>
        <v/>
      </c>
      <c r="V75" s="2">
        <f>IF(N75,EXACT(P75,G75),"")</f>
        <v/>
      </c>
      <c r="W75" s="2">
        <f>IF(O75,EXACT(Q75,H75),"")</f>
        <v/>
      </c>
      <c r="X75" s="2">
        <f>J75=C75</f>
        <v/>
      </c>
      <c r="Y75" s="2">
        <f>IF(R75="unknown","",R75=S75)</f>
        <v/>
      </c>
      <c r="Z75" s="2" t="inlineStr">
        <is>
          <t>A</t>
        </is>
      </c>
      <c r="AA75" s="2" t="inlineStr">
        <is>
          <t>A</t>
        </is>
      </c>
      <c r="AB75" s="2">
        <f>AND(N75,O75,A75&lt;&gt;"census-mixed")</f>
        <v/>
      </c>
      <c r="AC75" s="2">
        <f>IF(AB75,Z75=AA75,"")</f>
        <v/>
      </c>
    </row>
    <row r="76">
      <c r="A76" s="2" t="inlineStr">
        <is>
          <t>census</t>
        </is>
      </c>
      <c r="B76" s="2" t="inlineStr">
        <is>
          <t>openssl MLKEM1024 (pure PQ)</t>
        </is>
      </c>
      <c r="C76" s="2" t="inlineStr">
        <is>
          <t>skb-eval-8352-c5075</t>
        </is>
      </c>
      <c r="D76" s="2" t="n">
        <v>5075</v>
      </c>
      <c r="E76" s="2" t="n">
        <v>1837</v>
      </c>
      <c r="F76" s="2" t="n">
        <v>771</v>
      </c>
      <c r="G76" s="2" t="inlineStr">
        <is>
          <t>1302 1303 1301 c02c c030 009f cca9 cca8 ccaa c02b c02f 009e c024 c028 006b c023 c027 0067 c00a c014 0039 c009 c013 0033 009d 009c 003d 003c 0035 002f</t>
        </is>
      </c>
      <c r="H76" s="2" t="inlineStr">
        <is>
          <t>0304 0303</t>
        </is>
      </c>
      <c r="I76" s="2" t="n">
        <v>1</v>
      </c>
      <c r="J76" s="2" t="inlineStr">
        <is>
          <t>skb-eval-8352-c5075</t>
        </is>
      </c>
      <c r="K76" s="2" t="n">
        <v>1837</v>
      </c>
      <c r="L76" s="2" t="n">
        <v>771</v>
      </c>
      <c r="M76" s="2" t="n">
        <v>1443</v>
      </c>
      <c r="N76" s="2" t="b">
        <v>1</v>
      </c>
      <c r="O76" s="2" t="b">
        <v>1</v>
      </c>
      <c r="P76" s="2" t="inlineStr">
        <is>
          <t>1302 1303 1301 c02c c030 009f cca9 cca8 ccaa c02b c02f 009e c024 c028 006b c023 c027 0067 c00a c014 0039 c009 c013 0033 009d 009c 003d 003c 0035 002f</t>
        </is>
      </c>
      <c r="Q76" s="2" t="inlineStr">
        <is>
          <t>0304 0303</t>
        </is>
      </c>
      <c r="R76" s="2" t="inlineStr">
        <is>
          <t>violation</t>
        </is>
      </c>
      <c r="S76" s="2" t="inlineStr">
        <is>
          <t>violation</t>
        </is>
      </c>
      <c r="T76" s="2">
        <f>K76=E76</f>
        <v/>
      </c>
      <c r="U76" s="2">
        <f>L76=F76</f>
        <v/>
      </c>
      <c r="V76" s="2">
        <f>IF(N76,EXACT(P76,G76),"")</f>
        <v/>
      </c>
      <c r="W76" s="2">
        <f>IF(O76,EXACT(Q76,H76),"")</f>
        <v/>
      </c>
      <c r="X76" s="2">
        <f>J76=C76</f>
        <v/>
      </c>
      <c r="Y76" s="2">
        <f>IF(R76="unknown","",R76=S76)</f>
        <v/>
      </c>
      <c r="Z76" s="2" t="inlineStr">
        <is>
          <t>A</t>
        </is>
      </c>
      <c r="AA76" s="2" t="inlineStr">
        <is>
          <t>A</t>
        </is>
      </c>
      <c r="AB76" s="2">
        <f>AND(N76,O76,A76&lt;&gt;"census-mixed")</f>
        <v/>
      </c>
      <c r="AC76" s="2">
        <f>IF(AB76,Z76=AA76,"")</f>
        <v/>
      </c>
    </row>
    <row r="77">
      <c r="A77" s="2" t="inlineStr">
        <is>
          <t>census</t>
        </is>
      </c>
      <c r="B77" s="2" t="inlineStr">
        <is>
          <t>openssl MLKEM1024 (pure PQ)</t>
        </is>
      </c>
      <c r="C77" s="2" t="inlineStr">
        <is>
          <t>skb-eval-8352-c5076</t>
        </is>
      </c>
      <c r="D77" s="2" t="n">
        <v>5076</v>
      </c>
      <c r="E77" s="2" t="n">
        <v>1837</v>
      </c>
      <c r="F77" s="2" t="n">
        <v>771</v>
      </c>
      <c r="G77" s="2" t="inlineStr">
        <is>
          <t>1302 1303 1301 c02c c030 009f cca9 cca8 ccaa c02b c02f 009e c024 c028 006b c023 c027 0067 c00a c014 0039 c009 c013 0033 009d 009c 003d 003c 0035 002f</t>
        </is>
      </c>
      <c r="H77" s="2" t="inlineStr">
        <is>
          <t>0304 0303</t>
        </is>
      </c>
      <c r="I77" s="2" t="n">
        <v>1</v>
      </c>
      <c r="J77" s="2" t="inlineStr">
        <is>
          <t>skb-eval-8352-c5076</t>
        </is>
      </c>
      <c r="K77" s="2" t="n">
        <v>1837</v>
      </c>
      <c r="L77" s="2" t="n">
        <v>771</v>
      </c>
      <c r="M77" s="2" t="n">
        <v>1443</v>
      </c>
      <c r="N77" s="2" t="b">
        <v>1</v>
      </c>
      <c r="O77" s="2" t="b">
        <v>1</v>
      </c>
      <c r="P77" s="2" t="inlineStr">
        <is>
          <t>1302 1303 1301 c02c c030 009f cca9 cca8 ccaa c02b c02f 009e c024 c028 006b c023 c027 0067 c00a c014 0039 c009 c013 0033 009d 009c 003d 003c 0035 002f</t>
        </is>
      </c>
      <c r="Q77" s="2" t="inlineStr">
        <is>
          <t>0304 0303</t>
        </is>
      </c>
      <c r="R77" s="2" t="inlineStr">
        <is>
          <t>violation</t>
        </is>
      </c>
      <c r="S77" s="2" t="inlineStr">
        <is>
          <t>violation</t>
        </is>
      </c>
      <c r="T77" s="2">
        <f>K77=E77</f>
        <v/>
      </c>
      <c r="U77" s="2">
        <f>L77=F77</f>
        <v/>
      </c>
      <c r="V77" s="2">
        <f>IF(N77,EXACT(P77,G77),"")</f>
        <v/>
      </c>
      <c r="W77" s="2">
        <f>IF(O77,EXACT(Q77,H77),"")</f>
        <v/>
      </c>
      <c r="X77" s="2">
        <f>J77=C77</f>
        <v/>
      </c>
      <c r="Y77" s="2">
        <f>IF(R77="unknown","",R77=S77)</f>
        <v/>
      </c>
      <c r="Z77" s="2" t="inlineStr">
        <is>
          <t>A</t>
        </is>
      </c>
      <c r="AA77" s="2" t="inlineStr">
        <is>
          <t>A</t>
        </is>
      </c>
      <c r="AB77" s="2">
        <f>AND(N77,O77,A77&lt;&gt;"census-mixed")</f>
        <v/>
      </c>
      <c r="AC77" s="2">
        <f>IF(AB77,Z77=AA77,"")</f>
        <v/>
      </c>
    </row>
    <row r="78">
      <c r="A78" s="2" t="inlineStr">
        <is>
          <t>census</t>
        </is>
      </c>
      <c r="B78" s="2" t="inlineStr">
        <is>
          <t>openssl MLKEM1024 (pure PQ)</t>
        </is>
      </c>
      <c r="C78" s="2" t="inlineStr">
        <is>
          <t>skb-eval-8352-c5077</t>
        </is>
      </c>
      <c r="D78" s="2" t="n">
        <v>5077</v>
      </c>
      <c r="E78" s="2" t="n">
        <v>1837</v>
      </c>
      <c r="F78" s="2" t="n">
        <v>771</v>
      </c>
      <c r="G78" s="2" t="inlineStr">
        <is>
          <t>1302 1303 1301 c02c c030 009f cca9 cca8 ccaa c02b c02f 009e c024 c028 006b c023 c027 0067 c00a c014 0039 c009 c013 0033 009d 009c 003d 003c 0035 002f</t>
        </is>
      </c>
      <c r="H78" s="2" t="inlineStr">
        <is>
          <t>0304 0303</t>
        </is>
      </c>
      <c r="I78" s="2" t="n">
        <v>1</v>
      </c>
      <c r="J78" s="2" t="inlineStr">
        <is>
          <t>skb-eval-8352-c5077</t>
        </is>
      </c>
      <c r="K78" s="2" t="n">
        <v>1837</v>
      </c>
      <c r="L78" s="2" t="n">
        <v>771</v>
      </c>
      <c r="M78" s="2" t="n">
        <v>1443</v>
      </c>
      <c r="N78" s="2" t="b">
        <v>1</v>
      </c>
      <c r="O78" s="2" t="b">
        <v>1</v>
      </c>
      <c r="P78" s="2" t="inlineStr">
        <is>
          <t>1302 1303 1301 c02c c030 009f cca9 cca8 ccaa c02b c02f 009e c024 c028 006b c023 c027 0067 c00a c014 0039 c009 c013 0033 009d 009c 003d 003c 0035 002f</t>
        </is>
      </c>
      <c r="Q78" s="2" t="inlineStr">
        <is>
          <t>0304 0303</t>
        </is>
      </c>
      <c r="R78" s="2" t="inlineStr">
        <is>
          <t>violation</t>
        </is>
      </c>
      <c r="S78" s="2" t="inlineStr">
        <is>
          <t>violation</t>
        </is>
      </c>
      <c r="T78" s="2">
        <f>K78=E78</f>
        <v/>
      </c>
      <c r="U78" s="2">
        <f>L78=F78</f>
        <v/>
      </c>
      <c r="V78" s="2">
        <f>IF(N78,EXACT(P78,G78),"")</f>
        <v/>
      </c>
      <c r="W78" s="2">
        <f>IF(O78,EXACT(Q78,H78),"")</f>
        <v/>
      </c>
      <c r="X78" s="2">
        <f>J78=C78</f>
        <v/>
      </c>
      <c r="Y78" s="2">
        <f>IF(R78="unknown","",R78=S78)</f>
        <v/>
      </c>
      <c r="Z78" s="2" t="inlineStr">
        <is>
          <t>A</t>
        </is>
      </c>
      <c r="AA78" s="2" t="inlineStr">
        <is>
          <t>A</t>
        </is>
      </c>
      <c r="AB78" s="2">
        <f>AND(N78,O78,A78&lt;&gt;"census-mixed")</f>
        <v/>
      </c>
      <c r="AC78" s="2">
        <f>IF(AB78,Z78=AA78,"")</f>
        <v/>
      </c>
    </row>
    <row r="79">
      <c r="A79" s="2" t="inlineStr">
        <is>
          <t>census</t>
        </is>
      </c>
      <c r="B79" s="2" t="inlineStr">
        <is>
          <t>openssl MLKEM1024 (pure PQ)</t>
        </is>
      </c>
      <c r="C79" s="2" t="inlineStr">
        <is>
          <t>skb-eval-8352-c5078</t>
        </is>
      </c>
      <c r="D79" s="2" t="n">
        <v>5078</v>
      </c>
      <c r="E79" s="2" t="n">
        <v>1837</v>
      </c>
      <c r="F79" s="2" t="n">
        <v>771</v>
      </c>
      <c r="G79" s="2" t="inlineStr">
        <is>
          <t>1302 1303 1301 c02c c030 009f cca9 cca8 ccaa c02b c02f 009e c024 c028 006b c023 c027 0067 c00a c014 0039 c009 c013 0033 009d 009c 003d 003c 0035 002f</t>
        </is>
      </c>
      <c r="H79" s="2" t="inlineStr">
        <is>
          <t>0304 0303</t>
        </is>
      </c>
      <c r="I79" s="2" t="n">
        <v>1</v>
      </c>
      <c r="J79" s="2" t="inlineStr">
        <is>
          <t>skb-eval-8352-c5078</t>
        </is>
      </c>
      <c r="K79" s="2" t="n">
        <v>1837</v>
      </c>
      <c r="L79" s="2" t="n">
        <v>771</v>
      </c>
      <c r="M79" s="2" t="n">
        <v>1443</v>
      </c>
      <c r="N79" s="2" t="b">
        <v>1</v>
      </c>
      <c r="O79" s="2" t="b">
        <v>1</v>
      </c>
      <c r="P79" s="2" t="inlineStr">
        <is>
          <t>1302 1303 1301 c02c c030 009f cca9 cca8 ccaa c02b c02f 009e c024 c028 006b c023 c027 0067 c00a c014 0039 c009 c013 0033 009d 009c 003d 003c 0035 002f</t>
        </is>
      </c>
      <c r="Q79" s="2" t="inlineStr">
        <is>
          <t>0304 0303</t>
        </is>
      </c>
      <c r="R79" s="2" t="inlineStr">
        <is>
          <t>violation</t>
        </is>
      </c>
      <c r="S79" s="2" t="inlineStr">
        <is>
          <t>violation</t>
        </is>
      </c>
      <c r="T79" s="2">
        <f>K79=E79</f>
        <v/>
      </c>
      <c r="U79" s="2">
        <f>L79=F79</f>
        <v/>
      </c>
      <c r="V79" s="2">
        <f>IF(N79,EXACT(P79,G79),"")</f>
        <v/>
      </c>
      <c r="W79" s="2">
        <f>IF(O79,EXACT(Q79,H79),"")</f>
        <v/>
      </c>
      <c r="X79" s="2">
        <f>J79=C79</f>
        <v/>
      </c>
      <c r="Y79" s="2">
        <f>IF(R79="unknown","",R79=S79)</f>
        <v/>
      </c>
      <c r="Z79" s="2" t="inlineStr">
        <is>
          <t>A</t>
        </is>
      </c>
      <c r="AA79" s="2" t="inlineStr">
        <is>
          <t>A</t>
        </is>
      </c>
      <c r="AB79" s="2">
        <f>AND(N79,O79,A79&lt;&gt;"census-mixed")</f>
        <v/>
      </c>
      <c r="AC79" s="2">
        <f>IF(AB79,Z79=AA79,"")</f>
        <v/>
      </c>
    </row>
    <row r="80">
      <c r="A80" s="2" t="inlineStr">
        <is>
          <t>census</t>
        </is>
      </c>
      <c r="B80" s="2" t="inlineStr">
        <is>
          <t>openssl MLKEM1024 (pure PQ)</t>
        </is>
      </c>
      <c r="C80" s="2" t="inlineStr">
        <is>
          <t>skb-eval-8352-c5079</t>
        </is>
      </c>
      <c r="D80" s="2" t="n">
        <v>5079</v>
      </c>
      <c r="E80" s="2" t="n">
        <v>1837</v>
      </c>
      <c r="F80" s="2" t="n">
        <v>771</v>
      </c>
      <c r="G80" s="2" t="inlineStr">
        <is>
          <t>1302 1303 1301 c02c c030 009f cca9 cca8 ccaa c02b c02f 009e c024 c028 006b c023 c027 0067 c00a c014 0039 c009 c013 0033 009d 009c 003d 003c 0035 002f</t>
        </is>
      </c>
      <c r="H80" s="2" t="inlineStr">
        <is>
          <t>0304 0303</t>
        </is>
      </c>
      <c r="I80" s="2" t="n">
        <v>1</v>
      </c>
      <c r="J80" s="2" t="inlineStr">
        <is>
          <t>skb-eval-8352-c5079</t>
        </is>
      </c>
      <c r="K80" s="2" t="n">
        <v>1837</v>
      </c>
      <c r="L80" s="2" t="n">
        <v>771</v>
      </c>
      <c r="M80" s="2" t="n">
        <v>1443</v>
      </c>
      <c r="N80" s="2" t="b">
        <v>1</v>
      </c>
      <c r="O80" s="2" t="b">
        <v>1</v>
      </c>
      <c r="P80" s="2" t="inlineStr">
        <is>
          <t>1302 1303 1301 c02c c030 009f cca9 cca8 ccaa c02b c02f 009e c024 c028 006b c023 c027 0067 c00a c014 0039 c009 c013 0033 009d 009c 003d 003c 0035 002f</t>
        </is>
      </c>
      <c r="Q80" s="2" t="inlineStr">
        <is>
          <t>0304 0303</t>
        </is>
      </c>
      <c r="R80" s="2" t="inlineStr">
        <is>
          <t>violation</t>
        </is>
      </c>
      <c r="S80" s="2" t="inlineStr">
        <is>
          <t>violation</t>
        </is>
      </c>
      <c r="T80" s="2">
        <f>K80=E80</f>
        <v/>
      </c>
      <c r="U80" s="2">
        <f>L80=F80</f>
        <v/>
      </c>
      <c r="V80" s="2">
        <f>IF(N80,EXACT(P80,G80),"")</f>
        <v/>
      </c>
      <c r="W80" s="2">
        <f>IF(O80,EXACT(Q80,H80),"")</f>
        <v/>
      </c>
      <c r="X80" s="2">
        <f>J80=C80</f>
        <v/>
      </c>
      <c r="Y80" s="2">
        <f>IF(R80="unknown","",R80=S80)</f>
        <v/>
      </c>
      <c r="Z80" s="2" t="inlineStr">
        <is>
          <t>A</t>
        </is>
      </c>
      <c r="AA80" s="2" t="inlineStr">
        <is>
          <t>A</t>
        </is>
      </c>
      <c r="AB80" s="2">
        <f>AND(N80,O80,A80&lt;&gt;"census-mixed")</f>
        <v/>
      </c>
      <c r="AC80" s="2">
        <f>IF(AB80,Z80=AA80,"")</f>
        <v/>
      </c>
    </row>
    <row r="81">
      <c r="A81" s="2" t="inlineStr">
        <is>
          <t>census</t>
        </is>
      </c>
      <c r="B81" s="2" t="inlineStr">
        <is>
          <t>openssl MLKEM1024 (pure PQ)</t>
        </is>
      </c>
      <c r="C81" s="2" t="inlineStr">
        <is>
          <t>skb-eval-8352-c5080</t>
        </is>
      </c>
      <c r="D81" s="2" t="n">
        <v>5080</v>
      </c>
      <c r="E81" s="2" t="n">
        <v>1837</v>
      </c>
      <c r="F81" s="2" t="n">
        <v>771</v>
      </c>
      <c r="G81" s="2" t="inlineStr">
        <is>
          <t>1302 1303 1301 c02c c030 009f cca9 cca8 ccaa c02b c02f 009e c024 c028 006b c023 c027 0067 c00a c014 0039 c009 c013 0033 009d 009c 003d 003c 0035 002f</t>
        </is>
      </c>
      <c r="H81" s="2" t="inlineStr">
        <is>
          <t>0304 0303</t>
        </is>
      </c>
      <c r="I81" s="2" t="n">
        <v>1</v>
      </c>
      <c r="J81" s="2" t="inlineStr">
        <is>
          <t>skb-eval-8352-c5080</t>
        </is>
      </c>
      <c r="K81" s="2" t="n">
        <v>1837</v>
      </c>
      <c r="L81" s="2" t="n">
        <v>771</v>
      </c>
      <c r="M81" s="2" t="n">
        <v>1443</v>
      </c>
      <c r="N81" s="2" t="b">
        <v>1</v>
      </c>
      <c r="O81" s="2" t="b">
        <v>1</v>
      </c>
      <c r="P81" s="2" t="inlineStr">
        <is>
          <t>1302 1303 1301 c02c c030 009f cca9 cca8 ccaa c02b c02f 009e c024 c028 006b c023 c027 0067 c00a c014 0039 c009 c013 0033 009d 009c 003d 003c 0035 002f</t>
        </is>
      </c>
      <c r="Q81" s="2" t="inlineStr">
        <is>
          <t>0304 0303</t>
        </is>
      </c>
      <c r="R81" s="2" t="inlineStr">
        <is>
          <t>violation</t>
        </is>
      </c>
      <c r="S81" s="2" t="inlineStr">
        <is>
          <t>violation</t>
        </is>
      </c>
      <c r="T81" s="2">
        <f>K81=E81</f>
        <v/>
      </c>
      <c r="U81" s="2">
        <f>L81=F81</f>
        <v/>
      </c>
      <c r="V81" s="2">
        <f>IF(N81,EXACT(P81,G81),"")</f>
        <v/>
      </c>
      <c r="W81" s="2">
        <f>IF(O81,EXACT(Q81,H81),"")</f>
        <v/>
      </c>
      <c r="X81" s="2">
        <f>J81=C81</f>
        <v/>
      </c>
      <c r="Y81" s="2">
        <f>IF(R81="unknown","",R81=S81)</f>
        <v/>
      </c>
      <c r="Z81" s="2" t="inlineStr">
        <is>
          <t>A</t>
        </is>
      </c>
      <c r="AA81" s="2" t="inlineStr">
        <is>
          <t>A</t>
        </is>
      </c>
      <c r="AB81" s="2">
        <f>AND(N81,O81,A81&lt;&gt;"census-mixed")</f>
        <v/>
      </c>
      <c r="AC81" s="2">
        <f>IF(AB81,Z81=AA81,"")</f>
        <v/>
      </c>
    </row>
    <row r="82">
      <c r="A82" s="2" t="inlineStr">
        <is>
          <t>census</t>
        </is>
      </c>
      <c r="B82" s="2" t="inlineStr">
        <is>
          <t>openssl TLS 1.2 only</t>
        </is>
      </c>
      <c r="C82" s="2" t="inlineStr">
        <is>
          <t>skb-eval-8352-c5081</t>
        </is>
      </c>
      <c r="D82" s="2" t="n">
        <v>5081</v>
      </c>
      <c r="E82" s="2" t="n">
        <v>210</v>
      </c>
      <c r="F82" s="2" t="n">
        <v>771</v>
      </c>
      <c r="G82" s="2" t="inlineStr">
        <is>
          <t>c02c c030 009f cca9 cca8 ccaa c02b c02f 009e c024 c028 006b c023 c027 0067 c00a c014 0039 c009 c013 0033 009d 009c 003d 003c 0035 002f</t>
        </is>
      </c>
      <c r="H82" s="2" t="inlineStr"/>
      <c r="I82" s="2" t="n">
        <v>1</v>
      </c>
      <c r="J82" s="2" t="inlineStr">
        <is>
          <t>skb-eval-8352-c5081</t>
        </is>
      </c>
      <c r="K82" s="2" t="n">
        <v>210</v>
      </c>
      <c r="L82" s="2" t="n">
        <v>771</v>
      </c>
      <c r="M82" s="2" t="n">
        <v>210</v>
      </c>
      <c r="N82" s="2" t="b">
        <v>1</v>
      </c>
      <c r="O82" s="2" t="b">
        <v>1</v>
      </c>
      <c r="P82" s="2" t="inlineStr">
        <is>
          <t>c02c c030 009f cca9 cca8 ccaa c02b c02f 009e c024 c028 006b c023 c027 0067 c00a c014 0039 c009 c013 0033 009d 009c 003d 003c 0035 002f</t>
        </is>
      </c>
      <c r="Q82" s="2" t="inlineStr"/>
      <c r="R82" s="2" t="inlineStr">
        <is>
          <t>violation</t>
        </is>
      </c>
      <c r="S82" s="2" t="inlineStr">
        <is>
          <t>violation</t>
        </is>
      </c>
      <c r="T82" s="2">
        <f>K82=E82</f>
        <v/>
      </c>
      <c r="U82" s="2">
        <f>L82=F82</f>
        <v/>
      </c>
      <c r="V82" s="2">
        <f>IF(N82,EXACT(P82,G82),"")</f>
        <v/>
      </c>
      <c r="W82" s="2">
        <f>IF(O82,EXACT(Q82,H82),"")</f>
        <v/>
      </c>
      <c r="X82" s="2">
        <f>J82=C82</f>
        <v/>
      </c>
      <c r="Y82" s="2">
        <f>IF(R82="unknown","",R82=S82)</f>
        <v/>
      </c>
      <c r="Z82" s="2" t="inlineStr">
        <is>
          <t>A</t>
        </is>
      </c>
      <c r="AA82" s="2" t="inlineStr">
        <is>
          <t>A</t>
        </is>
      </c>
      <c r="AB82" s="2">
        <f>AND(N82,O82,A82&lt;&gt;"census-mixed")</f>
        <v/>
      </c>
      <c r="AC82" s="2">
        <f>IF(AB82,Z82=AA82,"")</f>
        <v/>
      </c>
    </row>
    <row r="83">
      <c r="A83" s="2" t="inlineStr">
        <is>
          <t>census</t>
        </is>
      </c>
      <c r="B83" s="2" t="inlineStr">
        <is>
          <t>openssl TLS 1.2 only</t>
        </is>
      </c>
      <c r="C83" s="2" t="inlineStr">
        <is>
          <t>skb-eval-8352-c5082</t>
        </is>
      </c>
      <c r="D83" s="2" t="n">
        <v>5082</v>
      </c>
      <c r="E83" s="2" t="n">
        <v>210</v>
      </c>
      <c r="F83" s="2" t="n">
        <v>771</v>
      </c>
      <c r="G83" s="2" t="inlineStr">
        <is>
          <t>c02c c030 009f cca9 cca8 ccaa c02b c02f 009e c024 c028 006b c023 c027 0067 c00a c014 0039 c009 c013 0033 009d 009c 003d 003c 0035 002f</t>
        </is>
      </c>
      <c r="H83" s="2" t="inlineStr"/>
      <c r="I83" s="2" t="n">
        <v>1</v>
      </c>
      <c r="J83" s="2" t="inlineStr">
        <is>
          <t>skb-eval-8352-c5082</t>
        </is>
      </c>
      <c r="K83" s="2" t="n">
        <v>210</v>
      </c>
      <c r="L83" s="2" t="n">
        <v>771</v>
      </c>
      <c r="M83" s="2" t="n">
        <v>210</v>
      </c>
      <c r="N83" s="2" t="b">
        <v>1</v>
      </c>
      <c r="O83" s="2" t="b">
        <v>1</v>
      </c>
      <c r="P83" s="2" t="inlineStr">
        <is>
          <t>c02c c030 009f cca9 cca8 ccaa c02b c02f 009e c024 c028 006b c023 c027 0067 c00a c014 0039 c009 c013 0033 009d 009c 003d 003c 0035 002f</t>
        </is>
      </c>
      <c r="Q83" s="2" t="inlineStr"/>
      <c r="R83" s="2" t="inlineStr">
        <is>
          <t>violation</t>
        </is>
      </c>
      <c r="S83" s="2" t="inlineStr">
        <is>
          <t>violation</t>
        </is>
      </c>
      <c r="T83" s="2">
        <f>K83=E83</f>
        <v/>
      </c>
      <c r="U83" s="2">
        <f>L83=F83</f>
        <v/>
      </c>
      <c r="V83" s="2">
        <f>IF(N83,EXACT(P83,G83),"")</f>
        <v/>
      </c>
      <c r="W83" s="2">
        <f>IF(O83,EXACT(Q83,H83),"")</f>
        <v/>
      </c>
      <c r="X83" s="2">
        <f>J83=C83</f>
        <v/>
      </c>
      <c r="Y83" s="2">
        <f>IF(R83="unknown","",R83=S83)</f>
        <v/>
      </c>
      <c r="Z83" s="2" t="inlineStr">
        <is>
          <t>A</t>
        </is>
      </c>
      <c r="AA83" s="2" t="inlineStr">
        <is>
          <t>A</t>
        </is>
      </c>
      <c r="AB83" s="2">
        <f>AND(N83,O83,A83&lt;&gt;"census-mixed")</f>
        <v/>
      </c>
      <c r="AC83" s="2">
        <f>IF(AB83,Z83=AA83,"")</f>
        <v/>
      </c>
    </row>
    <row r="84">
      <c r="A84" s="2" t="inlineStr">
        <is>
          <t>census</t>
        </is>
      </c>
      <c r="B84" s="2" t="inlineStr">
        <is>
          <t>openssl TLS 1.2 only</t>
        </is>
      </c>
      <c r="C84" s="2" t="inlineStr">
        <is>
          <t>skb-eval-8352-c5083</t>
        </is>
      </c>
      <c r="D84" s="2" t="n">
        <v>5083</v>
      </c>
      <c r="E84" s="2" t="n">
        <v>210</v>
      </c>
      <c r="F84" s="2" t="n">
        <v>771</v>
      </c>
      <c r="G84" s="2" t="inlineStr">
        <is>
          <t>c02c c030 009f cca9 cca8 ccaa c02b c02f 009e c024 c028 006b c023 c027 0067 c00a c014 0039 c009 c013 0033 009d 009c 003d 003c 0035 002f</t>
        </is>
      </c>
      <c r="H84" s="2" t="inlineStr"/>
      <c r="I84" s="2" t="n">
        <v>1</v>
      </c>
      <c r="J84" s="2" t="inlineStr">
        <is>
          <t>skb-eval-8352-c5083</t>
        </is>
      </c>
      <c r="K84" s="2" t="n">
        <v>210</v>
      </c>
      <c r="L84" s="2" t="n">
        <v>771</v>
      </c>
      <c r="M84" s="2" t="n">
        <v>210</v>
      </c>
      <c r="N84" s="2" t="b">
        <v>1</v>
      </c>
      <c r="O84" s="2" t="b">
        <v>1</v>
      </c>
      <c r="P84" s="2" t="inlineStr">
        <is>
          <t>c02c c030 009f cca9 cca8 ccaa c02b c02f 009e c024 c028 006b c023 c027 0067 c00a c014 0039 c009 c013 0033 009d 009c 003d 003c 0035 002f</t>
        </is>
      </c>
      <c r="Q84" s="2" t="inlineStr"/>
      <c r="R84" s="2" t="inlineStr">
        <is>
          <t>violation</t>
        </is>
      </c>
      <c r="S84" s="2" t="inlineStr">
        <is>
          <t>violation</t>
        </is>
      </c>
      <c r="T84" s="2">
        <f>K84=E84</f>
        <v/>
      </c>
      <c r="U84" s="2">
        <f>L84=F84</f>
        <v/>
      </c>
      <c r="V84" s="2">
        <f>IF(N84,EXACT(P84,G84),"")</f>
        <v/>
      </c>
      <c r="W84" s="2">
        <f>IF(O84,EXACT(Q84,H84),"")</f>
        <v/>
      </c>
      <c r="X84" s="2">
        <f>J84=C84</f>
        <v/>
      </c>
      <c r="Y84" s="2">
        <f>IF(R84="unknown","",R84=S84)</f>
        <v/>
      </c>
      <c r="Z84" s="2" t="inlineStr">
        <is>
          <t>A</t>
        </is>
      </c>
      <c r="AA84" s="2" t="inlineStr">
        <is>
          <t>A</t>
        </is>
      </c>
      <c r="AB84" s="2">
        <f>AND(N84,O84,A84&lt;&gt;"census-mixed")</f>
        <v/>
      </c>
      <c r="AC84" s="2">
        <f>IF(AB84,Z84=AA84,"")</f>
        <v/>
      </c>
    </row>
    <row r="85">
      <c r="A85" s="2" t="inlineStr">
        <is>
          <t>census</t>
        </is>
      </c>
      <c r="B85" s="2" t="inlineStr">
        <is>
          <t>openssl TLS 1.2 only</t>
        </is>
      </c>
      <c r="C85" s="2" t="inlineStr">
        <is>
          <t>skb-eval-8352-c5084</t>
        </is>
      </c>
      <c r="D85" s="2" t="n">
        <v>5084</v>
      </c>
      <c r="E85" s="2" t="n">
        <v>210</v>
      </c>
      <c r="F85" s="2" t="n">
        <v>771</v>
      </c>
      <c r="G85" s="2" t="inlineStr">
        <is>
          <t>c02c c030 009f cca9 cca8 ccaa c02b c02f 009e c024 c028 006b c023 c027 0067 c00a c014 0039 c009 c013 0033 009d 009c 003d 003c 0035 002f</t>
        </is>
      </c>
      <c r="H85" s="2" t="inlineStr"/>
      <c r="I85" s="2" t="n">
        <v>1</v>
      </c>
      <c r="J85" s="2" t="inlineStr">
        <is>
          <t>skb-eval-8352-c5084</t>
        </is>
      </c>
      <c r="K85" s="2" t="n">
        <v>210</v>
      </c>
      <c r="L85" s="2" t="n">
        <v>771</v>
      </c>
      <c r="M85" s="2" t="n">
        <v>210</v>
      </c>
      <c r="N85" s="2" t="b">
        <v>1</v>
      </c>
      <c r="O85" s="2" t="b">
        <v>1</v>
      </c>
      <c r="P85" s="2" t="inlineStr">
        <is>
          <t>c02c c030 009f cca9 cca8 ccaa c02b c02f 009e c024 c028 006b c023 c027 0067 c00a c014 0039 c009 c013 0033 009d 009c 003d 003c 0035 002f</t>
        </is>
      </c>
      <c r="Q85" s="2" t="inlineStr"/>
      <c r="R85" s="2" t="inlineStr">
        <is>
          <t>violation</t>
        </is>
      </c>
      <c r="S85" s="2" t="inlineStr">
        <is>
          <t>violation</t>
        </is>
      </c>
      <c r="T85" s="2">
        <f>K85=E85</f>
        <v/>
      </c>
      <c r="U85" s="2">
        <f>L85=F85</f>
        <v/>
      </c>
      <c r="V85" s="2">
        <f>IF(N85,EXACT(P85,G85),"")</f>
        <v/>
      </c>
      <c r="W85" s="2">
        <f>IF(O85,EXACT(Q85,H85),"")</f>
        <v/>
      </c>
      <c r="X85" s="2">
        <f>J85=C85</f>
        <v/>
      </c>
      <c r="Y85" s="2">
        <f>IF(R85="unknown","",R85=S85)</f>
        <v/>
      </c>
      <c r="Z85" s="2" t="inlineStr">
        <is>
          <t>A</t>
        </is>
      </c>
      <c r="AA85" s="2" t="inlineStr">
        <is>
          <t>A</t>
        </is>
      </c>
      <c r="AB85" s="2">
        <f>AND(N85,O85,A85&lt;&gt;"census-mixed")</f>
        <v/>
      </c>
      <c r="AC85" s="2">
        <f>IF(AB85,Z85=AA85,"")</f>
        <v/>
      </c>
    </row>
    <row r="86">
      <c r="A86" s="2" t="inlineStr">
        <is>
          <t>census</t>
        </is>
      </c>
      <c r="B86" s="2" t="inlineStr">
        <is>
          <t>openssl TLS 1.2 only</t>
        </is>
      </c>
      <c r="C86" s="2" t="inlineStr">
        <is>
          <t>skb-eval-8352-c5085</t>
        </is>
      </c>
      <c r="D86" s="2" t="n">
        <v>5085</v>
      </c>
      <c r="E86" s="2" t="n">
        <v>210</v>
      </c>
      <c r="F86" s="2" t="n">
        <v>771</v>
      </c>
      <c r="G86" s="2" t="inlineStr">
        <is>
          <t>c02c c030 009f cca9 cca8 ccaa c02b c02f 009e c024 c028 006b c023 c027 0067 c00a c014 0039 c009 c013 0033 009d 009c 003d 003c 0035 002f</t>
        </is>
      </c>
      <c r="H86" s="2" t="inlineStr"/>
      <c r="I86" s="2" t="n">
        <v>1</v>
      </c>
      <c r="J86" s="2" t="inlineStr">
        <is>
          <t>skb-eval-8352-c5085</t>
        </is>
      </c>
      <c r="K86" s="2" t="n">
        <v>210</v>
      </c>
      <c r="L86" s="2" t="n">
        <v>771</v>
      </c>
      <c r="M86" s="2" t="n">
        <v>210</v>
      </c>
      <c r="N86" s="2" t="b">
        <v>1</v>
      </c>
      <c r="O86" s="2" t="b">
        <v>1</v>
      </c>
      <c r="P86" s="2" t="inlineStr">
        <is>
          <t>c02c c030 009f cca9 cca8 ccaa c02b c02f 009e c024 c028 006b c023 c027 0067 c00a c014 0039 c009 c013 0033 009d 009c 003d 003c 0035 002f</t>
        </is>
      </c>
      <c r="Q86" s="2" t="inlineStr"/>
      <c r="R86" s="2" t="inlineStr">
        <is>
          <t>violation</t>
        </is>
      </c>
      <c r="S86" s="2" t="inlineStr">
        <is>
          <t>violation</t>
        </is>
      </c>
      <c r="T86" s="2">
        <f>K86=E86</f>
        <v/>
      </c>
      <c r="U86" s="2">
        <f>L86=F86</f>
        <v/>
      </c>
      <c r="V86" s="2">
        <f>IF(N86,EXACT(P86,G86),"")</f>
        <v/>
      </c>
      <c r="W86" s="2">
        <f>IF(O86,EXACT(Q86,H86),"")</f>
        <v/>
      </c>
      <c r="X86" s="2">
        <f>J86=C86</f>
        <v/>
      </c>
      <c r="Y86" s="2">
        <f>IF(R86="unknown","",R86=S86)</f>
        <v/>
      </c>
      <c r="Z86" s="2" t="inlineStr">
        <is>
          <t>A</t>
        </is>
      </c>
      <c r="AA86" s="2" t="inlineStr">
        <is>
          <t>A</t>
        </is>
      </c>
      <c r="AB86" s="2">
        <f>AND(N86,O86,A86&lt;&gt;"census-mixed")</f>
        <v/>
      </c>
      <c r="AC86" s="2">
        <f>IF(AB86,Z86=AA86,"")</f>
        <v/>
      </c>
    </row>
    <row r="87">
      <c r="A87" s="2" t="inlineStr">
        <is>
          <t>census</t>
        </is>
      </c>
      <c r="B87" s="2" t="inlineStr">
        <is>
          <t>openssl TLS 1.2 only</t>
        </is>
      </c>
      <c r="C87" s="2" t="inlineStr">
        <is>
          <t>skb-eval-8352-c5086</t>
        </is>
      </c>
      <c r="D87" s="2" t="n">
        <v>5086</v>
      </c>
      <c r="E87" s="2" t="n">
        <v>210</v>
      </c>
      <c r="F87" s="2" t="n">
        <v>771</v>
      </c>
      <c r="G87" s="2" t="inlineStr">
        <is>
          <t>c02c c030 009f cca9 cca8 ccaa c02b c02f 009e c024 c028 006b c023 c027 0067 c00a c014 0039 c009 c013 0033 009d 009c 003d 003c 0035 002f</t>
        </is>
      </c>
      <c r="H87" s="2" t="inlineStr"/>
      <c r="I87" s="2" t="n">
        <v>1</v>
      </c>
      <c r="J87" s="2" t="inlineStr">
        <is>
          <t>skb-eval-8352-c5086</t>
        </is>
      </c>
      <c r="K87" s="2" t="n">
        <v>210</v>
      </c>
      <c r="L87" s="2" t="n">
        <v>771</v>
      </c>
      <c r="M87" s="2" t="n">
        <v>210</v>
      </c>
      <c r="N87" s="2" t="b">
        <v>1</v>
      </c>
      <c r="O87" s="2" t="b">
        <v>1</v>
      </c>
      <c r="P87" s="2" t="inlineStr">
        <is>
          <t>c02c c030 009f cca9 cca8 ccaa c02b c02f 009e c024 c028 006b c023 c027 0067 c00a c014 0039 c009 c013 0033 009d 009c 003d 003c 0035 002f</t>
        </is>
      </c>
      <c r="Q87" s="2" t="inlineStr"/>
      <c r="R87" s="2" t="inlineStr">
        <is>
          <t>violation</t>
        </is>
      </c>
      <c r="S87" s="2" t="inlineStr">
        <is>
          <t>violation</t>
        </is>
      </c>
      <c r="T87" s="2">
        <f>K87=E87</f>
        <v/>
      </c>
      <c r="U87" s="2">
        <f>L87=F87</f>
        <v/>
      </c>
      <c r="V87" s="2">
        <f>IF(N87,EXACT(P87,G87),"")</f>
        <v/>
      </c>
      <c r="W87" s="2">
        <f>IF(O87,EXACT(Q87,H87),"")</f>
        <v/>
      </c>
      <c r="X87" s="2">
        <f>J87=C87</f>
        <v/>
      </c>
      <c r="Y87" s="2">
        <f>IF(R87="unknown","",R87=S87)</f>
        <v/>
      </c>
      <c r="Z87" s="2" t="inlineStr">
        <is>
          <t>A</t>
        </is>
      </c>
      <c r="AA87" s="2" t="inlineStr">
        <is>
          <t>A</t>
        </is>
      </c>
      <c r="AB87" s="2">
        <f>AND(N87,O87,A87&lt;&gt;"census-mixed")</f>
        <v/>
      </c>
      <c r="AC87" s="2">
        <f>IF(AB87,Z87=AA87,"")</f>
        <v/>
      </c>
    </row>
    <row r="88">
      <c r="A88" s="2" t="inlineStr">
        <is>
          <t>census</t>
        </is>
      </c>
      <c r="B88" s="2" t="inlineStr">
        <is>
          <t>openssl TLS 1.2 only</t>
        </is>
      </c>
      <c r="C88" s="2" t="inlineStr">
        <is>
          <t>skb-eval-8352-c5087</t>
        </is>
      </c>
      <c r="D88" s="2" t="n">
        <v>5087</v>
      </c>
      <c r="E88" s="2" t="n">
        <v>210</v>
      </c>
      <c r="F88" s="2" t="n">
        <v>771</v>
      </c>
      <c r="G88" s="2" t="inlineStr">
        <is>
          <t>c02c c030 009f cca9 cca8 ccaa c02b c02f 009e c024 c028 006b c023 c027 0067 c00a c014 0039 c009 c013 0033 009d 009c 003d 003c 0035 002f</t>
        </is>
      </c>
      <c r="H88" s="2" t="inlineStr"/>
      <c r="I88" s="2" t="n">
        <v>1</v>
      </c>
      <c r="J88" s="2" t="inlineStr">
        <is>
          <t>skb-eval-8352-c5087</t>
        </is>
      </c>
      <c r="K88" s="2" t="n">
        <v>210</v>
      </c>
      <c r="L88" s="2" t="n">
        <v>771</v>
      </c>
      <c r="M88" s="2" t="n">
        <v>210</v>
      </c>
      <c r="N88" s="2" t="b">
        <v>1</v>
      </c>
      <c r="O88" s="2" t="b">
        <v>1</v>
      </c>
      <c r="P88" s="2" t="inlineStr">
        <is>
          <t>c02c c030 009f cca9 cca8 ccaa c02b c02f 009e c024 c028 006b c023 c027 0067 c00a c014 0039 c009 c013 0033 009d 009c 003d 003c 0035 002f</t>
        </is>
      </c>
      <c r="Q88" s="2" t="inlineStr"/>
      <c r="R88" s="2" t="inlineStr">
        <is>
          <t>violation</t>
        </is>
      </c>
      <c r="S88" s="2" t="inlineStr">
        <is>
          <t>violation</t>
        </is>
      </c>
      <c r="T88" s="2">
        <f>K88=E88</f>
        <v/>
      </c>
      <c r="U88" s="2">
        <f>L88=F88</f>
        <v/>
      </c>
      <c r="V88" s="2">
        <f>IF(N88,EXACT(P88,G88),"")</f>
        <v/>
      </c>
      <c r="W88" s="2">
        <f>IF(O88,EXACT(Q88,H88),"")</f>
        <v/>
      </c>
      <c r="X88" s="2">
        <f>J88=C88</f>
        <v/>
      </c>
      <c r="Y88" s="2">
        <f>IF(R88="unknown","",R88=S88)</f>
        <v/>
      </c>
      <c r="Z88" s="2" t="inlineStr">
        <is>
          <t>A</t>
        </is>
      </c>
      <c r="AA88" s="2" t="inlineStr">
        <is>
          <t>A</t>
        </is>
      </c>
      <c r="AB88" s="2">
        <f>AND(N88,O88,A88&lt;&gt;"census-mixed")</f>
        <v/>
      </c>
      <c r="AC88" s="2">
        <f>IF(AB88,Z88=AA88,"")</f>
        <v/>
      </c>
    </row>
    <row r="89">
      <c r="A89" s="2" t="inlineStr">
        <is>
          <t>census</t>
        </is>
      </c>
      <c r="B89" s="2" t="inlineStr">
        <is>
          <t>openssl TLS 1.2 only</t>
        </is>
      </c>
      <c r="C89" s="2" t="inlineStr">
        <is>
          <t>skb-eval-8352-c5088</t>
        </is>
      </c>
      <c r="D89" s="2" t="n">
        <v>5088</v>
      </c>
      <c r="E89" s="2" t="n">
        <v>210</v>
      </c>
      <c r="F89" s="2" t="n">
        <v>771</v>
      </c>
      <c r="G89" s="2" t="inlineStr">
        <is>
          <t>c02c c030 009f cca9 cca8 ccaa c02b c02f 009e c024 c028 006b c023 c027 0067 c00a c014 0039 c009 c013 0033 009d 009c 003d 003c 0035 002f</t>
        </is>
      </c>
      <c r="H89" s="2" t="inlineStr"/>
      <c r="I89" s="2" t="n">
        <v>1</v>
      </c>
      <c r="J89" s="2" t="inlineStr">
        <is>
          <t>skb-eval-8352-c5088</t>
        </is>
      </c>
      <c r="K89" s="2" t="n">
        <v>210</v>
      </c>
      <c r="L89" s="2" t="n">
        <v>771</v>
      </c>
      <c r="M89" s="2" t="n">
        <v>210</v>
      </c>
      <c r="N89" s="2" t="b">
        <v>1</v>
      </c>
      <c r="O89" s="2" t="b">
        <v>1</v>
      </c>
      <c r="P89" s="2" t="inlineStr">
        <is>
          <t>c02c c030 009f cca9 cca8 ccaa c02b c02f 009e c024 c028 006b c023 c027 0067 c00a c014 0039 c009 c013 0033 009d 009c 003d 003c 0035 002f</t>
        </is>
      </c>
      <c r="Q89" s="2" t="inlineStr"/>
      <c r="R89" s="2" t="inlineStr">
        <is>
          <t>violation</t>
        </is>
      </c>
      <c r="S89" s="2" t="inlineStr">
        <is>
          <t>violation</t>
        </is>
      </c>
      <c r="T89" s="2">
        <f>K89=E89</f>
        <v/>
      </c>
      <c r="U89" s="2">
        <f>L89=F89</f>
        <v/>
      </c>
      <c r="V89" s="2">
        <f>IF(N89,EXACT(P89,G89),"")</f>
        <v/>
      </c>
      <c r="W89" s="2">
        <f>IF(O89,EXACT(Q89,H89),"")</f>
        <v/>
      </c>
      <c r="X89" s="2">
        <f>J89=C89</f>
        <v/>
      </c>
      <c r="Y89" s="2">
        <f>IF(R89="unknown","",R89=S89)</f>
        <v/>
      </c>
      <c r="Z89" s="2" t="inlineStr">
        <is>
          <t>A</t>
        </is>
      </c>
      <c r="AA89" s="2" t="inlineStr">
        <is>
          <t>A</t>
        </is>
      </c>
      <c r="AB89" s="2">
        <f>AND(N89,O89,A89&lt;&gt;"census-mixed")</f>
        <v/>
      </c>
      <c r="AC89" s="2">
        <f>IF(AB89,Z89=AA89,"")</f>
        <v/>
      </c>
    </row>
    <row r="90">
      <c r="A90" s="2" t="inlineStr">
        <is>
          <t>census</t>
        </is>
      </c>
      <c r="B90" s="2" t="inlineStr">
        <is>
          <t>openssl TLS 1.2 only</t>
        </is>
      </c>
      <c r="C90" s="2" t="inlineStr">
        <is>
          <t>skb-eval-8352-c5089</t>
        </is>
      </c>
      <c r="D90" s="2" t="n">
        <v>5089</v>
      </c>
      <c r="E90" s="2" t="n">
        <v>210</v>
      </c>
      <c r="F90" s="2" t="n">
        <v>771</v>
      </c>
      <c r="G90" s="2" t="inlineStr">
        <is>
          <t>c02c c030 009f cca9 cca8 ccaa c02b c02f 009e c024 c028 006b c023 c027 0067 c00a c014 0039 c009 c013 0033 009d 009c 003d 003c 0035 002f</t>
        </is>
      </c>
      <c r="H90" s="2" t="inlineStr"/>
      <c r="I90" s="2" t="n">
        <v>1</v>
      </c>
      <c r="J90" s="2" t="inlineStr">
        <is>
          <t>skb-eval-8352-c5089</t>
        </is>
      </c>
      <c r="K90" s="2" t="n">
        <v>210</v>
      </c>
      <c r="L90" s="2" t="n">
        <v>771</v>
      </c>
      <c r="M90" s="2" t="n">
        <v>210</v>
      </c>
      <c r="N90" s="2" t="b">
        <v>1</v>
      </c>
      <c r="O90" s="2" t="b">
        <v>1</v>
      </c>
      <c r="P90" s="2" t="inlineStr">
        <is>
          <t>c02c c030 009f cca9 cca8 ccaa c02b c02f 009e c024 c028 006b c023 c027 0067 c00a c014 0039 c009 c013 0033 009d 009c 003d 003c 0035 002f</t>
        </is>
      </c>
      <c r="Q90" s="2" t="inlineStr"/>
      <c r="R90" s="2" t="inlineStr">
        <is>
          <t>violation</t>
        </is>
      </c>
      <c r="S90" s="2" t="inlineStr">
        <is>
          <t>violation</t>
        </is>
      </c>
      <c r="T90" s="2">
        <f>K90=E90</f>
        <v/>
      </c>
      <c r="U90" s="2">
        <f>L90=F90</f>
        <v/>
      </c>
      <c r="V90" s="2">
        <f>IF(N90,EXACT(P90,G90),"")</f>
        <v/>
      </c>
      <c r="W90" s="2">
        <f>IF(O90,EXACT(Q90,H90),"")</f>
        <v/>
      </c>
      <c r="X90" s="2">
        <f>J90=C90</f>
        <v/>
      </c>
      <c r="Y90" s="2">
        <f>IF(R90="unknown","",R90=S90)</f>
        <v/>
      </c>
      <c r="Z90" s="2" t="inlineStr">
        <is>
          <t>A</t>
        </is>
      </c>
      <c r="AA90" s="2" t="inlineStr">
        <is>
          <t>A</t>
        </is>
      </c>
      <c r="AB90" s="2">
        <f>AND(N90,O90,A90&lt;&gt;"census-mixed")</f>
        <v/>
      </c>
      <c r="AC90" s="2">
        <f>IF(AB90,Z90=AA90,"")</f>
        <v/>
      </c>
    </row>
    <row r="91">
      <c r="A91" s="2" t="inlineStr">
        <is>
          <t>census</t>
        </is>
      </c>
      <c r="B91" s="2" t="inlineStr">
        <is>
          <t>openssl TLS 1.2 only</t>
        </is>
      </c>
      <c r="C91" s="2" t="inlineStr">
        <is>
          <t>skb-eval-8352-c5090</t>
        </is>
      </c>
      <c r="D91" s="2" t="n">
        <v>5090</v>
      </c>
      <c r="E91" s="2" t="n">
        <v>210</v>
      </c>
      <c r="F91" s="2" t="n">
        <v>771</v>
      </c>
      <c r="G91" s="2" t="inlineStr">
        <is>
          <t>c02c c030 009f cca9 cca8 ccaa c02b c02f 009e c024 c028 006b c023 c027 0067 c00a c014 0039 c009 c013 0033 009d 009c 003d 003c 0035 002f</t>
        </is>
      </c>
      <c r="H91" s="2" t="inlineStr"/>
      <c r="I91" s="2" t="n">
        <v>1</v>
      </c>
      <c r="J91" s="2" t="inlineStr">
        <is>
          <t>skb-eval-8352-c5090</t>
        </is>
      </c>
      <c r="K91" s="2" t="n">
        <v>210</v>
      </c>
      <c r="L91" s="2" t="n">
        <v>771</v>
      </c>
      <c r="M91" s="2" t="n">
        <v>210</v>
      </c>
      <c r="N91" s="2" t="b">
        <v>1</v>
      </c>
      <c r="O91" s="2" t="b">
        <v>1</v>
      </c>
      <c r="P91" s="2" t="inlineStr">
        <is>
          <t>c02c c030 009f cca9 cca8 ccaa c02b c02f 009e c024 c028 006b c023 c027 0067 c00a c014 0039 c009 c013 0033 009d 009c 003d 003c 0035 002f</t>
        </is>
      </c>
      <c r="Q91" s="2" t="inlineStr"/>
      <c r="R91" s="2" t="inlineStr">
        <is>
          <t>violation</t>
        </is>
      </c>
      <c r="S91" s="2" t="inlineStr">
        <is>
          <t>violation</t>
        </is>
      </c>
      <c r="T91" s="2">
        <f>K91=E91</f>
        <v/>
      </c>
      <c r="U91" s="2">
        <f>L91=F91</f>
        <v/>
      </c>
      <c r="V91" s="2">
        <f>IF(N91,EXACT(P91,G91),"")</f>
        <v/>
      </c>
      <c r="W91" s="2">
        <f>IF(O91,EXACT(Q91,H91),"")</f>
        <v/>
      </c>
      <c r="X91" s="2">
        <f>J91=C91</f>
        <v/>
      </c>
      <c r="Y91" s="2">
        <f>IF(R91="unknown","",R91=S91)</f>
        <v/>
      </c>
      <c r="Z91" s="2" t="inlineStr">
        <is>
          <t>A</t>
        </is>
      </c>
      <c r="AA91" s="2" t="inlineStr">
        <is>
          <t>A</t>
        </is>
      </c>
      <c r="AB91" s="2">
        <f>AND(N91,O91,A91&lt;&gt;"census-mixed")</f>
        <v/>
      </c>
      <c r="AC91" s="2">
        <f>IF(AB91,Z91=AA91,"")</f>
        <v/>
      </c>
    </row>
    <row r="92">
      <c r="A92" s="2" t="inlineStr">
        <is>
          <t>census</t>
        </is>
      </c>
      <c r="B92" s="2" t="inlineStr">
        <is>
          <t>curl 8.22 (OpenSSL 3.5.8)</t>
        </is>
      </c>
      <c r="C92" s="2" t="inlineStr">
        <is>
          <t>skb-eval-8352-c5091</t>
        </is>
      </c>
      <c r="D92" s="2" t="n">
        <v>5091</v>
      </c>
      <c r="E92" s="2" t="n">
        <v>1561</v>
      </c>
      <c r="F92" s="2" t="n">
        <v>771</v>
      </c>
      <c r="G92" s="2" t="inlineStr">
        <is>
          <t>1302 1303 1301 c02c c030 009f cca9 cca8 ccaa c02b c02f 009e c024 c028 006b c023 c027 0067 c00a c014 0039 c009 c013 0033 009d 009c 003d 003c 0035 002f</t>
        </is>
      </c>
      <c r="H92" s="2" t="inlineStr">
        <is>
          <t>0304 0303</t>
        </is>
      </c>
      <c r="I92" s="2" t="n">
        <v>1</v>
      </c>
      <c r="J92" s="2" t="inlineStr">
        <is>
          <t>skb-eval-8352-c5091</t>
        </is>
      </c>
      <c r="K92" s="2" t="n">
        <v>1561</v>
      </c>
      <c r="L92" s="2" t="n">
        <v>771</v>
      </c>
      <c r="M92" s="2" t="n">
        <v>1443</v>
      </c>
      <c r="N92" s="2" t="b">
        <v>1</v>
      </c>
      <c r="O92" s="2" t="b">
        <v>1</v>
      </c>
      <c r="P92" s="2" t="inlineStr">
        <is>
          <t>1302 1303 1301 c02c c030 009f cca9 cca8 ccaa c02b c02f 009e c024 c028 006b c023 c027 0067 c00a c014 0039 c009 c013 0033 009d 009c 003d 003c 0035 002f</t>
        </is>
      </c>
      <c r="Q92" s="2" t="inlineStr">
        <is>
          <t>0304 0303</t>
        </is>
      </c>
      <c r="R92" s="2" t="inlineStr">
        <is>
          <t>violation</t>
        </is>
      </c>
      <c r="S92" s="2" t="inlineStr">
        <is>
          <t>violation</t>
        </is>
      </c>
      <c r="T92" s="2">
        <f>K92=E92</f>
        <v/>
      </c>
      <c r="U92" s="2">
        <f>L92=F92</f>
        <v/>
      </c>
      <c r="V92" s="2">
        <f>IF(N92,EXACT(P92,G92),"")</f>
        <v/>
      </c>
      <c r="W92" s="2">
        <f>IF(O92,EXACT(Q92,H92),"")</f>
        <v/>
      </c>
      <c r="X92" s="2">
        <f>J92=C92</f>
        <v/>
      </c>
      <c r="Y92" s="2">
        <f>IF(R92="unknown","",R92=S92)</f>
        <v/>
      </c>
      <c r="Z92" s="2" t="inlineStr">
        <is>
          <t>A</t>
        </is>
      </c>
      <c r="AA92" s="2" t="inlineStr">
        <is>
          <t>A</t>
        </is>
      </c>
      <c r="AB92" s="2">
        <f>AND(N92,O92,A92&lt;&gt;"census-mixed")</f>
        <v/>
      </c>
      <c r="AC92" s="2">
        <f>IF(AB92,Z92=AA92,"")</f>
        <v/>
      </c>
    </row>
    <row r="93">
      <c r="A93" s="2" t="inlineStr">
        <is>
          <t>census</t>
        </is>
      </c>
      <c r="B93" s="2" t="inlineStr">
        <is>
          <t>curl 8.22 (OpenSSL 3.5.8)</t>
        </is>
      </c>
      <c r="C93" s="2" t="inlineStr">
        <is>
          <t>skb-eval-8352-c5092</t>
        </is>
      </c>
      <c r="D93" s="2" t="n">
        <v>5092</v>
      </c>
      <c r="E93" s="2" t="n">
        <v>1561</v>
      </c>
      <c r="F93" s="2" t="n">
        <v>771</v>
      </c>
      <c r="G93" s="2" t="inlineStr">
        <is>
          <t>1302 1303 1301 c02c c030 009f cca9 cca8 ccaa c02b c02f 009e c024 c028 006b c023 c027 0067 c00a c014 0039 c009 c013 0033 009d 009c 003d 003c 0035 002f</t>
        </is>
      </c>
      <c r="H93" s="2" t="inlineStr">
        <is>
          <t>0304 0303</t>
        </is>
      </c>
      <c r="I93" s="2" t="n">
        <v>1</v>
      </c>
      <c r="J93" s="2" t="inlineStr">
        <is>
          <t>skb-eval-8352-c5092</t>
        </is>
      </c>
      <c r="K93" s="2" t="n">
        <v>1561</v>
      </c>
      <c r="L93" s="2" t="n">
        <v>771</v>
      </c>
      <c r="M93" s="2" t="n">
        <v>1443</v>
      </c>
      <c r="N93" s="2" t="b">
        <v>1</v>
      </c>
      <c r="O93" s="2" t="b">
        <v>1</v>
      </c>
      <c r="P93" s="2" t="inlineStr">
        <is>
          <t>1302 1303 1301 c02c c030 009f cca9 cca8 ccaa c02b c02f 009e c024 c028 006b c023 c027 0067 c00a c014 0039 c009 c013 0033 009d 009c 003d 003c 0035 002f</t>
        </is>
      </c>
      <c r="Q93" s="2" t="inlineStr">
        <is>
          <t>0304 0303</t>
        </is>
      </c>
      <c r="R93" s="2" t="inlineStr">
        <is>
          <t>violation</t>
        </is>
      </c>
      <c r="S93" s="2" t="inlineStr">
        <is>
          <t>violation</t>
        </is>
      </c>
      <c r="T93" s="2">
        <f>K93=E93</f>
        <v/>
      </c>
      <c r="U93" s="2">
        <f>L93=F93</f>
        <v/>
      </c>
      <c r="V93" s="2">
        <f>IF(N93,EXACT(P93,G93),"")</f>
        <v/>
      </c>
      <c r="W93" s="2">
        <f>IF(O93,EXACT(Q93,H93),"")</f>
        <v/>
      </c>
      <c r="X93" s="2">
        <f>J93=C93</f>
        <v/>
      </c>
      <c r="Y93" s="2">
        <f>IF(R93="unknown","",R93=S93)</f>
        <v/>
      </c>
      <c r="Z93" s="2" t="inlineStr">
        <is>
          <t>A</t>
        </is>
      </c>
      <c r="AA93" s="2" t="inlineStr">
        <is>
          <t>A</t>
        </is>
      </c>
      <c r="AB93" s="2">
        <f>AND(N93,O93,A93&lt;&gt;"census-mixed")</f>
        <v/>
      </c>
      <c r="AC93" s="2">
        <f>IF(AB93,Z93=AA93,"")</f>
        <v/>
      </c>
    </row>
    <row r="94">
      <c r="A94" s="2" t="inlineStr">
        <is>
          <t>census</t>
        </is>
      </c>
      <c r="B94" s="2" t="inlineStr">
        <is>
          <t>curl 8.22 (OpenSSL 3.5.8)</t>
        </is>
      </c>
      <c r="C94" s="2" t="inlineStr">
        <is>
          <t>skb-eval-8352-c5093</t>
        </is>
      </c>
      <c r="D94" s="2" t="n">
        <v>5093</v>
      </c>
      <c r="E94" s="2" t="n">
        <v>1561</v>
      </c>
      <c r="F94" s="2" t="n">
        <v>771</v>
      </c>
      <c r="G94" s="2" t="inlineStr">
        <is>
          <t>1302 1303 1301 c02c c030 009f cca9 cca8 ccaa c02b c02f 009e c024 c028 006b c023 c027 0067 c00a c014 0039 c009 c013 0033 009d 009c 003d 003c 0035 002f</t>
        </is>
      </c>
      <c r="H94" s="2" t="inlineStr">
        <is>
          <t>0304 0303</t>
        </is>
      </c>
      <c r="I94" s="2" t="n">
        <v>1</v>
      </c>
      <c r="J94" s="2" t="inlineStr">
        <is>
          <t>skb-eval-8352-c5093</t>
        </is>
      </c>
      <c r="K94" s="2" t="n">
        <v>1561</v>
      </c>
      <c r="L94" s="2" t="n">
        <v>771</v>
      </c>
      <c r="M94" s="2" t="n">
        <v>1443</v>
      </c>
      <c r="N94" s="2" t="b">
        <v>1</v>
      </c>
      <c r="O94" s="2" t="b">
        <v>1</v>
      </c>
      <c r="P94" s="2" t="inlineStr">
        <is>
          <t>1302 1303 1301 c02c c030 009f cca9 cca8 ccaa c02b c02f 009e c024 c028 006b c023 c027 0067 c00a c014 0039 c009 c013 0033 009d 009c 003d 003c 0035 002f</t>
        </is>
      </c>
      <c r="Q94" s="2" t="inlineStr">
        <is>
          <t>0304 0303</t>
        </is>
      </c>
      <c r="R94" s="2" t="inlineStr">
        <is>
          <t>violation</t>
        </is>
      </c>
      <c r="S94" s="2" t="inlineStr">
        <is>
          <t>violation</t>
        </is>
      </c>
      <c r="T94" s="2">
        <f>K94=E94</f>
        <v/>
      </c>
      <c r="U94" s="2">
        <f>L94=F94</f>
        <v/>
      </c>
      <c r="V94" s="2">
        <f>IF(N94,EXACT(P94,G94),"")</f>
        <v/>
      </c>
      <c r="W94" s="2">
        <f>IF(O94,EXACT(Q94,H94),"")</f>
        <v/>
      </c>
      <c r="X94" s="2">
        <f>J94=C94</f>
        <v/>
      </c>
      <c r="Y94" s="2">
        <f>IF(R94="unknown","",R94=S94)</f>
        <v/>
      </c>
      <c r="Z94" s="2" t="inlineStr">
        <is>
          <t>A</t>
        </is>
      </c>
      <c r="AA94" s="2" t="inlineStr">
        <is>
          <t>A</t>
        </is>
      </c>
      <c r="AB94" s="2">
        <f>AND(N94,O94,A94&lt;&gt;"census-mixed")</f>
        <v/>
      </c>
      <c r="AC94" s="2">
        <f>IF(AB94,Z94=AA94,"")</f>
        <v/>
      </c>
    </row>
    <row r="95">
      <c r="A95" s="2" t="inlineStr">
        <is>
          <t>census</t>
        </is>
      </c>
      <c r="B95" s="2" t="inlineStr">
        <is>
          <t>curl 8.22 (OpenSSL 3.5.8)</t>
        </is>
      </c>
      <c r="C95" s="2" t="inlineStr">
        <is>
          <t>skb-eval-8352-c5094</t>
        </is>
      </c>
      <c r="D95" s="2" t="n">
        <v>5094</v>
      </c>
      <c r="E95" s="2" t="n">
        <v>1561</v>
      </c>
      <c r="F95" s="2" t="n">
        <v>771</v>
      </c>
      <c r="G95" s="2" t="inlineStr">
        <is>
          <t>1302 1303 1301 c02c c030 009f cca9 cca8 ccaa c02b c02f 009e c024 c028 006b c023 c027 0067 c00a c014 0039 c009 c013 0033 009d 009c 003d 003c 0035 002f</t>
        </is>
      </c>
      <c r="H95" s="2" t="inlineStr">
        <is>
          <t>0304 0303</t>
        </is>
      </c>
      <c r="I95" s="2" t="n">
        <v>1</v>
      </c>
      <c r="J95" s="2" t="inlineStr">
        <is>
          <t>skb-eval-8352-c5094</t>
        </is>
      </c>
      <c r="K95" s="2" t="n">
        <v>1561</v>
      </c>
      <c r="L95" s="2" t="n">
        <v>771</v>
      </c>
      <c r="M95" s="2" t="n">
        <v>1443</v>
      </c>
      <c r="N95" s="2" t="b">
        <v>1</v>
      </c>
      <c r="O95" s="2" t="b">
        <v>1</v>
      </c>
      <c r="P95" s="2" t="inlineStr">
        <is>
          <t>1302 1303 1301 c02c c030 009f cca9 cca8 ccaa c02b c02f 009e c024 c028 006b c023 c027 0067 c00a c014 0039 c009 c013 0033 009d 009c 003d 003c 0035 002f</t>
        </is>
      </c>
      <c r="Q95" s="2" t="inlineStr">
        <is>
          <t>0304 0303</t>
        </is>
      </c>
      <c r="R95" s="2" t="inlineStr">
        <is>
          <t>violation</t>
        </is>
      </c>
      <c r="S95" s="2" t="inlineStr">
        <is>
          <t>violation</t>
        </is>
      </c>
      <c r="T95" s="2">
        <f>K95=E95</f>
        <v/>
      </c>
      <c r="U95" s="2">
        <f>L95=F95</f>
        <v/>
      </c>
      <c r="V95" s="2">
        <f>IF(N95,EXACT(P95,G95),"")</f>
        <v/>
      </c>
      <c r="W95" s="2">
        <f>IF(O95,EXACT(Q95,H95),"")</f>
        <v/>
      </c>
      <c r="X95" s="2">
        <f>J95=C95</f>
        <v/>
      </c>
      <c r="Y95" s="2">
        <f>IF(R95="unknown","",R95=S95)</f>
        <v/>
      </c>
      <c r="Z95" s="2" t="inlineStr">
        <is>
          <t>A</t>
        </is>
      </c>
      <c r="AA95" s="2" t="inlineStr">
        <is>
          <t>A</t>
        </is>
      </c>
      <c r="AB95" s="2">
        <f>AND(N95,O95,A95&lt;&gt;"census-mixed")</f>
        <v/>
      </c>
      <c r="AC95" s="2">
        <f>IF(AB95,Z95=AA95,"")</f>
        <v/>
      </c>
    </row>
    <row r="96">
      <c r="A96" s="2" t="inlineStr">
        <is>
          <t>census</t>
        </is>
      </c>
      <c r="B96" s="2" t="inlineStr">
        <is>
          <t>curl 8.22 (OpenSSL 3.5.8)</t>
        </is>
      </c>
      <c r="C96" s="2" t="inlineStr">
        <is>
          <t>skb-eval-8352-c5095</t>
        </is>
      </c>
      <c r="D96" s="2" t="n">
        <v>5095</v>
      </c>
      <c r="E96" s="2" t="n">
        <v>1561</v>
      </c>
      <c r="F96" s="2" t="n">
        <v>771</v>
      </c>
      <c r="G96" s="2" t="inlineStr">
        <is>
          <t>1302 1303 1301 c02c c030 009f cca9 cca8 ccaa c02b c02f 009e c024 c028 006b c023 c027 0067 c00a c014 0039 c009 c013 0033 009d 009c 003d 003c 0035 002f</t>
        </is>
      </c>
      <c r="H96" s="2" t="inlineStr">
        <is>
          <t>0304 0303</t>
        </is>
      </c>
      <c r="I96" s="2" t="n">
        <v>1</v>
      </c>
      <c r="J96" s="2" t="inlineStr">
        <is>
          <t>skb-eval-8352-c5095</t>
        </is>
      </c>
      <c r="K96" s="2" t="n">
        <v>1561</v>
      </c>
      <c r="L96" s="2" t="n">
        <v>771</v>
      </c>
      <c r="M96" s="2" t="n">
        <v>1443</v>
      </c>
      <c r="N96" s="2" t="b">
        <v>1</v>
      </c>
      <c r="O96" s="2" t="b">
        <v>1</v>
      </c>
      <c r="P96" s="2" t="inlineStr">
        <is>
          <t>1302 1303 1301 c02c c030 009f cca9 cca8 ccaa c02b c02f 009e c024 c028 006b c023 c027 0067 c00a c014 0039 c009 c013 0033 009d 009c 003d 003c 0035 002f</t>
        </is>
      </c>
      <c r="Q96" s="2" t="inlineStr">
        <is>
          <t>0304 0303</t>
        </is>
      </c>
      <c r="R96" s="2" t="inlineStr">
        <is>
          <t>violation</t>
        </is>
      </c>
      <c r="S96" s="2" t="inlineStr">
        <is>
          <t>violation</t>
        </is>
      </c>
      <c r="T96" s="2">
        <f>K96=E96</f>
        <v/>
      </c>
      <c r="U96" s="2">
        <f>L96=F96</f>
        <v/>
      </c>
      <c r="V96" s="2">
        <f>IF(N96,EXACT(P96,G96),"")</f>
        <v/>
      </c>
      <c r="W96" s="2">
        <f>IF(O96,EXACT(Q96,H96),"")</f>
        <v/>
      </c>
      <c r="X96" s="2">
        <f>J96=C96</f>
        <v/>
      </c>
      <c r="Y96" s="2">
        <f>IF(R96="unknown","",R96=S96)</f>
        <v/>
      </c>
      <c r="Z96" s="2" t="inlineStr">
        <is>
          <t>A</t>
        </is>
      </c>
      <c r="AA96" s="2" t="inlineStr">
        <is>
          <t>A</t>
        </is>
      </c>
      <c r="AB96" s="2">
        <f>AND(N96,O96,A96&lt;&gt;"census-mixed")</f>
        <v/>
      </c>
      <c r="AC96" s="2">
        <f>IF(AB96,Z96=AA96,"")</f>
        <v/>
      </c>
    </row>
    <row r="97">
      <c r="A97" s="2" t="inlineStr">
        <is>
          <t>census</t>
        </is>
      </c>
      <c r="B97" s="2" t="inlineStr">
        <is>
          <t>curl 8.22 (OpenSSL 3.5.8)</t>
        </is>
      </c>
      <c r="C97" s="2" t="inlineStr">
        <is>
          <t>skb-eval-8352-c5096</t>
        </is>
      </c>
      <c r="D97" s="2" t="n">
        <v>5096</v>
      </c>
      <c r="E97" s="2" t="n">
        <v>1561</v>
      </c>
      <c r="F97" s="2" t="n">
        <v>771</v>
      </c>
      <c r="G97" s="2" t="inlineStr">
        <is>
          <t>1302 1303 1301 c02c c030 009f cca9 cca8 ccaa c02b c02f 009e c024 c028 006b c023 c027 0067 c00a c014 0039 c009 c013 0033 009d 009c 003d 003c 0035 002f</t>
        </is>
      </c>
      <c r="H97" s="2" t="inlineStr">
        <is>
          <t>0304 0303</t>
        </is>
      </c>
      <c r="I97" s="2" t="n">
        <v>1</v>
      </c>
      <c r="J97" s="2" t="inlineStr">
        <is>
          <t>skb-eval-8352-c5096</t>
        </is>
      </c>
      <c r="K97" s="2" t="n">
        <v>1561</v>
      </c>
      <c r="L97" s="2" t="n">
        <v>771</v>
      </c>
      <c r="M97" s="2" t="n">
        <v>1443</v>
      </c>
      <c r="N97" s="2" t="b">
        <v>1</v>
      </c>
      <c r="O97" s="2" t="b">
        <v>1</v>
      </c>
      <c r="P97" s="2" t="inlineStr">
        <is>
          <t>1302 1303 1301 c02c c030 009f cca9 cca8 ccaa c02b c02f 009e c024 c028 006b c023 c027 0067 c00a c014 0039 c009 c013 0033 009d 009c 003d 003c 0035 002f</t>
        </is>
      </c>
      <c r="Q97" s="2" t="inlineStr">
        <is>
          <t>0304 0303</t>
        </is>
      </c>
      <c r="R97" s="2" t="inlineStr">
        <is>
          <t>violation</t>
        </is>
      </c>
      <c r="S97" s="2" t="inlineStr">
        <is>
          <t>violation</t>
        </is>
      </c>
      <c r="T97" s="2">
        <f>K97=E97</f>
        <v/>
      </c>
      <c r="U97" s="2">
        <f>L97=F97</f>
        <v/>
      </c>
      <c r="V97" s="2">
        <f>IF(N97,EXACT(P97,G97),"")</f>
        <v/>
      </c>
      <c r="W97" s="2">
        <f>IF(O97,EXACT(Q97,H97),"")</f>
        <v/>
      </c>
      <c r="X97" s="2">
        <f>J97=C97</f>
        <v/>
      </c>
      <c r="Y97" s="2">
        <f>IF(R97="unknown","",R97=S97)</f>
        <v/>
      </c>
      <c r="Z97" s="2" t="inlineStr">
        <is>
          <t>A</t>
        </is>
      </c>
      <c r="AA97" s="2" t="inlineStr">
        <is>
          <t>A</t>
        </is>
      </c>
      <c r="AB97" s="2">
        <f>AND(N97,O97,A97&lt;&gt;"census-mixed")</f>
        <v/>
      </c>
      <c r="AC97" s="2">
        <f>IF(AB97,Z97=AA97,"")</f>
        <v/>
      </c>
    </row>
    <row r="98">
      <c r="A98" s="2" t="inlineStr">
        <is>
          <t>census</t>
        </is>
      </c>
      <c r="B98" s="2" t="inlineStr">
        <is>
          <t>curl 8.22 (OpenSSL 3.5.8)</t>
        </is>
      </c>
      <c r="C98" s="2" t="inlineStr">
        <is>
          <t>skb-eval-8352-c5097</t>
        </is>
      </c>
      <c r="D98" s="2" t="n">
        <v>5097</v>
      </c>
      <c r="E98" s="2" t="n">
        <v>1561</v>
      </c>
      <c r="F98" s="2" t="n">
        <v>771</v>
      </c>
      <c r="G98" s="2" t="inlineStr">
        <is>
          <t>1302 1303 1301 c02c c030 009f cca9 cca8 ccaa c02b c02f 009e c024 c028 006b c023 c027 0067 c00a c014 0039 c009 c013 0033 009d 009c 003d 003c 0035 002f</t>
        </is>
      </c>
      <c r="H98" s="2" t="inlineStr">
        <is>
          <t>0304 0303</t>
        </is>
      </c>
      <c r="I98" s="2" t="n">
        <v>1</v>
      </c>
      <c r="J98" s="2" t="inlineStr">
        <is>
          <t>skb-eval-8352-c5097</t>
        </is>
      </c>
      <c r="K98" s="2" t="n">
        <v>1561</v>
      </c>
      <c r="L98" s="2" t="n">
        <v>771</v>
      </c>
      <c r="M98" s="2" t="n">
        <v>1443</v>
      </c>
      <c r="N98" s="2" t="b">
        <v>1</v>
      </c>
      <c r="O98" s="2" t="b">
        <v>1</v>
      </c>
      <c r="P98" s="2" t="inlineStr">
        <is>
          <t>1302 1303 1301 c02c c030 009f cca9 cca8 ccaa c02b c02f 009e c024 c028 006b c023 c027 0067 c00a c014 0039 c009 c013 0033 009d 009c 003d 003c 0035 002f</t>
        </is>
      </c>
      <c r="Q98" s="2" t="inlineStr">
        <is>
          <t>0304 0303</t>
        </is>
      </c>
      <c r="R98" s="2" t="inlineStr">
        <is>
          <t>violation</t>
        </is>
      </c>
      <c r="S98" s="2" t="inlineStr">
        <is>
          <t>violation</t>
        </is>
      </c>
      <c r="T98" s="2">
        <f>K98=E98</f>
        <v/>
      </c>
      <c r="U98" s="2">
        <f>L98=F98</f>
        <v/>
      </c>
      <c r="V98" s="2">
        <f>IF(N98,EXACT(P98,G98),"")</f>
        <v/>
      </c>
      <c r="W98" s="2">
        <f>IF(O98,EXACT(Q98,H98),"")</f>
        <v/>
      </c>
      <c r="X98" s="2">
        <f>J98=C98</f>
        <v/>
      </c>
      <c r="Y98" s="2">
        <f>IF(R98="unknown","",R98=S98)</f>
        <v/>
      </c>
      <c r="Z98" s="2" t="inlineStr">
        <is>
          <t>A</t>
        </is>
      </c>
      <c r="AA98" s="2" t="inlineStr">
        <is>
          <t>A</t>
        </is>
      </c>
      <c r="AB98" s="2">
        <f>AND(N98,O98,A98&lt;&gt;"census-mixed")</f>
        <v/>
      </c>
      <c r="AC98" s="2">
        <f>IF(AB98,Z98=AA98,"")</f>
        <v/>
      </c>
    </row>
    <row r="99">
      <c r="A99" s="2" t="inlineStr">
        <is>
          <t>census</t>
        </is>
      </c>
      <c r="B99" s="2" t="inlineStr">
        <is>
          <t>curl 8.22 (OpenSSL 3.5.8)</t>
        </is>
      </c>
      <c r="C99" s="2" t="inlineStr">
        <is>
          <t>skb-eval-8352-c5098</t>
        </is>
      </c>
      <c r="D99" s="2" t="n">
        <v>5098</v>
      </c>
      <c r="E99" s="2" t="n">
        <v>1561</v>
      </c>
      <c r="F99" s="2" t="n">
        <v>771</v>
      </c>
      <c r="G99" s="2" t="inlineStr">
        <is>
          <t>1302 1303 1301 c02c c030 009f cca9 cca8 ccaa c02b c02f 009e c024 c028 006b c023 c027 0067 c00a c014 0039 c009 c013 0033 009d 009c 003d 003c 0035 002f</t>
        </is>
      </c>
      <c r="H99" s="2" t="inlineStr">
        <is>
          <t>0304 0303</t>
        </is>
      </c>
      <c r="I99" s="2" t="n">
        <v>1</v>
      </c>
      <c r="J99" s="2" t="inlineStr">
        <is>
          <t>skb-eval-8352-c5098</t>
        </is>
      </c>
      <c r="K99" s="2" t="n">
        <v>1561</v>
      </c>
      <c r="L99" s="2" t="n">
        <v>771</v>
      </c>
      <c r="M99" s="2" t="n">
        <v>1443</v>
      </c>
      <c r="N99" s="2" t="b">
        <v>1</v>
      </c>
      <c r="O99" s="2" t="b">
        <v>1</v>
      </c>
      <c r="P99" s="2" t="inlineStr">
        <is>
          <t>1302 1303 1301 c02c c030 009f cca9 cca8 ccaa c02b c02f 009e c024 c028 006b c023 c027 0067 c00a c014 0039 c009 c013 0033 009d 009c 003d 003c 0035 002f</t>
        </is>
      </c>
      <c r="Q99" s="2" t="inlineStr">
        <is>
          <t>0304 0303</t>
        </is>
      </c>
      <c r="R99" s="2" t="inlineStr">
        <is>
          <t>violation</t>
        </is>
      </c>
      <c r="S99" s="2" t="inlineStr">
        <is>
          <t>violation</t>
        </is>
      </c>
      <c r="T99" s="2">
        <f>K99=E99</f>
        <v/>
      </c>
      <c r="U99" s="2">
        <f>L99=F99</f>
        <v/>
      </c>
      <c r="V99" s="2">
        <f>IF(N99,EXACT(P99,G99),"")</f>
        <v/>
      </c>
      <c r="W99" s="2">
        <f>IF(O99,EXACT(Q99,H99),"")</f>
        <v/>
      </c>
      <c r="X99" s="2">
        <f>J99=C99</f>
        <v/>
      </c>
      <c r="Y99" s="2">
        <f>IF(R99="unknown","",R99=S99)</f>
        <v/>
      </c>
      <c r="Z99" s="2" t="inlineStr">
        <is>
          <t>A</t>
        </is>
      </c>
      <c r="AA99" s="2" t="inlineStr">
        <is>
          <t>A</t>
        </is>
      </c>
      <c r="AB99" s="2">
        <f>AND(N99,O99,A99&lt;&gt;"census-mixed")</f>
        <v/>
      </c>
      <c r="AC99" s="2">
        <f>IF(AB99,Z99=AA99,"")</f>
        <v/>
      </c>
    </row>
    <row r="100">
      <c r="A100" s="2" t="inlineStr">
        <is>
          <t>census</t>
        </is>
      </c>
      <c r="B100" s="2" t="inlineStr">
        <is>
          <t>curl 8.22 (OpenSSL 3.5.8)</t>
        </is>
      </c>
      <c r="C100" s="2" t="inlineStr">
        <is>
          <t>skb-eval-8352-c5099</t>
        </is>
      </c>
      <c r="D100" s="2" t="n">
        <v>5099</v>
      </c>
      <c r="E100" s="2" t="n">
        <v>1561</v>
      </c>
      <c r="F100" s="2" t="n">
        <v>771</v>
      </c>
      <c r="G100" s="2" t="inlineStr">
        <is>
          <t>1302 1303 1301 c02c c030 009f cca9 cca8 ccaa c02b c02f 009e c024 c028 006b c023 c027 0067 c00a c014 0039 c009 c013 0033 009d 009c 003d 003c 0035 002f</t>
        </is>
      </c>
      <c r="H100" s="2" t="inlineStr">
        <is>
          <t>0304 0303</t>
        </is>
      </c>
      <c r="I100" s="2" t="n">
        <v>1</v>
      </c>
      <c r="J100" s="2" t="inlineStr">
        <is>
          <t>skb-eval-8352-c5099</t>
        </is>
      </c>
      <c r="K100" s="2" t="n">
        <v>1561</v>
      </c>
      <c r="L100" s="2" t="n">
        <v>771</v>
      </c>
      <c r="M100" s="2" t="n">
        <v>1443</v>
      </c>
      <c r="N100" s="2" t="b">
        <v>1</v>
      </c>
      <c r="O100" s="2" t="b">
        <v>1</v>
      </c>
      <c r="P100" s="2" t="inlineStr">
        <is>
          <t>1302 1303 1301 c02c c030 009f cca9 cca8 ccaa c02b c02f 009e c024 c028 006b c023 c027 0067 c00a c014 0039 c009 c013 0033 009d 009c 003d 003c 0035 002f</t>
        </is>
      </c>
      <c r="Q100" s="2" t="inlineStr">
        <is>
          <t>0304 0303</t>
        </is>
      </c>
      <c r="R100" s="2" t="inlineStr">
        <is>
          <t>violation</t>
        </is>
      </c>
      <c r="S100" s="2" t="inlineStr">
        <is>
          <t>violation</t>
        </is>
      </c>
      <c r="T100" s="2">
        <f>K100=E100</f>
        <v/>
      </c>
      <c r="U100" s="2">
        <f>L100=F100</f>
        <v/>
      </c>
      <c r="V100" s="2">
        <f>IF(N100,EXACT(P100,G100),"")</f>
        <v/>
      </c>
      <c r="W100" s="2">
        <f>IF(O100,EXACT(Q100,H100),"")</f>
        <v/>
      </c>
      <c r="X100" s="2">
        <f>J100=C100</f>
        <v/>
      </c>
      <c r="Y100" s="2">
        <f>IF(R100="unknown","",R100=S100)</f>
        <v/>
      </c>
      <c r="Z100" s="2" t="inlineStr">
        <is>
          <t>A</t>
        </is>
      </c>
      <c r="AA100" s="2" t="inlineStr">
        <is>
          <t>A</t>
        </is>
      </c>
      <c r="AB100" s="2">
        <f>AND(N100,O100,A100&lt;&gt;"census-mixed")</f>
        <v/>
      </c>
      <c r="AC100" s="2">
        <f>IF(AB100,Z100=AA100,"")</f>
        <v/>
      </c>
    </row>
    <row r="101">
      <c r="A101" s="2" t="inlineStr">
        <is>
          <t>census</t>
        </is>
      </c>
      <c r="B101" s="2" t="inlineStr">
        <is>
          <t>curl 8.22 (OpenSSL 3.5.8)</t>
        </is>
      </c>
      <c r="C101" s="2" t="inlineStr">
        <is>
          <t>skb-eval-8352-c5100</t>
        </is>
      </c>
      <c r="D101" s="2" t="n">
        <v>5100</v>
      </c>
      <c r="E101" s="2" t="n">
        <v>1561</v>
      </c>
      <c r="F101" s="2" t="n">
        <v>771</v>
      </c>
      <c r="G101" s="2" t="inlineStr">
        <is>
          <t>1302 1303 1301 c02c c030 009f cca9 cca8 ccaa c02b c02f 009e c024 c028 006b c023 c027 0067 c00a c014 0039 c009 c013 0033 009d 009c 003d 003c 0035 002f</t>
        </is>
      </c>
      <c r="H101" s="2" t="inlineStr">
        <is>
          <t>0304 0303</t>
        </is>
      </c>
      <c r="I101" s="2" t="n">
        <v>1</v>
      </c>
      <c r="J101" s="2" t="inlineStr">
        <is>
          <t>skb-eval-8352-c5100</t>
        </is>
      </c>
      <c r="K101" s="2" t="n">
        <v>1561</v>
      </c>
      <c r="L101" s="2" t="n">
        <v>771</v>
      </c>
      <c r="M101" s="2" t="n">
        <v>1443</v>
      </c>
      <c r="N101" s="2" t="b">
        <v>1</v>
      </c>
      <c r="O101" s="2" t="b">
        <v>1</v>
      </c>
      <c r="P101" s="2" t="inlineStr">
        <is>
          <t>1302 1303 1301 c02c c030 009f cca9 cca8 ccaa c02b c02f 009e c024 c028 006b c023 c027 0067 c00a c014 0039 c009 c013 0033 009d 009c 003d 003c 0035 002f</t>
        </is>
      </c>
      <c r="Q101" s="2" t="inlineStr">
        <is>
          <t>0304 0303</t>
        </is>
      </c>
      <c r="R101" s="2" t="inlineStr">
        <is>
          <t>violation</t>
        </is>
      </c>
      <c r="S101" s="2" t="inlineStr">
        <is>
          <t>violation</t>
        </is>
      </c>
      <c r="T101" s="2">
        <f>K101=E101</f>
        <v/>
      </c>
      <c r="U101" s="2">
        <f>L101=F101</f>
        <v/>
      </c>
      <c r="V101" s="2">
        <f>IF(N101,EXACT(P101,G101),"")</f>
        <v/>
      </c>
      <c r="W101" s="2">
        <f>IF(O101,EXACT(Q101,H101),"")</f>
        <v/>
      </c>
      <c r="X101" s="2">
        <f>J101=C101</f>
        <v/>
      </c>
      <c r="Y101" s="2">
        <f>IF(R101="unknown","",R101=S101)</f>
        <v/>
      </c>
      <c r="Z101" s="2" t="inlineStr">
        <is>
          <t>A</t>
        </is>
      </c>
      <c r="AA101" s="2" t="inlineStr">
        <is>
          <t>A</t>
        </is>
      </c>
      <c r="AB101" s="2">
        <f>AND(N101,O101,A101&lt;&gt;"census-mixed")</f>
        <v/>
      </c>
      <c r="AC101" s="2">
        <f>IF(AB101,Z101=AA101,"")</f>
        <v/>
      </c>
    </row>
    <row r="102">
      <c r="A102" s="2" t="inlineStr">
        <is>
          <t>census</t>
        </is>
      </c>
      <c r="B102" s="2" t="inlineStr">
        <is>
          <t>python 3.14 urllib (OpenSSL 3.5.8)</t>
        </is>
      </c>
      <c r="C102" s="2" t="inlineStr">
        <is>
          <t>skb-eval-8352-c5101</t>
        </is>
      </c>
      <c r="D102" s="2" t="n">
        <v>5101</v>
      </c>
      <c r="E102" s="2" t="n">
        <v>1517</v>
      </c>
      <c r="F102" s="2" t="n">
        <v>771</v>
      </c>
      <c r="G102" s="2" t="inlineStr">
        <is>
          <t>1302 1303 1301 c02c c030 c02b c02f cca9 cca8 c024 c028 c023 c027 009f 009e 006b 0067</t>
        </is>
      </c>
      <c r="H102" s="2" t="inlineStr">
        <is>
          <t>0304 0303</t>
        </is>
      </c>
      <c r="I102" s="2" t="n">
        <v>1</v>
      </c>
      <c r="J102" s="2" t="inlineStr">
        <is>
          <t>skb-eval-8352-c5101</t>
        </is>
      </c>
      <c r="K102" s="2" t="n">
        <v>1517</v>
      </c>
      <c r="L102" s="2" t="n">
        <v>771</v>
      </c>
      <c r="M102" s="2" t="n">
        <v>1443</v>
      </c>
      <c r="N102" s="2" t="b">
        <v>1</v>
      </c>
      <c r="O102" s="2" t="b">
        <v>1</v>
      </c>
      <c r="P102" s="2" t="inlineStr">
        <is>
          <t>1302 1303 1301 c02c c030 c02b c02f cca9 cca8 c024 c028 c023 c027 009f 009e 006b 0067</t>
        </is>
      </c>
      <c r="Q102" s="2" t="inlineStr">
        <is>
          <t>0304 0303</t>
        </is>
      </c>
      <c r="R102" s="2" t="inlineStr">
        <is>
          <t>violation</t>
        </is>
      </c>
      <c r="S102" s="2" t="inlineStr">
        <is>
          <t>violation</t>
        </is>
      </c>
      <c r="T102" s="2">
        <f>K102=E102</f>
        <v/>
      </c>
      <c r="U102" s="2">
        <f>L102=F102</f>
        <v/>
      </c>
      <c r="V102" s="2">
        <f>IF(N102,EXACT(P102,G102),"")</f>
        <v/>
      </c>
      <c r="W102" s="2">
        <f>IF(O102,EXACT(Q102,H102),"")</f>
        <v/>
      </c>
      <c r="X102" s="2">
        <f>J102=C102</f>
        <v/>
      </c>
      <c r="Y102" s="2">
        <f>IF(R102="unknown","",R102=S102)</f>
        <v/>
      </c>
      <c r="Z102" s="2" t="inlineStr">
        <is>
          <t>A</t>
        </is>
      </c>
      <c r="AA102" s="2" t="inlineStr">
        <is>
          <t>A</t>
        </is>
      </c>
      <c r="AB102" s="2">
        <f>AND(N102,O102,A102&lt;&gt;"census-mixed")</f>
        <v/>
      </c>
      <c r="AC102" s="2">
        <f>IF(AB102,Z102=AA102,"")</f>
        <v/>
      </c>
    </row>
    <row r="103">
      <c r="A103" s="2" t="inlineStr">
        <is>
          <t>census</t>
        </is>
      </c>
      <c r="B103" s="2" t="inlineStr">
        <is>
          <t>python 3.14 urllib (OpenSSL 3.5.8)</t>
        </is>
      </c>
      <c r="C103" s="2" t="inlineStr">
        <is>
          <t>skb-eval-8352-c5102</t>
        </is>
      </c>
      <c r="D103" s="2" t="n">
        <v>5102</v>
      </c>
      <c r="E103" s="2" t="n">
        <v>1517</v>
      </c>
      <c r="F103" s="2" t="n">
        <v>771</v>
      </c>
      <c r="G103" s="2" t="inlineStr">
        <is>
          <t>1302 1303 1301 c02c c030 c02b c02f cca9 cca8 c024 c028 c023 c027 009f 009e 006b 0067</t>
        </is>
      </c>
      <c r="H103" s="2" t="inlineStr">
        <is>
          <t>0304 0303</t>
        </is>
      </c>
      <c r="I103" s="2" t="n">
        <v>1</v>
      </c>
      <c r="J103" s="2" t="inlineStr">
        <is>
          <t>skb-eval-8352-c5102</t>
        </is>
      </c>
      <c r="K103" s="2" t="n">
        <v>1517</v>
      </c>
      <c r="L103" s="2" t="n">
        <v>771</v>
      </c>
      <c r="M103" s="2" t="n">
        <v>1443</v>
      </c>
      <c r="N103" s="2" t="b">
        <v>1</v>
      </c>
      <c r="O103" s="2" t="b">
        <v>1</v>
      </c>
      <c r="P103" s="2" t="inlineStr">
        <is>
          <t>1302 1303 1301 c02c c030 c02b c02f cca9 cca8 c024 c028 c023 c027 009f 009e 006b 0067</t>
        </is>
      </c>
      <c r="Q103" s="2" t="inlineStr">
        <is>
          <t>0304 0303</t>
        </is>
      </c>
      <c r="R103" s="2" t="inlineStr">
        <is>
          <t>violation</t>
        </is>
      </c>
      <c r="S103" s="2" t="inlineStr">
        <is>
          <t>violation</t>
        </is>
      </c>
      <c r="T103" s="2">
        <f>K103=E103</f>
        <v/>
      </c>
      <c r="U103" s="2">
        <f>L103=F103</f>
        <v/>
      </c>
      <c r="V103" s="2">
        <f>IF(N103,EXACT(P103,G103),"")</f>
        <v/>
      </c>
      <c r="W103" s="2">
        <f>IF(O103,EXACT(Q103,H103),"")</f>
        <v/>
      </c>
      <c r="X103" s="2">
        <f>J103=C103</f>
        <v/>
      </c>
      <c r="Y103" s="2">
        <f>IF(R103="unknown","",R103=S103)</f>
        <v/>
      </c>
      <c r="Z103" s="2" t="inlineStr">
        <is>
          <t>A</t>
        </is>
      </c>
      <c r="AA103" s="2" t="inlineStr">
        <is>
          <t>A</t>
        </is>
      </c>
      <c r="AB103" s="2">
        <f>AND(N103,O103,A103&lt;&gt;"census-mixed")</f>
        <v/>
      </c>
      <c r="AC103" s="2">
        <f>IF(AB103,Z103=AA103,"")</f>
        <v/>
      </c>
    </row>
    <row r="104">
      <c r="A104" s="2" t="inlineStr">
        <is>
          <t>census</t>
        </is>
      </c>
      <c r="B104" s="2" t="inlineStr">
        <is>
          <t>python 3.14 urllib (OpenSSL 3.5.8)</t>
        </is>
      </c>
      <c r="C104" s="2" t="inlineStr">
        <is>
          <t>skb-eval-8352-c5103</t>
        </is>
      </c>
      <c r="D104" s="2" t="n">
        <v>5103</v>
      </c>
      <c r="E104" s="2" t="n">
        <v>1517</v>
      </c>
      <c r="F104" s="2" t="n">
        <v>771</v>
      </c>
      <c r="G104" s="2" t="inlineStr">
        <is>
          <t>1302 1303 1301 c02c c030 c02b c02f cca9 cca8 c024 c028 c023 c027 009f 009e 006b 0067</t>
        </is>
      </c>
      <c r="H104" s="2" t="inlineStr">
        <is>
          <t>0304 0303</t>
        </is>
      </c>
      <c r="I104" s="2" t="n">
        <v>1</v>
      </c>
      <c r="J104" s="2" t="inlineStr">
        <is>
          <t>skb-eval-8352-c5103</t>
        </is>
      </c>
      <c r="K104" s="2" t="n">
        <v>1517</v>
      </c>
      <c r="L104" s="2" t="n">
        <v>771</v>
      </c>
      <c r="M104" s="2" t="n">
        <v>1443</v>
      </c>
      <c r="N104" s="2" t="b">
        <v>1</v>
      </c>
      <c r="O104" s="2" t="b">
        <v>1</v>
      </c>
      <c r="P104" s="2" t="inlineStr">
        <is>
          <t>1302 1303 1301 c02c c030 c02b c02f cca9 cca8 c024 c028 c023 c027 009f 009e 006b 0067</t>
        </is>
      </c>
      <c r="Q104" s="2" t="inlineStr">
        <is>
          <t>0304 0303</t>
        </is>
      </c>
      <c r="R104" s="2" t="inlineStr">
        <is>
          <t>violation</t>
        </is>
      </c>
      <c r="S104" s="2" t="inlineStr">
        <is>
          <t>violation</t>
        </is>
      </c>
      <c r="T104" s="2">
        <f>K104=E104</f>
        <v/>
      </c>
      <c r="U104" s="2">
        <f>L104=F104</f>
        <v/>
      </c>
      <c r="V104" s="2">
        <f>IF(N104,EXACT(P104,G104),"")</f>
        <v/>
      </c>
      <c r="W104" s="2">
        <f>IF(O104,EXACT(Q104,H104),"")</f>
        <v/>
      </c>
      <c r="X104" s="2">
        <f>J104=C104</f>
        <v/>
      </c>
      <c r="Y104" s="2">
        <f>IF(R104="unknown","",R104=S104)</f>
        <v/>
      </c>
      <c r="Z104" s="2" t="inlineStr">
        <is>
          <t>A</t>
        </is>
      </c>
      <c r="AA104" s="2" t="inlineStr">
        <is>
          <t>A</t>
        </is>
      </c>
      <c r="AB104" s="2">
        <f>AND(N104,O104,A104&lt;&gt;"census-mixed")</f>
        <v/>
      </c>
      <c r="AC104" s="2">
        <f>IF(AB104,Z104=AA104,"")</f>
        <v/>
      </c>
    </row>
    <row r="105">
      <c r="A105" s="2" t="inlineStr">
        <is>
          <t>census</t>
        </is>
      </c>
      <c r="B105" s="2" t="inlineStr">
        <is>
          <t>python 3.14 urllib (OpenSSL 3.5.8)</t>
        </is>
      </c>
      <c r="C105" s="2" t="inlineStr">
        <is>
          <t>skb-eval-8352-c5104</t>
        </is>
      </c>
      <c r="D105" s="2" t="n">
        <v>5104</v>
      </c>
      <c r="E105" s="2" t="n">
        <v>1517</v>
      </c>
      <c r="F105" s="2" t="n">
        <v>771</v>
      </c>
      <c r="G105" s="2" t="inlineStr">
        <is>
          <t>1302 1303 1301 c02c c030 c02b c02f cca9 cca8 c024 c028 c023 c027 009f 009e 006b 0067</t>
        </is>
      </c>
      <c r="H105" s="2" t="inlineStr">
        <is>
          <t>0304 0303</t>
        </is>
      </c>
      <c r="I105" s="2" t="n">
        <v>1</v>
      </c>
      <c r="J105" s="2" t="inlineStr">
        <is>
          <t>skb-eval-8352-c5104</t>
        </is>
      </c>
      <c r="K105" s="2" t="n">
        <v>1517</v>
      </c>
      <c r="L105" s="2" t="n">
        <v>771</v>
      </c>
      <c r="M105" s="2" t="n">
        <v>1443</v>
      </c>
      <c r="N105" s="2" t="b">
        <v>1</v>
      </c>
      <c r="O105" s="2" t="b">
        <v>1</v>
      </c>
      <c r="P105" s="2" t="inlineStr">
        <is>
          <t>1302 1303 1301 c02c c030 c02b c02f cca9 cca8 c024 c028 c023 c027 009f 009e 006b 0067</t>
        </is>
      </c>
      <c r="Q105" s="2" t="inlineStr">
        <is>
          <t>0304 0303</t>
        </is>
      </c>
      <c r="R105" s="2" t="inlineStr">
        <is>
          <t>violation</t>
        </is>
      </c>
      <c r="S105" s="2" t="inlineStr">
        <is>
          <t>violation</t>
        </is>
      </c>
      <c r="T105" s="2">
        <f>K105=E105</f>
        <v/>
      </c>
      <c r="U105" s="2">
        <f>L105=F105</f>
        <v/>
      </c>
      <c r="V105" s="2">
        <f>IF(N105,EXACT(P105,G105),"")</f>
        <v/>
      </c>
      <c r="W105" s="2">
        <f>IF(O105,EXACT(Q105,H105),"")</f>
        <v/>
      </c>
      <c r="X105" s="2">
        <f>J105=C105</f>
        <v/>
      </c>
      <c r="Y105" s="2">
        <f>IF(R105="unknown","",R105=S105)</f>
        <v/>
      </c>
      <c r="Z105" s="2" t="inlineStr">
        <is>
          <t>A</t>
        </is>
      </c>
      <c r="AA105" s="2" t="inlineStr">
        <is>
          <t>A</t>
        </is>
      </c>
      <c r="AB105" s="2">
        <f>AND(N105,O105,A105&lt;&gt;"census-mixed")</f>
        <v/>
      </c>
      <c r="AC105" s="2">
        <f>IF(AB105,Z105=AA105,"")</f>
        <v/>
      </c>
    </row>
    <row r="106">
      <c r="A106" s="2" t="inlineStr">
        <is>
          <t>census</t>
        </is>
      </c>
      <c r="B106" s="2" t="inlineStr">
        <is>
          <t>python 3.14 urllib (OpenSSL 3.5.8)</t>
        </is>
      </c>
      <c r="C106" s="2" t="inlineStr">
        <is>
          <t>skb-eval-8352-c5105</t>
        </is>
      </c>
      <c r="D106" s="2" t="n">
        <v>5105</v>
      </c>
      <c r="E106" s="2" t="n">
        <v>1517</v>
      </c>
      <c r="F106" s="2" t="n">
        <v>771</v>
      </c>
      <c r="G106" s="2" t="inlineStr">
        <is>
          <t>1302 1303 1301 c02c c030 c02b c02f cca9 cca8 c024 c028 c023 c027 009f 009e 006b 0067</t>
        </is>
      </c>
      <c r="H106" s="2" t="inlineStr">
        <is>
          <t>0304 0303</t>
        </is>
      </c>
      <c r="I106" s="2" t="n">
        <v>1</v>
      </c>
      <c r="J106" s="2" t="inlineStr">
        <is>
          <t>skb-eval-8352-c5105</t>
        </is>
      </c>
      <c r="K106" s="2" t="n">
        <v>1517</v>
      </c>
      <c r="L106" s="2" t="n">
        <v>771</v>
      </c>
      <c r="M106" s="2" t="n">
        <v>1443</v>
      </c>
      <c r="N106" s="2" t="b">
        <v>1</v>
      </c>
      <c r="O106" s="2" t="b">
        <v>1</v>
      </c>
      <c r="P106" s="2" t="inlineStr">
        <is>
          <t>1302 1303 1301 c02c c030 c02b c02f cca9 cca8 c024 c028 c023 c027 009f 009e 006b 0067</t>
        </is>
      </c>
      <c r="Q106" s="2" t="inlineStr">
        <is>
          <t>0304 0303</t>
        </is>
      </c>
      <c r="R106" s="2" t="inlineStr">
        <is>
          <t>violation</t>
        </is>
      </c>
      <c r="S106" s="2" t="inlineStr">
        <is>
          <t>violation</t>
        </is>
      </c>
      <c r="T106" s="2">
        <f>K106=E106</f>
        <v/>
      </c>
      <c r="U106" s="2">
        <f>L106=F106</f>
        <v/>
      </c>
      <c r="V106" s="2">
        <f>IF(N106,EXACT(P106,G106),"")</f>
        <v/>
      </c>
      <c r="W106" s="2">
        <f>IF(O106,EXACT(Q106,H106),"")</f>
        <v/>
      </c>
      <c r="X106" s="2">
        <f>J106=C106</f>
        <v/>
      </c>
      <c r="Y106" s="2">
        <f>IF(R106="unknown","",R106=S106)</f>
        <v/>
      </c>
      <c r="Z106" s="2" t="inlineStr">
        <is>
          <t>A</t>
        </is>
      </c>
      <c r="AA106" s="2" t="inlineStr">
        <is>
          <t>A</t>
        </is>
      </c>
      <c r="AB106" s="2">
        <f>AND(N106,O106,A106&lt;&gt;"census-mixed")</f>
        <v/>
      </c>
      <c r="AC106" s="2">
        <f>IF(AB106,Z106=AA106,"")</f>
        <v/>
      </c>
    </row>
    <row r="107">
      <c r="A107" s="2" t="inlineStr">
        <is>
          <t>census</t>
        </is>
      </c>
      <c r="B107" s="2" t="inlineStr">
        <is>
          <t>python 3.14 urllib (OpenSSL 3.5.8)</t>
        </is>
      </c>
      <c r="C107" s="2" t="inlineStr">
        <is>
          <t>skb-eval-8352-c5106</t>
        </is>
      </c>
      <c r="D107" s="2" t="n">
        <v>5106</v>
      </c>
      <c r="E107" s="2" t="n">
        <v>1517</v>
      </c>
      <c r="F107" s="2" t="n">
        <v>771</v>
      </c>
      <c r="G107" s="2" t="inlineStr">
        <is>
          <t>1302 1303 1301 c02c c030 c02b c02f cca9 cca8 c024 c028 c023 c027 009f 009e 006b 0067</t>
        </is>
      </c>
      <c r="H107" s="2" t="inlineStr">
        <is>
          <t>0304 0303</t>
        </is>
      </c>
      <c r="I107" s="2" t="n">
        <v>1</v>
      </c>
      <c r="J107" s="2" t="inlineStr">
        <is>
          <t>skb-eval-8352-c5106</t>
        </is>
      </c>
      <c r="K107" s="2" t="n">
        <v>1517</v>
      </c>
      <c r="L107" s="2" t="n">
        <v>771</v>
      </c>
      <c r="M107" s="2" t="n">
        <v>1443</v>
      </c>
      <c r="N107" s="2" t="b">
        <v>1</v>
      </c>
      <c r="O107" s="2" t="b">
        <v>1</v>
      </c>
      <c r="P107" s="2" t="inlineStr">
        <is>
          <t>1302 1303 1301 c02c c030 c02b c02f cca9 cca8 c024 c028 c023 c027 009f 009e 006b 0067</t>
        </is>
      </c>
      <c r="Q107" s="2" t="inlineStr">
        <is>
          <t>0304 0303</t>
        </is>
      </c>
      <c r="R107" s="2" t="inlineStr">
        <is>
          <t>violation</t>
        </is>
      </c>
      <c r="S107" s="2" t="inlineStr">
        <is>
          <t>violation</t>
        </is>
      </c>
      <c r="T107" s="2">
        <f>K107=E107</f>
        <v/>
      </c>
      <c r="U107" s="2">
        <f>L107=F107</f>
        <v/>
      </c>
      <c r="V107" s="2">
        <f>IF(N107,EXACT(P107,G107),"")</f>
        <v/>
      </c>
      <c r="W107" s="2">
        <f>IF(O107,EXACT(Q107,H107),"")</f>
        <v/>
      </c>
      <c r="X107" s="2">
        <f>J107=C107</f>
        <v/>
      </c>
      <c r="Y107" s="2">
        <f>IF(R107="unknown","",R107=S107)</f>
        <v/>
      </c>
      <c r="Z107" s="2" t="inlineStr">
        <is>
          <t>A</t>
        </is>
      </c>
      <c r="AA107" s="2" t="inlineStr">
        <is>
          <t>A</t>
        </is>
      </c>
      <c r="AB107" s="2">
        <f>AND(N107,O107,A107&lt;&gt;"census-mixed")</f>
        <v/>
      </c>
      <c r="AC107" s="2">
        <f>IF(AB107,Z107=AA107,"")</f>
        <v/>
      </c>
    </row>
    <row r="108">
      <c r="A108" s="2" t="inlineStr">
        <is>
          <t>census</t>
        </is>
      </c>
      <c r="B108" s="2" t="inlineStr">
        <is>
          <t>python 3.14 urllib (OpenSSL 3.5.8)</t>
        </is>
      </c>
      <c r="C108" s="2" t="inlineStr">
        <is>
          <t>skb-eval-8352-c5107</t>
        </is>
      </c>
      <c r="D108" s="2" t="n">
        <v>5107</v>
      </c>
      <c r="E108" s="2" t="n">
        <v>1517</v>
      </c>
      <c r="F108" s="2" t="n">
        <v>771</v>
      </c>
      <c r="G108" s="2" t="inlineStr">
        <is>
          <t>1302 1303 1301 c02c c030 c02b c02f cca9 cca8 c024 c028 c023 c027 009f 009e 006b 0067</t>
        </is>
      </c>
      <c r="H108" s="2" t="inlineStr">
        <is>
          <t>0304 0303</t>
        </is>
      </c>
      <c r="I108" s="2" t="n">
        <v>1</v>
      </c>
      <c r="J108" s="2" t="inlineStr">
        <is>
          <t>skb-eval-8352-c5107</t>
        </is>
      </c>
      <c r="K108" s="2" t="n">
        <v>1517</v>
      </c>
      <c r="L108" s="2" t="n">
        <v>771</v>
      </c>
      <c r="M108" s="2" t="n">
        <v>1443</v>
      </c>
      <c r="N108" s="2" t="b">
        <v>1</v>
      </c>
      <c r="O108" s="2" t="b">
        <v>1</v>
      </c>
      <c r="P108" s="2" t="inlineStr">
        <is>
          <t>1302 1303 1301 c02c c030 c02b c02f cca9 cca8 c024 c028 c023 c027 009f 009e 006b 0067</t>
        </is>
      </c>
      <c r="Q108" s="2" t="inlineStr">
        <is>
          <t>0304 0303</t>
        </is>
      </c>
      <c r="R108" s="2" t="inlineStr">
        <is>
          <t>violation</t>
        </is>
      </c>
      <c r="S108" s="2" t="inlineStr">
        <is>
          <t>violation</t>
        </is>
      </c>
      <c r="T108" s="2">
        <f>K108=E108</f>
        <v/>
      </c>
      <c r="U108" s="2">
        <f>L108=F108</f>
        <v/>
      </c>
      <c r="V108" s="2">
        <f>IF(N108,EXACT(P108,G108),"")</f>
        <v/>
      </c>
      <c r="W108" s="2">
        <f>IF(O108,EXACT(Q108,H108),"")</f>
        <v/>
      </c>
      <c r="X108" s="2">
        <f>J108=C108</f>
        <v/>
      </c>
      <c r="Y108" s="2">
        <f>IF(R108="unknown","",R108=S108)</f>
        <v/>
      </c>
      <c r="Z108" s="2" t="inlineStr">
        <is>
          <t>A</t>
        </is>
      </c>
      <c r="AA108" s="2" t="inlineStr">
        <is>
          <t>A</t>
        </is>
      </c>
      <c r="AB108" s="2">
        <f>AND(N108,O108,A108&lt;&gt;"census-mixed")</f>
        <v/>
      </c>
      <c r="AC108" s="2">
        <f>IF(AB108,Z108=AA108,"")</f>
        <v/>
      </c>
    </row>
    <row r="109">
      <c r="A109" s="2" t="inlineStr">
        <is>
          <t>census</t>
        </is>
      </c>
      <c r="B109" s="2" t="inlineStr">
        <is>
          <t>python 3.14 urllib (OpenSSL 3.5.8)</t>
        </is>
      </c>
      <c r="C109" s="2" t="inlineStr">
        <is>
          <t>skb-eval-8352-c5108</t>
        </is>
      </c>
      <c r="D109" s="2" t="n">
        <v>5108</v>
      </c>
      <c r="E109" s="2" t="n">
        <v>1517</v>
      </c>
      <c r="F109" s="2" t="n">
        <v>771</v>
      </c>
      <c r="G109" s="2" t="inlineStr">
        <is>
          <t>1302 1303 1301 c02c c030 c02b c02f cca9 cca8 c024 c028 c023 c027 009f 009e 006b 0067</t>
        </is>
      </c>
      <c r="H109" s="2" t="inlineStr">
        <is>
          <t>0304 0303</t>
        </is>
      </c>
      <c r="I109" s="2" t="n">
        <v>1</v>
      </c>
      <c r="J109" s="2" t="inlineStr">
        <is>
          <t>skb-eval-8352-c5108</t>
        </is>
      </c>
      <c r="K109" s="2" t="n">
        <v>1517</v>
      </c>
      <c r="L109" s="2" t="n">
        <v>771</v>
      </c>
      <c r="M109" s="2" t="n">
        <v>1443</v>
      </c>
      <c r="N109" s="2" t="b">
        <v>1</v>
      </c>
      <c r="O109" s="2" t="b">
        <v>1</v>
      </c>
      <c r="P109" s="2" t="inlineStr">
        <is>
          <t>1302 1303 1301 c02c c030 c02b c02f cca9 cca8 c024 c028 c023 c027 009f 009e 006b 0067</t>
        </is>
      </c>
      <c r="Q109" s="2" t="inlineStr">
        <is>
          <t>0304 0303</t>
        </is>
      </c>
      <c r="R109" s="2" t="inlineStr">
        <is>
          <t>violation</t>
        </is>
      </c>
      <c r="S109" s="2" t="inlineStr">
        <is>
          <t>violation</t>
        </is>
      </c>
      <c r="T109" s="2">
        <f>K109=E109</f>
        <v/>
      </c>
      <c r="U109" s="2">
        <f>L109=F109</f>
        <v/>
      </c>
      <c r="V109" s="2">
        <f>IF(N109,EXACT(P109,G109),"")</f>
        <v/>
      </c>
      <c r="W109" s="2">
        <f>IF(O109,EXACT(Q109,H109),"")</f>
        <v/>
      </c>
      <c r="X109" s="2">
        <f>J109=C109</f>
        <v/>
      </c>
      <c r="Y109" s="2">
        <f>IF(R109="unknown","",R109=S109)</f>
        <v/>
      </c>
      <c r="Z109" s="2" t="inlineStr">
        <is>
          <t>A</t>
        </is>
      </c>
      <c r="AA109" s="2" t="inlineStr">
        <is>
          <t>A</t>
        </is>
      </c>
      <c r="AB109" s="2">
        <f>AND(N109,O109,A109&lt;&gt;"census-mixed")</f>
        <v/>
      </c>
      <c r="AC109" s="2">
        <f>IF(AB109,Z109=AA109,"")</f>
        <v/>
      </c>
    </row>
    <row r="110">
      <c r="A110" s="2" t="inlineStr">
        <is>
          <t>census</t>
        </is>
      </c>
      <c r="B110" s="2" t="inlineStr">
        <is>
          <t>python 3.14 urllib (OpenSSL 3.5.8)</t>
        </is>
      </c>
      <c r="C110" s="2" t="inlineStr">
        <is>
          <t>skb-eval-8352-c5109</t>
        </is>
      </c>
      <c r="D110" s="2" t="n">
        <v>5109</v>
      </c>
      <c r="E110" s="2" t="n">
        <v>1517</v>
      </c>
      <c r="F110" s="2" t="n">
        <v>771</v>
      </c>
      <c r="G110" s="2" t="inlineStr">
        <is>
          <t>1302 1303 1301 c02c c030 c02b c02f cca9 cca8 c024 c028 c023 c027 009f 009e 006b 0067</t>
        </is>
      </c>
      <c r="H110" s="2" t="inlineStr">
        <is>
          <t>0304 0303</t>
        </is>
      </c>
      <c r="I110" s="2" t="n">
        <v>1</v>
      </c>
      <c r="J110" s="2" t="inlineStr">
        <is>
          <t>skb-eval-8352-c5109</t>
        </is>
      </c>
      <c r="K110" s="2" t="n">
        <v>1517</v>
      </c>
      <c r="L110" s="2" t="n">
        <v>771</v>
      </c>
      <c r="M110" s="2" t="n">
        <v>1443</v>
      </c>
      <c r="N110" s="2" t="b">
        <v>1</v>
      </c>
      <c r="O110" s="2" t="b">
        <v>1</v>
      </c>
      <c r="P110" s="2" t="inlineStr">
        <is>
          <t>1302 1303 1301 c02c c030 c02b c02f cca9 cca8 c024 c028 c023 c027 009f 009e 006b 0067</t>
        </is>
      </c>
      <c r="Q110" s="2" t="inlineStr">
        <is>
          <t>0304 0303</t>
        </is>
      </c>
      <c r="R110" s="2" t="inlineStr">
        <is>
          <t>violation</t>
        </is>
      </c>
      <c r="S110" s="2" t="inlineStr">
        <is>
          <t>violation</t>
        </is>
      </c>
      <c r="T110" s="2">
        <f>K110=E110</f>
        <v/>
      </c>
      <c r="U110" s="2">
        <f>L110=F110</f>
        <v/>
      </c>
      <c r="V110" s="2">
        <f>IF(N110,EXACT(P110,G110),"")</f>
        <v/>
      </c>
      <c r="W110" s="2">
        <f>IF(O110,EXACT(Q110,H110),"")</f>
        <v/>
      </c>
      <c r="X110" s="2">
        <f>J110=C110</f>
        <v/>
      </c>
      <c r="Y110" s="2">
        <f>IF(R110="unknown","",R110=S110)</f>
        <v/>
      </c>
      <c r="Z110" s="2" t="inlineStr">
        <is>
          <t>A</t>
        </is>
      </c>
      <c r="AA110" s="2" t="inlineStr">
        <is>
          <t>A</t>
        </is>
      </c>
      <c r="AB110" s="2">
        <f>AND(N110,O110,A110&lt;&gt;"census-mixed")</f>
        <v/>
      </c>
      <c r="AC110" s="2">
        <f>IF(AB110,Z110=AA110,"")</f>
        <v/>
      </c>
    </row>
    <row r="111">
      <c r="A111" s="2" t="inlineStr">
        <is>
          <t>census</t>
        </is>
      </c>
      <c r="B111" s="2" t="inlineStr">
        <is>
          <t>python 3.14 urllib (OpenSSL 3.5.8)</t>
        </is>
      </c>
      <c r="C111" s="2" t="inlineStr">
        <is>
          <t>skb-eval-8352-c5110</t>
        </is>
      </c>
      <c r="D111" s="2" t="n">
        <v>5110</v>
      </c>
      <c r="E111" s="2" t="n">
        <v>1517</v>
      </c>
      <c r="F111" s="2" t="n">
        <v>771</v>
      </c>
      <c r="G111" s="2" t="inlineStr">
        <is>
          <t>1302 1303 1301 c02c c030 c02b c02f cca9 cca8 c024 c028 c023 c027 009f 009e 006b 0067</t>
        </is>
      </c>
      <c r="H111" s="2" t="inlineStr">
        <is>
          <t>0304 0303</t>
        </is>
      </c>
      <c r="I111" s="2" t="n">
        <v>1</v>
      </c>
      <c r="J111" s="2" t="inlineStr">
        <is>
          <t>skb-eval-8352-c5110</t>
        </is>
      </c>
      <c r="K111" s="2" t="n">
        <v>1517</v>
      </c>
      <c r="L111" s="2" t="n">
        <v>771</v>
      </c>
      <c r="M111" s="2" t="n">
        <v>1443</v>
      </c>
      <c r="N111" s="2" t="b">
        <v>1</v>
      </c>
      <c r="O111" s="2" t="b">
        <v>1</v>
      </c>
      <c r="P111" s="2" t="inlineStr">
        <is>
          <t>1302 1303 1301 c02c c030 c02b c02f cca9 cca8 c024 c028 c023 c027 009f 009e 006b 0067</t>
        </is>
      </c>
      <c r="Q111" s="2" t="inlineStr">
        <is>
          <t>0304 0303</t>
        </is>
      </c>
      <c r="R111" s="2" t="inlineStr">
        <is>
          <t>violation</t>
        </is>
      </c>
      <c r="S111" s="2" t="inlineStr">
        <is>
          <t>violation</t>
        </is>
      </c>
      <c r="T111" s="2">
        <f>K111=E111</f>
        <v/>
      </c>
      <c r="U111" s="2">
        <f>L111=F111</f>
        <v/>
      </c>
      <c r="V111" s="2">
        <f>IF(N111,EXACT(P111,G111),"")</f>
        <v/>
      </c>
      <c r="W111" s="2">
        <f>IF(O111,EXACT(Q111,H111),"")</f>
        <v/>
      </c>
      <c r="X111" s="2">
        <f>J111=C111</f>
        <v/>
      </c>
      <c r="Y111" s="2">
        <f>IF(R111="unknown","",R111=S111)</f>
        <v/>
      </c>
      <c r="Z111" s="2" t="inlineStr">
        <is>
          <t>A</t>
        </is>
      </c>
      <c r="AA111" s="2" t="inlineStr">
        <is>
          <t>A</t>
        </is>
      </c>
      <c r="AB111" s="2">
        <f>AND(N111,O111,A111&lt;&gt;"census-mixed")</f>
        <v/>
      </c>
      <c r="AC111" s="2">
        <f>IF(AB111,Z111=AA111,"")</f>
        <v/>
      </c>
    </row>
    <row r="112">
      <c r="A112" s="2" t="inlineStr">
        <is>
          <t>census</t>
        </is>
      </c>
      <c r="B112" s="2" t="inlineStr">
        <is>
          <t>node 26 https (OpenSSL 3.5.8)</t>
        </is>
      </c>
      <c r="C112" s="2" t="inlineStr">
        <is>
          <t>skb-eval-8352-c5111</t>
        </is>
      </c>
      <c r="D112" s="2" t="n">
        <v>5111</v>
      </c>
      <c r="E112" s="2" t="n">
        <v>1587</v>
      </c>
      <c r="F112" s="2" t="n">
        <v>771</v>
      </c>
      <c r="G112"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2" s="2" t="inlineStr">
        <is>
          <t>0304 0303</t>
        </is>
      </c>
      <c r="I112" s="2" t="n">
        <v>1</v>
      </c>
      <c r="J112" s="2" t="inlineStr">
        <is>
          <t>skb-eval-8352-c5111</t>
        </is>
      </c>
      <c r="K112" s="2" t="n">
        <v>1587</v>
      </c>
      <c r="L112" s="2" t="n">
        <v>771</v>
      </c>
      <c r="M112" s="2" t="n">
        <v>1443</v>
      </c>
      <c r="N112" s="2" t="b">
        <v>1</v>
      </c>
      <c r="O112" s="2" t="b">
        <v>1</v>
      </c>
      <c r="P112"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2" s="2" t="inlineStr">
        <is>
          <t>0304 0303</t>
        </is>
      </c>
      <c r="R112" s="2" t="inlineStr">
        <is>
          <t>violation</t>
        </is>
      </c>
      <c r="S112" s="2" t="inlineStr">
        <is>
          <t>violation</t>
        </is>
      </c>
      <c r="T112" s="2">
        <f>K112=E112</f>
        <v/>
      </c>
      <c r="U112" s="2">
        <f>L112=F112</f>
        <v/>
      </c>
      <c r="V112" s="2">
        <f>IF(N112,EXACT(P112,G112),"")</f>
        <v/>
      </c>
      <c r="W112" s="2">
        <f>IF(O112,EXACT(Q112,H112),"")</f>
        <v/>
      </c>
      <c r="X112" s="2">
        <f>J112=C112</f>
        <v/>
      </c>
      <c r="Y112" s="2">
        <f>IF(R112="unknown","",R112=S112)</f>
        <v/>
      </c>
      <c r="Z112" s="2" t="inlineStr">
        <is>
          <t>A</t>
        </is>
      </c>
      <c r="AA112" s="2" t="inlineStr">
        <is>
          <t>A</t>
        </is>
      </c>
      <c r="AB112" s="2">
        <f>AND(N112,O112,A112&lt;&gt;"census-mixed")</f>
        <v/>
      </c>
      <c r="AC112" s="2">
        <f>IF(AB112,Z112=AA112,"")</f>
        <v/>
      </c>
    </row>
    <row r="113">
      <c r="A113" s="2" t="inlineStr">
        <is>
          <t>census</t>
        </is>
      </c>
      <c r="B113" s="2" t="inlineStr">
        <is>
          <t>node 26 https (OpenSSL 3.5.8)</t>
        </is>
      </c>
      <c r="C113" s="2" t="inlineStr">
        <is>
          <t>skb-eval-8352-c5112</t>
        </is>
      </c>
      <c r="D113" s="2" t="n">
        <v>5112</v>
      </c>
      <c r="E113" s="2" t="n">
        <v>1587</v>
      </c>
      <c r="F113" s="2" t="n">
        <v>771</v>
      </c>
      <c r="G113"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3" s="2" t="inlineStr">
        <is>
          <t>0304 0303</t>
        </is>
      </c>
      <c r="I113" s="2" t="n">
        <v>1</v>
      </c>
      <c r="J113" s="2" t="inlineStr">
        <is>
          <t>skb-eval-8352-c5112</t>
        </is>
      </c>
      <c r="K113" s="2" t="n">
        <v>1587</v>
      </c>
      <c r="L113" s="2" t="n">
        <v>771</v>
      </c>
      <c r="M113" s="2" t="n">
        <v>1443</v>
      </c>
      <c r="N113" s="2" t="b">
        <v>1</v>
      </c>
      <c r="O113" s="2" t="b">
        <v>1</v>
      </c>
      <c r="P113"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3" s="2" t="inlineStr">
        <is>
          <t>0304 0303</t>
        </is>
      </c>
      <c r="R113" s="2" t="inlineStr">
        <is>
          <t>violation</t>
        </is>
      </c>
      <c r="S113" s="2" t="inlineStr">
        <is>
          <t>violation</t>
        </is>
      </c>
      <c r="T113" s="2">
        <f>K113=E113</f>
        <v/>
      </c>
      <c r="U113" s="2">
        <f>L113=F113</f>
        <v/>
      </c>
      <c r="V113" s="2">
        <f>IF(N113,EXACT(P113,G113),"")</f>
        <v/>
      </c>
      <c r="W113" s="2">
        <f>IF(O113,EXACT(Q113,H113),"")</f>
        <v/>
      </c>
      <c r="X113" s="2">
        <f>J113=C113</f>
        <v/>
      </c>
      <c r="Y113" s="2">
        <f>IF(R113="unknown","",R113=S113)</f>
        <v/>
      </c>
      <c r="Z113" s="2" t="inlineStr">
        <is>
          <t>A</t>
        </is>
      </c>
      <c r="AA113" s="2" t="inlineStr">
        <is>
          <t>A</t>
        </is>
      </c>
      <c r="AB113" s="2">
        <f>AND(N113,O113,A113&lt;&gt;"census-mixed")</f>
        <v/>
      </c>
      <c r="AC113" s="2">
        <f>IF(AB113,Z113=AA113,"")</f>
        <v/>
      </c>
    </row>
    <row r="114">
      <c r="A114" s="2" t="inlineStr">
        <is>
          <t>census</t>
        </is>
      </c>
      <c r="B114" s="2" t="inlineStr">
        <is>
          <t>node 26 https (OpenSSL 3.5.8)</t>
        </is>
      </c>
      <c r="C114" s="2" t="inlineStr">
        <is>
          <t>skb-eval-8352-c5113</t>
        </is>
      </c>
      <c r="D114" s="2" t="n">
        <v>5113</v>
      </c>
      <c r="E114" s="2" t="n">
        <v>1587</v>
      </c>
      <c r="F114" s="2" t="n">
        <v>771</v>
      </c>
      <c r="G114"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4" s="2" t="inlineStr">
        <is>
          <t>0304 0303</t>
        </is>
      </c>
      <c r="I114" s="2" t="n">
        <v>1</v>
      </c>
      <c r="J114" s="2" t="inlineStr">
        <is>
          <t>skb-eval-8352-c5113</t>
        </is>
      </c>
      <c r="K114" s="2" t="n">
        <v>1587</v>
      </c>
      <c r="L114" s="2" t="n">
        <v>771</v>
      </c>
      <c r="M114" s="2" t="n">
        <v>1443</v>
      </c>
      <c r="N114" s="2" t="b">
        <v>1</v>
      </c>
      <c r="O114" s="2" t="b">
        <v>1</v>
      </c>
      <c r="P114"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4" s="2" t="inlineStr">
        <is>
          <t>0304 0303</t>
        </is>
      </c>
      <c r="R114" s="2" t="inlineStr">
        <is>
          <t>violation</t>
        </is>
      </c>
      <c r="S114" s="2" t="inlineStr">
        <is>
          <t>violation</t>
        </is>
      </c>
      <c r="T114" s="2">
        <f>K114=E114</f>
        <v/>
      </c>
      <c r="U114" s="2">
        <f>L114=F114</f>
        <v/>
      </c>
      <c r="V114" s="2">
        <f>IF(N114,EXACT(P114,G114),"")</f>
        <v/>
      </c>
      <c r="W114" s="2">
        <f>IF(O114,EXACT(Q114,H114),"")</f>
        <v/>
      </c>
      <c r="X114" s="2">
        <f>J114=C114</f>
        <v/>
      </c>
      <c r="Y114" s="2">
        <f>IF(R114="unknown","",R114=S114)</f>
        <v/>
      </c>
      <c r="Z114" s="2" t="inlineStr">
        <is>
          <t>A</t>
        </is>
      </c>
      <c r="AA114" s="2" t="inlineStr">
        <is>
          <t>A</t>
        </is>
      </c>
      <c r="AB114" s="2">
        <f>AND(N114,O114,A114&lt;&gt;"census-mixed")</f>
        <v/>
      </c>
      <c r="AC114" s="2">
        <f>IF(AB114,Z114=AA114,"")</f>
        <v/>
      </c>
    </row>
    <row r="115">
      <c r="A115" s="2" t="inlineStr">
        <is>
          <t>census</t>
        </is>
      </c>
      <c r="B115" s="2" t="inlineStr">
        <is>
          <t>node 26 https (OpenSSL 3.5.8)</t>
        </is>
      </c>
      <c r="C115" s="2" t="inlineStr">
        <is>
          <t>skb-eval-8352-c5114</t>
        </is>
      </c>
      <c r="D115" s="2" t="n">
        <v>5114</v>
      </c>
      <c r="E115" s="2" t="n">
        <v>1587</v>
      </c>
      <c r="F115" s="2" t="n">
        <v>771</v>
      </c>
      <c r="G115"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5" s="2" t="inlineStr">
        <is>
          <t>0304 0303</t>
        </is>
      </c>
      <c r="I115" s="2" t="n">
        <v>1</v>
      </c>
      <c r="J115" s="2" t="inlineStr">
        <is>
          <t>skb-eval-8352-c5114</t>
        </is>
      </c>
      <c r="K115" s="2" t="n">
        <v>1587</v>
      </c>
      <c r="L115" s="2" t="n">
        <v>771</v>
      </c>
      <c r="M115" s="2" t="n">
        <v>1443</v>
      </c>
      <c r="N115" s="2" t="b">
        <v>1</v>
      </c>
      <c r="O115" s="2" t="b">
        <v>1</v>
      </c>
      <c r="P115"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5" s="2" t="inlineStr">
        <is>
          <t>0304 0303</t>
        </is>
      </c>
      <c r="R115" s="2" t="inlineStr">
        <is>
          <t>violation</t>
        </is>
      </c>
      <c r="S115" s="2" t="inlineStr">
        <is>
          <t>violation</t>
        </is>
      </c>
      <c r="T115" s="2">
        <f>K115=E115</f>
        <v/>
      </c>
      <c r="U115" s="2">
        <f>L115=F115</f>
        <v/>
      </c>
      <c r="V115" s="2">
        <f>IF(N115,EXACT(P115,G115),"")</f>
        <v/>
      </c>
      <c r="W115" s="2">
        <f>IF(O115,EXACT(Q115,H115),"")</f>
        <v/>
      </c>
      <c r="X115" s="2">
        <f>J115=C115</f>
        <v/>
      </c>
      <c r="Y115" s="2">
        <f>IF(R115="unknown","",R115=S115)</f>
        <v/>
      </c>
      <c r="Z115" s="2" t="inlineStr">
        <is>
          <t>A</t>
        </is>
      </c>
      <c r="AA115" s="2" t="inlineStr">
        <is>
          <t>A</t>
        </is>
      </c>
      <c r="AB115" s="2">
        <f>AND(N115,O115,A115&lt;&gt;"census-mixed")</f>
        <v/>
      </c>
      <c r="AC115" s="2">
        <f>IF(AB115,Z115=AA115,"")</f>
        <v/>
      </c>
    </row>
    <row r="116">
      <c r="A116" s="2" t="inlineStr">
        <is>
          <t>census</t>
        </is>
      </c>
      <c r="B116" s="2" t="inlineStr">
        <is>
          <t>node 26 https (OpenSSL 3.5.8)</t>
        </is>
      </c>
      <c r="C116" s="2" t="inlineStr">
        <is>
          <t>skb-eval-8352-c5115</t>
        </is>
      </c>
      <c r="D116" s="2" t="n">
        <v>5115</v>
      </c>
      <c r="E116" s="2" t="n">
        <v>1587</v>
      </c>
      <c r="F116" s="2" t="n">
        <v>771</v>
      </c>
      <c r="G116"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6" s="2" t="inlineStr">
        <is>
          <t>0304 0303</t>
        </is>
      </c>
      <c r="I116" s="2" t="n">
        <v>1</v>
      </c>
      <c r="J116" s="2" t="inlineStr">
        <is>
          <t>skb-eval-8352-c5115</t>
        </is>
      </c>
      <c r="K116" s="2" t="n">
        <v>1587</v>
      </c>
      <c r="L116" s="2" t="n">
        <v>771</v>
      </c>
      <c r="M116" s="2" t="n">
        <v>1443</v>
      </c>
      <c r="N116" s="2" t="b">
        <v>1</v>
      </c>
      <c r="O116" s="2" t="b">
        <v>1</v>
      </c>
      <c r="P116"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6" s="2" t="inlineStr">
        <is>
          <t>0304 0303</t>
        </is>
      </c>
      <c r="R116" s="2" t="inlineStr">
        <is>
          <t>violation</t>
        </is>
      </c>
      <c r="S116" s="2" t="inlineStr">
        <is>
          <t>violation</t>
        </is>
      </c>
      <c r="T116" s="2">
        <f>K116=E116</f>
        <v/>
      </c>
      <c r="U116" s="2">
        <f>L116=F116</f>
        <v/>
      </c>
      <c r="V116" s="2">
        <f>IF(N116,EXACT(P116,G116),"")</f>
        <v/>
      </c>
      <c r="W116" s="2">
        <f>IF(O116,EXACT(Q116,H116),"")</f>
        <v/>
      </c>
      <c r="X116" s="2">
        <f>J116=C116</f>
        <v/>
      </c>
      <c r="Y116" s="2">
        <f>IF(R116="unknown","",R116=S116)</f>
        <v/>
      </c>
      <c r="Z116" s="2" t="inlineStr">
        <is>
          <t>A</t>
        </is>
      </c>
      <c r="AA116" s="2" t="inlineStr">
        <is>
          <t>A</t>
        </is>
      </c>
      <c r="AB116" s="2">
        <f>AND(N116,O116,A116&lt;&gt;"census-mixed")</f>
        <v/>
      </c>
      <c r="AC116" s="2">
        <f>IF(AB116,Z116=AA116,"")</f>
        <v/>
      </c>
    </row>
    <row r="117">
      <c r="A117" s="2" t="inlineStr">
        <is>
          <t>census</t>
        </is>
      </c>
      <c r="B117" s="2" t="inlineStr">
        <is>
          <t>node 26 https (OpenSSL 3.5.8)</t>
        </is>
      </c>
      <c r="C117" s="2" t="inlineStr">
        <is>
          <t>skb-eval-8352-c5116</t>
        </is>
      </c>
      <c r="D117" s="2" t="n">
        <v>5116</v>
      </c>
      <c r="E117" s="2" t="n">
        <v>1587</v>
      </c>
      <c r="F117" s="2" t="n">
        <v>771</v>
      </c>
      <c r="G117"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7" s="2" t="inlineStr">
        <is>
          <t>0304 0303</t>
        </is>
      </c>
      <c r="I117" s="2" t="n">
        <v>1</v>
      </c>
      <c r="J117" s="2" t="inlineStr">
        <is>
          <t>skb-eval-8352-c5116</t>
        </is>
      </c>
      <c r="K117" s="2" t="n">
        <v>1587</v>
      </c>
      <c r="L117" s="2" t="n">
        <v>771</v>
      </c>
      <c r="M117" s="2" t="n">
        <v>1443</v>
      </c>
      <c r="N117" s="2" t="b">
        <v>1</v>
      </c>
      <c r="O117" s="2" t="b">
        <v>1</v>
      </c>
      <c r="P117"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7" s="2" t="inlineStr">
        <is>
          <t>0304 0303</t>
        </is>
      </c>
      <c r="R117" s="2" t="inlineStr">
        <is>
          <t>violation</t>
        </is>
      </c>
      <c r="S117" s="2" t="inlineStr">
        <is>
          <t>violation</t>
        </is>
      </c>
      <c r="T117" s="2">
        <f>K117=E117</f>
        <v/>
      </c>
      <c r="U117" s="2">
        <f>L117=F117</f>
        <v/>
      </c>
      <c r="V117" s="2">
        <f>IF(N117,EXACT(P117,G117),"")</f>
        <v/>
      </c>
      <c r="W117" s="2">
        <f>IF(O117,EXACT(Q117,H117),"")</f>
        <v/>
      </c>
      <c r="X117" s="2">
        <f>J117=C117</f>
        <v/>
      </c>
      <c r="Y117" s="2">
        <f>IF(R117="unknown","",R117=S117)</f>
        <v/>
      </c>
      <c r="Z117" s="2" t="inlineStr">
        <is>
          <t>A</t>
        </is>
      </c>
      <c r="AA117" s="2" t="inlineStr">
        <is>
          <t>A</t>
        </is>
      </c>
      <c r="AB117" s="2">
        <f>AND(N117,O117,A117&lt;&gt;"census-mixed")</f>
        <v/>
      </c>
      <c r="AC117" s="2">
        <f>IF(AB117,Z117=AA117,"")</f>
        <v/>
      </c>
    </row>
    <row r="118">
      <c r="A118" s="2" t="inlineStr">
        <is>
          <t>census</t>
        </is>
      </c>
      <c r="B118" s="2" t="inlineStr">
        <is>
          <t>node 26 https (OpenSSL 3.5.8)</t>
        </is>
      </c>
      <c r="C118" s="2" t="inlineStr">
        <is>
          <t>skb-eval-8352-c5117</t>
        </is>
      </c>
      <c r="D118" s="2" t="n">
        <v>5117</v>
      </c>
      <c r="E118" s="2" t="n">
        <v>1587</v>
      </c>
      <c r="F118" s="2" t="n">
        <v>771</v>
      </c>
      <c r="G118"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8" s="2" t="inlineStr">
        <is>
          <t>0304 0303</t>
        </is>
      </c>
      <c r="I118" s="2" t="n">
        <v>1</v>
      </c>
      <c r="J118" s="2" t="inlineStr">
        <is>
          <t>skb-eval-8352-c5117</t>
        </is>
      </c>
      <c r="K118" s="2" t="n">
        <v>1587</v>
      </c>
      <c r="L118" s="2" t="n">
        <v>771</v>
      </c>
      <c r="M118" s="2" t="n">
        <v>1443</v>
      </c>
      <c r="N118" s="2" t="b">
        <v>1</v>
      </c>
      <c r="O118" s="2" t="b">
        <v>1</v>
      </c>
      <c r="P118"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8" s="2" t="inlineStr">
        <is>
          <t>0304 0303</t>
        </is>
      </c>
      <c r="R118" s="2" t="inlineStr">
        <is>
          <t>violation</t>
        </is>
      </c>
      <c r="S118" s="2" t="inlineStr">
        <is>
          <t>violation</t>
        </is>
      </c>
      <c r="T118" s="2">
        <f>K118=E118</f>
        <v/>
      </c>
      <c r="U118" s="2">
        <f>L118=F118</f>
        <v/>
      </c>
      <c r="V118" s="2">
        <f>IF(N118,EXACT(P118,G118),"")</f>
        <v/>
      </c>
      <c r="W118" s="2">
        <f>IF(O118,EXACT(Q118,H118),"")</f>
        <v/>
      </c>
      <c r="X118" s="2">
        <f>J118=C118</f>
        <v/>
      </c>
      <c r="Y118" s="2">
        <f>IF(R118="unknown","",R118=S118)</f>
        <v/>
      </c>
      <c r="Z118" s="2" t="inlineStr">
        <is>
          <t>A</t>
        </is>
      </c>
      <c r="AA118" s="2" t="inlineStr">
        <is>
          <t>A</t>
        </is>
      </c>
      <c r="AB118" s="2">
        <f>AND(N118,O118,A118&lt;&gt;"census-mixed")</f>
        <v/>
      </c>
      <c r="AC118" s="2">
        <f>IF(AB118,Z118=AA118,"")</f>
        <v/>
      </c>
    </row>
    <row r="119">
      <c r="A119" s="2" t="inlineStr">
        <is>
          <t>census</t>
        </is>
      </c>
      <c r="B119" s="2" t="inlineStr">
        <is>
          <t>node 26 https (OpenSSL 3.5.8)</t>
        </is>
      </c>
      <c r="C119" s="2" t="inlineStr">
        <is>
          <t>skb-eval-8352-c5118</t>
        </is>
      </c>
      <c r="D119" s="2" t="n">
        <v>5118</v>
      </c>
      <c r="E119" s="2" t="n">
        <v>1587</v>
      </c>
      <c r="F119" s="2" t="n">
        <v>771</v>
      </c>
      <c r="G119"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9" s="2" t="inlineStr">
        <is>
          <t>0304 0303</t>
        </is>
      </c>
      <c r="I119" s="2" t="n">
        <v>1</v>
      </c>
      <c r="J119" s="2" t="inlineStr">
        <is>
          <t>skb-eval-8352-c5118</t>
        </is>
      </c>
      <c r="K119" s="2" t="n">
        <v>1587</v>
      </c>
      <c r="L119" s="2" t="n">
        <v>771</v>
      </c>
      <c r="M119" s="2" t="n">
        <v>1443</v>
      </c>
      <c r="N119" s="2" t="b">
        <v>1</v>
      </c>
      <c r="O119" s="2" t="b">
        <v>1</v>
      </c>
      <c r="P119"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9" s="2" t="inlineStr">
        <is>
          <t>0304 0303</t>
        </is>
      </c>
      <c r="R119" s="2" t="inlineStr">
        <is>
          <t>violation</t>
        </is>
      </c>
      <c r="S119" s="2" t="inlineStr">
        <is>
          <t>violation</t>
        </is>
      </c>
      <c r="T119" s="2">
        <f>K119=E119</f>
        <v/>
      </c>
      <c r="U119" s="2">
        <f>L119=F119</f>
        <v/>
      </c>
      <c r="V119" s="2">
        <f>IF(N119,EXACT(P119,G119),"")</f>
        <v/>
      </c>
      <c r="W119" s="2">
        <f>IF(O119,EXACT(Q119,H119),"")</f>
        <v/>
      </c>
      <c r="X119" s="2">
        <f>J119=C119</f>
        <v/>
      </c>
      <c r="Y119" s="2">
        <f>IF(R119="unknown","",R119=S119)</f>
        <v/>
      </c>
      <c r="Z119" s="2" t="inlineStr">
        <is>
          <t>A</t>
        </is>
      </c>
      <c r="AA119" s="2" t="inlineStr">
        <is>
          <t>A</t>
        </is>
      </c>
      <c r="AB119" s="2">
        <f>AND(N119,O119,A119&lt;&gt;"census-mixed")</f>
        <v/>
      </c>
      <c r="AC119" s="2">
        <f>IF(AB119,Z119=AA119,"")</f>
        <v/>
      </c>
    </row>
    <row r="120">
      <c r="A120" s="2" t="inlineStr">
        <is>
          <t>census</t>
        </is>
      </c>
      <c r="B120" s="2" t="inlineStr">
        <is>
          <t>node 26 https (OpenSSL 3.5.8)</t>
        </is>
      </c>
      <c r="C120" s="2" t="inlineStr">
        <is>
          <t>skb-eval-8352-c5119</t>
        </is>
      </c>
      <c r="D120" s="2" t="n">
        <v>5119</v>
      </c>
      <c r="E120" s="2" t="n">
        <v>1587</v>
      </c>
      <c r="F120" s="2" t="n">
        <v>771</v>
      </c>
      <c r="G120"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20" s="2" t="inlineStr">
        <is>
          <t>0304 0303</t>
        </is>
      </c>
      <c r="I120" s="2" t="n">
        <v>1</v>
      </c>
      <c r="J120" s="2" t="inlineStr">
        <is>
          <t>skb-eval-8352-c5119</t>
        </is>
      </c>
      <c r="K120" s="2" t="n">
        <v>1587</v>
      </c>
      <c r="L120" s="2" t="n">
        <v>771</v>
      </c>
      <c r="M120" s="2" t="n">
        <v>1443</v>
      </c>
      <c r="N120" s="2" t="b">
        <v>1</v>
      </c>
      <c r="O120" s="2" t="b">
        <v>1</v>
      </c>
      <c r="P120"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20" s="2" t="inlineStr">
        <is>
          <t>0304 0303</t>
        </is>
      </c>
      <c r="R120" s="2" t="inlineStr">
        <is>
          <t>violation</t>
        </is>
      </c>
      <c r="S120" s="2" t="inlineStr">
        <is>
          <t>violation</t>
        </is>
      </c>
      <c r="T120" s="2">
        <f>K120=E120</f>
        <v/>
      </c>
      <c r="U120" s="2">
        <f>L120=F120</f>
        <v/>
      </c>
      <c r="V120" s="2">
        <f>IF(N120,EXACT(P120,G120),"")</f>
        <v/>
      </c>
      <c r="W120" s="2">
        <f>IF(O120,EXACT(Q120,H120),"")</f>
        <v/>
      </c>
      <c r="X120" s="2">
        <f>J120=C120</f>
        <v/>
      </c>
      <c r="Y120" s="2">
        <f>IF(R120="unknown","",R120=S120)</f>
        <v/>
      </c>
      <c r="Z120" s="2" t="inlineStr">
        <is>
          <t>A</t>
        </is>
      </c>
      <c r="AA120" s="2" t="inlineStr">
        <is>
          <t>A</t>
        </is>
      </c>
      <c r="AB120" s="2">
        <f>AND(N120,O120,A120&lt;&gt;"census-mixed")</f>
        <v/>
      </c>
      <c r="AC120" s="2">
        <f>IF(AB120,Z120=AA120,"")</f>
        <v/>
      </c>
    </row>
    <row r="121">
      <c r="A121" s="2" t="inlineStr">
        <is>
          <t>census</t>
        </is>
      </c>
      <c r="B121" s="2" t="inlineStr">
        <is>
          <t>node 26 https (OpenSSL 3.5.8)</t>
        </is>
      </c>
      <c r="C121" s="2" t="inlineStr">
        <is>
          <t>skb-eval-8352-c5120</t>
        </is>
      </c>
      <c r="D121" s="2" t="n">
        <v>5120</v>
      </c>
      <c r="E121" s="2" t="n">
        <v>1587</v>
      </c>
      <c r="F121" s="2" t="n">
        <v>771</v>
      </c>
      <c r="G121"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21" s="2" t="inlineStr">
        <is>
          <t>0304 0303</t>
        </is>
      </c>
      <c r="I121" s="2" t="n">
        <v>1</v>
      </c>
      <c r="J121" s="2" t="inlineStr">
        <is>
          <t>skb-eval-8352-c5120</t>
        </is>
      </c>
      <c r="K121" s="2" t="n">
        <v>1587</v>
      </c>
      <c r="L121" s="2" t="n">
        <v>771</v>
      </c>
      <c r="M121" s="2" t="n">
        <v>1443</v>
      </c>
      <c r="N121" s="2" t="b">
        <v>1</v>
      </c>
      <c r="O121" s="2" t="b">
        <v>1</v>
      </c>
      <c r="P121"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21" s="2" t="inlineStr">
        <is>
          <t>0304 0303</t>
        </is>
      </c>
      <c r="R121" s="2" t="inlineStr">
        <is>
          <t>violation</t>
        </is>
      </c>
      <c r="S121" s="2" t="inlineStr">
        <is>
          <t>violation</t>
        </is>
      </c>
      <c r="T121" s="2">
        <f>K121=E121</f>
        <v/>
      </c>
      <c r="U121" s="2">
        <f>L121=F121</f>
        <v/>
      </c>
      <c r="V121" s="2">
        <f>IF(N121,EXACT(P121,G121),"")</f>
        <v/>
      </c>
      <c r="W121" s="2">
        <f>IF(O121,EXACT(Q121,H121),"")</f>
        <v/>
      </c>
      <c r="X121" s="2">
        <f>J121=C121</f>
        <v/>
      </c>
      <c r="Y121" s="2">
        <f>IF(R121="unknown","",R121=S121)</f>
        <v/>
      </c>
      <c r="Z121" s="2" t="inlineStr">
        <is>
          <t>A</t>
        </is>
      </c>
      <c r="AA121" s="2" t="inlineStr">
        <is>
          <t>A</t>
        </is>
      </c>
      <c r="AB121" s="2">
        <f>AND(N121,O121,A121&lt;&gt;"census-mixed")</f>
        <v/>
      </c>
      <c r="AC121" s="2">
        <f>IF(AB121,Z121=AA121,"")</f>
        <v/>
      </c>
    </row>
    <row r="122">
      <c r="A122" s="2" t="inlineStr">
        <is>
          <t>census</t>
        </is>
      </c>
      <c r="B122" s="2" t="inlineStr">
        <is>
          <t>go 1.27 net/http (crypto/tls)</t>
        </is>
      </c>
      <c r="C122" s="2" t="inlineStr">
        <is>
          <t>skb-eval-8352-c5121</t>
        </is>
      </c>
      <c r="D122" s="2" t="n">
        <v>5121</v>
      </c>
      <c r="E122" s="2" t="n">
        <v>1532</v>
      </c>
      <c r="F122" s="2" t="n">
        <v>771</v>
      </c>
      <c r="G122" s="2" t="inlineStr">
        <is>
          <t>c02b c02f c02c c030 cca9 cca8 c009 c013 c00a c014 1301 1302 1303</t>
        </is>
      </c>
      <c r="H122" s="2" t="inlineStr">
        <is>
          <t>0304 0303</t>
        </is>
      </c>
      <c r="I122" s="2" t="n">
        <v>1</v>
      </c>
      <c r="J122" s="2" t="inlineStr">
        <is>
          <t>skb-eval-8352-c5121</t>
        </is>
      </c>
      <c r="K122" s="2" t="n">
        <v>1532</v>
      </c>
      <c r="L122" s="2" t="n">
        <v>771</v>
      </c>
      <c r="M122" s="2" t="n">
        <v>1443</v>
      </c>
      <c r="N122" s="2" t="b">
        <v>1</v>
      </c>
      <c r="O122" s="2" t="b">
        <v>1</v>
      </c>
      <c r="P122" s="2" t="inlineStr">
        <is>
          <t>c02b c02f c02c c030 cca9 cca8 c009 c013 c00a c014 1301 1302 1303</t>
        </is>
      </c>
      <c r="Q122" s="2" t="inlineStr">
        <is>
          <t>0304 0303</t>
        </is>
      </c>
      <c r="R122" s="2" t="inlineStr">
        <is>
          <t>violation</t>
        </is>
      </c>
      <c r="S122" s="2" t="inlineStr">
        <is>
          <t>violation</t>
        </is>
      </c>
      <c r="T122" s="2">
        <f>K122=E122</f>
        <v/>
      </c>
      <c r="U122" s="2">
        <f>L122=F122</f>
        <v/>
      </c>
      <c r="V122" s="2">
        <f>IF(N122,EXACT(P122,G122),"")</f>
        <v/>
      </c>
      <c r="W122" s="2">
        <f>IF(O122,EXACT(Q122,H122),"")</f>
        <v/>
      </c>
      <c r="X122" s="2">
        <f>J122=C122</f>
        <v/>
      </c>
      <c r="Y122" s="2">
        <f>IF(R122="unknown","",R122=S122)</f>
        <v/>
      </c>
      <c r="Z122" s="2" t="inlineStr">
        <is>
          <t>A</t>
        </is>
      </c>
      <c r="AA122" s="2" t="inlineStr">
        <is>
          <t>A</t>
        </is>
      </c>
      <c r="AB122" s="2">
        <f>AND(N122,O122,A122&lt;&gt;"census-mixed")</f>
        <v/>
      </c>
      <c r="AC122" s="2">
        <f>IF(AB122,Z122=AA122,"")</f>
        <v/>
      </c>
    </row>
    <row r="123">
      <c r="A123" s="2" t="inlineStr">
        <is>
          <t>census</t>
        </is>
      </c>
      <c r="B123" s="2" t="inlineStr">
        <is>
          <t>go 1.27 net/http (crypto/tls)</t>
        </is>
      </c>
      <c r="C123" s="2" t="inlineStr">
        <is>
          <t>skb-eval-8352-c5122</t>
        </is>
      </c>
      <c r="D123" s="2" t="n">
        <v>5122</v>
      </c>
      <c r="E123" s="2" t="n">
        <v>1532</v>
      </c>
      <c r="F123" s="2" t="n">
        <v>771</v>
      </c>
      <c r="G123" s="2" t="inlineStr">
        <is>
          <t>c02b c02f c02c c030 cca9 cca8 c009 c013 c00a c014 1301 1302 1303</t>
        </is>
      </c>
      <c r="H123" s="2" t="inlineStr">
        <is>
          <t>0304 0303</t>
        </is>
      </c>
      <c r="I123" s="2" t="n">
        <v>1</v>
      </c>
      <c r="J123" s="2" t="inlineStr">
        <is>
          <t>skb-eval-8352-c5122</t>
        </is>
      </c>
      <c r="K123" s="2" t="n">
        <v>1532</v>
      </c>
      <c r="L123" s="2" t="n">
        <v>771</v>
      </c>
      <c r="M123" s="2" t="n">
        <v>1443</v>
      </c>
      <c r="N123" s="2" t="b">
        <v>1</v>
      </c>
      <c r="O123" s="2" t="b">
        <v>1</v>
      </c>
      <c r="P123" s="2" t="inlineStr">
        <is>
          <t>c02b c02f c02c c030 cca9 cca8 c009 c013 c00a c014 1301 1302 1303</t>
        </is>
      </c>
      <c r="Q123" s="2" t="inlineStr">
        <is>
          <t>0304 0303</t>
        </is>
      </c>
      <c r="R123" s="2" t="inlineStr">
        <is>
          <t>violation</t>
        </is>
      </c>
      <c r="S123" s="2" t="inlineStr">
        <is>
          <t>violation</t>
        </is>
      </c>
      <c r="T123" s="2">
        <f>K123=E123</f>
        <v/>
      </c>
      <c r="U123" s="2">
        <f>L123=F123</f>
        <v/>
      </c>
      <c r="V123" s="2">
        <f>IF(N123,EXACT(P123,G123),"")</f>
        <v/>
      </c>
      <c r="W123" s="2">
        <f>IF(O123,EXACT(Q123,H123),"")</f>
        <v/>
      </c>
      <c r="X123" s="2">
        <f>J123=C123</f>
        <v/>
      </c>
      <c r="Y123" s="2">
        <f>IF(R123="unknown","",R123=S123)</f>
        <v/>
      </c>
      <c r="Z123" s="2" t="inlineStr">
        <is>
          <t>A</t>
        </is>
      </c>
      <c r="AA123" s="2" t="inlineStr">
        <is>
          <t>A</t>
        </is>
      </c>
      <c r="AB123" s="2">
        <f>AND(N123,O123,A123&lt;&gt;"census-mixed")</f>
        <v/>
      </c>
      <c r="AC123" s="2">
        <f>IF(AB123,Z123=AA123,"")</f>
        <v/>
      </c>
    </row>
    <row r="124">
      <c r="A124" s="2" t="inlineStr">
        <is>
          <t>census</t>
        </is>
      </c>
      <c r="B124" s="2" t="inlineStr">
        <is>
          <t>go 1.27 net/http (crypto/tls)</t>
        </is>
      </c>
      <c r="C124" s="2" t="inlineStr">
        <is>
          <t>skb-eval-8352-c5123</t>
        </is>
      </c>
      <c r="D124" s="2" t="n">
        <v>5123</v>
      </c>
      <c r="E124" s="2" t="n">
        <v>1532</v>
      </c>
      <c r="F124" s="2" t="n">
        <v>771</v>
      </c>
      <c r="G124" s="2" t="inlineStr">
        <is>
          <t>c02b c02f c02c c030 cca9 cca8 c009 c013 c00a c014 1301 1302 1303</t>
        </is>
      </c>
      <c r="H124" s="2" t="inlineStr">
        <is>
          <t>0304 0303</t>
        </is>
      </c>
      <c r="I124" s="2" t="n">
        <v>1</v>
      </c>
      <c r="J124" s="2" t="inlineStr">
        <is>
          <t>skb-eval-8352-c5123</t>
        </is>
      </c>
      <c r="K124" s="2" t="n">
        <v>1532</v>
      </c>
      <c r="L124" s="2" t="n">
        <v>771</v>
      </c>
      <c r="M124" s="2" t="n">
        <v>1443</v>
      </c>
      <c r="N124" s="2" t="b">
        <v>1</v>
      </c>
      <c r="O124" s="2" t="b">
        <v>1</v>
      </c>
      <c r="P124" s="2" t="inlineStr">
        <is>
          <t>c02b c02f c02c c030 cca9 cca8 c009 c013 c00a c014 1301 1302 1303</t>
        </is>
      </c>
      <c r="Q124" s="2" t="inlineStr">
        <is>
          <t>0304 0303</t>
        </is>
      </c>
      <c r="R124" s="2" t="inlineStr">
        <is>
          <t>violation</t>
        </is>
      </c>
      <c r="S124" s="2" t="inlineStr">
        <is>
          <t>violation</t>
        </is>
      </c>
      <c r="T124" s="2">
        <f>K124=E124</f>
        <v/>
      </c>
      <c r="U124" s="2">
        <f>L124=F124</f>
        <v/>
      </c>
      <c r="V124" s="2">
        <f>IF(N124,EXACT(P124,G124),"")</f>
        <v/>
      </c>
      <c r="W124" s="2">
        <f>IF(O124,EXACT(Q124,H124),"")</f>
        <v/>
      </c>
      <c r="X124" s="2">
        <f>J124=C124</f>
        <v/>
      </c>
      <c r="Y124" s="2">
        <f>IF(R124="unknown","",R124=S124)</f>
        <v/>
      </c>
      <c r="Z124" s="2" t="inlineStr">
        <is>
          <t>A</t>
        </is>
      </c>
      <c r="AA124" s="2" t="inlineStr">
        <is>
          <t>A</t>
        </is>
      </c>
      <c r="AB124" s="2">
        <f>AND(N124,O124,A124&lt;&gt;"census-mixed")</f>
        <v/>
      </c>
      <c r="AC124" s="2">
        <f>IF(AB124,Z124=AA124,"")</f>
        <v/>
      </c>
    </row>
    <row r="125">
      <c r="A125" s="2" t="inlineStr">
        <is>
          <t>census</t>
        </is>
      </c>
      <c r="B125" s="2" t="inlineStr">
        <is>
          <t>go 1.27 net/http (crypto/tls)</t>
        </is>
      </c>
      <c r="C125" s="2" t="inlineStr">
        <is>
          <t>skb-eval-8352-c5124</t>
        </is>
      </c>
      <c r="D125" s="2" t="n">
        <v>5124</v>
      </c>
      <c r="E125" s="2" t="n">
        <v>1532</v>
      </c>
      <c r="F125" s="2" t="n">
        <v>771</v>
      </c>
      <c r="G125" s="2" t="inlineStr">
        <is>
          <t>c02b c02f c02c c030 cca9 cca8 c009 c013 c00a c014 1301 1302 1303</t>
        </is>
      </c>
      <c r="H125" s="2" t="inlineStr">
        <is>
          <t>0304 0303</t>
        </is>
      </c>
      <c r="I125" s="2" t="n">
        <v>1</v>
      </c>
      <c r="J125" s="2" t="inlineStr">
        <is>
          <t>skb-eval-8352-c5124</t>
        </is>
      </c>
      <c r="K125" s="2" t="n">
        <v>1532</v>
      </c>
      <c r="L125" s="2" t="n">
        <v>771</v>
      </c>
      <c r="M125" s="2" t="n">
        <v>1443</v>
      </c>
      <c r="N125" s="2" t="b">
        <v>1</v>
      </c>
      <c r="O125" s="2" t="b">
        <v>1</v>
      </c>
      <c r="P125" s="2" t="inlineStr">
        <is>
          <t>c02b c02f c02c c030 cca9 cca8 c009 c013 c00a c014 1301 1302 1303</t>
        </is>
      </c>
      <c r="Q125" s="2" t="inlineStr">
        <is>
          <t>0304 0303</t>
        </is>
      </c>
      <c r="R125" s="2" t="inlineStr">
        <is>
          <t>violation</t>
        </is>
      </c>
      <c r="S125" s="2" t="inlineStr">
        <is>
          <t>violation</t>
        </is>
      </c>
      <c r="T125" s="2">
        <f>K125=E125</f>
        <v/>
      </c>
      <c r="U125" s="2">
        <f>L125=F125</f>
        <v/>
      </c>
      <c r="V125" s="2">
        <f>IF(N125,EXACT(P125,G125),"")</f>
        <v/>
      </c>
      <c r="W125" s="2">
        <f>IF(O125,EXACT(Q125,H125),"")</f>
        <v/>
      </c>
      <c r="X125" s="2">
        <f>J125=C125</f>
        <v/>
      </c>
      <c r="Y125" s="2">
        <f>IF(R125="unknown","",R125=S125)</f>
        <v/>
      </c>
      <c r="Z125" s="2" t="inlineStr">
        <is>
          <t>A</t>
        </is>
      </c>
      <c r="AA125" s="2" t="inlineStr">
        <is>
          <t>A</t>
        </is>
      </c>
      <c r="AB125" s="2">
        <f>AND(N125,O125,A125&lt;&gt;"census-mixed")</f>
        <v/>
      </c>
      <c r="AC125" s="2">
        <f>IF(AB125,Z125=AA125,"")</f>
        <v/>
      </c>
    </row>
    <row r="126">
      <c r="A126" s="2" t="inlineStr">
        <is>
          <t>census</t>
        </is>
      </c>
      <c r="B126" s="2" t="inlineStr">
        <is>
          <t>go 1.27 net/http (crypto/tls)</t>
        </is>
      </c>
      <c r="C126" s="2" t="inlineStr">
        <is>
          <t>skb-eval-8352-c5125</t>
        </is>
      </c>
      <c r="D126" s="2" t="n">
        <v>5125</v>
      </c>
      <c r="E126" s="2" t="n">
        <v>1532</v>
      </c>
      <c r="F126" s="2" t="n">
        <v>771</v>
      </c>
      <c r="G126" s="2" t="inlineStr">
        <is>
          <t>c02b c02f c02c c030 cca9 cca8 c009 c013 c00a c014 1301 1302 1303</t>
        </is>
      </c>
      <c r="H126" s="2" t="inlineStr">
        <is>
          <t>0304 0303</t>
        </is>
      </c>
      <c r="I126" s="2" t="n">
        <v>1</v>
      </c>
      <c r="J126" s="2" t="inlineStr">
        <is>
          <t>skb-eval-8352-c5125</t>
        </is>
      </c>
      <c r="K126" s="2" t="n">
        <v>1532</v>
      </c>
      <c r="L126" s="2" t="n">
        <v>771</v>
      </c>
      <c r="M126" s="2" t="n">
        <v>1443</v>
      </c>
      <c r="N126" s="2" t="b">
        <v>1</v>
      </c>
      <c r="O126" s="2" t="b">
        <v>1</v>
      </c>
      <c r="P126" s="2" t="inlineStr">
        <is>
          <t>c02b c02f c02c c030 cca9 cca8 c009 c013 c00a c014 1301 1302 1303</t>
        </is>
      </c>
      <c r="Q126" s="2" t="inlineStr">
        <is>
          <t>0304 0303</t>
        </is>
      </c>
      <c r="R126" s="2" t="inlineStr">
        <is>
          <t>violation</t>
        </is>
      </c>
      <c r="S126" s="2" t="inlineStr">
        <is>
          <t>violation</t>
        </is>
      </c>
      <c r="T126" s="2">
        <f>K126=E126</f>
        <v/>
      </c>
      <c r="U126" s="2">
        <f>L126=F126</f>
        <v/>
      </c>
      <c r="V126" s="2">
        <f>IF(N126,EXACT(P126,G126),"")</f>
        <v/>
      </c>
      <c r="W126" s="2">
        <f>IF(O126,EXACT(Q126,H126),"")</f>
        <v/>
      </c>
      <c r="X126" s="2">
        <f>J126=C126</f>
        <v/>
      </c>
      <c r="Y126" s="2">
        <f>IF(R126="unknown","",R126=S126)</f>
        <v/>
      </c>
      <c r="Z126" s="2" t="inlineStr">
        <is>
          <t>A</t>
        </is>
      </c>
      <c r="AA126" s="2" t="inlineStr">
        <is>
          <t>A</t>
        </is>
      </c>
      <c r="AB126" s="2">
        <f>AND(N126,O126,A126&lt;&gt;"census-mixed")</f>
        <v/>
      </c>
      <c r="AC126" s="2">
        <f>IF(AB126,Z126=AA126,"")</f>
        <v/>
      </c>
    </row>
    <row r="127">
      <c r="A127" s="2" t="inlineStr">
        <is>
          <t>census</t>
        </is>
      </c>
      <c r="B127" s="2" t="inlineStr">
        <is>
          <t>go 1.27 net/http (crypto/tls)</t>
        </is>
      </c>
      <c r="C127" s="2" t="inlineStr">
        <is>
          <t>skb-eval-8352-c5126</t>
        </is>
      </c>
      <c r="D127" s="2" t="n">
        <v>5126</v>
      </c>
      <c r="E127" s="2" t="n">
        <v>1532</v>
      </c>
      <c r="F127" s="2" t="n">
        <v>771</v>
      </c>
      <c r="G127" s="2" t="inlineStr">
        <is>
          <t>c02b c02f c02c c030 cca9 cca8 c009 c013 c00a c014 1301 1302 1303</t>
        </is>
      </c>
      <c r="H127" s="2" t="inlineStr">
        <is>
          <t>0304 0303</t>
        </is>
      </c>
      <c r="I127" s="2" t="n">
        <v>1</v>
      </c>
      <c r="J127" s="2" t="inlineStr">
        <is>
          <t>skb-eval-8352-c5126</t>
        </is>
      </c>
      <c r="K127" s="2" t="n">
        <v>1532</v>
      </c>
      <c r="L127" s="2" t="n">
        <v>771</v>
      </c>
      <c r="M127" s="2" t="n">
        <v>1443</v>
      </c>
      <c r="N127" s="2" t="b">
        <v>1</v>
      </c>
      <c r="O127" s="2" t="b">
        <v>1</v>
      </c>
      <c r="P127" s="2" t="inlineStr">
        <is>
          <t>c02b c02f c02c c030 cca9 cca8 c009 c013 c00a c014 1301 1302 1303</t>
        </is>
      </c>
      <c r="Q127" s="2" t="inlineStr">
        <is>
          <t>0304 0303</t>
        </is>
      </c>
      <c r="R127" s="2" t="inlineStr">
        <is>
          <t>violation</t>
        </is>
      </c>
      <c r="S127" s="2" t="inlineStr">
        <is>
          <t>violation</t>
        </is>
      </c>
      <c r="T127" s="2">
        <f>K127=E127</f>
        <v/>
      </c>
      <c r="U127" s="2">
        <f>L127=F127</f>
        <v/>
      </c>
      <c r="V127" s="2">
        <f>IF(N127,EXACT(P127,G127),"")</f>
        <v/>
      </c>
      <c r="W127" s="2">
        <f>IF(O127,EXACT(Q127,H127),"")</f>
        <v/>
      </c>
      <c r="X127" s="2">
        <f>J127=C127</f>
        <v/>
      </c>
      <c r="Y127" s="2">
        <f>IF(R127="unknown","",R127=S127)</f>
        <v/>
      </c>
      <c r="Z127" s="2" t="inlineStr">
        <is>
          <t>A</t>
        </is>
      </c>
      <c r="AA127" s="2" t="inlineStr">
        <is>
          <t>A</t>
        </is>
      </c>
      <c r="AB127" s="2">
        <f>AND(N127,O127,A127&lt;&gt;"census-mixed")</f>
        <v/>
      </c>
      <c r="AC127" s="2">
        <f>IF(AB127,Z127=AA127,"")</f>
        <v/>
      </c>
    </row>
    <row r="128">
      <c r="A128" s="2" t="inlineStr">
        <is>
          <t>census</t>
        </is>
      </c>
      <c r="B128" s="2" t="inlineStr">
        <is>
          <t>go 1.27 net/http (crypto/tls)</t>
        </is>
      </c>
      <c r="C128" s="2" t="inlineStr">
        <is>
          <t>skb-eval-8352-c5127</t>
        </is>
      </c>
      <c r="D128" s="2" t="n">
        <v>5127</v>
      </c>
      <c r="E128" s="2" t="n">
        <v>1532</v>
      </c>
      <c r="F128" s="2" t="n">
        <v>771</v>
      </c>
      <c r="G128" s="2" t="inlineStr">
        <is>
          <t>c02b c02f c02c c030 cca9 cca8 c009 c013 c00a c014 1301 1302 1303</t>
        </is>
      </c>
      <c r="H128" s="2" t="inlineStr">
        <is>
          <t>0304 0303</t>
        </is>
      </c>
      <c r="I128" s="2" t="n">
        <v>1</v>
      </c>
      <c r="J128" s="2" t="inlineStr">
        <is>
          <t>skb-eval-8352-c5127</t>
        </is>
      </c>
      <c r="K128" s="2" t="n">
        <v>1532</v>
      </c>
      <c r="L128" s="2" t="n">
        <v>771</v>
      </c>
      <c r="M128" s="2" t="n">
        <v>1443</v>
      </c>
      <c r="N128" s="2" t="b">
        <v>1</v>
      </c>
      <c r="O128" s="2" t="b">
        <v>1</v>
      </c>
      <c r="P128" s="2" t="inlineStr">
        <is>
          <t>c02b c02f c02c c030 cca9 cca8 c009 c013 c00a c014 1301 1302 1303</t>
        </is>
      </c>
      <c r="Q128" s="2" t="inlineStr">
        <is>
          <t>0304 0303</t>
        </is>
      </c>
      <c r="R128" s="2" t="inlineStr">
        <is>
          <t>violation</t>
        </is>
      </c>
      <c r="S128" s="2" t="inlineStr">
        <is>
          <t>violation</t>
        </is>
      </c>
      <c r="T128" s="2">
        <f>K128=E128</f>
        <v/>
      </c>
      <c r="U128" s="2">
        <f>L128=F128</f>
        <v/>
      </c>
      <c r="V128" s="2">
        <f>IF(N128,EXACT(P128,G128),"")</f>
        <v/>
      </c>
      <c r="W128" s="2">
        <f>IF(O128,EXACT(Q128,H128),"")</f>
        <v/>
      </c>
      <c r="X128" s="2">
        <f>J128=C128</f>
        <v/>
      </c>
      <c r="Y128" s="2">
        <f>IF(R128="unknown","",R128=S128)</f>
        <v/>
      </c>
      <c r="Z128" s="2" t="inlineStr">
        <is>
          <t>A</t>
        </is>
      </c>
      <c r="AA128" s="2" t="inlineStr">
        <is>
          <t>A</t>
        </is>
      </c>
      <c r="AB128" s="2">
        <f>AND(N128,O128,A128&lt;&gt;"census-mixed")</f>
        <v/>
      </c>
      <c r="AC128" s="2">
        <f>IF(AB128,Z128=AA128,"")</f>
        <v/>
      </c>
    </row>
    <row r="129">
      <c r="A129" s="2" t="inlineStr">
        <is>
          <t>census</t>
        </is>
      </c>
      <c r="B129" s="2" t="inlineStr">
        <is>
          <t>go 1.27 net/http (crypto/tls)</t>
        </is>
      </c>
      <c r="C129" s="2" t="inlineStr">
        <is>
          <t>skb-eval-8352-c5128</t>
        </is>
      </c>
      <c r="D129" s="2" t="n">
        <v>5128</v>
      </c>
      <c r="E129" s="2" t="n">
        <v>1532</v>
      </c>
      <c r="F129" s="2" t="n">
        <v>771</v>
      </c>
      <c r="G129" s="2" t="inlineStr">
        <is>
          <t>c02b c02f c02c c030 cca9 cca8 c009 c013 c00a c014 1301 1302 1303</t>
        </is>
      </c>
      <c r="H129" s="2" t="inlineStr">
        <is>
          <t>0304 0303</t>
        </is>
      </c>
      <c r="I129" s="2" t="n">
        <v>1</v>
      </c>
      <c r="J129" s="2" t="inlineStr">
        <is>
          <t>skb-eval-8352-c5128</t>
        </is>
      </c>
      <c r="K129" s="2" t="n">
        <v>1532</v>
      </c>
      <c r="L129" s="2" t="n">
        <v>771</v>
      </c>
      <c r="M129" s="2" t="n">
        <v>1443</v>
      </c>
      <c r="N129" s="2" t="b">
        <v>1</v>
      </c>
      <c r="O129" s="2" t="b">
        <v>1</v>
      </c>
      <c r="P129" s="2" t="inlineStr">
        <is>
          <t>c02b c02f c02c c030 cca9 cca8 c009 c013 c00a c014 1301 1302 1303</t>
        </is>
      </c>
      <c r="Q129" s="2" t="inlineStr">
        <is>
          <t>0304 0303</t>
        </is>
      </c>
      <c r="R129" s="2" t="inlineStr">
        <is>
          <t>violation</t>
        </is>
      </c>
      <c r="S129" s="2" t="inlineStr">
        <is>
          <t>violation</t>
        </is>
      </c>
      <c r="T129" s="2">
        <f>K129=E129</f>
        <v/>
      </c>
      <c r="U129" s="2">
        <f>L129=F129</f>
        <v/>
      </c>
      <c r="V129" s="2">
        <f>IF(N129,EXACT(P129,G129),"")</f>
        <v/>
      </c>
      <c r="W129" s="2">
        <f>IF(O129,EXACT(Q129,H129),"")</f>
        <v/>
      </c>
      <c r="X129" s="2">
        <f>J129=C129</f>
        <v/>
      </c>
      <c r="Y129" s="2">
        <f>IF(R129="unknown","",R129=S129)</f>
        <v/>
      </c>
      <c r="Z129" s="2" t="inlineStr">
        <is>
          <t>A</t>
        </is>
      </c>
      <c r="AA129" s="2" t="inlineStr">
        <is>
          <t>A</t>
        </is>
      </c>
      <c r="AB129" s="2">
        <f>AND(N129,O129,A129&lt;&gt;"census-mixed")</f>
        <v/>
      </c>
      <c r="AC129" s="2">
        <f>IF(AB129,Z129=AA129,"")</f>
        <v/>
      </c>
    </row>
    <row r="130">
      <c r="A130" s="2" t="inlineStr">
        <is>
          <t>census</t>
        </is>
      </c>
      <c r="B130" s="2" t="inlineStr">
        <is>
          <t>go 1.27 net/http (crypto/tls)</t>
        </is>
      </c>
      <c r="C130" s="2" t="inlineStr">
        <is>
          <t>skb-eval-8352-c5129</t>
        </is>
      </c>
      <c r="D130" s="2" t="n">
        <v>5129</v>
      </c>
      <c r="E130" s="2" t="n">
        <v>1532</v>
      </c>
      <c r="F130" s="2" t="n">
        <v>771</v>
      </c>
      <c r="G130" s="2" t="inlineStr">
        <is>
          <t>c02b c02f c02c c030 cca9 cca8 c009 c013 c00a c014 1301 1302 1303</t>
        </is>
      </c>
      <c r="H130" s="2" t="inlineStr">
        <is>
          <t>0304 0303</t>
        </is>
      </c>
      <c r="I130" s="2" t="n">
        <v>1</v>
      </c>
      <c r="J130" s="2" t="inlineStr">
        <is>
          <t>skb-eval-8352-c5129</t>
        </is>
      </c>
      <c r="K130" s="2" t="n">
        <v>1532</v>
      </c>
      <c r="L130" s="2" t="n">
        <v>771</v>
      </c>
      <c r="M130" s="2" t="n">
        <v>1443</v>
      </c>
      <c r="N130" s="2" t="b">
        <v>1</v>
      </c>
      <c r="O130" s="2" t="b">
        <v>1</v>
      </c>
      <c r="P130" s="2" t="inlineStr">
        <is>
          <t>c02b c02f c02c c030 cca9 cca8 c009 c013 c00a c014 1301 1302 1303</t>
        </is>
      </c>
      <c r="Q130" s="2" t="inlineStr">
        <is>
          <t>0304 0303</t>
        </is>
      </c>
      <c r="R130" s="2" t="inlineStr">
        <is>
          <t>violation</t>
        </is>
      </c>
      <c r="S130" s="2" t="inlineStr">
        <is>
          <t>violation</t>
        </is>
      </c>
      <c r="T130" s="2">
        <f>K130=E130</f>
        <v/>
      </c>
      <c r="U130" s="2">
        <f>L130=F130</f>
        <v/>
      </c>
      <c r="V130" s="2">
        <f>IF(N130,EXACT(P130,G130),"")</f>
        <v/>
      </c>
      <c r="W130" s="2">
        <f>IF(O130,EXACT(Q130,H130),"")</f>
        <v/>
      </c>
      <c r="X130" s="2">
        <f>J130=C130</f>
        <v/>
      </c>
      <c r="Y130" s="2">
        <f>IF(R130="unknown","",R130=S130)</f>
        <v/>
      </c>
      <c r="Z130" s="2" t="inlineStr">
        <is>
          <t>A</t>
        </is>
      </c>
      <c r="AA130" s="2" t="inlineStr">
        <is>
          <t>A</t>
        </is>
      </c>
      <c r="AB130" s="2">
        <f>AND(N130,O130,A130&lt;&gt;"census-mixed")</f>
        <v/>
      </c>
      <c r="AC130" s="2">
        <f>IF(AB130,Z130=AA130,"")</f>
        <v/>
      </c>
    </row>
    <row r="131">
      <c r="A131" s="2" t="inlineStr">
        <is>
          <t>census</t>
        </is>
      </c>
      <c r="B131" s="2" t="inlineStr">
        <is>
          <t>go 1.27 net/http (crypto/tls)</t>
        </is>
      </c>
      <c r="C131" s="2" t="inlineStr">
        <is>
          <t>skb-eval-8352-c5130</t>
        </is>
      </c>
      <c r="D131" s="2" t="n">
        <v>5130</v>
      </c>
      <c r="E131" s="2" t="n">
        <v>1532</v>
      </c>
      <c r="F131" s="2" t="n">
        <v>771</v>
      </c>
      <c r="G131" s="2" t="inlineStr">
        <is>
          <t>c02b c02f c02c c030 cca9 cca8 c009 c013 c00a c014 1301 1302 1303</t>
        </is>
      </c>
      <c r="H131" s="2" t="inlineStr">
        <is>
          <t>0304 0303</t>
        </is>
      </c>
      <c r="I131" s="2" t="n">
        <v>1</v>
      </c>
      <c r="J131" s="2" t="inlineStr">
        <is>
          <t>skb-eval-8352-c5130</t>
        </is>
      </c>
      <c r="K131" s="2" t="n">
        <v>1532</v>
      </c>
      <c r="L131" s="2" t="n">
        <v>771</v>
      </c>
      <c r="M131" s="2" t="n">
        <v>1443</v>
      </c>
      <c r="N131" s="2" t="b">
        <v>1</v>
      </c>
      <c r="O131" s="2" t="b">
        <v>1</v>
      </c>
      <c r="P131" s="2" t="inlineStr">
        <is>
          <t>c02b c02f c02c c030 cca9 cca8 c009 c013 c00a c014 1301 1302 1303</t>
        </is>
      </c>
      <c r="Q131" s="2" t="inlineStr">
        <is>
          <t>0304 0303</t>
        </is>
      </c>
      <c r="R131" s="2" t="inlineStr">
        <is>
          <t>violation</t>
        </is>
      </c>
      <c r="S131" s="2" t="inlineStr">
        <is>
          <t>violation</t>
        </is>
      </c>
      <c r="T131" s="2">
        <f>K131=E131</f>
        <v/>
      </c>
      <c r="U131" s="2">
        <f>L131=F131</f>
        <v/>
      </c>
      <c r="V131" s="2">
        <f>IF(N131,EXACT(P131,G131),"")</f>
        <v/>
      </c>
      <c r="W131" s="2">
        <f>IF(O131,EXACT(Q131,H131),"")</f>
        <v/>
      </c>
      <c r="X131" s="2">
        <f>J131=C131</f>
        <v/>
      </c>
      <c r="Y131" s="2">
        <f>IF(R131="unknown","",R131=S131)</f>
        <v/>
      </c>
      <c r="Z131" s="2" t="inlineStr">
        <is>
          <t>A</t>
        </is>
      </c>
      <c r="AA131" s="2" t="inlineStr">
        <is>
          <t>A</t>
        </is>
      </c>
      <c r="AB131" s="2">
        <f>AND(N131,O131,A131&lt;&gt;"census-mixed")</f>
        <v/>
      </c>
      <c r="AC131" s="2">
        <f>IF(AB131,Z131=AA131,"")</f>
        <v/>
      </c>
    </row>
    <row r="132">
      <c r="A132" s="2" t="inlineStr">
        <is>
          <t>census</t>
        </is>
      </c>
      <c r="B132" s="2" t="inlineStr">
        <is>
          <t>browser chrome116</t>
        </is>
      </c>
      <c r="C132" s="2" t="inlineStr">
        <is>
          <t>skb-eval-8352-c5131</t>
        </is>
      </c>
      <c r="D132" s="2" t="n">
        <v>5131</v>
      </c>
      <c r="E132" s="2" t="n">
        <v>512</v>
      </c>
      <c r="F132" s="2" t="n">
        <v>771</v>
      </c>
      <c r="G132" s="2" t="inlineStr">
        <is>
          <t>dada 1301 1302 1303 c02b c02f c02c c030 cca9 cca8 c013 c014 009c 009d 002f 0035</t>
        </is>
      </c>
      <c r="H132" s="2" t="inlineStr">
        <is>
          <t>2a2a 0304 0303</t>
        </is>
      </c>
      <c r="I132" s="2" t="n">
        <v>1</v>
      </c>
      <c r="J132" s="2" t="inlineStr">
        <is>
          <t>skb-eval-8352-c5131</t>
        </is>
      </c>
      <c r="K132" s="2" t="n">
        <v>512</v>
      </c>
      <c r="L132" s="2" t="n">
        <v>771</v>
      </c>
      <c r="M132" s="2" t="n">
        <v>512</v>
      </c>
      <c r="N132" s="2" t="b">
        <v>1</v>
      </c>
      <c r="O132" s="2" t="b">
        <v>1</v>
      </c>
      <c r="P132" s="2" t="inlineStr">
        <is>
          <t>dada 1301 1302 1303 c02b c02f c02c c030 cca9 cca8 c013 c014 009c 009d 002f 0035</t>
        </is>
      </c>
      <c r="Q132" s="2" t="inlineStr">
        <is>
          <t>2a2a 0304 0303</t>
        </is>
      </c>
      <c r="R132" s="2" t="inlineStr">
        <is>
          <t>violation</t>
        </is>
      </c>
      <c r="S132" s="2" t="inlineStr">
        <is>
          <t>violation</t>
        </is>
      </c>
      <c r="T132" s="2">
        <f>K132=E132</f>
        <v/>
      </c>
      <c r="U132" s="2">
        <f>L132=F132</f>
        <v/>
      </c>
      <c r="V132" s="2">
        <f>IF(N132,EXACT(P132,G132),"")</f>
        <v/>
      </c>
      <c r="W132" s="2">
        <f>IF(O132,EXACT(Q132,H132),"")</f>
        <v/>
      </c>
      <c r="X132" s="2">
        <f>J132=C132</f>
        <v/>
      </c>
      <c r="Y132" s="2">
        <f>IF(R132="unknown","",R132=S132)</f>
        <v/>
      </c>
      <c r="Z132" s="2" t="inlineStr">
        <is>
          <t>A</t>
        </is>
      </c>
      <c r="AA132" s="2" t="inlineStr">
        <is>
          <t>A</t>
        </is>
      </c>
      <c r="AB132" s="2">
        <f>AND(N132,O132,A132&lt;&gt;"census-mixed")</f>
        <v/>
      </c>
      <c r="AC132" s="2">
        <f>IF(AB132,Z132=AA132,"")</f>
        <v/>
      </c>
    </row>
    <row r="133">
      <c r="A133" s="2" t="inlineStr">
        <is>
          <t>census</t>
        </is>
      </c>
      <c r="B133" s="2" t="inlineStr">
        <is>
          <t>browser chrome116</t>
        </is>
      </c>
      <c r="C133" s="2" t="inlineStr">
        <is>
          <t>skb-eval-8352-c5132</t>
        </is>
      </c>
      <c r="D133" s="2" t="n">
        <v>5132</v>
      </c>
      <c r="E133" s="2" t="n">
        <v>512</v>
      </c>
      <c r="F133" s="2" t="n">
        <v>771</v>
      </c>
      <c r="G133" s="2" t="inlineStr">
        <is>
          <t>3a3a 1301 1302 1303 c02b c02f c02c c030 cca9 cca8 c013 c014 009c 009d 002f 0035</t>
        </is>
      </c>
      <c r="H133" s="2" t="inlineStr">
        <is>
          <t>9a9a 0304 0303</t>
        </is>
      </c>
      <c r="I133" s="2" t="n">
        <v>1</v>
      </c>
      <c r="J133" s="2" t="inlineStr">
        <is>
          <t>skb-eval-8352-c5132</t>
        </is>
      </c>
      <c r="K133" s="2" t="n">
        <v>512</v>
      </c>
      <c r="L133" s="2" t="n">
        <v>771</v>
      </c>
      <c r="M133" s="2" t="n">
        <v>512</v>
      </c>
      <c r="N133" s="2" t="b">
        <v>1</v>
      </c>
      <c r="O133" s="2" t="b">
        <v>1</v>
      </c>
      <c r="P133" s="2" t="inlineStr">
        <is>
          <t>3a3a 1301 1302 1303 c02b c02f c02c c030 cca9 cca8 c013 c014 009c 009d 002f 0035</t>
        </is>
      </c>
      <c r="Q133" s="2" t="inlineStr">
        <is>
          <t>9a9a 0304 0303</t>
        </is>
      </c>
      <c r="R133" s="2" t="inlineStr">
        <is>
          <t>violation</t>
        </is>
      </c>
      <c r="S133" s="2" t="inlineStr">
        <is>
          <t>violation</t>
        </is>
      </c>
      <c r="T133" s="2">
        <f>K133=E133</f>
        <v/>
      </c>
      <c r="U133" s="2">
        <f>L133=F133</f>
        <v/>
      </c>
      <c r="V133" s="2">
        <f>IF(N133,EXACT(P133,G133),"")</f>
        <v/>
      </c>
      <c r="W133" s="2">
        <f>IF(O133,EXACT(Q133,H133),"")</f>
        <v/>
      </c>
      <c r="X133" s="2">
        <f>J133=C133</f>
        <v/>
      </c>
      <c r="Y133" s="2">
        <f>IF(R133="unknown","",R133=S133)</f>
        <v/>
      </c>
      <c r="Z133" s="2" t="inlineStr">
        <is>
          <t>A</t>
        </is>
      </c>
      <c r="AA133" s="2" t="inlineStr">
        <is>
          <t>A</t>
        </is>
      </c>
      <c r="AB133" s="2">
        <f>AND(N133,O133,A133&lt;&gt;"census-mixed")</f>
        <v/>
      </c>
      <c r="AC133" s="2">
        <f>IF(AB133,Z133=AA133,"")</f>
        <v/>
      </c>
    </row>
    <row r="134">
      <c r="A134" s="2" t="inlineStr">
        <is>
          <t>census</t>
        </is>
      </c>
      <c r="B134" s="2" t="inlineStr">
        <is>
          <t>browser chrome116</t>
        </is>
      </c>
      <c r="C134" s="2" t="inlineStr">
        <is>
          <t>skb-eval-8352-c5133</t>
        </is>
      </c>
      <c r="D134" s="2" t="n">
        <v>5133</v>
      </c>
      <c r="E134" s="2" t="n">
        <v>512</v>
      </c>
      <c r="F134" s="2" t="n">
        <v>771</v>
      </c>
      <c r="G134" s="2" t="inlineStr">
        <is>
          <t>3a3a 1301 1302 1303 c02b c02f c02c c030 cca9 cca8 c013 c014 009c 009d 002f 0035</t>
        </is>
      </c>
      <c r="H134" s="2" t="inlineStr">
        <is>
          <t>aaaa 0304 0303</t>
        </is>
      </c>
      <c r="I134" s="2" t="n">
        <v>1</v>
      </c>
      <c r="J134" s="2" t="inlineStr">
        <is>
          <t>skb-eval-8352-c5133</t>
        </is>
      </c>
      <c r="K134" s="2" t="n">
        <v>512</v>
      </c>
      <c r="L134" s="2" t="n">
        <v>771</v>
      </c>
      <c r="M134" s="2" t="n">
        <v>512</v>
      </c>
      <c r="N134" s="2" t="b">
        <v>1</v>
      </c>
      <c r="O134" s="2" t="b">
        <v>1</v>
      </c>
      <c r="P134" s="2" t="inlineStr">
        <is>
          <t>3a3a 1301 1302 1303 c02b c02f c02c c030 cca9 cca8 c013 c014 009c 009d 002f 0035</t>
        </is>
      </c>
      <c r="Q134" s="2" t="inlineStr">
        <is>
          <t>aaaa 0304 0303</t>
        </is>
      </c>
      <c r="R134" s="2" t="inlineStr">
        <is>
          <t>violation</t>
        </is>
      </c>
      <c r="S134" s="2" t="inlineStr">
        <is>
          <t>violation</t>
        </is>
      </c>
      <c r="T134" s="2">
        <f>K134=E134</f>
        <v/>
      </c>
      <c r="U134" s="2">
        <f>L134=F134</f>
        <v/>
      </c>
      <c r="V134" s="2">
        <f>IF(N134,EXACT(P134,G134),"")</f>
        <v/>
      </c>
      <c r="W134" s="2">
        <f>IF(O134,EXACT(Q134,H134),"")</f>
        <v/>
      </c>
      <c r="X134" s="2">
        <f>J134=C134</f>
        <v/>
      </c>
      <c r="Y134" s="2">
        <f>IF(R134="unknown","",R134=S134)</f>
        <v/>
      </c>
      <c r="Z134" s="2" t="inlineStr">
        <is>
          <t>A</t>
        </is>
      </c>
      <c r="AA134" s="2" t="inlineStr">
        <is>
          <t>A</t>
        </is>
      </c>
      <c r="AB134" s="2">
        <f>AND(N134,O134,A134&lt;&gt;"census-mixed")</f>
        <v/>
      </c>
      <c r="AC134" s="2">
        <f>IF(AB134,Z134=AA134,"")</f>
        <v/>
      </c>
    </row>
    <row r="135">
      <c r="A135" s="2" t="inlineStr">
        <is>
          <t>census</t>
        </is>
      </c>
      <c r="B135" s="2" t="inlineStr">
        <is>
          <t>browser chrome116</t>
        </is>
      </c>
      <c r="C135" s="2" t="inlineStr">
        <is>
          <t>skb-eval-8352-c5134</t>
        </is>
      </c>
      <c r="D135" s="2" t="n">
        <v>5134</v>
      </c>
      <c r="E135" s="2" t="n">
        <v>512</v>
      </c>
      <c r="F135" s="2" t="n">
        <v>771</v>
      </c>
      <c r="G135" s="2" t="inlineStr">
        <is>
          <t>caca 1301 1302 1303 c02b c02f c02c c030 cca9 cca8 c013 c014 009c 009d 002f 0035</t>
        </is>
      </c>
      <c r="H135" s="2" t="inlineStr">
        <is>
          <t>8a8a 0304 0303</t>
        </is>
      </c>
      <c r="I135" s="2" t="n">
        <v>1</v>
      </c>
      <c r="J135" s="2" t="inlineStr">
        <is>
          <t>skb-eval-8352-c5134</t>
        </is>
      </c>
      <c r="K135" s="2" t="n">
        <v>512</v>
      </c>
      <c r="L135" s="2" t="n">
        <v>771</v>
      </c>
      <c r="M135" s="2" t="n">
        <v>512</v>
      </c>
      <c r="N135" s="2" t="b">
        <v>1</v>
      </c>
      <c r="O135" s="2" t="b">
        <v>1</v>
      </c>
      <c r="P135" s="2" t="inlineStr">
        <is>
          <t>caca 1301 1302 1303 c02b c02f c02c c030 cca9 cca8 c013 c014 009c 009d 002f 0035</t>
        </is>
      </c>
      <c r="Q135" s="2" t="inlineStr">
        <is>
          <t>8a8a 0304 0303</t>
        </is>
      </c>
      <c r="R135" s="2" t="inlineStr">
        <is>
          <t>violation</t>
        </is>
      </c>
      <c r="S135" s="2" t="inlineStr">
        <is>
          <t>violation</t>
        </is>
      </c>
      <c r="T135" s="2">
        <f>K135=E135</f>
        <v/>
      </c>
      <c r="U135" s="2">
        <f>L135=F135</f>
        <v/>
      </c>
      <c r="V135" s="2">
        <f>IF(N135,EXACT(P135,G135),"")</f>
        <v/>
      </c>
      <c r="W135" s="2">
        <f>IF(O135,EXACT(Q135,H135),"")</f>
        <v/>
      </c>
      <c r="X135" s="2">
        <f>J135=C135</f>
        <v/>
      </c>
      <c r="Y135" s="2">
        <f>IF(R135="unknown","",R135=S135)</f>
        <v/>
      </c>
      <c r="Z135" s="2" t="inlineStr">
        <is>
          <t>A</t>
        </is>
      </c>
      <c r="AA135" s="2" t="inlineStr">
        <is>
          <t>A</t>
        </is>
      </c>
      <c r="AB135" s="2">
        <f>AND(N135,O135,A135&lt;&gt;"census-mixed")</f>
        <v/>
      </c>
      <c r="AC135" s="2">
        <f>IF(AB135,Z135=AA135,"")</f>
        <v/>
      </c>
    </row>
    <row r="136">
      <c r="A136" s="2" t="inlineStr">
        <is>
          <t>census</t>
        </is>
      </c>
      <c r="B136" s="2" t="inlineStr">
        <is>
          <t>browser chrome116</t>
        </is>
      </c>
      <c r="C136" s="2" t="inlineStr">
        <is>
          <t>skb-eval-8352-c5135</t>
        </is>
      </c>
      <c r="D136" s="2" t="n">
        <v>5135</v>
      </c>
      <c r="E136" s="2" t="n">
        <v>512</v>
      </c>
      <c r="F136" s="2" t="n">
        <v>771</v>
      </c>
      <c r="G136" s="2" t="inlineStr">
        <is>
          <t>0a0a 1301 1302 1303 c02b c02f c02c c030 cca9 cca8 c013 c014 009c 009d 002f 0035</t>
        </is>
      </c>
      <c r="H136" s="2" t="inlineStr">
        <is>
          <t>8a8a 0304 0303</t>
        </is>
      </c>
      <c r="I136" s="2" t="n">
        <v>1</v>
      </c>
      <c r="J136" s="2" t="inlineStr">
        <is>
          <t>skb-eval-8352-c5135</t>
        </is>
      </c>
      <c r="K136" s="2" t="n">
        <v>512</v>
      </c>
      <c r="L136" s="2" t="n">
        <v>771</v>
      </c>
      <c r="M136" s="2" t="n">
        <v>512</v>
      </c>
      <c r="N136" s="2" t="b">
        <v>1</v>
      </c>
      <c r="O136" s="2" t="b">
        <v>1</v>
      </c>
      <c r="P136" s="2" t="inlineStr">
        <is>
          <t>0a0a 1301 1302 1303 c02b c02f c02c c030 cca9 cca8 c013 c014 009c 009d 002f 0035</t>
        </is>
      </c>
      <c r="Q136" s="2" t="inlineStr">
        <is>
          <t>8a8a 0304 0303</t>
        </is>
      </c>
      <c r="R136" s="2" t="inlineStr">
        <is>
          <t>violation</t>
        </is>
      </c>
      <c r="S136" s="2" t="inlineStr">
        <is>
          <t>violation</t>
        </is>
      </c>
      <c r="T136" s="2">
        <f>K136=E136</f>
        <v/>
      </c>
      <c r="U136" s="2">
        <f>L136=F136</f>
        <v/>
      </c>
      <c r="V136" s="2">
        <f>IF(N136,EXACT(P136,G136),"")</f>
        <v/>
      </c>
      <c r="W136" s="2">
        <f>IF(O136,EXACT(Q136,H136),"")</f>
        <v/>
      </c>
      <c r="X136" s="2">
        <f>J136=C136</f>
        <v/>
      </c>
      <c r="Y136" s="2">
        <f>IF(R136="unknown","",R136=S136)</f>
        <v/>
      </c>
      <c r="Z136" s="2" t="inlineStr">
        <is>
          <t>A</t>
        </is>
      </c>
      <c r="AA136" s="2" t="inlineStr">
        <is>
          <t>A</t>
        </is>
      </c>
      <c r="AB136" s="2">
        <f>AND(N136,O136,A136&lt;&gt;"census-mixed")</f>
        <v/>
      </c>
      <c r="AC136" s="2">
        <f>IF(AB136,Z136=AA136,"")</f>
        <v/>
      </c>
    </row>
    <row r="137">
      <c r="A137" s="2" t="inlineStr">
        <is>
          <t>census</t>
        </is>
      </c>
      <c r="B137" s="2" t="inlineStr">
        <is>
          <t>browser chrome116</t>
        </is>
      </c>
      <c r="C137" s="2" t="inlineStr">
        <is>
          <t>skb-eval-8352-c5136</t>
        </is>
      </c>
      <c r="D137" s="2" t="n">
        <v>5136</v>
      </c>
      <c r="E137" s="2" t="n">
        <v>512</v>
      </c>
      <c r="F137" s="2" t="n">
        <v>771</v>
      </c>
      <c r="G137" s="2" t="inlineStr">
        <is>
          <t>4a4a 1301 1302 1303 c02b c02f c02c c030 cca9 cca8 c013 c014 009c 009d 002f 0035</t>
        </is>
      </c>
      <c r="H137" s="2" t="inlineStr">
        <is>
          <t>9a9a 0304 0303</t>
        </is>
      </c>
      <c r="I137" s="2" t="n">
        <v>1</v>
      </c>
      <c r="J137" s="2" t="inlineStr">
        <is>
          <t>skb-eval-8352-c5136</t>
        </is>
      </c>
      <c r="K137" s="2" t="n">
        <v>512</v>
      </c>
      <c r="L137" s="2" t="n">
        <v>771</v>
      </c>
      <c r="M137" s="2" t="n">
        <v>512</v>
      </c>
      <c r="N137" s="2" t="b">
        <v>1</v>
      </c>
      <c r="O137" s="2" t="b">
        <v>1</v>
      </c>
      <c r="P137" s="2" t="inlineStr">
        <is>
          <t>4a4a 1301 1302 1303 c02b c02f c02c c030 cca9 cca8 c013 c014 009c 009d 002f 0035</t>
        </is>
      </c>
      <c r="Q137" s="2" t="inlineStr">
        <is>
          <t>9a9a 0304 0303</t>
        </is>
      </c>
      <c r="R137" s="2" t="inlineStr">
        <is>
          <t>violation</t>
        </is>
      </c>
      <c r="S137" s="2" t="inlineStr">
        <is>
          <t>violation</t>
        </is>
      </c>
      <c r="T137" s="2">
        <f>K137=E137</f>
        <v/>
      </c>
      <c r="U137" s="2">
        <f>L137=F137</f>
        <v/>
      </c>
      <c r="V137" s="2">
        <f>IF(N137,EXACT(P137,G137),"")</f>
        <v/>
      </c>
      <c r="W137" s="2">
        <f>IF(O137,EXACT(Q137,H137),"")</f>
        <v/>
      </c>
      <c r="X137" s="2">
        <f>J137=C137</f>
        <v/>
      </c>
      <c r="Y137" s="2">
        <f>IF(R137="unknown","",R137=S137)</f>
        <v/>
      </c>
      <c r="Z137" s="2" t="inlineStr">
        <is>
          <t>A</t>
        </is>
      </c>
      <c r="AA137" s="2" t="inlineStr">
        <is>
          <t>A</t>
        </is>
      </c>
      <c r="AB137" s="2">
        <f>AND(N137,O137,A137&lt;&gt;"census-mixed")</f>
        <v/>
      </c>
      <c r="AC137" s="2">
        <f>IF(AB137,Z137=AA137,"")</f>
        <v/>
      </c>
    </row>
    <row r="138">
      <c r="A138" s="2" t="inlineStr">
        <is>
          <t>census</t>
        </is>
      </c>
      <c r="B138" s="2" t="inlineStr">
        <is>
          <t>browser chrome116</t>
        </is>
      </c>
      <c r="C138" s="2" t="inlineStr">
        <is>
          <t>skb-eval-8352-c5137</t>
        </is>
      </c>
      <c r="D138" s="2" t="n">
        <v>5137</v>
      </c>
      <c r="E138" s="2" t="n">
        <v>512</v>
      </c>
      <c r="F138" s="2" t="n">
        <v>771</v>
      </c>
      <c r="G138" s="2" t="inlineStr">
        <is>
          <t>dada 1301 1302 1303 c02b c02f c02c c030 cca9 cca8 c013 c014 009c 009d 002f 0035</t>
        </is>
      </c>
      <c r="H138" s="2" t="inlineStr">
        <is>
          <t>caca 0304 0303</t>
        </is>
      </c>
      <c r="I138" s="2" t="n">
        <v>1</v>
      </c>
      <c r="J138" s="2" t="inlineStr">
        <is>
          <t>skb-eval-8352-c5137</t>
        </is>
      </c>
      <c r="K138" s="2" t="n">
        <v>512</v>
      </c>
      <c r="L138" s="2" t="n">
        <v>771</v>
      </c>
      <c r="M138" s="2" t="n">
        <v>512</v>
      </c>
      <c r="N138" s="2" t="b">
        <v>1</v>
      </c>
      <c r="O138" s="2" t="b">
        <v>1</v>
      </c>
      <c r="P138" s="2" t="inlineStr">
        <is>
          <t>dada 1301 1302 1303 c02b c02f c02c c030 cca9 cca8 c013 c014 009c 009d 002f 0035</t>
        </is>
      </c>
      <c r="Q138" s="2" t="inlineStr">
        <is>
          <t>caca 0304 0303</t>
        </is>
      </c>
      <c r="R138" s="2" t="inlineStr">
        <is>
          <t>violation</t>
        </is>
      </c>
      <c r="S138" s="2" t="inlineStr">
        <is>
          <t>violation</t>
        </is>
      </c>
      <c r="T138" s="2">
        <f>K138=E138</f>
        <v/>
      </c>
      <c r="U138" s="2">
        <f>L138=F138</f>
        <v/>
      </c>
      <c r="V138" s="2">
        <f>IF(N138,EXACT(P138,G138),"")</f>
        <v/>
      </c>
      <c r="W138" s="2">
        <f>IF(O138,EXACT(Q138,H138),"")</f>
        <v/>
      </c>
      <c r="X138" s="2">
        <f>J138=C138</f>
        <v/>
      </c>
      <c r="Y138" s="2">
        <f>IF(R138="unknown","",R138=S138)</f>
        <v/>
      </c>
      <c r="Z138" s="2" t="inlineStr">
        <is>
          <t>A</t>
        </is>
      </c>
      <c r="AA138" s="2" t="inlineStr">
        <is>
          <t>A</t>
        </is>
      </c>
      <c r="AB138" s="2">
        <f>AND(N138,O138,A138&lt;&gt;"census-mixed")</f>
        <v/>
      </c>
      <c r="AC138" s="2">
        <f>IF(AB138,Z138=AA138,"")</f>
        <v/>
      </c>
    </row>
    <row r="139">
      <c r="A139" s="2" t="inlineStr">
        <is>
          <t>census</t>
        </is>
      </c>
      <c r="B139" s="2" t="inlineStr">
        <is>
          <t>browser chrome116</t>
        </is>
      </c>
      <c r="C139" s="2" t="inlineStr">
        <is>
          <t>skb-eval-8352-c5138</t>
        </is>
      </c>
      <c r="D139" s="2" t="n">
        <v>5138</v>
      </c>
      <c r="E139" s="2" t="n">
        <v>512</v>
      </c>
      <c r="F139" s="2" t="n">
        <v>771</v>
      </c>
      <c r="G139" s="2" t="inlineStr">
        <is>
          <t>dada 1301 1302 1303 c02b c02f c02c c030 cca9 cca8 c013 c014 009c 009d 002f 0035</t>
        </is>
      </c>
      <c r="H139" s="2" t="inlineStr">
        <is>
          <t>3a3a 0304 0303</t>
        </is>
      </c>
      <c r="I139" s="2" t="n">
        <v>1</v>
      </c>
      <c r="J139" s="2" t="inlineStr">
        <is>
          <t>skb-eval-8352-c5138</t>
        </is>
      </c>
      <c r="K139" s="2" t="n">
        <v>512</v>
      </c>
      <c r="L139" s="2" t="n">
        <v>771</v>
      </c>
      <c r="M139" s="2" t="n">
        <v>512</v>
      </c>
      <c r="N139" s="2" t="b">
        <v>1</v>
      </c>
      <c r="O139" s="2" t="b">
        <v>1</v>
      </c>
      <c r="P139" s="2" t="inlineStr">
        <is>
          <t>dada 1301 1302 1303 c02b c02f c02c c030 cca9 cca8 c013 c014 009c 009d 002f 0035</t>
        </is>
      </c>
      <c r="Q139" s="2" t="inlineStr">
        <is>
          <t>3a3a 0304 0303</t>
        </is>
      </c>
      <c r="R139" s="2" t="inlineStr">
        <is>
          <t>violation</t>
        </is>
      </c>
      <c r="S139" s="2" t="inlineStr">
        <is>
          <t>violation</t>
        </is>
      </c>
      <c r="T139" s="2">
        <f>K139=E139</f>
        <v/>
      </c>
      <c r="U139" s="2">
        <f>L139=F139</f>
        <v/>
      </c>
      <c r="V139" s="2">
        <f>IF(N139,EXACT(P139,G139),"")</f>
        <v/>
      </c>
      <c r="W139" s="2">
        <f>IF(O139,EXACT(Q139,H139),"")</f>
        <v/>
      </c>
      <c r="X139" s="2">
        <f>J139=C139</f>
        <v/>
      </c>
      <c r="Y139" s="2">
        <f>IF(R139="unknown","",R139=S139)</f>
        <v/>
      </c>
      <c r="Z139" s="2" t="inlineStr">
        <is>
          <t>A</t>
        </is>
      </c>
      <c r="AA139" s="2" t="inlineStr">
        <is>
          <t>A</t>
        </is>
      </c>
      <c r="AB139" s="2">
        <f>AND(N139,O139,A139&lt;&gt;"census-mixed")</f>
        <v/>
      </c>
      <c r="AC139" s="2">
        <f>IF(AB139,Z139=AA139,"")</f>
        <v/>
      </c>
    </row>
    <row r="140">
      <c r="A140" s="2" t="inlineStr">
        <is>
          <t>census</t>
        </is>
      </c>
      <c r="B140" s="2" t="inlineStr">
        <is>
          <t>browser chrome116</t>
        </is>
      </c>
      <c r="C140" s="2" t="inlineStr">
        <is>
          <t>skb-eval-8352-c5139</t>
        </is>
      </c>
      <c r="D140" s="2" t="n">
        <v>5139</v>
      </c>
      <c r="E140" s="2" t="n">
        <v>512</v>
      </c>
      <c r="F140" s="2" t="n">
        <v>771</v>
      </c>
      <c r="G140" s="2" t="inlineStr">
        <is>
          <t>dada 1301 1302 1303 c02b c02f c02c c030 cca9 cca8 c013 c014 009c 009d 002f 0035</t>
        </is>
      </c>
      <c r="H140" s="2" t="inlineStr">
        <is>
          <t>8a8a 0304 0303</t>
        </is>
      </c>
      <c r="I140" s="2" t="n">
        <v>1</v>
      </c>
      <c r="J140" s="2" t="inlineStr">
        <is>
          <t>skb-eval-8352-c5139</t>
        </is>
      </c>
      <c r="K140" s="2" t="n">
        <v>512</v>
      </c>
      <c r="L140" s="2" t="n">
        <v>771</v>
      </c>
      <c r="M140" s="2" t="n">
        <v>512</v>
      </c>
      <c r="N140" s="2" t="b">
        <v>1</v>
      </c>
      <c r="O140" s="2" t="b">
        <v>1</v>
      </c>
      <c r="P140" s="2" t="inlineStr">
        <is>
          <t>dada 1301 1302 1303 c02b c02f c02c c030 cca9 cca8 c013 c014 009c 009d 002f 0035</t>
        </is>
      </c>
      <c r="Q140" s="2" t="inlineStr">
        <is>
          <t>8a8a 0304 0303</t>
        </is>
      </c>
      <c r="R140" s="2" t="inlineStr">
        <is>
          <t>violation</t>
        </is>
      </c>
      <c r="S140" s="2" t="inlineStr">
        <is>
          <t>violation</t>
        </is>
      </c>
      <c r="T140" s="2">
        <f>K140=E140</f>
        <v/>
      </c>
      <c r="U140" s="2">
        <f>L140=F140</f>
        <v/>
      </c>
      <c r="V140" s="2">
        <f>IF(N140,EXACT(P140,G140),"")</f>
        <v/>
      </c>
      <c r="W140" s="2">
        <f>IF(O140,EXACT(Q140,H140),"")</f>
        <v/>
      </c>
      <c r="X140" s="2">
        <f>J140=C140</f>
        <v/>
      </c>
      <c r="Y140" s="2">
        <f>IF(R140="unknown","",R140=S140)</f>
        <v/>
      </c>
      <c r="Z140" s="2" t="inlineStr">
        <is>
          <t>A</t>
        </is>
      </c>
      <c r="AA140" s="2" t="inlineStr">
        <is>
          <t>A</t>
        </is>
      </c>
      <c r="AB140" s="2">
        <f>AND(N140,O140,A140&lt;&gt;"census-mixed")</f>
        <v/>
      </c>
      <c r="AC140" s="2">
        <f>IF(AB140,Z140=AA140,"")</f>
        <v/>
      </c>
    </row>
    <row r="141">
      <c r="A141" s="2" t="inlineStr">
        <is>
          <t>census</t>
        </is>
      </c>
      <c r="B141" s="2" t="inlineStr">
        <is>
          <t>browser chrome116</t>
        </is>
      </c>
      <c r="C141" s="2" t="inlineStr">
        <is>
          <t>skb-eval-8352-c5140</t>
        </is>
      </c>
      <c r="D141" s="2" t="n">
        <v>5140</v>
      </c>
      <c r="E141" s="2" t="n">
        <v>512</v>
      </c>
      <c r="F141" s="2" t="n">
        <v>771</v>
      </c>
      <c r="G141" s="2" t="inlineStr">
        <is>
          <t>1a1a 1301 1302 1303 c02b c02f c02c c030 cca9 cca8 c013 c014 009c 009d 002f 0035</t>
        </is>
      </c>
      <c r="H141" s="2" t="inlineStr">
        <is>
          <t>dada 0304 0303</t>
        </is>
      </c>
      <c r="I141" s="2" t="n">
        <v>1</v>
      </c>
      <c r="J141" s="2" t="inlineStr">
        <is>
          <t>skb-eval-8352-c5140</t>
        </is>
      </c>
      <c r="K141" s="2" t="n">
        <v>512</v>
      </c>
      <c r="L141" s="2" t="n">
        <v>771</v>
      </c>
      <c r="M141" s="2" t="n">
        <v>512</v>
      </c>
      <c r="N141" s="2" t="b">
        <v>1</v>
      </c>
      <c r="O141" s="2" t="b">
        <v>1</v>
      </c>
      <c r="P141" s="2" t="inlineStr">
        <is>
          <t>1a1a 1301 1302 1303 c02b c02f c02c c030 cca9 cca8 c013 c014 009c 009d 002f 0035</t>
        </is>
      </c>
      <c r="Q141" s="2" t="inlineStr">
        <is>
          <t>dada 0304 0303</t>
        </is>
      </c>
      <c r="R141" s="2" t="inlineStr">
        <is>
          <t>violation</t>
        </is>
      </c>
      <c r="S141" s="2" t="inlineStr">
        <is>
          <t>violation</t>
        </is>
      </c>
      <c r="T141" s="2">
        <f>K141=E141</f>
        <v/>
      </c>
      <c r="U141" s="2">
        <f>L141=F141</f>
        <v/>
      </c>
      <c r="V141" s="2">
        <f>IF(N141,EXACT(P141,G141),"")</f>
        <v/>
      </c>
      <c r="W141" s="2">
        <f>IF(O141,EXACT(Q141,H141),"")</f>
        <v/>
      </c>
      <c r="X141" s="2">
        <f>J141=C141</f>
        <v/>
      </c>
      <c r="Y141" s="2">
        <f>IF(R141="unknown","",R141=S141)</f>
        <v/>
      </c>
      <c r="Z141" s="2" t="inlineStr">
        <is>
          <t>A</t>
        </is>
      </c>
      <c r="AA141" s="2" t="inlineStr">
        <is>
          <t>A</t>
        </is>
      </c>
      <c r="AB141" s="2">
        <f>AND(N141,O141,A141&lt;&gt;"census-mixed")</f>
        <v/>
      </c>
      <c r="AC141" s="2">
        <f>IF(AB141,Z141=AA141,"")</f>
        <v/>
      </c>
    </row>
    <row r="142">
      <c r="A142" s="2" t="inlineStr">
        <is>
          <t>census</t>
        </is>
      </c>
      <c r="B142" s="2" t="inlineStr">
        <is>
          <t>browser chrome124</t>
        </is>
      </c>
      <c r="C142" s="2" t="inlineStr">
        <is>
          <t>skb-eval-8352-c5141</t>
        </is>
      </c>
      <c r="D142" s="2" t="n">
        <v>5141</v>
      </c>
      <c r="E142" s="2" t="n">
        <v>1784</v>
      </c>
      <c r="F142" s="2" t="n">
        <v>771</v>
      </c>
      <c r="G142" s="2" t="inlineStr">
        <is>
          <t>eaea 1301 1302 1303 c02b c02f c02c c030 cca9 cca8 c013 c014 009c 009d 002f 0035</t>
        </is>
      </c>
      <c r="H142" s="2" t="inlineStr">
        <is>
          <t>0a0a 0304 0303</t>
        </is>
      </c>
      <c r="I142" s="2" t="n">
        <v>1</v>
      </c>
      <c r="J142" s="2" t="inlineStr">
        <is>
          <t>skb-eval-8352-c5141</t>
        </is>
      </c>
      <c r="K142" s="2" t="n">
        <v>1784</v>
      </c>
      <c r="L142" s="2" t="n">
        <v>771</v>
      </c>
      <c r="M142" s="2" t="n">
        <v>1443</v>
      </c>
      <c r="N142" s="2" t="b">
        <v>1</v>
      </c>
      <c r="O142" s="2" t="b">
        <v>0</v>
      </c>
      <c r="P142" s="2" t="inlineStr">
        <is>
          <t>eaea 1301 1302 1303 c02b c02f c02c c030 cca9 cca8 c013 c014 009c 009d 002f 0035</t>
        </is>
      </c>
      <c r="Q142" s="2" t="inlineStr"/>
      <c r="R142" s="2" t="inlineStr">
        <is>
          <t>violation</t>
        </is>
      </c>
      <c r="S142" s="2" t="inlineStr">
        <is>
          <t>violation</t>
        </is>
      </c>
      <c r="T142" s="2">
        <f>K142=E142</f>
        <v/>
      </c>
      <c r="U142" s="2">
        <f>L142=F142</f>
        <v/>
      </c>
      <c r="V142" s="2">
        <f>IF(N142,EXACT(P142,G142),"")</f>
        <v/>
      </c>
      <c r="W142" s="2">
        <f>IF(O142,EXACT(Q142,H142),"")</f>
        <v/>
      </c>
      <c r="X142" s="2">
        <f>J142=C142</f>
        <v/>
      </c>
      <c r="Y142" s="2">
        <f>IF(R142="unknown","",R142=S142)</f>
        <v/>
      </c>
      <c r="Z142" s="2" t="inlineStr">
        <is>
          <t>A</t>
        </is>
      </c>
      <c r="AA142" s="2" t="inlineStr">
        <is>
          <t>A</t>
        </is>
      </c>
      <c r="AB142" s="2">
        <f>AND(N142,O142,A142&lt;&gt;"census-mixed")</f>
        <v/>
      </c>
      <c r="AC142" s="2">
        <f>IF(AB142,Z142=AA142,"")</f>
        <v/>
      </c>
    </row>
    <row r="143">
      <c r="A143" s="2" t="inlineStr">
        <is>
          <t>census</t>
        </is>
      </c>
      <c r="B143" s="2" t="inlineStr">
        <is>
          <t>browser chrome124</t>
        </is>
      </c>
      <c r="C143" s="2" t="inlineStr">
        <is>
          <t>skb-eval-8352-c5142</t>
        </is>
      </c>
      <c r="D143" s="2" t="n">
        <v>5142</v>
      </c>
      <c r="E143" s="2" t="n">
        <v>1784</v>
      </c>
      <c r="F143" s="2" t="n">
        <v>771</v>
      </c>
      <c r="G143" s="2" t="inlineStr">
        <is>
          <t>caca 1301 1302 1303 c02b c02f c02c c030 cca9 cca8 c013 c014 009c 009d 002f 0035</t>
        </is>
      </c>
      <c r="H143" s="2" t="inlineStr">
        <is>
          <t>dada 0304 0303</t>
        </is>
      </c>
      <c r="I143" s="2" t="n">
        <v>1</v>
      </c>
      <c r="J143" s="2" t="inlineStr">
        <is>
          <t>skb-eval-8352-c5142</t>
        </is>
      </c>
      <c r="K143" s="2" t="n">
        <v>1784</v>
      </c>
      <c r="L143" s="2" t="n">
        <v>771</v>
      </c>
      <c r="M143" s="2" t="n">
        <v>1443</v>
      </c>
      <c r="N143" s="2" t="b">
        <v>1</v>
      </c>
      <c r="O143" s="2" t="b">
        <v>0</v>
      </c>
      <c r="P143" s="2" t="inlineStr">
        <is>
          <t>caca 1301 1302 1303 c02b c02f c02c c030 cca9 cca8 c013 c014 009c 009d 002f 0035</t>
        </is>
      </c>
      <c r="Q143" s="2" t="inlineStr"/>
      <c r="R143" s="2" t="inlineStr">
        <is>
          <t>violation</t>
        </is>
      </c>
      <c r="S143" s="2" t="inlineStr">
        <is>
          <t>violation</t>
        </is>
      </c>
      <c r="T143" s="2">
        <f>K143=E143</f>
        <v/>
      </c>
      <c r="U143" s="2">
        <f>L143=F143</f>
        <v/>
      </c>
      <c r="V143" s="2">
        <f>IF(N143,EXACT(P143,G143),"")</f>
        <v/>
      </c>
      <c r="W143" s="2">
        <f>IF(O143,EXACT(Q143,H143),"")</f>
        <v/>
      </c>
      <c r="X143" s="2">
        <f>J143=C143</f>
        <v/>
      </c>
      <c r="Y143" s="2">
        <f>IF(R143="unknown","",R143=S143)</f>
        <v/>
      </c>
      <c r="Z143" s="2" t="inlineStr">
        <is>
          <t>A</t>
        </is>
      </c>
      <c r="AA143" s="2" t="inlineStr">
        <is>
          <t>A</t>
        </is>
      </c>
      <c r="AB143" s="2">
        <f>AND(N143,O143,A143&lt;&gt;"census-mixed")</f>
        <v/>
      </c>
      <c r="AC143" s="2">
        <f>IF(AB143,Z143=AA143,"")</f>
        <v/>
      </c>
    </row>
    <row r="144">
      <c r="A144" s="2" t="inlineStr">
        <is>
          <t>census</t>
        </is>
      </c>
      <c r="B144" s="2" t="inlineStr">
        <is>
          <t>browser chrome124</t>
        </is>
      </c>
      <c r="C144" s="2" t="inlineStr">
        <is>
          <t>skb-eval-8352-c5143</t>
        </is>
      </c>
      <c r="D144" s="2" t="n">
        <v>5143</v>
      </c>
      <c r="E144" s="2" t="n">
        <v>1720</v>
      </c>
      <c r="F144" s="2" t="n">
        <v>771</v>
      </c>
      <c r="G144" s="2" t="inlineStr">
        <is>
          <t>2a2a 1301 1302 1303 c02b c02f c02c c030 cca9 cca8 c013 c014 009c 009d 002f 0035</t>
        </is>
      </c>
      <c r="H144" s="2" t="inlineStr">
        <is>
          <t>2a2a 0304 0303</t>
        </is>
      </c>
      <c r="I144" s="2" t="n">
        <v>1</v>
      </c>
      <c r="J144" s="2" t="inlineStr">
        <is>
          <t>skb-eval-8352-c5143</t>
        </is>
      </c>
      <c r="K144" s="2" t="n">
        <v>1720</v>
      </c>
      <c r="L144" s="2" t="n">
        <v>771</v>
      </c>
      <c r="M144" s="2" t="n">
        <v>1443</v>
      </c>
      <c r="N144" s="2" t="b">
        <v>1</v>
      </c>
      <c r="O144" s="2" t="b">
        <v>1</v>
      </c>
      <c r="P144" s="2" t="inlineStr">
        <is>
          <t>2a2a 1301 1302 1303 c02b c02f c02c c030 cca9 cca8 c013 c014 009c 009d 002f 0035</t>
        </is>
      </c>
      <c r="Q144" s="2" t="inlineStr">
        <is>
          <t>2a2a 0304 0303</t>
        </is>
      </c>
      <c r="R144" s="2" t="inlineStr">
        <is>
          <t>violation</t>
        </is>
      </c>
      <c r="S144" s="2" t="inlineStr">
        <is>
          <t>violation</t>
        </is>
      </c>
      <c r="T144" s="2">
        <f>K144=E144</f>
        <v/>
      </c>
      <c r="U144" s="2">
        <f>L144=F144</f>
        <v/>
      </c>
      <c r="V144" s="2">
        <f>IF(N144,EXACT(P144,G144),"")</f>
        <v/>
      </c>
      <c r="W144" s="2">
        <f>IF(O144,EXACT(Q144,H144),"")</f>
        <v/>
      </c>
      <c r="X144" s="2">
        <f>J144=C144</f>
        <v/>
      </c>
      <c r="Y144" s="2">
        <f>IF(R144="unknown","",R144=S144)</f>
        <v/>
      </c>
      <c r="Z144" s="2" t="inlineStr">
        <is>
          <t>A</t>
        </is>
      </c>
      <c r="AA144" s="2" t="inlineStr">
        <is>
          <t>A</t>
        </is>
      </c>
      <c r="AB144" s="2">
        <f>AND(N144,O144,A144&lt;&gt;"census-mixed")</f>
        <v/>
      </c>
      <c r="AC144" s="2">
        <f>IF(AB144,Z144=AA144,"")</f>
        <v/>
      </c>
    </row>
    <row r="145">
      <c r="A145" s="2" t="inlineStr">
        <is>
          <t>census</t>
        </is>
      </c>
      <c r="B145" s="2" t="inlineStr">
        <is>
          <t>browser chrome124</t>
        </is>
      </c>
      <c r="C145" s="2" t="inlineStr">
        <is>
          <t>skb-eval-8352-c5144</t>
        </is>
      </c>
      <c r="D145" s="2" t="n">
        <v>5144</v>
      </c>
      <c r="E145" s="2" t="n">
        <v>1720</v>
      </c>
      <c r="F145" s="2" t="n">
        <v>771</v>
      </c>
      <c r="G145" s="2" t="inlineStr">
        <is>
          <t>0a0a 1301 1302 1303 c02b c02f c02c c030 cca9 cca8 c013 c014 009c 009d 002f 0035</t>
        </is>
      </c>
      <c r="H145" s="2" t="inlineStr">
        <is>
          <t>0a0a 0304 0303</t>
        </is>
      </c>
      <c r="I145" s="2" t="n">
        <v>1</v>
      </c>
      <c r="J145" s="2" t="inlineStr">
        <is>
          <t>skb-eval-8352-c5144</t>
        </is>
      </c>
      <c r="K145" s="2" t="n">
        <v>1720</v>
      </c>
      <c r="L145" s="2" t="n">
        <v>771</v>
      </c>
      <c r="M145" s="2" t="n">
        <v>1443</v>
      </c>
      <c r="N145" s="2" t="b">
        <v>1</v>
      </c>
      <c r="O145" s="2" t="b">
        <v>0</v>
      </c>
      <c r="P145" s="2" t="inlineStr">
        <is>
          <t>0a0a 1301 1302 1303 c02b c02f c02c c030 cca9 cca8 c013 c014 009c 009d 002f 0035</t>
        </is>
      </c>
      <c r="Q145" s="2" t="inlineStr"/>
      <c r="R145" s="2" t="inlineStr">
        <is>
          <t>violation</t>
        </is>
      </c>
      <c r="S145" s="2" t="inlineStr">
        <is>
          <t>violation</t>
        </is>
      </c>
      <c r="T145" s="2">
        <f>K145=E145</f>
        <v/>
      </c>
      <c r="U145" s="2">
        <f>L145=F145</f>
        <v/>
      </c>
      <c r="V145" s="2">
        <f>IF(N145,EXACT(P145,G145),"")</f>
        <v/>
      </c>
      <c r="W145" s="2">
        <f>IF(O145,EXACT(Q145,H145),"")</f>
        <v/>
      </c>
      <c r="X145" s="2">
        <f>J145=C145</f>
        <v/>
      </c>
      <c r="Y145" s="2">
        <f>IF(R145="unknown","",R145=S145)</f>
        <v/>
      </c>
      <c r="Z145" s="2" t="inlineStr">
        <is>
          <t>A</t>
        </is>
      </c>
      <c r="AA145" s="2" t="inlineStr">
        <is>
          <t>A</t>
        </is>
      </c>
      <c r="AB145" s="2">
        <f>AND(N145,O145,A145&lt;&gt;"census-mixed")</f>
        <v/>
      </c>
      <c r="AC145" s="2">
        <f>IF(AB145,Z145=AA145,"")</f>
        <v/>
      </c>
    </row>
    <row r="146">
      <c r="A146" s="2" t="inlineStr">
        <is>
          <t>census</t>
        </is>
      </c>
      <c r="B146" s="2" t="inlineStr">
        <is>
          <t>browser chrome124</t>
        </is>
      </c>
      <c r="C146" s="2" t="inlineStr">
        <is>
          <t>skb-eval-8352-c5145</t>
        </is>
      </c>
      <c r="D146" s="2" t="n">
        <v>5145</v>
      </c>
      <c r="E146" s="2" t="n">
        <v>1720</v>
      </c>
      <c r="F146" s="2" t="n">
        <v>771</v>
      </c>
      <c r="G146" s="2" t="inlineStr">
        <is>
          <t>fafa 1301 1302 1303 c02b c02f c02c c030 cca9 cca8 c013 c014 009c 009d 002f 0035</t>
        </is>
      </c>
      <c r="H146" s="2" t="inlineStr">
        <is>
          <t>8a8a 0304 0303</t>
        </is>
      </c>
      <c r="I146" s="2" t="n">
        <v>1</v>
      </c>
      <c r="J146" s="2" t="inlineStr">
        <is>
          <t>skb-eval-8352-c5145</t>
        </is>
      </c>
      <c r="K146" s="2" t="n">
        <v>1720</v>
      </c>
      <c r="L146" s="2" t="n">
        <v>771</v>
      </c>
      <c r="M146" s="2" t="n">
        <v>1443</v>
      </c>
      <c r="N146" s="2" t="b">
        <v>1</v>
      </c>
      <c r="O146" s="2" t="b">
        <v>1</v>
      </c>
      <c r="P146" s="2" t="inlineStr">
        <is>
          <t>fafa 1301 1302 1303 c02b c02f c02c c030 cca9 cca8 c013 c014 009c 009d 002f 0035</t>
        </is>
      </c>
      <c r="Q146" s="2" t="inlineStr">
        <is>
          <t>8a8a 0304 0303</t>
        </is>
      </c>
      <c r="R146" s="2" t="inlineStr">
        <is>
          <t>violation</t>
        </is>
      </c>
      <c r="S146" s="2" t="inlineStr">
        <is>
          <t>violation</t>
        </is>
      </c>
      <c r="T146" s="2">
        <f>K146=E146</f>
        <v/>
      </c>
      <c r="U146" s="2">
        <f>L146=F146</f>
        <v/>
      </c>
      <c r="V146" s="2">
        <f>IF(N146,EXACT(P146,G146),"")</f>
        <v/>
      </c>
      <c r="W146" s="2">
        <f>IF(O146,EXACT(Q146,H146),"")</f>
        <v/>
      </c>
      <c r="X146" s="2">
        <f>J146=C146</f>
        <v/>
      </c>
      <c r="Y146" s="2">
        <f>IF(R146="unknown","",R146=S146)</f>
        <v/>
      </c>
      <c r="Z146" s="2" t="inlineStr">
        <is>
          <t>A</t>
        </is>
      </c>
      <c r="AA146" s="2" t="inlineStr">
        <is>
          <t>A</t>
        </is>
      </c>
      <c r="AB146" s="2">
        <f>AND(N146,O146,A146&lt;&gt;"census-mixed")</f>
        <v/>
      </c>
      <c r="AC146" s="2">
        <f>IF(AB146,Z146=AA146,"")</f>
        <v/>
      </c>
    </row>
    <row r="147">
      <c r="A147" s="2" t="inlineStr">
        <is>
          <t>census</t>
        </is>
      </c>
      <c r="B147" s="2" t="inlineStr">
        <is>
          <t>browser chrome124</t>
        </is>
      </c>
      <c r="C147" s="2" t="inlineStr">
        <is>
          <t>skb-eval-8352-c5146</t>
        </is>
      </c>
      <c r="D147" s="2" t="n">
        <v>5146</v>
      </c>
      <c r="E147" s="2" t="n">
        <v>1720</v>
      </c>
      <c r="F147" s="2" t="n">
        <v>771</v>
      </c>
      <c r="G147" s="2" t="inlineStr">
        <is>
          <t>7a7a 1301 1302 1303 c02b c02f c02c c030 cca9 cca8 c013 c014 009c 009d 002f 0035</t>
        </is>
      </c>
      <c r="H147" s="2" t="inlineStr">
        <is>
          <t>baba 0304 0303</t>
        </is>
      </c>
      <c r="I147" s="2" t="n">
        <v>1</v>
      </c>
      <c r="J147" s="2" t="inlineStr">
        <is>
          <t>skb-eval-8352-c5146</t>
        </is>
      </c>
      <c r="K147" s="2" t="n">
        <v>1720</v>
      </c>
      <c r="L147" s="2" t="n">
        <v>771</v>
      </c>
      <c r="M147" s="2" t="n">
        <v>1443</v>
      </c>
      <c r="N147" s="2" t="b">
        <v>1</v>
      </c>
      <c r="O147" s="2" t="b">
        <v>0</v>
      </c>
      <c r="P147" s="2" t="inlineStr">
        <is>
          <t>7a7a 1301 1302 1303 c02b c02f c02c c030 cca9 cca8 c013 c014 009c 009d 002f 0035</t>
        </is>
      </c>
      <c r="Q147" s="2" t="inlineStr"/>
      <c r="R147" s="2" t="inlineStr">
        <is>
          <t>violation</t>
        </is>
      </c>
      <c r="S147" s="2" t="inlineStr">
        <is>
          <t>violation</t>
        </is>
      </c>
      <c r="T147" s="2">
        <f>K147=E147</f>
        <v/>
      </c>
      <c r="U147" s="2">
        <f>L147=F147</f>
        <v/>
      </c>
      <c r="V147" s="2">
        <f>IF(N147,EXACT(P147,G147),"")</f>
        <v/>
      </c>
      <c r="W147" s="2">
        <f>IF(O147,EXACT(Q147,H147),"")</f>
        <v/>
      </c>
      <c r="X147" s="2">
        <f>J147=C147</f>
        <v/>
      </c>
      <c r="Y147" s="2">
        <f>IF(R147="unknown","",R147=S147)</f>
        <v/>
      </c>
      <c r="Z147" s="2" t="inlineStr">
        <is>
          <t>A</t>
        </is>
      </c>
      <c r="AA147" s="2" t="inlineStr">
        <is>
          <t>A</t>
        </is>
      </c>
      <c r="AB147" s="2">
        <f>AND(N147,O147,A147&lt;&gt;"census-mixed")</f>
        <v/>
      </c>
      <c r="AC147" s="2">
        <f>IF(AB147,Z147=AA147,"")</f>
        <v/>
      </c>
    </row>
    <row r="148">
      <c r="A148" s="2" t="inlineStr">
        <is>
          <t>census</t>
        </is>
      </c>
      <c r="B148" s="2" t="inlineStr">
        <is>
          <t>browser chrome124</t>
        </is>
      </c>
      <c r="C148" s="2" t="inlineStr">
        <is>
          <t>skb-eval-8352-c5147</t>
        </is>
      </c>
      <c r="D148" s="2" t="n">
        <v>5147</v>
      </c>
      <c r="E148" s="2" t="n">
        <v>1816</v>
      </c>
      <c r="F148" s="2" t="n">
        <v>771</v>
      </c>
      <c r="G148" s="2" t="inlineStr">
        <is>
          <t>0a0a 1301 1302 1303 c02b c02f c02c c030 cca9 cca8 c013 c014 009c 009d 002f 0035</t>
        </is>
      </c>
      <c r="H148" s="2" t="inlineStr">
        <is>
          <t>fafa 0304 0303</t>
        </is>
      </c>
      <c r="I148" s="2" t="n">
        <v>1</v>
      </c>
      <c r="J148" s="2" t="inlineStr">
        <is>
          <t>skb-eval-8352-c5147</t>
        </is>
      </c>
      <c r="K148" s="2" t="n">
        <v>1816</v>
      </c>
      <c r="L148" s="2" t="n">
        <v>771</v>
      </c>
      <c r="M148" s="2" t="n">
        <v>1443</v>
      </c>
      <c r="N148" s="2" t="b">
        <v>1</v>
      </c>
      <c r="O148" s="2" t="b">
        <v>0</v>
      </c>
      <c r="P148" s="2" t="inlineStr">
        <is>
          <t>0a0a 1301 1302 1303 c02b c02f c02c c030 cca9 cca8 c013 c014 009c 009d 002f 0035</t>
        </is>
      </c>
      <c r="Q148" s="2" t="inlineStr"/>
      <c r="R148" s="2" t="inlineStr">
        <is>
          <t>violation</t>
        </is>
      </c>
      <c r="S148" s="2" t="inlineStr">
        <is>
          <t>violation</t>
        </is>
      </c>
      <c r="T148" s="2">
        <f>K148=E148</f>
        <v/>
      </c>
      <c r="U148" s="2">
        <f>L148=F148</f>
        <v/>
      </c>
      <c r="V148" s="2">
        <f>IF(N148,EXACT(P148,G148),"")</f>
        <v/>
      </c>
      <c r="W148" s="2">
        <f>IF(O148,EXACT(Q148,H148),"")</f>
        <v/>
      </c>
      <c r="X148" s="2">
        <f>J148=C148</f>
        <v/>
      </c>
      <c r="Y148" s="2">
        <f>IF(R148="unknown","",R148=S148)</f>
        <v/>
      </c>
      <c r="Z148" s="2" t="inlineStr">
        <is>
          <t>A</t>
        </is>
      </c>
      <c r="AA148" s="2" t="inlineStr">
        <is>
          <t>A</t>
        </is>
      </c>
      <c r="AB148" s="2">
        <f>AND(N148,O148,A148&lt;&gt;"census-mixed")</f>
        <v/>
      </c>
      <c r="AC148" s="2">
        <f>IF(AB148,Z148=AA148,"")</f>
        <v/>
      </c>
    </row>
    <row r="149">
      <c r="A149" s="2" t="inlineStr">
        <is>
          <t>census</t>
        </is>
      </c>
      <c r="B149" s="2" t="inlineStr">
        <is>
          <t>browser chrome124</t>
        </is>
      </c>
      <c r="C149" s="2" t="inlineStr">
        <is>
          <t>skb-eval-8352-c5148</t>
        </is>
      </c>
      <c r="D149" s="2" t="n">
        <v>5148</v>
      </c>
      <c r="E149" s="2" t="n">
        <v>1752</v>
      </c>
      <c r="F149" s="2" t="n">
        <v>771</v>
      </c>
      <c r="G149" s="2" t="inlineStr">
        <is>
          <t>aaaa 1301 1302 1303 c02b c02f c02c c030 cca9 cca8 c013 c014 009c 009d 002f 0035</t>
        </is>
      </c>
      <c r="H149" s="2" t="inlineStr">
        <is>
          <t>fafa 0304 0303</t>
        </is>
      </c>
      <c r="I149" s="2" t="n">
        <v>1</v>
      </c>
      <c r="J149" s="2" t="inlineStr">
        <is>
          <t>skb-eval-8352-c5148</t>
        </is>
      </c>
      <c r="K149" s="2" t="n">
        <v>1752</v>
      </c>
      <c r="L149" s="2" t="n">
        <v>771</v>
      </c>
      <c r="M149" s="2" t="n">
        <v>1443</v>
      </c>
      <c r="N149" s="2" t="b">
        <v>1</v>
      </c>
      <c r="O149" s="2" t="b">
        <v>0</v>
      </c>
      <c r="P149" s="2" t="inlineStr">
        <is>
          <t>aaaa 1301 1302 1303 c02b c02f c02c c030 cca9 cca8 c013 c014 009c 009d 002f 0035</t>
        </is>
      </c>
      <c r="Q149" s="2" t="inlineStr"/>
      <c r="R149" s="2" t="inlineStr">
        <is>
          <t>violation</t>
        </is>
      </c>
      <c r="S149" s="2" t="inlineStr">
        <is>
          <t>violation</t>
        </is>
      </c>
      <c r="T149" s="2">
        <f>K149=E149</f>
        <v/>
      </c>
      <c r="U149" s="2">
        <f>L149=F149</f>
        <v/>
      </c>
      <c r="V149" s="2">
        <f>IF(N149,EXACT(P149,G149),"")</f>
        <v/>
      </c>
      <c r="W149" s="2">
        <f>IF(O149,EXACT(Q149,H149),"")</f>
        <v/>
      </c>
      <c r="X149" s="2">
        <f>J149=C149</f>
        <v/>
      </c>
      <c r="Y149" s="2">
        <f>IF(R149="unknown","",R149=S149)</f>
        <v/>
      </c>
      <c r="Z149" s="2" t="inlineStr">
        <is>
          <t>A</t>
        </is>
      </c>
      <c r="AA149" s="2" t="inlineStr">
        <is>
          <t>A</t>
        </is>
      </c>
      <c r="AB149" s="2">
        <f>AND(N149,O149,A149&lt;&gt;"census-mixed")</f>
        <v/>
      </c>
      <c r="AC149" s="2">
        <f>IF(AB149,Z149=AA149,"")</f>
        <v/>
      </c>
    </row>
    <row r="150">
      <c r="A150" s="2" t="inlineStr">
        <is>
          <t>census</t>
        </is>
      </c>
      <c r="B150" s="2" t="inlineStr">
        <is>
          <t>browser chrome124</t>
        </is>
      </c>
      <c r="C150" s="2" t="inlineStr">
        <is>
          <t>skb-eval-8352-c5149</t>
        </is>
      </c>
      <c r="D150" s="2" t="n">
        <v>5149</v>
      </c>
      <c r="E150" s="2" t="n">
        <v>1720</v>
      </c>
      <c r="F150" s="2" t="n">
        <v>771</v>
      </c>
      <c r="G150" s="2" t="inlineStr">
        <is>
          <t>aaaa 1301 1302 1303 c02b c02f c02c c030 cca9 cca8 c013 c014 009c 009d 002f 0035</t>
        </is>
      </c>
      <c r="H150" s="2" t="inlineStr">
        <is>
          <t>caca 0304 0303</t>
        </is>
      </c>
      <c r="I150" s="2" t="n">
        <v>1</v>
      </c>
      <c r="J150" s="2" t="inlineStr">
        <is>
          <t>skb-eval-8352-c5149</t>
        </is>
      </c>
      <c r="K150" s="2" t="n">
        <v>1720</v>
      </c>
      <c r="L150" s="2" t="n">
        <v>771</v>
      </c>
      <c r="M150" s="2" t="n">
        <v>1443</v>
      </c>
      <c r="N150" s="2" t="b">
        <v>1</v>
      </c>
      <c r="O150" s="2" t="b">
        <v>1</v>
      </c>
      <c r="P150" s="2" t="inlineStr">
        <is>
          <t>aaaa 1301 1302 1303 c02b c02f c02c c030 cca9 cca8 c013 c014 009c 009d 002f 0035</t>
        </is>
      </c>
      <c r="Q150" s="2" t="inlineStr">
        <is>
          <t>caca 0304 0303</t>
        </is>
      </c>
      <c r="R150" s="2" t="inlineStr">
        <is>
          <t>violation</t>
        </is>
      </c>
      <c r="S150" s="2" t="inlineStr">
        <is>
          <t>violation</t>
        </is>
      </c>
      <c r="T150" s="2">
        <f>K150=E150</f>
        <v/>
      </c>
      <c r="U150" s="2">
        <f>L150=F150</f>
        <v/>
      </c>
      <c r="V150" s="2">
        <f>IF(N150,EXACT(P150,G150),"")</f>
        <v/>
      </c>
      <c r="W150" s="2">
        <f>IF(O150,EXACT(Q150,H150),"")</f>
        <v/>
      </c>
      <c r="X150" s="2">
        <f>J150=C150</f>
        <v/>
      </c>
      <c r="Y150" s="2">
        <f>IF(R150="unknown","",R150=S150)</f>
        <v/>
      </c>
      <c r="Z150" s="2" t="inlineStr">
        <is>
          <t>A</t>
        </is>
      </c>
      <c r="AA150" s="2" t="inlineStr">
        <is>
          <t>A</t>
        </is>
      </c>
      <c r="AB150" s="2">
        <f>AND(N150,O150,A150&lt;&gt;"census-mixed")</f>
        <v/>
      </c>
      <c r="AC150" s="2">
        <f>IF(AB150,Z150=AA150,"")</f>
        <v/>
      </c>
    </row>
    <row r="151">
      <c r="A151" s="2" t="inlineStr">
        <is>
          <t>census</t>
        </is>
      </c>
      <c r="B151" s="2" t="inlineStr">
        <is>
          <t>browser chrome124</t>
        </is>
      </c>
      <c r="C151" s="2" t="inlineStr">
        <is>
          <t>skb-eval-8352-c5150</t>
        </is>
      </c>
      <c r="D151" s="2" t="n">
        <v>5150</v>
      </c>
      <c r="E151" s="2" t="n">
        <v>1752</v>
      </c>
      <c r="F151" s="2" t="n">
        <v>771</v>
      </c>
      <c r="G151" s="2" t="inlineStr">
        <is>
          <t>3a3a 1301 1302 1303 c02b c02f c02c c030 cca9 cca8 c013 c014 009c 009d 002f 0035</t>
        </is>
      </c>
      <c r="H151" s="2" t="inlineStr">
        <is>
          <t>2a2a 0304 0303</t>
        </is>
      </c>
      <c r="I151" s="2" t="n">
        <v>1</v>
      </c>
      <c r="J151" s="2" t="inlineStr">
        <is>
          <t>skb-eval-8352-c5150</t>
        </is>
      </c>
      <c r="K151" s="2" t="n">
        <v>1752</v>
      </c>
      <c r="L151" s="2" t="n">
        <v>771</v>
      </c>
      <c r="M151" s="2" t="n">
        <v>1443</v>
      </c>
      <c r="N151" s="2" t="b">
        <v>1</v>
      </c>
      <c r="O151" s="2" t="b">
        <v>1</v>
      </c>
      <c r="P151" s="2" t="inlineStr">
        <is>
          <t>3a3a 1301 1302 1303 c02b c02f c02c c030 cca9 cca8 c013 c014 009c 009d 002f 0035</t>
        </is>
      </c>
      <c r="Q151" s="2" t="inlineStr">
        <is>
          <t>2a2a 0304 0303</t>
        </is>
      </c>
      <c r="R151" s="2" t="inlineStr">
        <is>
          <t>violation</t>
        </is>
      </c>
      <c r="S151" s="2" t="inlineStr">
        <is>
          <t>violation</t>
        </is>
      </c>
      <c r="T151" s="2">
        <f>K151=E151</f>
        <v/>
      </c>
      <c r="U151" s="2">
        <f>L151=F151</f>
        <v/>
      </c>
      <c r="V151" s="2">
        <f>IF(N151,EXACT(P151,G151),"")</f>
        <v/>
      </c>
      <c r="W151" s="2">
        <f>IF(O151,EXACT(Q151,H151),"")</f>
        <v/>
      </c>
      <c r="X151" s="2">
        <f>J151=C151</f>
        <v/>
      </c>
      <c r="Y151" s="2">
        <f>IF(R151="unknown","",R151=S151)</f>
        <v/>
      </c>
      <c r="Z151" s="2" t="inlineStr">
        <is>
          <t>A</t>
        </is>
      </c>
      <c r="AA151" s="2" t="inlineStr">
        <is>
          <t>A</t>
        </is>
      </c>
      <c r="AB151" s="2">
        <f>AND(N151,O151,A151&lt;&gt;"census-mixed")</f>
        <v/>
      </c>
      <c r="AC151" s="2">
        <f>IF(AB151,Z151=AA151,"")</f>
        <v/>
      </c>
    </row>
    <row r="152">
      <c r="A152" s="2" t="inlineStr">
        <is>
          <t>census</t>
        </is>
      </c>
      <c r="B152" s="2" t="inlineStr">
        <is>
          <t>browser chrome131</t>
        </is>
      </c>
      <c r="C152" s="2" t="inlineStr">
        <is>
          <t>skb-eval-8352-c5151</t>
        </is>
      </c>
      <c r="D152" s="2" t="n">
        <v>5151</v>
      </c>
      <c r="E152" s="2" t="n">
        <v>1720</v>
      </c>
      <c r="F152" s="2" t="n">
        <v>771</v>
      </c>
      <c r="G152" s="2" t="inlineStr">
        <is>
          <t>3a3a 1301 1302 1303 c02b c02f c02c c030 cca9 cca8 c013 c014 009c 009d 002f 0035</t>
        </is>
      </c>
      <c r="H152" s="2" t="inlineStr">
        <is>
          <t>0a0a 0304 0303</t>
        </is>
      </c>
      <c r="I152" s="2" t="n">
        <v>1</v>
      </c>
      <c r="J152" s="2" t="inlineStr">
        <is>
          <t>skb-eval-8352-c5151</t>
        </is>
      </c>
      <c r="K152" s="2" t="n">
        <v>1720</v>
      </c>
      <c r="L152" s="2" t="n">
        <v>771</v>
      </c>
      <c r="M152" s="2" t="n">
        <v>1443</v>
      </c>
      <c r="N152" s="2" t="b">
        <v>1</v>
      </c>
      <c r="O152" s="2" t="b">
        <v>1</v>
      </c>
      <c r="P152" s="2" t="inlineStr">
        <is>
          <t>3a3a 1301 1302 1303 c02b c02f c02c c030 cca9 cca8 c013 c014 009c 009d 002f 0035</t>
        </is>
      </c>
      <c r="Q152" s="2" t="inlineStr">
        <is>
          <t>0a0a 0304 0303</t>
        </is>
      </c>
      <c r="R152" s="2" t="inlineStr">
        <is>
          <t>violation</t>
        </is>
      </c>
      <c r="S152" s="2" t="inlineStr">
        <is>
          <t>violation</t>
        </is>
      </c>
      <c r="T152" s="2">
        <f>K152=E152</f>
        <v/>
      </c>
      <c r="U152" s="2">
        <f>L152=F152</f>
        <v/>
      </c>
      <c r="V152" s="2">
        <f>IF(N152,EXACT(P152,G152),"")</f>
        <v/>
      </c>
      <c r="W152" s="2">
        <f>IF(O152,EXACT(Q152,H152),"")</f>
        <v/>
      </c>
      <c r="X152" s="2">
        <f>J152=C152</f>
        <v/>
      </c>
      <c r="Y152" s="2">
        <f>IF(R152="unknown","",R152=S152)</f>
        <v/>
      </c>
      <c r="Z152" s="2" t="inlineStr">
        <is>
          <t>A</t>
        </is>
      </c>
      <c r="AA152" s="2" t="inlineStr">
        <is>
          <t>A</t>
        </is>
      </c>
      <c r="AB152" s="2">
        <f>AND(N152,O152,A152&lt;&gt;"census-mixed")</f>
        <v/>
      </c>
      <c r="AC152" s="2">
        <f>IF(AB152,Z152=AA152,"")</f>
        <v/>
      </c>
    </row>
    <row r="153">
      <c r="A153" s="2" t="inlineStr">
        <is>
          <t>census</t>
        </is>
      </c>
      <c r="B153" s="2" t="inlineStr">
        <is>
          <t>browser chrome131</t>
        </is>
      </c>
      <c r="C153" s="2" t="inlineStr">
        <is>
          <t>skb-eval-8352-c5152</t>
        </is>
      </c>
      <c r="D153" s="2" t="n">
        <v>5152</v>
      </c>
      <c r="E153" s="2" t="n">
        <v>1784</v>
      </c>
      <c r="F153" s="2" t="n">
        <v>771</v>
      </c>
      <c r="G153" s="2" t="inlineStr">
        <is>
          <t>0a0a 1301 1302 1303 c02b c02f c02c c030 cca9 cca8 c013 c014 009c 009d 002f 0035</t>
        </is>
      </c>
      <c r="H153" s="2" t="inlineStr">
        <is>
          <t>5a5a 0304 0303</t>
        </is>
      </c>
      <c r="I153" s="2" t="n">
        <v>1</v>
      </c>
      <c r="J153" s="2" t="inlineStr">
        <is>
          <t>skb-eval-8352-c5152</t>
        </is>
      </c>
      <c r="K153" s="2" t="n">
        <v>1784</v>
      </c>
      <c r="L153" s="2" t="n">
        <v>771</v>
      </c>
      <c r="M153" s="2" t="n">
        <v>1443</v>
      </c>
      <c r="N153" s="2" t="b">
        <v>1</v>
      </c>
      <c r="O153" s="2" t="b">
        <v>0</v>
      </c>
      <c r="P153" s="2" t="inlineStr">
        <is>
          <t>0a0a 1301 1302 1303 c02b c02f c02c c030 cca9 cca8 c013 c014 009c 009d 002f 0035</t>
        </is>
      </c>
      <c r="Q153" s="2" t="inlineStr"/>
      <c r="R153" s="2" t="inlineStr">
        <is>
          <t>violation</t>
        </is>
      </c>
      <c r="S153" s="2" t="inlineStr">
        <is>
          <t>violation</t>
        </is>
      </c>
      <c r="T153" s="2">
        <f>K153=E153</f>
        <v/>
      </c>
      <c r="U153" s="2">
        <f>L153=F153</f>
        <v/>
      </c>
      <c r="V153" s="2">
        <f>IF(N153,EXACT(P153,G153),"")</f>
        <v/>
      </c>
      <c r="W153" s="2">
        <f>IF(O153,EXACT(Q153,H153),"")</f>
        <v/>
      </c>
      <c r="X153" s="2">
        <f>J153=C153</f>
        <v/>
      </c>
      <c r="Y153" s="2">
        <f>IF(R153="unknown","",R153=S153)</f>
        <v/>
      </c>
      <c r="Z153" s="2" t="inlineStr">
        <is>
          <t>A</t>
        </is>
      </c>
      <c r="AA153" s="2" t="inlineStr">
        <is>
          <t>A</t>
        </is>
      </c>
      <c r="AB153" s="2">
        <f>AND(N153,O153,A153&lt;&gt;"census-mixed")</f>
        <v/>
      </c>
      <c r="AC153" s="2">
        <f>IF(AB153,Z153=AA153,"")</f>
        <v/>
      </c>
    </row>
    <row r="154">
      <c r="A154" s="2" t="inlineStr">
        <is>
          <t>census</t>
        </is>
      </c>
      <c r="B154" s="2" t="inlineStr">
        <is>
          <t>browser chrome131</t>
        </is>
      </c>
      <c r="C154" s="2" t="inlineStr">
        <is>
          <t>skb-eval-8352-c5153</t>
        </is>
      </c>
      <c r="D154" s="2" t="n">
        <v>5153</v>
      </c>
      <c r="E154" s="2" t="n">
        <v>1752</v>
      </c>
      <c r="F154" s="2" t="n">
        <v>771</v>
      </c>
      <c r="G154" s="2" t="inlineStr">
        <is>
          <t>3a3a 1301 1302 1303 c02b c02f c02c c030 cca9 cca8 c013 c014 009c 009d 002f 0035</t>
        </is>
      </c>
      <c r="H154" s="2" t="inlineStr">
        <is>
          <t>6a6a 0304 0303</t>
        </is>
      </c>
      <c r="I154" s="2" t="n">
        <v>1</v>
      </c>
      <c r="J154" s="2" t="inlineStr">
        <is>
          <t>skb-eval-8352-c5153</t>
        </is>
      </c>
      <c r="K154" s="2" t="n">
        <v>1752</v>
      </c>
      <c r="L154" s="2" t="n">
        <v>771</v>
      </c>
      <c r="M154" s="2" t="n">
        <v>1443</v>
      </c>
      <c r="N154" s="2" t="b">
        <v>1</v>
      </c>
      <c r="O154" s="2" t="b">
        <v>1</v>
      </c>
      <c r="P154" s="2" t="inlineStr">
        <is>
          <t>3a3a 1301 1302 1303 c02b c02f c02c c030 cca9 cca8 c013 c014 009c 009d 002f 0035</t>
        </is>
      </c>
      <c r="Q154" s="2" t="inlineStr">
        <is>
          <t>6a6a 0304 0303</t>
        </is>
      </c>
      <c r="R154" s="2" t="inlineStr">
        <is>
          <t>violation</t>
        </is>
      </c>
      <c r="S154" s="2" t="inlineStr">
        <is>
          <t>violation</t>
        </is>
      </c>
      <c r="T154" s="2">
        <f>K154=E154</f>
        <v/>
      </c>
      <c r="U154" s="2">
        <f>L154=F154</f>
        <v/>
      </c>
      <c r="V154" s="2">
        <f>IF(N154,EXACT(P154,G154),"")</f>
        <v/>
      </c>
      <c r="W154" s="2">
        <f>IF(O154,EXACT(Q154,H154),"")</f>
        <v/>
      </c>
      <c r="X154" s="2">
        <f>J154=C154</f>
        <v/>
      </c>
      <c r="Y154" s="2">
        <f>IF(R154="unknown","",R154=S154)</f>
        <v/>
      </c>
      <c r="Z154" s="2" t="inlineStr">
        <is>
          <t>A</t>
        </is>
      </c>
      <c r="AA154" s="2" t="inlineStr">
        <is>
          <t>A</t>
        </is>
      </c>
      <c r="AB154" s="2">
        <f>AND(N154,O154,A154&lt;&gt;"census-mixed")</f>
        <v/>
      </c>
      <c r="AC154" s="2">
        <f>IF(AB154,Z154=AA154,"")</f>
        <v/>
      </c>
    </row>
    <row r="155">
      <c r="A155" s="2" t="inlineStr">
        <is>
          <t>census</t>
        </is>
      </c>
      <c r="B155" s="2" t="inlineStr">
        <is>
          <t>browser chrome131</t>
        </is>
      </c>
      <c r="C155" s="2" t="inlineStr">
        <is>
          <t>skb-eval-8352-c5154</t>
        </is>
      </c>
      <c r="D155" s="2" t="n">
        <v>5154</v>
      </c>
      <c r="E155" s="2" t="n">
        <v>1784</v>
      </c>
      <c r="F155" s="2" t="n">
        <v>771</v>
      </c>
      <c r="G155" s="2" t="inlineStr">
        <is>
          <t>caca 1301 1302 1303 c02b c02f c02c c030 cca9 cca8 c013 c014 009c 009d 002f 0035</t>
        </is>
      </c>
      <c r="H155" s="2" t="inlineStr">
        <is>
          <t>fafa 0304 0303</t>
        </is>
      </c>
      <c r="I155" s="2" t="n">
        <v>1</v>
      </c>
      <c r="J155" s="2" t="inlineStr">
        <is>
          <t>skb-eval-8352-c5154</t>
        </is>
      </c>
      <c r="K155" s="2" t="n">
        <v>1784</v>
      </c>
      <c r="L155" s="2" t="n">
        <v>771</v>
      </c>
      <c r="M155" s="2" t="n">
        <v>1443</v>
      </c>
      <c r="N155" s="2" t="b">
        <v>1</v>
      </c>
      <c r="O155" s="2" t="b">
        <v>1</v>
      </c>
      <c r="P155" s="2" t="inlineStr">
        <is>
          <t>caca 1301 1302 1303 c02b c02f c02c c030 cca9 cca8 c013 c014 009c 009d 002f 0035</t>
        </is>
      </c>
      <c r="Q155" s="2" t="inlineStr">
        <is>
          <t>fafa 0304 0303</t>
        </is>
      </c>
      <c r="R155" s="2" t="inlineStr">
        <is>
          <t>violation</t>
        </is>
      </c>
      <c r="S155" s="2" t="inlineStr">
        <is>
          <t>violation</t>
        </is>
      </c>
      <c r="T155" s="2">
        <f>K155=E155</f>
        <v/>
      </c>
      <c r="U155" s="2">
        <f>L155=F155</f>
        <v/>
      </c>
      <c r="V155" s="2">
        <f>IF(N155,EXACT(P155,G155),"")</f>
        <v/>
      </c>
      <c r="W155" s="2">
        <f>IF(O155,EXACT(Q155,H155),"")</f>
        <v/>
      </c>
      <c r="X155" s="2">
        <f>J155=C155</f>
        <v/>
      </c>
      <c r="Y155" s="2">
        <f>IF(R155="unknown","",R155=S155)</f>
        <v/>
      </c>
      <c r="Z155" s="2" t="inlineStr">
        <is>
          <t>A</t>
        </is>
      </c>
      <c r="AA155" s="2" t="inlineStr">
        <is>
          <t>A</t>
        </is>
      </c>
      <c r="AB155" s="2">
        <f>AND(N155,O155,A155&lt;&gt;"census-mixed")</f>
        <v/>
      </c>
      <c r="AC155" s="2">
        <f>IF(AB155,Z155=AA155,"")</f>
        <v/>
      </c>
    </row>
    <row r="156">
      <c r="A156" s="2" t="inlineStr">
        <is>
          <t>census</t>
        </is>
      </c>
      <c r="B156" s="2" t="inlineStr">
        <is>
          <t>browser chrome131</t>
        </is>
      </c>
      <c r="C156" s="2" t="inlineStr">
        <is>
          <t>skb-eval-8352-c5155</t>
        </is>
      </c>
      <c r="D156" s="2" t="n">
        <v>5155</v>
      </c>
      <c r="E156" s="2" t="n">
        <v>1720</v>
      </c>
      <c r="F156" s="2" t="n">
        <v>771</v>
      </c>
      <c r="G156" s="2" t="inlineStr">
        <is>
          <t>3a3a 1301 1302 1303 c02b c02f c02c c030 cca9 cca8 c013 c014 009c 009d 002f 0035</t>
        </is>
      </c>
      <c r="H156" s="2" t="inlineStr">
        <is>
          <t>0a0a 0304 0303</t>
        </is>
      </c>
      <c r="I156" s="2" t="n">
        <v>1</v>
      </c>
      <c r="J156" s="2" t="inlineStr">
        <is>
          <t>skb-eval-8352-c5155</t>
        </is>
      </c>
      <c r="K156" s="2" t="n">
        <v>1720</v>
      </c>
      <c r="L156" s="2" t="n">
        <v>771</v>
      </c>
      <c r="M156" s="2" t="n">
        <v>1443</v>
      </c>
      <c r="N156" s="2" t="b">
        <v>1</v>
      </c>
      <c r="O156" s="2" t="b">
        <v>0</v>
      </c>
      <c r="P156" s="2" t="inlineStr">
        <is>
          <t>3a3a 1301 1302 1303 c02b c02f c02c c030 cca9 cca8 c013 c014 009c 009d 002f 0035</t>
        </is>
      </c>
      <c r="Q156" s="2" t="inlineStr">
        <is>
          <t>0a0a 0304</t>
        </is>
      </c>
      <c r="R156" s="2" t="inlineStr">
        <is>
          <t>violation</t>
        </is>
      </c>
      <c r="S156" s="2" t="inlineStr">
        <is>
          <t>violation</t>
        </is>
      </c>
      <c r="T156" s="2">
        <f>K156=E156</f>
        <v/>
      </c>
      <c r="U156" s="2">
        <f>L156=F156</f>
        <v/>
      </c>
      <c r="V156" s="2">
        <f>IF(N156,EXACT(P156,G156),"")</f>
        <v/>
      </c>
      <c r="W156" s="2">
        <f>IF(O156,EXACT(Q156,H156),"")</f>
        <v/>
      </c>
      <c r="X156" s="2">
        <f>J156=C156</f>
        <v/>
      </c>
      <c r="Y156" s="2">
        <f>IF(R156="unknown","",R156=S156)</f>
        <v/>
      </c>
      <c r="Z156" s="2" t="inlineStr">
        <is>
          <t>A</t>
        </is>
      </c>
      <c r="AA156" s="2" t="inlineStr">
        <is>
          <t>A</t>
        </is>
      </c>
      <c r="AB156" s="2">
        <f>AND(N156,O156,A156&lt;&gt;"census-mixed")</f>
        <v/>
      </c>
      <c r="AC156" s="2">
        <f>IF(AB156,Z156=AA156,"")</f>
        <v/>
      </c>
    </row>
    <row r="157">
      <c r="A157" s="2" t="inlineStr">
        <is>
          <t>census</t>
        </is>
      </c>
      <c r="B157" s="2" t="inlineStr">
        <is>
          <t>browser chrome131</t>
        </is>
      </c>
      <c r="C157" s="2" t="inlineStr">
        <is>
          <t>skb-eval-8352-c5156</t>
        </is>
      </c>
      <c r="D157" s="2" t="n">
        <v>5156</v>
      </c>
      <c r="E157" s="2" t="n">
        <v>1720</v>
      </c>
      <c r="F157" s="2" t="n">
        <v>771</v>
      </c>
      <c r="G157" s="2" t="inlineStr">
        <is>
          <t>eaea 1301 1302 1303 c02b c02f c02c c030 cca9 cca8 c013 c014 009c 009d 002f 0035</t>
        </is>
      </c>
      <c r="H157" s="2" t="inlineStr">
        <is>
          <t>aaaa 0304 0303</t>
        </is>
      </c>
      <c r="I157" s="2" t="n">
        <v>1</v>
      </c>
      <c r="J157" s="2" t="inlineStr">
        <is>
          <t>skb-eval-8352-c5156</t>
        </is>
      </c>
      <c r="K157" s="2" t="n">
        <v>1720</v>
      </c>
      <c r="L157" s="2" t="n">
        <v>771</v>
      </c>
      <c r="M157" s="2" t="n">
        <v>1443</v>
      </c>
      <c r="N157" s="2" t="b">
        <v>1</v>
      </c>
      <c r="O157" s="2" t="b">
        <v>0</v>
      </c>
      <c r="P157" s="2" t="inlineStr">
        <is>
          <t>eaea 1301 1302 1303 c02b c02f c02c c030 cca9 cca8 c013 c014 009c 009d 002f 0035</t>
        </is>
      </c>
      <c r="Q157" s="2" t="inlineStr"/>
      <c r="R157" s="2" t="inlineStr">
        <is>
          <t>violation</t>
        </is>
      </c>
      <c r="S157" s="2" t="inlineStr">
        <is>
          <t>violation</t>
        </is>
      </c>
      <c r="T157" s="2">
        <f>K157=E157</f>
        <v/>
      </c>
      <c r="U157" s="2">
        <f>L157=F157</f>
        <v/>
      </c>
      <c r="V157" s="2">
        <f>IF(N157,EXACT(P157,G157),"")</f>
        <v/>
      </c>
      <c r="W157" s="2">
        <f>IF(O157,EXACT(Q157,H157),"")</f>
        <v/>
      </c>
      <c r="X157" s="2">
        <f>J157=C157</f>
        <v/>
      </c>
      <c r="Y157" s="2">
        <f>IF(R157="unknown","",R157=S157)</f>
        <v/>
      </c>
      <c r="Z157" s="2" t="inlineStr">
        <is>
          <t>A</t>
        </is>
      </c>
      <c r="AA157" s="2" t="inlineStr">
        <is>
          <t>A</t>
        </is>
      </c>
      <c r="AB157" s="2">
        <f>AND(N157,O157,A157&lt;&gt;"census-mixed")</f>
        <v/>
      </c>
      <c r="AC157" s="2">
        <f>IF(AB157,Z157=AA157,"")</f>
        <v/>
      </c>
    </row>
    <row r="158">
      <c r="A158" s="2" t="inlineStr">
        <is>
          <t>census</t>
        </is>
      </c>
      <c r="B158" s="2" t="inlineStr">
        <is>
          <t>browser chrome131</t>
        </is>
      </c>
      <c r="C158" s="2" t="inlineStr">
        <is>
          <t>skb-eval-8352-c5157</t>
        </is>
      </c>
      <c r="D158" s="2" t="n">
        <v>5157</v>
      </c>
      <c r="E158" s="2" t="n">
        <v>1784</v>
      </c>
      <c r="F158" s="2" t="n">
        <v>771</v>
      </c>
      <c r="G158" s="2" t="inlineStr">
        <is>
          <t>7a7a 1301 1302 1303 c02b c02f c02c c030 cca9 cca8 c013 c014 009c 009d 002f 0035</t>
        </is>
      </c>
      <c r="H158" s="2" t="inlineStr">
        <is>
          <t>0a0a 0304 0303</t>
        </is>
      </c>
      <c r="I158" s="2" t="n">
        <v>1</v>
      </c>
      <c r="J158" s="2" t="inlineStr">
        <is>
          <t>skb-eval-8352-c5157</t>
        </is>
      </c>
      <c r="K158" s="2" t="n">
        <v>1784</v>
      </c>
      <c r="L158" s="2" t="n">
        <v>771</v>
      </c>
      <c r="M158" s="2" t="n">
        <v>1443</v>
      </c>
      <c r="N158" s="2" t="b">
        <v>1</v>
      </c>
      <c r="O158" s="2" t="b">
        <v>1</v>
      </c>
      <c r="P158" s="2" t="inlineStr">
        <is>
          <t>7a7a 1301 1302 1303 c02b c02f c02c c030 cca9 cca8 c013 c014 009c 009d 002f 0035</t>
        </is>
      </c>
      <c r="Q158" s="2" t="inlineStr">
        <is>
          <t>0a0a 0304 0303</t>
        </is>
      </c>
      <c r="R158" s="2" t="inlineStr">
        <is>
          <t>violation</t>
        </is>
      </c>
      <c r="S158" s="2" t="inlineStr">
        <is>
          <t>violation</t>
        </is>
      </c>
      <c r="T158" s="2">
        <f>K158=E158</f>
        <v/>
      </c>
      <c r="U158" s="2">
        <f>L158=F158</f>
        <v/>
      </c>
      <c r="V158" s="2">
        <f>IF(N158,EXACT(P158,G158),"")</f>
        <v/>
      </c>
      <c r="W158" s="2">
        <f>IF(O158,EXACT(Q158,H158),"")</f>
        <v/>
      </c>
      <c r="X158" s="2">
        <f>J158=C158</f>
        <v/>
      </c>
      <c r="Y158" s="2">
        <f>IF(R158="unknown","",R158=S158)</f>
        <v/>
      </c>
      <c r="Z158" s="2" t="inlineStr">
        <is>
          <t>A</t>
        </is>
      </c>
      <c r="AA158" s="2" t="inlineStr">
        <is>
          <t>A</t>
        </is>
      </c>
      <c r="AB158" s="2">
        <f>AND(N158,O158,A158&lt;&gt;"census-mixed")</f>
        <v/>
      </c>
      <c r="AC158" s="2">
        <f>IF(AB158,Z158=AA158,"")</f>
        <v/>
      </c>
    </row>
    <row r="159">
      <c r="A159" s="2" t="inlineStr">
        <is>
          <t>census</t>
        </is>
      </c>
      <c r="B159" s="2" t="inlineStr">
        <is>
          <t>browser chrome131</t>
        </is>
      </c>
      <c r="C159" s="2" t="inlineStr">
        <is>
          <t>skb-eval-8352-c5158</t>
        </is>
      </c>
      <c r="D159" s="2" t="n">
        <v>5158</v>
      </c>
      <c r="E159" s="2" t="n">
        <v>1816</v>
      </c>
      <c r="F159" s="2" t="n">
        <v>771</v>
      </c>
      <c r="G159" s="2" t="inlineStr">
        <is>
          <t>aaaa 1301 1302 1303 c02b c02f c02c c030 cca9 cca8 c013 c014 009c 009d 002f 0035</t>
        </is>
      </c>
      <c r="H159" s="2" t="inlineStr">
        <is>
          <t>7a7a 0304 0303</t>
        </is>
      </c>
      <c r="I159" s="2" t="n">
        <v>1</v>
      </c>
      <c r="J159" s="2" t="inlineStr">
        <is>
          <t>skb-eval-8352-c5158</t>
        </is>
      </c>
      <c r="K159" s="2" t="n">
        <v>1816</v>
      </c>
      <c r="L159" s="2" t="n">
        <v>771</v>
      </c>
      <c r="M159" s="2" t="n">
        <v>1443</v>
      </c>
      <c r="N159" s="2" t="b">
        <v>1</v>
      </c>
      <c r="O159" s="2" t="b">
        <v>1</v>
      </c>
      <c r="P159" s="2" t="inlineStr">
        <is>
          <t>aaaa 1301 1302 1303 c02b c02f c02c c030 cca9 cca8 c013 c014 009c 009d 002f 0035</t>
        </is>
      </c>
      <c r="Q159" s="2" t="inlineStr">
        <is>
          <t>7a7a 0304 0303</t>
        </is>
      </c>
      <c r="R159" s="2" t="inlineStr">
        <is>
          <t>violation</t>
        </is>
      </c>
      <c r="S159" s="2" t="inlineStr">
        <is>
          <t>violation</t>
        </is>
      </c>
      <c r="T159" s="2">
        <f>K159=E159</f>
        <v/>
      </c>
      <c r="U159" s="2">
        <f>L159=F159</f>
        <v/>
      </c>
      <c r="V159" s="2">
        <f>IF(N159,EXACT(P159,G159),"")</f>
        <v/>
      </c>
      <c r="W159" s="2">
        <f>IF(O159,EXACT(Q159,H159),"")</f>
        <v/>
      </c>
      <c r="X159" s="2">
        <f>J159=C159</f>
        <v/>
      </c>
      <c r="Y159" s="2">
        <f>IF(R159="unknown","",R159=S159)</f>
        <v/>
      </c>
      <c r="Z159" s="2" t="inlineStr">
        <is>
          <t>A</t>
        </is>
      </c>
      <c r="AA159" s="2" t="inlineStr">
        <is>
          <t>A</t>
        </is>
      </c>
      <c r="AB159" s="2">
        <f>AND(N159,O159,A159&lt;&gt;"census-mixed")</f>
        <v/>
      </c>
      <c r="AC159" s="2">
        <f>IF(AB159,Z159=AA159,"")</f>
        <v/>
      </c>
    </row>
    <row r="160">
      <c r="A160" s="2" t="inlineStr">
        <is>
          <t>census</t>
        </is>
      </c>
      <c r="B160" s="2" t="inlineStr">
        <is>
          <t>browser chrome131</t>
        </is>
      </c>
      <c r="C160" s="2" t="inlineStr">
        <is>
          <t>skb-eval-8352-c5159</t>
        </is>
      </c>
      <c r="D160" s="2" t="n">
        <v>5159</v>
      </c>
      <c r="E160" s="2" t="n">
        <v>1784</v>
      </c>
      <c r="F160" s="2" t="n">
        <v>771</v>
      </c>
      <c r="G160" s="2" t="inlineStr">
        <is>
          <t>aaaa 1301 1302 1303 c02b c02f c02c c030 cca9 cca8 c013 c014 009c 009d 002f 0035</t>
        </is>
      </c>
      <c r="H160" s="2" t="inlineStr">
        <is>
          <t>baba 0304 0303</t>
        </is>
      </c>
      <c r="I160" s="2" t="n">
        <v>1</v>
      </c>
      <c r="J160" s="2" t="inlineStr">
        <is>
          <t>skb-eval-8352-c5159</t>
        </is>
      </c>
      <c r="K160" s="2" t="n">
        <v>1784</v>
      </c>
      <c r="L160" s="2" t="n">
        <v>771</v>
      </c>
      <c r="M160" s="2" t="n">
        <v>1443</v>
      </c>
      <c r="N160" s="2" t="b">
        <v>1</v>
      </c>
      <c r="O160" s="2" t="b">
        <v>1</v>
      </c>
      <c r="P160" s="2" t="inlineStr">
        <is>
          <t>aaaa 1301 1302 1303 c02b c02f c02c c030 cca9 cca8 c013 c014 009c 009d 002f 0035</t>
        </is>
      </c>
      <c r="Q160" s="2" t="inlineStr">
        <is>
          <t>baba 0304 0303</t>
        </is>
      </c>
      <c r="R160" s="2" t="inlineStr">
        <is>
          <t>violation</t>
        </is>
      </c>
      <c r="S160" s="2" t="inlineStr">
        <is>
          <t>violation</t>
        </is>
      </c>
      <c r="T160" s="2">
        <f>K160=E160</f>
        <v/>
      </c>
      <c r="U160" s="2">
        <f>L160=F160</f>
        <v/>
      </c>
      <c r="V160" s="2">
        <f>IF(N160,EXACT(P160,G160),"")</f>
        <v/>
      </c>
      <c r="W160" s="2">
        <f>IF(O160,EXACT(Q160,H160),"")</f>
        <v/>
      </c>
      <c r="X160" s="2">
        <f>J160=C160</f>
        <v/>
      </c>
      <c r="Y160" s="2">
        <f>IF(R160="unknown","",R160=S160)</f>
        <v/>
      </c>
      <c r="Z160" s="2" t="inlineStr">
        <is>
          <t>A</t>
        </is>
      </c>
      <c r="AA160" s="2" t="inlineStr">
        <is>
          <t>A</t>
        </is>
      </c>
      <c r="AB160" s="2">
        <f>AND(N160,O160,A160&lt;&gt;"census-mixed")</f>
        <v/>
      </c>
      <c r="AC160" s="2">
        <f>IF(AB160,Z160=AA160,"")</f>
        <v/>
      </c>
    </row>
    <row r="161">
      <c r="A161" s="2" t="inlineStr">
        <is>
          <t>census</t>
        </is>
      </c>
      <c r="B161" s="2" t="inlineStr">
        <is>
          <t>browser chrome131</t>
        </is>
      </c>
      <c r="C161" s="2" t="inlineStr">
        <is>
          <t>skb-eval-8352-c5160</t>
        </is>
      </c>
      <c r="D161" s="2" t="n">
        <v>5160</v>
      </c>
      <c r="E161" s="2" t="n">
        <v>1752</v>
      </c>
      <c r="F161" s="2" t="n">
        <v>771</v>
      </c>
      <c r="G161" s="2" t="inlineStr">
        <is>
          <t>6a6a 1301 1302 1303 c02b c02f c02c c030 cca9 cca8 c013 c014 009c 009d 002f 0035</t>
        </is>
      </c>
      <c r="H161" s="2" t="inlineStr">
        <is>
          <t>3a3a 0304 0303</t>
        </is>
      </c>
      <c r="I161" s="2" t="n">
        <v>1</v>
      </c>
      <c r="J161" s="2" t="inlineStr">
        <is>
          <t>skb-eval-8352-c5160</t>
        </is>
      </c>
      <c r="K161" s="2" t="n">
        <v>1752</v>
      </c>
      <c r="L161" s="2" t="n">
        <v>771</v>
      </c>
      <c r="M161" s="2" t="n">
        <v>1443</v>
      </c>
      <c r="N161" s="2" t="b">
        <v>1</v>
      </c>
      <c r="O161" s="2" t="b">
        <v>1</v>
      </c>
      <c r="P161" s="2" t="inlineStr">
        <is>
          <t>6a6a 1301 1302 1303 c02b c02f c02c c030 cca9 cca8 c013 c014 009c 009d 002f 0035</t>
        </is>
      </c>
      <c r="Q161" s="2" t="inlineStr">
        <is>
          <t>3a3a 0304 0303</t>
        </is>
      </c>
      <c r="R161" s="2" t="inlineStr">
        <is>
          <t>violation</t>
        </is>
      </c>
      <c r="S161" s="2" t="inlineStr">
        <is>
          <t>violation</t>
        </is>
      </c>
      <c r="T161" s="2">
        <f>K161=E161</f>
        <v/>
      </c>
      <c r="U161" s="2">
        <f>L161=F161</f>
        <v/>
      </c>
      <c r="V161" s="2">
        <f>IF(N161,EXACT(P161,G161),"")</f>
        <v/>
      </c>
      <c r="W161" s="2">
        <f>IF(O161,EXACT(Q161,H161),"")</f>
        <v/>
      </c>
      <c r="X161" s="2">
        <f>J161=C161</f>
        <v/>
      </c>
      <c r="Y161" s="2">
        <f>IF(R161="unknown","",R161=S161)</f>
        <v/>
      </c>
      <c r="Z161" s="2" t="inlineStr">
        <is>
          <t>A</t>
        </is>
      </c>
      <c r="AA161" s="2" t="inlineStr">
        <is>
          <t>A</t>
        </is>
      </c>
      <c r="AB161" s="2">
        <f>AND(N161,O161,A161&lt;&gt;"census-mixed")</f>
        <v/>
      </c>
      <c r="AC161" s="2">
        <f>IF(AB161,Z161=AA161,"")</f>
        <v/>
      </c>
    </row>
    <row r="162">
      <c r="A162" s="2" t="inlineStr">
        <is>
          <t>census</t>
        </is>
      </c>
      <c r="B162" s="2" t="inlineStr">
        <is>
          <t>browser chrome150</t>
        </is>
      </c>
      <c r="C162" s="2" t="inlineStr">
        <is>
          <t>skb-eval-8352-c5161</t>
        </is>
      </c>
      <c r="D162" s="2" t="n">
        <v>5161</v>
      </c>
      <c r="E162" s="2" t="n">
        <v>1822</v>
      </c>
      <c r="F162" s="2" t="n">
        <v>771</v>
      </c>
      <c r="G162" s="2" t="inlineStr">
        <is>
          <t>0a0a 1301 1302 1303 c02b c02f c02c c030 cca9 cca8 c013 c014 009c 009d 002f 0035</t>
        </is>
      </c>
      <c r="H162" s="2" t="inlineStr">
        <is>
          <t>5a5a 0304 0303</t>
        </is>
      </c>
      <c r="I162" s="2" t="n">
        <v>1</v>
      </c>
      <c r="J162" s="2" t="inlineStr">
        <is>
          <t>skb-eval-8352-c5161</t>
        </is>
      </c>
      <c r="K162" s="2" t="n">
        <v>1822</v>
      </c>
      <c r="L162" s="2" t="n">
        <v>771</v>
      </c>
      <c r="M162" s="2" t="n">
        <v>1443</v>
      </c>
      <c r="N162" s="2" t="b">
        <v>1</v>
      </c>
      <c r="O162" s="2" t="b">
        <v>1</v>
      </c>
      <c r="P162" s="2" t="inlineStr">
        <is>
          <t>0a0a 1301 1302 1303 c02b c02f c02c c030 cca9 cca8 c013 c014 009c 009d 002f 0035</t>
        </is>
      </c>
      <c r="Q162" s="2" t="inlineStr">
        <is>
          <t>5a5a 0304 0303</t>
        </is>
      </c>
      <c r="R162" s="2" t="inlineStr">
        <is>
          <t>violation</t>
        </is>
      </c>
      <c r="S162" s="2" t="inlineStr">
        <is>
          <t>violation</t>
        </is>
      </c>
      <c r="T162" s="2">
        <f>K162=E162</f>
        <v/>
      </c>
      <c r="U162" s="2">
        <f>L162=F162</f>
        <v/>
      </c>
      <c r="V162" s="2">
        <f>IF(N162,EXACT(P162,G162),"")</f>
        <v/>
      </c>
      <c r="W162" s="2">
        <f>IF(O162,EXACT(Q162,H162),"")</f>
        <v/>
      </c>
      <c r="X162" s="2">
        <f>J162=C162</f>
        <v/>
      </c>
      <c r="Y162" s="2">
        <f>IF(R162="unknown","",R162=S162)</f>
        <v/>
      </c>
      <c r="Z162" s="2" t="inlineStr">
        <is>
          <t>A</t>
        </is>
      </c>
      <c r="AA162" s="2" t="inlineStr">
        <is>
          <t>A</t>
        </is>
      </c>
      <c r="AB162" s="2">
        <f>AND(N162,O162,A162&lt;&gt;"census-mixed")</f>
        <v/>
      </c>
      <c r="AC162" s="2">
        <f>IF(AB162,Z162=AA162,"")</f>
        <v/>
      </c>
    </row>
    <row r="163">
      <c r="A163" s="2" t="inlineStr">
        <is>
          <t>census</t>
        </is>
      </c>
      <c r="B163" s="2" t="inlineStr">
        <is>
          <t>browser chrome150</t>
        </is>
      </c>
      <c r="C163" s="2" t="inlineStr">
        <is>
          <t>skb-eval-8352-c5162</t>
        </is>
      </c>
      <c r="D163" s="2" t="n">
        <v>5162</v>
      </c>
      <c r="E163" s="2" t="n">
        <v>1822</v>
      </c>
      <c r="F163" s="2" t="n">
        <v>771</v>
      </c>
      <c r="G163" s="2" t="inlineStr">
        <is>
          <t>caca 1301 1302 1303 c02b c02f c02c c030 cca9 cca8 c013 c014 009c 009d 002f 0035</t>
        </is>
      </c>
      <c r="H163" s="2" t="inlineStr">
        <is>
          <t>4a4a 0304 0303</t>
        </is>
      </c>
      <c r="I163" s="2" t="n">
        <v>1</v>
      </c>
      <c r="J163" s="2" t="inlineStr">
        <is>
          <t>skb-eval-8352-c5162</t>
        </is>
      </c>
      <c r="K163" s="2" t="n">
        <v>1822</v>
      </c>
      <c r="L163" s="2" t="n">
        <v>771</v>
      </c>
      <c r="M163" s="2" t="n">
        <v>1443</v>
      </c>
      <c r="N163" s="2" t="b">
        <v>1</v>
      </c>
      <c r="O163" s="2" t="b">
        <v>1</v>
      </c>
      <c r="P163" s="2" t="inlineStr">
        <is>
          <t>caca 1301 1302 1303 c02b c02f c02c c030 cca9 cca8 c013 c014 009c 009d 002f 0035</t>
        </is>
      </c>
      <c r="Q163" s="2" t="inlineStr">
        <is>
          <t>4a4a 0304 0303</t>
        </is>
      </c>
      <c r="R163" s="2" t="inlineStr">
        <is>
          <t>violation</t>
        </is>
      </c>
      <c r="S163" s="2" t="inlineStr">
        <is>
          <t>violation</t>
        </is>
      </c>
      <c r="T163" s="2">
        <f>K163=E163</f>
        <v/>
      </c>
      <c r="U163" s="2">
        <f>L163=F163</f>
        <v/>
      </c>
      <c r="V163" s="2">
        <f>IF(N163,EXACT(P163,G163),"")</f>
        <v/>
      </c>
      <c r="W163" s="2">
        <f>IF(O163,EXACT(Q163,H163),"")</f>
        <v/>
      </c>
      <c r="X163" s="2">
        <f>J163=C163</f>
        <v/>
      </c>
      <c r="Y163" s="2">
        <f>IF(R163="unknown","",R163=S163)</f>
        <v/>
      </c>
      <c r="Z163" s="2" t="inlineStr">
        <is>
          <t>A</t>
        </is>
      </c>
      <c r="AA163" s="2" t="inlineStr">
        <is>
          <t>A</t>
        </is>
      </c>
      <c r="AB163" s="2">
        <f>AND(N163,O163,A163&lt;&gt;"census-mixed")</f>
        <v/>
      </c>
      <c r="AC163" s="2">
        <f>IF(AB163,Z163=AA163,"")</f>
        <v/>
      </c>
    </row>
    <row r="164">
      <c r="A164" s="2" t="inlineStr">
        <is>
          <t>census</t>
        </is>
      </c>
      <c r="B164" s="2" t="inlineStr">
        <is>
          <t>browser chrome150</t>
        </is>
      </c>
      <c r="C164" s="2" t="inlineStr">
        <is>
          <t>skb-eval-8352-c5163</t>
        </is>
      </c>
      <c r="D164" s="2" t="n">
        <v>5163</v>
      </c>
      <c r="E164" s="2" t="n">
        <v>1790</v>
      </c>
      <c r="F164" s="2" t="n">
        <v>771</v>
      </c>
      <c r="G164" s="2" t="inlineStr">
        <is>
          <t>dada 1301 1302 1303 c02b c02f c02c c030 cca9 cca8 c013 c014 009c 009d 002f 0035</t>
        </is>
      </c>
      <c r="H164" s="2" t="inlineStr">
        <is>
          <t>9a9a 0304 0303</t>
        </is>
      </c>
      <c r="I164" s="2" t="n">
        <v>1</v>
      </c>
      <c r="J164" s="2" t="inlineStr">
        <is>
          <t>skb-eval-8352-c5163</t>
        </is>
      </c>
      <c r="K164" s="2" t="n">
        <v>1790</v>
      </c>
      <c r="L164" s="2" t="n">
        <v>771</v>
      </c>
      <c r="M164" s="2" t="n">
        <v>1443</v>
      </c>
      <c r="N164" s="2" t="b">
        <v>1</v>
      </c>
      <c r="O164" s="2" t="b">
        <v>0</v>
      </c>
      <c r="P164" s="2" t="inlineStr">
        <is>
          <t>dada 1301 1302 1303 c02b c02f c02c c030 cca9 cca8 c013 c014 009c 009d 002f 0035</t>
        </is>
      </c>
      <c r="Q164" s="2" t="inlineStr">
        <is>
          <t>9a9a</t>
        </is>
      </c>
      <c r="R164" s="2" t="inlineStr">
        <is>
          <t>violation</t>
        </is>
      </c>
      <c r="S164" s="2" t="inlineStr">
        <is>
          <t>violation</t>
        </is>
      </c>
      <c r="T164" s="2">
        <f>K164=E164</f>
        <v/>
      </c>
      <c r="U164" s="2">
        <f>L164=F164</f>
        <v/>
      </c>
      <c r="V164" s="2">
        <f>IF(N164,EXACT(P164,G164),"")</f>
        <v/>
      </c>
      <c r="W164" s="2">
        <f>IF(O164,EXACT(Q164,H164),"")</f>
        <v/>
      </c>
      <c r="X164" s="2">
        <f>J164=C164</f>
        <v/>
      </c>
      <c r="Y164" s="2">
        <f>IF(R164="unknown","",R164=S164)</f>
        <v/>
      </c>
      <c r="Z164" s="2" t="inlineStr">
        <is>
          <t>A</t>
        </is>
      </c>
      <c r="AA164" s="2" t="inlineStr">
        <is>
          <t>A</t>
        </is>
      </c>
      <c r="AB164" s="2">
        <f>AND(N164,O164,A164&lt;&gt;"census-mixed")</f>
        <v/>
      </c>
      <c r="AC164" s="2">
        <f>IF(AB164,Z164=AA164,"")</f>
        <v/>
      </c>
    </row>
    <row r="165">
      <c r="A165" s="2" t="inlineStr">
        <is>
          <t>census</t>
        </is>
      </c>
      <c r="B165" s="2" t="inlineStr">
        <is>
          <t>browser chrome150</t>
        </is>
      </c>
      <c r="C165" s="2" t="inlineStr">
        <is>
          <t>skb-eval-8352-c5164</t>
        </is>
      </c>
      <c r="D165" s="2" t="n">
        <v>5164</v>
      </c>
      <c r="E165" s="2" t="n">
        <v>1822</v>
      </c>
      <c r="F165" s="2" t="n">
        <v>771</v>
      </c>
      <c r="G165" s="2" t="inlineStr">
        <is>
          <t>3a3a 1301 1302 1303 c02b c02f c02c c030 cca9 cca8 c013 c014 009c 009d 002f 0035</t>
        </is>
      </c>
      <c r="H165" s="2" t="inlineStr">
        <is>
          <t>2a2a 0304 0303</t>
        </is>
      </c>
      <c r="I165" s="2" t="n">
        <v>1</v>
      </c>
      <c r="J165" s="2" t="inlineStr">
        <is>
          <t>skb-eval-8352-c5164</t>
        </is>
      </c>
      <c r="K165" s="2" t="n">
        <v>1822</v>
      </c>
      <c r="L165" s="2" t="n">
        <v>771</v>
      </c>
      <c r="M165" s="2" t="n">
        <v>1443</v>
      </c>
      <c r="N165" s="2" t="b">
        <v>1</v>
      </c>
      <c r="O165" s="2" t="b">
        <v>1</v>
      </c>
      <c r="P165" s="2" t="inlineStr">
        <is>
          <t>3a3a 1301 1302 1303 c02b c02f c02c c030 cca9 cca8 c013 c014 009c 009d 002f 0035</t>
        </is>
      </c>
      <c r="Q165" s="2" t="inlineStr">
        <is>
          <t>2a2a 0304 0303</t>
        </is>
      </c>
      <c r="R165" s="2" t="inlineStr">
        <is>
          <t>violation</t>
        </is>
      </c>
      <c r="S165" s="2" t="inlineStr">
        <is>
          <t>violation</t>
        </is>
      </c>
      <c r="T165" s="2">
        <f>K165=E165</f>
        <v/>
      </c>
      <c r="U165" s="2">
        <f>L165=F165</f>
        <v/>
      </c>
      <c r="V165" s="2">
        <f>IF(N165,EXACT(P165,G165),"")</f>
        <v/>
      </c>
      <c r="W165" s="2">
        <f>IF(O165,EXACT(Q165,H165),"")</f>
        <v/>
      </c>
      <c r="X165" s="2">
        <f>J165=C165</f>
        <v/>
      </c>
      <c r="Y165" s="2">
        <f>IF(R165="unknown","",R165=S165)</f>
        <v/>
      </c>
      <c r="Z165" s="2" t="inlineStr">
        <is>
          <t>A</t>
        </is>
      </c>
      <c r="AA165" s="2" t="inlineStr">
        <is>
          <t>A</t>
        </is>
      </c>
      <c r="AB165" s="2">
        <f>AND(N165,O165,A165&lt;&gt;"census-mixed")</f>
        <v/>
      </c>
      <c r="AC165" s="2">
        <f>IF(AB165,Z165=AA165,"")</f>
        <v/>
      </c>
    </row>
    <row r="166">
      <c r="A166" s="2" t="inlineStr">
        <is>
          <t>census</t>
        </is>
      </c>
      <c r="B166" s="2" t="inlineStr">
        <is>
          <t>browser chrome150</t>
        </is>
      </c>
      <c r="C166" s="2" t="inlineStr">
        <is>
          <t>skb-eval-8352-c5165</t>
        </is>
      </c>
      <c r="D166" s="2" t="n">
        <v>5165</v>
      </c>
      <c r="E166" s="2" t="n">
        <v>1726</v>
      </c>
      <c r="F166" s="2" t="n">
        <v>771</v>
      </c>
      <c r="G166" s="2" t="inlineStr">
        <is>
          <t>6a6a 1301 1302 1303 c02b c02f c02c c030 cca9 cca8 c013 c014 009c 009d 002f 0035</t>
        </is>
      </c>
      <c r="H166" s="2" t="inlineStr">
        <is>
          <t>aaaa 0304 0303</t>
        </is>
      </c>
      <c r="I166" s="2" t="n">
        <v>1</v>
      </c>
      <c r="J166" s="2" t="inlineStr">
        <is>
          <t>skb-eval-8352-c5165</t>
        </is>
      </c>
      <c r="K166" s="2" t="n">
        <v>1726</v>
      </c>
      <c r="L166" s="2" t="n">
        <v>771</v>
      </c>
      <c r="M166" s="2" t="n">
        <v>1443</v>
      </c>
      <c r="N166" s="2" t="b">
        <v>1</v>
      </c>
      <c r="O166" s="2" t="b">
        <v>1</v>
      </c>
      <c r="P166" s="2" t="inlineStr">
        <is>
          <t>6a6a 1301 1302 1303 c02b c02f c02c c030 cca9 cca8 c013 c014 009c 009d 002f 0035</t>
        </is>
      </c>
      <c r="Q166" s="2" t="inlineStr">
        <is>
          <t>aaaa 0304 0303</t>
        </is>
      </c>
      <c r="R166" s="2" t="inlineStr">
        <is>
          <t>violation</t>
        </is>
      </c>
      <c r="S166" s="2" t="inlineStr">
        <is>
          <t>violation</t>
        </is>
      </c>
      <c r="T166" s="2">
        <f>K166=E166</f>
        <v/>
      </c>
      <c r="U166" s="2">
        <f>L166=F166</f>
        <v/>
      </c>
      <c r="V166" s="2">
        <f>IF(N166,EXACT(P166,G166),"")</f>
        <v/>
      </c>
      <c r="W166" s="2">
        <f>IF(O166,EXACT(Q166,H166),"")</f>
        <v/>
      </c>
      <c r="X166" s="2">
        <f>J166=C166</f>
        <v/>
      </c>
      <c r="Y166" s="2">
        <f>IF(R166="unknown","",R166=S166)</f>
        <v/>
      </c>
      <c r="Z166" s="2" t="inlineStr">
        <is>
          <t>A</t>
        </is>
      </c>
      <c r="AA166" s="2" t="inlineStr">
        <is>
          <t>A</t>
        </is>
      </c>
      <c r="AB166" s="2">
        <f>AND(N166,O166,A166&lt;&gt;"census-mixed")</f>
        <v/>
      </c>
      <c r="AC166" s="2">
        <f>IF(AB166,Z166=AA166,"")</f>
        <v/>
      </c>
    </row>
    <row r="167">
      <c r="A167" s="2" t="inlineStr">
        <is>
          <t>census</t>
        </is>
      </c>
      <c r="B167" s="2" t="inlineStr">
        <is>
          <t>browser chrome150</t>
        </is>
      </c>
      <c r="C167" s="2" t="inlineStr">
        <is>
          <t>skb-eval-8352-c5166</t>
        </is>
      </c>
      <c r="D167" s="2" t="n">
        <v>5166</v>
      </c>
      <c r="E167" s="2" t="n">
        <v>1758</v>
      </c>
      <c r="F167" s="2" t="n">
        <v>771</v>
      </c>
      <c r="G167" s="2" t="inlineStr">
        <is>
          <t>9a9a 1301 1302 1303 c02b c02f c02c c030 cca9 cca8 c013 c014 009c 009d 002f 0035</t>
        </is>
      </c>
      <c r="H167" s="2" t="inlineStr">
        <is>
          <t>4a4a 0304 0303</t>
        </is>
      </c>
      <c r="I167" s="2" t="n">
        <v>1</v>
      </c>
      <c r="J167" s="2" t="inlineStr">
        <is>
          <t>skb-eval-8352-c5166</t>
        </is>
      </c>
      <c r="K167" s="2" t="n">
        <v>1758</v>
      </c>
      <c r="L167" s="2" t="n">
        <v>771</v>
      </c>
      <c r="M167" s="2" t="n">
        <v>1443</v>
      </c>
      <c r="N167" s="2" t="b">
        <v>1</v>
      </c>
      <c r="O167" s="2" t="b">
        <v>1</v>
      </c>
      <c r="P167" s="2" t="inlineStr">
        <is>
          <t>9a9a 1301 1302 1303 c02b c02f c02c c030 cca9 cca8 c013 c014 009c 009d 002f 0035</t>
        </is>
      </c>
      <c r="Q167" s="2" t="inlineStr">
        <is>
          <t>4a4a 0304 0303</t>
        </is>
      </c>
      <c r="R167" s="2" t="inlineStr">
        <is>
          <t>violation</t>
        </is>
      </c>
      <c r="S167" s="2" t="inlineStr">
        <is>
          <t>violation</t>
        </is>
      </c>
      <c r="T167" s="2">
        <f>K167=E167</f>
        <v/>
      </c>
      <c r="U167" s="2">
        <f>L167=F167</f>
        <v/>
      </c>
      <c r="V167" s="2">
        <f>IF(N167,EXACT(P167,G167),"")</f>
        <v/>
      </c>
      <c r="W167" s="2">
        <f>IF(O167,EXACT(Q167,H167),"")</f>
        <v/>
      </c>
      <c r="X167" s="2">
        <f>J167=C167</f>
        <v/>
      </c>
      <c r="Y167" s="2">
        <f>IF(R167="unknown","",R167=S167)</f>
        <v/>
      </c>
      <c r="Z167" s="2" t="inlineStr">
        <is>
          <t>A</t>
        </is>
      </c>
      <c r="AA167" s="2" t="inlineStr">
        <is>
          <t>A</t>
        </is>
      </c>
      <c r="AB167" s="2">
        <f>AND(N167,O167,A167&lt;&gt;"census-mixed")</f>
        <v/>
      </c>
      <c r="AC167" s="2">
        <f>IF(AB167,Z167=AA167,"")</f>
        <v/>
      </c>
    </row>
    <row r="168">
      <c r="A168" s="2" t="inlineStr">
        <is>
          <t>census</t>
        </is>
      </c>
      <c r="B168" s="2" t="inlineStr">
        <is>
          <t>browser chrome150</t>
        </is>
      </c>
      <c r="C168" s="2" t="inlineStr">
        <is>
          <t>skb-eval-8352-c5167</t>
        </is>
      </c>
      <c r="D168" s="2" t="n">
        <v>5167</v>
      </c>
      <c r="E168" s="2" t="n">
        <v>1790</v>
      </c>
      <c r="F168" s="2" t="n">
        <v>771</v>
      </c>
      <c r="G168" s="2" t="inlineStr">
        <is>
          <t>baba 1301 1302 1303 c02b c02f c02c c030 cca9 cca8 c013 c014 009c 009d 002f 0035</t>
        </is>
      </c>
      <c r="H168" s="2" t="inlineStr">
        <is>
          <t>1a1a 0304 0303</t>
        </is>
      </c>
      <c r="I168" s="2" t="n">
        <v>1</v>
      </c>
      <c r="J168" s="2" t="inlineStr">
        <is>
          <t>skb-eval-8352-c5167</t>
        </is>
      </c>
      <c r="K168" s="2" t="n">
        <v>1790</v>
      </c>
      <c r="L168" s="2" t="n">
        <v>771</v>
      </c>
      <c r="M168" s="2" t="n">
        <v>1443</v>
      </c>
      <c r="N168" s="2" t="b">
        <v>1</v>
      </c>
      <c r="O168" s="2" t="b">
        <v>0</v>
      </c>
      <c r="P168" s="2" t="inlineStr">
        <is>
          <t>baba 1301 1302 1303 c02b c02f c02c c030 cca9 cca8 c013 c014 009c 009d 002f 0035</t>
        </is>
      </c>
      <c r="Q168" s="2" t="inlineStr"/>
      <c r="R168" s="2" t="inlineStr">
        <is>
          <t>violation</t>
        </is>
      </c>
      <c r="S168" s="2" t="inlineStr">
        <is>
          <t>violation</t>
        </is>
      </c>
      <c r="T168" s="2">
        <f>K168=E168</f>
        <v/>
      </c>
      <c r="U168" s="2">
        <f>L168=F168</f>
        <v/>
      </c>
      <c r="V168" s="2">
        <f>IF(N168,EXACT(P168,G168),"")</f>
        <v/>
      </c>
      <c r="W168" s="2">
        <f>IF(O168,EXACT(Q168,H168),"")</f>
        <v/>
      </c>
      <c r="X168" s="2">
        <f>J168=C168</f>
        <v/>
      </c>
      <c r="Y168" s="2">
        <f>IF(R168="unknown","",R168=S168)</f>
        <v/>
      </c>
      <c r="Z168" s="2" t="inlineStr">
        <is>
          <t>A</t>
        </is>
      </c>
      <c r="AA168" s="2" t="inlineStr">
        <is>
          <t>A</t>
        </is>
      </c>
      <c r="AB168" s="2">
        <f>AND(N168,O168,A168&lt;&gt;"census-mixed")</f>
        <v/>
      </c>
      <c r="AC168" s="2">
        <f>IF(AB168,Z168=AA168,"")</f>
        <v/>
      </c>
    </row>
    <row r="169">
      <c r="A169" s="2" t="inlineStr">
        <is>
          <t>census</t>
        </is>
      </c>
      <c r="B169" s="2" t="inlineStr">
        <is>
          <t>browser chrome150</t>
        </is>
      </c>
      <c r="C169" s="2" t="inlineStr">
        <is>
          <t>skb-eval-8352-c5168</t>
        </is>
      </c>
      <c r="D169" s="2" t="n">
        <v>5168</v>
      </c>
      <c r="E169" s="2" t="n">
        <v>1822</v>
      </c>
      <c r="F169" s="2" t="n">
        <v>771</v>
      </c>
      <c r="G169" s="2" t="inlineStr">
        <is>
          <t>caca 1301 1302 1303 c02b c02f c02c c030 cca9 cca8 c013 c014 009c 009d 002f 0035</t>
        </is>
      </c>
      <c r="H169" s="2" t="inlineStr">
        <is>
          <t>7a7a 0304 0303</t>
        </is>
      </c>
      <c r="I169" s="2" t="n">
        <v>1</v>
      </c>
      <c r="J169" s="2" t="inlineStr">
        <is>
          <t>skb-eval-8352-c5168</t>
        </is>
      </c>
      <c r="K169" s="2" t="n">
        <v>1822</v>
      </c>
      <c r="L169" s="2" t="n">
        <v>771</v>
      </c>
      <c r="M169" s="2" t="n">
        <v>1443</v>
      </c>
      <c r="N169" s="2" t="b">
        <v>1</v>
      </c>
      <c r="O169" s="2" t="b">
        <v>0</v>
      </c>
      <c r="P169" s="2" t="inlineStr">
        <is>
          <t>caca 1301 1302 1303 c02b c02f c02c c030 cca9 cca8 c013 c014 009c 009d 002f 0035</t>
        </is>
      </c>
      <c r="Q169" s="2" t="inlineStr"/>
      <c r="R169" s="2" t="inlineStr">
        <is>
          <t>violation</t>
        </is>
      </c>
      <c r="S169" s="2" t="inlineStr">
        <is>
          <t>violation</t>
        </is>
      </c>
      <c r="T169" s="2">
        <f>K169=E169</f>
        <v/>
      </c>
      <c r="U169" s="2">
        <f>L169=F169</f>
        <v/>
      </c>
      <c r="V169" s="2">
        <f>IF(N169,EXACT(P169,G169),"")</f>
        <v/>
      </c>
      <c r="W169" s="2">
        <f>IF(O169,EXACT(Q169,H169),"")</f>
        <v/>
      </c>
      <c r="X169" s="2">
        <f>J169=C169</f>
        <v/>
      </c>
      <c r="Y169" s="2">
        <f>IF(R169="unknown","",R169=S169)</f>
        <v/>
      </c>
      <c r="Z169" s="2" t="inlineStr">
        <is>
          <t>A</t>
        </is>
      </c>
      <c r="AA169" s="2" t="inlineStr">
        <is>
          <t>A</t>
        </is>
      </c>
      <c r="AB169" s="2">
        <f>AND(N169,O169,A169&lt;&gt;"census-mixed")</f>
        <v/>
      </c>
      <c r="AC169" s="2">
        <f>IF(AB169,Z169=AA169,"")</f>
        <v/>
      </c>
    </row>
    <row r="170">
      <c r="A170" s="2" t="inlineStr">
        <is>
          <t>census</t>
        </is>
      </c>
      <c r="B170" s="2" t="inlineStr">
        <is>
          <t>browser chrome150</t>
        </is>
      </c>
      <c r="C170" s="2" t="inlineStr">
        <is>
          <t>skb-eval-8352-c5169</t>
        </is>
      </c>
      <c r="D170" s="2" t="n">
        <v>5169</v>
      </c>
      <c r="E170" s="2" t="n">
        <v>1726</v>
      </c>
      <c r="F170" s="2" t="n">
        <v>771</v>
      </c>
      <c r="G170" s="2" t="inlineStr">
        <is>
          <t>eaea 1301 1302 1303 c02b c02f c02c c030 cca9 cca8 c013 c014 009c 009d 002f 0035</t>
        </is>
      </c>
      <c r="H170" s="2" t="inlineStr">
        <is>
          <t>caca 0304 0303</t>
        </is>
      </c>
      <c r="I170" s="2" t="n">
        <v>1</v>
      </c>
      <c r="J170" s="2" t="inlineStr">
        <is>
          <t>skb-eval-8352-c5169</t>
        </is>
      </c>
      <c r="K170" s="2" t="n">
        <v>1726</v>
      </c>
      <c r="L170" s="2" t="n">
        <v>771</v>
      </c>
      <c r="M170" s="2" t="n">
        <v>1443</v>
      </c>
      <c r="N170" s="2" t="b">
        <v>1</v>
      </c>
      <c r="O170" s="2" t="b">
        <v>0</v>
      </c>
      <c r="P170" s="2" t="inlineStr">
        <is>
          <t>eaea 1301 1302 1303 c02b c02f c02c c030 cca9 cca8 c013 c014 009c 009d 002f 0035</t>
        </is>
      </c>
      <c r="Q170" s="2" t="inlineStr"/>
      <c r="R170" s="2" t="inlineStr">
        <is>
          <t>violation</t>
        </is>
      </c>
      <c r="S170" s="2" t="inlineStr">
        <is>
          <t>violation</t>
        </is>
      </c>
      <c r="T170" s="2">
        <f>K170=E170</f>
        <v/>
      </c>
      <c r="U170" s="2">
        <f>L170=F170</f>
        <v/>
      </c>
      <c r="V170" s="2">
        <f>IF(N170,EXACT(P170,G170),"")</f>
        <v/>
      </c>
      <c r="W170" s="2">
        <f>IF(O170,EXACT(Q170,H170),"")</f>
        <v/>
      </c>
      <c r="X170" s="2">
        <f>J170=C170</f>
        <v/>
      </c>
      <c r="Y170" s="2">
        <f>IF(R170="unknown","",R170=S170)</f>
        <v/>
      </c>
      <c r="Z170" s="2" t="inlineStr">
        <is>
          <t>A</t>
        </is>
      </c>
      <c r="AA170" s="2" t="inlineStr">
        <is>
          <t>A</t>
        </is>
      </c>
      <c r="AB170" s="2">
        <f>AND(N170,O170,A170&lt;&gt;"census-mixed")</f>
        <v/>
      </c>
      <c r="AC170" s="2">
        <f>IF(AB170,Z170=AA170,"")</f>
        <v/>
      </c>
    </row>
    <row r="171">
      <c r="A171" s="2" t="inlineStr">
        <is>
          <t>census</t>
        </is>
      </c>
      <c r="B171" s="2" t="inlineStr">
        <is>
          <t>browser chrome150</t>
        </is>
      </c>
      <c r="C171" s="2" t="inlineStr">
        <is>
          <t>skb-eval-8352-c5170</t>
        </is>
      </c>
      <c r="D171" s="2" t="n">
        <v>5170</v>
      </c>
      <c r="E171" s="2" t="n">
        <v>1726</v>
      </c>
      <c r="F171" s="2" t="n">
        <v>771</v>
      </c>
      <c r="G171" s="2" t="inlineStr">
        <is>
          <t>eaea 1301 1302 1303 c02b c02f c02c c030 cca9 cca8 c013 c014 009c 009d 002f 0035</t>
        </is>
      </c>
      <c r="H171" s="2" t="inlineStr">
        <is>
          <t>9a9a 0304 0303</t>
        </is>
      </c>
      <c r="I171" s="2" t="n">
        <v>1</v>
      </c>
      <c r="J171" s="2" t="inlineStr">
        <is>
          <t>skb-eval-8352-c5170</t>
        </is>
      </c>
      <c r="K171" s="2" t="n">
        <v>1726</v>
      </c>
      <c r="L171" s="2" t="n">
        <v>771</v>
      </c>
      <c r="M171" s="2" t="n">
        <v>1443</v>
      </c>
      <c r="N171" s="2" t="b">
        <v>1</v>
      </c>
      <c r="O171" s="2" t="b">
        <v>0</v>
      </c>
      <c r="P171" s="2" t="inlineStr">
        <is>
          <t>eaea 1301 1302 1303 c02b c02f c02c c030 cca9 cca8 c013 c014 009c 009d 002f 0035</t>
        </is>
      </c>
      <c r="Q171" s="2" t="inlineStr"/>
      <c r="R171" s="2" t="inlineStr">
        <is>
          <t>violation</t>
        </is>
      </c>
      <c r="S171" s="2" t="inlineStr">
        <is>
          <t>violation</t>
        </is>
      </c>
      <c r="T171" s="2">
        <f>K171=E171</f>
        <v/>
      </c>
      <c r="U171" s="2">
        <f>L171=F171</f>
        <v/>
      </c>
      <c r="V171" s="2">
        <f>IF(N171,EXACT(P171,G171),"")</f>
        <v/>
      </c>
      <c r="W171" s="2">
        <f>IF(O171,EXACT(Q171,H171),"")</f>
        <v/>
      </c>
      <c r="X171" s="2">
        <f>J171=C171</f>
        <v/>
      </c>
      <c r="Y171" s="2">
        <f>IF(R171="unknown","",R171=S171)</f>
        <v/>
      </c>
      <c r="Z171" s="2" t="inlineStr">
        <is>
          <t>A</t>
        </is>
      </c>
      <c r="AA171" s="2" t="inlineStr">
        <is>
          <t>A</t>
        </is>
      </c>
      <c r="AB171" s="2">
        <f>AND(N171,O171,A171&lt;&gt;"census-mixed")</f>
        <v/>
      </c>
      <c r="AC171" s="2">
        <f>IF(AB171,Z171=AA171,"")</f>
        <v/>
      </c>
    </row>
    <row r="172">
      <c r="A172" s="2" t="inlineStr">
        <is>
          <t>census</t>
        </is>
      </c>
      <c r="B172" s="2" t="inlineStr">
        <is>
          <t>browser edge101</t>
        </is>
      </c>
      <c r="C172" s="2" t="inlineStr">
        <is>
          <t>skb-eval-8352-c5171</t>
        </is>
      </c>
      <c r="D172" s="2" t="n">
        <v>5171</v>
      </c>
      <c r="E172" s="2" t="n">
        <v>512</v>
      </c>
      <c r="F172" s="2" t="n">
        <v>771</v>
      </c>
      <c r="G172" s="2" t="inlineStr">
        <is>
          <t>9a9a 1301 1302 1303 c02b c02f c02c c030 cca9 cca8 c013 c014 009c 009d 002f 0035</t>
        </is>
      </c>
      <c r="H172" s="2" t="inlineStr">
        <is>
          <t>caca 0304 0303</t>
        </is>
      </c>
      <c r="I172" s="2" t="n">
        <v>1</v>
      </c>
      <c r="J172" s="2" t="inlineStr">
        <is>
          <t>skb-eval-8352-c5171</t>
        </is>
      </c>
      <c r="K172" s="2" t="n">
        <v>512</v>
      </c>
      <c r="L172" s="2" t="n">
        <v>771</v>
      </c>
      <c r="M172" s="2" t="n">
        <v>512</v>
      </c>
      <c r="N172" s="2" t="b">
        <v>1</v>
      </c>
      <c r="O172" s="2" t="b">
        <v>1</v>
      </c>
      <c r="P172" s="2" t="inlineStr">
        <is>
          <t>9a9a 1301 1302 1303 c02b c02f c02c c030 cca9 cca8 c013 c014 009c 009d 002f 0035</t>
        </is>
      </c>
      <c r="Q172" s="2" t="inlineStr">
        <is>
          <t>caca 0304 0303</t>
        </is>
      </c>
      <c r="R172" s="2" t="inlineStr">
        <is>
          <t>violation</t>
        </is>
      </c>
      <c r="S172" s="2" t="inlineStr">
        <is>
          <t>violation</t>
        </is>
      </c>
      <c r="T172" s="2">
        <f>K172=E172</f>
        <v/>
      </c>
      <c r="U172" s="2">
        <f>L172=F172</f>
        <v/>
      </c>
      <c r="V172" s="2">
        <f>IF(N172,EXACT(P172,G172),"")</f>
        <v/>
      </c>
      <c r="W172" s="2">
        <f>IF(O172,EXACT(Q172,H172),"")</f>
        <v/>
      </c>
      <c r="X172" s="2">
        <f>J172=C172</f>
        <v/>
      </c>
      <c r="Y172" s="2">
        <f>IF(R172="unknown","",R172=S172)</f>
        <v/>
      </c>
      <c r="Z172" s="2" t="inlineStr">
        <is>
          <t>A</t>
        </is>
      </c>
      <c r="AA172" s="2" t="inlineStr">
        <is>
          <t>A</t>
        </is>
      </c>
      <c r="AB172" s="2">
        <f>AND(N172,O172,A172&lt;&gt;"census-mixed")</f>
        <v/>
      </c>
      <c r="AC172" s="2">
        <f>IF(AB172,Z172=AA172,"")</f>
        <v/>
      </c>
    </row>
    <row r="173">
      <c r="A173" s="2" t="inlineStr">
        <is>
          <t>census</t>
        </is>
      </c>
      <c r="B173" s="2" t="inlineStr">
        <is>
          <t>browser edge101</t>
        </is>
      </c>
      <c r="C173" s="2" t="inlineStr">
        <is>
          <t>skb-eval-8352-c5172</t>
        </is>
      </c>
      <c r="D173" s="2" t="n">
        <v>5172</v>
      </c>
      <c r="E173" s="2" t="n">
        <v>512</v>
      </c>
      <c r="F173" s="2" t="n">
        <v>771</v>
      </c>
      <c r="G173" s="2" t="inlineStr">
        <is>
          <t>caca 1301 1302 1303 c02b c02f c02c c030 cca9 cca8 c013 c014 009c 009d 002f 0035</t>
        </is>
      </c>
      <c r="H173" s="2" t="inlineStr">
        <is>
          <t>6a6a 0304 0303</t>
        </is>
      </c>
      <c r="I173" s="2" t="n">
        <v>1</v>
      </c>
      <c r="J173" s="2" t="inlineStr">
        <is>
          <t>skb-eval-8352-c5172</t>
        </is>
      </c>
      <c r="K173" s="2" t="n">
        <v>512</v>
      </c>
      <c r="L173" s="2" t="n">
        <v>771</v>
      </c>
      <c r="M173" s="2" t="n">
        <v>512</v>
      </c>
      <c r="N173" s="2" t="b">
        <v>1</v>
      </c>
      <c r="O173" s="2" t="b">
        <v>1</v>
      </c>
      <c r="P173" s="2" t="inlineStr">
        <is>
          <t>caca 1301 1302 1303 c02b c02f c02c c030 cca9 cca8 c013 c014 009c 009d 002f 0035</t>
        </is>
      </c>
      <c r="Q173" s="2" t="inlineStr">
        <is>
          <t>6a6a 0304 0303</t>
        </is>
      </c>
      <c r="R173" s="2" t="inlineStr">
        <is>
          <t>violation</t>
        </is>
      </c>
      <c r="S173" s="2" t="inlineStr">
        <is>
          <t>violation</t>
        </is>
      </c>
      <c r="T173" s="2">
        <f>K173=E173</f>
        <v/>
      </c>
      <c r="U173" s="2">
        <f>L173=F173</f>
        <v/>
      </c>
      <c r="V173" s="2">
        <f>IF(N173,EXACT(P173,G173),"")</f>
        <v/>
      </c>
      <c r="W173" s="2">
        <f>IF(O173,EXACT(Q173,H173),"")</f>
        <v/>
      </c>
      <c r="X173" s="2">
        <f>J173=C173</f>
        <v/>
      </c>
      <c r="Y173" s="2">
        <f>IF(R173="unknown","",R173=S173)</f>
        <v/>
      </c>
      <c r="Z173" s="2" t="inlineStr">
        <is>
          <t>A</t>
        </is>
      </c>
      <c r="AA173" s="2" t="inlineStr">
        <is>
          <t>A</t>
        </is>
      </c>
      <c r="AB173" s="2">
        <f>AND(N173,O173,A173&lt;&gt;"census-mixed")</f>
        <v/>
      </c>
      <c r="AC173" s="2">
        <f>IF(AB173,Z173=AA173,"")</f>
        <v/>
      </c>
    </row>
    <row r="174">
      <c r="A174" s="2" t="inlineStr">
        <is>
          <t>census</t>
        </is>
      </c>
      <c r="B174" s="2" t="inlineStr">
        <is>
          <t>browser edge101</t>
        </is>
      </c>
      <c r="C174" s="2" t="inlineStr">
        <is>
          <t>skb-eval-8352-c5173</t>
        </is>
      </c>
      <c r="D174" s="2" t="n">
        <v>5173</v>
      </c>
      <c r="E174" s="2" t="n">
        <v>512</v>
      </c>
      <c r="F174" s="2" t="n">
        <v>771</v>
      </c>
      <c r="G174" s="2" t="inlineStr">
        <is>
          <t>dada 1301 1302 1303 c02b c02f c02c c030 cca9 cca8 c013 c014 009c 009d 002f 0035</t>
        </is>
      </c>
      <c r="H174" s="2" t="inlineStr">
        <is>
          <t>fafa 0304 0303</t>
        </is>
      </c>
      <c r="I174" s="2" t="n">
        <v>1</v>
      </c>
      <c r="J174" s="2" t="inlineStr">
        <is>
          <t>skb-eval-8352-c5173</t>
        </is>
      </c>
      <c r="K174" s="2" t="n">
        <v>512</v>
      </c>
      <c r="L174" s="2" t="n">
        <v>771</v>
      </c>
      <c r="M174" s="2" t="n">
        <v>512</v>
      </c>
      <c r="N174" s="2" t="b">
        <v>1</v>
      </c>
      <c r="O174" s="2" t="b">
        <v>1</v>
      </c>
      <c r="P174" s="2" t="inlineStr">
        <is>
          <t>dada 1301 1302 1303 c02b c02f c02c c030 cca9 cca8 c013 c014 009c 009d 002f 0035</t>
        </is>
      </c>
      <c r="Q174" s="2" t="inlineStr">
        <is>
          <t>fafa 0304 0303</t>
        </is>
      </c>
      <c r="R174" s="2" t="inlineStr">
        <is>
          <t>violation</t>
        </is>
      </c>
      <c r="S174" s="2" t="inlineStr">
        <is>
          <t>violation</t>
        </is>
      </c>
      <c r="T174" s="2">
        <f>K174=E174</f>
        <v/>
      </c>
      <c r="U174" s="2">
        <f>L174=F174</f>
        <v/>
      </c>
      <c r="V174" s="2">
        <f>IF(N174,EXACT(P174,G174),"")</f>
        <v/>
      </c>
      <c r="W174" s="2">
        <f>IF(O174,EXACT(Q174,H174),"")</f>
        <v/>
      </c>
      <c r="X174" s="2">
        <f>J174=C174</f>
        <v/>
      </c>
      <c r="Y174" s="2">
        <f>IF(R174="unknown","",R174=S174)</f>
        <v/>
      </c>
      <c r="Z174" s="2" t="inlineStr">
        <is>
          <t>A</t>
        </is>
      </c>
      <c r="AA174" s="2" t="inlineStr">
        <is>
          <t>A</t>
        </is>
      </c>
      <c r="AB174" s="2">
        <f>AND(N174,O174,A174&lt;&gt;"census-mixed")</f>
        <v/>
      </c>
      <c r="AC174" s="2">
        <f>IF(AB174,Z174=AA174,"")</f>
        <v/>
      </c>
    </row>
    <row r="175">
      <c r="A175" s="2" t="inlineStr">
        <is>
          <t>census</t>
        </is>
      </c>
      <c r="B175" s="2" t="inlineStr">
        <is>
          <t>browser edge101</t>
        </is>
      </c>
      <c r="C175" s="2" t="inlineStr">
        <is>
          <t>skb-eval-8352-c5174</t>
        </is>
      </c>
      <c r="D175" s="2" t="n">
        <v>5174</v>
      </c>
      <c r="E175" s="2" t="n">
        <v>512</v>
      </c>
      <c r="F175" s="2" t="n">
        <v>771</v>
      </c>
      <c r="G175" s="2" t="inlineStr">
        <is>
          <t>1a1a 1301 1302 1303 c02b c02f c02c c030 cca9 cca8 c013 c014 009c 009d 002f 0035</t>
        </is>
      </c>
      <c r="H175" s="2" t="inlineStr">
        <is>
          <t>7a7a 0304 0303</t>
        </is>
      </c>
      <c r="I175" s="2" t="n">
        <v>1</v>
      </c>
      <c r="J175" s="2" t="inlineStr">
        <is>
          <t>skb-eval-8352-c5174</t>
        </is>
      </c>
      <c r="K175" s="2" t="n">
        <v>512</v>
      </c>
      <c r="L175" s="2" t="n">
        <v>771</v>
      </c>
      <c r="M175" s="2" t="n">
        <v>512</v>
      </c>
      <c r="N175" s="2" t="b">
        <v>1</v>
      </c>
      <c r="O175" s="2" t="b">
        <v>1</v>
      </c>
      <c r="P175" s="2" t="inlineStr">
        <is>
          <t>1a1a 1301 1302 1303 c02b c02f c02c c030 cca9 cca8 c013 c014 009c 009d 002f 0035</t>
        </is>
      </c>
      <c r="Q175" s="2" t="inlineStr">
        <is>
          <t>7a7a 0304 0303</t>
        </is>
      </c>
      <c r="R175" s="2" t="inlineStr">
        <is>
          <t>violation</t>
        </is>
      </c>
      <c r="S175" s="2" t="inlineStr">
        <is>
          <t>violation</t>
        </is>
      </c>
      <c r="T175" s="2">
        <f>K175=E175</f>
        <v/>
      </c>
      <c r="U175" s="2">
        <f>L175=F175</f>
        <v/>
      </c>
      <c r="V175" s="2">
        <f>IF(N175,EXACT(P175,G175),"")</f>
        <v/>
      </c>
      <c r="W175" s="2">
        <f>IF(O175,EXACT(Q175,H175),"")</f>
        <v/>
      </c>
      <c r="X175" s="2">
        <f>J175=C175</f>
        <v/>
      </c>
      <c r="Y175" s="2">
        <f>IF(R175="unknown","",R175=S175)</f>
        <v/>
      </c>
      <c r="Z175" s="2" t="inlineStr">
        <is>
          <t>A</t>
        </is>
      </c>
      <c r="AA175" s="2" t="inlineStr">
        <is>
          <t>A</t>
        </is>
      </c>
      <c r="AB175" s="2">
        <f>AND(N175,O175,A175&lt;&gt;"census-mixed")</f>
        <v/>
      </c>
      <c r="AC175" s="2">
        <f>IF(AB175,Z175=AA175,"")</f>
        <v/>
      </c>
    </row>
    <row r="176">
      <c r="A176" s="2" t="inlineStr">
        <is>
          <t>census</t>
        </is>
      </c>
      <c r="B176" s="2" t="inlineStr">
        <is>
          <t>browser edge101</t>
        </is>
      </c>
      <c r="C176" s="2" t="inlineStr">
        <is>
          <t>skb-eval-8352-c5175</t>
        </is>
      </c>
      <c r="D176" s="2" t="n">
        <v>5175</v>
      </c>
      <c r="E176" s="2" t="n">
        <v>512</v>
      </c>
      <c r="F176" s="2" t="n">
        <v>771</v>
      </c>
      <c r="G176" s="2" t="inlineStr">
        <is>
          <t>7a7a 1301 1302 1303 c02b c02f c02c c030 cca9 cca8 c013 c014 009c 009d 002f 0035</t>
        </is>
      </c>
      <c r="H176" s="2" t="inlineStr">
        <is>
          <t>8a8a 0304 0303</t>
        </is>
      </c>
      <c r="I176" s="2" t="n">
        <v>1</v>
      </c>
      <c r="J176" s="2" t="inlineStr">
        <is>
          <t>skb-eval-8352-c5175</t>
        </is>
      </c>
      <c r="K176" s="2" t="n">
        <v>512</v>
      </c>
      <c r="L176" s="2" t="n">
        <v>771</v>
      </c>
      <c r="M176" s="2" t="n">
        <v>512</v>
      </c>
      <c r="N176" s="2" t="b">
        <v>1</v>
      </c>
      <c r="O176" s="2" t="b">
        <v>1</v>
      </c>
      <c r="P176" s="2" t="inlineStr">
        <is>
          <t>7a7a 1301 1302 1303 c02b c02f c02c c030 cca9 cca8 c013 c014 009c 009d 002f 0035</t>
        </is>
      </c>
      <c r="Q176" s="2" t="inlineStr">
        <is>
          <t>8a8a 0304 0303</t>
        </is>
      </c>
      <c r="R176" s="2" t="inlineStr">
        <is>
          <t>violation</t>
        </is>
      </c>
      <c r="S176" s="2" t="inlineStr">
        <is>
          <t>violation</t>
        </is>
      </c>
      <c r="T176" s="2">
        <f>K176=E176</f>
        <v/>
      </c>
      <c r="U176" s="2">
        <f>L176=F176</f>
        <v/>
      </c>
      <c r="V176" s="2">
        <f>IF(N176,EXACT(P176,G176),"")</f>
        <v/>
      </c>
      <c r="W176" s="2">
        <f>IF(O176,EXACT(Q176,H176),"")</f>
        <v/>
      </c>
      <c r="X176" s="2">
        <f>J176=C176</f>
        <v/>
      </c>
      <c r="Y176" s="2">
        <f>IF(R176="unknown","",R176=S176)</f>
        <v/>
      </c>
      <c r="Z176" s="2" t="inlineStr">
        <is>
          <t>A</t>
        </is>
      </c>
      <c r="AA176" s="2" t="inlineStr">
        <is>
          <t>A</t>
        </is>
      </c>
      <c r="AB176" s="2">
        <f>AND(N176,O176,A176&lt;&gt;"census-mixed")</f>
        <v/>
      </c>
      <c r="AC176" s="2">
        <f>IF(AB176,Z176=AA176,"")</f>
        <v/>
      </c>
    </row>
    <row r="177">
      <c r="A177" s="2" t="inlineStr">
        <is>
          <t>census</t>
        </is>
      </c>
      <c r="B177" s="2" t="inlineStr">
        <is>
          <t>browser edge101</t>
        </is>
      </c>
      <c r="C177" s="2" t="inlineStr">
        <is>
          <t>skb-eval-8352-c5176</t>
        </is>
      </c>
      <c r="D177" s="2" t="n">
        <v>5176</v>
      </c>
      <c r="E177" s="2" t="n">
        <v>512</v>
      </c>
      <c r="F177" s="2" t="n">
        <v>771</v>
      </c>
      <c r="G177" s="2" t="inlineStr">
        <is>
          <t>9a9a 1301 1302 1303 c02b c02f c02c c030 cca9 cca8 c013 c014 009c 009d 002f 0035</t>
        </is>
      </c>
      <c r="H177" s="2" t="inlineStr">
        <is>
          <t>5a5a 0304 0303</t>
        </is>
      </c>
      <c r="I177" s="2" t="n">
        <v>1</v>
      </c>
      <c r="J177" s="2" t="inlineStr">
        <is>
          <t>skb-eval-8352-c5176</t>
        </is>
      </c>
      <c r="K177" s="2" t="n">
        <v>512</v>
      </c>
      <c r="L177" s="2" t="n">
        <v>771</v>
      </c>
      <c r="M177" s="2" t="n">
        <v>512</v>
      </c>
      <c r="N177" s="2" t="b">
        <v>1</v>
      </c>
      <c r="O177" s="2" t="b">
        <v>1</v>
      </c>
      <c r="P177" s="2" t="inlineStr">
        <is>
          <t>9a9a 1301 1302 1303 c02b c02f c02c c030 cca9 cca8 c013 c014 009c 009d 002f 0035</t>
        </is>
      </c>
      <c r="Q177" s="2" t="inlineStr">
        <is>
          <t>5a5a 0304 0303</t>
        </is>
      </c>
      <c r="R177" s="2" t="inlineStr">
        <is>
          <t>violation</t>
        </is>
      </c>
      <c r="S177" s="2" t="inlineStr">
        <is>
          <t>violation</t>
        </is>
      </c>
      <c r="T177" s="2">
        <f>K177=E177</f>
        <v/>
      </c>
      <c r="U177" s="2">
        <f>L177=F177</f>
        <v/>
      </c>
      <c r="V177" s="2">
        <f>IF(N177,EXACT(P177,G177),"")</f>
        <v/>
      </c>
      <c r="W177" s="2">
        <f>IF(O177,EXACT(Q177,H177),"")</f>
        <v/>
      </c>
      <c r="X177" s="2">
        <f>J177=C177</f>
        <v/>
      </c>
      <c r="Y177" s="2">
        <f>IF(R177="unknown","",R177=S177)</f>
        <v/>
      </c>
      <c r="Z177" s="2" t="inlineStr">
        <is>
          <t>A</t>
        </is>
      </c>
      <c r="AA177" s="2" t="inlineStr">
        <is>
          <t>A</t>
        </is>
      </c>
      <c r="AB177" s="2">
        <f>AND(N177,O177,A177&lt;&gt;"census-mixed")</f>
        <v/>
      </c>
      <c r="AC177" s="2">
        <f>IF(AB177,Z177=AA177,"")</f>
        <v/>
      </c>
    </row>
    <row r="178">
      <c r="A178" s="2" t="inlineStr">
        <is>
          <t>census</t>
        </is>
      </c>
      <c r="B178" s="2" t="inlineStr">
        <is>
          <t>browser edge101</t>
        </is>
      </c>
      <c r="C178" s="2" t="inlineStr">
        <is>
          <t>skb-eval-8352-c5177</t>
        </is>
      </c>
      <c r="D178" s="2" t="n">
        <v>5177</v>
      </c>
      <c r="E178" s="2" t="n">
        <v>512</v>
      </c>
      <c r="F178" s="2" t="n">
        <v>771</v>
      </c>
      <c r="G178" s="2" t="inlineStr">
        <is>
          <t>7a7a 1301 1302 1303 c02b c02f c02c c030 cca9 cca8 c013 c014 009c 009d 002f 0035</t>
        </is>
      </c>
      <c r="H178" s="2" t="inlineStr">
        <is>
          <t>9a9a 0304 0303</t>
        </is>
      </c>
      <c r="I178" s="2" t="n">
        <v>1</v>
      </c>
      <c r="J178" s="2" t="inlineStr">
        <is>
          <t>skb-eval-8352-c5177</t>
        </is>
      </c>
      <c r="K178" s="2" t="n">
        <v>512</v>
      </c>
      <c r="L178" s="2" t="n">
        <v>771</v>
      </c>
      <c r="M178" s="2" t="n">
        <v>512</v>
      </c>
      <c r="N178" s="2" t="b">
        <v>1</v>
      </c>
      <c r="O178" s="2" t="b">
        <v>1</v>
      </c>
      <c r="P178" s="2" t="inlineStr">
        <is>
          <t>7a7a 1301 1302 1303 c02b c02f c02c c030 cca9 cca8 c013 c014 009c 009d 002f 0035</t>
        </is>
      </c>
      <c r="Q178" s="2" t="inlineStr">
        <is>
          <t>9a9a 0304 0303</t>
        </is>
      </c>
      <c r="R178" s="2" t="inlineStr">
        <is>
          <t>violation</t>
        </is>
      </c>
      <c r="S178" s="2" t="inlineStr">
        <is>
          <t>violation</t>
        </is>
      </c>
      <c r="T178" s="2">
        <f>K178=E178</f>
        <v/>
      </c>
      <c r="U178" s="2">
        <f>L178=F178</f>
        <v/>
      </c>
      <c r="V178" s="2">
        <f>IF(N178,EXACT(P178,G178),"")</f>
        <v/>
      </c>
      <c r="W178" s="2">
        <f>IF(O178,EXACT(Q178,H178),"")</f>
        <v/>
      </c>
      <c r="X178" s="2">
        <f>J178=C178</f>
        <v/>
      </c>
      <c r="Y178" s="2">
        <f>IF(R178="unknown","",R178=S178)</f>
        <v/>
      </c>
      <c r="Z178" s="2" t="inlineStr">
        <is>
          <t>A</t>
        </is>
      </c>
      <c r="AA178" s="2" t="inlineStr">
        <is>
          <t>A</t>
        </is>
      </c>
      <c r="AB178" s="2">
        <f>AND(N178,O178,A178&lt;&gt;"census-mixed")</f>
        <v/>
      </c>
      <c r="AC178" s="2">
        <f>IF(AB178,Z178=AA178,"")</f>
        <v/>
      </c>
    </row>
    <row r="179">
      <c r="A179" s="2" t="inlineStr">
        <is>
          <t>census</t>
        </is>
      </c>
      <c r="B179" s="2" t="inlineStr">
        <is>
          <t>browser edge101</t>
        </is>
      </c>
      <c r="C179" s="2" t="inlineStr">
        <is>
          <t>skb-eval-8352-c5178</t>
        </is>
      </c>
      <c r="D179" s="2" t="n">
        <v>5178</v>
      </c>
      <c r="E179" s="2" t="n">
        <v>512</v>
      </c>
      <c r="F179" s="2" t="n">
        <v>771</v>
      </c>
      <c r="G179" s="2" t="inlineStr">
        <is>
          <t>2a2a 1301 1302 1303 c02b c02f c02c c030 cca9 cca8 c013 c014 009c 009d 002f 0035</t>
        </is>
      </c>
      <c r="H179" s="2" t="inlineStr">
        <is>
          <t>2a2a 0304 0303</t>
        </is>
      </c>
      <c r="I179" s="2" t="n">
        <v>1</v>
      </c>
      <c r="J179" s="2" t="inlineStr">
        <is>
          <t>skb-eval-8352-c5178</t>
        </is>
      </c>
      <c r="K179" s="2" t="n">
        <v>512</v>
      </c>
      <c r="L179" s="2" t="n">
        <v>771</v>
      </c>
      <c r="M179" s="2" t="n">
        <v>512</v>
      </c>
      <c r="N179" s="2" t="b">
        <v>1</v>
      </c>
      <c r="O179" s="2" t="b">
        <v>1</v>
      </c>
      <c r="P179" s="2" t="inlineStr">
        <is>
          <t>2a2a 1301 1302 1303 c02b c02f c02c c030 cca9 cca8 c013 c014 009c 009d 002f 0035</t>
        </is>
      </c>
      <c r="Q179" s="2" t="inlineStr">
        <is>
          <t>2a2a 0304 0303</t>
        </is>
      </c>
      <c r="R179" s="2" t="inlineStr">
        <is>
          <t>violation</t>
        </is>
      </c>
      <c r="S179" s="2" t="inlineStr">
        <is>
          <t>violation</t>
        </is>
      </c>
      <c r="T179" s="2">
        <f>K179=E179</f>
        <v/>
      </c>
      <c r="U179" s="2">
        <f>L179=F179</f>
        <v/>
      </c>
      <c r="V179" s="2">
        <f>IF(N179,EXACT(P179,G179),"")</f>
        <v/>
      </c>
      <c r="W179" s="2">
        <f>IF(O179,EXACT(Q179,H179),"")</f>
        <v/>
      </c>
      <c r="X179" s="2">
        <f>J179=C179</f>
        <v/>
      </c>
      <c r="Y179" s="2">
        <f>IF(R179="unknown","",R179=S179)</f>
        <v/>
      </c>
      <c r="Z179" s="2" t="inlineStr">
        <is>
          <t>A</t>
        </is>
      </c>
      <c r="AA179" s="2" t="inlineStr">
        <is>
          <t>A</t>
        </is>
      </c>
      <c r="AB179" s="2">
        <f>AND(N179,O179,A179&lt;&gt;"census-mixed")</f>
        <v/>
      </c>
      <c r="AC179" s="2">
        <f>IF(AB179,Z179=AA179,"")</f>
        <v/>
      </c>
    </row>
    <row r="180">
      <c r="A180" s="2" t="inlineStr">
        <is>
          <t>census</t>
        </is>
      </c>
      <c r="B180" s="2" t="inlineStr">
        <is>
          <t>browser edge101</t>
        </is>
      </c>
      <c r="C180" s="2" t="inlineStr">
        <is>
          <t>skb-eval-8352-c5179</t>
        </is>
      </c>
      <c r="D180" s="2" t="n">
        <v>5179</v>
      </c>
      <c r="E180" s="2" t="n">
        <v>512</v>
      </c>
      <c r="F180" s="2" t="n">
        <v>771</v>
      </c>
      <c r="G180" s="2" t="inlineStr">
        <is>
          <t>aaaa 1301 1302 1303 c02b c02f c02c c030 cca9 cca8 c013 c014 009c 009d 002f 0035</t>
        </is>
      </c>
      <c r="H180" s="2" t="inlineStr">
        <is>
          <t>7a7a 0304 0303</t>
        </is>
      </c>
      <c r="I180" s="2" t="n">
        <v>1</v>
      </c>
      <c r="J180" s="2" t="inlineStr">
        <is>
          <t>skb-eval-8352-c5179</t>
        </is>
      </c>
      <c r="K180" s="2" t="n">
        <v>512</v>
      </c>
      <c r="L180" s="2" t="n">
        <v>771</v>
      </c>
      <c r="M180" s="2" t="n">
        <v>512</v>
      </c>
      <c r="N180" s="2" t="b">
        <v>1</v>
      </c>
      <c r="O180" s="2" t="b">
        <v>1</v>
      </c>
      <c r="P180" s="2" t="inlineStr">
        <is>
          <t>aaaa 1301 1302 1303 c02b c02f c02c c030 cca9 cca8 c013 c014 009c 009d 002f 0035</t>
        </is>
      </c>
      <c r="Q180" s="2" t="inlineStr">
        <is>
          <t>7a7a 0304 0303</t>
        </is>
      </c>
      <c r="R180" s="2" t="inlineStr">
        <is>
          <t>violation</t>
        </is>
      </c>
      <c r="S180" s="2" t="inlineStr">
        <is>
          <t>violation</t>
        </is>
      </c>
      <c r="T180" s="2">
        <f>K180=E180</f>
        <v/>
      </c>
      <c r="U180" s="2">
        <f>L180=F180</f>
        <v/>
      </c>
      <c r="V180" s="2">
        <f>IF(N180,EXACT(P180,G180),"")</f>
        <v/>
      </c>
      <c r="W180" s="2">
        <f>IF(O180,EXACT(Q180,H180),"")</f>
        <v/>
      </c>
      <c r="X180" s="2">
        <f>J180=C180</f>
        <v/>
      </c>
      <c r="Y180" s="2">
        <f>IF(R180="unknown","",R180=S180)</f>
        <v/>
      </c>
      <c r="Z180" s="2" t="inlineStr">
        <is>
          <t>A</t>
        </is>
      </c>
      <c r="AA180" s="2" t="inlineStr">
        <is>
          <t>A</t>
        </is>
      </c>
      <c r="AB180" s="2">
        <f>AND(N180,O180,A180&lt;&gt;"census-mixed")</f>
        <v/>
      </c>
      <c r="AC180" s="2">
        <f>IF(AB180,Z180=AA180,"")</f>
        <v/>
      </c>
    </row>
    <row r="181">
      <c r="A181" s="2" t="inlineStr">
        <is>
          <t>census</t>
        </is>
      </c>
      <c r="B181" s="2" t="inlineStr">
        <is>
          <t>browser edge101</t>
        </is>
      </c>
      <c r="C181" s="2" t="inlineStr">
        <is>
          <t>skb-eval-8352-c5180</t>
        </is>
      </c>
      <c r="D181" s="2" t="n">
        <v>5180</v>
      </c>
      <c r="E181" s="2" t="n">
        <v>512</v>
      </c>
      <c r="F181" s="2" t="n">
        <v>771</v>
      </c>
      <c r="G181" s="2" t="inlineStr">
        <is>
          <t>5a5a 1301 1302 1303 c02b c02f c02c c030 cca9 cca8 c013 c014 009c 009d 002f 0035</t>
        </is>
      </c>
      <c r="H181" s="2" t="inlineStr">
        <is>
          <t>aaaa 0304 0303</t>
        </is>
      </c>
      <c r="I181" s="2" t="n">
        <v>1</v>
      </c>
      <c r="J181" s="2" t="inlineStr">
        <is>
          <t>skb-eval-8352-c5180</t>
        </is>
      </c>
      <c r="K181" s="2" t="n">
        <v>512</v>
      </c>
      <c r="L181" s="2" t="n">
        <v>771</v>
      </c>
      <c r="M181" s="2" t="n">
        <v>512</v>
      </c>
      <c r="N181" s="2" t="b">
        <v>1</v>
      </c>
      <c r="O181" s="2" t="b">
        <v>1</v>
      </c>
      <c r="P181" s="2" t="inlineStr">
        <is>
          <t>5a5a 1301 1302 1303 c02b c02f c02c c030 cca9 cca8 c013 c014 009c 009d 002f 0035</t>
        </is>
      </c>
      <c r="Q181" s="2" t="inlineStr">
        <is>
          <t>aaaa 0304 0303</t>
        </is>
      </c>
      <c r="R181" s="2" t="inlineStr">
        <is>
          <t>violation</t>
        </is>
      </c>
      <c r="S181" s="2" t="inlineStr">
        <is>
          <t>violation</t>
        </is>
      </c>
      <c r="T181" s="2">
        <f>K181=E181</f>
        <v/>
      </c>
      <c r="U181" s="2">
        <f>L181=F181</f>
        <v/>
      </c>
      <c r="V181" s="2">
        <f>IF(N181,EXACT(P181,G181),"")</f>
        <v/>
      </c>
      <c r="W181" s="2">
        <f>IF(O181,EXACT(Q181,H181),"")</f>
        <v/>
      </c>
      <c r="X181" s="2">
        <f>J181=C181</f>
        <v/>
      </c>
      <c r="Y181" s="2">
        <f>IF(R181="unknown","",R181=S181)</f>
        <v/>
      </c>
      <c r="Z181" s="2" t="inlineStr">
        <is>
          <t>A</t>
        </is>
      </c>
      <c r="AA181" s="2" t="inlineStr">
        <is>
          <t>A</t>
        </is>
      </c>
      <c r="AB181" s="2">
        <f>AND(N181,O181,A181&lt;&gt;"census-mixed")</f>
        <v/>
      </c>
      <c r="AC181" s="2">
        <f>IF(AB181,Z181=AA181,"")</f>
        <v/>
      </c>
    </row>
    <row r="182">
      <c r="A182" s="2" t="inlineStr">
        <is>
          <t>census</t>
        </is>
      </c>
      <c r="B182" s="2" t="inlineStr">
        <is>
          <t>browser firefox133</t>
        </is>
      </c>
      <c r="C182" s="2" t="inlineStr">
        <is>
          <t>skb-eval-8352-c5181</t>
        </is>
      </c>
      <c r="D182" s="2" t="n">
        <v>5181</v>
      </c>
      <c r="E182" s="2" t="n">
        <v>1828</v>
      </c>
      <c r="F182" s="2" t="n">
        <v>771</v>
      </c>
      <c r="G182" s="2" t="inlineStr">
        <is>
          <t>1301 1303 1302 c02b c02f cca9 cca8 c02c c030 c00a c009 c013 c014 009c 009d 002f 0035</t>
        </is>
      </c>
      <c r="H182" s="2" t="inlineStr">
        <is>
          <t>0304 0303</t>
        </is>
      </c>
      <c r="I182" s="2" t="n">
        <v>1</v>
      </c>
      <c r="J182" s="2" t="inlineStr">
        <is>
          <t>skb-eval-8352-c5181</t>
        </is>
      </c>
      <c r="K182" s="2" t="n">
        <v>1828</v>
      </c>
      <c r="L182" s="2" t="n">
        <v>771</v>
      </c>
      <c r="M182" s="2" t="n">
        <v>1443</v>
      </c>
      <c r="N182" s="2" t="b">
        <v>1</v>
      </c>
      <c r="O182" s="2" t="b">
        <v>0</v>
      </c>
      <c r="P182" s="2" t="inlineStr">
        <is>
          <t>1301 1303 1302 c02b c02f cca9 cca8 c02c c030 c00a c009 c013 c014 009c 009d 002f 0035</t>
        </is>
      </c>
      <c r="Q182" s="2" t="inlineStr"/>
      <c r="R182" s="2" t="inlineStr">
        <is>
          <t>violation</t>
        </is>
      </c>
      <c r="S182" s="2" t="inlineStr">
        <is>
          <t>violation</t>
        </is>
      </c>
      <c r="T182" s="2">
        <f>K182=E182</f>
        <v/>
      </c>
      <c r="U182" s="2">
        <f>L182=F182</f>
        <v/>
      </c>
      <c r="V182" s="2">
        <f>IF(N182,EXACT(P182,G182),"")</f>
        <v/>
      </c>
      <c r="W182" s="2">
        <f>IF(O182,EXACT(Q182,H182),"")</f>
        <v/>
      </c>
      <c r="X182" s="2">
        <f>J182=C182</f>
        <v/>
      </c>
      <c r="Y182" s="2">
        <f>IF(R182="unknown","",R182=S182)</f>
        <v/>
      </c>
      <c r="Z182" s="2" t="inlineStr">
        <is>
          <t>A</t>
        </is>
      </c>
      <c r="AA182" s="2" t="inlineStr">
        <is>
          <t>A</t>
        </is>
      </c>
      <c r="AB182" s="2">
        <f>AND(N182,O182,A182&lt;&gt;"census-mixed")</f>
        <v/>
      </c>
      <c r="AC182" s="2">
        <f>IF(AB182,Z182=AA182,"")</f>
        <v/>
      </c>
    </row>
    <row r="183">
      <c r="A183" s="2" t="inlineStr">
        <is>
          <t>census</t>
        </is>
      </c>
      <c r="B183" s="2" t="inlineStr">
        <is>
          <t>browser firefox133</t>
        </is>
      </c>
      <c r="C183" s="2" t="inlineStr">
        <is>
          <t>skb-eval-8352-c5182</t>
        </is>
      </c>
      <c r="D183" s="2" t="n">
        <v>5182</v>
      </c>
      <c r="E183" s="2" t="n">
        <v>1828</v>
      </c>
      <c r="F183" s="2" t="n">
        <v>771</v>
      </c>
      <c r="G183" s="2" t="inlineStr">
        <is>
          <t>1301 1303 1302 c02b c02f cca9 cca8 c02c c030 c00a c009 c013 c014 009c 009d 002f 0035</t>
        </is>
      </c>
      <c r="H183" s="2" t="inlineStr">
        <is>
          <t>0304 0303</t>
        </is>
      </c>
      <c r="I183" s="2" t="n">
        <v>1</v>
      </c>
      <c r="J183" s="2" t="inlineStr">
        <is>
          <t>skb-eval-8352-c5182</t>
        </is>
      </c>
      <c r="K183" s="2" t="n">
        <v>1828</v>
      </c>
      <c r="L183" s="2" t="n">
        <v>771</v>
      </c>
      <c r="M183" s="2" t="n">
        <v>1443</v>
      </c>
      <c r="N183" s="2" t="b">
        <v>1</v>
      </c>
      <c r="O183" s="2" t="b">
        <v>0</v>
      </c>
      <c r="P183" s="2" t="inlineStr">
        <is>
          <t>1301 1303 1302 c02b c02f cca9 cca8 c02c c030 c00a c009 c013 c014 009c 009d 002f 0035</t>
        </is>
      </c>
      <c r="Q183" s="2" t="inlineStr"/>
      <c r="R183" s="2" t="inlineStr">
        <is>
          <t>violation</t>
        </is>
      </c>
      <c r="S183" s="2" t="inlineStr">
        <is>
          <t>violation</t>
        </is>
      </c>
      <c r="T183" s="2">
        <f>K183=E183</f>
        <v/>
      </c>
      <c r="U183" s="2">
        <f>L183=F183</f>
        <v/>
      </c>
      <c r="V183" s="2">
        <f>IF(N183,EXACT(P183,G183),"")</f>
        <v/>
      </c>
      <c r="W183" s="2">
        <f>IF(O183,EXACT(Q183,H183),"")</f>
        <v/>
      </c>
      <c r="X183" s="2">
        <f>J183=C183</f>
        <v/>
      </c>
      <c r="Y183" s="2">
        <f>IF(R183="unknown","",R183=S183)</f>
        <v/>
      </c>
      <c r="Z183" s="2" t="inlineStr">
        <is>
          <t>A</t>
        </is>
      </c>
      <c r="AA183" s="2" t="inlineStr">
        <is>
          <t>A</t>
        </is>
      </c>
      <c r="AB183" s="2">
        <f>AND(N183,O183,A183&lt;&gt;"census-mixed")</f>
        <v/>
      </c>
      <c r="AC183" s="2">
        <f>IF(AB183,Z183=AA183,"")</f>
        <v/>
      </c>
    </row>
    <row r="184">
      <c r="A184" s="2" t="inlineStr">
        <is>
          <t>census</t>
        </is>
      </c>
      <c r="B184" s="2" t="inlineStr">
        <is>
          <t>browser firefox133</t>
        </is>
      </c>
      <c r="C184" s="2" t="inlineStr">
        <is>
          <t>skb-eval-8352-c5183</t>
        </is>
      </c>
      <c r="D184" s="2" t="n">
        <v>5183</v>
      </c>
      <c r="E184" s="2" t="n">
        <v>1860</v>
      </c>
      <c r="F184" s="2" t="n">
        <v>771</v>
      </c>
      <c r="G184" s="2" t="inlineStr">
        <is>
          <t>1301 1303 1302 c02b c02f cca9 cca8 c02c c030 c00a c009 c013 c014 009c 009d 002f 0035</t>
        </is>
      </c>
      <c r="H184" s="2" t="inlineStr">
        <is>
          <t>0304 0303</t>
        </is>
      </c>
      <c r="I184" s="2" t="n">
        <v>1</v>
      </c>
      <c r="J184" s="2" t="inlineStr">
        <is>
          <t>skb-eval-8352-c5183</t>
        </is>
      </c>
      <c r="K184" s="2" t="n">
        <v>1860</v>
      </c>
      <c r="L184" s="2" t="n">
        <v>771</v>
      </c>
      <c r="M184" s="2" t="n">
        <v>1443</v>
      </c>
      <c r="N184" s="2" t="b">
        <v>1</v>
      </c>
      <c r="O184" s="2" t="b">
        <v>0</v>
      </c>
      <c r="P184" s="2" t="inlineStr">
        <is>
          <t>1301 1303 1302 c02b c02f cca9 cca8 c02c c030 c00a c009 c013 c014 009c 009d 002f 0035</t>
        </is>
      </c>
      <c r="Q184" s="2" t="inlineStr"/>
      <c r="R184" s="2" t="inlineStr">
        <is>
          <t>violation</t>
        </is>
      </c>
      <c r="S184" s="2" t="inlineStr">
        <is>
          <t>violation</t>
        </is>
      </c>
      <c r="T184" s="2">
        <f>K184=E184</f>
        <v/>
      </c>
      <c r="U184" s="2">
        <f>L184=F184</f>
        <v/>
      </c>
      <c r="V184" s="2">
        <f>IF(N184,EXACT(P184,G184),"")</f>
        <v/>
      </c>
      <c r="W184" s="2">
        <f>IF(O184,EXACT(Q184,H184),"")</f>
        <v/>
      </c>
      <c r="X184" s="2">
        <f>J184=C184</f>
        <v/>
      </c>
      <c r="Y184" s="2">
        <f>IF(R184="unknown","",R184=S184)</f>
        <v/>
      </c>
      <c r="Z184" s="2" t="inlineStr">
        <is>
          <t>A</t>
        </is>
      </c>
      <c r="AA184" s="2" t="inlineStr">
        <is>
          <t>A</t>
        </is>
      </c>
      <c r="AB184" s="2">
        <f>AND(N184,O184,A184&lt;&gt;"census-mixed")</f>
        <v/>
      </c>
      <c r="AC184" s="2">
        <f>IF(AB184,Z184=AA184,"")</f>
        <v/>
      </c>
    </row>
    <row r="185">
      <c r="A185" s="2" t="inlineStr">
        <is>
          <t>census</t>
        </is>
      </c>
      <c r="B185" s="2" t="inlineStr">
        <is>
          <t>browser firefox133</t>
        </is>
      </c>
      <c r="C185" s="2" t="inlineStr">
        <is>
          <t>skb-eval-8352-c5184</t>
        </is>
      </c>
      <c r="D185" s="2" t="n">
        <v>5184</v>
      </c>
      <c r="E185" s="2" t="n">
        <v>1892</v>
      </c>
      <c r="F185" s="2" t="n">
        <v>771</v>
      </c>
      <c r="G185" s="2" t="inlineStr">
        <is>
          <t>1301 1303 1302 c02b c02f cca9 cca8 c02c c030 c00a c009 c013 c014 009c 009d 002f 0035</t>
        </is>
      </c>
      <c r="H185" s="2" t="inlineStr">
        <is>
          <t>0304 0303</t>
        </is>
      </c>
      <c r="I185" s="2" t="n">
        <v>1</v>
      </c>
      <c r="J185" s="2" t="inlineStr">
        <is>
          <t>skb-eval-8352-c5184</t>
        </is>
      </c>
      <c r="K185" s="2" t="n">
        <v>1892</v>
      </c>
      <c r="L185" s="2" t="n">
        <v>771</v>
      </c>
      <c r="M185" s="2" t="n">
        <v>1443</v>
      </c>
      <c r="N185" s="2" t="b">
        <v>1</v>
      </c>
      <c r="O185" s="2" t="b">
        <v>0</v>
      </c>
      <c r="P185" s="2" t="inlineStr">
        <is>
          <t>1301 1303 1302 c02b c02f cca9 cca8 c02c c030 c00a c009 c013 c014 009c 009d 002f 0035</t>
        </is>
      </c>
      <c r="Q185" s="2" t="inlineStr"/>
      <c r="R185" s="2" t="inlineStr">
        <is>
          <t>violation</t>
        </is>
      </c>
      <c r="S185" s="2" t="inlineStr">
        <is>
          <t>violation</t>
        </is>
      </c>
      <c r="T185" s="2">
        <f>K185=E185</f>
        <v/>
      </c>
      <c r="U185" s="2">
        <f>L185=F185</f>
        <v/>
      </c>
      <c r="V185" s="2">
        <f>IF(N185,EXACT(P185,G185),"")</f>
        <v/>
      </c>
      <c r="W185" s="2">
        <f>IF(O185,EXACT(Q185,H185),"")</f>
        <v/>
      </c>
      <c r="X185" s="2">
        <f>J185=C185</f>
        <v/>
      </c>
      <c r="Y185" s="2">
        <f>IF(R185="unknown","",R185=S185)</f>
        <v/>
      </c>
      <c r="Z185" s="2" t="inlineStr">
        <is>
          <t>A</t>
        </is>
      </c>
      <c r="AA185" s="2" t="inlineStr">
        <is>
          <t>A</t>
        </is>
      </c>
      <c r="AB185" s="2">
        <f>AND(N185,O185,A185&lt;&gt;"census-mixed")</f>
        <v/>
      </c>
      <c r="AC185" s="2">
        <f>IF(AB185,Z185=AA185,"")</f>
        <v/>
      </c>
    </row>
    <row r="186">
      <c r="A186" s="2" t="inlineStr">
        <is>
          <t>census</t>
        </is>
      </c>
      <c r="B186" s="2" t="inlineStr">
        <is>
          <t>browser firefox133</t>
        </is>
      </c>
      <c r="C186" s="2" t="inlineStr">
        <is>
          <t>skb-eval-8352-c5185</t>
        </is>
      </c>
      <c r="D186" s="2" t="n">
        <v>5185</v>
      </c>
      <c r="E186" s="2" t="n">
        <v>1860</v>
      </c>
      <c r="F186" s="2" t="n">
        <v>771</v>
      </c>
      <c r="G186" s="2" t="inlineStr">
        <is>
          <t>1301 1303 1302 c02b c02f cca9 cca8 c02c c030 c00a c009 c013 c014 009c 009d 002f 0035</t>
        </is>
      </c>
      <c r="H186" s="2" t="inlineStr">
        <is>
          <t>0304 0303</t>
        </is>
      </c>
      <c r="I186" s="2" t="n">
        <v>1</v>
      </c>
      <c r="J186" s="2" t="inlineStr">
        <is>
          <t>skb-eval-8352-c5185</t>
        </is>
      </c>
      <c r="K186" s="2" t="n">
        <v>1860</v>
      </c>
      <c r="L186" s="2" t="n">
        <v>771</v>
      </c>
      <c r="M186" s="2" t="n">
        <v>1443</v>
      </c>
      <c r="N186" s="2" t="b">
        <v>1</v>
      </c>
      <c r="O186" s="2" t="b">
        <v>0</v>
      </c>
      <c r="P186" s="2" t="inlineStr">
        <is>
          <t>1301 1303 1302 c02b c02f cca9 cca8 c02c c030 c00a c009 c013 c014 009c 009d 002f 0035</t>
        </is>
      </c>
      <c r="Q186" s="2" t="inlineStr"/>
      <c r="R186" s="2" t="inlineStr">
        <is>
          <t>violation</t>
        </is>
      </c>
      <c r="S186" s="2" t="inlineStr">
        <is>
          <t>violation</t>
        </is>
      </c>
      <c r="T186" s="2">
        <f>K186=E186</f>
        <v/>
      </c>
      <c r="U186" s="2">
        <f>L186=F186</f>
        <v/>
      </c>
      <c r="V186" s="2">
        <f>IF(N186,EXACT(P186,G186),"")</f>
        <v/>
      </c>
      <c r="W186" s="2">
        <f>IF(O186,EXACT(Q186,H186),"")</f>
        <v/>
      </c>
      <c r="X186" s="2">
        <f>J186=C186</f>
        <v/>
      </c>
      <c r="Y186" s="2">
        <f>IF(R186="unknown","",R186=S186)</f>
        <v/>
      </c>
      <c r="Z186" s="2" t="inlineStr">
        <is>
          <t>A</t>
        </is>
      </c>
      <c r="AA186" s="2" t="inlineStr">
        <is>
          <t>A</t>
        </is>
      </c>
      <c r="AB186" s="2">
        <f>AND(N186,O186,A186&lt;&gt;"census-mixed")</f>
        <v/>
      </c>
      <c r="AC186" s="2">
        <f>IF(AB186,Z186=AA186,"")</f>
        <v/>
      </c>
    </row>
    <row r="187">
      <c r="A187" s="2" t="inlineStr">
        <is>
          <t>census</t>
        </is>
      </c>
      <c r="B187" s="2" t="inlineStr">
        <is>
          <t>browser firefox133</t>
        </is>
      </c>
      <c r="C187" s="2" t="inlineStr">
        <is>
          <t>skb-eval-8352-c5186</t>
        </is>
      </c>
      <c r="D187" s="2" t="n">
        <v>5186</v>
      </c>
      <c r="E187" s="2" t="n">
        <v>1860</v>
      </c>
      <c r="F187" s="2" t="n">
        <v>771</v>
      </c>
      <c r="G187" s="2" t="inlineStr">
        <is>
          <t>1301 1303 1302 c02b c02f cca9 cca8 c02c c030 c00a c009 c013 c014 009c 009d 002f 0035</t>
        </is>
      </c>
      <c r="H187" s="2" t="inlineStr">
        <is>
          <t>0304 0303</t>
        </is>
      </c>
      <c r="I187" s="2" t="n">
        <v>1</v>
      </c>
      <c r="J187" s="2" t="inlineStr">
        <is>
          <t>skb-eval-8352-c5186</t>
        </is>
      </c>
      <c r="K187" s="2" t="n">
        <v>1860</v>
      </c>
      <c r="L187" s="2" t="n">
        <v>771</v>
      </c>
      <c r="M187" s="2" t="n">
        <v>1443</v>
      </c>
      <c r="N187" s="2" t="b">
        <v>1</v>
      </c>
      <c r="O187" s="2" t="b">
        <v>0</v>
      </c>
      <c r="P187" s="2" t="inlineStr">
        <is>
          <t>1301 1303 1302 c02b c02f cca9 cca8 c02c c030 c00a c009 c013 c014 009c 009d 002f 0035</t>
        </is>
      </c>
      <c r="Q187" s="2" t="inlineStr"/>
      <c r="R187" s="2" t="inlineStr">
        <is>
          <t>violation</t>
        </is>
      </c>
      <c r="S187" s="2" t="inlineStr">
        <is>
          <t>violation</t>
        </is>
      </c>
      <c r="T187" s="2">
        <f>K187=E187</f>
        <v/>
      </c>
      <c r="U187" s="2">
        <f>L187=F187</f>
        <v/>
      </c>
      <c r="V187" s="2">
        <f>IF(N187,EXACT(P187,G187),"")</f>
        <v/>
      </c>
      <c r="W187" s="2">
        <f>IF(O187,EXACT(Q187,H187),"")</f>
        <v/>
      </c>
      <c r="X187" s="2">
        <f>J187=C187</f>
        <v/>
      </c>
      <c r="Y187" s="2">
        <f>IF(R187="unknown","",R187=S187)</f>
        <v/>
      </c>
      <c r="Z187" s="2" t="inlineStr">
        <is>
          <t>A</t>
        </is>
      </c>
      <c r="AA187" s="2" t="inlineStr">
        <is>
          <t>A</t>
        </is>
      </c>
      <c r="AB187" s="2">
        <f>AND(N187,O187,A187&lt;&gt;"census-mixed")</f>
        <v/>
      </c>
      <c r="AC187" s="2">
        <f>IF(AB187,Z187=AA187,"")</f>
        <v/>
      </c>
    </row>
    <row r="188">
      <c r="A188" s="2" t="inlineStr">
        <is>
          <t>census</t>
        </is>
      </c>
      <c r="B188" s="2" t="inlineStr">
        <is>
          <t>browser firefox133</t>
        </is>
      </c>
      <c r="C188" s="2" t="inlineStr">
        <is>
          <t>skb-eval-8352-c5187</t>
        </is>
      </c>
      <c r="D188" s="2" t="n">
        <v>5187</v>
      </c>
      <c r="E188" s="2" t="n">
        <v>1860</v>
      </c>
      <c r="F188" s="2" t="n">
        <v>771</v>
      </c>
      <c r="G188" s="2" t="inlineStr">
        <is>
          <t>1301 1303 1302 c02b c02f cca9 cca8 c02c c030 c00a c009 c013 c014 009c 009d 002f 0035</t>
        </is>
      </c>
      <c r="H188" s="2" t="inlineStr">
        <is>
          <t>0304 0303</t>
        </is>
      </c>
      <c r="I188" s="2" t="n">
        <v>1</v>
      </c>
      <c r="J188" s="2" t="inlineStr">
        <is>
          <t>skb-eval-8352-c5187</t>
        </is>
      </c>
      <c r="K188" s="2" t="n">
        <v>1860</v>
      </c>
      <c r="L188" s="2" t="n">
        <v>771</v>
      </c>
      <c r="M188" s="2" t="n">
        <v>1443</v>
      </c>
      <c r="N188" s="2" t="b">
        <v>1</v>
      </c>
      <c r="O188" s="2" t="b">
        <v>0</v>
      </c>
      <c r="P188" s="2" t="inlineStr">
        <is>
          <t>1301 1303 1302 c02b c02f cca9 cca8 c02c c030 c00a c009 c013 c014 009c 009d 002f 0035</t>
        </is>
      </c>
      <c r="Q188" s="2" t="inlineStr"/>
      <c r="R188" s="2" t="inlineStr">
        <is>
          <t>violation</t>
        </is>
      </c>
      <c r="S188" s="2" t="inlineStr">
        <is>
          <t>violation</t>
        </is>
      </c>
      <c r="T188" s="2">
        <f>K188=E188</f>
        <v/>
      </c>
      <c r="U188" s="2">
        <f>L188=F188</f>
        <v/>
      </c>
      <c r="V188" s="2">
        <f>IF(N188,EXACT(P188,G188),"")</f>
        <v/>
      </c>
      <c r="W188" s="2">
        <f>IF(O188,EXACT(Q188,H188),"")</f>
        <v/>
      </c>
      <c r="X188" s="2">
        <f>J188=C188</f>
        <v/>
      </c>
      <c r="Y188" s="2">
        <f>IF(R188="unknown","",R188=S188)</f>
        <v/>
      </c>
      <c r="Z188" s="2" t="inlineStr">
        <is>
          <t>A</t>
        </is>
      </c>
      <c r="AA188" s="2" t="inlineStr">
        <is>
          <t>A</t>
        </is>
      </c>
      <c r="AB188" s="2">
        <f>AND(N188,O188,A188&lt;&gt;"census-mixed")</f>
        <v/>
      </c>
      <c r="AC188" s="2">
        <f>IF(AB188,Z188=AA188,"")</f>
        <v/>
      </c>
    </row>
    <row r="189">
      <c r="A189" s="2" t="inlineStr">
        <is>
          <t>census</t>
        </is>
      </c>
      <c r="B189" s="2" t="inlineStr">
        <is>
          <t>browser firefox133</t>
        </is>
      </c>
      <c r="C189" s="2" t="inlineStr">
        <is>
          <t>skb-eval-8352-c5188</t>
        </is>
      </c>
      <c r="D189" s="2" t="n">
        <v>5188</v>
      </c>
      <c r="E189" s="2" t="n">
        <v>1860</v>
      </c>
      <c r="F189" s="2" t="n">
        <v>771</v>
      </c>
      <c r="G189" s="2" t="inlineStr">
        <is>
          <t>1301 1303 1302 c02b c02f cca9 cca8 c02c c030 c00a c009 c013 c014 009c 009d 002f 0035</t>
        </is>
      </c>
      <c r="H189" s="2" t="inlineStr">
        <is>
          <t>0304 0303</t>
        </is>
      </c>
      <c r="I189" s="2" t="n">
        <v>1</v>
      </c>
      <c r="J189" s="2" t="inlineStr">
        <is>
          <t>skb-eval-8352-c5188</t>
        </is>
      </c>
      <c r="K189" s="2" t="n">
        <v>1860</v>
      </c>
      <c r="L189" s="2" t="n">
        <v>771</v>
      </c>
      <c r="M189" s="2" t="n">
        <v>1443</v>
      </c>
      <c r="N189" s="2" t="b">
        <v>1</v>
      </c>
      <c r="O189" s="2" t="b">
        <v>0</v>
      </c>
      <c r="P189" s="2" t="inlineStr">
        <is>
          <t>1301 1303 1302 c02b c02f cca9 cca8 c02c c030 c00a c009 c013 c014 009c 009d 002f 0035</t>
        </is>
      </c>
      <c r="Q189" s="2" t="inlineStr"/>
      <c r="R189" s="2" t="inlineStr">
        <is>
          <t>violation</t>
        </is>
      </c>
      <c r="S189" s="2" t="inlineStr">
        <is>
          <t>violation</t>
        </is>
      </c>
      <c r="T189" s="2">
        <f>K189=E189</f>
        <v/>
      </c>
      <c r="U189" s="2">
        <f>L189=F189</f>
        <v/>
      </c>
      <c r="V189" s="2">
        <f>IF(N189,EXACT(P189,G189),"")</f>
        <v/>
      </c>
      <c r="W189" s="2">
        <f>IF(O189,EXACT(Q189,H189),"")</f>
        <v/>
      </c>
      <c r="X189" s="2">
        <f>J189=C189</f>
        <v/>
      </c>
      <c r="Y189" s="2">
        <f>IF(R189="unknown","",R189=S189)</f>
        <v/>
      </c>
      <c r="Z189" s="2" t="inlineStr">
        <is>
          <t>A</t>
        </is>
      </c>
      <c r="AA189" s="2" t="inlineStr">
        <is>
          <t>A</t>
        </is>
      </c>
      <c r="AB189" s="2">
        <f>AND(N189,O189,A189&lt;&gt;"census-mixed")</f>
        <v/>
      </c>
      <c r="AC189" s="2">
        <f>IF(AB189,Z189=AA189,"")</f>
        <v/>
      </c>
    </row>
    <row r="190">
      <c r="A190" s="2" t="inlineStr">
        <is>
          <t>census</t>
        </is>
      </c>
      <c r="B190" s="2" t="inlineStr">
        <is>
          <t>browser firefox133</t>
        </is>
      </c>
      <c r="C190" s="2" t="inlineStr">
        <is>
          <t>skb-eval-8352-c5189</t>
        </is>
      </c>
      <c r="D190" s="2" t="n">
        <v>5189</v>
      </c>
      <c r="E190" s="2" t="n">
        <v>1892</v>
      </c>
      <c r="F190" s="2" t="n">
        <v>771</v>
      </c>
      <c r="G190" s="2" t="inlineStr">
        <is>
          <t>1301 1303 1302 c02b c02f cca9 cca8 c02c c030 c00a c009 c013 c014 009c 009d 002f 0035</t>
        </is>
      </c>
      <c r="H190" s="2" t="inlineStr">
        <is>
          <t>0304 0303</t>
        </is>
      </c>
      <c r="I190" s="2" t="n">
        <v>1</v>
      </c>
      <c r="J190" s="2" t="inlineStr">
        <is>
          <t>skb-eval-8352-c5189</t>
        </is>
      </c>
      <c r="K190" s="2" t="n">
        <v>1892</v>
      </c>
      <c r="L190" s="2" t="n">
        <v>771</v>
      </c>
      <c r="M190" s="2" t="n">
        <v>1443</v>
      </c>
      <c r="N190" s="2" t="b">
        <v>1</v>
      </c>
      <c r="O190" s="2" t="b">
        <v>0</v>
      </c>
      <c r="P190" s="2" t="inlineStr">
        <is>
          <t>1301 1303 1302 c02b c02f cca9 cca8 c02c c030 c00a c009 c013 c014 009c 009d 002f 0035</t>
        </is>
      </c>
      <c r="Q190" s="2" t="inlineStr"/>
      <c r="R190" s="2" t="inlineStr">
        <is>
          <t>violation</t>
        </is>
      </c>
      <c r="S190" s="2" t="inlineStr">
        <is>
          <t>violation</t>
        </is>
      </c>
      <c r="T190" s="2">
        <f>K190=E190</f>
        <v/>
      </c>
      <c r="U190" s="2">
        <f>L190=F190</f>
        <v/>
      </c>
      <c r="V190" s="2">
        <f>IF(N190,EXACT(P190,G190),"")</f>
        <v/>
      </c>
      <c r="W190" s="2">
        <f>IF(O190,EXACT(Q190,H190),"")</f>
        <v/>
      </c>
      <c r="X190" s="2">
        <f>J190=C190</f>
        <v/>
      </c>
      <c r="Y190" s="2">
        <f>IF(R190="unknown","",R190=S190)</f>
        <v/>
      </c>
      <c r="Z190" s="2" t="inlineStr">
        <is>
          <t>A</t>
        </is>
      </c>
      <c r="AA190" s="2" t="inlineStr">
        <is>
          <t>A</t>
        </is>
      </c>
      <c r="AB190" s="2">
        <f>AND(N190,O190,A190&lt;&gt;"census-mixed")</f>
        <v/>
      </c>
      <c r="AC190" s="2">
        <f>IF(AB190,Z190=AA190,"")</f>
        <v/>
      </c>
    </row>
    <row r="191">
      <c r="A191" s="2" t="inlineStr">
        <is>
          <t>census</t>
        </is>
      </c>
      <c r="B191" s="2" t="inlineStr">
        <is>
          <t>browser firefox133</t>
        </is>
      </c>
      <c r="C191" s="2" t="inlineStr">
        <is>
          <t>skb-eval-8352-c5190</t>
        </is>
      </c>
      <c r="D191" s="2" t="n">
        <v>5190</v>
      </c>
      <c r="E191" s="2" t="n">
        <v>1796</v>
      </c>
      <c r="F191" s="2" t="n">
        <v>771</v>
      </c>
      <c r="G191" s="2" t="inlineStr">
        <is>
          <t>1301 1303 1302 c02b c02f cca9 cca8 c02c c030 c00a c009 c013 c014 009c 009d 002f 0035</t>
        </is>
      </c>
      <c r="H191" s="2" t="inlineStr">
        <is>
          <t>0304 0303</t>
        </is>
      </c>
      <c r="I191" s="2" t="n">
        <v>1</v>
      </c>
      <c r="J191" s="2" t="inlineStr">
        <is>
          <t>skb-eval-8352-c5190</t>
        </is>
      </c>
      <c r="K191" s="2" t="n">
        <v>1796</v>
      </c>
      <c r="L191" s="2" t="n">
        <v>771</v>
      </c>
      <c r="M191" s="2" t="n">
        <v>1443</v>
      </c>
      <c r="N191" s="2" t="b">
        <v>1</v>
      </c>
      <c r="O191" s="2" t="b">
        <v>0</v>
      </c>
      <c r="P191" s="2" t="inlineStr">
        <is>
          <t>1301 1303 1302 c02b c02f cca9 cca8 c02c c030 c00a c009 c013 c014 009c 009d 002f 0035</t>
        </is>
      </c>
      <c r="Q191" s="2" t="inlineStr"/>
      <c r="R191" s="2" t="inlineStr">
        <is>
          <t>violation</t>
        </is>
      </c>
      <c r="S191" s="2" t="inlineStr">
        <is>
          <t>violation</t>
        </is>
      </c>
      <c r="T191" s="2">
        <f>K191=E191</f>
        <v/>
      </c>
      <c r="U191" s="2">
        <f>L191=F191</f>
        <v/>
      </c>
      <c r="V191" s="2">
        <f>IF(N191,EXACT(P191,G191),"")</f>
        <v/>
      </c>
      <c r="W191" s="2">
        <f>IF(O191,EXACT(Q191,H191),"")</f>
        <v/>
      </c>
      <c r="X191" s="2">
        <f>J191=C191</f>
        <v/>
      </c>
      <c r="Y191" s="2">
        <f>IF(R191="unknown","",R191=S191)</f>
        <v/>
      </c>
      <c r="Z191" s="2" t="inlineStr">
        <is>
          <t>A</t>
        </is>
      </c>
      <c r="AA191" s="2" t="inlineStr">
        <is>
          <t>A</t>
        </is>
      </c>
      <c r="AB191" s="2">
        <f>AND(N191,O191,A191&lt;&gt;"census-mixed")</f>
        <v/>
      </c>
      <c r="AC191" s="2">
        <f>IF(AB191,Z191=AA191,"")</f>
        <v/>
      </c>
    </row>
    <row r="192">
      <c r="A192" s="2" t="inlineStr">
        <is>
          <t>census</t>
        </is>
      </c>
      <c r="B192" s="2" t="inlineStr">
        <is>
          <t>browser firefox147</t>
        </is>
      </c>
      <c r="C192" s="2" t="inlineStr">
        <is>
          <t>skb-eval-8352-c5191</t>
        </is>
      </c>
      <c r="D192" s="2" t="n">
        <v>5191</v>
      </c>
      <c r="E192" s="2" t="n">
        <v>1800</v>
      </c>
      <c r="F192" s="2" t="n">
        <v>771</v>
      </c>
      <c r="G192" s="2" t="inlineStr">
        <is>
          <t>1301 1303 1302 c02b c02f cca9 cca8 c02c c030 c00a c009 c013 c014 009c 009d 002f 0035</t>
        </is>
      </c>
      <c r="H192" s="2" t="inlineStr">
        <is>
          <t>0304 0303</t>
        </is>
      </c>
      <c r="I192" s="2" t="n">
        <v>1</v>
      </c>
      <c r="J192" s="2" t="inlineStr">
        <is>
          <t>skb-eval-8352-c5191</t>
        </is>
      </c>
      <c r="K192" s="2" t="n">
        <v>1800</v>
      </c>
      <c r="L192" s="2" t="n">
        <v>771</v>
      </c>
      <c r="M192" s="2" t="n">
        <v>1443</v>
      </c>
      <c r="N192" s="2" t="b">
        <v>1</v>
      </c>
      <c r="O192" s="2" t="b">
        <v>0</v>
      </c>
      <c r="P192" s="2" t="inlineStr">
        <is>
          <t>1301 1303 1302 c02b c02f cca9 cca8 c02c c030 c00a c009 c013 c014 009c 009d 002f 0035</t>
        </is>
      </c>
      <c r="Q192" s="2" t="inlineStr"/>
      <c r="R192" s="2" t="inlineStr">
        <is>
          <t>violation</t>
        </is>
      </c>
      <c r="S192" s="2" t="inlineStr">
        <is>
          <t>violation</t>
        </is>
      </c>
      <c r="T192" s="2">
        <f>K192=E192</f>
        <v/>
      </c>
      <c r="U192" s="2">
        <f>L192=F192</f>
        <v/>
      </c>
      <c r="V192" s="2">
        <f>IF(N192,EXACT(P192,G192),"")</f>
        <v/>
      </c>
      <c r="W192" s="2">
        <f>IF(O192,EXACT(Q192,H192),"")</f>
        <v/>
      </c>
      <c r="X192" s="2">
        <f>J192=C192</f>
        <v/>
      </c>
      <c r="Y192" s="2">
        <f>IF(R192="unknown","",R192=S192)</f>
        <v/>
      </c>
      <c r="Z192" s="2" t="inlineStr">
        <is>
          <t>A</t>
        </is>
      </c>
      <c r="AA192" s="2" t="inlineStr">
        <is>
          <t>A</t>
        </is>
      </c>
      <c r="AB192" s="2">
        <f>AND(N192,O192,A192&lt;&gt;"census-mixed")</f>
        <v/>
      </c>
      <c r="AC192" s="2">
        <f>IF(AB192,Z192=AA192,"")</f>
        <v/>
      </c>
    </row>
    <row r="193">
      <c r="A193" s="2" t="inlineStr">
        <is>
          <t>census</t>
        </is>
      </c>
      <c r="B193" s="2" t="inlineStr">
        <is>
          <t>browser firefox147</t>
        </is>
      </c>
      <c r="C193" s="2" t="inlineStr">
        <is>
          <t>skb-eval-8352-c5192</t>
        </is>
      </c>
      <c r="D193" s="2" t="n">
        <v>5192</v>
      </c>
      <c r="E193" s="2" t="n">
        <v>1800</v>
      </c>
      <c r="F193" s="2" t="n">
        <v>771</v>
      </c>
      <c r="G193" s="2" t="inlineStr">
        <is>
          <t>1301 1303 1302 c02b c02f cca9 cca8 c02c c030 c00a c009 c013 c014 009c 009d 002f 0035</t>
        </is>
      </c>
      <c r="H193" s="2" t="inlineStr">
        <is>
          <t>0304 0303</t>
        </is>
      </c>
      <c r="I193" s="2" t="n">
        <v>1</v>
      </c>
      <c r="J193" s="2" t="inlineStr">
        <is>
          <t>skb-eval-8352-c5192</t>
        </is>
      </c>
      <c r="K193" s="2" t="n">
        <v>1800</v>
      </c>
      <c r="L193" s="2" t="n">
        <v>771</v>
      </c>
      <c r="M193" s="2" t="n">
        <v>1443</v>
      </c>
      <c r="N193" s="2" t="b">
        <v>1</v>
      </c>
      <c r="O193" s="2" t="b">
        <v>0</v>
      </c>
      <c r="P193" s="2" t="inlineStr">
        <is>
          <t>1301 1303 1302 c02b c02f cca9 cca8 c02c c030 c00a c009 c013 c014 009c 009d 002f 0035</t>
        </is>
      </c>
      <c r="Q193" s="2" t="inlineStr"/>
      <c r="R193" s="2" t="inlineStr">
        <is>
          <t>violation</t>
        </is>
      </c>
      <c r="S193" s="2" t="inlineStr">
        <is>
          <t>violation</t>
        </is>
      </c>
      <c r="T193" s="2">
        <f>K193=E193</f>
        <v/>
      </c>
      <c r="U193" s="2">
        <f>L193=F193</f>
        <v/>
      </c>
      <c r="V193" s="2">
        <f>IF(N193,EXACT(P193,G193),"")</f>
        <v/>
      </c>
      <c r="W193" s="2">
        <f>IF(O193,EXACT(Q193,H193),"")</f>
        <v/>
      </c>
      <c r="X193" s="2">
        <f>J193=C193</f>
        <v/>
      </c>
      <c r="Y193" s="2">
        <f>IF(R193="unknown","",R193=S193)</f>
        <v/>
      </c>
      <c r="Z193" s="2" t="inlineStr">
        <is>
          <t>A</t>
        </is>
      </c>
      <c r="AA193" s="2" t="inlineStr">
        <is>
          <t>A</t>
        </is>
      </c>
      <c r="AB193" s="2">
        <f>AND(N193,O193,A193&lt;&gt;"census-mixed")</f>
        <v/>
      </c>
      <c r="AC193" s="2">
        <f>IF(AB193,Z193=AA193,"")</f>
        <v/>
      </c>
    </row>
    <row r="194">
      <c r="A194" s="2" t="inlineStr">
        <is>
          <t>census</t>
        </is>
      </c>
      <c r="B194" s="2" t="inlineStr">
        <is>
          <t>browser firefox147</t>
        </is>
      </c>
      <c r="C194" s="2" t="inlineStr">
        <is>
          <t>skb-eval-8352-c5193</t>
        </is>
      </c>
      <c r="D194" s="2" t="n">
        <v>5193</v>
      </c>
      <c r="E194" s="2" t="n">
        <v>1832</v>
      </c>
      <c r="F194" s="2" t="n">
        <v>771</v>
      </c>
      <c r="G194" s="2" t="inlineStr">
        <is>
          <t>1301 1303 1302 c02b c02f cca9 cca8 c02c c030 c00a c009 c013 c014 009c 009d 002f 0035</t>
        </is>
      </c>
      <c r="H194" s="2" t="inlineStr">
        <is>
          <t>0304 0303</t>
        </is>
      </c>
      <c r="I194" s="2" t="n">
        <v>1</v>
      </c>
      <c r="J194" s="2" t="inlineStr">
        <is>
          <t>skb-eval-8352-c5193</t>
        </is>
      </c>
      <c r="K194" s="2" t="n">
        <v>1832</v>
      </c>
      <c r="L194" s="2" t="n">
        <v>771</v>
      </c>
      <c r="M194" s="2" t="n">
        <v>1443</v>
      </c>
      <c r="N194" s="2" t="b">
        <v>1</v>
      </c>
      <c r="O194" s="2" t="b">
        <v>0</v>
      </c>
      <c r="P194" s="2" t="inlineStr">
        <is>
          <t>1301 1303 1302 c02b c02f cca9 cca8 c02c c030 c00a c009 c013 c014 009c 009d 002f 0035</t>
        </is>
      </c>
      <c r="Q194" s="2" t="inlineStr"/>
      <c r="R194" s="2" t="inlineStr">
        <is>
          <t>violation</t>
        </is>
      </c>
      <c r="S194" s="2" t="inlineStr">
        <is>
          <t>violation</t>
        </is>
      </c>
      <c r="T194" s="2">
        <f>K194=E194</f>
        <v/>
      </c>
      <c r="U194" s="2">
        <f>L194=F194</f>
        <v/>
      </c>
      <c r="V194" s="2">
        <f>IF(N194,EXACT(P194,G194),"")</f>
        <v/>
      </c>
      <c r="W194" s="2">
        <f>IF(O194,EXACT(Q194,H194),"")</f>
        <v/>
      </c>
      <c r="X194" s="2">
        <f>J194=C194</f>
        <v/>
      </c>
      <c r="Y194" s="2">
        <f>IF(R194="unknown","",R194=S194)</f>
        <v/>
      </c>
      <c r="Z194" s="2" t="inlineStr">
        <is>
          <t>A</t>
        </is>
      </c>
      <c r="AA194" s="2" t="inlineStr">
        <is>
          <t>A</t>
        </is>
      </c>
      <c r="AB194" s="2">
        <f>AND(N194,O194,A194&lt;&gt;"census-mixed")</f>
        <v/>
      </c>
      <c r="AC194" s="2">
        <f>IF(AB194,Z194=AA194,"")</f>
        <v/>
      </c>
    </row>
    <row r="195">
      <c r="A195" s="2" t="inlineStr">
        <is>
          <t>census</t>
        </is>
      </c>
      <c r="B195" s="2" t="inlineStr">
        <is>
          <t>browser firefox147</t>
        </is>
      </c>
      <c r="C195" s="2" t="inlineStr">
        <is>
          <t>skb-eval-8352-c5194</t>
        </is>
      </c>
      <c r="D195" s="2" t="n">
        <v>5194</v>
      </c>
      <c r="E195" s="2" t="n">
        <v>1800</v>
      </c>
      <c r="F195" s="2" t="n">
        <v>771</v>
      </c>
      <c r="G195" s="2" t="inlineStr">
        <is>
          <t>1301 1303 1302 c02b c02f cca9 cca8 c02c c030 c00a c009 c013 c014 009c 009d 002f 0035</t>
        </is>
      </c>
      <c r="H195" s="2" t="inlineStr">
        <is>
          <t>0304 0303</t>
        </is>
      </c>
      <c r="I195" s="2" t="n">
        <v>1</v>
      </c>
      <c r="J195" s="2" t="inlineStr">
        <is>
          <t>skb-eval-8352-c5194</t>
        </is>
      </c>
      <c r="K195" s="2" t="n">
        <v>1800</v>
      </c>
      <c r="L195" s="2" t="n">
        <v>771</v>
      </c>
      <c r="M195" s="2" t="n">
        <v>1443</v>
      </c>
      <c r="N195" s="2" t="b">
        <v>1</v>
      </c>
      <c r="O195" s="2" t="b">
        <v>0</v>
      </c>
      <c r="P195" s="2" t="inlineStr">
        <is>
          <t>1301 1303 1302 c02b c02f cca9 cca8 c02c c030 c00a c009 c013 c014 009c 009d 002f 0035</t>
        </is>
      </c>
      <c r="Q195" s="2" t="inlineStr"/>
      <c r="R195" s="2" t="inlineStr">
        <is>
          <t>violation</t>
        </is>
      </c>
      <c r="S195" s="2" t="inlineStr">
        <is>
          <t>violation</t>
        </is>
      </c>
      <c r="T195" s="2">
        <f>K195=E195</f>
        <v/>
      </c>
      <c r="U195" s="2">
        <f>L195=F195</f>
        <v/>
      </c>
      <c r="V195" s="2">
        <f>IF(N195,EXACT(P195,G195),"")</f>
        <v/>
      </c>
      <c r="W195" s="2">
        <f>IF(O195,EXACT(Q195,H195),"")</f>
        <v/>
      </c>
      <c r="X195" s="2">
        <f>J195=C195</f>
        <v/>
      </c>
      <c r="Y195" s="2">
        <f>IF(R195="unknown","",R195=S195)</f>
        <v/>
      </c>
      <c r="Z195" s="2" t="inlineStr">
        <is>
          <t>A</t>
        </is>
      </c>
      <c r="AA195" s="2" t="inlineStr">
        <is>
          <t>A</t>
        </is>
      </c>
      <c r="AB195" s="2">
        <f>AND(N195,O195,A195&lt;&gt;"census-mixed")</f>
        <v/>
      </c>
      <c r="AC195" s="2">
        <f>IF(AB195,Z195=AA195,"")</f>
        <v/>
      </c>
    </row>
    <row r="196">
      <c r="A196" s="2" t="inlineStr">
        <is>
          <t>census</t>
        </is>
      </c>
      <c r="B196" s="2" t="inlineStr">
        <is>
          <t>browser firefox147</t>
        </is>
      </c>
      <c r="C196" s="2" t="inlineStr">
        <is>
          <t>skb-eval-8352-c5195</t>
        </is>
      </c>
      <c r="D196" s="2" t="n">
        <v>5195</v>
      </c>
      <c r="E196" s="2" t="n">
        <v>1896</v>
      </c>
      <c r="F196" s="2" t="n">
        <v>771</v>
      </c>
      <c r="G196" s="2" t="inlineStr">
        <is>
          <t>1301 1303 1302 c02b c02f cca9 cca8 c02c c030 c00a c009 c013 c014 009c 009d 002f 0035</t>
        </is>
      </c>
      <c r="H196" s="2" t="inlineStr">
        <is>
          <t>0304 0303</t>
        </is>
      </c>
      <c r="I196" s="2" t="n">
        <v>1</v>
      </c>
      <c r="J196" s="2" t="inlineStr">
        <is>
          <t>skb-eval-8352-c5195</t>
        </is>
      </c>
      <c r="K196" s="2" t="n">
        <v>1896</v>
      </c>
      <c r="L196" s="2" t="n">
        <v>771</v>
      </c>
      <c r="M196" s="2" t="n">
        <v>1443</v>
      </c>
      <c r="N196" s="2" t="b">
        <v>1</v>
      </c>
      <c r="O196" s="2" t="b">
        <v>0</v>
      </c>
      <c r="P196" s="2" t="inlineStr">
        <is>
          <t>1301 1303 1302 c02b c02f cca9 cca8 c02c c030 c00a c009 c013 c014 009c 009d 002f 0035</t>
        </is>
      </c>
      <c r="Q196" s="2" t="inlineStr"/>
      <c r="R196" s="2" t="inlineStr">
        <is>
          <t>violation</t>
        </is>
      </c>
      <c r="S196" s="2" t="inlineStr">
        <is>
          <t>violation</t>
        </is>
      </c>
      <c r="T196" s="2">
        <f>K196=E196</f>
        <v/>
      </c>
      <c r="U196" s="2">
        <f>L196=F196</f>
        <v/>
      </c>
      <c r="V196" s="2">
        <f>IF(N196,EXACT(P196,G196),"")</f>
        <v/>
      </c>
      <c r="W196" s="2">
        <f>IF(O196,EXACT(Q196,H196),"")</f>
        <v/>
      </c>
      <c r="X196" s="2">
        <f>J196=C196</f>
        <v/>
      </c>
      <c r="Y196" s="2">
        <f>IF(R196="unknown","",R196=S196)</f>
        <v/>
      </c>
      <c r="Z196" s="2" t="inlineStr">
        <is>
          <t>A</t>
        </is>
      </c>
      <c r="AA196" s="2" t="inlineStr">
        <is>
          <t>A</t>
        </is>
      </c>
      <c r="AB196" s="2">
        <f>AND(N196,O196,A196&lt;&gt;"census-mixed")</f>
        <v/>
      </c>
      <c r="AC196" s="2">
        <f>IF(AB196,Z196=AA196,"")</f>
        <v/>
      </c>
    </row>
    <row r="197">
      <c r="A197" s="2" t="inlineStr">
        <is>
          <t>census</t>
        </is>
      </c>
      <c r="B197" s="2" t="inlineStr">
        <is>
          <t>browser firefox147</t>
        </is>
      </c>
      <c r="C197" s="2" t="inlineStr">
        <is>
          <t>skb-eval-8352-c5196</t>
        </is>
      </c>
      <c r="D197" s="2" t="n">
        <v>5196</v>
      </c>
      <c r="E197" s="2" t="n">
        <v>1832</v>
      </c>
      <c r="F197" s="2" t="n">
        <v>771</v>
      </c>
      <c r="G197" s="2" t="inlineStr">
        <is>
          <t>1301 1303 1302 c02b c02f cca9 cca8 c02c c030 c00a c009 c013 c014 009c 009d 002f 0035</t>
        </is>
      </c>
      <c r="H197" s="2" t="inlineStr">
        <is>
          <t>0304 0303</t>
        </is>
      </c>
      <c r="I197" s="2" t="n">
        <v>1</v>
      </c>
      <c r="J197" s="2" t="inlineStr">
        <is>
          <t>skb-eval-8352-c5196</t>
        </is>
      </c>
      <c r="K197" s="2" t="n">
        <v>1832</v>
      </c>
      <c r="L197" s="2" t="n">
        <v>771</v>
      </c>
      <c r="M197" s="2" t="n">
        <v>1443</v>
      </c>
      <c r="N197" s="2" t="b">
        <v>1</v>
      </c>
      <c r="O197" s="2" t="b">
        <v>0</v>
      </c>
      <c r="P197" s="2" t="inlineStr">
        <is>
          <t>1301 1303 1302 c02b c02f cca9 cca8 c02c c030 c00a c009 c013 c014 009c 009d 002f 0035</t>
        </is>
      </c>
      <c r="Q197" s="2" t="inlineStr"/>
      <c r="R197" s="2" t="inlineStr">
        <is>
          <t>violation</t>
        </is>
      </c>
      <c r="S197" s="2" t="inlineStr">
        <is>
          <t>violation</t>
        </is>
      </c>
      <c r="T197" s="2">
        <f>K197=E197</f>
        <v/>
      </c>
      <c r="U197" s="2">
        <f>L197=F197</f>
        <v/>
      </c>
      <c r="V197" s="2">
        <f>IF(N197,EXACT(P197,G197),"")</f>
        <v/>
      </c>
      <c r="W197" s="2">
        <f>IF(O197,EXACT(Q197,H197),"")</f>
        <v/>
      </c>
      <c r="X197" s="2">
        <f>J197=C197</f>
        <v/>
      </c>
      <c r="Y197" s="2">
        <f>IF(R197="unknown","",R197=S197)</f>
        <v/>
      </c>
      <c r="Z197" s="2" t="inlineStr">
        <is>
          <t>A</t>
        </is>
      </c>
      <c r="AA197" s="2" t="inlineStr">
        <is>
          <t>A</t>
        </is>
      </c>
      <c r="AB197" s="2">
        <f>AND(N197,O197,A197&lt;&gt;"census-mixed")</f>
        <v/>
      </c>
      <c r="AC197" s="2">
        <f>IF(AB197,Z197=AA197,"")</f>
        <v/>
      </c>
    </row>
    <row r="198">
      <c r="A198" s="2" t="inlineStr">
        <is>
          <t>census</t>
        </is>
      </c>
      <c r="B198" s="2" t="inlineStr">
        <is>
          <t>browser firefox147</t>
        </is>
      </c>
      <c r="C198" s="2" t="inlineStr">
        <is>
          <t>skb-eval-8352-c5197</t>
        </is>
      </c>
      <c r="D198" s="2" t="n">
        <v>5197</v>
      </c>
      <c r="E198" s="2" t="n">
        <v>1896</v>
      </c>
      <c r="F198" s="2" t="n">
        <v>771</v>
      </c>
      <c r="G198" s="2" t="inlineStr">
        <is>
          <t>1301 1303 1302 c02b c02f cca9 cca8 c02c c030 c00a c009 c013 c014 009c 009d 002f 0035</t>
        </is>
      </c>
      <c r="H198" s="2" t="inlineStr">
        <is>
          <t>0304 0303</t>
        </is>
      </c>
      <c r="I198" s="2" t="n">
        <v>1</v>
      </c>
      <c r="J198" s="2" t="inlineStr">
        <is>
          <t>skb-eval-8352-c5197</t>
        </is>
      </c>
      <c r="K198" s="2" t="n">
        <v>1896</v>
      </c>
      <c r="L198" s="2" t="n">
        <v>771</v>
      </c>
      <c r="M198" s="2" t="n">
        <v>1443</v>
      </c>
      <c r="N198" s="2" t="b">
        <v>1</v>
      </c>
      <c r="O198" s="2" t="b">
        <v>0</v>
      </c>
      <c r="P198" s="2" t="inlineStr">
        <is>
          <t>1301 1303 1302 c02b c02f cca9 cca8 c02c c030 c00a c009 c013 c014 009c 009d 002f 0035</t>
        </is>
      </c>
      <c r="Q198" s="2" t="inlineStr"/>
      <c r="R198" s="2" t="inlineStr">
        <is>
          <t>violation</t>
        </is>
      </c>
      <c r="S198" s="2" t="inlineStr">
        <is>
          <t>violation</t>
        </is>
      </c>
      <c r="T198" s="2">
        <f>K198=E198</f>
        <v/>
      </c>
      <c r="U198" s="2">
        <f>L198=F198</f>
        <v/>
      </c>
      <c r="V198" s="2">
        <f>IF(N198,EXACT(P198,G198),"")</f>
        <v/>
      </c>
      <c r="W198" s="2">
        <f>IF(O198,EXACT(Q198,H198),"")</f>
        <v/>
      </c>
      <c r="X198" s="2">
        <f>J198=C198</f>
        <v/>
      </c>
      <c r="Y198" s="2">
        <f>IF(R198="unknown","",R198=S198)</f>
        <v/>
      </c>
      <c r="Z198" s="2" t="inlineStr">
        <is>
          <t>A</t>
        </is>
      </c>
      <c r="AA198" s="2" t="inlineStr">
        <is>
          <t>A</t>
        </is>
      </c>
      <c r="AB198" s="2">
        <f>AND(N198,O198,A198&lt;&gt;"census-mixed")</f>
        <v/>
      </c>
      <c r="AC198" s="2">
        <f>IF(AB198,Z198=AA198,"")</f>
        <v/>
      </c>
    </row>
    <row r="199">
      <c r="A199" s="2" t="inlineStr">
        <is>
          <t>census</t>
        </is>
      </c>
      <c r="B199" s="2" t="inlineStr">
        <is>
          <t>browser firefox147</t>
        </is>
      </c>
      <c r="C199" s="2" t="inlineStr">
        <is>
          <t>skb-eval-8352-c5198</t>
        </is>
      </c>
      <c r="D199" s="2" t="n">
        <v>5198</v>
      </c>
      <c r="E199" s="2" t="n">
        <v>1864</v>
      </c>
      <c r="F199" s="2" t="n">
        <v>771</v>
      </c>
      <c r="G199" s="2" t="inlineStr">
        <is>
          <t>1301 1303 1302 c02b c02f cca9 cca8 c02c c030 c00a c009 c013 c014 009c 009d 002f 0035</t>
        </is>
      </c>
      <c r="H199" s="2" t="inlineStr">
        <is>
          <t>0304 0303</t>
        </is>
      </c>
      <c r="I199" s="2" t="n">
        <v>1</v>
      </c>
      <c r="J199" s="2" t="inlineStr">
        <is>
          <t>skb-eval-8352-c5198</t>
        </is>
      </c>
      <c r="K199" s="2" t="n">
        <v>1864</v>
      </c>
      <c r="L199" s="2" t="n">
        <v>771</v>
      </c>
      <c r="M199" s="2" t="n">
        <v>1443</v>
      </c>
      <c r="N199" s="2" t="b">
        <v>1</v>
      </c>
      <c r="O199" s="2" t="b">
        <v>0</v>
      </c>
      <c r="P199" s="2" t="inlineStr">
        <is>
          <t>1301 1303 1302 c02b c02f cca9 cca8 c02c c030 c00a c009 c013 c014 009c 009d 002f 0035</t>
        </is>
      </c>
      <c r="Q199" s="2" t="inlineStr"/>
      <c r="R199" s="2" t="inlineStr">
        <is>
          <t>violation</t>
        </is>
      </c>
      <c r="S199" s="2" t="inlineStr">
        <is>
          <t>violation</t>
        </is>
      </c>
      <c r="T199" s="2">
        <f>K199=E199</f>
        <v/>
      </c>
      <c r="U199" s="2">
        <f>L199=F199</f>
        <v/>
      </c>
      <c r="V199" s="2">
        <f>IF(N199,EXACT(P199,G199),"")</f>
        <v/>
      </c>
      <c r="W199" s="2">
        <f>IF(O199,EXACT(Q199,H199),"")</f>
        <v/>
      </c>
      <c r="X199" s="2">
        <f>J199=C199</f>
        <v/>
      </c>
      <c r="Y199" s="2">
        <f>IF(R199="unknown","",R199=S199)</f>
        <v/>
      </c>
      <c r="Z199" s="2" t="inlineStr">
        <is>
          <t>A</t>
        </is>
      </c>
      <c r="AA199" s="2" t="inlineStr">
        <is>
          <t>A</t>
        </is>
      </c>
      <c r="AB199" s="2">
        <f>AND(N199,O199,A199&lt;&gt;"census-mixed")</f>
        <v/>
      </c>
      <c r="AC199" s="2">
        <f>IF(AB199,Z199=AA199,"")</f>
        <v/>
      </c>
    </row>
    <row r="200">
      <c r="A200" s="2" t="inlineStr">
        <is>
          <t>census</t>
        </is>
      </c>
      <c r="B200" s="2" t="inlineStr">
        <is>
          <t>browser firefox147</t>
        </is>
      </c>
      <c r="C200" s="2" t="inlineStr">
        <is>
          <t>skb-eval-8352-c5199</t>
        </is>
      </c>
      <c r="D200" s="2" t="n">
        <v>5199</v>
      </c>
      <c r="E200" s="2" t="n">
        <v>1800</v>
      </c>
      <c r="F200" s="2" t="n">
        <v>771</v>
      </c>
      <c r="G200" s="2" t="inlineStr">
        <is>
          <t>1301 1303 1302 c02b c02f cca9 cca8 c02c c030 c00a c009 c013 c014 009c 009d 002f 0035</t>
        </is>
      </c>
      <c r="H200" s="2" t="inlineStr">
        <is>
          <t>0304 0303</t>
        </is>
      </c>
      <c r="I200" s="2" t="n">
        <v>1</v>
      </c>
      <c r="J200" s="2" t="inlineStr">
        <is>
          <t>skb-eval-8352-c5199</t>
        </is>
      </c>
      <c r="K200" s="2" t="n">
        <v>1800</v>
      </c>
      <c r="L200" s="2" t="n">
        <v>771</v>
      </c>
      <c r="M200" s="2" t="n">
        <v>1443</v>
      </c>
      <c r="N200" s="2" t="b">
        <v>1</v>
      </c>
      <c r="O200" s="2" t="b">
        <v>0</v>
      </c>
      <c r="P200" s="2" t="inlineStr">
        <is>
          <t>1301 1303 1302 c02b c02f cca9 cca8 c02c c030 c00a c009 c013 c014 009c 009d 002f 0035</t>
        </is>
      </c>
      <c r="Q200" s="2" t="inlineStr"/>
      <c r="R200" s="2" t="inlineStr">
        <is>
          <t>violation</t>
        </is>
      </c>
      <c r="S200" s="2" t="inlineStr">
        <is>
          <t>violation</t>
        </is>
      </c>
      <c r="T200" s="2">
        <f>K200=E200</f>
        <v/>
      </c>
      <c r="U200" s="2">
        <f>L200=F200</f>
        <v/>
      </c>
      <c r="V200" s="2">
        <f>IF(N200,EXACT(P200,G200),"")</f>
        <v/>
      </c>
      <c r="W200" s="2">
        <f>IF(O200,EXACT(Q200,H200),"")</f>
        <v/>
      </c>
      <c r="X200" s="2">
        <f>J200=C200</f>
        <v/>
      </c>
      <c r="Y200" s="2">
        <f>IF(R200="unknown","",R200=S200)</f>
        <v/>
      </c>
      <c r="Z200" s="2" t="inlineStr">
        <is>
          <t>A</t>
        </is>
      </c>
      <c r="AA200" s="2" t="inlineStr">
        <is>
          <t>A</t>
        </is>
      </c>
      <c r="AB200" s="2">
        <f>AND(N200,O200,A200&lt;&gt;"census-mixed")</f>
        <v/>
      </c>
      <c r="AC200" s="2">
        <f>IF(AB200,Z200=AA200,"")</f>
        <v/>
      </c>
    </row>
    <row r="201">
      <c r="A201" s="2" t="inlineStr">
        <is>
          <t>census</t>
        </is>
      </c>
      <c r="B201" s="2" t="inlineStr">
        <is>
          <t>browser firefox147</t>
        </is>
      </c>
      <c r="C201" s="2" t="inlineStr">
        <is>
          <t>skb-eval-8352-c5200</t>
        </is>
      </c>
      <c r="D201" s="2" t="n">
        <v>5200</v>
      </c>
      <c r="E201" s="2" t="n">
        <v>1832</v>
      </c>
      <c r="F201" s="2" t="n">
        <v>771</v>
      </c>
      <c r="G201" s="2" t="inlineStr">
        <is>
          <t>1301 1303 1302 c02b c02f cca9 cca8 c02c c030 c00a c009 c013 c014 009c 009d 002f 0035</t>
        </is>
      </c>
      <c r="H201" s="2" t="inlineStr">
        <is>
          <t>0304 0303</t>
        </is>
      </c>
      <c r="I201" s="2" t="n">
        <v>1</v>
      </c>
      <c r="J201" s="2" t="inlineStr">
        <is>
          <t>skb-eval-8352-c5200</t>
        </is>
      </c>
      <c r="K201" s="2" t="n">
        <v>1832</v>
      </c>
      <c r="L201" s="2" t="n">
        <v>771</v>
      </c>
      <c r="M201" s="2" t="n">
        <v>1443</v>
      </c>
      <c r="N201" s="2" t="b">
        <v>1</v>
      </c>
      <c r="O201" s="2" t="b">
        <v>0</v>
      </c>
      <c r="P201" s="2" t="inlineStr">
        <is>
          <t>1301 1303 1302 c02b c02f cca9 cca8 c02c c030 c00a c009 c013 c014 009c 009d 002f 0035</t>
        </is>
      </c>
      <c r="Q201" s="2" t="inlineStr"/>
      <c r="R201" s="2" t="inlineStr">
        <is>
          <t>violation</t>
        </is>
      </c>
      <c r="S201" s="2" t="inlineStr">
        <is>
          <t>violation</t>
        </is>
      </c>
      <c r="T201" s="2">
        <f>K201=E201</f>
        <v/>
      </c>
      <c r="U201" s="2">
        <f>L201=F201</f>
        <v/>
      </c>
      <c r="V201" s="2">
        <f>IF(N201,EXACT(P201,G201),"")</f>
        <v/>
      </c>
      <c r="W201" s="2">
        <f>IF(O201,EXACT(Q201,H201),"")</f>
        <v/>
      </c>
      <c r="X201" s="2">
        <f>J201=C201</f>
        <v/>
      </c>
      <c r="Y201" s="2">
        <f>IF(R201="unknown","",R201=S201)</f>
        <v/>
      </c>
      <c r="Z201" s="2" t="inlineStr">
        <is>
          <t>A</t>
        </is>
      </c>
      <c r="AA201" s="2" t="inlineStr">
        <is>
          <t>A</t>
        </is>
      </c>
      <c r="AB201" s="2">
        <f>AND(N201,O201,A201&lt;&gt;"census-mixed")</f>
        <v/>
      </c>
      <c r="AC201" s="2">
        <f>IF(AB201,Z201=AA201,"")</f>
        <v/>
      </c>
    </row>
    <row r="202">
      <c r="A202" s="2" t="inlineStr">
        <is>
          <t>census</t>
        </is>
      </c>
      <c r="B202" s="2" t="inlineStr">
        <is>
          <t>browser safari184</t>
        </is>
      </c>
      <c r="C202" s="2" t="inlineStr">
        <is>
          <t>skb-eval-8352-c5201</t>
        </is>
      </c>
      <c r="D202" s="2" t="n">
        <v>5201</v>
      </c>
      <c r="E202" s="2" t="n">
        <v>512</v>
      </c>
      <c r="F202" s="2" t="n">
        <v>771</v>
      </c>
      <c r="G202" s="2" t="inlineStr">
        <is>
          <t>2a2a 1301 1302 1303 c02c c02b cca9 c030 c02f cca8 c00a c009 c014 c013 009d 009c 0035 002f c008 c012 000a</t>
        </is>
      </c>
      <c r="H202" s="2" t="inlineStr">
        <is>
          <t>3a3a 0304 0303 0302 0301</t>
        </is>
      </c>
      <c r="I202" s="2" t="n">
        <v>1</v>
      </c>
      <c r="J202" s="2" t="inlineStr">
        <is>
          <t>skb-eval-8352-c5201</t>
        </is>
      </c>
      <c r="K202" s="2" t="n">
        <v>512</v>
      </c>
      <c r="L202" s="2" t="n">
        <v>771</v>
      </c>
      <c r="M202" s="2" t="n">
        <v>512</v>
      </c>
      <c r="N202" s="2" t="b">
        <v>1</v>
      </c>
      <c r="O202" s="2" t="b">
        <v>1</v>
      </c>
      <c r="P202" s="2" t="inlineStr">
        <is>
          <t>2a2a 1301 1302 1303 c02c c02b cca9 c030 c02f cca8 c00a c009 c014 c013 009d 009c 0035 002f c008 c012 000a</t>
        </is>
      </c>
      <c r="Q202" s="2" t="inlineStr">
        <is>
          <t>3a3a 0304 0303 0302 0301</t>
        </is>
      </c>
      <c r="R202" s="2" t="inlineStr">
        <is>
          <t>violation</t>
        </is>
      </c>
      <c r="S202" s="2" t="inlineStr">
        <is>
          <t>violation</t>
        </is>
      </c>
      <c r="T202" s="2">
        <f>K202=E202</f>
        <v/>
      </c>
      <c r="U202" s="2">
        <f>L202=F202</f>
        <v/>
      </c>
      <c r="V202" s="2">
        <f>IF(N202,EXACT(P202,G202),"")</f>
        <v/>
      </c>
      <c r="W202" s="2">
        <f>IF(O202,EXACT(Q202,H202),"")</f>
        <v/>
      </c>
      <c r="X202" s="2">
        <f>J202=C202</f>
        <v/>
      </c>
      <c r="Y202" s="2">
        <f>IF(R202="unknown","",R202=S202)</f>
        <v/>
      </c>
      <c r="Z202" s="2" t="inlineStr">
        <is>
          <t>A</t>
        </is>
      </c>
      <c r="AA202" s="2" t="inlineStr">
        <is>
          <t>A</t>
        </is>
      </c>
      <c r="AB202" s="2">
        <f>AND(N202,O202,A202&lt;&gt;"census-mixed")</f>
        <v/>
      </c>
      <c r="AC202" s="2">
        <f>IF(AB202,Z202=AA202,"")</f>
        <v/>
      </c>
    </row>
    <row r="203">
      <c r="A203" s="2" t="inlineStr">
        <is>
          <t>census</t>
        </is>
      </c>
      <c r="B203" s="2" t="inlineStr">
        <is>
          <t>browser safari184</t>
        </is>
      </c>
      <c r="C203" s="2" t="inlineStr">
        <is>
          <t>skb-eval-8352-c5202</t>
        </is>
      </c>
      <c r="D203" s="2" t="n">
        <v>5202</v>
      </c>
      <c r="E203" s="2" t="n">
        <v>512</v>
      </c>
      <c r="F203" s="2" t="n">
        <v>771</v>
      </c>
      <c r="G203" s="2" t="inlineStr">
        <is>
          <t>3a3a 1301 1302 1303 c02c c02b cca9 c030 c02f cca8 c00a c009 c014 c013 009d 009c 0035 002f c008 c012 000a</t>
        </is>
      </c>
      <c r="H203" s="2" t="inlineStr">
        <is>
          <t>dada 0304 0303 0302 0301</t>
        </is>
      </c>
      <c r="I203" s="2" t="n">
        <v>1</v>
      </c>
      <c r="J203" s="2" t="inlineStr">
        <is>
          <t>skb-eval-8352-c5202</t>
        </is>
      </c>
      <c r="K203" s="2" t="n">
        <v>512</v>
      </c>
      <c r="L203" s="2" t="n">
        <v>771</v>
      </c>
      <c r="M203" s="2" t="n">
        <v>512</v>
      </c>
      <c r="N203" s="2" t="b">
        <v>1</v>
      </c>
      <c r="O203" s="2" t="b">
        <v>1</v>
      </c>
      <c r="P203" s="2" t="inlineStr">
        <is>
          <t>3a3a 1301 1302 1303 c02c c02b cca9 c030 c02f cca8 c00a c009 c014 c013 009d 009c 0035 002f c008 c012 000a</t>
        </is>
      </c>
      <c r="Q203" s="2" t="inlineStr">
        <is>
          <t>dada 0304 0303 0302 0301</t>
        </is>
      </c>
      <c r="R203" s="2" t="inlineStr">
        <is>
          <t>violation</t>
        </is>
      </c>
      <c r="S203" s="2" t="inlineStr">
        <is>
          <t>violation</t>
        </is>
      </c>
      <c r="T203" s="2">
        <f>K203=E203</f>
        <v/>
      </c>
      <c r="U203" s="2">
        <f>L203=F203</f>
        <v/>
      </c>
      <c r="V203" s="2">
        <f>IF(N203,EXACT(P203,G203),"")</f>
        <v/>
      </c>
      <c r="W203" s="2">
        <f>IF(O203,EXACT(Q203,H203),"")</f>
        <v/>
      </c>
      <c r="X203" s="2">
        <f>J203=C203</f>
        <v/>
      </c>
      <c r="Y203" s="2">
        <f>IF(R203="unknown","",R203=S203)</f>
        <v/>
      </c>
      <c r="Z203" s="2" t="inlineStr">
        <is>
          <t>A</t>
        </is>
      </c>
      <c r="AA203" s="2" t="inlineStr">
        <is>
          <t>A</t>
        </is>
      </c>
      <c r="AB203" s="2">
        <f>AND(N203,O203,A203&lt;&gt;"census-mixed")</f>
        <v/>
      </c>
      <c r="AC203" s="2">
        <f>IF(AB203,Z203=AA203,"")</f>
        <v/>
      </c>
    </row>
    <row r="204">
      <c r="A204" s="2" t="inlineStr">
        <is>
          <t>census</t>
        </is>
      </c>
      <c r="B204" s="2" t="inlineStr">
        <is>
          <t>browser safari184</t>
        </is>
      </c>
      <c r="C204" s="2" t="inlineStr">
        <is>
          <t>skb-eval-8352-c5203</t>
        </is>
      </c>
      <c r="D204" s="2" t="n">
        <v>5203</v>
      </c>
      <c r="E204" s="2" t="n">
        <v>512</v>
      </c>
      <c r="F204" s="2" t="n">
        <v>771</v>
      </c>
      <c r="G204" s="2" t="inlineStr">
        <is>
          <t>aaaa 1301 1302 1303 c02c c02b cca9 c030 c02f cca8 c00a c009 c014 c013 009d 009c 0035 002f c008 c012 000a</t>
        </is>
      </c>
      <c r="H204" s="2" t="inlineStr">
        <is>
          <t>0a0a 0304 0303 0302 0301</t>
        </is>
      </c>
      <c r="I204" s="2" t="n">
        <v>1</v>
      </c>
      <c r="J204" s="2" t="inlineStr">
        <is>
          <t>skb-eval-8352-c5203</t>
        </is>
      </c>
      <c r="K204" s="2" t="n">
        <v>512</v>
      </c>
      <c r="L204" s="2" t="n">
        <v>771</v>
      </c>
      <c r="M204" s="2" t="n">
        <v>512</v>
      </c>
      <c r="N204" s="2" t="b">
        <v>1</v>
      </c>
      <c r="O204" s="2" t="b">
        <v>1</v>
      </c>
      <c r="P204" s="2" t="inlineStr">
        <is>
          <t>aaaa 1301 1302 1303 c02c c02b cca9 c030 c02f cca8 c00a c009 c014 c013 009d 009c 0035 002f c008 c012 000a</t>
        </is>
      </c>
      <c r="Q204" s="2" t="inlineStr">
        <is>
          <t>0a0a 0304 0303 0302 0301</t>
        </is>
      </c>
      <c r="R204" s="2" t="inlineStr">
        <is>
          <t>violation</t>
        </is>
      </c>
      <c r="S204" s="2" t="inlineStr">
        <is>
          <t>violation</t>
        </is>
      </c>
      <c r="T204" s="2">
        <f>K204=E204</f>
        <v/>
      </c>
      <c r="U204" s="2">
        <f>L204=F204</f>
        <v/>
      </c>
      <c r="V204" s="2">
        <f>IF(N204,EXACT(P204,G204),"")</f>
        <v/>
      </c>
      <c r="W204" s="2">
        <f>IF(O204,EXACT(Q204,H204),"")</f>
        <v/>
      </c>
      <c r="X204" s="2">
        <f>J204=C204</f>
        <v/>
      </c>
      <c r="Y204" s="2">
        <f>IF(R204="unknown","",R204=S204)</f>
        <v/>
      </c>
      <c r="Z204" s="2" t="inlineStr">
        <is>
          <t>A</t>
        </is>
      </c>
      <c r="AA204" s="2" t="inlineStr">
        <is>
          <t>A</t>
        </is>
      </c>
      <c r="AB204" s="2">
        <f>AND(N204,O204,A204&lt;&gt;"census-mixed")</f>
        <v/>
      </c>
      <c r="AC204" s="2">
        <f>IF(AB204,Z204=AA204,"")</f>
        <v/>
      </c>
    </row>
    <row r="205">
      <c r="A205" s="2" t="inlineStr">
        <is>
          <t>census</t>
        </is>
      </c>
      <c r="B205" s="2" t="inlineStr">
        <is>
          <t>browser safari184</t>
        </is>
      </c>
      <c r="C205" s="2" t="inlineStr">
        <is>
          <t>skb-eval-8352-c5204</t>
        </is>
      </c>
      <c r="D205" s="2" t="n">
        <v>5204</v>
      </c>
      <c r="E205" s="2" t="n">
        <v>512</v>
      </c>
      <c r="F205" s="2" t="n">
        <v>771</v>
      </c>
      <c r="G205" s="2" t="inlineStr">
        <is>
          <t>6a6a 1301 1302 1303 c02c c02b cca9 c030 c02f cca8 c00a c009 c014 c013 009d 009c 0035 002f c008 c012 000a</t>
        </is>
      </c>
      <c r="H205" s="2" t="inlineStr">
        <is>
          <t>8a8a 0304 0303 0302 0301</t>
        </is>
      </c>
      <c r="I205" s="2" t="n">
        <v>1</v>
      </c>
      <c r="J205" s="2" t="inlineStr">
        <is>
          <t>skb-eval-8352-c5204</t>
        </is>
      </c>
      <c r="K205" s="2" t="n">
        <v>512</v>
      </c>
      <c r="L205" s="2" t="n">
        <v>771</v>
      </c>
      <c r="M205" s="2" t="n">
        <v>512</v>
      </c>
      <c r="N205" s="2" t="b">
        <v>1</v>
      </c>
      <c r="O205" s="2" t="b">
        <v>1</v>
      </c>
      <c r="P205" s="2" t="inlineStr">
        <is>
          <t>6a6a 1301 1302 1303 c02c c02b cca9 c030 c02f cca8 c00a c009 c014 c013 009d 009c 0035 002f c008 c012 000a</t>
        </is>
      </c>
      <c r="Q205" s="2" t="inlineStr">
        <is>
          <t>8a8a 0304 0303 0302 0301</t>
        </is>
      </c>
      <c r="R205" s="2" t="inlineStr">
        <is>
          <t>violation</t>
        </is>
      </c>
      <c r="S205" s="2" t="inlineStr">
        <is>
          <t>violation</t>
        </is>
      </c>
      <c r="T205" s="2">
        <f>K205=E205</f>
        <v/>
      </c>
      <c r="U205" s="2">
        <f>L205=F205</f>
        <v/>
      </c>
      <c r="V205" s="2">
        <f>IF(N205,EXACT(P205,G205),"")</f>
        <v/>
      </c>
      <c r="W205" s="2">
        <f>IF(O205,EXACT(Q205,H205),"")</f>
        <v/>
      </c>
      <c r="X205" s="2">
        <f>J205=C205</f>
        <v/>
      </c>
      <c r="Y205" s="2">
        <f>IF(R205="unknown","",R205=S205)</f>
        <v/>
      </c>
      <c r="Z205" s="2" t="inlineStr">
        <is>
          <t>A</t>
        </is>
      </c>
      <c r="AA205" s="2" t="inlineStr">
        <is>
          <t>A</t>
        </is>
      </c>
      <c r="AB205" s="2">
        <f>AND(N205,O205,A205&lt;&gt;"census-mixed")</f>
        <v/>
      </c>
      <c r="AC205" s="2">
        <f>IF(AB205,Z205=AA205,"")</f>
        <v/>
      </c>
    </row>
    <row r="206">
      <c r="A206" s="2" t="inlineStr">
        <is>
          <t>census</t>
        </is>
      </c>
      <c r="B206" s="2" t="inlineStr">
        <is>
          <t>browser safari184</t>
        </is>
      </c>
      <c r="C206" s="2" t="inlineStr">
        <is>
          <t>skb-eval-8352-c5205</t>
        </is>
      </c>
      <c r="D206" s="2" t="n">
        <v>5205</v>
      </c>
      <c r="E206" s="2" t="n">
        <v>512</v>
      </c>
      <c r="F206" s="2" t="n">
        <v>771</v>
      </c>
      <c r="G206" s="2" t="inlineStr">
        <is>
          <t>fafa 1301 1302 1303 c02c c02b cca9 c030 c02f cca8 c00a c009 c014 c013 009d 009c 0035 002f c008 c012 000a</t>
        </is>
      </c>
      <c r="H206" s="2" t="inlineStr">
        <is>
          <t>7a7a 0304 0303 0302 0301</t>
        </is>
      </c>
      <c r="I206" s="2" t="n">
        <v>1</v>
      </c>
      <c r="J206" s="2" t="inlineStr">
        <is>
          <t>skb-eval-8352-c5205</t>
        </is>
      </c>
      <c r="K206" s="2" t="n">
        <v>512</v>
      </c>
      <c r="L206" s="2" t="n">
        <v>771</v>
      </c>
      <c r="M206" s="2" t="n">
        <v>512</v>
      </c>
      <c r="N206" s="2" t="b">
        <v>1</v>
      </c>
      <c r="O206" s="2" t="b">
        <v>1</v>
      </c>
      <c r="P206" s="2" t="inlineStr">
        <is>
          <t>fafa 1301 1302 1303 c02c c02b cca9 c030 c02f cca8 c00a c009 c014 c013 009d 009c 0035 002f c008 c012 000a</t>
        </is>
      </c>
      <c r="Q206" s="2" t="inlineStr">
        <is>
          <t>7a7a 0304 0303 0302 0301</t>
        </is>
      </c>
      <c r="R206" s="2" t="inlineStr">
        <is>
          <t>violation</t>
        </is>
      </c>
      <c r="S206" s="2" t="inlineStr">
        <is>
          <t>violation</t>
        </is>
      </c>
      <c r="T206" s="2">
        <f>K206=E206</f>
        <v/>
      </c>
      <c r="U206" s="2">
        <f>L206=F206</f>
        <v/>
      </c>
      <c r="V206" s="2">
        <f>IF(N206,EXACT(P206,G206),"")</f>
        <v/>
      </c>
      <c r="W206" s="2">
        <f>IF(O206,EXACT(Q206,H206),"")</f>
        <v/>
      </c>
      <c r="X206" s="2">
        <f>J206=C206</f>
        <v/>
      </c>
      <c r="Y206" s="2">
        <f>IF(R206="unknown","",R206=S206)</f>
        <v/>
      </c>
      <c r="Z206" s="2" t="inlineStr">
        <is>
          <t>A</t>
        </is>
      </c>
      <c r="AA206" s="2" t="inlineStr">
        <is>
          <t>A</t>
        </is>
      </c>
      <c r="AB206" s="2">
        <f>AND(N206,O206,A206&lt;&gt;"census-mixed")</f>
        <v/>
      </c>
      <c r="AC206" s="2">
        <f>IF(AB206,Z206=AA206,"")</f>
        <v/>
      </c>
    </row>
    <row r="207">
      <c r="A207" s="2" t="inlineStr">
        <is>
          <t>census</t>
        </is>
      </c>
      <c r="B207" s="2" t="inlineStr">
        <is>
          <t>browser safari184</t>
        </is>
      </c>
      <c r="C207" s="2" t="inlineStr">
        <is>
          <t>skb-eval-8352-c5206</t>
        </is>
      </c>
      <c r="D207" s="2" t="n">
        <v>5206</v>
      </c>
      <c r="E207" s="2" t="n">
        <v>512</v>
      </c>
      <c r="F207" s="2" t="n">
        <v>771</v>
      </c>
      <c r="G207" s="2" t="inlineStr">
        <is>
          <t>dada 1301 1302 1303 c02c c02b cca9 c030 c02f cca8 c00a c009 c014 c013 009d 009c 0035 002f c008 c012 000a</t>
        </is>
      </c>
      <c r="H207" s="2" t="inlineStr">
        <is>
          <t>4a4a 0304 0303 0302 0301</t>
        </is>
      </c>
      <c r="I207" s="2" t="n">
        <v>1</v>
      </c>
      <c r="J207" s="2" t="inlineStr">
        <is>
          <t>skb-eval-8352-c5206</t>
        </is>
      </c>
      <c r="K207" s="2" t="n">
        <v>512</v>
      </c>
      <c r="L207" s="2" t="n">
        <v>771</v>
      </c>
      <c r="M207" s="2" t="n">
        <v>512</v>
      </c>
      <c r="N207" s="2" t="b">
        <v>1</v>
      </c>
      <c r="O207" s="2" t="b">
        <v>1</v>
      </c>
      <c r="P207" s="2" t="inlineStr">
        <is>
          <t>dada 1301 1302 1303 c02c c02b cca9 c030 c02f cca8 c00a c009 c014 c013 009d 009c 0035 002f c008 c012 000a</t>
        </is>
      </c>
      <c r="Q207" s="2" t="inlineStr">
        <is>
          <t>4a4a 0304 0303 0302 0301</t>
        </is>
      </c>
      <c r="R207" s="2" t="inlineStr">
        <is>
          <t>violation</t>
        </is>
      </c>
      <c r="S207" s="2" t="inlineStr">
        <is>
          <t>violation</t>
        </is>
      </c>
      <c r="T207" s="2">
        <f>K207=E207</f>
        <v/>
      </c>
      <c r="U207" s="2">
        <f>L207=F207</f>
        <v/>
      </c>
      <c r="V207" s="2">
        <f>IF(N207,EXACT(P207,G207),"")</f>
        <v/>
      </c>
      <c r="W207" s="2">
        <f>IF(O207,EXACT(Q207,H207),"")</f>
        <v/>
      </c>
      <c r="X207" s="2">
        <f>J207=C207</f>
        <v/>
      </c>
      <c r="Y207" s="2">
        <f>IF(R207="unknown","",R207=S207)</f>
        <v/>
      </c>
      <c r="Z207" s="2" t="inlineStr">
        <is>
          <t>A</t>
        </is>
      </c>
      <c r="AA207" s="2" t="inlineStr">
        <is>
          <t>A</t>
        </is>
      </c>
      <c r="AB207" s="2">
        <f>AND(N207,O207,A207&lt;&gt;"census-mixed")</f>
        <v/>
      </c>
      <c r="AC207" s="2">
        <f>IF(AB207,Z207=AA207,"")</f>
        <v/>
      </c>
    </row>
    <row r="208">
      <c r="A208" s="2" t="inlineStr">
        <is>
          <t>census</t>
        </is>
      </c>
      <c r="B208" s="2" t="inlineStr">
        <is>
          <t>browser safari184</t>
        </is>
      </c>
      <c r="C208" s="2" t="inlineStr">
        <is>
          <t>skb-eval-8352-c5207</t>
        </is>
      </c>
      <c r="D208" s="2" t="n">
        <v>5207</v>
      </c>
      <c r="E208" s="2" t="n">
        <v>512</v>
      </c>
      <c r="F208" s="2" t="n">
        <v>771</v>
      </c>
      <c r="G208" s="2" t="inlineStr">
        <is>
          <t>caca 1301 1302 1303 c02c c02b cca9 c030 c02f cca8 c00a c009 c014 c013 009d 009c 0035 002f c008 c012 000a</t>
        </is>
      </c>
      <c r="H208" s="2" t="inlineStr">
        <is>
          <t>8a8a 0304 0303 0302 0301</t>
        </is>
      </c>
      <c r="I208" s="2" t="n">
        <v>1</v>
      </c>
      <c r="J208" s="2" t="inlineStr">
        <is>
          <t>skb-eval-8352-c5207</t>
        </is>
      </c>
      <c r="K208" s="2" t="n">
        <v>512</v>
      </c>
      <c r="L208" s="2" t="n">
        <v>771</v>
      </c>
      <c r="M208" s="2" t="n">
        <v>512</v>
      </c>
      <c r="N208" s="2" t="b">
        <v>1</v>
      </c>
      <c r="O208" s="2" t="b">
        <v>1</v>
      </c>
      <c r="P208" s="2" t="inlineStr">
        <is>
          <t>caca 1301 1302 1303 c02c c02b cca9 c030 c02f cca8 c00a c009 c014 c013 009d 009c 0035 002f c008 c012 000a</t>
        </is>
      </c>
      <c r="Q208" s="2" t="inlineStr">
        <is>
          <t>8a8a 0304 0303 0302 0301</t>
        </is>
      </c>
      <c r="R208" s="2" t="inlineStr">
        <is>
          <t>violation</t>
        </is>
      </c>
      <c r="S208" s="2" t="inlineStr">
        <is>
          <t>violation</t>
        </is>
      </c>
      <c r="T208" s="2">
        <f>K208=E208</f>
        <v/>
      </c>
      <c r="U208" s="2">
        <f>L208=F208</f>
        <v/>
      </c>
      <c r="V208" s="2">
        <f>IF(N208,EXACT(P208,G208),"")</f>
        <v/>
      </c>
      <c r="W208" s="2">
        <f>IF(O208,EXACT(Q208,H208),"")</f>
        <v/>
      </c>
      <c r="X208" s="2">
        <f>J208=C208</f>
        <v/>
      </c>
      <c r="Y208" s="2">
        <f>IF(R208="unknown","",R208=S208)</f>
        <v/>
      </c>
      <c r="Z208" s="2" t="inlineStr">
        <is>
          <t>A</t>
        </is>
      </c>
      <c r="AA208" s="2" t="inlineStr">
        <is>
          <t>A</t>
        </is>
      </c>
      <c r="AB208" s="2">
        <f>AND(N208,O208,A208&lt;&gt;"census-mixed")</f>
        <v/>
      </c>
      <c r="AC208" s="2">
        <f>IF(AB208,Z208=AA208,"")</f>
        <v/>
      </c>
    </row>
    <row r="209">
      <c r="A209" s="2" t="inlineStr">
        <is>
          <t>census</t>
        </is>
      </c>
      <c r="B209" s="2" t="inlineStr">
        <is>
          <t>browser safari184</t>
        </is>
      </c>
      <c r="C209" s="2" t="inlineStr">
        <is>
          <t>skb-eval-8352-c5208</t>
        </is>
      </c>
      <c r="D209" s="2" t="n">
        <v>5208</v>
      </c>
      <c r="E209" s="2" t="n">
        <v>512</v>
      </c>
      <c r="F209" s="2" t="n">
        <v>771</v>
      </c>
      <c r="G209" s="2" t="inlineStr">
        <is>
          <t>9a9a 1301 1302 1303 c02c c02b cca9 c030 c02f cca8 c00a c009 c014 c013 009d 009c 0035 002f c008 c012 000a</t>
        </is>
      </c>
      <c r="H209" s="2" t="inlineStr">
        <is>
          <t>7a7a 0304 0303 0302 0301</t>
        </is>
      </c>
      <c r="I209" s="2" t="n">
        <v>1</v>
      </c>
      <c r="J209" s="2" t="inlineStr">
        <is>
          <t>skb-eval-8352-c5208</t>
        </is>
      </c>
      <c r="K209" s="2" t="n">
        <v>512</v>
      </c>
      <c r="L209" s="2" t="n">
        <v>771</v>
      </c>
      <c r="M209" s="2" t="n">
        <v>512</v>
      </c>
      <c r="N209" s="2" t="b">
        <v>1</v>
      </c>
      <c r="O209" s="2" t="b">
        <v>1</v>
      </c>
      <c r="P209" s="2" t="inlineStr">
        <is>
          <t>9a9a 1301 1302 1303 c02c c02b cca9 c030 c02f cca8 c00a c009 c014 c013 009d 009c 0035 002f c008 c012 000a</t>
        </is>
      </c>
      <c r="Q209" s="2" t="inlineStr">
        <is>
          <t>7a7a 0304 0303 0302 0301</t>
        </is>
      </c>
      <c r="R209" s="2" t="inlineStr">
        <is>
          <t>violation</t>
        </is>
      </c>
      <c r="S209" s="2" t="inlineStr">
        <is>
          <t>violation</t>
        </is>
      </c>
      <c r="T209" s="2">
        <f>K209=E209</f>
        <v/>
      </c>
      <c r="U209" s="2">
        <f>L209=F209</f>
        <v/>
      </c>
      <c r="V209" s="2">
        <f>IF(N209,EXACT(P209,G209),"")</f>
        <v/>
      </c>
      <c r="W209" s="2">
        <f>IF(O209,EXACT(Q209,H209),"")</f>
        <v/>
      </c>
      <c r="X209" s="2">
        <f>J209=C209</f>
        <v/>
      </c>
      <c r="Y209" s="2">
        <f>IF(R209="unknown","",R209=S209)</f>
        <v/>
      </c>
      <c r="Z209" s="2" t="inlineStr">
        <is>
          <t>A</t>
        </is>
      </c>
      <c r="AA209" s="2" t="inlineStr">
        <is>
          <t>A</t>
        </is>
      </c>
      <c r="AB209" s="2">
        <f>AND(N209,O209,A209&lt;&gt;"census-mixed")</f>
        <v/>
      </c>
      <c r="AC209" s="2">
        <f>IF(AB209,Z209=AA209,"")</f>
        <v/>
      </c>
    </row>
    <row r="210">
      <c r="A210" s="2" t="inlineStr">
        <is>
          <t>census</t>
        </is>
      </c>
      <c r="B210" s="2" t="inlineStr">
        <is>
          <t>browser safari184</t>
        </is>
      </c>
      <c r="C210" s="2" t="inlineStr">
        <is>
          <t>skb-eval-8352-c5209</t>
        </is>
      </c>
      <c r="D210" s="2" t="n">
        <v>5209</v>
      </c>
      <c r="E210" s="2" t="n">
        <v>512</v>
      </c>
      <c r="F210" s="2" t="n">
        <v>771</v>
      </c>
      <c r="G210" s="2" t="inlineStr">
        <is>
          <t>6a6a 1301 1302 1303 c02c c02b cca9 c030 c02f cca8 c00a c009 c014 c013 009d 009c 0035 002f c008 c012 000a</t>
        </is>
      </c>
      <c r="H210" s="2" t="inlineStr">
        <is>
          <t>1a1a 0304 0303 0302 0301</t>
        </is>
      </c>
      <c r="I210" s="2" t="n">
        <v>1</v>
      </c>
      <c r="J210" s="2" t="inlineStr">
        <is>
          <t>skb-eval-8352-c5209</t>
        </is>
      </c>
      <c r="K210" s="2" t="n">
        <v>512</v>
      </c>
      <c r="L210" s="2" t="n">
        <v>771</v>
      </c>
      <c r="M210" s="2" t="n">
        <v>512</v>
      </c>
      <c r="N210" s="2" t="b">
        <v>1</v>
      </c>
      <c r="O210" s="2" t="b">
        <v>1</v>
      </c>
      <c r="P210" s="2" t="inlineStr">
        <is>
          <t>6a6a 1301 1302 1303 c02c c02b cca9 c030 c02f cca8 c00a c009 c014 c013 009d 009c 0035 002f c008 c012 000a</t>
        </is>
      </c>
      <c r="Q210" s="2" t="inlineStr">
        <is>
          <t>1a1a 0304 0303 0302 0301</t>
        </is>
      </c>
      <c r="R210" s="2" t="inlineStr">
        <is>
          <t>violation</t>
        </is>
      </c>
      <c r="S210" s="2" t="inlineStr">
        <is>
          <t>violation</t>
        </is>
      </c>
      <c r="T210" s="2">
        <f>K210=E210</f>
        <v/>
      </c>
      <c r="U210" s="2">
        <f>L210=F210</f>
        <v/>
      </c>
      <c r="V210" s="2">
        <f>IF(N210,EXACT(P210,G210),"")</f>
        <v/>
      </c>
      <c r="W210" s="2">
        <f>IF(O210,EXACT(Q210,H210),"")</f>
        <v/>
      </c>
      <c r="X210" s="2">
        <f>J210=C210</f>
        <v/>
      </c>
      <c r="Y210" s="2">
        <f>IF(R210="unknown","",R210=S210)</f>
        <v/>
      </c>
      <c r="Z210" s="2" t="inlineStr">
        <is>
          <t>A</t>
        </is>
      </c>
      <c r="AA210" s="2" t="inlineStr">
        <is>
          <t>A</t>
        </is>
      </c>
      <c r="AB210" s="2">
        <f>AND(N210,O210,A210&lt;&gt;"census-mixed")</f>
        <v/>
      </c>
      <c r="AC210" s="2">
        <f>IF(AB210,Z210=AA210,"")</f>
        <v/>
      </c>
    </row>
    <row r="211">
      <c r="A211" s="2" t="inlineStr">
        <is>
          <t>census</t>
        </is>
      </c>
      <c r="B211" s="2" t="inlineStr">
        <is>
          <t>browser safari184</t>
        </is>
      </c>
      <c r="C211" s="2" t="inlineStr">
        <is>
          <t>skb-eval-8352-c5210</t>
        </is>
      </c>
      <c r="D211" s="2" t="n">
        <v>5210</v>
      </c>
      <c r="E211" s="2" t="n">
        <v>512</v>
      </c>
      <c r="F211" s="2" t="n">
        <v>771</v>
      </c>
      <c r="G211" s="2" t="inlineStr">
        <is>
          <t>baba 1301 1302 1303 c02c c02b cca9 c030 c02f cca8 c00a c009 c014 c013 009d 009c 0035 002f c008 c012 000a</t>
        </is>
      </c>
      <c r="H211" s="2" t="inlineStr">
        <is>
          <t>1a1a 0304 0303 0302 0301</t>
        </is>
      </c>
      <c r="I211" s="2" t="n">
        <v>1</v>
      </c>
      <c r="J211" s="2" t="inlineStr">
        <is>
          <t>skb-eval-8352-c5210</t>
        </is>
      </c>
      <c r="K211" s="2" t="n">
        <v>512</v>
      </c>
      <c r="L211" s="2" t="n">
        <v>771</v>
      </c>
      <c r="M211" s="2" t="n">
        <v>512</v>
      </c>
      <c r="N211" s="2" t="b">
        <v>1</v>
      </c>
      <c r="O211" s="2" t="b">
        <v>1</v>
      </c>
      <c r="P211" s="2" t="inlineStr">
        <is>
          <t>baba 1301 1302 1303 c02c c02b cca9 c030 c02f cca8 c00a c009 c014 c013 009d 009c 0035 002f c008 c012 000a</t>
        </is>
      </c>
      <c r="Q211" s="2" t="inlineStr">
        <is>
          <t>1a1a 0304 0303 0302 0301</t>
        </is>
      </c>
      <c r="R211" s="2" t="inlineStr">
        <is>
          <t>violation</t>
        </is>
      </c>
      <c r="S211" s="2" t="inlineStr">
        <is>
          <t>violation</t>
        </is>
      </c>
      <c r="T211" s="2">
        <f>K211=E211</f>
        <v/>
      </c>
      <c r="U211" s="2">
        <f>L211=F211</f>
        <v/>
      </c>
      <c r="V211" s="2">
        <f>IF(N211,EXACT(P211,G211),"")</f>
        <v/>
      </c>
      <c r="W211" s="2">
        <f>IF(O211,EXACT(Q211,H211),"")</f>
        <v/>
      </c>
      <c r="X211" s="2">
        <f>J211=C211</f>
        <v/>
      </c>
      <c r="Y211" s="2">
        <f>IF(R211="unknown","",R211=S211)</f>
        <v/>
      </c>
      <c r="Z211" s="2" t="inlineStr">
        <is>
          <t>A</t>
        </is>
      </c>
      <c r="AA211" s="2" t="inlineStr">
        <is>
          <t>A</t>
        </is>
      </c>
      <c r="AB211" s="2">
        <f>AND(N211,O211,A211&lt;&gt;"census-mixed")</f>
        <v/>
      </c>
      <c r="AC211" s="2">
        <f>IF(AB211,Z211=AA211,"")</f>
        <v/>
      </c>
    </row>
    <row r="212">
      <c r="A212" s="2" t="inlineStr">
        <is>
          <t>census</t>
        </is>
      </c>
      <c r="B212" s="2" t="inlineStr">
        <is>
          <t>browser safari260</t>
        </is>
      </c>
      <c r="C212" s="2" t="inlineStr">
        <is>
          <t>skb-eval-8352-c5211</t>
        </is>
      </c>
      <c r="D212" s="2" t="n">
        <v>5211</v>
      </c>
      <c r="E212" s="2" t="n">
        <v>1537</v>
      </c>
      <c r="F212" s="2" t="n">
        <v>771</v>
      </c>
      <c r="G212" s="2" t="inlineStr">
        <is>
          <t>3a3a 1302 1303 1301 c02c c02b cca9 c030 c02f cca8 c00a c009 c014 c013 009d 009c 0035 002f c008 c012 000a</t>
        </is>
      </c>
      <c r="H212" s="2" t="inlineStr">
        <is>
          <t>1a1a 0304 0303</t>
        </is>
      </c>
      <c r="I212" s="2" t="n">
        <v>1</v>
      </c>
      <c r="J212" s="2" t="inlineStr">
        <is>
          <t>skb-eval-8352-c5211</t>
        </is>
      </c>
      <c r="K212" s="2" t="n">
        <v>1537</v>
      </c>
      <c r="L212" s="2" t="n">
        <v>771</v>
      </c>
      <c r="M212" s="2" t="n">
        <v>1443</v>
      </c>
      <c r="N212" s="2" t="b">
        <v>1</v>
      </c>
      <c r="O212" s="2" t="b">
        <v>0</v>
      </c>
      <c r="P212" s="2" t="inlineStr">
        <is>
          <t>3a3a 1302 1303 1301 c02c c02b cca9 c030 c02f cca8 c00a c009 c014 c013 009d 009c 0035 002f c008 c012 000a</t>
        </is>
      </c>
      <c r="Q212" s="2" t="inlineStr"/>
      <c r="R212" s="2" t="inlineStr">
        <is>
          <t>violation</t>
        </is>
      </c>
      <c r="S212" s="2" t="inlineStr">
        <is>
          <t>violation</t>
        </is>
      </c>
      <c r="T212" s="2">
        <f>K212=E212</f>
        <v/>
      </c>
      <c r="U212" s="2">
        <f>L212=F212</f>
        <v/>
      </c>
      <c r="V212" s="2">
        <f>IF(N212,EXACT(P212,G212),"")</f>
        <v/>
      </c>
      <c r="W212" s="2">
        <f>IF(O212,EXACT(Q212,H212),"")</f>
        <v/>
      </c>
      <c r="X212" s="2">
        <f>J212=C212</f>
        <v/>
      </c>
      <c r="Y212" s="2">
        <f>IF(R212="unknown","",R212=S212)</f>
        <v/>
      </c>
      <c r="Z212" s="2" t="inlineStr">
        <is>
          <t>A</t>
        </is>
      </c>
      <c r="AA212" s="2" t="inlineStr">
        <is>
          <t>A</t>
        </is>
      </c>
      <c r="AB212" s="2">
        <f>AND(N212,O212,A212&lt;&gt;"census-mixed")</f>
        <v/>
      </c>
      <c r="AC212" s="2">
        <f>IF(AB212,Z212=AA212,"")</f>
        <v/>
      </c>
    </row>
    <row r="213">
      <c r="A213" s="2" t="inlineStr">
        <is>
          <t>census</t>
        </is>
      </c>
      <c r="B213" s="2" t="inlineStr">
        <is>
          <t>browser safari260</t>
        </is>
      </c>
      <c r="C213" s="2" t="inlineStr">
        <is>
          <t>skb-eval-8352-c5212</t>
        </is>
      </c>
      <c r="D213" s="2" t="n">
        <v>5212</v>
      </c>
      <c r="E213" s="2" t="n">
        <v>1537</v>
      </c>
      <c r="F213" s="2" t="n">
        <v>771</v>
      </c>
      <c r="G213" s="2" t="inlineStr">
        <is>
          <t>1a1a 1302 1303 1301 c02c c02b cca9 c030 c02f cca8 c00a c009 c014 c013 009d 009c 0035 002f c008 c012 000a</t>
        </is>
      </c>
      <c r="H213" s="2" t="inlineStr">
        <is>
          <t>fafa 0304 0303</t>
        </is>
      </c>
      <c r="I213" s="2" t="n">
        <v>1</v>
      </c>
      <c r="J213" s="2" t="inlineStr">
        <is>
          <t>skb-eval-8352-c5212</t>
        </is>
      </c>
      <c r="K213" s="2" t="n">
        <v>1537</v>
      </c>
      <c r="L213" s="2" t="n">
        <v>771</v>
      </c>
      <c r="M213" s="2" t="n">
        <v>1443</v>
      </c>
      <c r="N213" s="2" t="b">
        <v>1</v>
      </c>
      <c r="O213" s="2" t="b">
        <v>0</v>
      </c>
      <c r="P213" s="2" t="inlineStr">
        <is>
          <t>1a1a 1302 1303 1301 c02c c02b cca9 c030 c02f cca8 c00a c009 c014 c013 009d 009c 0035 002f c008 c012 000a</t>
        </is>
      </c>
      <c r="Q213" s="2" t="inlineStr"/>
      <c r="R213" s="2" t="inlineStr">
        <is>
          <t>violation</t>
        </is>
      </c>
      <c r="S213" s="2" t="inlineStr">
        <is>
          <t>violation</t>
        </is>
      </c>
      <c r="T213" s="2">
        <f>K213=E213</f>
        <v/>
      </c>
      <c r="U213" s="2">
        <f>L213=F213</f>
        <v/>
      </c>
      <c r="V213" s="2">
        <f>IF(N213,EXACT(P213,G213),"")</f>
        <v/>
      </c>
      <c r="W213" s="2">
        <f>IF(O213,EXACT(Q213,H213),"")</f>
        <v/>
      </c>
      <c r="X213" s="2">
        <f>J213=C213</f>
        <v/>
      </c>
      <c r="Y213" s="2">
        <f>IF(R213="unknown","",R213=S213)</f>
        <v/>
      </c>
      <c r="Z213" s="2" t="inlineStr">
        <is>
          <t>A</t>
        </is>
      </c>
      <c r="AA213" s="2" t="inlineStr">
        <is>
          <t>A</t>
        </is>
      </c>
      <c r="AB213" s="2">
        <f>AND(N213,O213,A213&lt;&gt;"census-mixed")</f>
        <v/>
      </c>
      <c r="AC213" s="2">
        <f>IF(AB213,Z213=AA213,"")</f>
        <v/>
      </c>
    </row>
    <row r="214">
      <c r="A214" s="2" t="inlineStr">
        <is>
          <t>census</t>
        </is>
      </c>
      <c r="B214" s="2" t="inlineStr">
        <is>
          <t>browser safari260</t>
        </is>
      </c>
      <c r="C214" s="2" t="inlineStr">
        <is>
          <t>skb-eval-8352-c5213</t>
        </is>
      </c>
      <c r="D214" s="2" t="n">
        <v>5213</v>
      </c>
      <c r="E214" s="2" t="n">
        <v>1537</v>
      </c>
      <c r="F214" s="2" t="n">
        <v>771</v>
      </c>
      <c r="G214" s="2" t="inlineStr">
        <is>
          <t>dada 1302 1303 1301 c02c c02b cca9 c030 c02f cca8 c00a c009 c014 c013 009d 009c 0035 002f c008 c012 000a</t>
        </is>
      </c>
      <c r="H214" s="2" t="inlineStr">
        <is>
          <t>eaea 0304 0303</t>
        </is>
      </c>
      <c r="I214" s="2" t="n">
        <v>1</v>
      </c>
      <c r="J214" s="2" t="inlineStr">
        <is>
          <t>skb-eval-8352-c5213</t>
        </is>
      </c>
      <c r="K214" s="2" t="n">
        <v>1537</v>
      </c>
      <c r="L214" s="2" t="n">
        <v>771</v>
      </c>
      <c r="M214" s="2" t="n">
        <v>1443</v>
      </c>
      <c r="N214" s="2" t="b">
        <v>1</v>
      </c>
      <c r="O214" s="2" t="b">
        <v>0</v>
      </c>
      <c r="P214" s="2" t="inlineStr">
        <is>
          <t>dada 1302 1303 1301 c02c c02b cca9 c030 c02f cca8 c00a c009 c014 c013 009d 009c 0035 002f c008 c012 000a</t>
        </is>
      </c>
      <c r="Q214" s="2" t="inlineStr"/>
      <c r="R214" s="2" t="inlineStr">
        <is>
          <t>violation</t>
        </is>
      </c>
      <c r="S214" s="2" t="inlineStr">
        <is>
          <t>violation</t>
        </is>
      </c>
      <c r="T214" s="2">
        <f>K214=E214</f>
        <v/>
      </c>
      <c r="U214" s="2">
        <f>L214=F214</f>
        <v/>
      </c>
      <c r="V214" s="2">
        <f>IF(N214,EXACT(P214,G214),"")</f>
        <v/>
      </c>
      <c r="W214" s="2">
        <f>IF(O214,EXACT(Q214,H214),"")</f>
        <v/>
      </c>
      <c r="X214" s="2">
        <f>J214=C214</f>
        <v/>
      </c>
      <c r="Y214" s="2">
        <f>IF(R214="unknown","",R214=S214)</f>
        <v/>
      </c>
      <c r="Z214" s="2" t="inlineStr">
        <is>
          <t>A</t>
        </is>
      </c>
      <c r="AA214" s="2" t="inlineStr">
        <is>
          <t>A</t>
        </is>
      </c>
      <c r="AB214" s="2">
        <f>AND(N214,O214,A214&lt;&gt;"census-mixed")</f>
        <v/>
      </c>
      <c r="AC214" s="2">
        <f>IF(AB214,Z214=AA214,"")</f>
        <v/>
      </c>
    </row>
    <row r="215">
      <c r="A215" s="2" t="inlineStr">
        <is>
          <t>census</t>
        </is>
      </c>
      <c r="B215" s="2" t="inlineStr">
        <is>
          <t>browser safari260</t>
        </is>
      </c>
      <c r="C215" s="2" t="inlineStr">
        <is>
          <t>skb-eval-8352-c5214</t>
        </is>
      </c>
      <c r="D215" s="2" t="n">
        <v>5214</v>
      </c>
      <c r="E215" s="2" t="n">
        <v>1537</v>
      </c>
      <c r="F215" s="2" t="n">
        <v>771</v>
      </c>
      <c r="G215" s="2" t="inlineStr">
        <is>
          <t>9a9a 1302 1303 1301 c02c c02b cca9 c030 c02f cca8 c00a c009 c014 c013 009d 009c 0035 002f c008 c012 000a</t>
        </is>
      </c>
      <c r="H215" s="2" t="inlineStr">
        <is>
          <t>0a0a 0304 0303</t>
        </is>
      </c>
      <c r="I215" s="2" t="n">
        <v>1</v>
      </c>
      <c r="J215" s="2" t="inlineStr">
        <is>
          <t>skb-eval-8352-c5214</t>
        </is>
      </c>
      <c r="K215" s="2" t="n">
        <v>1537</v>
      </c>
      <c r="L215" s="2" t="n">
        <v>771</v>
      </c>
      <c r="M215" s="2" t="n">
        <v>1443</v>
      </c>
      <c r="N215" s="2" t="b">
        <v>1</v>
      </c>
      <c r="O215" s="2" t="b">
        <v>0</v>
      </c>
      <c r="P215" s="2" t="inlineStr">
        <is>
          <t>9a9a 1302 1303 1301 c02c c02b cca9 c030 c02f cca8 c00a c009 c014 c013 009d 009c 0035 002f c008 c012 000a</t>
        </is>
      </c>
      <c r="Q215" s="2" t="inlineStr"/>
      <c r="R215" s="2" t="inlineStr">
        <is>
          <t>violation</t>
        </is>
      </c>
      <c r="S215" s="2" t="inlineStr">
        <is>
          <t>violation</t>
        </is>
      </c>
      <c r="T215" s="2">
        <f>K215=E215</f>
        <v/>
      </c>
      <c r="U215" s="2">
        <f>L215=F215</f>
        <v/>
      </c>
      <c r="V215" s="2">
        <f>IF(N215,EXACT(P215,G215),"")</f>
        <v/>
      </c>
      <c r="W215" s="2">
        <f>IF(O215,EXACT(Q215,H215),"")</f>
        <v/>
      </c>
      <c r="X215" s="2">
        <f>J215=C215</f>
        <v/>
      </c>
      <c r="Y215" s="2">
        <f>IF(R215="unknown","",R215=S215)</f>
        <v/>
      </c>
      <c r="Z215" s="2" t="inlineStr">
        <is>
          <t>A</t>
        </is>
      </c>
      <c r="AA215" s="2" t="inlineStr">
        <is>
          <t>A</t>
        </is>
      </c>
      <c r="AB215" s="2">
        <f>AND(N215,O215,A215&lt;&gt;"census-mixed")</f>
        <v/>
      </c>
      <c r="AC215" s="2">
        <f>IF(AB215,Z215=AA215,"")</f>
        <v/>
      </c>
    </row>
    <row r="216">
      <c r="A216" s="2" t="inlineStr">
        <is>
          <t>census</t>
        </is>
      </c>
      <c r="B216" s="2" t="inlineStr">
        <is>
          <t>browser safari260</t>
        </is>
      </c>
      <c r="C216" s="2" t="inlineStr">
        <is>
          <t>skb-eval-8352-c5215</t>
        </is>
      </c>
      <c r="D216" s="2" t="n">
        <v>5215</v>
      </c>
      <c r="E216" s="2" t="n">
        <v>1537</v>
      </c>
      <c r="F216" s="2" t="n">
        <v>771</v>
      </c>
      <c r="G216" s="2" t="inlineStr">
        <is>
          <t>3a3a 1302 1303 1301 c02c c02b cca9 c030 c02f cca8 c00a c009 c014 c013 009d 009c 0035 002f c008 c012 000a</t>
        </is>
      </c>
      <c r="H216" s="2" t="inlineStr">
        <is>
          <t>0a0a 0304 0303</t>
        </is>
      </c>
      <c r="I216" s="2" t="n">
        <v>1</v>
      </c>
      <c r="J216" s="2" t="inlineStr">
        <is>
          <t>skb-eval-8352-c5215</t>
        </is>
      </c>
      <c r="K216" s="2" t="n">
        <v>1537</v>
      </c>
      <c r="L216" s="2" t="n">
        <v>771</v>
      </c>
      <c r="M216" s="2" t="n">
        <v>1443</v>
      </c>
      <c r="N216" s="2" t="b">
        <v>1</v>
      </c>
      <c r="O216" s="2" t="b">
        <v>0</v>
      </c>
      <c r="P216" s="2" t="inlineStr">
        <is>
          <t>3a3a 1302 1303 1301 c02c c02b cca9 c030 c02f cca8 c00a c009 c014 c013 009d 009c 0035 002f c008 c012 000a</t>
        </is>
      </c>
      <c r="Q216" s="2" t="inlineStr"/>
      <c r="R216" s="2" t="inlineStr">
        <is>
          <t>violation</t>
        </is>
      </c>
      <c r="S216" s="2" t="inlineStr">
        <is>
          <t>violation</t>
        </is>
      </c>
      <c r="T216" s="2">
        <f>K216=E216</f>
        <v/>
      </c>
      <c r="U216" s="2">
        <f>L216=F216</f>
        <v/>
      </c>
      <c r="V216" s="2">
        <f>IF(N216,EXACT(P216,G216),"")</f>
        <v/>
      </c>
      <c r="W216" s="2">
        <f>IF(O216,EXACT(Q216,H216),"")</f>
        <v/>
      </c>
      <c r="X216" s="2">
        <f>J216=C216</f>
        <v/>
      </c>
      <c r="Y216" s="2">
        <f>IF(R216="unknown","",R216=S216)</f>
        <v/>
      </c>
      <c r="Z216" s="2" t="inlineStr">
        <is>
          <t>A</t>
        </is>
      </c>
      <c r="AA216" s="2" t="inlineStr">
        <is>
          <t>A</t>
        </is>
      </c>
      <c r="AB216" s="2">
        <f>AND(N216,O216,A216&lt;&gt;"census-mixed")</f>
        <v/>
      </c>
      <c r="AC216" s="2">
        <f>IF(AB216,Z216=AA216,"")</f>
        <v/>
      </c>
    </row>
    <row r="217">
      <c r="A217" s="2" t="inlineStr">
        <is>
          <t>census</t>
        </is>
      </c>
      <c r="B217" s="2" t="inlineStr">
        <is>
          <t>browser safari260</t>
        </is>
      </c>
      <c r="C217" s="2" t="inlineStr">
        <is>
          <t>skb-eval-8352-c5216</t>
        </is>
      </c>
      <c r="D217" s="2" t="n">
        <v>5216</v>
      </c>
      <c r="E217" s="2" t="n">
        <v>1537</v>
      </c>
      <c r="F217" s="2" t="n">
        <v>771</v>
      </c>
      <c r="G217" s="2" t="inlineStr">
        <is>
          <t>9a9a 1302 1303 1301 c02c c02b cca9 c030 c02f cca8 c00a c009 c014 c013 009d 009c 0035 002f c008 c012 000a</t>
        </is>
      </c>
      <c r="H217" s="2" t="inlineStr">
        <is>
          <t>caca 0304 0303</t>
        </is>
      </c>
      <c r="I217" s="2" t="n">
        <v>1</v>
      </c>
      <c r="J217" s="2" t="inlineStr">
        <is>
          <t>skb-eval-8352-c5216</t>
        </is>
      </c>
      <c r="K217" s="2" t="n">
        <v>1537</v>
      </c>
      <c r="L217" s="2" t="n">
        <v>771</v>
      </c>
      <c r="M217" s="2" t="n">
        <v>1443</v>
      </c>
      <c r="N217" s="2" t="b">
        <v>1</v>
      </c>
      <c r="O217" s="2" t="b">
        <v>0</v>
      </c>
      <c r="P217" s="2" t="inlineStr">
        <is>
          <t>9a9a 1302 1303 1301 c02c c02b cca9 c030 c02f cca8 c00a c009 c014 c013 009d 009c 0035 002f c008 c012 000a</t>
        </is>
      </c>
      <c r="Q217" s="2" t="inlineStr"/>
      <c r="R217" s="2" t="inlineStr">
        <is>
          <t>violation</t>
        </is>
      </c>
      <c r="S217" s="2" t="inlineStr">
        <is>
          <t>violation</t>
        </is>
      </c>
      <c r="T217" s="2">
        <f>K217=E217</f>
        <v/>
      </c>
      <c r="U217" s="2">
        <f>L217=F217</f>
        <v/>
      </c>
      <c r="V217" s="2">
        <f>IF(N217,EXACT(P217,G217),"")</f>
        <v/>
      </c>
      <c r="W217" s="2">
        <f>IF(O217,EXACT(Q217,H217),"")</f>
        <v/>
      </c>
      <c r="X217" s="2">
        <f>J217=C217</f>
        <v/>
      </c>
      <c r="Y217" s="2">
        <f>IF(R217="unknown","",R217=S217)</f>
        <v/>
      </c>
      <c r="Z217" s="2" t="inlineStr">
        <is>
          <t>A</t>
        </is>
      </c>
      <c r="AA217" s="2" t="inlineStr">
        <is>
          <t>A</t>
        </is>
      </c>
      <c r="AB217" s="2">
        <f>AND(N217,O217,A217&lt;&gt;"census-mixed")</f>
        <v/>
      </c>
      <c r="AC217" s="2">
        <f>IF(AB217,Z217=AA217,"")</f>
        <v/>
      </c>
    </row>
    <row r="218">
      <c r="A218" s="2" t="inlineStr">
        <is>
          <t>census</t>
        </is>
      </c>
      <c r="B218" s="2" t="inlineStr">
        <is>
          <t>browser safari260</t>
        </is>
      </c>
      <c r="C218" s="2" t="inlineStr">
        <is>
          <t>skb-eval-8352-c5217</t>
        </is>
      </c>
      <c r="D218" s="2" t="n">
        <v>5217</v>
      </c>
      <c r="E218" s="2" t="n">
        <v>1537</v>
      </c>
      <c r="F218" s="2" t="n">
        <v>771</v>
      </c>
      <c r="G218" s="2" t="inlineStr">
        <is>
          <t>7a7a 1302 1303 1301 c02c c02b cca9 c030 c02f cca8 c00a c009 c014 c013 009d 009c 0035 002f c008 c012 000a</t>
        </is>
      </c>
      <c r="H218" s="2" t="inlineStr">
        <is>
          <t>aaaa 0304 0303</t>
        </is>
      </c>
      <c r="I218" s="2" t="n">
        <v>1</v>
      </c>
      <c r="J218" s="2" t="inlineStr">
        <is>
          <t>skb-eval-8352-c5217</t>
        </is>
      </c>
      <c r="K218" s="2" t="n">
        <v>1537</v>
      </c>
      <c r="L218" s="2" t="n">
        <v>771</v>
      </c>
      <c r="M218" s="2" t="n">
        <v>1443</v>
      </c>
      <c r="N218" s="2" t="b">
        <v>1</v>
      </c>
      <c r="O218" s="2" t="b">
        <v>0</v>
      </c>
      <c r="P218" s="2" t="inlineStr">
        <is>
          <t>7a7a 1302 1303 1301 c02c c02b cca9 c030 c02f cca8 c00a c009 c014 c013 009d 009c 0035 002f c008 c012 000a</t>
        </is>
      </c>
      <c r="Q218" s="2" t="inlineStr"/>
      <c r="R218" s="2" t="inlineStr">
        <is>
          <t>violation</t>
        </is>
      </c>
      <c r="S218" s="2" t="inlineStr">
        <is>
          <t>violation</t>
        </is>
      </c>
      <c r="T218" s="2">
        <f>K218=E218</f>
        <v/>
      </c>
      <c r="U218" s="2">
        <f>L218=F218</f>
        <v/>
      </c>
      <c r="V218" s="2">
        <f>IF(N218,EXACT(P218,G218),"")</f>
        <v/>
      </c>
      <c r="W218" s="2">
        <f>IF(O218,EXACT(Q218,H218),"")</f>
        <v/>
      </c>
      <c r="X218" s="2">
        <f>J218=C218</f>
        <v/>
      </c>
      <c r="Y218" s="2">
        <f>IF(R218="unknown","",R218=S218)</f>
        <v/>
      </c>
      <c r="Z218" s="2" t="inlineStr">
        <is>
          <t>A</t>
        </is>
      </c>
      <c r="AA218" s="2" t="inlineStr">
        <is>
          <t>A</t>
        </is>
      </c>
      <c r="AB218" s="2">
        <f>AND(N218,O218,A218&lt;&gt;"census-mixed")</f>
        <v/>
      </c>
      <c r="AC218" s="2">
        <f>IF(AB218,Z218=AA218,"")</f>
        <v/>
      </c>
    </row>
    <row r="219">
      <c r="A219" s="2" t="inlineStr">
        <is>
          <t>census</t>
        </is>
      </c>
      <c r="B219" s="2" t="inlineStr">
        <is>
          <t>browser safari260</t>
        </is>
      </c>
      <c r="C219" s="2" t="inlineStr">
        <is>
          <t>skb-eval-8352-c5218</t>
        </is>
      </c>
      <c r="D219" s="2" t="n">
        <v>5218</v>
      </c>
      <c r="E219" s="2" t="n">
        <v>1537</v>
      </c>
      <c r="F219" s="2" t="n">
        <v>771</v>
      </c>
      <c r="G219" s="2" t="inlineStr">
        <is>
          <t>4a4a 1302 1303 1301 c02c c02b cca9 c030 c02f cca8 c00a c009 c014 c013 009d 009c 0035 002f c008 c012 000a</t>
        </is>
      </c>
      <c r="H219" s="2" t="inlineStr">
        <is>
          <t>9a9a 0304 0303</t>
        </is>
      </c>
      <c r="I219" s="2" t="n">
        <v>1</v>
      </c>
      <c r="J219" s="2" t="inlineStr">
        <is>
          <t>skb-eval-8352-c5218</t>
        </is>
      </c>
      <c r="K219" s="2" t="n">
        <v>1537</v>
      </c>
      <c r="L219" s="2" t="n">
        <v>771</v>
      </c>
      <c r="M219" s="2" t="n">
        <v>1443</v>
      </c>
      <c r="N219" s="2" t="b">
        <v>1</v>
      </c>
      <c r="O219" s="2" t="b">
        <v>0</v>
      </c>
      <c r="P219" s="2" t="inlineStr">
        <is>
          <t>4a4a 1302 1303 1301 c02c c02b cca9 c030 c02f cca8 c00a c009 c014 c013 009d 009c 0035 002f c008 c012 000a</t>
        </is>
      </c>
      <c r="Q219" s="2" t="inlineStr"/>
      <c r="R219" s="2" t="inlineStr">
        <is>
          <t>violation</t>
        </is>
      </c>
      <c r="S219" s="2" t="inlineStr">
        <is>
          <t>violation</t>
        </is>
      </c>
      <c r="T219" s="2">
        <f>K219=E219</f>
        <v/>
      </c>
      <c r="U219" s="2">
        <f>L219=F219</f>
        <v/>
      </c>
      <c r="V219" s="2">
        <f>IF(N219,EXACT(P219,G219),"")</f>
        <v/>
      </c>
      <c r="W219" s="2">
        <f>IF(O219,EXACT(Q219,H219),"")</f>
        <v/>
      </c>
      <c r="X219" s="2">
        <f>J219=C219</f>
        <v/>
      </c>
      <c r="Y219" s="2">
        <f>IF(R219="unknown","",R219=S219)</f>
        <v/>
      </c>
      <c r="Z219" s="2" t="inlineStr">
        <is>
          <t>A</t>
        </is>
      </c>
      <c r="AA219" s="2" t="inlineStr">
        <is>
          <t>A</t>
        </is>
      </c>
      <c r="AB219" s="2">
        <f>AND(N219,O219,A219&lt;&gt;"census-mixed")</f>
        <v/>
      </c>
      <c r="AC219" s="2">
        <f>IF(AB219,Z219=AA219,"")</f>
        <v/>
      </c>
    </row>
    <row r="220">
      <c r="A220" s="2" t="inlineStr">
        <is>
          <t>census</t>
        </is>
      </c>
      <c r="B220" s="2" t="inlineStr">
        <is>
          <t>browser safari260</t>
        </is>
      </c>
      <c r="C220" s="2" t="inlineStr">
        <is>
          <t>skb-eval-8352-c5219</t>
        </is>
      </c>
      <c r="D220" s="2" t="n">
        <v>5219</v>
      </c>
      <c r="E220" s="2" t="n">
        <v>1537</v>
      </c>
      <c r="F220" s="2" t="n">
        <v>771</v>
      </c>
      <c r="G220" s="2" t="inlineStr">
        <is>
          <t>fafa 1302 1303 1301 c02c c02b cca9 c030 c02f cca8 c00a c009 c014 c013 009d 009c 0035 002f c008 c012 000a</t>
        </is>
      </c>
      <c r="H220" s="2" t="inlineStr">
        <is>
          <t>7a7a 0304 0303</t>
        </is>
      </c>
      <c r="I220" s="2" t="n">
        <v>1</v>
      </c>
      <c r="J220" s="2" t="inlineStr">
        <is>
          <t>skb-eval-8352-c5219</t>
        </is>
      </c>
      <c r="K220" s="2" t="n">
        <v>1537</v>
      </c>
      <c r="L220" s="2" t="n">
        <v>771</v>
      </c>
      <c r="M220" s="2" t="n">
        <v>1443</v>
      </c>
      <c r="N220" s="2" t="b">
        <v>1</v>
      </c>
      <c r="O220" s="2" t="b">
        <v>0</v>
      </c>
      <c r="P220" s="2" t="inlineStr">
        <is>
          <t>fafa 1302 1303 1301 c02c c02b cca9 c030 c02f cca8 c00a c009 c014 c013 009d 009c 0035 002f c008 c012 000a</t>
        </is>
      </c>
      <c r="Q220" s="2" t="inlineStr"/>
      <c r="R220" s="2" t="inlineStr">
        <is>
          <t>violation</t>
        </is>
      </c>
      <c r="S220" s="2" t="inlineStr">
        <is>
          <t>violation</t>
        </is>
      </c>
      <c r="T220" s="2">
        <f>K220=E220</f>
        <v/>
      </c>
      <c r="U220" s="2">
        <f>L220=F220</f>
        <v/>
      </c>
      <c r="V220" s="2">
        <f>IF(N220,EXACT(P220,G220),"")</f>
        <v/>
      </c>
      <c r="W220" s="2">
        <f>IF(O220,EXACT(Q220,H220),"")</f>
        <v/>
      </c>
      <c r="X220" s="2">
        <f>J220=C220</f>
        <v/>
      </c>
      <c r="Y220" s="2">
        <f>IF(R220="unknown","",R220=S220)</f>
        <v/>
      </c>
      <c r="Z220" s="2" t="inlineStr">
        <is>
          <t>A</t>
        </is>
      </c>
      <c r="AA220" s="2" t="inlineStr">
        <is>
          <t>A</t>
        </is>
      </c>
      <c r="AB220" s="2">
        <f>AND(N220,O220,A220&lt;&gt;"census-mixed")</f>
        <v/>
      </c>
      <c r="AC220" s="2">
        <f>IF(AB220,Z220=AA220,"")</f>
        <v/>
      </c>
    </row>
    <row r="221">
      <c r="A221" s="2" t="inlineStr">
        <is>
          <t>census</t>
        </is>
      </c>
      <c r="B221" s="2" t="inlineStr">
        <is>
          <t>browser safari260</t>
        </is>
      </c>
      <c r="C221" s="2" t="inlineStr">
        <is>
          <t>skb-eval-8352-c5220</t>
        </is>
      </c>
      <c r="D221" s="2" t="n">
        <v>5220</v>
      </c>
      <c r="E221" s="2" t="n">
        <v>1537</v>
      </c>
      <c r="F221" s="2" t="n">
        <v>771</v>
      </c>
      <c r="G221" s="2" t="inlineStr">
        <is>
          <t>5a5a 1302 1303 1301 c02c c02b cca9 c030 c02f cca8 c00a c009 c014 c013 009d 009c 0035 002f c008 c012 000a</t>
        </is>
      </c>
      <c r="H221" s="2" t="inlineStr">
        <is>
          <t>baba 0304 0303</t>
        </is>
      </c>
      <c r="I221" s="2" t="n">
        <v>1</v>
      </c>
      <c r="J221" s="2" t="inlineStr">
        <is>
          <t>skb-eval-8352-c5220</t>
        </is>
      </c>
      <c r="K221" s="2" t="n">
        <v>1537</v>
      </c>
      <c r="L221" s="2" t="n">
        <v>771</v>
      </c>
      <c r="M221" s="2" t="n">
        <v>1443</v>
      </c>
      <c r="N221" s="2" t="b">
        <v>1</v>
      </c>
      <c r="O221" s="2" t="b">
        <v>0</v>
      </c>
      <c r="P221" s="2" t="inlineStr">
        <is>
          <t>5a5a 1302 1303 1301 c02c c02b cca9 c030 c02f cca8 c00a c009 c014 c013 009d 009c 0035 002f c008 c012 000a</t>
        </is>
      </c>
      <c r="Q221" s="2" t="inlineStr"/>
      <c r="R221" s="2" t="inlineStr">
        <is>
          <t>violation</t>
        </is>
      </c>
      <c r="S221" s="2" t="inlineStr">
        <is>
          <t>violation</t>
        </is>
      </c>
      <c r="T221" s="2">
        <f>K221=E221</f>
        <v/>
      </c>
      <c r="U221" s="2">
        <f>L221=F221</f>
        <v/>
      </c>
      <c r="V221" s="2">
        <f>IF(N221,EXACT(P221,G221),"")</f>
        <v/>
      </c>
      <c r="W221" s="2">
        <f>IF(O221,EXACT(Q221,H221),"")</f>
        <v/>
      </c>
      <c r="X221" s="2">
        <f>J221=C221</f>
        <v/>
      </c>
      <c r="Y221" s="2">
        <f>IF(R221="unknown","",R221=S221)</f>
        <v/>
      </c>
      <c r="Z221" s="2" t="inlineStr">
        <is>
          <t>A</t>
        </is>
      </c>
      <c r="AA221" s="2" t="inlineStr">
        <is>
          <t>A</t>
        </is>
      </c>
      <c r="AB221" s="2">
        <f>AND(N221,O221,A221&lt;&gt;"census-mixed")</f>
        <v/>
      </c>
      <c r="AC221" s="2">
        <f>IF(AB221,Z221=AA221,"")</f>
        <v/>
      </c>
    </row>
    <row r="222">
      <c r="A222" s="2" t="inlineStr">
        <is>
          <t>census</t>
        </is>
      </c>
      <c r="B222" s="2" t="inlineStr">
        <is>
          <t>browser safari260_ios</t>
        </is>
      </c>
      <c r="C222" s="2" t="inlineStr">
        <is>
          <t>skb-eval-8352-c5221</t>
        </is>
      </c>
      <c r="D222" s="2" t="n">
        <v>5221</v>
      </c>
      <c r="E222" s="2" t="n">
        <v>512</v>
      </c>
      <c r="F222" s="2" t="n">
        <v>771</v>
      </c>
      <c r="G222" s="2" t="inlineStr">
        <is>
          <t>caca 1301 1302 1303 c02c c02b cca9 c030 c02f cca8 c00a c009 c014 c013 009d 009c 0035 002f c008 c012 000a</t>
        </is>
      </c>
      <c r="H222" s="2" t="inlineStr">
        <is>
          <t>aaaa 0304 0303</t>
        </is>
      </c>
      <c r="I222" s="2" t="n">
        <v>1</v>
      </c>
      <c r="J222" s="2" t="inlineStr">
        <is>
          <t>skb-eval-8352-c5221</t>
        </is>
      </c>
      <c r="K222" s="2" t="n">
        <v>512</v>
      </c>
      <c r="L222" s="2" t="n">
        <v>771</v>
      </c>
      <c r="M222" s="2" t="n">
        <v>512</v>
      </c>
      <c r="N222" s="2" t="b">
        <v>1</v>
      </c>
      <c r="O222" s="2" t="b">
        <v>1</v>
      </c>
      <c r="P222" s="2" t="inlineStr">
        <is>
          <t>caca 1301 1302 1303 c02c c02b cca9 c030 c02f cca8 c00a c009 c014 c013 009d 009c 0035 002f c008 c012 000a</t>
        </is>
      </c>
      <c r="Q222" s="2" t="inlineStr">
        <is>
          <t>aaaa 0304 0303</t>
        </is>
      </c>
      <c r="R222" s="2" t="inlineStr">
        <is>
          <t>violation</t>
        </is>
      </c>
      <c r="S222" s="2" t="inlineStr">
        <is>
          <t>violation</t>
        </is>
      </c>
      <c r="T222" s="2">
        <f>K222=E222</f>
        <v/>
      </c>
      <c r="U222" s="2">
        <f>L222=F222</f>
        <v/>
      </c>
      <c r="V222" s="2">
        <f>IF(N222,EXACT(P222,G222),"")</f>
        <v/>
      </c>
      <c r="W222" s="2">
        <f>IF(O222,EXACT(Q222,H222),"")</f>
        <v/>
      </c>
      <c r="X222" s="2">
        <f>J222=C222</f>
        <v/>
      </c>
      <c r="Y222" s="2">
        <f>IF(R222="unknown","",R222=S222)</f>
        <v/>
      </c>
      <c r="Z222" s="2" t="inlineStr">
        <is>
          <t>A</t>
        </is>
      </c>
      <c r="AA222" s="2" t="inlineStr">
        <is>
          <t>A</t>
        </is>
      </c>
      <c r="AB222" s="2">
        <f>AND(N222,O222,A222&lt;&gt;"census-mixed")</f>
        <v/>
      </c>
      <c r="AC222" s="2">
        <f>IF(AB222,Z222=AA222,"")</f>
        <v/>
      </c>
    </row>
    <row r="223">
      <c r="A223" s="2" t="inlineStr">
        <is>
          <t>census</t>
        </is>
      </c>
      <c r="B223" s="2" t="inlineStr">
        <is>
          <t>browser safari260_ios</t>
        </is>
      </c>
      <c r="C223" s="2" t="inlineStr">
        <is>
          <t>skb-eval-8352-c5222</t>
        </is>
      </c>
      <c r="D223" s="2" t="n">
        <v>5222</v>
      </c>
      <c r="E223" s="2" t="n">
        <v>512</v>
      </c>
      <c r="F223" s="2" t="n">
        <v>771</v>
      </c>
      <c r="G223" s="2" t="inlineStr">
        <is>
          <t>2a2a 1301 1302 1303 c02c c02b cca9 c030 c02f cca8 c00a c009 c014 c013 009d 009c 0035 002f c008 c012 000a</t>
        </is>
      </c>
      <c r="H223" s="2" t="inlineStr">
        <is>
          <t>7a7a 0304 0303</t>
        </is>
      </c>
      <c r="I223" s="2" t="n">
        <v>1</v>
      </c>
      <c r="J223" s="2" t="inlineStr">
        <is>
          <t>skb-eval-8352-c5222</t>
        </is>
      </c>
      <c r="K223" s="2" t="n">
        <v>512</v>
      </c>
      <c r="L223" s="2" t="n">
        <v>771</v>
      </c>
      <c r="M223" s="2" t="n">
        <v>512</v>
      </c>
      <c r="N223" s="2" t="b">
        <v>1</v>
      </c>
      <c r="O223" s="2" t="b">
        <v>1</v>
      </c>
      <c r="P223" s="2" t="inlineStr">
        <is>
          <t>2a2a 1301 1302 1303 c02c c02b cca9 c030 c02f cca8 c00a c009 c014 c013 009d 009c 0035 002f c008 c012 000a</t>
        </is>
      </c>
      <c r="Q223" s="2" t="inlineStr">
        <is>
          <t>7a7a 0304 0303</t>
        </is>
      </c>
      <c r="R223" s="2" t="inlineStr">
        <is>
          <t>violation</t>
        </is>
      </c>
      <c r="S223" s="2" t="inlineStr">
        <is>
          <t>violation</t>
        </is>
      </c>
      <c r="T223" s="2">
        <f>K223=E223</f>
        <v/>
      </c>
      <c r="U223" s="2">
        <f>L223=F223</f>
        <v/>
      </c>
      <c r="V223" s="2">
        <f>IF(N223,EXACT(P223,G223),"")</f>
        <v/>
      </c>
      <c r="W223" s="2">
        <f>IF(O223,EXACT(Q223,H223),"")</f>
        <v/>
      </c>
      <c r="X223" s="2">
        <f>J223=C223</f>
        <v/>
      </c>
      <c r="Y223" s="2">
        <f>IF(R223="unknown","",R223=S223)</f>
        <v/>
      </c>
      <c r="Z223" s="2" t="inlineStr">
        <is>
          <t>A</t>
        </is>
      </c>
      <c r="AA223" s="2" t="inlineStr">
        <is>
          <t>A</t>
        </is>
      </c>
      <c r="AB223" s="2">
        <f>AND(N223,O223,A223&lt;&gt;"census-mixed")</f>
        <v/>
      </c>
      <c r="AC223" s="2">
        <f>IF(AB223,Z223=AA223,"")</f>
        <v/>
      </c>
    </row>
    <row r="224">
      <c r="A224" s="2" t="inlineStr">
        <is>
          <t>census</t>
        </is>
      </c>
      <c r="B224" s="2" t="inlineStr">
        <is>
          <t>browser safari260_ios</t>
        </is>
      </c>
      <c r="C224" s="2" t="inlineStr">
        <is>
          <t>skb-eval-8352-c5223</t>
        </is>
      </c>
      <c r="D224" s="2" t="n">
        <v>5223</v>
      </c>
      <c r="E224" s="2" t="n">
        <v>512</v>
      </c>
      <c r="F224" s="2" t="n">
        <v>771</v>
      </c>
      <c r="G224" s="2" t="inlineStr">
        <is>
          <t>0a0a 1301 1302 1303 c02c c02b cca9 c030 c02f cca8 c00a c009 c014 c013 009d 009c 0035 002f c008 c012 000a</t>
        </is>
      </c>
      <c r="H224" s="2" t="inlineStr">
        <is>
          <t>3a3a 0304 0303</t>
        </is>
      </c>
      <c r="I224" s="2" t="n">
        <v>1</v>
      </c>
      <c r="J224" s="2" t="inlineStr">
        <is>
          <t>skb-eval-8352-c5223</t>
        </is>
      </c>
      <c r="K224" s="2" t="n">
        <v>512</v>
      </c>
      <c r="L224" s="2" t="n">
        <v>771</v>
      </c>
      <c r="M224" s="2" t="n">
        <v>512</v>
      </c>
      <c r="N224" s="2" t="b">
        <v>1</v>
      </c>
      <c r="O224" s="2" t="b">
        <v>1</v>
      </c>
      <c r="P224" s="2" t="inlineStr">
        <is>
          <t>0a0a 1301 1302 1303 c02c c02b cca9 c030 c02f cca8 c00a c009 c014 c013 009d 009c 0035 002f c008 c012 000a</t>
        </is>
      </c>
      <c r="Q224" s="2" t="inlineStr">
        <is>
          <t>3a3a 0304 0303</t>
        </is>
      </c>
      <c r="R224" s="2" t="inlineStr">
        <is>
          <t>violation</t>
        </is>
      </c>
      <c r="S224" s="2" t="inlineStr">
        <is>
          <t>violation</t>
        </is>
      </c>
      <c r="T224" s="2">
        <f>K224=E224</f>
        <v/>
      </c>
      <c r="U224" s="2">
        <f>L224=F224</f>
        <v/>
      </c>
      <c r="V224" s="2">
        <f>IF(N224,EXACT(P224,G224),"")</f>
        <v/>
      </c>
      <c r="W224" s="2">
        <f>IF(O224,EXACT(Q224,H224),"")</f>
        <v/>
      </c>
      <c r="X224" s="2">
        <f>J224=C224</f>
        <v/>
      </c>
      <c r="Y224" s="2">
        <f>IF(R224="unknown","",R224=S224)</f>
        <v/>
      </c>
      <c r="Z224" s="2" t="inlineStr">
        <is>
          <t>A</t>
        </is>
      </c>
      <c r="AA224" s="2" t="inlineStr">
        <is>
          <t>A</t>
        </is>
      </c>
      <c r="AB224" s="2">
        <f>AND(N224,O224,A224&lt;&gt;"census-mixed")</f>
        <v/>
      </c>
      <c r="AC224" s="2">
        <f>IF(AB224,Z224=AA224,"")</f>
        <v/>
      </c>
    </row>
    <row r="225">
      <c r="A225" s="2" t="inlineStr">
        <is>
          <t>census</t>
        </is>
      </c>
      <c r="B225" s="2" t="inlineStr">
        <is>
          <t>browser safari260_ios</t>
        </is>
      </c>
      <c r="C225" s="2" t="inlineStr">
        <is>
          <t>skb-eval-8352-c5224</t>
        </is>
      </c>
      <c r="D225" s="2" t="n">
        <v>5224</v>
      </c>
      <c r="E225" s="2" t="n">
        <v>512</v>
      </c>
      <c r="F225" s="2" t="n">
        <v>771</v>
      </c>
      <c r="G225" s="2" t="inlineStr">
        <is>
          <t>fafa 1301 1302 1303 c02c c02b cca9 c030 c02f cca8 c00a c009 c014 c013 009d 009c 0035 002f c008 c012 000a</t>
        </is>
      </c>
      <c r="H225" s="2" t="inlineStr">
        <is>
          <t>2a2a 0304 0303</t>
        </is>
      </c>
      <c r="I225" s="2" t="n">
        <v>1</v>
      </c>
      <c r="J225" s="2" t="inlineStr">
        <is>
          <t>skb-eval-8352-c5224</t>
        </is>
      </c>
      <c r="K225" s="2" t="n">
        <v>512</v>
      </c>
      <c r="L225" s="2" t="n">
        <v>771</v>
      </c>
      <c r="M225" s="2" t="n">
        <v>512</v>
      </c>
      <c r="N225" s="2" t="b">
        <v>1</v>
      </c>
      <c r="O225" s="2" t="b">
        <v>1</v>
      </c>
      <c r="P225" s="2" t="inlineStr">
        <is>
          <t>fafa 1301 1302 1303 c02c c02b cca9 c030 c02f cca8 c00a c009 c014 c013 009d 009c 0035 002f c008 c012 000a</t>
        </is>
      </c>
      <c r="Q225" s="2" t="inlineStr">
        <is>
          <t>2a2a 0304 0303</t>
        </is>
      </c>
      <c r="R225" s="2" t="inlineStr">
        <is>
          <t>violation</t>
        </is>
      </c>
      <c r="S225" s="2" t="inlineStr">
        <is>
          <t>violation</t>
        </is>
      </c>
      <c r="T225" s="2">
        <f>K225=E225</f>
        <v/>
      </c>
      <c r="U225" s="2">
        <f>L225=F225</f>
        <v/>
      </c>
      <c r="V225" s="2">
        <f>IF(N225,EXACT(P225,G225),"")</f>
        <v/>
      </c>
      <c r="W225" s="2">
        <f>IF(O225,EXACT(Q225,H225),"")</f>
        <v/>
      </c>
      <c r="X225" s="2">
        <f>J225=C225</f>
        <v/>
      </c>
      <c r="Y225" s="2">
        <f>IF(R225="unknown","",R225=S225)</f>
        <v/>
      </c>
      <c r="Z225" s="2" t="inlineStr">
        <is>
          <t>A</t>
        </is>
      </c>
      <c r="AA225" s="2" t="inlineStr">
        <is>
          <t>A</t>
        </is>
      </c>
      <c r="AB225" s="2">
        <f>AND(N225,O225,A225&lt;&gt;"census-mixed")</f>
        <v/>
      </c>
      <c r="AC225" s="2">
        <f>IF(AB225,Z225=AA225,"")</f>
        <v/>
      </c>
    </row>
    <row r="226">
      <c r="A226" s="2" t="inlineStr">
        <is>
          <t>census</t>
        </is>
      </c>
      <c r="B226" s="2" t="inlineStr">
        <is>
          <t>browser safari260_ios</t>
        </is>
      </c>
      <c r="C226" s="2" t="inlineStr">
        <is>
          <t>skb-eval-8352-c5225</t>
        </is>
      </c>
      <c r="D226" s="2" t="n">
        <v>5225</v>
      </c>
      <c r="E226" s="2" t="n">
        <v>512</v>
      </c>
      <c r="F226" s="2" t="n">
        <v>771</v>
      </c>
      <c r="G226" s="2" t="inlineStr">
        <is>
          <t>5a5a 1301 1302 1303 c02c c02b cca9 c030 c02f cca8 c00a c009 c014 c013 009d 009c 0035 002f c008 c012 000a</t>
        </is>
      </c>
      <c r="H226" s="2" t="inlineStr">
        <is>
          <t>2a2a 0304 0303</t>
        </is>
      </c>
      <c r="I226" s="2" t="n">
        <v>1</v>
      </c>
      <c r="J226" s="2" t="inlineStr">
        <is>
          <t>skb-eval-8352-c5225</t>
        </is>
      </c>
      <c r="K226" s="2" t="n">
        <v>512</v>
      </c>
      <c r="L226" s="2" t="n">
        <v>771</v>
      </c>
      <c r="M226" s="2" t="n">
        <v>512</v>
      </c>
      <c r="N226" s="2" t="b">
        <v>1</v>
      </c>
      <c r="O226" s="2" t="b">
        <v>1</v>
      </c>
      <c r="P226" s="2" t="inlineStr">
        <is>
          <t>5a5a 1301 1302 1303 c02c c02b cca9 c030 c02f cca8 c00a c009 c014 c013 009d 009c 0035 002f c008 c012 000a</t>
        </is>
      </c>
      <c r="Q226" s="2" t="inlineStr">
        <is>
          <t>2a2a 0304 0303</t>
        </is>
      </c>
      <c r="R226" s="2" t="inlineStr">
        <is>
          <t>violation</t>
        </is>
      </c>
      <c r="S226" s="2" t="inlineStr">
        <is>
          <t>violation</t>
        </is>
      </c>
      <c r="T226" s="2">
        <f>K226=E226</f>
        <v/>
      </c>
      <c r="U226" s="2">
        <f>L226=F226</f>
        <v/>
      </c>
      <c r="V226" s="2">
        <f>IF(N226,EXACT(P226,G226),"")</f>
        <v/>
      </c>
      <c r="W226" s="2">
        <f>IF(O226,EXACT(Q226,H226),"")</f>
        <v/>
      </c>
      <c r="X226" s="2">
        <f>J226=C226</f>
        <v/>
      </c>
      <c r="Y226" s="2">
        <f>IF(R226="unknown","",R226=S226)</f>
        <v/>
      </c>
      <c r="Z226" s="2" t="inlineStr">
        <is>
          <t>A</t>
        </is>
      </c>
      <c r="AA226" s="2" t="inlineStr">
        <is>
          <t>A</t>
        </is>
      </c>
      <c r="AB226" s="2">
        <f>AND(N226,O226,A226&lt;&gt;"census-mixed")</f>
        <v/>
      </c>
      <c r="AC226" s="2">
        <f>IF(AB226,Z226=AA226,"")</f>
        <v/>
      </c>
    </row>
    <row r="227">
      <c r="A227" s="2" t="inlineStr">
        <is>
          <t>census</t>
        </is>
      </c>
      <c r="B227" s="2" t="inlineStr">
        <is>
          <t>browser safari260_ios</t>
        </is>
      </c>
      <c r="C227" s="2" t="inlineStr">
        <is>
          <t>skb-eval-8352-c5226</t>
        </is>
      </c>
      <c r="D227" s="2" t="n">
        <v>5226</v>
      </c>
      <c r="E227" s="2" t="n">
        <v>512</v>
      </c>
      <c r="F227" s="2" t="n">
        <v>771</v>
      </c>
      <c r="G227" s="2" t="inlineStr">
        <is>
          <t>9a9a 1301 1302 1303 c02c c02b cca9 c030 c02f cca8 c00a c009 c014 c013 009d 009c 0035 002f c008 c012 000a</t>
        </is>
      </c>
      <c r="H227" s="2" t="inlineStr">
        <is>
          <t>9a9a 0304 0303</t>
        </is>
      </c>
      <c r="I227" s="2" t="n">
        <v>1</v>
      </c>
      <c r="J227" s="2" t="inlineStr">
        <is>
          <t>skb-eval-8352-c5226</t>
        </is>
      </c>
      <c r="K227" s="2" t="n">
        <v>512</v>
      </c>
      <c r="L227" s="2" t="n">
        <v>771</v>
      </c>
      <c r="M227" s="2" t="n">
        <v>512</v>
      </c>
      <c r="N227" s="2" t="b">
        <v>1</v>
      </c>
      <c r="O227" s="2" t="b">
        <v>1</v>
      </c>
      <c r="P227" s="2" t="inlineStr">
        <is>
          <t>9a9a 1301 1302 1303 c02c c02b cca9 c030 c02f cca8 c00a c009 c014 c013 009d 009c 0035 002f c008 c012 000a</t>
        </is>
      </c>
      <c r="Q227" s="2" t="inlineStr">
        <is>
          <t>9a9a 0304 0303</t>
        </is>
      </c>
      <c r="R227" s="2" t="inlineStr">
        <is>
          <t>violation</t>
        </is>
      </c>
      <c r="S227" s="2" t="inlineStr">
        <is>
          <t>violation</t>
        </is>
      </c>
      <c r="T227" s="2">
        <f>K227=E227</f>
        <v/>
      </c>
      <c r="U227" s="2">
        <f>L227=F227</f>
        <v/>
      </c>
      <c r="V227" s="2">
        <f>IF(N227,EXACT(P227,G227),"")</f>
        <v/>
      </c>
      <c r="W227" s="2">
        <f>IF(O227,EXACT(Q227,H227),"")</f>
        <v/>
      </c>
      <c r="X227" s="2">
        <f>J227=C227</f>
        <v/>
      </c>
      <c r="Y227" s="2">
        <f>IF(R227="unknown","",R227=S227)</f>
        <v/>
      </c>
      <c r="Z227" s="2" t="inlineStr">
        <is>
          <t>A</t>
        </is>
      </c>
      <c r="AA227" s="2" t="inlineStr">
        <is>
          <t>A</t>
        </is>
      </c>
      <c r="AB227" s="2">
        <f>AND(N227,O227,A227&lt;&gt;"census-mixed")</f>
        <v/>
      </c>
      <c r="AC227" s="2">
        <f>IF(AB227,Z227=AA227,"")</f>
        <v/>
      </c>
    </row>
    <row r="228">
      <c r="A228" s="2" t="inlineStr">
        <is>
          <t>census</t>
        </is>
      </c>
      <c r="B228" s="2" t="inlineStr">
        <is>
          <t>browser safari260_ios</t>
        </is>
      </c>
      <c r="C228" s="2" t="inlineStr">
        <is>
          <t>skb-eval-8352-c5227</t>
        </is>
      </c>
      <c r="D228" s="2" t="n">
        <v>5227</v>
      </c>
      <c r="E228" s="2" t="n">
        <v>512</v>
      </c>
      <c r="F228" s="2" t="n">
        <v>771</v>
      </c>
      <c r="G228" s="2" t="inlineStr">
        <is>
          <t>6a6a 1301 1302 1303 c02c c02b cca9 c030 c02f cca8 c00a c009 c014 c013 009d 009c 0035 002f c008 c012 000a</t>
        </is>
      </c>
      <c r="H228" s="2" t="inlineStr">
        <is>
          <t>1a1a 0304 0303</t>
        </is>
      </c>
      <c r="I228" s="2" t="n">
        <v>1</v>
      </c>
      <c r="J228" s="2" t="inlineStr">
        <is>
          <t>skb-eval-8352-c5227</t>
        </is>
      </c>
      <c r="K228" s="2" t="n">
        <v>512</v>
      </c>
      <c r="L228" s="2" t="n">
        <v>771</v>
      </c>
      <c r="M228" s="2" t="n">
        <v>512</v>
      </c>
      <c r="N228" s="2" t="b">
        <v>1</v>
      </c>
      <c r="O228" s="2" t="b">
        <v>1</v>
      </c>
      <c r="P228" s="2" t="inlineStr">
        <is>
          <t>6a6a 1301 1302 1303 c02c c02b cca9 c030 c02f cca8 c00a c009 c014 c013 009d 009c 0035 002f c008 c012 000a</t>
        </is>
      </c>
      <c r="Q228" s="2" t="inlineStr">
        <is>
          <t>1a1a 0304 0303</t>
        </is>
      </c>
      <c r="R228" s="2" t="inlineStr">
        <is>
          <t>violation</t>
        </is>
      </c>
      <c r="S228" s="2" t="inlineStr">
        <is>
          <t>violation</t>
        </is>
      </c>
      <c r="T228" s="2">
        <f>K228=E228</f>
        <v/>
      </c>
      <c r="U228" s="2">
        <f>L228=F228</f>
        <v/>
      </c>
      <c r="V228" s="2">
        <f>IF(N228,EXACT(P228,G228),"")</f>
        <v/>
      </c>
      <c r="W228" s="2">
        <f>IF(O228,EXACT(Q228,H228),"")</f>
        <v/>
      </c>
      <c r="X228" s="2">
        <f>J228=C228</f>
        <v/>
      </c>
      <c r="Y228" s="2">
        <f>IF(R228="unknown","",R228=S228)</f>
        <v/>
      </c>
      <c r="Z228" s="2" t="inlineStr">
        <is>
          <t>A</t>
        </is>
      </c>
      <c r="AA228" s="2" t="inlineStr">
        <is>
          <t>A</t>
        </is>
      </c>
      <c r="AB228" s="2">
        <f>AND(N228,O228,A228&lt;&gt;"census-mixed")</f>
        <v/>
      </c>
      <c r="AC228" s="2">
        <f>IF(AB228,Z228=AA228,"")</f>
        <v/>
      </c>
    </row>
    <row r="229">
      <c r="A229" s="2" t="inlineStr">
        <is>
          <t>census</t>
        </is>
      </c>
      <c r="B229" s="2" t="inlineStr">
        <is>
          <t>browser safari260_ios</t>
        </is>
      </c>
      <c r="C229" s="2" t="inlineStr">
        <is>
          <t>skb-eval-8352-c5228</t>
        </is>
      </c>
      <c r="D229" s="2" t="n">
        <v>5228</v>
      </c>
      <c r="E229" s="2" t="n">
        <v>512</v>
      </c>
      <c r="F229" s="2" t="n">
        <v>771</v>
      </c>
      <c r="G229" s="2" t="inlineStr">
        <is>
          <t>0a0a 1301 1302 1303 c02c c02b cca9 c030 c02f cca8 c00a c009 c014 c013 009d 009c 0035 002f c008 c012 000a</t>
        </is>
      </c>
      <c r="H229" s="2" t="inlineStr">
        <is>
          <t>2a2a 0304 0303</t>
        </is>
      </c>
      <c r="I229" s="2" t="n">
        <v>1</v>
      </c>
      <c r="J229" s="2" t="inlineStr">
        <is>
          <t>skb-eval-8352-c5228</t>
        </is>
      </c>
      <c r="K229" s="2" t="n">
        <v>512</v>
      </c>
      <c r="L229" s="2" t="n">
        <v>771</v>
      </c>
      <c r="M229" s="2" t="n">
        <v>512</v>
      </c>
      <c r="N229" s="2" t="b">
        <v>1</v>
      </c>
      <c r="O229" s="2" t="b">
        <v>1</v>
      </c>
      <c r="P229" s="2" t="inlineStr">
        <is>
          <t>0a0a 1301 1302 1303 c02c c02b cca9 c030 c02f cca8 c00a c009 c014 c013 009d 009c 0035 002f c008 c012 000a</t>
        </is>
      </c>
      <c r="Q229" s="2" t="inlineStr">
        <is>
          <t>2a2a 0304 0303</t>
        </is>
      </c>
      <c r="R229" s="2" t="inlineStr">
        <is>
          <t>violation</t>
        </is>
      </c>
      <c r="S229" s="2" t="inlineStr">
        <is>
          <t>violation</t>
        </is>
      </c>
      <c r="T229" s="2">
        <f>K229=E229</f>
        <v/>
      </c>
      <c r="U229" s="2">
        <f>L229=F229</f>
        <v/>
      </c>
      <c r="V229" s="2">
        <f>IF(N229,EXACT(P229,G229),"")</f>
        <v/>
      </c>
      <c r="W229" s="2">
        <f>IF(O229,EXACT(Q229,H229),"")</f>
        <v/>
      </c>
      <c r="X229" s="2">
        <f>J229=C229</f>
        <v/>
      </c>
      <c r="Y229" s="2">
        <f>IF(R229="unknown","",R229=S229)</f>
        <v/>
      </c>
      <c r="Z229" s="2" t="inlineStr">
        <is>
          <t>A</t>
        </is>
      </c>
      <c r="AA229" s="2" t="inlineStr">
        <is>
          <t>A</t>
        </is>
      </c>
      <c r="AB229" s="2">
        <f>AND(N229,O229,A229&lt;&gt;"census-mixed")</f>
        <v/>
      </c>
      <c r="AC229" s="2">
        <f>IF(AB229,Z229=AA229,"")</f>
        <v/>
      </c>
    </row>
    <row r="230">
      <c r="A230" s="2" t="inlineStr">
        <is>
          <t>census</t>
        </is>
      </c>
      <c r="B230" s="2" t="inlineStr">
        <is>
          <t>browser safari260_ios</t>
        </is>
      </c>
      <c r="C230" s="2" t="inlineStr">
        <is>
          <t>skb-eval-8352-c5229</t>
        </is>
      </c>
      <c r="D230" s="2" t="n">
        <v>5229</v>
      </c>
      <c r="E230" s="2" t="n">
        <v>512</v>
      </c>
      <c r="F230" s="2" t="n">
        <v>771</v>
      </c>
      <c r="G230" s="2" t="inlineStr">
        <is>
          <t>7a7a 1301 1302 1303 c02c c02b cca9 c030 c02f cca8 c00a c009 c014 c013 009d 009c 0035 002f c008 c012 000a</t>
        </is>
      </c>
      <c r="H230" s="2" t="inlineStr">
        <is>
          <t>9a9a 0304 0303</t>
        </is>
      </c>
      <c r="I230" s="2" t="n">
        <v>1</v>
      </c>
      <c r="J230" s="2" t="inlineStr">
        <is>
          <t>skb-eval-8352-c5229</t>
        </is>
      </c>
      <c r="K230" s="2" t="n">
        <v>512</v>
      </c>
      <c r="L230" s="2" t="n">
        <v>771</v>
      </c>
      <c r="M230" s="2" t="n">
        <v>512</v>
      </c>
      <c r="N230" s="2" t="b">
        <v>1</v>
      </c>
      <c r="O230" s="2" t="b">
        <v>1</v>
      </c>
      <c r="P230" s="2" t="inlineStr">
        <is>
          <t>7a7a 1301 1302 1303 c02c c02b cca9 c030 c02f cca8 c00a c009 c014 c013 009d 009c 0035 002f c008 c012 000a</t>
        </is>
      </c>
      <c r="Q230" s="2" t="inlineStr">
        <is>
          <t>9a9a 0304 0303</t>
        </is>
      </c>
      <c r="R230" s="2" t="inlineStr">
        <is>
          <t>violation</t>
        </is>
      </c>
      <c r="S230" s="2" t="inlineStr">
        <is>
          <t>violation</t>
        </is>
      </c>
      <c r="T230" s="2">
        <f>K230=E230</f>
        <v/>
      </c>
      <c r="U230" s="2">
        <f>L230=F230</f>
        <v/>
      </c>
      <c r="V230" s="2">
        <f>IF(N230,EXACT(P230,G230),"")</f>
        <v/>
      </c>
      <c r="W230" s="2">
        <f>IF(O230,EXACT(Q230,H230),"")</f>
        <v/>
      </c>
      <c r="X230" s="2">
        <f>J230=C230</f>
        <v/>
      </c>
      <c r="Y230" s="2">
        <f>IF(R230="unknown","",R230=S230)</f>
        <v/>
      </c>
      <c r="Z230" s="2" t="inlineStr">
        <is>
          <t>A</t>
        </is>
      </c>
      <c r="AA230" s="2" t="inlineStr">
        <is>
          <t>A</t>
        </is>
      </c>
      <c r="AB230" s="2">
        <f>AND(N230,O230,A230&lt;&gt;"census-mixed")</f>
        <v/>
      </c>
      <c r="AC230" s="2">
        <f>IF(AB230,Z230=AA230,"")</f>
        <v/>
      </c>
    </row>
    <row r="231">
      <c r="A231" s="2" t="inlineStr">
        <is>
          <t>census</t>
        </is>
      </c>
      <c r="B231" s="2" t="inlineStr">
        <is>
          <t>browser safari260_ios</t>
        </is>
      </c>
      <c r="C231" s="2" t="inlineStr">
        <is>
          <t>skb-eval-8352-c5230</t>
        </is>
      </c>
      <c r="D231" s="2" t="n">
        <v>5230</v>
      </c>
      <c r="E231" s="2" t="n">
        <v>512</v>
      </c>
      <c r="F231" s="2" t="n">
        <v>771</v>
      </c>
      <c r="G231" s="2" t="inlineStr">
        <is>
          <t>0a0a 1301 1302 1303 c02c c02b cca9 c030 c02f cca8 c00a c009 c014 c013 009d 009c 0035 002f c008 c012 000a</t>
        </is>
      </c>
      <c r="H231" s="2" t="inlineStr">
        <is>
          <t>fafa 0304 0303</t>
        </is>
      </c>
      <c r="I231" s="2" t="n">
        <v>1</v>
      </c>
      <c r="J231" s="2" t="inlineStr">
        <is>
          <t>skb-eval-8352-c5230</t>
        </is>
      </c>
      <c r="K231" s="2" t="n">
        <v>512</v>
      </c>
      <c r="L231" s="2" t="n">
        <v>771</v>
      </c>
      <c r="M231" s="2" t="n">
        <v>512</v>
      </c>
      <c r="N231" s="2" t="b">
        <v>1</v>
      </c>
      <c r="O231" s="2" t="b">
        <v>1</v>
      </c>
      <c r="P231" s="2" t="inlineStr">
        <is>
          <t>0a0a 1301 1302 1303 c02c c02b cca9 c030 c02f cca8 c00a c009 c014 c013 009d 009c 0035 002f c008 c012 000a</t>
        </is>
      </c>
      <c r="Q231" s="2" t="inlineStr">
        <is>
          <t>fafa 0304 0303</t>
        </is>
      </c>
      <c r="R231" s="2" t="inlineStr">
        <is>
          <t>violation</t>
        </is>
      </c>
      <c r="S231" s="2" t="inlineStr">
        <is>
          <t>violation</t>
        </is>
      </c>
      <c r="T231" s="2">
        <f>K231=E231</f>
        <v/>
      </c>
      <c r="U231" s="2">
        <f>L231=F231</f>
        <v/>
      </c>
      <c r="V231" s="2">
        <f>IF(N231,EXACT(P231,G231),"")</f>
        <v/>
      </c>
      <c r="W231" s="2">
        <f>IF(O231,EXACT(Q231,H231),"")</f>
        <v/>
      </c>
      <c r="X231" s="2">
        <f>J231=C231</f>
        <v/>
      </c>
      <c r="Y231" s="2">
        <f>IF(R231="unknown","",R231=S231)</f>
        <v/>
      </c>
      <c r="Z231" s="2" t="inlineStr">
        <is>
          <t>A</t>
        </is>
      </c>
      <c r="AA231" s="2" t="inlineStr">
        <is>
          <t>A</t>
        </is>
      </c>
      <c r="AB231" s="2">
        <f>AND(N231,O231,A231&lt;&gt;"census-mixed")</f>
        <v/>
      </c>
      <c r="AC231" s="2">
        <f>IF(AB231,Z231=AA231,"")</f>
        <v/>
      </c>
    </row>
    <row r="232">
      <c r="A232" s="2" t="inlineStr">
        <is>
          <t>census</t>
        </is>
      </c>
      <c r="B232" s="2" t="inlineStr">
        <is>
          <t>browser tor145</t>
        </is>
      </c>
      <c r="C232" s="2" t="inlineStr">
        <is>
          <t>skb-eval-8352-c5231</t>
        </is>
      </c>
      <c r="D232" s="2" t="n">
        <v>5231</v>
      </c>
      <c r="E232" s="2" t="n">
        <v>549</v>
      </c>
      <c r="F232" s="2" t="n">
        <v>771</v>
      </c>
      <c r="G232" s="2" t="inlineStr">
        <is>
          <t>1301 1303 1302 c02b c02f cca9 cca8 c02c c030 c013 c014 009c 009d 002f 0035</t>
        </is>
      </c>
      <c r="H232" s="2" t="inlineStr">
        <is>
          <t>0304 0303</t>
        </is>
      </c>
      <c r="I232" s="2" t="n">
        <v>1</v>
      </c>
      <c r="J232" s="2" t="inlineStr">
        <is>
          <t>skb-eval-8352-c5231</t>
        </is>
      </c>
      <c r="K232" s="2" t="n">
        <v>549</v>
      </c>
      <c r="L232" s="2" t="n">
        <v>771</v>
      </c>
      <c r="M232" s="2" t="n">
        <v>549</v>
      </c>
      <c r="N232" s="2" t="b">
        <v>1</v>
      </c>
      <c r="O232" s="2" t="b">
        <v>1</v>
      </c>
      <c r="P232" s="2" t="inlineStr">
        <is>
          <t>1301 1303 1302 c02b c02f cca9 cca8 c02c c030 c013 c014 009c 009d 002f 0035</t>
        </is>
      </c>
      <c r="Q232" s="2" t="inlineStr">
        <is>
          <t>0304 0303</t>
        </is>
      </c>
      <c r="R232" s="2" t="inlineStr">
        <is>
          <t>violation</t>
        </is>
      </c>
      <c r="S232" s="2" t="inlineStr">
        <is>
          <t>violation</t>
        </is>
      </c>
      <c r="T232" s="2">
        <f>K232=E232</f>
        <v/>
      </c>
      <c r="U232" s="2">
        <f>L232=F232</f>
        <v/>
      </c>
      <c r="V232" s="2">
        <f>IF(N232,EXACT(P232,G232),"")</f>
        <v/>
      </c>
      <c r="W232" s="2">
        <f>IF(O232,EXACT(Q232,H232),"")</f>
        <v/>
      </c>
      <c r="X232" s="2">
        <f>J232=C232</f>
        <v/>
      </c>
      <c r="Y232" s="2">
        <f>IF(R232="unknown","",R232=S232)</f>
        <v/>
      </c>
      <c r="Z232" s="2" t="inlineStr">
        <is>
          <t>A</t>
        </is>
      </c>
      <c r="AA232" s="2" t="inlineStr">
        <is>
          <t>A</t>
        </is>
      </c>
      <c r="AB232" s="2">
        <f>AND(N232,O232,A232&lt;&gt;"census-mixed")</f>
        <v/>
      </c>
      <c r="AC232" s="2">
        <f>IF(AB232,Z232=AA232,"")</f>
        <v/>
      </c>
    </row>
    <row r="233">
      <c r="A233" s="2" t="inlineStr">
        <is>
          <t>census</t>
        </is>
      </c>
      <c r="B233" s="2" t="inlineStr">
        <is>
          <t>browser tor145</t>
        </is>
      </c>
      <c r="C233" s="2" t="inlineStr">
        <is>
          <t>skb-eval-8352-c5232</t>
        </is>
      </c>
      <c r="D233" s="2" t="n">
        <v>5232</v>
      </c>
      <c r="E233" s="2" t="n">
        <v>581</v>
      </c>
      <c r="F233" s="2" t="n">
        <v>771</v>
      </c>
      <c r="G233" s="2" t="inlineStr">
        <is>
          <t>1301 1303 1302 c02b c02f cca9 cca8 c02c c030 c013 c014 009c 009d 002f 0035</t>
        </is>
      </c>
      <c r="H233" s="2" t="inlineStr">
        <is>
          <t>0304 0303</t>
        </is>
      </c>
      <c r="I233" s="2" t="n">
        <v>1</v>
      </c>
      <c r="J233" s="2" t="inlineStr">
        <is>
          <t>skb-eval-8352-c5232</t>
        </is>
      </c>
      <c r="K233" s="2" t="n">
        <v>581</v>
      </c>
      <c r="L233" s="2" t="n">
        <v>771</v>
      </c>
      <c r="M233" s="2" t="n">
        <v>581</v>
      </c>
      <c r="N233" s="2" t="b">
        <v>1</v>
      </c>
      <c r="O233" s="2" t="b">
        <v>1</v>
      </c>
      <c r="P233" s="2" t="inlineStr">
        <is>
          <t>1301 1303 1302 c02b c02f cca9 cca8 c02c c030 c013 c014 009c 009d 002f 0035</t>
        </is>
      </c>
      <c r="Q233" s="2" t="inlineStr">
        <is>
          <t>0304 0303</t>
        </is>
      </c>
      <c r="R233" s="2" t="inlineStr">
        <is>
          <t>violation</t>
        </is>
      </c>
      <c r="S233" s="2" t="inlineStr">
        <is>
          <t>violation</t>
        </is>
      </c>
      <c r="T233" s="2">
        <f>K233=E233</f>
        <v/>
      </c>
      <c r="U233" s="2">
        <f>L233=F233</f>
        <v/>
      </c>
      <c r="V233" s="2">
        <f>IF(N233,EXACT(P233,G233),"")</f>
        <v/>
      </c>
      <c r="W233" s="2">
        <f>IF(O233,EXACT(Q233,H233),"")</f>
        <v/>
      </c>
      <c r="X233" s="2">
        <f>J233=C233</f>
        <v/>
      </c>
      <c r="Y233" s="2">
        <f>IF(R233="unknown","",R233=S233)</f>
        <v/>
      </c>
      <c r="Z233" s="2" t="inlineStr">
        <is>
          <t>A</t>
        </is>
      </c>
      <c r="AA233" s="2" t="inlineStr">
        <is>
          <t>A</t>
        </is>
      </c>
      <c r="AB233" s="2">
        <f>AND(N233,O233,A233&lt;&gt;"census-mixed")</f>
        <v/>
      </c>
      <c r="AC233" s="2">
        <f>IF(AB233,Z233=AA233,"")</f>
        <v/>
      </c>
    </row>
    <row r="234">
      <c r="A234" s="2" t="inlineStr">
        <is>
          <t>census</t>
        </is>
      </c>
      <c r="B234" s="2" t="inlineStr">
        <is>
          <t>browser tor145</t>
        </is>
      </c>
      <c r="C234" s="2" t="inlineStr">
        <is>
          <t>skb-eval-8352-c5233</t>
        </is>
      </c>
      <c r="D234" s="2" t="n">
        <v>5233</v>
      </c>
      <c r="E234" s="2" t="n">
        <v>645</v>
      </c>
      <c r="F234" s="2" t="n">
        <v>771</v>
      </c>
      <c r="G234" s="2" t="inlineStr">
        <is>
          <t>1301 1303 1302 c02b c02f cca9 cca8 c02c c030 c013 c014 009c 009d 002f 0035</t>
        </is>
      </c>
      <c r="H234" s="2" t="inlineStr">
        <is>
          <t>0304 0303</t>
        </is>
      </c>
      <c r="I234" s="2" t="n">
        <v>1</v>
      </c>
      <c r="J234" s="2" t="inlineStr">
        <is>
          <t>skb-eval-8352-c5233</t>
        </is>
      </c>
      <c r="K234" s="2" t="n">
        <v>645</v>
      </c>
      <c r="L234" s="2" t="n">
        <v>771</v>
      </c>
      <c r="M234" s="2" t="n">
        <v>645</v>
      </c>
      <c r="N234" s="2" t="b">
        <v>1</v>
      </c>
      <c r="O234" s="2" t="b">
        <v>1</v>
      </c>
      <c r="P234" s="2" t="inlineStr">
        <is>
          <t>1301 1303 1302 c02b c02f cca9 cca8 c02c c030 c013 c014 009c 009d 002f 0035</t>
        </is>
      </c>
      <c r="Q234" s="2" t="inlineStr">
        <is>
          <t>0304 0303</t>
        </is>
      </c>
      <c r="R234" s="2" t="inlineStr">
        <is>
          <t>violation</t>
        </is>
      </c>
      <c r="S234" s="2" t="inlineStr">
        <is>
          <t>violation</t>
        </is>
      </c>
      <c r="T234" s="2">
        <f>K234=E234</f>
        <v/>
      </c>
      <c r="U234" s="2">
        <f>L234=F234</f>
        <v/>
      </c>
      <c r="V234" s="2">
        <f>IF(N234,EXACT(P234,G234),"")</f>
        <v/>
      </c>
      <c r="W234" s="2">
        <f>IF(O234,EXACT(Q234,H234),"")</f>
        <v/>
      </c>
      <c r="X234" s="2">
        <f>J234=C234</f>
        <v/>
      </c>
      <c r="Y234" s="2">
        <f>IF(R234="unknown","",R234=S234)</f>
        <v/>
      </c>
      <c r="Z234" s="2" t="inlineStr">
        <is>
          <t>A</t>
        </is>
      </c>
      <c r="AA234" s="2" t="inlineStr">
        <is>
          <t>A</t>
        </is>
      </c>
      <c r="AB234" s="2">
        <f>AND(N234,O234,A234&lt;&gt;"census-mixed")</f>
        <v/>
      </c>
      <c r="AC234" s="2">
        <f>IF(AB234,Z234=AA234,"")</f>
        <v/>
      </c>
    </row>
    <row r="235">
      <c r="A235" s="2" t="inlineStr">
        <is>
          <t>census</t>
        </is>
      </c>
      <c r="B235" s="2" t="inlineStr">
        <is>
          <t>browser tor145</t>
        </is>
      </c>
      <c r="C235" s="2" t="inlineStr">
        <is>
          <t>skb-eval-8352-c5234</t>
        </is>
      </c>
      <c r="D235" s="2" t="n">
        <v>5234</v>
      </c>
      <c r="E235" s="2" t="n">
        <v>549</v>
      </c>
      <c r="F235" s="2" t="n">
        <v>771</v>
      </c>
      <c r="G235" s="2" t="inlineStr">
        <is>
          <t>1301 1303 1302 c02b c02f cca9 cca8 c02c c030 c013 c014 009c 009d 002f 0035</t>
        </is>
      </c>
      <c r="H235" s="2" t="inlineStr">
        <is>
          <t>0304 0303</t>
        </is>
      </c>
      <c r="I235" s="2" t="n">
        <v>1</v>
      </c>
      <c r="J235" s="2" t="inlineStr">
        <is>
          <t>skb-eval-8352-c5234</t>
        </is>
      </c>
      <c r="K235" s="2" t="n">
        <v>549</v>
      </c>
      <c r="L235" s="2" t="n">
        <v>771</v>
      </c>
      <c r="M235" s="2" t="n">
        <v>549</v>
      </c>
      <c r="N235" s="2" t="b">
        <v>1</v>
      </c>
      <c r="O235" s="2" t="b">
        <v>1</v>
      </c>
      <c r="P235" s="2" t="inlineStr">
        <is>
          <t>1301 1303 1302 c02b c02f cca9 cca8 c02c c030 c013 c014 009c 009d 002f 0035</t>
        </is>
      </c>
      <c r="Q235" s="2" t="inlineStr">
        <is>
          <t>0304 0303</t>
        </is>
      </c>
      <c r="R235" s="2" t="inlineStr">
        <is>
          <t>violation</t>
        </is>
      </c>
      <c r="S235" s="2" t="inlineStr">
        <is>
          <t>violation</t>
        </is>
      </c>
      <c r="T235" s="2">
        <f>K235=E235</f>
        <v/>
      </c>
      <c r="U235" s="2">
        <f>L235=F235</f>
        <v/>
      </c>
      <c r="V235" s="2">
        <f>IF(N235,EXACT(P235,G235),"")</f>
        <v/>
      </c>
      <c r="W235" s="2">
        <f>IF(O235,EXACT(Q235,H235),"")</f>
        <v/>
      </c>
      <c r="X235" s="2">
        <f>J235=C235</f>
        <v/>
      </c>
      <c r="Y235" s="2">
        <f>IF(R235="unknown","",R235=S235)</f>
        <v/>
      </c>
      <c r="Z235" s="2" t="inlineStr">
        <is>
          <t>A</t>
        </is>
      </c>
      <c r="AA235" s="2" t="inlineStr">
        <is>
          <t>A</t>
        </is>
      </c>
      <c r="AB235" s="2">
        <f>AND(N235,O235,A235&lt;&gt;"census-mixed")</f>
        <v/>
      </c>
      <c r="AC235" s="2">
        <f>IF(AB235,Z235=AA235,"")</f>
        <v/>
      </c>
    </row>
    <row r="236">
      <c r="A236" s="2" t="inlineStr">
        <is>
          <t>census</t>
        </is>
      </c>
      <c r="B236" s="2" t="inlineStr">
        <is>
          <t>browser tor145</t>
        </is>
      </c>
      <c r="C236" s="2" t="inlineStr">
        <is>
          <t>skb-eval-8352-c5235</t>
        </is>
      </c>
      <c r="D236" s="2" t="n">
        <v>5235</v>
      </c>
      <c r="E236" s="2" t="n">
        <v>581</v>
      </c>
      <c r="F236" s="2" t="n">
        <v>771</v>
      </c>
      <c r="G236" s="2" t="inlineStr">
        <is>
          <t>1301 1303 1302 c02b c02f cca9 cca8 c02c c030 c013 c014 009c 009d 002f 0035</t>
        </is>
      </c>
      <c r="H236" s="2" t="inlineStr">
        <is>
          <t>0304 0303</t>
        </is>
      </c>
      <c r="I236" s="2" t="n">
        <v>1</v>
      </c>
      <c r="J236" s="2" t="inlineStr">
        <is>
          <t>skb-eval-8352-c5235</t>
        </is>
      </c>
      <c r="K236" s="2" t="n">
        <v>581</v>
      </c>
      <c r="L236" s="2" t="n">
        <v>771</v>
      </c>
      <c r="M236" s="2" t="n">
        <v>581</v>
      </c>
      <c r="N236" s="2" t="b">
        <v>1</v>
      </c>
      <c r="O236" s="2" t="b">
        <v>1</v>
      </c>
      <c r="P236" s="2" t="inlineStr">
        <is>
          <t>1301 1303 1302 c02b c02f cca9 cca8 c02c c030 c013 c014 009c 009d 002f 0035</t>
        </is>
      </c>
      <c r="Q236" s="2" t="inlineStr">
        <is>
          <t>0304 0303</t>
        </is>
      </c>
      <c r="R236" s="2" t="inlineStr">
        <is>
          <t>violation</t>
        </is>
      </c>
      <c r="S236" s="2" t="inlineStr">
        <is>
          <t>violation</t>
        </is>
      </c>
      <c r="T236" s="2">
        <f>K236=E236</f>
        <v/>
      </c>
      <c r="U236" s="2">
        <f>L236=F236</f>
        <v/>
      </c>
      <c r="V236" s="2">
        <f>IF(N236,EXACT(P236,G236),"")</f>
        <v/>
      </c>
      <c r="W236" s="2">
        <f>IF(O236,EXACT(Q236,H236),"")</f>
        <v/>
      </c>
      <c r="X236" s="2">
        <f>J236=C236</f>
        <v/>
      </c>
      <c r="Y236" s="2">
        <f>IF(R236="unknown","",R236=S236)</f>
        <v/>
      </c>
      <c r="Z236" s="2" t="inlineStr">
        <is>
          <t>A</t>
        </is>
      </c>
      <c r="AA236" s="2" t="inlineStr">
        <is>
          <t>A</t>
        </is>
      </c>
      <c r="AB236" s="2">
        <f>AND(N236,O236,A236&lt;&gt;"census-mixed")</f>
        <v/>
      </c>
      <c r="AC236" s="2">
        <f>IF(AB236,Z236=AA236,"")</f>
        <v/>
      </c>
    </row>
    <row r="237">
      <c r="A237" s="2" t="inlineStr">
        <is>
          <t>census</t>
        </is>
      </c>
      <c r="B237" s="2" t="inlineStr">
        <is>
          <t>browser tor145</t>
        </is>
      </c>
      <c r="C237" s="2" t="inlineStr">
        <is>
          <t>skb-eval-8352-c5236</t>
        </is>
      </c>
      <c r="D237" s="2" t="n">
        <v>5236</v>
      </c>
      <c r="E237" s="2" t="n">
        <v>613</v>
      </c>
      <c r="F237" s="2" t="n">
        <v>771</v>
      </c>
      <c r="G237" s="2" t="inlineStr">
        <is>
          <t>1301 1303 1302 c02b c02f cca9 cca8 c02c c030 c013 c014 009c 009d 002f 0035</t>
        </is>
      </c>
      <c r="H237" s="2" t="inlineStr">
        <is>
          <t>0304 0303</t>
        </is>
      </c>
      <c r="I237" s="2" t="n">
        <v>1</v>
      </c>
      <c r="J237" s="2" t="inlineStr">
        <is>
          <t>skb-eval-8352-c5236</t>
        </is>
      </c>
      <c r="K237" s="2" t="n">
        <v>613</v>
      </c>
      <c r="L237" s="2" t="n">
        <v>771</v>
      </c>
      <c r="M237" s="2" t="n">
        <v>613</v>
      </c>
      <c r="N237" s="2" t="b">
        <v>1</v>
      </c>
      <c r="O237" s="2" t="b">
        <v>1</v>
      </c>
      <c r="P237" s="2" t="inlineStr">
        <is>
          <t>1301 1303 1302 c02b c02f cca9 cca8 c02c c030 c013 c014 009c 009d 002f 0035</t>
        </is>
      </c>
      <c r="Q237" s="2" t="inlineStr">
        <is>
          <t>0304 0303</t>
        </is>
      </c>
      <c r="R237" s="2" t="inlineStr">
        <is>
          <t>violation</t>
        </is>
      </c>
      <c r="S237" s="2" t="inlineStr">
        <is>
          <t>violation</t>
        </is>
      </c>
      <c r="T237" s="2">
        <f>K237=E237</f>
        <v/>
      </c>
      <c r="U237" s="2">
        <f>L237=F237</f>
        <v/>
      </c>
      <c r="V237" s="2">
        <f>IF(N237,EXACT(P237,G237),"")</f>
        <v/>
      </c>
      <c r="W237" s="2">
        <f>IF(O237,EXACT(Q237,H237),"")</f>
        <v/>
      </c>
      <c r="X237" s="2">
        <f>J237=C237</f>
        <v/>
      </c>
      <c r="Y237" s="2">
        <f>IF(R237="unknown","",R237=S237)</f>
        <v/>
      </c>
      <c r="Z237" s="2" t="inlineStr">
        <is>
          <t>A</t>
        </is>
      </c>
      <c r="AA237" s="2" t="inlineStr">
        <is>
          <t>A</t>
        </is>
      </c>
      <c r="AB237" s="2">
        <f>AND(N237,O237,A237&lt;&gt;"census-mixed")</f>
        <v/>
      </c>
      <c r="AC237" s="2">
        <f>IF(AB237,Z237=AA237,"")</f>
        <v/>
      </c>
    </row>
    <row r="238">
      <c r="A238" s="2" t="inlineStr">
        <is>
          <t>census</t>
        </is>
      </c>
      <c r="B238" s="2" t="inlineStr">
        <is>
          <t>browser tor145</t>
        </is>
      </c>
      <c r="C238" s="2" t="inlineStr">
        <is>
          <t>skb-eval-8352-c5237</t>
        </is>
      </c>
      <c r="D238" s="2" t="n">
        <v>5237</v>
      </c>
      <c r="E238" s="2" t="n">
        <v>613</v>
      </c>
      <c r="F238" s="2" t="n">
        <v>771</v>
      </c>
      <c r="G238" s="2" t="inlineStr">
        <is>
          <t>1301 1303 1302 c02b c02f cca9 cca8 c02c c030 c013 c014 009c 009d 002f 0035</t>
        </is>
      </c>
      <c r="H238" s="2" t="inlineStr">
        <is>
          <t>0304 0303</t>
        </is>
      </c>
      <c r="I238" s="2" t="n">
        <v>1</v>
      </c>
      <c r="J238" s="2" t="inlineStr">
        <is>
          <t>skb-eval-8352-c5237</t>
        </is>
      </c>
      <c r="K238" s="2" t="n">
        <v>613</v>
      </c>
      <c r="L238" s="2" t="n">
        <v>771</v>
      </c>
      <c r="M238" s="2" t="n">
        <v>613</v>
      </c>
      <c r="N238" s="2" t="b">
        <v>1</v>
      </c>
      <c r="O238" s="2" t="b">
        <v>1</v>
      </c>
      <c r="P238" s="2" t="inlineStr">
        <is>
          <t>1301 1303 1302 c02b c02f cca9 cca8 c02c c030 c013 c014 009c 009d 002f 0035</t>
        </is>
      </c>
      <c r="Q238" s="2" t="inlineStr">
        <is>
          <t>0304 0303</t>
        </is>
      </c>
      <c r="R238" s="2" t="inlineStr">
        <is>
          <t>violation</t>
        </is>
      </c>
      <c r="S238" s="2" t="inlineStr">
        <is>
          <t>violation</t>
        </is>
      </c>
      <c r="T238" s="2">
        <f>K238=E238</f>
        <v/>
      </c>
      <c r="U238" s="2">
        <f>L238=F238</f>
        <v/>
      </c>
      <c r="V238" s="2">
        <f>IF(N238,EXACT(P238,G238),"")</f>
        <v/>
      </c>
      <c r="W238" s="2">
        <f>IF(O238,EXACT(Q238,H238),"")</f>
        <v/>
      </c>
      <c r="X238" s="2">
        <f>J238=C238</f>
        <v/>
      </c>
      <c r="Y238" s="2">
        <f>IF(R238="unknown","",R238=S238)</f>
        <v/>
      </c>
      <c r="Z238" s="2" t="inlineStr">
        <is>
          <t>A</t>
        </is>
      </c>
      <c r="AA238" s="2" t="inlineStr">
        <is>
          <t>A</t>
        </is>
      </c>
      <c r="AB238" s="2">
        <f>AND(N238,O238,A238&lt;&gt;"census-mixed")</f>
        <v/>
      </c>
      <c r="AC238" s="2">
        <f>IF(AB238,Z238=AA238,"")</f>
        <v/>
      </c>
    </row>
    <row r="239">
      <c r="A239" s="2" t="inlineStr">
        <is>
          <t>census</t>
        </is>
      </c>
      <c r="B239" s="2" t="inlineStr">
        <is>
          <t>browser tor145</t>
        </is>
      </c>
      <c r="C239" s="2" t="inlineStr">
        <is>
          <t>skb-eval-8352-c5238</t>
        </is>
      </c>
      <c r="D239" s="2" t="n">
        <v>5238</v>
      </c>
      <c r="E239" s="2" t="n">
        <v>581</v>
      </c>
      <c r="F239" s="2" t="n">
        <v>771</v>
      </c>
      <c r="G239" s="2" t="inlineStr">
        <is>
          <t>1301 1303 1302 c02b c02f cca9 cca8 c02c c030 c013 c014 009c 009d 002f 0035</t>
        </is>
      </c>
      <c r="H239" s="2" t="inlineStr">
        <is>
          <t>0304 0303</t>
        </is>
      </c>
      <c r="I239" s="2" t="n">
        <v>1</v>
      </c>
      <c r="J239" s="2" t="inlineStr">
        <is>
          <t>skb-eval-8352-c5238</t>
        </is>
      </c>
      <c r="K239" s="2" t="n">
        <v>581</v>
      </c>
      <c r="L239" s="2" t="n">
        <v>771</v>
      </c>
      <c r="M239" s="2" t="n">
        <v>581</v>
      </c>
      <c r="N239" s="2" t="b">
        <v>1</v>
      </c>
      <c r="O239" s="2" t="b">
        <v>1</v>
      </c>
      <c r="P239" s="2" t="inlineStr">
        <is>
          <t>1301 1303 1302 c02b c02f cca9 cca8 c02c c030 c013 c014 009c 009d 002f 0035</t>
        </is>
      </c>
      <c r="Q239" s="2" t="inlineStr">
        <is>
          <t>0304 0303</t>
        </is>
      </c>
      <c r="R239" s="2" t="inlineStr">
        <is>
          <t>violation</t>
        </is>
      </c>
      <c r="S239" s="2" t="inlineStr">
        <is>
          <t>violation</t>
        </is>
      </c>
      <c r="T239" s="2">
        <f>K239=E239</f>
        <v/>
      </c>
      <c r="U239" s="2">
        <f>L239=F239</f>
        <v/>
      </c>
      <c r="V239" s="2">
        <f>IF(N239,EXACT(P239,G239),"")</f>
        <v/>
      </c>
      <c r="W239" s="2">
        <f>IF(O239,EXACT(Q239,H239),"")</f>
        <v/>
      </c>
      <c r="X239" s="2">
        <f>J239=C239</f>
        <v/>
      </c>
      <c r="Y239" s="2">
        <f>IF(R239="unknown","",R239=S239)</f>
        <v/>
      </c>
      <c r="Z239" s="2" t="inlineStr">
        <is>
          <t>A</t>
        </is>
      </c>
      <c r="AA239" s="2" t="inlineStr">
        <is>
          <t>A</t>
        </is>
      </c>
      <c r="AB239" s="2">
        <f>AND(N239,O239,A239&lt;&gt;"census-mixed")</f>
        <v/>
      </c>
      <c r="AC239" s="2">
        <f>IF(AB239,Z239=AA239,"")</f>
        <v/>
      </c>
    </row>
    <row r="240">
      <c r="A240" s="2" t="inlineStr">
        <is>
          <t>census</t>
        </is>
      </c>
      <c r="B240" s="2" t="inlineStr">
        <is>
          <t>browser tor145</t>
        </is>
      </c>
      <c r="C240" s="2" t="inlineStr">
        <is>
          <t>skb-eval-8352-c5239</t>
        </is>
      </c>
      <c r="D240" s="2" t="n">
        <v>5239</v>
      </c>
      <c r="E240" s="2" t="n">
        <v>581</v>
      </c>
      <c r="F240" s="2" t="n">
        <v>771</v>
      </c>
      <c r="G240" s="2" t="inlineStr">
        <is>
          <t>1301 1303 1302 c02b c02f cca9 cca8 c02c c030 c013 c014 009c 009d 002f 0035</t>
        </is>
      </c>
      <c r="H240" s="2" t="inlineStr">
        <is>
          <t>0304 0303</t>
        </is>
      </c>
      <c r="I240" s="2" t="n">
        <v>1</v>
      </c>
      <c r="J240" s="2" t="inlineStr">
        <is>
          <t>skb-eval-8352-c5239</t>
        </is>
      </c>
      <c r="K240" s="2" t="n">
        <v>581</v>
      </c>
      <c r="L240" s="2" t="n">
        <v>771</v>
      </c>
      <c r="M240" s="2" t="n">
        <v>581</v>
      </c>
      <c r="N240" s="2" t="b">
        <v>1</v>
      </c>
      <c r="O240" s="2" t="b">
        <v>1</v>
      </c>
      <c r="P240" s="2" t="inlineStr">
        <is>
          <t>1301 1303 1302 c02b c02f cca9 cca8 c02c c030 c013 c014 009c 009d 002f 0035</t>
        </is>
      </c>
      <c r="Q240" s="2" t="inlineStr">
        <is>
          <t>0304 0303</t>
        </is>
      </c>
      <c r="R240" s="2" t="inlineStr">
        <is>
          <t>violation</t>
        </is>
      </c>
      <c r="S240" s="2" t="inlineStr">
        <is>
          <t>violation</t>
        </is>
      </c>
      <c r="T240" s="2">
        <f>K240=E240</f>
        <v/>
      </c>
      <c r="U240" s="2">
        <f>L240=F240</f>
        <v/>
      </c>
      <c r="V240" s="2">
        <f>IF(N240,EXACT(P240,G240),"")</f>
        <v/>
      </c>
      <c r="W240" s="2">
        <f>IF(O240,EXACT(Q240,H240),"")</f>
        <v/>
      </c>
      <c r="X240" s="2">
        <f>J240=C240</f>
        <v/>
      </c>
      <c r="Y240" s="2">
        <f>IF(R240="unknown","",R240=S240)</f>
        <v/>
      </c>
      <c r="Z240" s="2" t="inlineStr">
        <is>
          <t>A</t>
        </is>
      </c>
      <c r="AA240" s="2" t="inlineStr">
        <is>
          <t>A</t>
        </is>
      </c>
      <c r="AB240" s="2">
        <f>AND(N240,O240,A240&lt;&gt;"census-mixed")</f>
        <v/>
      </c>
      <c r="AC240" s="2">
        <f>IF(AB240,Z240=AA240,"")</f>
        <v/>
      </c>
    </row>
    <row r="241">
      <c r="A241" s="2" t="inlineStr">
        <is>
          <t>census</t>
        </is>
      </c>
      <c r="B241" s="2" t="inlineStr">
        <is>
          <t>browser tor145</t>
        </is>
      </c>
      <c r="C241" s="2" t="inlineStr">
        <is>
          <t>skb-eval-8352-c5240</t>
        </is>
      </c>
      <c r="D241" s="2" t="n">
        <v>5240</v>
      </c>
      <c r="E241" s="2" t="n">
        <v>581</v>
      </c>
      <c r="F241" s="2" t="n">
        <v>771</v>
      </c>
      <c r="G241" s="2" t="inlineStr">
        <is>
          <t>1301 1303 1302 c02b c02f cca9 cca8 c02c c030 c013 c014 009c 009d 002f 0035</t>
        </is>
      </c>
      <c r="H241" s="2" t="inlineStr">
        <is>
          <t>0304 0303</t>
        </is>
      </c>
      <c r="I241" s="2" t="n">
        <v>1</v>
      </c>
      <c r="J241" s="2" t="inlineStr">
        <is>
          <t>skb-eval-8352-c5240</t>
        </is>
      </c>
      <c r="K241" s="2" t="n">
        <v>581</v>
      </c>
      <c r="L241" s="2" t="n">
        <v>771</v>
      </c>
      <c r="M241" s="2" t="n">
        <v>581</v>
      </c>
      <c r="N241" s="2" t="b">
        <v>1</v>
      </c>
      <c r="O241" s="2" t="b">
        <v>1</v>
      </c>
      <c r="P241" s="2" t="inlineStr">
        <is>
          <t>1301 1303 1302 c02b c02f cca9 cca8 c02c c030 c013 c014 009c 009d 002f 0035</t>
        </is>
      </c>
      <c r="Q241" s="2" t="inlineStr">
        <is>
          <t>0304 0303</t>
        </is>
      </c>
      <c r="R241" s="2" t="inlineStr">
        <is>
          <t>violation</t>
        </is>
      </c>
      <c r="S241" s="2" t="inlineStr">
        <is>
          <t>violation</t>
        </is>
      </c>
      <c r="T241" s="2">
        <f>K241=E241</f>
        <v/>
      </c>
      <c r="U241" s="2">
        <f>L241=F241</f>
        <v/>
      </c>
      <c r="V241" s="2">
        <f>IF(N241,EXACT(P241,G241),"")</f>
        <v/>
      </c>
      <c r="W241" s="2">
        <f>IF(O241,EXACT(Q241,H241),"")</f>
        <v/>
      </c>
      <c r="X241" s="2">
        <f>J241=C241</f>
        <v/>
      </c>
      <c r="Y241" s="2">
        <f>IF(R241="unknown","",R241=S241)</f>
        <v/>
      </c>
      <c r="Z241" s="2" t="inlineStr">
        <is>
          <t>A</t>
        </is>
      </c>
      <c r="AA241" s="2" t="inlineStr">
        <is>
          <t>A</t>
        </is>
      </c>
      <c r="AB241" s="2">
        <f>AND(N241,O241,A241&lt;&gt;"census-mixed")</f>
        <v/>
      </c>
      <c r="AC241" s="2">
        <f>IF(AB241,Z241=AA241,"")</f>
        <v/>
      </c>
    </row>
    <row r="242">
      <c r="A242" s="2" t="inlineStr">
        <is>
          <t>census-mixed</t>
        </is>
      </c>
      <c r="B242" s="2" t="inlineStr">
        <is>
          <t>openssl 3.5.8 default</t>
        </is>
      </c>
      <c r="C242" s="2" t="inlineStr">
        <is>
          <t>skb-eval-80103-c5001</t>
        </is>
      </c>
      <c r="D242" s="2" t="n">
        <v>5001</v>
      </c>
      <c r="E242" s="2" t="n">
        <v>1543</v>
      </c>
      <c r="F242" s="2" t="n">
        <v>771</v>
      </c>
      <c r="G242" s="2" t="inlineStr">
        <is>
          <t>1302 1303 1301 c02c c030 009f cca9 cca8 ccaa c02b c02f 009e c024 c028 006b c023 c027 0067 c00a c014 0039 c009 c013 0033 009d 009c 003d 003c 0035 002f</t>
        </is>
      </c>
      <c r="H242" s="2" t="inlineStr">
        <is>
          <t>0304 0303</t>
        </is>
      </c>
      <c r="I242" s="2" t="n">
        <v>1</v>
      </c>
      <c r="J242" s="2" t="inlineStr">
        <is>
          <t>skb-eval-80103-c5001</t>
        </is>
      </c>
      <c r="K242" s="2" t="n">
        <v>1543</v>
      </c>
      <c r="L242" s="2" t="n">
        <v>771</v>
      </c>
      <c r="M242" s="2" t="n">
        <v>1443</v>
      </c>
      <c r="N242" s="2" t="b">
        <v>1</v>
      </c>
      <c r="O242" s="2" t="b">
        <v>1</v>
      </c>
      <c r="P242" s="2" t="inlineStr">
        <is>
          <t>1302 1303 1301 c02c c030 009f cca9 cca8 ccaa c02b c02f 009e c024 c028 006b c023 c027 0067 c00a c014 0039 c009 c013 0033 009d 009c 003d 003c 0035 002f</t>
        </is>
      </c>
      <c r="Q242" s="2" t="inlineStr">
        <is>
          <t>0304 0303</t>
        </is>
      </c>
      <c r="R242" s="2" t="inlineStr">
        <is>
          <t>allow</t>
        </is>
      </c>
      <c r="S242" s="2" t="inlineStr">
        <is>
          <t>allow</t>
        </is>
      </c>
      <c r="T242" s="2">
        <f>K242=E242</f>
        <v/>
      </c>
      <c r="U242" s="2">
        <f>L242=F242</f>
        <v/>
      </c>
      <c r="V242" s="2">
        <f>IF(N242,EXACT(P242,G242),"")</f>
        <v/>
      </c>
      <c r="W242" s="2">
        <f>IF(O242,EXACT(Q242,H242),"")</f>
        <v/>
      </c>
      <c r="X242" s="2">
        <f>J242=C242</f>
        <v/>
      </c>
      <c r="Y242" s="2">
        <f>IF(R242="unknown","",R242=S242)</f>
        <v/>
      </c>
      <c r="Z242" s="2" t="inlineStr">
        <is>
          <t>A</t>
        </is>
      </c>
      <c r="AA242" s="2" t="inlineStr">
        <is>
          <t>A</t>
        </is>
      </c>
      <c r="AB242" s="2">
        <f>AND(N242,O242,A242&lt;&gt;"census-mixed")</f>
        <v/>
      </c>
      <c r="AC242" s="2">
        <f>IF(AB242,Z242=AA242,"")</f>
        <v/>
      </c>
    </row>
    <row r="243">
      <c r="A243" s="2" t="inlineStr">
        <is>
          <t>census-mixed</t>
        </is>
      </c>
      <c r="B243" s="2" t="inlineStr">
        <is>
          <t>openssl 3.5.8 default</t>
        </is>
      </c>
      <c r="C243" s="2" t="inlineStr">
        <is>
          <t>skb-eval-80103-c5002</t>
        </is>
      </c>
      <c r="D243" s="2" t="n">
        <v>5002</v>
      </c>
      <c r="E243" s="2" t="n">
        <v>1543</v>
      </c>
      <c r="F243" s="2" t="n">
        <v>771</v>
      </c>
      <c r="G243" s="2" t="inlineStr">
        <is>
          <t>1302 1303 1301 c02c c030 009f cca9 cca8 ccaa c02b c02f 009e c024 c028 006b c023 c027 0067 c00a c014 0039 c009 c013 0033 009d 009c 003d 003c 0035 002f</t>
        </is>
      </c>
      <c r="H243" s="2" t="inlineStr">
        <is>
          <t>0304 0303</t>
        </is>
      </c>
      <c r="I243" s="2" t="n">
        <v>1</v>
      </c>
      <c r="J243" s="2" t="inlineStr">
        <is>
          <t>skb-eval-80103-c5002</t>
        </is>
      </c>
      <c r="K243" s="2" t="n">
        <v>1543</v>
      </c>
      <c r="L243" s="2" t="n">
        <v>771</v>
      </c>
      <c r="M243" s="2" t="n">
        <v>1443</v>
      </c>
      <c r="N243" s="2" t="b">
        <v>1</v>
      </c>
      <c r="O243" s="2" t="b">
        <v>1</v>
      </c>
      <c r="P243" s="2" t="inlineStr">
        <is>
          <t>1302 1303 1301 c02c c030 009f cca9 cca8 ccaa c02b c02f 009e c024 c028 006b c023 c027 0067 c00a c014 0039 c009 c013 0033 009d 009c 003d 003c 0035 002f</t>
        </is>
      </c>
      <c r="Q243" s="2" t="inlineStr">
        <is>
          <t>0304 0303</t>
        </is>
      </c>
      <c r="R243" s="2" t="inlineStr">
        <is>
          <t>allow</t>
        </is>
      </c>
      <c r="S243" s="2" t="inlineStr">
        <is>
          <t>allow</t>
        </is>
      </c>
      <c r="T243" s="2">
        <f>K243=E243</f>
        <v/>
      </c>
      <c r="U243" s="2">
        <f>L243=F243</f>
        <v/>
      </c>
      <c r="V243" s="2">
        <f>IF(N243,EXACT(P243,G243),"")</f>
        <v/>
      </c>
      <c r="W243" s="2">
        <f>IF(O243,EXACT(Q243,H243),"")</f>
        <v/>
      </c>
      <c r="X243" s="2">
        <f>J243=C243</f>
        <v/>
      </c>
      <c r="Y243" s="2">
        <f>IF(R243="unknown","",R243=S243)</f>
        <v/>
      </c>
      <c r="Z243" s="2" t="inlineStr">
        <is>
          <t>A</t>
        </is>
      </c>
      <c r="AA243" s="2" t="inlineStr">
        <is>
          <t>A</t>
        </is>
      </c>
      <c r="AB243" s="2">
        <f>AND(N243,O243,A243&lt;&gt;"census-mixed")</f>
        <v/>
      </c>
      <c r="AC243" s="2">
        <f>IF(AB243,Z243=AA243,"")</f>
        <v/>
      </c>
    </row>
    <row r="244">
      <c r="A244" s="2" t="inlineStr">
        <is>
          <t>census-mixed</t>
        </is>
      </c>
      <c r="B244" s="2" t="inlineStr">
        <is>
          <t>openssl 3.5.8 default</t>
        </is>
      </c>
      <c r="C244" s="2" t="inlineStr">
        <is>
          <t>skb-eval-80103-c5003</t>
        </is>
      </c>
      <c r="D244" s="2" t="n">
        <v>5003</v>
      </c>
      <c r="E244" s="2" t="n">
        <v>1543</v>
      </c>
      <c r="F244" s="2" t="n">
        <v>771</v>
      </c>
      <c r="G244" s="2" t="inlineStr">
        <is>
          <t>1302 1303 1301 c02c c030 009f cca9 cca8 ccaa c02b c02f 009e c024 c028 006b c023 c027 0067 c00a c014 0039 c009 c013 0033 009d 009c 003d 003c 0035 002f</t>
        </is>
      </c>
      <c r="H244" s="2" t="inlineStr">
        <is>
          <t>0304 0303</t>
        </is>
      </c>
      <c r="I244" s="2" t="n">
        <v>1</v>
      </c>
      <c r="J244" s="2" t="inlineStr">
        <is>
          <t>skb-eval-80103-c5003</t>
        </is>
      </c>
      <c r="K244" s="2" t="n">
        <v>1543</v>
      </c>
      <c r="L244" s="2" t="n">
        <v>771</v>
      </c>
      <c r="M244" s="2" t="n">
        <v>1443</v>
      </c>
      <c r="N244" s="2" t="b">
        <v>1</v>
      </c>
      <c r="O244" s="2" t="b">
        <v>1</v>
      </c>
      <c r="P244" s="2" t="inlineStr">
        <is>
          <t>1302 1303 1301 c02c c030 009f cca9 cca8 ccaa c02b c02f 009e c024 c028 006b c023 c027 0067 c00a c014 0039 c009 c013 0033 009d 009c 003d 003c 0035 002f</t>
        </is>
      </c>
      <c r="Q244" s="2" t="inlineStr">
        <is>
          <t>0304 0303</t>
        </is>
      </c>
      <c r="R244" s="2" t="inlineStr">
        <is>
          <t>allow</t>
        </is>
      </c>
      <c r="S244" s="2" t="inlineStr">
        <is>
          <t>allow</t>
        </is>
      </c>
      <c r="T244" s="2">
        <f>K244=E244</f>
        <v/>
      </c>
      <c r="U244" s="2">
        <f>L244=F244</f>
        <v/>
      </c>
      <c r="V244" s="2">
        <f>IF(N244,EXACT(P244,G244),"")</f>
        <v/>
      </c>
      <c r="W244" s="2">
        <f>IF(O244,EXACT(Q244,H244),"")</f>
        <v/>
      </c>
      <c r="X244" s="2">
        <f>J244=C244</f>
        <v/>
      </c>
      <c r="Y244" s="2">
        <f>IF(R244="unknown","",R244=S244)</f>
        <v/>
      </c>
      <c r="Z244" s="2" t="inlineStr">
        <is>
          <t>A</t>
        </is>
      </c>
      <c r="AA244" s="2" t="inlineStr">
        <is>
          <t>A</t>
        </is>
      </c>
      <c r="AB244" s="2">
        <f>AND(N244,O244,A244&lt;&gt;"census-mixed")</f>
        <v/>
      </c>
      <c r="AC244" s="2">
        <f>IF(AB244,Z244=AA244,"")</f>
        <v/>
      </c>
    </row>
    <row r="245">
      <c r="A245" s="2" t="inlineStr">
        <is>
          <t>census-mixed</t>
        </is>
      </c>
      <c r="B245" s="2" t="inlineStr">
        <is>
          <t>openssl 3.5.8 default</t>
        </is>
      </c>
      <c r="C245" s="2" t="inlineStr">
        <is>
          <t>skb-eval-80103-c5004</t>
        </is>
      </c>
      <c r="D245" s="2" t="n">
        <v>5004</v>
      </c>
      <c r="E245" s="2" t="n">
        <v>1543</v>
      </c>
      <c r="F245" s="2" t="n">
        <v>771</v>
      </c>
      <c r="G245" s="2" t="inlineStr">
        <is>
          <t>1302 1303 1301 c02c c030 009f cca9 cca8 ccaa c02b c02f 009e c024 c028 006b c023 c027 0067 c00a c014 0039 c009 c013 0033 009d 009c 003d 003c 0035 002f</t>
        </is>
      </c>
      <c r="H245" s="2" t="inlineStr">
        <is>
          <t>0304 0303</t>
        </is>
      </c>
      <c r="I245" s="2" t="n">
        <v>1</v>
      </c>
      <c r="J245" s="2" t="inlineStr">
        <is>
          <t>skb-eval-80103-c5004</t>
        </is>
      </c>
      <c r="K245" s="2" t="n">
        <v>1543</v>
      </c>
      <c r="L245" s="2" t="n">
        <v>771</v>
      </c>
      <c r="M245" s="2" t="n">
        <v>1443</v>
      </c>
      <c r="N245" s="2" t="b">
        <v>1</v>
      </c>
      <c r="O245" s="2" t="b">
        <v>1</v>
      </c>
      <c r="P245" s="2" t="inlineStr">
        <is>
          <t>1302 1303 1301 c02c c030 009f cca9 cca8 ccaa c02b c02f 009e c024 c028 006b c023 c027 0067 c00a c014 0039 c009 c013 0033 009d 009c 003d 003c 0035 002f</t>
        </is>
      </c>
      <c r="Q245" s="2" t="inlineStr">
        <is>
          <t>0304 0303</t>
        </is>
      </c>
      <c r="R245" s="2" t="inlineStr">
        <is>
          <t>allow</t>
        </is>
      </c>
      <c r="S245" s="2" t="inlineStr">
        <is>
          <t>allow</t>
        </is>
      </c>
      <c r="T245" s="2">
        <f>K245=E245</f>
        <v/>
      </c>
      <c r="U245" s="2">
        <f>L245=F245</f>
        <v/>
      </c>
      <c r="V245" s="2">
        <f>IF(N245,EXACT(P245,G245),"")</f>
        <v/>
      </c>
      <c r="W245" s="2">
        <f>IF(O245,EXACT(Q245,H245),"")</f>
        <v/>
      </c>
      <c r="X245" s="2">
        <f>J245=C245</f>
        <v/>
      </c>
      <c r="Y245" s="2">
        <f>IF(R245="unknown","",R245=S245)</f>
        <v/>
      </c>
      <c r="Z245" s="2" t="inlineStr">
        <is>
          <t>A</t>
        </is>
      </c>
      <c r="AA245" s="2" t="inlineStr">
        <is>
          <t>A</t>
        </is>
      </c>
      <c r="AB245" s="2">
        <f>AND(N245,O245,A245&lt;&gt;"census-mixed")</f>
        <v/>
      </c>
      <c r="AC245" s="2">
        <f>IF(AB245,Z245=AA245,"")</f>
        <v/>
      </c>
    </row>
    <row r="246">
      <c r="A246" s="2" t="inlineStr">
        <is>
          <t>census-mixed</t>
        </is>
      </c>
      <c r="B246" s="2" t="inlineStr">
        <is>
          <t>openssl 3.5.8 default</t>
        </is>
      </c>
      <c r="C246" s="2" t="inlineStr">
        <is>
          <t>skb-eval-80103-c5005</t>
        </is>
      </c>
      <c r="D246" s="2" t="n">
        <v>5005</v>
      </c>
      <c r="E246" s="2" t="n">
        <v>1543</v>
      </c>
      <c r="F246" s="2" t="n">
        <v>771</v>
      </c>
      <c r="G246" s="2" t="inlineStr">
        <is>
          <t>1302 1303 1301 c02c c030 009f cca9 cca8 ccaa c02b c02f 009e c024 c028 006b c023 c027 0067 c00a c014 0039 c009 c013 0033 009d 009c 003d 003c 0035 002f</t>
        </is>
      </c>
      <c r="H246" s="2" t="inlineStr">
        <is>
          <t>0304 0303</t>
        </is>
      </c>
      <c r="I246" s="2" t="n">
        <v>1</v>
      </c>
      <c r="J246" s="2" t="inlineStr">
        <is>
          <t>skb-eval-80103-c5005</t>
        </is>
      </c>
      <c r="K246" s="2" t="n">
        <v>1543</v>
      </c>
      <c r="L246" s="2" t="n">
        <v>771</v>
      </c>
      <c r="M246" s="2" t="n">
        <v>1443</v>
      </c>
      <c r="N246" s="2" t="b">
        <v>1</v>
      </c>
      <c r="O246" s="2" t="b">
        <v>1</v>
      </c>
      <c r="P246" s="2" t="inlineStr">
        <is>
          <t>1302 1303 1301 c02c c030 009f cca9 cca8 ccaa c02b c02f 009e c024 c028 006b c023 c027 0067 c00a c014 0039 c009 c013 0033 009d 009c 003d 003c 0035 002f</t>
        </is>
      </c>
      <c r="Q246" s="2" t="inlineStr">
        <is>
          <t>0304 0303</t>
        </is>
      </c>
      <c r="R246" s="2" t="inlineStr">
        <is>
          <t>allow</t>
        </is>
      </c>
      <c r="S246" s="2" t="inlineStr">
        <is>
          <t>allow</t>
        </is>
      </c>
      <c r="T246" s="2">
        <f>K246=E246</f>
        <v/>
      </c>
      <c r="U246" s="2">
        <f>L246=F246</f>
        <v/>
      </c>
      <c r="V246" s="2">
        <f>IF(N246,EXACT(P246,G246),"")</f>
        <v/>
      </c>
      <c r="W246" s="2">
        <f>IF(O246,EXACT(Q246,H246),"")</f>
        <v/>
      </c>
      <c r="X246" s="2">
        <f>J246=C246</f>
        <v/>
      </c>
      <c r="Y246" s="2">
        <f>IF(R246="unknown","",R246=S246)</f>
        <v/>
      </c>
      <c r="Z246" s="2" t="inlineStr">
        <is>
          <t>A</t>
        </is>
      </c>
      <c r="AA246" s="2" t="inlineStr">
        <is>
          <t>A</t>
        </is>
      </c>
      <c r="AB246" s="2">
        <f>AND(N246,O246,A246&lt;&gt;"census-mixed")</f>
        <v/>
      </c>
      <c r="AC246" s="2">
        <f>IF(AB246,Z246=AA246,"")</f>
        <v/>
      </c>
    </row>
    <row r="247">
      <c r="A247" s="2" t="inlineStr">
        <is>
          <t>census-mixed</t>
        </is>
      </c>
      <c r="B247" s="2" t="inlineStr">
        <is>
          <t>openssl 3.5.8 default</t>
        </is>
      </c>
      <c r="C247" s="2" t="inlineStr">
        <is>
          <t>skb-eval-80103-c5006</t>
        </is>
      </c>
      <c r="D247" s="2" t="n">
        <v>5006</v>
      </c>
      <c r="E247" s="2" t="n">
        <v>1543</v>
      </c>
      <c r="F247" s="2" t="n">
        <v>771</v>
      </c>
      <c r="G247" s="2" t="inlineStr">
        <is>
          <t>1302 1303 1301 c02c c030 009f cca9 cca8 ccaa c02b c02f 009e c024 c028 006b c023 c027 0067 c00a c014 0039 c009 c013 0033 009d 009c 003d 003c 0035 002f</t>
        </is>
      </c>
      <c r="H247" s="2" t="inlineStr">
        <is>
          <t>0304 0303</t>
        </is>
      </c>
      <c r="I247" s="2" t="n">
        <v>1</v>
      </c>
      <c r="J247" s="2" t="inlineStr">
        <is>
          <t>skb-eval-80103-c5006</t>
        </is>
      </c>
      <c r="K247" s="2" t="n">
        <v>1543</v>
      </c>
      <c r="L247" s="2" t="n">
        <v>771</v>
      </c>
      <c r="M247" s="2" t="n">
        <v>1443</v>
      </c>
      <c r="N247" s="2" t="b">
        <v>1</v>
      </c>
      <c r="O247" s="2" t="b">
        <v>1</v>
      </c>
      <c r="P247" s="2" t="inlineStr">
        <is>
          <t>1302 1303 1301 c02c c030 009f cca9 cca8 ccaa c02b c02f 009e c024 c028 006b c023 c027 0067 c00a c014 0039 c009 c013 0033 009d 009c 003d 003c 0035 002f</t>
        </is>
      </c>
      <c r="Q247" s="2" t="inlineStr">
        <is>
          <t>0304 0303</t>
        </is>
      </c>
      <c r="R247" s="2" t="inlineStr">
        <is>
          <t>allow</t>
        </is>
      </c>
      <c r="S247" s="2" t="inlineStr">
        <is>
          <t>allow</t>
        </is>
      </c>
      <c r="T247" s="2">
        <f>K247=E247</f>
        <v/>
      </c>
      <c r="U247" s="2">
        <f>L247=F247</f>
        <v/>
      </c>
      <c r="V247" s="2">
        <f>IF(N247,EXACT(P247,G247),"")</f>
        <v/>
      </c>
      <c r="W247" s="2">
        <f>IF(O247,EXACT(Q247,H247),"")</f>
        <v/>
      </c>
      <c r="X247" s="2">
        <f>J247=C247</f>
        <v/>
      </c>
      <c r="Y247" s="2">
        <f>IF(R247="unknown","",R247=S247)</f>
        <v/>
      </c>
      <c r="Z247" s="2" t="inlineStr">
        <is>
          <t>A</t>
        </is>
      </c>
      <c r="AA247" s="2" t="inlineStr">
        <is>
          <t>A</t>
        </is>
      </c>
      <c r="AB247" s="2">
        <f>AND(N247,O247,A247&lt;&gt;"census-mixed")</f>
        <v/>
      </c>
      <c r="AC247" s="2">
        <f>IF(AB247,Z247=AA247,"")</f>
        <v/>
      </c>
    </row>
    <row r="248">
      <c r="A248" s="2" t="inlineStr">
        <is>
          <t>census-mixed</t>
        </is>
      </c>
      <c r="B248" s="2" t="inlineStr">
        <is>
          <t>openssl 3.5.8 default</t>
        </is>
      </c>
      <c r="C248" s="2" t="inlineStr">
        <is>
          <t>skb-eval-80103-c5007</t>
        </is>
      </c>
      <c r="D248" s="2" t="n">
        <v>5007</v>
      </c>
      <c r="E248" s="2" t="n">
        <v>1543</v>
      </c>
      <c r="F248" s="2" t="n">
        <v>771</v>
      </c>
      <c r="G248" s="2" t="inlineStr">
        <is>
          <t>1302 1303 1301 c02c c030 009f cca9 cca8 ccaa c02b c02f 009e c024 c028 006b c023 c027 0067 c00a c014 0039 c009 c013 0033 009d 009c 003d 003c 0035 002f</t>
        </is>
      </c>
      <c r="H248" s="2" t="inlineStr">
        <is>
          <t>0304 0303</t>
        </is>
      </c>
      <c r="I248" s="2" t="n">
        <v>1</v>
      </c>
      <c r="J248" s="2" t="inlineStr">
        <is>
          <t>skb-eval-80103-c5007</t>
        </is>
      </c>
      <c r="K248" s="2" t="n">
        <v>1543</v>
      </c>
      <c r="L248" s="2" t="n">
        <v>771</v>
      </c>
      <c r="M248" s="2" t="n">
        <v>1443</v>
      </c>
      <c r="N248" s="2" t="b">
        <v>1</v>
      </c>
      <c r="O248" s="2" t="b">
        <v>1</v>
      </c>
      <c r="P248" s="2" t="inlineStr">
        <is>
          <t>1302 1303 1301 c02c c030 009f cca9 cca8 ccaa c02b c02f 009e c024 c028 006b c023 c027 0067 c00a c014 0039 c009 c013 0033 009d 009c 003d 003c 0035 002f</t>
        </is>
      </c>
      <c r="Q248" s="2" t="inlineStr">
        <is>
          <t>0304 0303</t>
        </is>
      </c>
      <c r="R248" s="2" t="inlineStr">
        <is>
          <t>allow</t>
        </is>
      </c>
      <c r="S248" s="2" t="inlineStr">
        <is>
          <t>allow</t>
        </is>
      </c>
      <c r="T248" s="2">
        <f>K248=E248</f>
        <v/>
      </c>
      <c r="U248" s="2">
        <f>L248=F248</f>
        <v/>
      </c>
      <c r="V248" s="2">
        <f>IF(N248,EXACT(P248,G248),"")</f>
        <v/>
      </c>
      <c r="W248" s="2">
        <f>IF(O248,EXACT(Q248,H248),"")</f>
        <v/>
      </c>
      <c r="X248" s="2">
        <f>J248=C248</f>
        <v/>
      </c>
      <c r="Y248" s="2">
        <f>IF(R248="unknown","",R248=S248)</f>
        <v/>
      </c>
      <c r="Z248" s="2" t="inlineStr">
        <is>
          <t>A</t>
        </is>
      </c>
      <c r="AA248" s="2" t="inlineStr">
        <is>
          <t>A</t>
        </is>
      </c>
      <c r="AB248" s="2">
        <f>AND(N248,O248,A248&lt;&gt;"census-mixed")</f>
        <v/>
      </c>
      <c r="AC248" s="2">
        <f>IF(AB248,Z248=AA248,"")</f>
        <v/>
      </c>
    </row>
    <row r="249">
      <c r="A249" s="2" t="inlineStr">
        <is>
          <t>census-mixed</t>
        </is>
      </c>
      <c r="B249" s="2" t="inlineStr">
        <is>
          <t>openssl 3.5.8 default</t>
        </is>
      </c>
      <c r="C249" s="2" t="inlineStr">
        <is>
          <t>skb-eval-80103-c5008</t>
        </is>
      </c>
      <c r="D249" s="2" t="n">
        <v>5008</v>
      </c>
      <c r="E249" s="2" t="n">
        <v>1543</v>
      </c>
      <c r="F249" s="2" t="n">
        <v>771</v>
      </c>
      <c r="G249" s="2" t="inlineStr">
        <is>
          <t>1302 1303 1301 c02c c030 009f cca9 cca8 ccaa c02b c02f 009e c024 c028 006b c023 c027 0067 c00a c014 0039 c009 c013 0033 009d 009c 003d 003c 0035 002f</t>
        </is>
      </c>
      <c r="H249" s="2" t="inlineStr">
        <is>
          <t>0304 0303</t>
        </is>
      </c>
      <c r="I249" s="2" t="n">
        <v>1</v>
      </c>
      <c r="J249" s="2" t="inlineStr">
        <is>
          <t>skb-eval-80103-c5008</t>
        </is>
      </c>
      <c r="K249" s="2" t="n">
        <v>1543</v>
      </c>
      <c r="L249" s="2" t="n">
        <v>771</v>
      </c>
      <c r="M249" s="2" t="n">
        <v>1443</v>
      </c>
      <c r="N249" s="2" t="b">
        <v>1</v>
      </c>
      <c r="O249" s="2" t="b">
        <v>1</v>
      </c>
      <c r="P249" s="2" t="inlineStr">
        <is>
          <t>1302 1303 1301 c02c c030 009f cca9 cca8 ccaa c02b c02f 009e c024 c028 006b c023 c027 0067 c00a c014 0039 c009 c013 0033 009d 009c 003d 003c 0035 002f</t>
        </is>
      </c>
      <c r="Q249" s="2" t="inlineStr">
        <is>
          <t>0304 0303</t>
        </is>
      </c>
      <c r="R249" s="2" t="inlineStr">
        <is>
          <t>allow</t>
        </is>
      </c>
      <c r="S249" s="2" t="inlineStr">
        <is>
          <t>allow</t>
        </is>
      </c>
      <c r="T249" s="2">
        <f>K249=E249</f>
        <v/>
      </c>
      <c r="U249" s="2">
        <f>L249=F249</f>
        <v/>
      </c>
      <c r="V249" s="2">
        <f>IF(N249,EXACT(P249,G249),"")</f>
        <v/>
      </c>
      <c r="W249" s="2">
        <f>IF(O249,EXACT(Q249,H249),"")</f>
        <v/>
      </c>
      <c r="X249" s="2">
        <f>J249=C249</f>
        <v/>
      </c>
      <c r="Y249" s="2">
        <f>IF(R249="unknown","",R249=S249)</f>
        <v/>
      </c>
      <c r="Z249" s="2" t="inlineStr">
        <is>
          <t>A</t>
        </is>
      </c>
      <c r="AA249" s="2" t="inlineStr">
        <is>
          <t>A</t>
        </is>
      </c>
      <c r="AB249" s="2">
        <f>AND(N249,O249,A249&lt;&gt;"census-mixed")</f>
        <v/>
      </c>
      <c r="AC249" s="2">
        <f>IF(AB249,Z249=AA249,"")</f>
        <v/>
      </c>
    </row>
    <row r="250">
      <c r="A250" s="2" t="inlineStr">
        <is>
          <t>census-mixed</t>
        </is>
      </c>
      <c r="B250" s="2" t="inlineStr">
        <is>
          <t>openssl 3.5.8 default</t>
        </is>
      </c>
      <c r="C250" s="2" t="inlineStr">
        <is>
          <t>skb-eval-80103-c5009</t>
        </is>
      </c>
      <c r="D250" s="2" t="n">
        <v>5009</v>
      </c>
      <c r="E250" s="2" t="n">
        <v>1543</v>
      </c>
      <c r="F250" s="2" t="n">
        <v>771</v>
      </c>
      <c r="G250" s="2" t="inlineStr">
        <is>
          <t>1302 1303 1301 c02c c030 009f cca9 cca8 ccaa c02b c02f 009e c024 c028 006b c023 c027 0067 c00a c014 0039 c009 c013 0033 009d 009c 003d 003c 0035 002f</t>
        </is>
      </c>
      <c r="H250" s="2" t="inlineStr">
        <is>
          <t>0304 0303</t>
        </is>
      </c>
      <c r="I250" s="2" t="n">
        <v>1</v>
      </c>
      <c r="J250" s="2" t="inlineStr">
        <is>
          <t>skb-eval-80103-c5009</t>
        </is>
      </c>
      <c r="K250" s="2" t="n">
        <v>1543</v>
      </c>
      <c r="L250" s="2" t="n">
        <v>771</v>
      </c>
      <c r="M250" s="2" t="n">
        <v>1443</v>
      </c>
      <c r="N250" s="2" t="b">
        <v>1</v>
      </c>
      <c r="O250" s="2" t="b">
        <v>1</v>
      </c>
      <c r="P250" s="2" t="inlineStr">
        <is>
          <t>1302 1303 1301 c02c c030 009f cca9 cca8 ccaa c02b c02f 009e c024 c028 006b c023 c027 0067 c00a c014 0039 c009 c013 0033 009d 009c 003d 003c 0035 002f</t>
        </is>
      </c>
      <c r="Q250" s="2" t="inlineStr">
        <is>
          <t>0304 0303</t>
        </is>
      </c>
      <c r="R250" s="2" t="inlineStr">
        <is>
          <t>allow</t>
        </is>
      </c>
      <c r="S250" s="2" t="inlineStr">
        <is>
          <t>allow</t>
        </is>
      </c>
      <c r="T250" s="2">
        <f>K250=E250</f>
        <v/>
      </c>
      <c r="U250" s="2">
        <f>L250=F250</f>
        <v/>
      </c>
      <c r="V250" s="2">
        <f>IF(N250,EXACT(P250,G250),"")</f>
        <v/>
      </c>
      <c r="W250" s="2">
        <f>IF(O250,EXACT(Q250,H250),"")</f>
        <v/>
      </c>
      <c r="X250" s="2">
        <f>J250=C250</f>
        <v/>
      </c>
      <c r="Y250" s="2">
        <f>IF(R250="unknown","",R250=S250)</f>
        <v/>
      </c>
      <c r="Z250" s="2" t="inlineStr">
        <is>
          <t>A</t>
        </is>
      </c>
      <c r="AA250" s="2" t="inlineStr">
        <is>
          <t>A</t>
        </is>
      </c>
      <c r="AB250" s="2">
        <f>AND(N250,O250,A250&lt;&gt;"census-mixed")</f>
        <v/>
      </c>
      <c r="AC250" s="2">
        <f>IF(AB250,Z250=AA250,"")</f>
        <v/>
      </c>
    </row>
    <row r="251">
      <c r="A251" s="2" t="inlineStr">
        <is>
          <t>census-mixed</t>
        </is>
      </c>
      <c r="B251" s="2" t="inlineStr">
        <is>
          <t>openssl 3.5.8 default</t>
        </is>
      </c>
      <c r="C251" s="2" t="inlineStr">
        <is>
          <t>skb-eval-80103-c5010</t>
        </is>
      </c>
      <c r="D251" s="2" t="n">
        <v>5010</v>
      </c>
      <c r="E251" s="2" t="n">
        <v>1543</v>
      </c>
      <c r="F251" s="2" t="n">
        <v>771</v>
      </c>
      <c r="G251" s="2" t="inlineStr">
        <is>
          <t>1302 1303 1301 c02c c030 009f cca9 cca8 ccaa c02b c02f 009e c024 c028 006b c023 c027 0067 c00a c014 0039 c009 c013 0033 009d 009c 003d 003c 0035 002f</t>
        </is>
      </c>
      <c r="H251" s="2" t="inlineStr">
        <is>
          <t>0304 0303</t>
        </is>
      </c>
      <c r="I251" s="2" t="n">
        <v>1</v>
      </c>
      <c r="J251" s="2" t="inlineStr">
        <is>
          <t>skb-eval-80103-c5010</t>
        </is>
      </c>
      <c r="K251" s="2" t="n">
        <v>1543</v>
      </c>
      <c r="L251" s="2" t="n">
        <v>771</v>
      </c>
      <c r="M251" s="2" t="n">
        <v>1443</v>
      </c>
      <c r="N251" s="2" t="b">
        <v>1</v>
      </c>
      <c r="O251" s="2" t="b">
        <v>1</v>
      </c>
      <c r="P251" s="2" t="inlineStr">
        <is>
          <t>1302 1303 1301 c02c c030 009f cca9 cca8 ccaa c02b c02f 009e c024 c028 006b c023 c027 0067 c00a c014 0039 c009 c013 0033 009d 009c 003d 003c 0035 002f</t>
        </is>
      </c>
      <c r="Q251" s="2" t="inlineStr">
        <is>
          <t>0304 0303</t>
        </is>
      </c>
      <c r="R251" s="2" t="inlineStr">
        <is>
          <t>allow</t>
        </is>
      </c>
      <c r="S251" s="2" t="inlineStr">
        <is>
          <t>allow</t>
        </is>
      </c>
      <c r="T251" s="2">
        <f>K251=E251</f>
        <v/>
      </c>
      <c r="U251" s="2">
        <f>L251=F251</f>
        <v/>
      </c>
      <c r="V251" s="2">
        <f>IF(N251,EXACT(P251,G251),"")</f>
        <v/>
      </c>
      <c r="W251" s="2">
        <f>IF(O251,EXACT(Q251,H251),"")</f>
        <v/>
      </c>
      <c r="X251" s="2">
        <f>J251=C251</f>
        <v/>
      </c>
      <c r="Y251" s="2">
        <f>IF(R251="unknown","",R251=S251)</f>
        <v/>
      </c>
      <c r="Z251" s="2" t="inlineStr">
        <is>
          <t>A</t>
        </is>
      </c>
      <c r="AA251" s="2" t="inlineStr">
        <is>
          <t>A</t>
        </is>
      </c>
      <c r="AB251" s="2">
        <f>AND(N251,O251,A251&lt;&gt;"census-mixed")</f>
        <v/>
      </c>
      <c r="AC251" s="2">
        <f>IF(AB251,Z251=AA251,"")</f>
        <v/>
      </c>
    </row>
    <row r="252">
      <c r="A252" s="2" t="inlineStr">
        <is>
          <t>census-mixed</t>
        </is>
      </c>
      <c r="B252" s="2" t="inlineStr">
        <is>
          <t>openssl X25519 only (classical)</t>
        </is>
      </c>
      <c r="C252" s="2" t="inlineStr">
        <is>
          <t>skb-eval-80103-c5011</t>
        </is>
      </c>
      <c r="D252" s="2" t="n">
        <v>5011</v>
      </c>
      <c r="E252" s="2" t="n">
        <v>309</v>
      </c>
      <c r="F252" s="2" t="n">
        <v>771</v>
      </c>
      <c r="G252" s="2" t="inlineStr">
        <is>
          <t>1302 1303 1301 c02c c030 009f cca9 cca8 ccaa c02b c02f 009e c024 c028 006b c023 c027 0067 c00a c014 0039 c009 c013 0033 009d 009c 003d 003c 0035 002f</t>
        </is>
      </c>
      <c r="H252" s="2" t="inlineStr">
        <is>
          <t>0304 0303</t>
        </is>
      </c>
      <c r="I252" s="2" t="n">
        <v>1</v>
      </c>
      <c r="J252" s="2" t="inlineStr">
        <is>
          <t>skb-eval-80103-c5011</t>
        </is>
      </c>
      <c r="K252" s="2" t="n">
        <v>309</v>
      </c>
      <c r="L252" s="2" t="n">
        <v>771</v>
      </c>
      <c r="M252" s="2" t="n">
        <v>309</v>
      </c>
      <c r="N252" s="2" t="b">
        <v>1</v>
      </c>
      <c r="O252" s="2" t="b">
        <v>1</v>
      </c>
      <c r="P252" s="2" t="inlineStr">
        <is>
          <t>1302 1303 1301 c02c c030 009f cca9 cca8 ccaa c02b c02f 009e c024 c028 006b c023 c027 0067 c00a c014 0039 c009 c013 0033 009d 009c 003d 003c 0035 002f</t>
        </is>
      </c>
      <c r="Q252" s="2" t="inlineStr">
        <is>
          <t>0304 0303</t>
        </is>
      </c>
      <c r="R252" s="2" t="inlineStr">
        <is>
          <t>allow</t>
        </is>
      </c>
      <c r="S252" s="2" t="inlineStr">
        <is>
          <t>allow</t>
        </is>
      </c>
      <c r="T252" s="2">
        <f>K252=E252</f>
        <v/>
      </c>
      <c r="U252" s="2">
        <f>L252=F252</f>
        <v/>
      </c>
      <c r="V252" s="2">
        <f>IF(N252,EXACT(P252,G252),"")</f>
        <v/>
      </c>
      <c r="W252" s="2">
        <f>IF(O252,EXACT(Q252,H252),"")</f>
        <v/>
      </c>
      <c r="X252" s="2">
        <f>J252=C252</f>
        <v/>
      </c>
      <c r="Y252" s="2">
        <f>IF(R252="unknown","",R252=S252)</f>
        <v/>
      </c>
      <c r="Z252" s="2" t="inlineStr">
        <is>
          <t>A</t>
        </is>
      </c>
      <c r="AA252" s="2" t="inlineStr">
        <is>
          <t>A</t>
        </is>
      </c>
      <c r="AB252" s="2">
        <f>AND(N252,O252,A252&lt;&gt;"census-mixed")</f>
        <v/>
      </c>
      <c r="AC252" s="2">
        <f>IF(AB252,Z252=AA252,"")</f>
        <v/>
      </c>
    </row>
    <row r="253">
      <c r="A253" s="2" t="inlineStr">
        <is>
          <t>census-mixed</t>
        </is>
      </c>
      <c r="B253" s="2" t="inlineStr">
        <is>
          <t>openssl X25519 only (classical)</t>
        </is>
      </c>
      <c r="C253" s="2" t="inlineStr">
        <is>
          <t>skb-eval-80103-c5012</t>
        </is>
      </c>
      <c r="D253" s="2" t="n">
        <v>5012</v>
      </c>
      <c r="E253" s="2" t="n">
        <v>309</v>
      </c>
      <c r="F253" s="2" t="n">
        <v>771</v>
      </c>
      <c r="G253" s="2" t="inlineStr">
        <is>
          <t>1302 1303 1301 c02c c030 009f cca9 cca8 ccaa c02b c02f 009e c024 c028 006b c023 c027 0067 c00a c014 0039 c009 c013 0033 009d 009c 003d 003c 0035 002f</t>
        </is>
      </c>
      <c r="H253" s="2" t="inlineStr">
        <is>
          <t>0304 0303</t>
        </is>
      </c>
      <c r="I253" s="2" t="n">
        <v>1</v>
      </c>
      <c r="J253" s="2" t="inlineStr">
        <is>
          <t>skb-eval-80103-c5012</t>
        </is>
      </c>
      <c r="K253" s="2" t="n">
        <v>309</v>
      </c>
      <c r="L253" s="2" t="n">
        <v>771</v>
      </c>
      <c r="M253" s="2" t="n">
        <v>309</v>
      </c>
      <c r="N253" s="2" t="b">
        <v>1</v>
      </c>
      <c r="O253" s="2" t="b">
        <v>1</v>
      </c>
      <c r="P253" s="2" t="inlineStr">
        <is>
          <t>1302 1303 1301 c02c c030 009f cca9 cca8 ccaa c02b c02f 009e c024 c028 006b c023 c027 0067 c00a c014 0039 c009 c013 0033 009d 009c 003d 003c 0035 002f</t>
        </is>
      </c>
      <c r="Q253" s="2" t="inlineStr">
        <is>
          <t>0304 0303</t>
        </is>
      </c>
      <c r="R253" s="2" t="inlineStr">
        <is>
          <t>allow</t>
        </is>
      </c>
      <c r="S253" s="2" t="inlineStr">
        <is>
          <t>allow</t>
        </is>
      </c>
      <c r="T253" s="2">
        <f>K253=E253</f>
        <v/>
      </c>
      <c r="U253" s="2">
        <f>L253=F253</f>
        <v/>
      </c>
      <c r="V253" s="2">
        <f>IF(N253,EXACT(P253,G253),"")</f>
        <v/>
      </c>
      <c r="W253" s="2">
        <f>IF(O253,EXACT(Q253,H253),"")</f>
        <v/>
      </c>
      <c r="X253" s="2">
        <f>J253=C253</f>
        <v/>
      </c>
      <c r="Y253" s="2">
        <f>IF(R253="unknown","",R253=S253)</f>
        <v/>
      </c>
      <c r="Z253" s="2" t="inlineStr">
        <is>
          <t>A</t>
        </is>
      </c>
      <c r="AA253" s="2" t="inlineStr">
        <is>
          <t>A</t>
        </is>
      </c>
      <c r="AB253" s="2">
        <f>AND(N253,O253,A253&lt;&gt;"census-mixed")</f>
        <v/>
      </c>
      <c r="AC253" s="2">
        <f>IF(AB253,Z253=AA253,"")</f>
        <v/>
      </c>
    </row>
    <row r="254">
      <c r="A254" s="2" t="inlineStr">
        <is>
          <t>census-mixed</t>
        </is>
      </c>
      <c r="B254" s="2" t="inlineStr">
        <is>
          <t>openssl X25519 only (classical)</t>
        </is>
      </c>
      <c r="C254" s="2" t="inlineStr">
        <is>
          <t>skb-eval-80103-c5013</t>
        </is>
      </c>
      <c r="D254" s="2" t="n">
        <v>5013</v>
      </c>
      <c r="E254" s="2" t="n">
        <v>309</v>
      </c>
      <c r="F254" s="2" t="n">
        <v>771</v>
      </c>
      <c r="G254" s="2" t="inlineStr">
        <is>
          <t>1302 1303 1301 c02c c030 009f cca9 cca8 ccaa c02b c02f 009e c024 c028 006b c023 c027 0067 c00a c014 0039 c009 c013 0033 009d 009c 003d 003c 0035 002f</t>
        </is>
      </c>
      <c r="H254" s="2" t="inlineStr">
        <is>
          <t>0304 0303</t>
        </is>
      </c>
      <c r="I254" s="2" t="n">
        <v>1</v>
      </c>
      <c r="J254" s="2" t="inlineStr">
        <is>
          <t>skb-eval-80103-c5013</t>
        </is>
      </c>
      <c r="K254" s="2" t="n">
        <v>309</v>
      </c>
      <c r="L254" s="2" t="n">
        <v>771</v>
      </c>
      <c r="M254" s="2" t="n">
        <v>309</v>
      </c>
      <c r="N254" s="2" t="b">
        <v>1</v>
      </c>
      <c r="O254" s="2" t="b">
        <v>1</v>
      </c>
      <c r="P254" s="2" t="inlineStr">
        <is>
          <t>1302 1303 1301 c02c c030 009f cca9 cca8 ccaa c02b c02f 009e c024 c028 006b c023 c027 0067 c00a c014 0039 c009 c013 0033 009d 009c 003d 003c 0035 002f</t>
        </is>
      </c>
      <c r="Q254" s="2" t="inlineStr">
        <is>
          <t>0304 0303</t>
        </is>
      </c>
      <c r="R254" s="2" t="inlineStr">
        <is>
          <t>allow</t>
        </is>
      </c>
      <c r="S254" s="2" t="inlineStr">
        <is>
          <t>allow</t>
        </is>
      </c>
      <c r="T254" s="2">
        <f>K254=E254</f>
        <v/>
      </c>
      <c r="U254" s="2">
        <f>L254=F254</f>
        <v/>
      </c>
      <c r="V254" s="2">
        <f>IF(N254,EXACT(P254,G254),"")</f>
        <v/>
      </c>
      <c r="W254" s="2">
        <f>IF(O254,EXACT(Q254,H254),"")</f>
        <v/>
      </c>
      <c r="X254" s="2">
        <f>J254=C254</f>
        <v/>
      </c>
      <c r="Y254" s="2">
        <f>IF(R254="unknown","",R254=S254)</f>
        <v/>
      </c>
      <c r="Z254" s="2" t="inlineStr">
        <is>
          <t>A</t>
        </is>
      </c>
      <c r="AA254" s="2" t="inlineStr">
        <is>
          <t>A</t>
        </is>
      </c>
      <c r="AB254" s="2">
        <f>AND(N254,O254,A254&lt;&gt;"census-mixed")</f>
        <v/>
      </c>
      <c r="AC254" s="2">
        <f>IF(AB254,Z254=AA254,"")</f>
        <v/>
      </c>
    </row>
    <row r="255">
      <c r="A255" s="2" t="inlineStr">
        <is>
          <t>census-mixed</t>
        </is>
      </c>
      <c r="B255" s="2" t="inlineStr">
        <is>
          <t>openssl X25519 only (classical)</t>
        </is>
      </c>
      <c r="C255" s="2" t="inlineStr">
        <is>
          <t>skb-eval-80103-c5014</t>
        </is>
      </c>
      <c r="D255" s="2" t="n">
        <v>5014</v>
      </c>
      <c r="E255" s="2" t="n">
        <v>309</v>
      </c>
      <c r="F255" s="2" t="n">
        <v>771</v>
      </c>
      <c r="G255" s="2" t="inlineStr">
        <is>
          <t>1302 1303 1301 c02c c030 009f cca9 cca8 ccaa c02b c02f 009e c024 c028 006b c023 c027 0067 c00a c014 0039 c009 c013 0033 009d 009c 003d 003c 0035 002f</t>
        </is>
      </c>
      <c r="H255" s="2" t="inlineStr">
        <is>
          <t>0304 0303</t>
        </is>
      </c>
      <c r="I255" s="2" t="n">
        <v>1</v>
      </c>
      <c r="J255" s="2" t="inlineStr">
        <is>
          <t>skb-eval-80103-c5014</t>
        </is>
      </c>
      <c r="K255" s="2" t="n">
        <v>309</v>
      </c>
      <c r="L255" s="2" t="n">
        <v>771</v>
      </c>
      <c r="M255" s="2" t="n">
        <v>309</v>
      </c>
      <c r="N255" s="2" t="b">
        <v>1</v>
      </c>
      <c r="O255" s="2" t="b">
        <v>1</v>
      </c>
      <c r="P255" s="2" t="inlineStr">
        <is>
          <t>1302 1303 1301 c02c c030 009f cca9 cca8 ccaa c02b c02f 009e c024 c028 006b c023 c027 0067 c00a c014 0039 c009 c013 0033 009d 009c 003d 003c 0035 002f</t>
        </is>
      </c>
      <c r="Q255" s="2" t="inlineStr">
        <is>
          <t>0304 0303</t>
        </is>
      </c>
      <c r="R255" s="2" t="inlineStr">
        <is>
          <t>allow</t>
        </is>
      </c>
      <c r="S255" s="2" t="inlineStr">
        <is>
          <t>allow</t>
        </is>
      </c>
      <c r="T255" s="2">
        <f>K255=E255</f>
        <v/>
      </c>
      <c r="U255" s="2">
        <f>L255=F255</f>
        <v/>
      </c>
      <c r="V255" s="2">
        <f>IF(N255,EXACT(P255,G255),"")</f>
        <v/>
      </c>
      <c r="W255" s="2">
        <f>IF(O255,EXACT(Q255,H255),"")</f>
        <v/>
      </c>
      <c r="X255" s="2">
        <f>J255=C255</f>
        <v/>
      </c>
      <c r="Y255" s="2">
        <f>IF(R255="unknown","",R255=S255)</f>
        <v/>
      </c>
      <c r="Z255" s="2" t="inlineStr">
        <is>
          <t>A</t>
        </is>
      </c>
      <c r="AA255" s="2" t="inlineStr">
        <is>
          <t>A</t>
        </is>
      </c>
      <c r="AB255" s="2">
        <f>AND(N255,O255,A255&lt;&gt;"census-mixed")</f>
        <v/>
      </c>
      <c r="AC255" s="2">
        <f>IF(AB255,Z255=AA255,"")</f>
        <v/>
      </c>
    </row>
    <row r="256">
      <c r="A256" s="2" t="inlineStr">
        <is>
          <t>census-mixed</t>
        </is>
      </c>
      <c r="B256" s="2" t="inlineStr">
        <is>
          <t>openssl X25519 only (classical)</t>
        </is>
      </c>
      <c r="C256" s="2" t="inlineStr">
        <is>
          <t>skb-eval-80103-c5015</t>
        </is>
      </c>
      <c r="D256" s="2" t="n">
        <v>5015</v>
      </c>
      <c r="E256" s="2" t="n">
        <v>309</v>
      </c>
      <c r="F256" s="2" t="n">
        <v>771</v>
      </c>
      <c r="G256" s="2" t="inlineStr">
        <is>
          <t>1302 1303 1301 c02c c030 009f cca9 cca8 ccaa c02b c02f 009e c024 c028 006b c023 c027 0067 c00a c014 0039 c009 c013 0033 009d 009c 003d 003c 0035 002f</t>
        </is>
      </c>
      <c r="H256" s="2" t="inlineStr">
        <is>
          <t>0304 0303</t>
        </is>
      </c>
      <c r="I256" s="2" t="n">
        <v>1</v>
      </c>
      <c r="J256" s="2" t="inlineStr">
        <is>
          <t>skb-eval-80103-c5015</t>
        </is>
      </c>
      <c r="K256" s="2" t="n">
        <v>309</v>
      </c>
      <c r="L256" s="2" t="n">
        <v>771</v>
      </c>
      <c r="M256" s="2" t="n">
        <v>309</v>
      </c>
      <c r="N256" s="2" t="b">
        <v>1</v>
      </c>
      <c r="O256" s="2" t="b">
        <v>1</v>
      </c>
      <c r="P256" s="2" t="inlineStr">
        <is>
          <t>1302 1303 1301 c02c c030 009f cca9 cca8 ccaa c02b c02f 009e c024 c028 006b c023 c027 0067 c00a c014 0039 c009 c013 0033 009d 009c 003d 003c 0035 002f</t>
        </is>
      </c>
      <c r="Q256" s="2" t="inlineStr">
        <is>
          <t>0304 0303</t>
        </is>
      </c>
      <c r="R256" s="2" t="inlineStr">
        <is>
          <t>allow</t>
        </is>
      </c>
      <c r="S256" s="2" t="inlineStr">
        <is>
          <t>allow</t>
        </is>
      </c>
      <c r="T256" s="2">
        <f>K256=E256</f>
        <v/>
      </c>
      <c r="U256" s="2">
        <f>L256=F256</f>
        <v/>
      </c>
      <c r="V256" s="2">
        <f>IF(N256,EXACT(P256,G256),"")</f>
        <v/>
      </c>
      <c r="W256" s="2">
        <f>IF(O256,EXACT(Q256,H256),"")</f>
        <v/>
      </c>
      <c r="X256" s="2">
        <f>J256=C256</f>
        <v/>
      </c>
      <c r="Y256" s="2">
        <f>IF(R256="unknown","",R256=S256)</f>
        <v/>
      </c>
      <c r="Z256" s="2" t="inlineStr">
        <is>
          <t>A</t>
        </is>
      </c>
      <c r="AA256" s="2" t="inlineStr">
        <is>
          <t>A</t>
        </is>
      </c>
      <c r="AB256" s="2">
        <f>AND(N256,O256,A256&lt;&gt;"census-mixed")</f>
        <v/>
      </c>
      <c r="AC256" s="2">
        <f>IF(AB256,Z256=AA256,"")</f>
        <v/>
      </c>
    </row>
    <row r="257">
      <c r="A257" s="2" t="inlineStr">
        <is>
          <t>census-mixed</t>
        </is>
      </c>
      <c r="B257" s="2" t="inlineStr">
        <is>
          <t>openssl X25519 only (classical)</t>
        </is>
      </c>
      <c r="C257" s="2" t="inlineStr">
        <is>
          <t>skb-eval-80103-c5016</t>
        </is>
      </c>
      <c r="D257" s="2" t="n">
        <v>5016</v>
      </c>
      <c r="E257" s="2" t="n">
        <v>309</v>
      </c>
      <c r="F257" s="2" t="n">
        <v>771</v>
      </c>
      <c r="G257" s="2" t="inlineStr">
        <is>
          <t>1302 1303 1301 c02c c030 009f cca9 cca8 ccaa c02b c02f 009e c024 c028 006b c023 c027 0067 c00a c014 0039 c009 c013 0033 009d 009c 003d 003c 0035 002f</t>
        </is>
      </c>
      <c r="H257" s="2" t="inlineStr">
        <is>
          <t>0304 0303</t>
        </is>
      </c>
      <c r="I257" s="2" t="n">
        <v>1</v>
      </c>
      <c r="J257" s="2" t="inlineStr">
        <is>
          <t>skb-eval-80103-c5016</t>
        </is>
      </c>
      <c r="K257" s="2" t="n">
        <v>309</v>
      </c>
      <c r="L257" s="2" t="n">
        <v>771</v>
      </c>
      <c r="M257" s="2" t="n">
        <v>309</v>
      </c>
      <c r="N257" s="2" t="b">
        <v>1</v>
      </c>
      <c r="O257" s="2" t="b">
        <v>1</v>
      </c>
      <c r="P257" s="2" t="inlineStr">
        <is>
          <t>1302 1303 1301 c02c c030 009f cca9 cca8 ccaa c02b c02f 009e c024 c028 006b c023 c027 0067 c00a c014 0039 c009 c013 0033 009d 009c 003d 003c 0035 002f</t>
        </is>
      </c>
      <c r="Q257" s="2" t="inlineStr">
        <is>
          <t>0304 0303</t>
        </is>
      </c>
      <c r="R257" s="2" t="inlineStr">
        <is>
          <t>allow</t>
        </is>
      </c>
      <c r="S257" s="2" t="inlineStr">
        <is>
          <t>allow</t>
        </is>
      </c>
      <c r="T257" s="2">
        <f>K257=E257</f>
        <v/>
      </c>
      <c r="U257" s="2">
        <f>L257=F257</f>
        <v/>
      </c>
      <c r="V257" s="2">
        <f>IF(N257,EXACT(P257,G257),"")</f>
        <v/>
      </c>
      <c r="W257" s="2">
        <f>IF(O257,EXACT(Q257,H257),"")</f>
        <v/>
      </c>
      <c r="X257" s="2">
        <f>J257=C257</f>
        <v/>
      </c>
      <c r="Y257" s="2">
        <f>IF(R257="unknown","",R257=S257)</f>
        <v/>
      </c>
      <c r="Z257" s="2" t="inlineStr">
        <is>
          <t>A</t>
        </is>
      </c>
      <c r="AA257" s="2" t="inlineStr">
        <is>
          <t>A</t>
        </is>
      </c>
      <c r="AB257" s="2">
        <f>AND(N257,O257,A257&lt;&gt;"census-mixed")</f>
        <v/>
      </c>
      <c r="AC257" s="2">
        <f>IF(AB257,Z257=AA257,"")</f>
        <v/>
      </c>
    </row>
    <row r="258">
      <c r="A258" s="2" t="inlineStr">
        <is>
          <t>census-mixed</t>
        </is>
      </c>
      <c r="B258" s="2" t="inlineStr">
        <is>
          <t>openssl X25519 only (classical)</t>
        </is>
      </c>
      <c r="C258" s="2" t="inlineStr">
        <is>
          <t>skb-eval-80103-c5017</t>
        </is>
      </c>
      <c r="D258" s="2" t="n">
        <v>5017</v>
      </c>
      <c r="E258" s="2" t="n">
        <v>309</v>
      </c>
      <c r="F258" s="2" t="n">
        <v>771</v>
      </c>
      <c r="G258" s="2" t="inlineStr">
        <is>
          <t>1302 1303 1301 c02c c030 009f cca9 cca8 ccaa c02b c02f 009e c024 c028 006b c023 c027 0067 c00a c014 0039 c009 c013 0033 009d 009c 003d 003c 0035 002f</t>
        </is>
      </c>
      <c r="H258" s="2" t="inlineStr">
        <is>
          <t>0304 0303</t>
        </is>
      </c>
      <c r="I258" s="2" t="n">
        <v>1</v>
      </c>
      <c r="J258" s="2" t="inlineStr">
        <is>
          <t>skb-eval-80103-c5017</t>
        </is>
      </c>
      <c r="K258" s="2" t="n">
        <v>309</v>
      </c>
      <c r="L258" s="2" t="n">
        <v>771</v>
      </c>
      <c r="M258" s="2" t="n">
        <v>309</v>
      </c>
      <c r="N258" s="2" t="b">
        <v>1</v>
      </c>
      <c r="O258" s="2" t="b">
        <v>1</v>
      </c>
      <c r="P258" s="2" t="inlineStr">
        <is>
          <t>1302 1303 1301 c02c c030 009f cca9 cca8 ccaa c02b c02f 009e c024 c028 006b c023 c027 0067 c00a c014 0039 c009 c013 0033 009d 009c 003d 003c 0035 002f</t>
        </is>
      </c>
      <c r="Q258" s="2" t="inlineStr">
        <is>
          <t>0304 0303</t>
        </is>
      </c>
      <c r="R258" s="2" t="inlineStr">
        <is>
          <t>allow</t>
        </is>
      </c>
      <c r="S258" s="2" t="inlineStr">
        <is>
          <t>allow</t>
        </is>
      </c>
      <c r="T258" s="2">
        <f>K258=E258</f>
        <v/>
      </c>
      <c r="U258" s="2">
        <f>L258=F258</f>
        <v/>
      </c>
      <c r="V258" s="2">
        <f>IF(N258,EXACT(P258,G258),"")</f>
        <v/>
      </c>
      <c r="W258" s="2">
        <f>IF(O258,EXACT(Q258,H258),"")</f>
        <v/>
      </c>
      <c r="X258" s="2">
        <f>J258=C258</f>
        <v/>
      </c>
      <c r="Y258" s="2">
        <f>IF(R258="unknown","",R258=S258)</f>
        <v/>
      </c>
      <c r="Z258" s="2" t="inlineStr">
        <is>
          <t>A</t>
        </is>
      </c>
      <c r="AA258" s="2" t="inlineStr">
        <is>
          <t>A</t>
        </is>
      </c>
      <c r="AB258" s="2">
        <f>AND(N258,O258,A258&lt;&gt;"census-mixed")</f>
        <v/>
      </c>
      <c r="AC258" s="2">
        <f>IF(AB258,Z258=AA258,"")</f>
        <v/>
      </c>
    </row>
    <row r="259">
      <c r="A259" s="2" t="inlineStr">
        <is>
          <t>census-mixed</t>
        </is>
      </c>
      <c r="B259" s="2" t="inlineStr">
        <is>
          <t>openssl X25519 only (classical)</t>
        </is>
      </c>
      <c r="C259" s="2" t="inlineStr">
        <is>
          <t>skb-eval-80103-c5018</t>
        </is>
      </c>
      <c r="D259" s="2" t="n">
        <v>5018</v>
      </c>
      <c r="E259" s="2" t="n">
        <v>309</v>
      </c>
      <c r="F259" s="2" t="n">
        <v>771</v>
      </c>
      <c r="G259" s="2" t="inlineStr">
        <is>
          <t>1302 1303 1301 c02c c030 009f cca9 cca8 ccaa c02b c02f 009e c024 c028 006b c023 c027 0067 c00a c014 0039 c009 c013 0033 009d 009c 003d 003c 0035 002f</t>
        </is>
      </c>
      <c r="H259" s="2" t="inlineStr">
        <is>
          <t>0304 0303</t>
        </is>
      </c>
      <c r="I259" s="2" t="n">
        <v>1</v>
      </c>
      <c r="J259" s="2" t="inlineStr">
        <is>
          <t>skb-eval-80103-c5018</t>
        </is>
      </c>
      <c r="K259" s="2" t="n">
        <v>309</v>
      </c>
      <c r="L259" s="2" t="n">
        <v>771</v>
      </c>
      <c r="M259" s="2" t="n">
        <v>309</v>
      </c>
      <c r="N259" s="2" t="b">
        <v>1</v>
      </c>
      <c r="O259" s="2" t="b">
        <v>1</v>
      </c>
      <c r="P259" s="2" t="inlineStr">
        <is>
          <t>1302 1303 1301 c02c c030 009f cca9 cca8 ccaa c02b c02f 009e c024 c028 006b c023 c027 0067 c00a c014 0039 c009 c013 0033 009d 009c 003d 003c 0035 002f</t>
        </is>
      </c>
      <c r="Q259" s="2" t="inlineStr">
        <is>
          <t>0304 0303</t>
        </is>
      </c>
      <c r="R259" s="2" t="inlineStr">
        <is>
          <t>allow</t>
        </is>
      </c>
      <c r="S259" s="2" t="inlineStr">
        <is>
          <t>allow</t>
        </is>
      </c>
      <c r="T259" s="2">
        <f>K259=E259</f>
        <v/>
      </c>
      <c r="U259" s="2">
        <f>L259=F259</f>
        <v/>
      </c>
      <c r="V259" s="2">
        <f>IF(N259,EXACT(P259,G259),"")</f>
        <v/>
      </c>
      <c r="W259" s="2">
        <f>IF(O259,EXACT(Q259,H259),"")</f>
        <v/>
      </c>
      <c r="X259" s="2">
        <f>J259=C259</f>
        <v/>
      </c>
      <c r="Y259" s="2">
        <f>IF(R259="unknown","",R259=S259)</f>
        <v/>
      </c>
      <c r="Z259" s="2" t="inlineStr">
        <is>
          <t>A</t>
        </is>
      </c>
      <c r="AA259" s="2" t="inlineStr">
        <is>
          <t>A</t>
        </is>
      </c>
      <c r="AB259" s="2">
        <f>AND(N259,O259,A259&lt;&gt;"census-mixed")</f>
        <v/>
      </c>
      <c r="AC259" s="2">
        <f>IF(AB259,Z259=AA259,"")</f>
        <v/>
      </c>
    </row>
    <row r="260">
      <c r="A260" s="2" t="inlineStr">
        <is>
          <t>census-mixed</t>
        </is>
      </c>
      <c r="B260" s="2" t="inlineStr">
        <is>
          <t>openssl X25519 only (classical)</t>
        </is>
      </c>
      <c r="C260" s="2" t="inlineStr">
        <is>
          <t>skb-eval-80103-c5019</t>
        </is>
      </c>
      <c r="D260" s="2" t="n">
        <v>5019</v>
      </c>
      <c r="E260" s="2" t="n">
        <v>309</v>
      </c>
      <c r="F260" s="2" t="n">
        <v>771</v>
      </c>
      <c r="G260" s="2" t="inlineStr">
        <is>
          <t>1302 1303 1301 c02c c030 009f cca9 cca8 ccaa c02b c02f 009e c024 c028 006b c023 c027 0067 c00a c014 0039 c009 c013 0033 009d 009c 003d 003c 0035 002f</t>
        </is>
      </c>
      <c r="H260" s="2" t="inlineStr">
        <is>
          <t>0304 0303</t>
        </is>
      </c>
      <c r="I260" s="2" t="n">
        <v>1</v>
      </c>
      <c r="J260" s="2" t="inlineStr">
        <is>
          <t>skb-eval-80103-c5019</t>
        </is>
      </c>
      <c r="K260" s="2" t="n">
        <v>309</v>
      </c>
      <c r="L260" s="2" t="n">
        <v>771</v>
      </c>
      <c r="M260" s="2" t="n">
        <v>309</v>
      </c>
      <c r="N260" s="2" t="b">
        <v>1</v>
      </c>
      <c r="O260" s="2" t="b">
        <v>1</v>
      </c>
      <c r="P260" s="2" t="inlineStr">
        <is>
          <t>1302 1303 1301 c02c c030 009f cca9 cca8 ccaa c02b c02f 009e c024 c028 006b c023 c027 0067 c00a c014 0039 c009 c013 0033 009d 009c 003d 003c 0035 002f</t>
        </is>
      </c>
      <c r="Q260" s="2" t="inlineStr">
        <is>
          <t>0304 0303</t>
        </is>
      </c>
      <c r="R260" s="2" t="inlineStr">
        <is>
          <t>allow</t>
        </is>
      </c>
      <c r="S260" s="2" t="inlineStr">
        <is>
          <t>allow</t>
        </is>
      </c>
      <c r="T260" s="2">
        <f>K260=E260</f>
        <v/>
      </c>
      <c r="U260" s="2">
        <f>L260=F260</f>
        <v/>
      </c>
      <c r="V260" s="2">
        <f>IF(N260,EXACT(P260,G260),"")</f>
        <v/>
      </c>
      <c r="W260" s="2">
        <f>IF(O260,EXACT(Q260,H260),"")</f>
        <v/>
      </c>
      <c r="X260" s="2">
        <f>J260=C260</f>
        <v/>
      </c>
      <c r="Y260" s="2">
        <f>IF(R260="unknown","",R260=S260)</f>
        <v/>
      </c>
      <c r="Z260" s="2" t="inlineStr">
        <is>
          <t>A</t>
        </is>
      </c>
      <c r="AA260" s="2" t="inlineStr">
        <is>
          <t>A</t>
        </is>
      </c>
      <c r="AB260" s="2">
        <f>AND(N260,O260,A260&lt;&gt;"census-mixed")</f>
        <v/>
      </c>
      <c r="AC260" s="2">
        <f>IF(AB260,Z260=AA260,"")</f>
        <v/>
      </c>
    </row>
    <row r="261">
      <c r="A261" s="2" t="inlineStr">
        <is>
          <t>census-mixed</t>
        </is>
      </c>
      <c r="B261" s="2" t="inlineStr">
        <is>
          <t>openssl X25519 only (classical)</t>
        </is>
      </c>
      <c r="C261" s="2" t="inlineStr">
        <is>
          <t>skb-eval-80103-c5020</t>
        </is>
      </c>
      <c r="D261" s="2" t="n">
        <v>5020</v>
      </c>
      <c r="E261" s="2" t="n">
        <v>309</v>
      </c>
      <c r="F261" s="2" t="n">
        <v>771</v>
      </c>
      <c r="G261" s="2" t="inlineStr">
        <is>
          <t>1302 1303 1301 c02c c030 009f cca9 cca8 ccaa c02b c02f 009e c024 c028 006b c023 c027 0067 c00a c014 0039 c009 c013 0033 009d 009c 003d 003c 0035 002f</t>
        </is>
      </c>
      <c r="H261" s="2" t="inlineStr">
        <is>
          <t>0304 0303</t>
        </is>
      </c>
      <c r="I261" s="2" t="n">
        <v>1</v>
      </c>
      <c r="J261" s="2" t="inlineStr">
        <is>
          <t>skb-eval-80103-c5020</t>
        </is>
      </c>
      <c r="K261" s="2" t="n">
        <v>309</v>
      </c>
      <c r="L261" s="2" t="n">
        <v>771</v>
      </c>
      <c r="M261" s="2" t="n">
        <v>309</v>
      </c>
      <c r="N261" s="2" t="b">
        <v>1</v>
      </c>
      <c r="O261" s="2" t="b">
        <v>1</v>
      </c>
      <c r="P261" s="2" t="inlineStr">
        <is>
          <t>1302 1303 1301 c02c c030 009f cca9 cca8 ccaa c02b c02f 009e c024 c028 006b c023 c027 0067 c00a c014 0039 c009 c013 0033 009d 009c 003d 003c 0035 002f</t>
        </is>
      </c>
      <c r="Q261" s="2" t="inlineStr">
        <is>
          <t>0304 0303</t>
        </is>
      </c>
      <c r="R261" s="2" t="inlineStr">
        <is>
          <t>allow</t>
        </is>
      </c>
      <c r="S261" s="2" t="inlineStr">
        <is>
          <t>allow</t>
        </is>
      </c>
      <c r="T261" s="2">
        <f>K261=E261</f>
        <v/>
      </c>
      <c r="U261" s="2">
        <f>L261=F261</f>
        <v/>
      </c>
      <c r="V261" s="2">
        <f>IF(N261,EXACT(P261,G261),"")</f>
        <v/>
      </c>
      <c r="W261" s="2">
        <f>IF(O261,EXACT(Q261,H261),"")</f>
        <v/>
      </c>
      <c r="X261" s="2">
        <f>J261=C261</f>
        <v/>
      </c>
      <c r="Y261" s="2">
        <f>IF(R261="unknown","",R261=S261)</f>
        <v/>
      </c>
      <c r="Z261" s="2" t="inlineStr">
        <is>
          <t>A</t>
        </is>
      </c>
      <c r="AA261" s="2" t="inlineStr">
        <is>
          <t>A</t>
        </is>
      </c>
      <c r="AB261" s="2">
        <f>AND(N261,O261,A261&lt;&gt;"census-mixed")</f>
        <v/>
      </c>
      <c r="AC261" s="2">
        <f>IF(AB261,Z261=AA261,"")</f>
        <v/>
      </c>
    </row>
    <row r="262">
      <c r="A262" s="2" t="inlineStr">
        <is>
          <t>census-mixed</t>
        </is>
      </c>
      <c r="B262" s="2" t="inlineStr">
        <is>
          <t>openssl secp256r1 only (classical)</t>
        </is>
      </c>
      <c r="C262" s="2" t="inlineStr">
        <is>
          <t>skb-eval-80103-c5021</t>
        </is>
      </c>
      <c r="D262" s="2" t="n">
        <v>5021</v>
      </c>
      <c r="E262" s="2" t="n">
        <v>342</v>
      </c>
      <c r="F262" s="2" t="n">
        <v>771</v>
      </c>
      <c r="G262" s="2" t="inlineStr">
        <is>
          <t>1302 1303 1301 c02c c030 009f cca9 cca8 ccaa c02b c02f 009e c024 c028 006b c023 c027 0067 c00a c014 0039 c009 c013 0033 009d 009c 003d 003c 0035 002f</t>
        </is>
      </c>
      <c r="H262" s="2" t="inlineStr">
        <is>
          <t>0304 0303</t>
        </is>
      </c>
      <c r="I262" s="2" t="n">
        <v>1</v>
      </c>
      <c r="J262" s="2" t="inlineStr">
        <is>
          <t>skb-eval-80103-c5021</t>
        </is>
      </c>
      <c r="K262" s="2" t="n">
        <v>342</v>
      </c>
      <c r="L262" s="2" t="n">
        <v>771</v>
      </c>
      <c r="M262" s="2" t="n">
        <v>342</v>
      </c>
      <c r="N262" s="2" t="b">
        <v>1</v>
      </c>
      <c r="O262" s="2" t="b">
        <v>1</v>
      </c>
      <c r="P262" s="2" t="inlineStr">
        <is>
          <t>1302 1303 1301 c02c c030 009f cca9 cca8 ccaa c02b c02f 009e c024 c028 006b c023 c027 0067 c00a c014 0039 c009 c013 0033 009d 009c 003d 003c 0035 002f</t>
        </is>
      </c>
      <c r="Q262" s="2" t="inlineStr">
        <is>
          <t>0304 0303</t>
        </is>
      </c>
      <c r="R262" s="2" t="inlineStr">
        <is>
          <t>allow</t>
        </is>
      </c>
      <c r="S262" s="2" t="inlineStr">
        <is>
          <t>allow</t>
        </is>
      </c>
      <c r="T262" s="2">
        <f>K262=E262</f>
        <v/>
      </c>
      <c r="U262" s="2">
        <f>L262=F262</f>
        <v/>
      </c>
      <c r="V262" s="2">
        <f>IF(N262,EXACT(P262,G262),"")</f>
        <v/>
      </c>
      <c r="W262" s="2">
        <f>IF(O262,EXACT(Q262,H262),"")</f>
        <v/>
      </c>
      <c r="X262" s="2">
        <f>J262=C262</f>
        <v/>
      </c>
      <c r="Y262" s="2">
        <f>IF(R262="unknown","",R262=S262)</f>
        <v/>
      </c>
      <c r="Z262" s="2" t="inlineStr">
        <is>
          <t>A</t>
        </is>
      </c>
      <c r="AA262" s="2" t="inlineStr">
        <is>
          <t>A</t>
        </is>
      </c>
      <c r="AB262" s="2">
        <f>AND(N262,O262,A262&lt;&gt;"census-mixed")</f>
        <v/>
      </c>
      <c r="AC262" s="2">
        <f>IF(AB262,Z262=AA262,"")</f>
        <v/>
      </c>
    </row>
    <row r="263">
      <c r="A263" s="2" t="inlineStr">
        <is>
          <t>census-mixed</t>
        </is>
      </c>
      <c r="B263" s="2" t="inlineStr">
        <is>
          <t>openssl secp256r1 only (classical)</t>
        </is>
      </c>
      <c r="C263" s="2" t="inlineStr">
        <is>
          <t>skb-eval-80103-c5022</t>
        </is>
      </c>
      <c r="D263" s="2" t="n">
        <v>5022</v>
      </c>
      <c r="E263" s="2" t="n">
        <v>342</v>
      </c>
      <c r="F263" s="2" t="n">
        <v>771</v>
      </c>
      <c r="G263" s="2" t="inlineStr">
        <is>
          <t>1302 1303 1301 c02c c030 009f cca9 cca8 ccaa c02b c02f 009e c024 c028 006b c023 c027 0067 c00a c014 0039 c009 c013 0033 009d 009c 003d 003c 0035 002f</t>
        </is>
      </c>
      <c r="H263" s="2" t="inlineStr">
        <is>
          <t>0304 0303</t>
        </is>
      </c>
      <c r="I263" s="2" t="n">
        <v>1</v>
      </c>
      <c r="J263" s="2" t="inlineStr">
        <is>
          <t>skb-eval-80103-c5022</t>
        </is>
      </c>
      <c r="K263" s="2" t="n">
        <v>342</v>
      </c>
      <c r="L263" s="2" t="n">
        <v>771</v>
      </c>
      <c r="M263" s="2" t="n">
        <v>342</v>
      </c>
      <c r="N263" s="2" t="b">
        <v>1</v>
      </c>
      <c r="O263" s="2" t="b">
        <v>1</v>
      </c>
      <c r="P263" s="2" t="inlineStr">
        <is>
          <t>1302 1303 1301 c02c c030 009f cca9 cca8 ccaa c02b c02f 009e c024 c028 006b c023 c027 0067 c00a c014 0039 c009 c013 0033 009d 009c 003d 003c 0035 002f</t>
        </is>
      </c>
      <c r="Q263" s="2" t="inlineStr">
        <is>
          <t>0304 0303</t>
        </is>
      </c>
      <c r="R263" s="2" t="inlineStr">
        <is>
          <t>allow</t>
        </is>
      </c>
      <c r="S263" s="2" t="inlineStr">
        <is>
          <t>allow</t>
        </is>
      </c>
      <c r="T263" s="2">
        <f>K263=E263</f>
        <v/>
      </c>
      <c r="U263" s="2">
        <f>L263=F263</f>
        <v/>
      </c>
      <c r="V263" s="2">
        <f>IF(N263,EXACT(P263,G263),"")</f>
        <v/>
      </c>
      <c r="W263" s="2">
        <f>IF(O263,EXACT(Q263,H263),"")</f>
        <v/>
      </c>
      <c r="X263" s="2">
        <f>J263=C263</f>
        <v/>
      </c>
      <c r="Y263" s="2">
        <f>IF(R263="unknown","",R263=S263)</f>
        <v/>
      </c>
      <c r="Z263" s="2" t="inlineStr">
        <is>
          <t>A</t>
        </is>
      </c>
      <c r="AA263" s="2" t="inlineStr">
        <is>
          <t>A</t>
        </is>
      </c>
      <c r="AB263" s="2">
        <f>AND(N263,O263,A263&lt;&gt;"census-mixed")</f>
        <v/>
      </c>
      <c r="AC263" s="2">
        <f>IF(AB263,Z263=AA263,"")</f>
        <v/>
      </c>
    </row>
    <row r="264">
      <c r="A264" s="2" t="inlineStr">
        <is>
          <t>census-mixed</t>
        </is>
      </c>
      <c r="B264" s="2" t="inlineStr">
        <is>
          <t>openssl secp256r1 only (classical)</t>
        </is>
      </c>
      <c r="C264" s="2" t="inlineStr">
        <is>
          <t>skb-eval-80103-c5023</t>
        </is>
      </c>
      <c r="D264" s="2" t="n">
        <v>5023</v>
      </c>
      <c r="E264" s="2" t="n">
        <v>342</v>
      </c>
      <c r="F264" s="2" t="n">
        <v>771</v>
      </c>
      <c r="G264" s="2" t="inlineStr">
        <is>
          <t>1302 1303 1301 c02c c030 009f cca9 cca8 ccaa c02b c02f 009e c024 c028 006b c023 c027 0067 c00a c014 0039 c009 c013 0033 009d 009c 003d 003c 0035 002f</t>
        </is>
      </c>
      <c r="H264" s="2" t="inlineStr">
        <is>
          <t>0304 0303</t>
        </is>
      </c>
      <c r="I264" s="2" t="n">
        <v>1</v>
      </c>
      <c r="J264" s="2" t="inlineStr">
        <is>
          <t>skb-eval-80103-c5023</t>
        </is>
      </c>
      <c r="K264" s="2" t="n">
        <v>342</v>
      </c>
      <c r="L264" s="2" t="n">
        <v>771</v>
      </c>
      <c r="M264" s="2" t="n">
        <v>342</v>
      </c>
      <c r="N264" s="2" t="b">
        <v>1</v>
      </c>
      <c r="O264" s="2" t="b">
        <v>1</v>
      </c>
      <c r="P264" s="2" t="inlineStr">
        <is>
          <t>1302 1303 1301 c02c c030 009f cca9 cca8 ccaa c02b c02f 009e c024 c028 006b c023 c027 0067 c00a c014 0039 c009 c013 0033 009d 009c 003d 003c 0035 002f</t>
        </is>
      </c>
      <c r="Q264" s="2" t="inlineStr">
        <is>
          <t>0304 0303</t>
        </is>
      </c>
      <c r="R264" s="2" t="inlineStr">
        <is>
          <t>allow</t>
        </is>
      </c>
      <c r="S264" s="2" t="inlineStr">
        <is>
          <t>allow</t>
        </is>
      </c>
      <c r="T264" s="2">
        <f>K264=E264</f>
        <v/>
      </c>
      <c r="U264" s="2">
        <f>L264=F264</f>
        <v/>
      </c>
      <c r="V264" s="2">
        <f>IF(N264,EXACT(P264,G264),"")</f>
        <v/>
      </c>
      <c r="W264" s="2">
        <f>IF(O264,EXACT(Q264,H264),"")</f>
        <v/>
      </c>
      <c r="X264" s="2">
        <f>J264=C264</f>
        <v/>
      </c>
      <c r="Y264" s="2">
        <f>IF(R264="unknown","",R264=S264)</f>
        <v/>
      </c>
      <c r="Z264" s="2" t="inlineStr">
        <is>
          <t>A</t>
        </is>
      </c>
      <c r="AA264" s="2" t="inlineStr">
        <is>
          <t>A</t>
        </is>
      </c>
      <c r="AB264" s="2">
        <f>AND(N264,O264,A264&lt;&gt;"census-mixed")</f>
        <v/>
      </c>
      <c r="AC264" s="2">
        <f>IF(AB264,Z264=AA264,"")</f>
        <v/>
      </c>
    </row>
    <row r="265">
      <c r="A265" s="2" t="inlineStr">
        <is>
          <t>census-mixed</t>
        </is>
      </c>
      <c r="B265" s="2" t="inlineStr">
        <is>
          <t>openssl secp256r1 only (classical)</t>
        </is>
      </c>
      <c r="C265" s="2" t="inlineStr">
        <is>
          <t>skb-eval-80103-c5024</t>
        </is>
      </c>
      <c r="D265" s="2" t="n">
        <v>5024</v>
      </c>
      <c r="E265" s="2" t="n">
        <v>342</v>
      </c>
      <c r="F265" s="2" t="n">
        <v>771</v>
      </c>
      <c r="G265" s="2" t="inlineStr">
        <is>
          <t>1302 1303 1301 c02c c030 009f cca9 cca8 ccaa c02b c02f 009e c024 c028 006b c023 c027 0067 c00a c014 0039 c009 c013 0033 009d 009c 003d 003c 0035 002f</t>
        </is>
      </c>
      <c r="H265" s="2" t="inlineStr">
        <is>
          <t>0304 0303</t>
        </is>
      </c>
      <c r="I265" s="2" t="n">
        <v>1</v>
      </c>
      <c r="J265" s="2" t="inlineStr">
        <is>
          <t>skb-eval-80103-c5024</t>
        </is>
      </c>
      <c r="K265" s="2" t="n">
        <v>342</v>
      </c>
      <c r="L265" s="2" t="n">
        <v>771</v>
      </c>
      <c r="M265" s="2" t="n">
        <v>342</v>
      </c>
      <c r="N265" s="2" t="b">
        <v>1</v>
      </c>
      <c r="O265" s="2" t="b">
        <v>1</v>
      </c>
      <c r="P265" s="2" t="inlineStr">
        <is>
          <t>1302 1303 1301 c02c c030 009f cca9 cca8 ccaa c02b c02f 009e c024 c028 006b c023 c027 0067 c00a c014 0039 c009 c013 0033 009d 009c 003d 003c 0035 002f</t>
        </is>
      </c>
      <c r="Q265" s="2" t="inlineStr">
        <is>
          <t>0304 0303</t>
        </is>
      </c>
      <c r="R265" s="2" t="inlineStr">
        <is>
          <t>allow</t>
        </is>
      </c>
      <c r="S265" s="2" t="inlineStr">
        <is>
          <t>allow</t>
        </is>
      </c>
      <c r="T265" s="2">
        <f>K265=E265</f>
        <v/>
      </c>
      <c r="U265" s="2">
        <f>L265=F265</f>
        <v/>
      </c>
      <c r="V265" s="2">
        <f>IF(N265,EXACT(P265,G265),"")</f>
        <v/>
      </c>
      <c r="W265" s="2">
        <f>IF(O265,EXACT(Q265,H265),"")</f>
        <v/>
      </c>
      <c r="X265" s="2">
        <f>J265=C265</f>
        <v/>
      </c>
      <c r="Y265" s="2">
        <f>IF(R265="unknown","",R265=S265)</f>
        <v/>
      </c>
      <c r="Z265" s="2" t="inlineStr">
        <is>
          <t>A</t>
        </is>
      </c>
      <c r="AA265" s="2" t="inlineStr">
        <is>
          <t>A</t>
        </is>
      </c>
      <c r="AB265" s="2">
        <f>AND(N265,O265,A265&lt;&gt;"census-mixed")</f>
        <v/>
      </c>
      <c r="AC265" s="2">
        <f>IF(AB265,Z265=AA265,"")</f>
        <v/>
      </c>
    </row>
    <row r="266">
      <c r="A266" s="2" t="inlineStr">
        <is>
          <t>census-mixed</t>
        </is>
      </c>
      <c r="B266" s="2" t="inlineStr">
        <is>
          <t>openssl secp256r1 only (classical)</t>
        </is>
      </c>
      <c r="C266" s="2" t="inlineStr">
        <is>
          <t>skb-eval-80103-c5025</t>
        </is>
      </c>
      <c r="D266" s="2" t="n">
        <v>5025</v>
      </c>
      <c r="E266" s="2" t="n">
        <v>342</v>
      </c>
      <c r="F266" s="2" t="n">
        <v>771</v>
      </c>
      <c r="G266" s="2" t="inlineStr">
        <is>
          <t>1302 1303 1301 c02c c030 009f cca9 cca8 ccaa c02b c02f 009e c024 c028 006b c023 c027 0067 c00a c014 0039 c009 c013 0033 009d 009c 003d 003c 0035 002f</t>
        </is>
      </c>
      <c r="H266" s="2" t="inlineStr">
        <is>
          <t>0304 0303</t>
        </is>
      </c>
      <c r="I266" s="2" t="n">
        <v>1</v>
      </c>
      <c r="J266" s="2" t="inlineStr">
        <is>
          <t>skb-eval-80103-c5025</t>
        </is>
      </c>
      <c r="K266" s="2" t="n">
        <v>342</v>
      </c>
      <c r="L266" s="2" t="n">
        <v>771</v>
      </c>
      <c r="M266" s="2" t="n">
        <v>342</v>
      </c>
      <c r="N266" s="2" t="b">
        <v>1</v>
      </c>
      <c r="O266" s="2" t="b">
        <v>1</v>
      </c>
      <c r="P266" s="2" t="inlineStr">
        <is>
          <t>1302 1303 1301 c02c c030 009f cca9 cca8 ccaa c02b c02f 009e c024 c028 006b c023 c027 0067 c00a c014 0039 c009 c013 0033 009d 009c 003d 003c 0035 002f</t>
        </is>
      </c>
      <c r="Q266" s="2" t="inlineStr">
        <is>
          <t>0304 0303</t>
        </is>
      </c>
      <c r="R266" s="2" t="inlineStr">
        <is>
          <t>allow</t>
        </is>
      </c>
      <c r="S266" s="2" t="inlineStr">
        <is>
          <t>allow</t>
        </is>
      </c>
      <c r="T266" s="2">
        <f>K266=E266</f>
        <v/>
      </c>
      <c r="U266" s="2">
        <f>L266=F266</f>
        <v/>
      </c>
      <c r="V266" s="2">
        <f>IF(N266,EXACT(P266,G266),"")</f>
        <v/>
      </c>
      <c r="W266" s="2">
        <f>IF(O266,EXACT(Q266,H266),"")</f>
        <v/>
      </c>
      <c r="X266" s="2">
        <f>J266=C266</f>
        <v/>
      </c>
      <c r="Y266" s="2">
        <f>IF(R266="unknown","",R266=S266)</f>
        <v/>
      </c>
      <c r="Z266" s="2" t="inlineStr">
        <is>
          <t>A</t>
        </is>
      </c>
      <c r="AA266" s="2" t="inlineStr">
        <is>
          <t>A</t>
        </is>
      </c>
      <c r="AB266" s="2">
        <f>AND(N266,O266,A266&lt;&gt;"census-mixed")</f>
        <v/>
      </c>
      <c r="AC266" s="2">
        <f>IF(AB266,Z266=AA266,"")</f>
        <v/>
      </c>
    </row>
    <row r="267">
      <c r="A267" s="2" t="inlineStr">
        <is>
          <t>census-mixed</t>
        </is>
      </c>
      <c r="B267" s="2" t="inlineStr">
        <is>
          <t>openssl secp256r1 only (classical)</t>
        </is>
      </c>
      <c r="C267" s="2" t="inlineStr">
        <is>
          <t>skb-eval-80103-c5026</t>
        </is>
      </c>
      <c r="D267" s="2" t="n">
        <v>5026</v>
      </c>
      <c r="E267" s="2" t="n">
        <v>342</v>
      </c>
      <c r="F267" s="2" t="n">
        <v>771</v>
      </c>
      <c r="G267" s="2" t="inlineStr">
        <is>
          <t>1302 1303 1301 c02c c030 009f cca9 cca8 ccaa c02b c02f 009e c024 c028 006b c023 c027 0067 c00a c014 0039 c009 c013 0033 009d 009c 003d 003c 0035 002f</t>
        </is>
      </c>
      <c r="H267" s="2" t="inlineStr">
        <is>
          <t>0304 0303</t>
        </is>
      </c>
      <c r="I267" s="2" t="n">
        <v>1</v>
      </c>
      <c r="J267" s="2" t="inlineStr">
        <is>
          <t>skb-eval-80103-c5026</t>
        </is>
      </c>
      <c r="K267" s="2" t="n">
        <v>342</v>
      </c>
      <c r="L267" s="2" t="n">
        <v>771</v>
      </c>
      <c r="M267" s="2" t="n">
        <v>342</v>
      </c>
      <c r="N267" s="2" t="b">
        <v>1</v>
      </c>
      <c r="O267" s="2" t="b">
        <v>1</v>
      </c>
      <c r="P267" s="2" t="inlineStr">
        <is>
          <t>1302 1303 1301 c02c c030 009f cca9 cca8 ccaa c02b c02f 009e c024 c028 006b c023 c027 0067 c00a c014 0039 c009 c013 0033 009d 009c 003d 003c 0035 002f</t>
        </is>
      </c>
      <c r="Q267" s="2" t="inlineStr">
        <is>
          <t>0304 0303</t>
        </is>
      </c>
      <c r="R267" s="2" t="inlineStr">
        <is>
          <t>allow</t>
        </is>
      </c>
      <c r="S267" s="2" t="inlineStr">
        <is>
          <t>allow</t>
        </is>
      </c>
      <c r="T267" s="2">
        <f>K267=E267</f>
        <v/>
      </c>
      <c r="U267" s="2">
        <f>L267=F267</f>
        <v/>
      </c>
      <c r="V267" s="2">
        <f>IF(N267,EXACT(P267,G267),"")</f>
        <v/>
      </c>
      <c r="W267" s="2">
        <f>IF(O267,EXACT(Q267,H267),"")</f>
        <v/>
      </c>
      <c r="X267" s="2">
        <f>J267=C267</f>
        <v/>
      </c>
      <c r="Y267" s="2">
        <f>IF(R267="unknown","",R267=S267)</f>
        <v/>
      </c>
      <c r="Z267" s="2" t="inlineStr">
        <is>
          <t>A</t>
        </is>
      </c>
      <c r="AA267" s="2" t="inlineStr">
        <is>
          <t>A</t>
        </is>
      </c>
      <c r="AB267" s="2">
        <f>AND(N267,O267,A267&lt;&gt;"census-mixed")</f>
        <v/>
      </c>
      <c r="AC267" s="2">
        <f>IF(AB267,Z267=AA267,"")</f>
        <v/>
      </c>
    </row>
    <row r="268">
      <c r="A268" s="2" t="inlineStr">
        <is>
          <t>census-mixed</t>
        </is>
      </c>
      <c r="B268" s="2" t="inlineStr">
        <is>
          <t>openssl secp256r1 only (classical)</t>
        </is>
      </c>
      <c r="C268" s="2" t="inlineStr">
        <is>
          <t>skb-eval-80103-c5027</t>
        </is>
      </c>
      <c r="D268" s="2" t="n">
        <v>5027</v>
      </c>
      <c r="E268" s="2" t="n">
        <v>342</v>
      </c>
      <c r="F268" s="2" t="n">
        <v>771</v>
      </c>
      <c r="G268" s="2" t="inlineStr">
        <is>
          <t>1302 1303 1301 c02c c030 009f cca9 cca8 ccaa c02b c02f 009e c024 c028 006b c023 c027 0067 c00a c014 0039 c009 c013 0033 009d 009c 003d 003c 0035 002f</t>
        </is>
      </c>
      <c r="H268" s="2" t="inlineStr">
        <is>
          <t>0304 0303</t>
        </is>
      </c>
      <c r="I268" s="2" t="n">
        <v>1</v>
      </c>
      <c r="J268" s="2" t="inlineStr">
        <is>
          <t>skb-eval-80103-c5027</t>
        </is>
      </c>
      <c r="K268" s="2" t="n">
        <v>342</v>
      </c>
      <c r="L268" s="2" t="n">
        <v>771</v>
      </c>
      <c r="M268" s="2" t="n">
        <v>342</v>
      </c>
      <c r="N268" s="2" t="b">
        <v>1</v>
      </c>
      <c r="O268" s="2" t="b">
        <v>1</v>
      </c>
      <c r="P268" s="2" t="inlineStr">
        <is>
          <t>1302 1303 1301 c02c c030 009f cca9 cca8 ccaa c02b c02f 009e c024 c028 006b c023 c027 0067 c00a c014 0039 c009 c013 0033 009d 009c 003d 003c 0035 002f</t>
        </is>
      </c>
      <c r="Q268" s="2" t="inlineStr">
        <is>
          <t>0304 0303</t>
        </is>
      </c>
      <c r="R268" s="2" t="inlineStr">
        <is>
          <t>allow</t>
        </is>
      </c>
      <c r="S268" s="2" t="inlineStr">
        <is>
          <t>allow</t>
        </is>
      </c>
      <c r="T268" s="2">
        <f>K268=E268</f>
        <v/>
      </c>
      <c r="U268" s="2">
        <f>L268=F268</f>
        <v/>
      </c>
      <c r="V268" s="2">
        <f>IF(N268,EXACT(P268,G268),"")</f>
        <v/>
      </c>
      <c r="W268" s="2">
        <f>IF(O268,EXACT(Q268,H268),"")</f>
        <v/>
      </c>
      <c r="X268" s="2">
        <f>J268=C268</f>
        <v/>
      </c>
      <c r="Y268" s="2">
        <f>IF(R268="unknown","",R268=S268)</f>
        <v/>
      </c>
      <c r="Z268" s="2" t="inlineStr">
        <is>
          <t>A</t>
        </is>
      </c>
      <c r="AA268" s="2" t="inlineStr">
        <is>
          <t>A</t>
        </is>
      </c>
      <c r="AB268" s="2">
        <f>AND(N268,O268,A268&lt;&gt;"census-mixed")</f>
        <v/>
      </c>
      <c r="AC268" s="2">
        <f>IF(AB268,Z268=AA268,"")</f>
        <v/>
      </c>
    </row>
    <row r="269">
      <c r="A269" s="2" t="inlineStr">
        <is>
          <t>census-mixed</t>
        </is>
      </c>
      <c r="B269" s="2" t="inlineStr">
        <is>
          <t>openssl secp256r1 only (classical)</t>
        </is>
      </c>
      <c r="C269" s="2" t="inlineStr">
        <is>
          <t>skb-eval-80103-c5028</t>
        </is>
      </c>
      <c r="D269" s="2" t="n">
        <v>5028</v>
      </c>
      <c r="E269" s="2" t="n">
        <v>342</v>
      </c>
      <c r="F269" s="2" t="n">
        <v>771</v>
      </c>
      <c r="G269" s="2" t="inlineStr">
        <is>
          <t>1302 1303 1301 c02c c030 009f cca9 cca8 ccaa c02b c02f 009e c024 c028 006b c023 c027 0067 c00a c014 0039 c009 c013 0033 009d 009c 003d 003c 0035 002f</t>
        </is>
      </c>
      <c r="H269" s="2" t="inlineStr">
        <is>
          <t>0304 0303</t>
        </is>
      </c>
      <c r="I269" s="2" t="n">
        <v>1</v>
      </c>
      <c r="J269" s="2" t="inlineStr">
        <is>
          <t>skb-eval-80103-c5028</t>
        </is>
      </c>
      <c r="K269" s="2" t="n">
        <v>342</v>
      </c>
      <c r="L269" s="2" t="n">
        <v>771</v>
      </c>
      <c r="M269" s="2" t="n">
        <v>342</v>
      </c>
      <c r="N269" s="2" t="b">
        <v>1</v>
      </c>
      <c r="O269" s="2" t="b">
        <v>1</v>
      </c>
      <c r="P269" s="2" t="inlineStr">
        <is>
          <t>1302 1303 1301 c02c c030 009f cca9 cca8 ccaa c02b c02f 009e c024 c028 006b c023 c027 0067 c00a c014 0039 c009 c013 0033 009d 009c 003d 003c 0035 002f</t>
        </is>
      </c>
      <c r="Q269" s="2" t="inlineStr">
        <is>
          <t>0304 0303</t>
        </is>
      </c>
      <c r="R269" s="2" t="inlineStr">
        <is>
          <t>allow</t>
        </is>
      </c>
      <c r="S269" s="2" t="inlineStr">
        <is>
          <t>allow</t>
        </is>
      </c>
      <c r="T269" s="2">
        <f>K269=E269</f>
        <v/>
      </c>
      <c r="U269" s="2">
        <f>L269=F269</f>
        <v/>
      </c>
      <c r="V269" s="2">
        <f>IF(N269,EXACT(P269,G269),"")</f>
        <v/>
      </c>
      <c r="W269" s="2">
        <f>IF(O269,EXACT(Q269,H269),"")</f>
        <v/>
      </c>
      <c r="X269" s="2">
        <f>J269=C269</f>
        <v/>
      </c>
      <c r="Y269" s="2">
        <f>IF(R269="unknown","",R269=S269)</f>
        <v/>
      </c>
      <c r="Z269" s="2" t="inlineStr">
        <is>
          <t>A</t>
        </is>
      </c>
      <c r="AA269" s="2" t="inlineStr">
        <is>
          <t>A</t>
        </is>
      </c>
      <c r="AB269" s="2">
        <f>AND(N269,O269,A269&lt;&gt;"census-mixed")</f>
        <v/>
      </c>
      <c r="AC269" s="2">
        <f>IF(AB269,Z269=AA269,"")</f>
        <v/>
      </c>
    </row>
    <row r="270">
      <c r="A270" s="2" t="inlineStr">
        <is>
          <t>census-mixed</t>
        </is>
      </c>
      <c r="B270" s="2" t="inlineStr">
        <is>
          <t>openssl secp256r1 only (classical)</t>
        </is>
      </c>
      <c r="C270" s="2" t="inlineStr">
        <is>
          <t>skb-eval-80103-c5029</t>
        </is>
      </c>
      <c r="D270" s="2" t="n">
        <v>5029</v>
      </c>
      <c r="E270" s="2" t="n">
        <v>342</v>
      </c>
      <c r="F270" s="2" t="n">
        <v>771</v>
      </c>
      <c r="G270" s="2" t="inlineStr">
        <is>
          <t>1302 1303 1301 c02c c030 009f cca9 cca8 ccaa c02b c02f 009e c024 c028 006b c023 c027 0067 c00a c014 0039 c009 c013 0033 009d 009c 003d 003c 0035 002f</t>
        </is>
      </c>
      <c r="H270" s="2" t="inlineStr">
        <is>
          <t>0304 0303</t>
        </is>
      </c>
      <c r="I270" s="2" t="n">
        <v>1</v>
      </c>
      <c r="J270" s="2" t="inlineStr">
        <is>
          <t>skb-eval-80103-c5029</t>
        </is>
      </c>
      <c r="K270" s="2" t="n">
        <v>342</v>
      </c>
      <c r="L270" s="2" t="n">
        <v>771</v>
      </c>
      <c r="M270" s="2" t="n">
        <v>342</v>
      </c>
      <c r="N270" s="2" t="b">
        <v>1</v>
      </c>
      <c r="O270" s="2" t="b">
        <v>1</v>
      </c>
      <c r="P270" s="2" t="inlineStr">
        <is>
          <t>1302 1303 1301 c02c c030 009f cca9 cca8 ccaa c02b c02f 009e c024 c028 006b c023 c027 0067 c00a c014 0039 c009 c013 0033 009d 009c 003d 003c 0035 002f</t>
        </is>
      </c>
      <c r="Q270" s="2" t="inlineStr">
        <is>
          <t>0304 0303</t>
        </is>
      </c>
      <c r="R270" s="2" t="inlineStr">
        <is>
          <t>allow</t>
        </is>
      </c>
      <c r="S270" s="2" t="inlineStr">
        <is>
          <t>allow</t>
        </is>
      </c>
      <c r="T270" s="2">
        <f>K270=E270</f>
        <v/>
      </c>
      <c r="U270" s="2">
        <f>L270=F270</f>
        <v/>
      </c>
      <c r="V270" s="2">
        <f>IF(N270,EXACT(P270,G270),"")</f>
        <v/>
      </c>
      <c r="W270" s="2">
        <f>IF(O270,EXACT(Q270,H270),"")</f>
        <v/>
      </c>
      <c r="X270" s="2">
        <f>J270=C270</f>
        <v/>
      </c>
      <c r="Y270" s="2">
        <f>IF(R270="unknown","",R270=S270)</f>
        <v/>
      </c>
      <c r="Z270" s="2" t="inlineStr">
        <is>
          <t>A</t>
        </is>
      </c>
      <c r="AA270" s="2" t="inlineStr">
        <is>
          <t>A</t>
        </is>
      </c>
      <c r="AB270" s="2">
        <f>AND(N270,O270,A270&lt;&gt;"census-mixed")</f>
        <v/>
      </c>
      <c r="AC270" s="2">
        <f>IF(AB270,Z270=AA270,"")</f>
        <v/>
      </c>
    </row>
    <row r="271">
      <c r="A271" s="2" t="inlineStr">
        <is>
          <t>census-mixed</t>
        </is>
      </c>
      <c r="B271" s="2" t="inlineStr">
        <is>
          <t>openssl secp256r1 only (classical)</t>
        </is>
      </c>
      <c r="C271" s="2" t="inlineStr">
        <is>
          <t>skb-eval-80103-c5030</t>
        </is>
      </c>
      <c r="D271" s="2" t="n">
        <v>5030</v>
      </c>
      <c r="E271" s="2" t="n">
        <v>342</v>
      </c>
      <c r="F271" s="2" t="n">
        <v>771</v>
      </c>
      <c r="G271" s="2" t="inlineStr">
        <is>
          <t>1302 1303 1301 c02c c030 009f cca9 cca8 ccaa c02b c02f 009e c024 c028 006b c023 c027 0067 c00a c014 0039 c009 c013 0033 009d 009c 003d 003c 0035 002f</t>
        </is>
      </c>
      <c r="H271" s="2" t="inlineStr">
        <is>
          <t>0304 0303</t>
        </is>
      </c>
      <c r="I271" s="2" t="n">
        <v>1</v>
      </c>
      <c r="J271" s="2" t="inlineStr">
        <is>
          <t>skb-eval-80103-c5030</t>
        </is>
      </c>
      <c r="K271" s="2" t="n">
        <v>342</v>
      </c>
      <c r="L271" s="2" t="n">
        <v>771</v>
      </c>
      <c r="M271" s="2" t="n">
        <v>342</v>
      </c>
      <c r="N271" s="2" t="b">
        <v>1</v>
      </c>
      <c r="O271" s="2" t="b">
        <v>1</v>
      </c>
      <c r="P271" s="2" t="inlineStr">
        <is>
          <t>1302 1303 1301 c02c c030 009f cca9 cca8 ccaa c02b c02f 009e c024 c028 006b c023 c027 0067 c00a c014 0039 c009 c013 0033 009d 009c 003d 003c 0035 002f</t>
        </is>
      </c>
      <c r="Q271" s="2" t="inlineStr">
        <is>
          <t>0304 0303</t>
        </is>
      </c>
      <c r="R271" s="2" t="inlineStr">
        <is>
          <t>allow</t>
        </is>
      </c>
      <c r="S271" s="2" t="inlineStr">
        <is>
          <t>allow</t>
        </is>
      </c>
      <c r="T271" s="2">
        <f>K271=E271</f>
        <v/>
      </c>
      <c r="U271" s="2">
        <f>L271=F271</f>
        <v/>
      </c>
      <c r="V271" s="2">
        <f>IF(N271,EXACT(P271,G271),"")</f>
        <v/>
      </c>
      <c r="W271" s="2">
        <f>IF(O271,EXACT(Q271,H271),"")</f>
        <v/>
      </c>
      <c r="X271" s="2">
        <f>J271=C271</f>
        <v/>
      </c>
      <c r="Y271" s="2">
        <f>IF(R271="unknown","",R271=S271)</f>
        <v/>
      </c>
      <c r="Z271" s="2" t="inlineStr">
        <is>
          <t>A</t>
        </is>
      </c>
      <c r="AA271" s="2" t="inlineStr">
        <is>
          <t>A</t>
        </is>
      </c>
      <c r="AB271" s="2">
        <f>AND(N271,O271,A271&lt;&gt;"census-mixed")</f>
        <v/>
      </c>
      <c r="AC271" s="2">
        <f>IF(AB271,Z271=AA271,"")</f>
        <v/>
      </c>
    </row>
    <row r="272">
      <c r="A272" s="2" t="inlineStr">
        <is>
          <t>census-mixed</t>
        </is>
      </c>
      <c r="B272" s="2" t="inlineStr">
        <is>
          <t>openssl X25519MLKEM768 only</t>
        </is>
      </c>
      <c r="C272" s="2" t="inlineStr">
        <is>
          <t>skb-eval-80103-c5031</t>
        </is>
      </c>
      <c r="D272" s="2" t="n">
        <v>5031</v>
      </c>
      <c r="E272" s="2" t="n">
        <v>1485</v>
      </c>
      <c r="F272" s="2" t="n">
        <v>771</v>
      </c>
      <c r="G272" s="2" t="inlineStr">
        <is>
          <t>1302 1303 1301 c02c c030 009f cca9 cca8 ccaa c02b c02f 009e c024 c028 006b c023 c027 0067 c00a c014 0039 c009 c013 0033 009d 009c 003d 003c 0035 002f</t>
        </is>
      </c>
      <c r="H272" s="2" t="inlineStr">
        <is>
          <t>0304 0303</t>
        </is>
      </c>
      <c r="I272" s="2" t="n">
        <v>1</v>
      </c>
      <c r="J272" s="2" t="inlineStr">
        <is>
          <t>skb-eval-80103-c5031</t>
        </is>
      </c>
      <c r="K272" s="2" t="n">
        <v>1485</v>
      </c>
      <c r="L272" s="2" t="n">
        <v>771</v>
      </c>
      <c r="M272" s="2" t="n">
        <v>1443</v>
      </c>
      <c r="N272" s="2" t="b">
        <v>1</v>
      </c>
      <c r="O272" s="2" t="b">
        <v>1</v>
      </c>
      <c r="P272" s="2" t="inlineStr">
        <is>
          <t>1302 1303 1301 c02c c030 009f cca9 cca8 ccaa c02b c02f 009e c024 c028 006b c023 c027 0067 c00a c014 0039 c009 c013 0033 009d 009c 003d 003c 0035 002f</t>
        </is>
      </c>
      <c r="Q272" s="2" t="inlineStr">
        <is>
          <t>0304 0303</t>
        </is>
      </c>
      <c r="R272" s="2" t="inlineStr">
        <is>
          <t>allow</t>
        </is>
      </c>
      <c r="S272" s="2" t="inlineStr">
        <is>
          <t>allow</t>
        </is>
      </c>
      <c r="T272" s="2">
        <f>K272=E272</f>
        <v/>
      </c>
      <c r="U272" s="2">
        <f>L272=F272</f>
        <v/>
      </c>
      <c r="V272" s="2">
        <f>IF(N272,EXACT(P272,G272),"")</f>
        <v/>
      </c>
      <c r="W272" s="2">
        <f>IF(O272,EXACT(Q272,H272),"")</f>
        <v/>
      </c>
      <c r="X272" s="2">
        <f>J272=C272</f>
        <v/>
      </c>
      <c r="Y272" s="2">
        <f>IF(R272="unknown","",R272=S272)</f>
        <v/>
      </c>
      <c r="Z272" s="2" t="inlineStr">
        <is>
          <t>A</t>
        </is>
      </c>
      <c r="AA272" s="2" t="inlineStr">
        <is>
          <t>A</t>
        </is>
      </c>
      <c r="AB272" s="2">
        <f>AND(N272,O272,A272&lt;&gt;"census-mixed")</f>
        <v/>
      </c>
      <c r="AC272" s="2">
        <f>IF(AB272,Z272=AA272,"")</f>
        <v/>
      </c>
    </row>
    <row r="273">
      <c r="A273" s="2" t="inlineStr">
        <is>
          <t>census-mixed</t>
        </is>
      </c>
      <c r="B273" s="2" t="inlineStr">
        <is>
          <t>openssl X25519MLKEM768 only</t>
        </is>
      </c>
      <c r="C273" s="2" t="inlineStr">
        <is>
          <t>skb-eval-80103-c5032</t>
        </is>
      </c>
      <c r="D273" s="2" t="n">
        <v>5032</v>
      </c>
      <c r="E273" s="2" t="n">
        <v>1485</v>
      </c>
      <c r="F273" s="2" t="n">
        <v>771</v>
      </c>
      <c r="G273" s="2" t="inlineStr">
        <is>
          <t>1302 1303 1301 c02c c030 009f cca9 cca8 ccaa c02b c02f 009e c024 c028 006b c023 c027 0067 c00a c014 0039 c009 c013 0033 009d 009c 003d 003c 0035 002f</t>
        </is>
      </c>
      <c r="H273" s="2" t="inlineStr">
        <is>
          <t>0304 0303</t>
        </is>
      </c>
      <c r="I273" s="2" t="n">
        <v>1</v>
      </c>
      <c r="J273" s="2" t="inlineStr">
        <is>
          <t>skb-eval-80103-c5032</t>
        </is>
      </c>
      <c r="K273" s="2" t="n">
        <v>1485</v>
      </c>
      <c r="L273" s="2" t="n">
        <v>771</v>
      </c>
      <c r="M273" s="2" t="n">
        <v>1443</v>
      </c>
      <c r="N273" s="2" t="b">
        <v>1</v>
      </c>
      <c r="O273" s="2" t="b">
        <v>1</v>
      </c>
      <c r="P273" s="2" t="inlineStr">
        <is>
          <t>1302 1303 1301 c02c c030 009f cca9 cca8 ccaa c02b c02f 009e c024 c028 006b c023 c027 0067 c00a c014 0039 c009 c013 0033 009d 009c 003d 003c 0035 002f</t>
        </is>
      </c>
      <c r="Q273" s="2" t="inlineStr">
        <is>
          <t>0304 0303</t>
        </is>
      </c>
      <c r="R273" s="2" t="inlineStr">
        <is>
          <t>allow</t>
        </is>
      </c>
      <c r="S273" s="2" t="inlineStr">
        <is>
          <t>allow</t>
        </is>
      </c>
      <c r="T273" s="2">
        <f>K273=E273</f>
        <v/>
      </c>
      <c r="U273" s="2">
        <f>L273=F273</f>
        <v/>
      </c>
      <c r="V273" s="2">
        <f>IF(N273,EXACT(P273,G273),"")</f>
        <v/>
      </c>
      <c r="W273" s="2">
        <f>IF(O273,EXACT(Q273,H273),"")</f>
        <v/>
      </c>
      <c r="X273" s="2">
        <f>J273=C273</f>
        <v/>
      </c>
      <c r="Y273" s="2">
        <f>IF(R273="unknown","",R273=S273)</f>
        <v/>
      </c>
      <c r="Z273" s="2" t="inlineStr">
        <is>
          <t>A</t>
        </is>
      </c>
      <c r="AA273" s="2" t="inlineStr">
        <is>
          <t>A</t>
        </is>
      </c>
      <c r="AB273" s="2">
        <f>AND(N273,O273,A273&lt;&gt;"census-mixed")</f>
        <v/>
      </c>
      <c r="AC273" s="2">
        <f>IF(AB273,Z273=AA273,"")</f>
        <v/>
      </c>
    </row>
    <row r="274">
      <c r="A274" s="2" t="inlineStr">
        <is>
          <t>census-mixed</t>
        </is>
      </c>
      <c r="B274" s="2" t="inlineStr">
        <is>
          <t>openssl X25519MLKEM768 only</t>
        </is>
      </c>
      <c r="C274" s="2" t="inlineStr">
        <is>
          <t>skb-eval-80103-c5033</t>
        </is>
      </c>
      <c r="D274" s="2" t="n">
        <v>5033</v>
      </c>
      <c r="E274" s="2" t="n">
        <v>1485</v>
      </c>
      <c r="F274" s="2" t="n">
        <v>771</v>
      </c>
      <c r="G274" s="2" t="inlineStr">
        <is>
          <t>1302 1303 1301 c02c c030 009f cca9 cca8 ccaa c02b c02f 009e c024 c028 006b c023 c027 0067 c00a c014 0039 c009 c013 0033 009d 009c 003d 003c 0035 002f</t>
        </is>
      </c>
      <c r="H274" s="2" t="inlineStr">
        <is>
          <t>0304 0303</t>
        </is>
      </c>
      <c r="I274" s="2" t="n">
        <v>1</v>
      </c>
      <c r="J274" s="2" t="inlineStr">
        <is>
          <t>skb-eval-80103-c5033</t>
        </is>
      </c>
      <c r="K274" s="2" t="n">
        <v>1485</v>
      </c>
      <c r="L274" s="2" t="n">
        <v>771</v>
      </c>
      <c r="M274" s="2" t="n">
        <v>1443</v>
      </c>
      <c r="N274" s="2" t="b">
        <v>1</v>
      </c>
      <c r="O274" s="2" t="b">
        <v>1</v>
      </c>
      <c r="P274" s="2" t="inlineStr">
        <is>
          <t>1302 1303 1301 c02c c030 009f cca9 cca8 ccaa c02b c02f 009e c024 c028 006b c023 c027 0067 c00a c014 0039 c009 c013 0033 009d 009c 003d 003c 0035 002f</t>
        </is>
      </c>
      <c r="Q274" s="2" t="inlineStr">
        <is>
          <t>0304 0303</t>
        </is>
      </c>
      <c r="R274" s="2" t="inlineStr">
        <is>
          <t>allow</t>
        </is>
      </c>
      <c r="S274" s="2" t="inlineStr">
        <is>
          <t>allow</t>
        </is>
      </c>
      <c r="T274" s="2">
        <f>K274=E274</f>
        <v/>
      </c>
      <c r="U274" s="2">
        <f>L274=F274</f>
        <v/>
      </c>
      <c r="V274" s="2">
        <f>IF(N274,EXACT(P274,G274),"")</f>
        <v/>
      </c>
      <c r="W274" s="2">
        <f>IF(O274,EXACT(Q274,H274),"")</f>
        <v/>
      </c>
      <c r="X274" s="2">
        <f>J274=C274</f>
        <v/>
      </c>
      <c r="Y274" s="2">
        <f>IF(R274="unknown","",R274=S274)</f>
        <v/>
      </c>
      <c r="Z274" s="2" t="inlineStr">
        <is>
          <t>A</t>
        </is>
      </c>
      <c r="AA274" s="2" t="inlineStr">
        <is>
          <t>A</t>
        </is>
      </c>
      <c r="AB274" s="2">
        <f>AND(N274,O274,A274&lt;&gt;"census-mixed")</f>
        <v/>
      </c>
      <c r="AC274" s="2">
        <f>IF(AB274,Z274=AA274,"")</f>
        <v/>
      </c>
    </row>
    <row r="275">
      <c r="A275" s="2" t="inlineStr">
        <is>
          <t>census-mixed</t>
        </is>
      </c>
      <c r="B275" s="2" t="inlineStr">
        <is>
          <t>openssl X25519MLKEM768 only</t>
        </is>
      </c>
      <c r="C275" s="2" t="inlineStr">
        <is>
          <t>skb-eval-80103-c5034</t>
        </is>
      </c>
      <c r="D275" s="2" t="n">
        <v>5034</v>
      </c>
      <c r="E275" s="2" t="n">
        <v>1485</v>
      </c>
      <c r="F275" s="2" t="n">
        <v>771</v>
      </c>
      <c r="G275" s="2" t="inlineStr">
        <is>
          <t>1302 1303 1301 c02c c030 009f cca9 cca8 ccaa c02b c02f 009e c024 c028 006b c023 c027 0067 c00a c014 0039 c009 c013 0033 009d 009c 003d 003c 0035 002f</t>
        </is>
      </c>
      <c r="H275" s="2" t="inlineStr">
        <is>
          <t>0304 0303</t>
        </is>
      </c>
      <c r="I275" s="2" t="n">
        <v>1</v>
      </c>
      <c r="J275" s="2" t="inlineStr">
        <is>
          <t>skb-eval-80103-c5034</t>
        </is>
      </c>
      <c r="K275" s="2" t="n">
        <v>1485</v>
      </c>
      <c r="L275" s="2" t="n">
        <v>771</v>
      </c>
      <c r="M275" s="2" t="n">
        <v>1443</v>
      </c>
      <c r="N275" s="2" t="b">
        <v>1</v>
      </c>
      <c r="O275" s="2" t="b">
        <v>1</v>
      </c>
      <c r="P275" s="2" t="inlineStr">
        <is>
          <t>1302 1303 1301 c02c c030 009f cca9 cca8 ccaa c02b c02f 009e c024 c028 006b c023 c027 0067 c00a c014 0039 c009 c013 0033 009d 009c 003d 003c 0035 002f</t>
        </is>
      </c>
      <c r="Q275" s="2" t="inlineStr">
        <is>
          <t>0304 0303</t>
        </is>
      </c>
      <c r="R275" s="2" t="inlineStr">
        <is>
          <t>allow</t>
        </is>
      </c>
      <c r="S275" s="2" t="inlineStr">
        <is>
          <t>allow</t>
        </is>
      </c>
      <c r="T275" s="2">
        <f>K275=E275</f>
        <v/>
      </c>
      <c r="U275" s="2">
        <f>L275=F275</f>
        <v/>
      </c>
      <c r="V275" s="2">
        <f>IF(N275,EXACT(P275,G275),"")</f>
        <v/>
      </c>
      <c r="W275" s="2">
        <f>IF(O275,EXACT(Q275,H275),"")</f>
        <v/>
      </c>
      <c r="X275" s="2">
        <f>J275=C275</f>
        <v/>
      </c>
      <c r="Y275" s="2">
        <f>IF(R275="unknown","",R275=S275)</f>
        <v/>
      </c>
      <c r="Z275" s="2" t="inlineStr">
        <is>
          <t>A</t>
        </is>
      </c>
      <c r="AA275" s="2" t="inlineStr">
        <is>
          <t>A</t>
        </is>
      </c>
      <c r="AB275" s="2">
        <f>AND(N275,O275,A275&lt;&gt;"census-mixed")</f>
        <v/>
      </c>
      <c r="AC275" s="2">
        <f>IF(AB275,Z275=AA275,"")</f>
        <v/>
      </c>
    </row>
    <row r="276">
      <c r="A276" s="2" t="inlineStr">
        <is>
          <t>census-mixed</t>
        </is>
      </c>
      <c r="B276" s="2" t="inlineStr">
        <is>
          <t>openssl X25519MLKEM768 only</t>
        </is>
      </c>
      <c r="C276" s="2" t="inlineStr">
        <is>
          <t>skb-eval-80103-c5035</t>
        </is>
      </c>
      <c r="D276" s="2" t="n">
        <v>5035</v>
      </c>
      <c r="E276" s="2" t="n">
        <v>1485</v>
      </c>
      <c r="F276" s="2" t="n">
        <v>771</v>
      </c>
      <c r="G276" s="2" t="inlineStr">
        <is>
          <t>1302 1303 1301 c02c c030 009f cca9 cca8 ccaa c02b c02f 009e c024 c028 006b c023 c027 0067 c00a c014 0039 c009 c013 0033 009d 009c 003d 003c 0035 002f</t>
        </is>
      </c>
      <c r="H276" s="2" t="inlineStr">
        <is>
          <t>0304 0303</t>
        </is>
      </c>
      <c r="I276" s="2" t="n">
        <v>1</v>
      </c>
      <c r="J276" s="2" t="inlineStr">
        <is>
          <t>skb-eval-80103-c5035</t>
        </is>
      </c>
      <c r="K276" s="2" t="n">
        <v>1485</v>
      </c>
      <c r="L276" s="2" t="n">
        <v>771</v>
      </c>
      <c r="M276" s="2" t="n">
        <v>1443</v>
      </c>
      <c r="N276" s="2" t="b">
        <v>1</v>
      </c>
      <c r="O276" s="2" t="b">
        <v>1</v>
      </c>
      <c r="P276" s="2" t="inlineStr">
        <is>
          <t>1302 1303 1301 c02c c030 009f cca9 cca8 ccaa c02b c02f 009e c024 c028 006b c023 c027 0067 c00a c014 0039 c009 c013 0033 009d 009c 003d 003c 0035 002f</t>
        </is>
      </c>
      <c r="Q276" s="2" t="inlineStr">
        <is>
          <t>0304 0303</t>
        </is>
      </c>
      <c r="R276" s="2" t="inlineStr">
        <is>
          <t>allow</t>
        </is>
      </c>
      <c r="S276" s="2" t="inlineStr">
        <is>
          <t>allow</t>
        </is>
      </c>
      <c r="T276" s="2">
        <f>K276=E276</f>
        <v/>
      </c>
      <c r="U276" s="2">
        <f>L276=F276</f>
        <v/>
      </c>
      <c r="V276" s="2">
        <f>IF(N276,EXACT(P276,G276),"")</f>
        <v/>
      </c>
      <c r="W276" s="2">
        <f>IF(O276,EXACT(Q276,H276),"")</f>
        <v/>
      </c>
      <c r="X276" s="2">
        <f>J276=C276</f>
        <v/>
      </c>
      <c r="Y276" s="2">
        <f>IF(R276="unknown","",R276=S276)</f>
        <v/>
      </c>
      <c r="Z276" s="2" t="inlineStr">
        <is>
          <t>A</t>
        </is>
      </c>
      <c r="AA276" s="2" t="inlineStr">
        <is>
          <t>A</t>
        </is>
      </c>
      <c r="AB276" s="2">
        <f>AND(N276,O276,A276&lt;&gt;"census-mixed")</f>
        <v/>
      </c>
      <c r="AC276" s="2">
        <f>IF(AB276,Z276=AA276,"")</f>
        <v/>
      </c>
    </row>
    <row r="277">
      <c r="A277" s="2" t="inlineStr">
        <is>
          <t>census-mixed</t>
        </is>
      </c>
      <c r="B277" s="2" t="inlineStr">
        <is>
          <t>openssl X25519MLKEM768 only</t>
        </is>
      </c>
      <c r="C277" s="2" t="inlineStr">
        <is>
          <t>skb-eval-80103-c5036</t>
        </is>
      </c>
      <c r="D277" s="2" t="n">
        <v>5036</v>
      </c>
      <c r="E277" s="2" t="n">
        <v>1485</v>
      </c>
      <c r="F277" s="2" t="n">
        <v>771</v>
      </c>
      <c r="G277" s="2" t="inlineStr">
        <is>
          <t>1302 1303 1301 c02c c030 009f cca9 cca8 ccaa c02b c02f 009e c024 c028 006b c023 c027 0067 c00a c014 0039 c009 c013 0033 009d 009c 003d 003c 0035 002f</t>
        </is>
      </c>
      <c r="H277" s="2" t="inlineStr">
        <is>
          <t>0304 0303</t>
        </is>
      </c>
      <c r="I277" s="2" t="n">
        <v>1</v>
      </c>
      <c r="J277" s="2" t="inlineStr">
        <is>
          <t>skb-eval-80103-c5036</t>
        </is>
      </c>
      <c r="K277" s="2" t="n">
        <v>1485</v>
      </c>
      <c r="L277" s="2" t="n">
        <v>771</v>
      </c>
      <c r="M277" s="2" t="n">
        <v>1443</v>
      </c>
      <c r="N277" s="2" t="b">
        <v>1</v>
      </c>
      <c r="O277" s="2" t="b">
        <v>1</v>
      </c>
      <c r="P277" s="2" t="inlineStr">
        <is>
          <t>1302 1303 1301 c02c c030 009f cca9 cca8 ccaa c02b c02f 009e c024 c028 006b c023 c027 0067 c00a c014 0039 c009 c013 0033 009d 009c 003d 003c 0035 002f</t>
        </is>
      </c>
      <c r="Q277" s="2" t="inlineStr">
        <is>
          <t>0304 0303</t>
        </is>
      </c>
      <c r="R277" s="2" t="inlineStr">
        <is>
          <t>allow</t>
        </is>
      </c>
      <c r="S277" s="2" t="inlineStr">
        <is>
          <t>allow</t>
        </is>
      </c>
      <c r="T277" s="2">
        <f>K277=E277</f>
        <v/>
      </c>
      <c r="U277" s="2">
        <f>L277=F277</f>
        <v/>
      </c>
      <c r="V277" s="2">
        <f>IF(N277,EXACT(P277,G277),"")</f>
        <v/>
      </c>
      <c r="W277" s="2">
        <f>IF(O277,EXACT(Q277,H277),"")</f>
        <v/>
      </c>
      <c r="X277" s="2">
        <f>J277=C277</f>
        <v/>
      </c>
      <c r="Y277" s="2">
        <f>IF(R277="unknown","",R277=S277)</f>
        <v/>
      </c>
      <c r="Z277" s="2" t="inlineStr">
        <is>
          <t>A</t>
        </is>
      </c>
      <c r="AA277" s="2" t="inlineStr">
        <is>
          <t>A</t>
        </is>
      </c>
      <c r="AB277" s="2">
        <f>AND(N277,O277,A277&lt;&gt;"census-mixed")</f>
        <v/>
      </c>
      <c r="AC277" s="2">
        <f>IF(AB277,Z277=AA277,"")</f>
        <v/>
      </c>
    </row>
    <row r="278">
      <c r="A278" s="2" t="inlineStr">
        <is>
          <t>census-mixed</t>
        </is>
      </c>
      <c r="B278" s="2" t="inlineStr">
        <is>
          <t>openssl X25519MLKEM768 only</t>
        </is>
      </c>
      <c r="C278" s="2" t="inlineStr">
        <is>
          <t>skb-eval-80103-c5037</t>
        </is>
      </c>
      <c r="D278" s="2" t="n">
        <v>5037</v>
      </c>
      <c r="E278" s="2" t="n">
        <v>1485</v>
      </c>
      <c r="F278" s="2" t="n">
        <v>771</v>
      </c>
      <c r="G278" s="2" t="inlineStr">
        <is>
          <t>1302 1303 1301 c02c c030 009f cca9 cca8 ccaa c02b c02f 009e c024 c028 006b c023 c027 0067 c00a c014 0039 c009 c013 0033 009d 009c 003d 003c 0035 002f</t>
        </is>
      </c>
      <c r="H278" s="2" t="inlineStr">
        <is>
          <t>0304 0303</t>
        </is>
      </c>
      <c r="I278" s="2" t="n">
        <v>1</v>
      </c>
      <c r="J278" s="2" t="inlineStr">
        <is>
          <t>skb-eval-80103-c5037</t>
        </is>
      </c>
      <c r="K278" s="2" t="n">
        <v>1485</v>
      </c>
      <c r="L278" s="2" t="n">
        <v>771</v>
      </c>
      <c r="M278" s="2" t="n">
        <v>1443</v>
      </c>
      <c r="N278" s="2" t="b">
        <v>1</v>
      </c>
      <c r="O278" s="2" t="b">
        <v>1</v>
      </c>
      <c r="P278" s="2" t="inlineStr">
        <is>
          <t>1302 1303 1301 c02c c030 009f cca9 cca8 ccaa c02b c02f 009e c024 c028 006b c023 c027 0067 c00a c014 0039 c009 c013 0033 009d 009c 003d 003c 0035 002f</t>
        </is>
      </c>
      <c r="Q278" s="2" t="inlineStr">
        <is>
          <t>0304 0303</t>
        </is>
      </c>
      <c r="R278" s="2" t="inlineStr">
        <is>
          <t>allow</t>
        </is>
      </c>
      <c r="S278" s="2" t="inlineStr">
        <is>
          <t>allow</t>
        </is>
      </c>
      <c r="T278" s="2">
        <f>K278=E278</f>
        <v/>
      </c>
      <c r="U278" s="2">
        <f>L278=F278</f>
        <v/>
      </c>
      <c r="V278" s="2">
        <f>IF(N278,EXACT(P278,G278),"")</f>
        <v/>
      </c>
      <c r="W278" s="2">
        <f>IF(O278,EXACT(Q278,H278),"")</f>
        <v/>
      </c>
      <c r="X278" s="2">
        <f>J278=C278</f>
        <v/>
      </c>
      <c r="Y278" s="2">
        <f>IF(R278="unknown","",R278=S278)</f>
        <v/>
      </c>
      <c r="Z278" s="2" t="inlineStr">
        <is>
          <t>A</t>
        </is>
      </c>
      <c r="AA278" s="2" t="inlineStr">
        <is>
          <t>A</t>
        </is>
      </c>
      <c r="AB278" s="2">
        <f>AND(N278,O278,A278&lt;&gt;"census-mixed")</f>
        <v/>
      </c>
      <c r="AC278" s="2">
        <f>IF(AB278,Z278=AA278,"")</f>
        <v/>
      </c>
    </row>
    <row r="279">
      <c r="A279" s="2" t="inlineStr">
        <is>
          <t>census-mixed</t>
        </is>
      </c>
      <c r="B279" s="2" t="inlineStr">
        <is>
          <t>openssl X25519MLKEM768 only</t>
        </is>
      </c>
      <c r="C279" s="2" t="inlineStr">
        <is>
          <t>skb-eval-80103-c5038</t>
        </is>
      </c>
      <c r="D279" s="2" t="n">
        <v>5038</v>
      </c>
      <c r="E279" s="2" t="n">
        <v>1485</v>
      </c>
      <c r="F279" s="2" t="n">
        <v>771</v>
      </c>
      <c r="G279" s="2" t="inlineStr">
        <is>
          <t>1302 1303 1301 c02c c030 009f cca9 cca8 ccaa c02b c02f 009e c024 c028 006b c023 c027 0067 c00a c014 0039 c009 c013 0033 009d 009c 003d 003c 0035 002f</t>
        </is>
      </c>
      <c r="H279" s="2" t="inlineStr">
        <is>
          <t>0304 0303</t>
        </is>
      </c>
      <c r="I279" s="2" t="n">
        <v>1</v>
      </c>
      <c r="J279" s="2" t="inlineStr">
        <is>
          <t>skb-eval-80103-c5038</t>
        </is>
      </c>
      <c r="K279" s="2" t="n">
        <v>1485</v>
      </c>
      <c r="L279" s="2" t="n">
        <v>771</v>
      </c>
      <c r="M279" s="2" t="n">
        <v>1443</v>
      </c>
      <c r="N279" s="2" t="b">
        <v>1</v>
      </c>
      <c r="O279" s="2" t="b">
        <v>1</v>
      </c>
      <c r="P279" s="2" t="inlineStr">
        <is>
          <t>1302 1303 1301 c02c c030 009f cca9 cca8 ccaa c02b c02f 009e c024 c028 006b c023 c027 0067 c00a c014 0039 c009 c013 0033 009d 009c 003d 003c 0035 002f</t>
        </is>
      </c>
      <c r="Q279" s="2" t="inlineStr">
        <is>
          <t>0304 0303</t>
        </is>
      </c>
      <c r="R279" s="2" t="inlineStr">
        <is>
          <t>allow</t>
        </is>
      </c>
      <c r="S279" s="2" t="inlineStr">
        <is>
          <t>allow</t>
        </is>
      </c>
      <c r="T279" s="2">
        <f>K279=E279</f>
        <v/>
      </c>
      <c r="U279" s="2">
        <f>L279=F279</f>
        <v/>
      </c>
      <c r="V279" s="2">
        <f>IF(N279,EXACT(P279,G279),"")</f>
        <v/>
      </c>
      <c r="W279" s="2">
        <f>IF(O279,EXACT(Q279,H279),"")</f>
        <v/>
      </c>
      <c r="X279" s="2">
        <f>J279=C279</f>
        <v/>
      </c>
      <c r="Y279" s="2">
        <f>IF(R279="unknown","",R279=S279)</f>
        <v/>
      </c>
      <c r="Z279" s="2" t="inlineStr">
        <is>
          <t>A</t>
        </is>
      </c>
      <c r="AA279" s="2" t="inlineStr">
        <is>
          <t>A</t>
        </is>
      </c>
      <c r="AB279" s="2">
        <f>AND(N279,O279,A279&lt;&gt;"census-mixed")</f>
        <v/>
      </c>
      <c r="AC279" s="2">
        <f>IF(AB279,Z279=AA279,"")</f>
        <v/>
      </c>
    </row>
    <row r="280">
      <c r="A280" s="2" t="inlineStr">
        <is>
          <t>census-mixed</t>
        </is>
      </c>
      <c r="B280" s="2" t="inlineStr">
        <is>
          <t>openssl X25519MLKEM768 only</t>
        </is>
      </c>
      <c r="C280" s="2" t="inlineStr">
        <is>
          <t>skb-eval-80103-c5039</t>
        </is>
      </c>
      <c r="D280" s="2" t="n">
        <v>5039</v>
      </c>
      <c r="E280" s="2" t="n">
        <v>1485</v>
      </c>
      <c r="F280" s="2" t="n">
        <v>771</v>
      </c>
      <c r="G280" s="2" t="inlineStr">
        <is>
          <t>1302 1303 1301 c02c c030 009f cca9 cca8 ccaa c02b c02f 009e c024 c028 006b c023 c027 0067 c00a c014 0039 c009 c013 0033 009d 009c 003d 003c 0035 002f</t>
        </is>
      </c>
      <c r="H280" s="2" t="inlineStr">
        <is>
          <t>0304 0303</t>
        </is>
      </c>
      <c r="I280" s="2" t="n">
        <v>1</v>
      </c>
      <c r="J280" s="2" t="inlineStr">
        <is>
          <t>skb-eval-80103-c5039</t>
        </is>
      </c>
      <c r="K280" s="2" t="n">
        <v>1485</v>
      </c>
      <c r="L280" s="2" t="n">
        <v>771</v>
      </c>
      <c r="M280" s="2" t="n">
        <v>1443</v>
      </c>
      <c r="N280" s="2" t="b">
        <v>1</v>
      </c>
      <c r="O280" s="2" t="b">
        <v>1</v>
      </c>
      <c r="P280" s="2" t="inlineStr">
        <is>
          <t>1302 1303 1301 c02c c030 009f cca9 cca8 ccaa c02b c02f 009e c024 c028 006b c023 c027 0067 c00a c014 0039 c009 c013 0033 009d 009c 003d 003c 0035 002f</t>
        </is>
      </c>
      <c r="Q280" s="2" t="inlineStr">
        <is>
          <t>0304 0303</t>
        </is>
      </c>
      <c r="R280" s="2" t="inlineStr">
        <is>
          <t>allow</t>
        </is>
      </c>
      <c r="S280" s="2" t="inlineStr">
        <is>
          <t>allow</t>
        </is>
      </c>
      <c r="T280" s="2">
        <f>K280=E280</f>
        <v/>
      </c>
      <c r="U280" s="2">
        <f>L280=F280</f>
        <v/>
      </c>
      <c r="V280" s="2">
        <f>IF(N280,EXACT(P280,G280),"")</f>
        <v/>
      </c>
      <c r="W280" s="2">
        <f>IF(O280,EXACT(Q280,H280),"")</f>
        <v/>
      </c>
      <c r="X280" s="2">
        <f>J280=C280</f>
        <v/>
      </c>
      <c r="Y280" s="2">
        <f>IF(R280="unknown","",R280=S280)</f>
        <v/>
      </c>
      <c r="Z280" s="2" t="inlineStr">
        <is>
          <t>A</t>
        </is>
      </c>
      <c r="AA280" s="2" t="inlineStr">
        <is>
          <t>A</t>
        </is>
      </c>
      <c r="AB280" s="2">
        <f>AND(N280,O280,A280&lt;&gt;"census-mixed")</f>
        <v/>
      </c>
      <c r="AC280" s="2">
        <f>IF(AB280,Z280=AA280,"")</f>
        <v/>
      </c>
    </row>
    <row r="281">
      <c r="A281" s="2" t="inlineStr">
        <is>
          <t>census-mixed</t>
        </is>
      </c>
      <c r="B281" s="2" t="inlineStr">
        <is>
          <t>openssl X25519MLKEM768 only</t>
        </is>
      </c>
      <c r="C281" s="2" t="inlineStr">
        <is>
          <t>skb-eval-80103-c5040</t>
        </is>
      </c>
      <c r="D281" s="2" t="n">
        <v>5040</v>
      </c>
      <c r="E281" s="2" t="n">
        <v>1485</v>
      </c>
      <c r="F281" s="2" t="n">
        <v>771</v>
      </c>
      <c r="G281" s="2" t="inlineStr">
        <is>
          <t>1302 1303 1301 c02c c030 009f cca9 cca8 ccaa c02b c02f 009e c024 c028 006b c023 c027 0067 c00a c014 0039 c009 c013 0033 009d 009c 003d 003c 0035 002f</t>
        </is>
      </c>
      <c r="H281" s="2" t="inlineStr">
        <is>
          <t>0304 0303</t>
        </is>
      </c>
      <c r="I281" s="2" t="n">
        <v>1</v>
      </c>
      <c r="J281" s="2" t="inlineStr">
        <is>
          <t>skb-eval-80103-c5040</t>
        </is>
      </c>
      <c r="K281" s="2" t="n">
        <v>1485</v>
      </c>
      <c r="L281" s="2" t="n">
        <v>771</v>
      </c>
      <c r="M281" s="2" t="n">
        <v>1443</v>
      </c>
      <c r="N281" s="2" t="b">
        <v>1</v>
      </c>
      <c r="O281" s="2" t="b">
        <v>1</v>
      </c>
      <c r="P281" s="2" t="inlineStr">
        <is>
          <t>1302 1303 1301 c02c c030 009f cca9 cca8 ccaa c02b c02f 009e c024 c028 006b c023 c027 0067 c00a c014 0039 c009 c013 0033 009d 009c 003d 003c 0035 002f</t>
        </is>
      </c>
      <c r="Q281" s="2" t="inlineStr">
        <is>
          <t>0304 0303</t>
        </is>
      </c>
      <c r="R281" s="2" t="inlineStr">
        <is>
          <t>allow</t>
        </is>
      </c>
      <c r="S281" s="2" t="inlineStr">
        <is>
          <t>allow</t>
        </is>
      </c>
      <c r="T281" s="2">
        <f>K281=E281</f>
        <v/>
      </c>
      <c r="U281" s="2">
        <f>L281=F281</f>
        <v/>
      </c>
      <c r="V281" s="2">
        <f>IF(N281,EXACT(P281,G281),"")</f>
        <v/>
      </c>
      <c r="W281" s="2">
        <f>IF(O281,EXACT(Q281,H281),"")</f>
        <v/>
      </c>
      <c r="X281" s="2">
        <f>J281=C281</f>
        <v/>
      </c>
      <c r="Y281" s="2">
        <f>IF(R281="unknown","",R281=S281)</f>
        <v/>
      </c>
      <c r="Z281" s="2" t="inlineStr">
        <is>
          <t>A</t>
        </is>
      </c>
      <c r="AA281" s="2" t="inlineStr">
        <is>
          <t>A</t>
        </is>
      </c>
      <c r="AB281" s="2">
        <f>AND(N281,O281,A281&lt;&gt;"census-mixed")</f>
        <v/>
      </c>
      <c r="AC281" s="2">
        <f>IF(AB281,Z281=AA281,"")</f>
        <v/>
      </c>
    </row>
    <row r="282">
      <c r="A282" s="2" t="inlineStr">
        <is>
          <t>census-mixed</t>
        </is>
      </c>
      <c r="B282" s="2" t="inlineStr">
        <is>
          <t>openssl SecP256r1MLKEM768</t>
        </is>
      </c>
      <c r="C282" s="2" t="inlineStr">
        <is>
          <t>skb-eval-80103-c5041</t>
        </is>
      </c>
      <c r="D282" s="2" t="n">
        <v>5041</v>
      </c>
      <c r="E282" s="2" t="n">
        <v>1518</v>
      </c>
      <c r="F282" s="2" t="n">
        <v>771</v>
      </c>
      <c r="G282" s="2" t="inlineStr">
        <is>
          <t>1302 1303 1301 c02c c030 009f cca9 cca8 ccaa c02b c02f 009e c024 c028 006b c023 c027 0067 c00a c014 0039 c009 c013 0033 009d 009c 003d 003c 0035 002f</t>
        </is>
      </c>
      <c r="H282" s="2" t="inlineStr">
        <is>
          <t>0304 0303</t>
        </is>
      </c>
      <c r="I282" s="2" t="n">
        <v>1</v>
      </c>
      <c r="J282" s="2" t="inlineStr">
        <is>
          <t>skb-eval-80103-c5041</t>
        </is>
      </c>
      <c r="K282" s="2" t="n">
        <v>1518</v>
      </c>
      <c r="L282" s="2" t="n">
        <v>771</v>
      </c>
      <c r="M282" s="2" t="n">
        <v>1443</v>
      </c>
      <c r="N282" s="2" t="b">
        <v>1</v>
      </c>
      <c r="O282" s="2" t="b">
        <v>1</v>
      </c>
      <c r="P282" s="2" t="inlineStr">
        <is>
          <t>1302 1303 1301 c02c c030 009f cca9 cca8 ccaa c02b c02f 009e c024 c028 006b c023 c027 0067 c00a c014 0039 c009 c013 0033 009d 009c 003d 003c 0035 002f</t>
        </is>
      </c>
      <c r="Q282" s="2" t="inlineStr">
        <is>
          <t>0304 0303</t>
        </is>
      </c>
      <c r="R282" s="2" t="inlineStr">
        <is>
          <t>allow</t>
        </is>
      </c>
      <c r="S282" s="2" t="inlineStr">
        <is>
          <t>allow</t>
        </is>
      </c>
      <c r="T282" s="2">
        <f>K282=E282</f>
        <v/>
      </c>
      <c r="U282" s="2">
        <f>L282=F282</f>
        <v/>
      </c>
      <c r="V282" s="2">
        <f>IF(N282,EXACT(P282,G282),"")</f>
        <v/>
      </c>
      <c r="W282" s="2">
        <f>IF(O282,EXACT(Q282,H282),"")</f>
        <v/>
      </c>
      <c r="X282" s="2">
        <f>J282=C282</f>
        <v/>
      </c>
      <c r="Y282" s="2">
        <f>IF(R282="unknown","",R282=S282)</f>
        <v/>
      </c>
      <c r="Z282" s="2" t="inlineStr">
        <is>
          <t>A</t>
        </is>
      </c>
      <c r="AA282" s="2" t="inlineStr">
        <is>
          <t>A</t>
        </is>
      </c>
      <c r="AB282" s="2">
        <f>AND(N282,O282,A282&lt;&gt;"census-mixed")</f>
        <v/>
      </c>
      <c r="AC282" s="2">
        <f>IF(AB282,Z282=AA282,"")</f>
        <v/>
      </c>
    </row>
    <row r="283">
      <c r="A283" s="2" t="inlineStr">
        <is>
          <t>census-mixed</t>
        </is>
      </c>
      <c r="B283" s="2" t="inlineStr">
        <is>
          <t>openssl SecP256r1MLKEM768</t>
        </is>
      </c>
      <c r="C283" s="2" t="inlineStr">
        <is>
          <t>skb-eval-80103-c5042</t>
        </is>
      </c>
      <c r="D283" s="2" t="n">
        <v>5042</v>
      </c>
      <c r="E283" s="2" t="n">
        <v>1518</v>
      </c>
      <c r="F283" s="2" t="n">
        <v>771</v>
      </c>
      <c r="G283" s="2" t="inlineStr">
        <is>
          <t>1302 1303 1301 c02c c030 009f cca9 cca8 ccaa c02b c02f 009e c024 c028 006b c023 c027 0067 c00a c014 0039 c009 c013 0033 009d 009c 003d 003c 0035 002f</t>
        </is>
      </c>
      <c r="H283" s="2" t="inlineStr">
        <is>
          <t>0304 0303</t>
        </is>
      </c>
      <c r="I283" s="2" t="n">
        <v>1</v>
      </c>
      <c r="J283" s="2" t="inlineStr">
        <is>
          <t>skb-eval-80103-c5042</t>
        </is>
      </c>
      <c r="K283" s="2" t="n">
        <v>1518</v>
      </c>
      <c r="L283" s="2" t="n">
        <v>771</v>
      </c>
      <c r="M283" s="2" t="n">
        <v>1443</v>
      </c>
      <c r="N283" s="2" t="b">
        <v>1</v>
      </c>
      <c r="O283" s="2" t="b">
        <v>1</v>
      </c>
      <c r="P283" s="2" t="inlineStr">
        <is>
          <t>1302 1303 1301 c02c c030 009f cca9 cca8 ccaa c02b c02f 009e c024 c028 006b c023 c027 0067 c00a c014 0039 c009 c013 0033 009d 009c 003d 003c 0035 002f</t>
        </is>
      </c>
      <c r="Q283" s="2" t="inlineStr">
        <is>
          <t>0304 0303</t>
        </is>
      </c>
      <c r="R283" s="2" t="inlineStr">
        <is>
          <t>allow</t>
        </is>
      </c>
      <c r="S283" s="2" t="inlineStr">
        <is>
          <t>allow</t>
        </is>
      </c>
      <c r="T283" s="2">
        <f>K283=E283</f>
        <v/>
      </c>
      <c r="U283" s="2">
        <f>L283=F283</f>
        <v/>
      </c>
      <c r="V283" s="2">
        <f>IF(N283,EXACT(P283,G283),"")</f>
        <v/>
      </c>
      <c r="W283" s="2">
        <f>IF(O283,EXACT(Q283,H283),"")</f>
        <v/>
      </c>
      <c r="X283" s="2">
        <f>J283=C283</f>
        <v/>
      </c>
      <c r="Y283" s="2">
        <f>IF(R283="unknown","",R283=S283)</f>
        <v/>
      </c>
      <c r="Z283" s="2" t="inlineStr">
        <is>
          <t>A</t>
        </is>
      </c>
      <c r="AA283" s="2" t="inlineStr">
        <is>
          <t>A</t>
        </is>
      </c>
      <c r="AB283" s="2">
        <f>AND(N283,O283,A283&lt;&gt;"census-mixed")</f>
        <v/>
      </c>
      <c r="AC283" s="2">
        <f>IF(AB283,Z283=AA283,"")</f>
        <v/>
      </c>
    </row>
    <row r="284">
      <c r="A284" s="2" t="inlineStr">
        <is>
          <t>census-mixed</t>
        </is>
      </c>
      <c r="B284" s="2" t="inlineStr">
        <is>
          <t>openssl SecP256r1MLKEM768</t>
        </is>
      </c>
      <c r="C284" s="2" t="inlineStr">
        <is>
          <t>skb-eval-80103-c5043</t>
        </is>
      </c>
      <c r="D284" s="2" t="n">
        <v>5043</v>
      </c>
      <c r="E284" s="2" t="n">
        <v>1518</v>
      </c>
      <c r="F284" s="2" t="n">
        <v>771</v>
      </c>
      <c r="G284" s="2" t="inlineStr">
        <is>
          <t>1302 1303 1301 c02c c030 009f cca9 cca8 ccaa c02b c02f 009e c024 c028 006b c023 c027 0067 c00a c014 0039 c009 c013 0033 009d 009c 003d 003c 0035 002f</t>
        </is>
      </c>
      <c r="H284" s="2" t="inlineStr">
        <is>
          <t>0304 0303</t>
        </is>
      </c>
      <c r="I284" s="2" t="n">
        <v>1</v>
      </c>
      <c r="J284" s="2" t="inlineStr">
        <is>
          <t>skb-eval-80103-c5043</t>
        </is>
      </c>
      <c r="K284" s="2" t="n">
        <v>1518</v>
      </c>
      <c r="L284" s="2" t="n">
        <v>771</v>
      </c>
      <c r="M284" s="2" t="n">
        <v>1443</v>
      </c>
      <c r="N284" s="2" t="b">
        <v>1</v>
      </c>
      <c r="O284" s="2" t="b">
        <v>1</v>
      </c>
      <c r="P284" s="2" t="inlineStr">
        <is>
          <t>1302 1303 1301 c02c c030 009f cca9 cca8 ccaa c02b c02f 009e c024 c028 006b c023 c027 0067 c00a c014 0039 c009 c013 0033 009d 009c 003d 003c 0035 002f</t>
        </is>
      </c>
      <c r="Q284" s="2" t="inlineStr">
        <is>
          <t>0304 0303</t>
        </is>
      </c>
      <c r="R284" s="2" t="inlineStr">
        <is>
          <t>allow</t>
        </is>
      </c>
      <c r="S284" s="2" t="inlineStr">
        <is>
          <t>allow</t>
        </is>
      </c>
      <c r="T284" s="2">
        <f>K284=E284</f>
        <v/>
      </c>
      <c r="U284" s="2">
        <f>L284=F284</f>
        <v/>
      </c>
      <c r="V284" s="2">
        <f>IF(N284,EXACT(P284,G284),"")</f>
        <v/>
      </c>
      <c r="W284" s="2">
        <f>IF(O284,EXACT(Q284,H284),"")</f>
        <v/>
      </c>
      <c r="X284" s="2">
        <f>J284=C284</f>
        <v/>
      </c>
      <c r="Y284" s="2">
        <f>IF(R284="unknown","",R284=S284)</f>
        <v/>
      </c>
      <c r="Z284" s="2" t="inlineStr">
        <is>
          <t>A</t>
        </is>
      </c>
      <c r="AA284" s="2" t="inlineStr">
        <is>
          <t>A</t>
        </is>
      </c>
      <c r="AB284" s="2">
        <f>AND(N284,O284,A284&lt;&gt;"census-mixed")</f>
        <v/>
      </c>
      <c r="AC284" s="2">
        <f>IF(AB284,Z284=AA284,"")</f>
        <v/>
      </c>
    </row>
    <row r="285">
      <c r="A285" s="2" t="inlineStr">
        <is>
          <t>census-mixed</t>
        </is>
      </c>
      <c r="B285" s="2" t="inlineStr">
        <is>
          <t>openssl SecP256r1MLKEM768</t>
        </is>
      </c>
      <c r="C285" s="2" t="inlineStr">
        <is>
          <t>skb-eval-80103-c5044</t>
        </is>
      </c>
      <c r="D285" s="2" t="n">
        <v>5044</v>
      </c>
      <c r="E285" s="2" t="n">
        <v>1518</v>
      </c>
      <c r="F285" s="2" t="n">
        <v>771</v>
      </c>
      <c r="G285" s="2" t="inlineStr">
        <is>
          <t>1302 1303 1301 c02c c030 009f cca9 cca8 ccaa c02b c02f 009e c024 c028 006b c023 c027 0067 c00a c014 0039 c009 c013 0033 009d 009c 003d 003c 0035 002f</t>
        </is>
      </c>
      <c r="H285" s="2" t="inlineStr">
        <is>
          <t>0304 0303</t>
        </is>
      </c>
      <c r="I285" s="2" t="n">
        <v>1</v>
      </c>
      <c r="J285" s="2" t="inlineStr">
        <is>
          <t>skb-eval-80103-c5044</t>
        </is>
      </c>
      <c r="K285" s="2" t="n">
        <v>1518</v>
      </c>
      <c r="L285" s="2" t="n">
        <v>771</v>
      </c>
      <c r="M285" s="2" t="n">
        <v>1443</v>
      </c>
      <c r="N285" s="2" t="b">
        <v>1</v>
      </c>
      <c r="O285" s="2" t="b">
        <v>1</v>
      </c>
      <c r="P285" s="2" t="inlineStr">
        <is>
          <t>1302 1303 1301 c02c c030 009f cca9 cca8 ccaa c02b c02f 009e c024 c028 006b c023 c027 0067 c00a c014 0039 c009 c013 0033 009d 009c 003d 003c 0035 002f</t>
        </is>
      </c>
      <c r="Q285" s="2" t="inlineStr">
        <is>
          <t>0304 0303</t>
        </is>
      </c>
      <c r="R285" s="2" t="inlineStr">
        <is>
          <t>allow</t>
        </is>
      </c>
      <c r="S285" s="2" t="inlineStr">
        <is>
          <t>allow</t>
        </is>
      </c>
      <c r="T285" s="2">
        <f>K285=E285</f>
        <v/>
      </c>
      <c r="U285" s="2">
        <f>L285=F285</f>
        <v/>
      </c>
      <c r="V285" s="2">
        <f>IF(N285,EXACT(P285,G285),"")</f>
        <v/>
      </c>
      <c r="W285" s="2">
        <f>IF(O285,EXACT(Q285,H285),"")</f>
        <v/>
      </c>
      <c r="X285" s="2">
        <f>J285=C285</f>
        <v/>
      </c>
      <c r="Y285" s="2">
        <f>IF(R285="unknown","",R285=S285)</f>
        <v/>
      </c>
      <c r="Z285" s="2" t="inlineStr">
        <is>
          <t>A</t>
        </is>
      </c>
      <c r="AA285" s="2" t="inlineStr">
        <is>
          <t>A</t>
        </is>
      </c>
      <c r="AB285" s="2">
        <f>AND(N285,O285,A285&lt;&gt;"census-mixed")</f>
        <v/>
      </c>
      <c r="AC285" s="2">
        <f>IF(AB285,Z285=AA285,"")</f>
        <v/>
      </c>
    </row>
    <row r="286">
      <c r="A286" s="2" t="inlineStr">
        <is>
          <t>census-mixed</t>
        </is>
      </c>
      <c r="B286" s="2" t="inlineStr">
        <is>
          <t>openssl SecP256r1MLKEM768</t>
        </is>
      </c>
      <c r="C286" s="2" t="inlineStr">
        <is>
          <t>skb-eval-80103-c5045</t>
        </is>
      </c>
      <c r="D286" s="2" t="n">
        <v>5045</v>
      </c>
      <c r="E286" s="2" t="n">
        <v>1518</v>
      </c>
      <c r="F286" s="2" t="n">
        <v>771</v>
      </c>
      <c r="G286" s="2" t="inlineStr">
        <is>
          <t>1302 1303 1301 c02c c030 009f cca9 cca8 ccaa c02b c02f 009e c024 c028 006b c023 c027 0067 c00a c014 0039 c009 c013 0033 009d 009c 003d 003c 0035 002f</t>
        </is>
      </c>
      <c r="H286" s="2" t="inlineStr">
        <is>
          <t>0304 0303</t>
        </is>
      </c>
      <c r="I286" s="2" t="n">
        <v>1</v>
      </c>
      <c r="J286" s="2" t="inlineStr">
        <is>
          <t>skb-eval-80103-c5045</t>
        </is>
      </c>
      <c r="K286" s="2" t="n">
        <v>1518</v>
      </c>
      <c r="L286" s="2" t="n">
        <v>771</v>
      </c>
      <c r="M286" s="2" t="n">
        <v>1443</v>
      </c>
      <c r="N286" s="2" t="b">
        <v>1</v>
      </c>
      <c r="O286" s="2" t="b">
        <v>1</v>
      </c>
      <c r="P286" s="2" t="inlineStr">
        <is>
          <t>1302 1303 1301 c02c c030 009f cca9 cca8 ccaa c02b c02f 009e c024 c028 006b c023 c027 0067 c00a c014 0039 c009 c013 0033 009d 009c 003d 003c 0035 002f</t>
        </is>
      </c>
      <c r="Q286" s="2" t="inlineStr">
        <is>
          <t>0304 0303</t>
        </is>
      </c>
      <c r="R286" s="2" t="inlineStr">
        <is>
          <t>allow</t>
        </is>
      </c>
      <c r="S286" s="2" t="inlineStr">
        <is>
          <t>allow</t>
        </is>
      </c>
      <c r="T286" s="2">
        <f>K286=E286</f>
        <v/>
      </c>
      <c r="U286" s="2">
        <f>L286=F286</f>
        <v/>
      </c>
      <c r="V286" s="2">
        <f>IF(N286,EXACT(P286,G286),"")</f>
        <v/>
      </c>
      <c r="W286" s="2">
        <f>IF(O286,EXACT(Q286,H286),"")</f>
        <v/>
      </c>
      <c r="X286" s="2">
        <f>J286=C286</f>
        <v/>
      </c>
      <c r="Y286" s="2">
        <f>IF(R286="unknown","",R286=S286)</f>
        <v/>
      </c>
      <c r="Z286" s="2" t="inlineStr">
        <is>
          <t>A</t>
        </is>
      </c>
      <c r="AA286" s="2" t="inlineStr">
        <is>
          <t>A</t>
        </is>
      </c>
      <c r="AB286" s="2">
        <f>AND(N286,O286,A286&lt;&gt;"census-mixed")</f>
        <v/>
      </c>
      <c r="AC286" s="2">
        <f>IF(AB286,Z286=AA286,"")</f>
        <v/>
      </c>
    </row>
    <row r="287">
      <c r="A287" s="2" t="inlineStr">
        <is>
          <t>census-mixed</t>
        </is>
      </c>
      <c r="B287" s="2" t="inlineStr">
        <is>
          <t>openssl SecP256r1MLKEM768</t>
        </is>
      </c>
      <c r="C287" s="2" t="inlineStr">
        <is>
          <t>skb-eval-80103-c5046</t>
        </is>
      </c>
      <c r="D287" s="2" t="n">
        <v>5046</v>
      </c>
      <c r="E287" s="2" t="n">
        <v>1518</v>
      </c>
      <c r="F287" s="2" t="n">
        <v>771</v>
      </c>
      <c r="G287" s="2" t="inlineStr">
        <is>
          <t>1302 1303 1301 c02c c030 009f cca9 cca8 ccaa c02b c02f 009e c024 c028 006b c023 c027 0067 c00a c014 0039 c009 c013 0033 009d 009c 003d 003c 0035 002f</t>
        </is>
      </c>
      <c r="H287" s="2" t="inlineStr">
        <is>
          <t>0304 0303</t>
        </is>
      </c>
      <c r="I287" s="2" t="n">
        <v>1</v>
      </c>
      <c r="J287" s="2" t="inlineStr">
        <is>
          <t>skb-eval-80103-c5046</t>
        </is>
      </c>
      <c r="K287" s="2" t="n">
        <v>1518</v>
      </c>
      <c r="L287" s="2" t="n">
        <v>771</v>
      </c>
      <c r="M287" s="2" t="n">
        <v>1443</v>
      </c>
      <c r="N287" s="2" t="b">
        <v>1</v>
      </c>
      <c r="O287" s="2" t="b">
        <v>1</v>
      </c>
      <c r="P287" s="2" t="inlineStr">
        <is>
          <t>1302 1303 1301 c02c c030 009f cca9 cca8 ccaa c02b c02f 009e c024 c028 006b c023 c027 0067 c00a c014 0039 c009 c013 0033 009d 009c 003d 003c 0035 002f</t>
        </is>
      </c>
      <c r="Q287" s="2" t="inlineStr">
        <is>
          <t>0304 0303</t>
        </is>
      </c>
      <c r="R287" s="2" t="inlineStr">
        <is>
          <t>allow</t>
        </is>
      </c>
      <c r="S287" s="2" t="inlineStr">
        <is>
          <t>allow</t>
        </is>
      </c>
      <c r="T287" s="2">
        <f>K287=E287</f>
        <v/>
      </c>
      <c r="U287" s="2">
        <f>L287=F287</f>
        <v/>
      </c>
      <c r="V287" s="2">
        <f>IF(N287,EXACT(P287,G287),"")</f>
        <v/>
      </c>
      <c r="W287" s="2">
        <f>IF(O287,EXACT(Q287,H287),"")</f>
        <v/>
      </c>
      <c r="X287" s="2">
        <f>J287=C287</f>
        <v/>
      </c>
      <c r="Y287" s="2">
        <f>IF(R287="unknown","",R287=S287)</f>
        <v/>
      </c>
      <c r="Z287" s="2" t="inlineStr">
        <is>
          <t>A</t>
        </is>
      </c>
      <c r="AA287" s="2" t="inlineStr">
        <is>
          <t>A</t>
        </is>
      </c>
      <c r="AB287" s="2">
        <f>AND(N287,O287,A287&lt;&gt;"census-mixed")</f>
        <v/>
      </c>
      <c r="AC287" s="2">
        <f>IF(AB287,Z287=AA287,"")</f>
        <v/>
      </c>
    </row>
    <row r="288">
      <c r="A288" s="2" t="inlineStr">
        <is>
          <t>census-mixed</t>
        </is>
      </c>
      <c r="B288" s="2" t="inlineStr">
        <is>
          <t>openssl SecP256r1MLKEM768</t>
        </is>
      </c>
      <c r="C288" s="2" t="inlineStr">
        <is>
          <t>skb-eval-80103-c5047</t>
        </is>
      </c>
      <c r="D288" s="2" t="n">
        <v>5047</v>
      </c>
      <c r="E288" s="2" t="n">
        <v>1518</v>
      </c>
      <c r="F288" s="2" t="n">
        <v>771</v>
      </c>
      <c r="G288" s="2" t="inlineStr">
        <is>
          <t>1302 1303 1301 c02c c030 009f cca9 cca8 ccaa c02b c02f 009e c024 c028 006b c023 c027 0067 c00a c014 0039 c009 c013 0033 009d 009c 003d 003c 0035 002f</t>
        </is>
      </c>
      <c r="H288" s="2" t="inlineStr">
        <is>
          <t>0304 0303</t>
        </is>
      </c>
      <c r="I288" s="2" t="n">
        <v>1</v>
      </c>
      <c r="J288" s="2" t="inlineStr">
        <is>
          <t>skb-eval-80103-c5047</t>
        </is>
      </c>
      <c r="K288" s="2" t="n">
        <v>1518</v>
      </c>
      <c r="L288" s="2" t="n">
        <v>771</v>
      </c>
      <c r="M288" s="2" t="n">
        <v>1443</v>
      </c>
      <c r="N288" s="2" t="b">
        <v>1</v>
      </c>
      <c r="O288" s="2" t="b">
        <v>1</v>
      </c>
      <c r="P288" s="2" t="inlineStr">
        <is>
          <t>1302 1303 1301 c02c c030 009f cca9 cca8 ccaa c02b c02f 009e c024 c028 006b c023 c027 0067 c00a c014 0039 c009 c013 0033 009d 009c 003d 003c 0035 002f</t>
        </is>
      </c>
      <c r="Q288" s="2" t="inlineStr">
        <is>
          <t>0304 0303</t>
        </is>
      </c>
      <c r="R288" s="2" t="inlineStr">
        <is>
          <t>allow</t>
        </is>
      </c>
      <c r="S288" s="2" t="inlineStr">
        <is>
          <t>allow</t>
        </is>
      </c>
      <c r="T288" s="2">
        <f>K288=E288</f>
        <v/>
      </c>
      <c r="U288" s="2">
        <f>L288=F288</f>
        <v/>
      </c>
      <c r="V288" s="2">
        <f>IF(N288,EXACT(P288,G288),"")</f>
        <v/>
      </c>
      <c r="W288" s="2">
        <f>IF(O288,EXACT(Q288,H288),"")</f>
        <v/>
      </c>
      <c r="X288" s="2">
        <f>J288=C288</f>
        <v/>
      </c>
      <c r="Y288" s="2">
        <f>IF(R288="unknown","",R288=S288)</f>
        <v/>
      </c>
      <c r="Z288" s="2" t="inlineStr">
        <is>
          <t>A</t>
        </is>
      </c>
      <c r="AA288" s="2" t="inlineStr">
        <is>
          <t>A</t>
        </is>
      </c>
      <c r="AB288" s="2">
        <f>AND(N288,O288,A288&lt;&gt;"census-mixed")</f>
        <v/>
      </c>
      <c r="AC288" s="2">
        <f>IF(AB288,Z288=AA288,"")</f>
        <v/>
      </c>
    </row>
    <row r="289">
      <c r="A289" s="2" t="inlineStr">
        <is>
          <t>census-mixed</t>
        </is>
      </c>
      <c r="B289" s="2" t="inlineStr">
        <is>
          <t>openssl SecP256r1MLKEM768</t>
        </is>
      </c>
      <c r="C289" s="2" t="inlineStr">
        <is>
          <t>skb-eval-80103-c5048</t>
        </is>
      </c>
      <c r="D289" s="2" t="n">
        <v>5048</v>
      </c>
      <c r="E289" s="2" t="n">
        <v>1518</v>
      </c>
      <c r="F289" s="2" t="n">
        <v>771</v>
      </c>
      <c r="G289" s="2" t="inlineStr">
        <is>
          <t>1302 1303 1301 c02c c030 009f cca9 cca8 ccaa c02b c02f 009e c024 c028 006b c023 c027 0067 c00a c014 0039 c009 c013 0033 009d 009c 003d 003c 0035 002f</t>
        </is>
      </c>
      <c r="H289" s="2" t="inlineStr">
        <is>
          <t>0304 0303</t>
        </is>
      </c>
      <c r="I289" s="2" t="n">
        <v>1</v>
      </c>
      <c r="J289" s="2" t="inlineStr">
        <is>
          <t>skb-eval-80103-c5048</t>
        </is>
      </c>
      <c r="K289" s="2" t="n">
        <v>1518</v>
      </c>
      <c r="L289" s="2" t="n">
        <v>771</v>
      </c>
      <c r="M289" s="2" t="n">
        <v>1443</v>
      </c>
      <c r="N289" s="2" t="b">
        <v>1</v>
      </c>
      <c r="O289" s="2" t="b">
        <v>1</v>
      </c>
      <c r="P289" s="2" t="inlineStr">
        <is>
          <t>1302 1303 1301 c02c c030 009f cca9 cca8 ccaa c02b c02f 009e c024 c028 006b c023 c027 0067 c00a c014 0039 c009 c013 0033 009d 009c 003d 003c 0035 002f</t>
        </is>
      </c>
      <c r="Q289" s="2" t="inlineStr">
        <is>
          <t>0304 0303</t>
        </is>
      </c>
      <c r="R289" s="2" t="inlineStr">
        <is>
          <t>allow</t>
        </is>
      </c>
      <c r="S289" s="2" t="inlineStr">
        <is>
          <t>allow</t>
        </is>
      </c>
      <c r="T289" s="2">
        <f>K289=E289</f>
        <v/>
      </c>
      <c r="U289" s="2">
        <f>L289=F289</f>
        <v/>
      </c>
      <c r="V289" s="2">
        <f>IF(N289,EXACT(P289,G289),"")</f>
        <v/>
      </c>
      <c r="W289" s="2">
        <f>IF(O289,EXACT(Q289,H289),"")</f>
        <v/>
      </c>
      <c r="X289" s="2">
        <f>J289=C289</f>
        <v/>
      </c>
      <c r="Y289" s="2">
        <f>IF(R289="unknown","",R289=S289)</f>
        <v/>
      </c>
      <c r="Z289" s="2" t="inlineStr">
        <is>
          <t>A</t>
        </is>
      </c>
      <c r="AA289" s="2" t="inlineStr">
        <is>
          <t>A</t>
        </is>
      </c>
      <c r="AB289" s="2">
        <f>AND(N289,O289,A289&lt;&gt;"census-mixed")</f>
        <v/>
      </c>
      <c r="AC289" s="2">
        <f>IF(AB289,Z289=AA289,"")</f>
        <v/>
      </c>
    </row>
    <row r="290">
      <c r="A290" s="2" t="inlineStr">
        <is>
          <t>census-mixed</t>
        </is>
      </c>
      <c r="B290" s="2" t="inlineStr">
        <is>
          <t>openssl SecP256r1MLKEM768</t>
        </is>
      </c>
      <c r="C290" s="2" t="inlineStr">
        <is>
          <t>skb-eval-80103-c5049</t>
        </is>
      </c>
      <c r="D290" s="2" t="n">
        <v>5049</v>
      </c>
      <c r="E290" s="2" t="n">
        <v>1518</v>
      </c>
      <c r="F290" s="2" t="n">
        <v>771</v>
      </c>
      <c r="G290" s="2" t="inlineStr">
        <is>
          <t>1302 1303 1301 c02c c030 009f cca9 cca8 ccaa c02b c02f 009e c024 c028 006b c023 c027 0067 c00a c014 0039 c009 c013 0033 009d 009c 003d 003c 0035 002f</t>
        </is>
      </c>
      <c r="H290" s="2" t="inlineStr">
        <is>
          <t>0304 0303</t>
        </is>
      </c>
      <c r="I290" s="2" t="n">
        <v>1</v>
      </c>
      <c r="J290" s="2" t="inlineStr">
        <is>
          <t>skb-eval-80103-c5049</t>
        </is>
      </c>
      <c r="K290" s="2" t="n">
        <v>1518</v>
      </c>
      <c r="L290" s="2" t="n">
        <v>771</v>
      </c>
      <c r="M290" s="2" t="n">
        <v>1443</v>
      </c>
      <c r="N290" s="2" t="b">
        <v>1</v>
      </c>
      <c r="O290" s="2" t="b">
        <v>1</v>
      </c>
      <c r="P290" s="2" t="inlineStr">
        <is>
          <t>1302 1303 1301 c02c c030 009f cca9 cca8 ccaa c02b c02f 009e c024 c028 006b c023 c027 0067 c00a c014 0039 c009 c013 0033 009d 009c 003d 003c 0035 002f</t>
        </is>
      </c>
      <c r="Q290" s="2" t="inlineStr">
        <is>
          <t>0304 0303</t>
        </is>
      </c>
      <c r="R290" s="2" t="inlineStr">
        <is>
          <t>allow</t>
        </is>
      </c>
      <c r="S290" s="2" t="inlineStr">
        <is>
          <t>allow</t>
        </is>
      </c>
      <c r="T290" s="2">
        <f>K290=E290</f>
        <v/>
      </c>
      <c r="U290" s="2">
        <f>L290=F290</f>
        <v/>
      </c>
      <c r="V290" s="2">
        <f>IF(N290,EXACT(P290,G290),"")</f>
        <v/>
      </c>
      <c r="W290" s="2">
        <f>IF(O290,EXACT(Q290,H290),"")</f>
        <v/>
      </c>
      <c r="X290" s="2">
        <f>J290=C290</f>
        <v/>
      </c>
      <c r="Y290" s="2">
        <f>IF(R290="unknown","",R290=S290)</f>
        <v/>
      </c>
      <c r="Z290" s="2" t="inlineStr">
        <is>
          <t>A</t>
        </is>
      </c>
      <c r="AA290" s="2" t="inlineStr">
        <is>
          <t>A</t>
        </is>
      </c>
      <c r="AB290" s="2">
        <f>AND(N290,O290,A290&lt;&gt;"census-mixed")</f>
        <v/>
      </c>
      <c r="AC290" s="2">
        <f>IF(AB290,Z290=AA290,"")</f>
        <v/>
      </c>
    </row>
    <row r="291">
      <c r="A291" s="2" t="inlineStr">
        <is>
          <t>census-mixed</t>
        </is>
      </c>
      <c r="B291" s="2" t="inlineStr">
        <is>
          <t>openssl SecP256r1MLKEM768</t>
        </is>
      </c>
      <c r="C291" s="2" t="inlineStr">
        <is>
          <t>skb-eval-80103-c5050</t>
        </is>
      </c>
      <c r="D291" s="2" t="n">
        <v>5050</v>
      </c>
      <c r="E291" s="2" t="n">
        <v>1518</v>
      </c>
      <c r="F291" s="2" t="n">
        <v>771</v>
      </c>
      <c r="G291" s="2" t="inlineStr">
        <is>
          <t>1302 1303 1301 c02c c030 009f cca9 cca8 ccaa c02b c02f 009e c024 c028 006b c023 c027 0067 c00a c014 0039 c009 c013 0033 009d 009c 003d 003c 0035 002f</t>
        </is>
      </c>
      <c r="H291" s="2" t="inlineStr">
        <is>
          <t>0304 0303</t>
        </is>
      </c>
      <c r="I291" s="2" t="n">
        <v>1</v>
      </c>
      <c r="J291" s="2" t="inlineStr">
        <is>
          <t>skb-eval-80103-c5050</t>
        </is>
      </c>
      <c r="K291" s="2" t="n">
        <v>1518</v>
      </c>
      <c r="L291" s="2" t="n">
        <v>771</v>
      </c>
      <c r="M291" s="2" t="n">
        <v>1443</v>
      </c>
      <c r="N291" s="2" t="b">
        <v>1</v>
      </c>
      <c r="O291" s="2" t="b">
        <v>1</v>
      </c>
      <c r="P291" s="2" t="inlineStr">
        <is>
          <t>1302 1303 1301 c02c c030 009f cca9 cca8 ccaa c02b c02f 009e c024 c028 006b c023 c027 0067 c00a c014 0039 c009 c013 0033 009d 009c 003d 003c 0035 002f</t>
        </is>
      </c>
      <c r="Q291" s="2" t="inlineStr">
        <is>
          <t>0304 0303</t>
        </is>
      </c>
      <c r="R291" s="2" t="inlineStr">
        <is>
          <t>allow</t>
        </is>
      </c>
      <c r="S291" s="2" t="inlineStr">
        <is>
          <t>allow</t>
        </is>
      </c>
      <c r="T291" s="2">
        <f>K291=E291</f>
        <v/>
      </c>
      <c r="U291" s="2">
        <f>L291=F291</f>
        <v/>
      </c>
      <c r="V291" s="2">
        <f>IF(N291,EXACT(P291,G291),"")</f>
        <v/>
      </c>
      <c r="W291" s="2">
        <f>IF(O291,EXACT(Q291,H291),"")</f>
        <v/>
      </c>
      <c r="X291" s="2">
        <f>J291=C291</f>
        <v/>
      </c>
      <c r="Y291" s="2">
        <f>IF(R291="unknown","",R291=S291)</f>
        <v/>
      </c>
      <c r="Z291" s="2" t="inlineStr">
        <is>
          <t>A</t>
        </is>
      </c>
      <c r="AA291" s="2" t="inlineStr">
        <is>
          <t>A</t>
        </is>
      </c>
      <c r="AB291" s="2">
        <f>AND(N291,O291,A291&lt;&gt;"census-mixed")</f>
        <v/>
      </c>
      <c r="AC291" s="2">
        <f>IF(AB291,Z291=AA291,"")</f>
        <v/>
      </c>
    </row>
    <row r="292">
      <c r="A292" s="2" t="inlineStr">
        <is>
          <t>census-mixed</t>
        </is>
      </c>
      <c r="B292" s="2" t="inlineStr">
        <is>
          <t>openssl SecP384r1MLKEM1024</t>
        </is>
      </c>
      <c r="C292" s="2" t="inlineStr">
        <is>
          <t>skb-eval-80103-c5051</t>
        </is>
      </c>
      <c r="D292" s="2" t="n">
        <v>5051</v>
      </c>
      <c r="E292" s="2" t="n">
        <v>1934</v>
      </c>
      <c r="F292" s="2" t="n">
        <v>771</v>
      </c>
      <c r="G292" s="2" t="inlineStr">
        <is>
          <t>1302 1303 1301 c02c c030 009f cca9 cca8 ccaa c02b c02f 009e c024 c028 006b c023 c027 0067 c00a c014 0039 c009 c013 0033 009d 009c 003d 003c 0035 002f</t>
        </is>
      </c>
      <c r="H292" s="2" t="inlineStr">
        <is>
          <t>0304 0303</t>
        </is>
      </c>
      <c r="I292" s="2" t="n">
        <v>1</v>
      </c>
      <c r="J292" s="2" t="inlineStr">
        <is>
          <t>skb-eval-80103-c5051</t>
        </is>
      </c>
      <c r="K292" s="2" t="n">
        <v>1934</v>
      </c>
      <c r="L292" s="2" t="n">
        <v>771</v>
      </c>
      <c r="M292" s="2" t="n">
        <v>1443</v>
      </c>
      <c r="N292" s="2" t="b">
        <v>1</v>
      </c>
      <c r="O292" s="2" t="b">
        <v>1</v>
      </c>
      <c r="P292" s="2" t="inlineStr">
        <is>
          <t>1302 1303 1301 c02c c030 009f cca9 cca8 ccaa c02b c02f 009e c024 c028 006b c023 c027 0067 c00a c014 0039 c009 c013 0033 009d 009c 003d 003c 0035 002f</t>
        </is>
      </c>
      <c r="Q292" s="2" t="inlineStr">
        <is>
          <t>0304 0303</t>
        </is>
      </c>
      <c r="R292" s="2" t="inlineStr">
        <is>
          <t>allow</t>
        </is>
      </c>
      <c r="S292" s="2" t="inlineStr">
        <is>
          <t>allow</t>
        </is>
      </c>
      <c r="T292" s="2">
        <f>K292=E292</f>
        <v/>
      </c>
      <c r="U292" s="2">
        <f>L292=F292</f>
        <v/>
      </c>
      <c r="V292" s="2">
        <f>IF(N292,EXACT(P292,G292),"")</f>
        <v/>
      </c>
      <c r="W292" s="2">
        <f>IF(O292,EXACT(Q292,H292),"")</f>
        <v/>
      </c>
      <c r="X292" s="2">
        <f>J292=C292</f>
        <v/>
      </c>
      <c r="Y292" s="2">
        <f>IF(R292="unknown","",R292=S292)</f>
        <v/>
      </c>
      <c r="Z292" s="2" t="inlineStr">
        <is>
          <t>A</t>
        </is>
      </c>
      <c r="AA292" s="2" t="inlineStr">
        <is>
          <t>A</t>
        </is>
      </c>
      <c r="AB292" s="2">
        <f>AND(N292,O292,A292&lt;&gt;"census-mixed")</f>
        <v/>
      </c>
      <c r="AC292" s="2">
        <f>IF(AB292,Z292=AA292,"")</f>
        <v/>
      </c>
    </row>
    <row r="293">
      <c r="A293" s="2" t="inlineStr">
        <is>
          <t>census-mixed</t>
        </is>
      </c>
      <c r="B293" s="2" t="inlineStr">
        <is>
          <t>openssl SecP384r1MLKEM1024</t>
        </is>
      </c>
      <c r="C293" s="2" t="inlineStr">
        <is>
          <t>skb-eval-80103-c5052</t>
        </is>
      </c>
      <c r="D293" s="2" t="n">
        <v>5052</v>
      </c>
      <c r="E293" s="2" t="n">
        <v>1934</v>
      </c>
      <c r="F293" s="2" t="n">
        <v>771</v>
      </c>
      <c r="G293" s="2" t="inlineStr">
        <is>
          <t>1302 1303 1301 c02c c030 009f cca9 cca8 ccaa c02b c02f 009e c024 c028 006b c023 c027 0067 c00a c014 0039 c009 c013 0033 009d 009c 003d 003c 0035 002f</t>
        </is>
      </c>
      <c r="H293" s="2" t="inlineStr">
        <is>
          <t>0304 0303</t>
        </is>
      </c>
      <c r="I293" s="2" t="n">
        <v>1</v>
      </c>
      <c r="J293" s="2" t="inlineStr">
        <is>
          <t>skb-eval-80103-c5052</t>
        </is>
      </c>
      <c r="K293" s="2" t="n">
        <v>1934</v>
      </c>
      <c r="L293" s="2" t="n">
        <v>771</v>
      </c>
      <c r="M293" s="2" t="n">
        <v>1443</v>
      </c>
      <c r="N293" s="2" t="b">
        <v>1</v>
      </c>
      <c r="O293" s="2" t="b">
        <v>1</v>
      </c>
      <c r="P293" s="2" t="inlineStr">
        <is>
          <t>1302 1303 1301 c02c c030 009f cca9 cca8 ccaa c02b c02f 009e c024 c028 006b c023 c027 0067 c00a c014 0039 c009 c013 0033 009d 009c 003d 003c 0035 002f</t>
        </is>
      </c>
      <c r="Q293" s="2" t="inlineStr">
        <is>
          <t>0304 0303</t>
        </is>
      </c>
      <c r="R293" s="2" t="inlineStr">
        <is>
          <t>allow</t>
        </is>
      </c>
      <c r="S293" s="2" t="inlineStr">
        <is>
          <t>allow</t>
        </is>
      </c>
      <c r="T293" s="2">
        <f>K293=E293</f>
        <v/>
      </c>
      <c r="U293" s="2">
        <f>L293=F293</f>
        <v/>
      </c>
      <c r="V293" s="2">
        <f>IF(N293,EXACT(P293,G293),"")</f>
        <v/>
      </c>
      <c r="W293" s="2">
        <f>IF(O293,EXACT(Q293,H293),"")</f>
        <v/>
      </c>
      <c r="X293" s="2">
        <f>J293=C293</f>
        <v/>
      </c>
      <c r="Y293" s="2">
        <f>IF(R293="unknown","",R293=S293)</f>
        <v/>
      </c>
      <c r="Z293" s="2" t="inlineStr">
        <is>
          <t>A</t>
        </is>
      </c>
      <c r="AA293" s="2" t="inlineStr">
        <is>
          <t>A</t>
        </is>
      </c>
      <c r="AB293" s="2">
        <f>AND(N293,O293,A293&lt;&gt;"census-mixed")</f>
        <v/>
      </c>
      <c r="AC293" s="2">
        <f>IF(AB293,Z293=AA293,"")</f>
        <v/>
      </c>
    </row>
    <row r="294">
      <c r="A294" s="2" t="inlineStr">
        <is>
          <t>census-mixed</t>
        </is>
      </c>
      <c r="B294" s="2" t="inlineStr">
        <is>
          <t>openssl SecP384r1MLKEM1024</t>
        </is>
      </c>
      <c r="C294" s="2" t="inlineStr">
        <is>
          <t>skb-eval-80103-c5053</t>
        </is>
      </c>
      <c r="D294" s="2" t="n">
        <v>5053</v>
      </c>
      <c r="E294" s="2" t="n">
        <v>1934</v>
      </c>
      <c r="F294" s="2" t="n">
        <v>771</v>
      </c>
      <c r="G294" s="2" t="inlineStr">
        <is>
          <t>1302 1303 1301 c02c c030 009f cca9 cca8 ccaa c02b c02f 009e c024 c028 006b c023 c027 0067 c00a c014 0039 c009 c013 0033 009d 009c 003d 003c 0035 002f</t>
        </is>
      </c>
      <c r="H294" s="2" t="inlineStr">
        <is>
          <t>0304 0303</t>
        </is>
      </c>
      <c r="I294" s="2" t="n">
        <v>1</v>
      </c>
      <c r="J294" s="2" t="inlineStr">
        <is>
          <t>skb-eval-80103-c5053</t>
        </is>
      </c>
      <c r="K294" s="2" t="n">
        <v>1934</v>
      </c>
      <c r="L294" s="2" t="n">
        <v>771</v>
      </c>
      <c r="M294" s="2" t="n">
        <v>1443</v>
      </c>
      <c r="N294" s="2" t="b">
        <v>1</v>
      </c>
      <c r="O294" s="2" t="b">
        <v>1</v>
      </c>
      <c r="P294" s="2" t="inlineStr">
        <is>
          <t>1302 1303 1301 c02c c030 009f cca9 cca8 ccaa c02b c02f 009e c024 c028 006b c023 c027 0067 c00a c014 0039 c009 c013 0033 009d 009c 003d 003c 0035 002f</t>
        </is>
      </c>
      <c r="Q294" s="2" t="inlineStr">
        <is>
          <t>0304 0303</t>
        </is>
      </c>
      <c r="R294" s="2" t="inlineStr">
        <is>
          <t>allow</t>
        </is>
      </c>
      <c r="S294" s="2" t="inlineStr">
        <is>
          <t>allow</t>
        </is>
      </c>
      <c r="T294" s="2">
        <f>K294=E294</f>
        <v/>
      </c>
      <c r="U294" s="2">
        <f>L294=F294</f>
        <v/>
      </c>
      <c r="V294" s="2">
        <f>IF(N294,EXACT(P294,G294),"")</f>
        <v/>
      </c>
      <c r="W294" s="2">
        <f>IF(O294,EXACT(Q294,H294),"")</f>
        <v/>
      </c>
      <c r="X294" s="2">
        <f>J294=C294</f>
        <v/>
      </c>
      <c r="Y294" s="2">
        <f>IF(R294="unknown","",R294=S294)</f>
        <v/>
      </c>
      <c r="Z294" s="2" t="inlineStr">
        <is>
          <t>A</t>
        </is>
      </c>
      <c r="AA294" s="2" t="inlineStr">
        <is>
          <t>A</t>
        </is>
      </c>
      <c r="AB294" s="2">
        <f>AND(N294,O294,A294&lt;&gt;"census-mixed")</f>
        <v/>
      </c>
      <c r="AC294" s="2">
        <f>IF(AB294,Z294=AA294,"")</f>
        <v/>
      </c>
    </row>
    <row r="295">
      <c r="A295" s="2" t="inlineStr">
        <is>
          <t>census-mixed</t>
        </is>
      </c>
      <c r="B295" s="2" t="inlineStr">
        <is>
          <t>openssl SecP384r1MLKEM1024</t>
        </is>
      </c>
      <c r="C295" s="2" t="inlineStr">
        <is>
          <t>skb-eval-80103-c5054</t>
        </is>
      </c>
      <c r="D295" s="2" t="n">
        <v>5054</v>
      </c>
      <c r="E295" s="2" t="n">
        <v>1934</v>
      </c>
      <c r="F295" s="2" t="n">
        <v>771</v>
      </c>
      <c r="G295" s="2" t="inlineStr">
        <is>
          <t>1302 1303 1301 c02c c030 009f cca9 cca8 ccaa c02b c02f 009e c024 c028 006b c023 c027 0067 c00a c014 0039 c009 c013 0033 009d 009c 003d 003c 0035 002f</t>
        </is>
      </c>
      <c r="H295" s="2" t="inlineStr">
        <is>
          <t>0304 0303</t>
        </is>
      </c>
      <c r="I295" s="2" t="n">
        <v>1</v>
      </c>
      <c r="J295" s="2" t="inlineStr">
        <is>
          <t>skb-eval-80103-c5054</t>
        </is>
      </c>
      <c r="K295" s="2" t="n">
        <v>1934</v>
      </c>
      <c r="L295" s="2" t="n">
        <v>771</v>
      </c>
      <c r="M295" s="2" t="n">
        <v>1443</v>
      </c>
      <c r="N295" s="2" t="b">
        <v>1</v>
      </c>
      <c r="O295" s="2" t="b">
        <v>1</v>
      </c>
      <c r="P295" s="2" t="inlineStr">
        <is>
          <t>1302 1303 1301 c02c c030 009f cca9 cca8 ccaa c02b c02f 009e c024 c028 006b c023 c027 0067 c00a c014 0039 c009 c013 0033 009d 009c 003d 003c 0035 002f</t>
        </is>
      </c>
      <c r="Q295" s="2" t="inlineStr">
        <is>
          <t>0304 0303</t>
        </is>
      </c>
      <c r="R295" s="2" t="inlineStr">
        <is>
          <t>allow</t>
        </is>
      </c>
      <c r="S295" s="2" t="inlineStr">
        <is>
          <t>allow</t>
        </is>
      </c>
      <c r="T295" s="2">
        <f>K295=E295</f>
        <v/>
      </c>
      <c r="U295" s="2">
        <f>L295=F295</f>
        <v/>
      </c>
      <c r="V295" s="2">
        <f>IF(N295,EXACT(P295,G295),"")</f>
        <v/>
      </c>
      <c r="W295" s="2">
        <f>IF(O295,EXACT(Q295,H295),"")</f>
        <v/>
      </c>
      <c r="X295" s="2">
        <f>J295=C295</f>
        <v/>
      </c>
      <c r="Y295" s="2">
        <f>IF(R295="unknown","",R295=S295)</f>
        <v/>
      </c>
      <c r="Z295" s="2" t="inlineStr">
        <is>
          <t>A</t>
        </is>
      </c>
      <c r="AA295" s="2" t="inlineStr">
        <is>
          <t>A</t>
        </is>
      </c>
      <c r="AB295" s="2">
        <f>AND(N295,O295,A295&lt;&gt;"census-mixed")</f>
        <v/>
      </c>
      <c r="AC295" s="2">
        <f>IF(AB295,Z295=AA295,"")</f>
        <v/>
      </c>
    </row>
    <row r="296">
      <c r="A296" s="2" t="inlineStr">
        <is>
          <t>census-mixed</t>
        </is>
      </c>
      <c r="B296" s="2" t="inlineStr">
        <is>
          <t>openssl SecP384r1MLKEM1024</t>
        </is>
      </c>
      <c r="C296" s="2" t="inlineStr">
        <is>
          <t>skb-eval-80103-c5055</t>
        </is>
      </c>
      <c r="D296" s="2" t="n">
        <v>5055</v>
      </c>
      <c r="E296" s="2" t="n">
        <v>1934</v>
      </c>
      <c r="F296" s="2" t="n">
        <v>771</v>
      </c>
      <c r="G296" s="2" t="inlineStr">
        <is>
          <t>1302 1303 1301 c02c c030 009f cca9 cca8 ccaa c02b c02f 009e c024 c028 006b c023 c027 0067 c00a c014 0039 c009 c013 0033 009d 009c 003d 003c 0035 002f</t>
        </is>
      </c>
      <c r="H296" s="2" t="inlineStr">
        <is>
          <t>0304 0303</t>
        </is>
      </c>
      <c r="I296" s="2" t="n">
        <v>1</v>
      </c>
      <c r="J296" s="2" t="inlineStr">
        <is>
          <t>skb-eval-80103-c5055</t>
        </is>
      </c>
      <c r="K296" s="2" t="n">
        <v>1934</v>
      </c>
      <c r="L296" s="2" t="n">
        <v>771</v>
      </c>
      <c r="M296" s="2" t="n">
        <v>1443</v>
      </c>
      <c r="N296" s="2" t="b">
        <v>1</v>
      </c>
      <c r="O296" s="2" t="b">
        <v>1</v>
      </c>
      <c r="P296" s="2" t="inlineStr">
        <is>
          <t>1302 1303 1301 c02c c030 009f cca9 cca8 ccaa c02b c02f 009e c024 c028 006b c023 c027 0067 c00a c014 0039 c009 c013 0033 009d 009c 003d 003c 0035 002f</t>
        </is>
      </c>
      <c r="Q296" s="2" t="inlineStr">
        <is>
          <t>0304 0303</t>
        </is>
      </c>
      <c r="R296" s="2" t="inlineStr">
        <is>
          <t>allow</t>
        </is>
      </c>
      <c r="S296" s="2" t="inlineStr">
        <is>
          <t>allow</t>
        </is>
      </c>
      <c r="T296" s="2">
        <f>K296=E296</f>
        <v/>
      </c>
      <c r="U296" s="2">
        <f>L296=F296</f>
        <v/>
      </c>
      <c r="V296" s="2">
        <f>IF(N296,EXACT(P296,G296),"")</f>
        <v/>
      </c>
      <c r="W296" s="2">
        <f>IF(O296,EXACT(Q296,H296),"")</f>
        <v/>
      </c>
      <c r="X296" s="2">
        <f>J296=C296</f>
        <v/>
      </c>
      <c r="Y296" s="2">
        <f>IF(R296="unknown","",R296=S296)</f>
        <v/>
      </c>
      <c r="Z296" s="2" t="inlineStr">
        <is>
          <t>A</t>
        </is>
      </c>
      <c r="AA296" s="2" t="inlineStr">
        <is>
          <t>A</t>
        </is>
      </c>
      <c r="AB296" s="2">
        <f>AND(N296,O296,A296&lt;&gt;"census-mixed")</f>
        <v/>
      </c>
      <c r="AC296" s="2">
        <f>IF(AB296,Z296=AA296,"")</f>
        <v/>
      </c>
    </row>
    <row r="297">
      <c r="A297" s="2" t="inlineStr">
        <is>
          <t>census-mixed</t>
        </is>
      </c>
      <c r="B297" s="2" t="inlineStr">
        <is>
          <t>openssl SecP384r1MLKEM1024</t>
        </is>
      </c>
      <c r="C297" s="2" t="inlineStr">
        <is>
          <t>skb-eval-80103-c5056</t>
        </is>
      </c>
      <c r="D297" s="2" t="n">
        <v>5056</v>
      </c>
      <c r="E297" s="2" t="n">
        <v>1934</v>
      </c>
      <c r="F297" s="2" t="n">
        <v>771</v>
      </c>
      <c r="G297" s="2" t="inlineStr">
        <is>
          <t>1302 1303 1301 c02c c030 009f cca9 cca8 ccaa c02b c02f 009e c024 c028 006b c023 c027 0067 c00a c014 0039 c009 c013 0033 009d 009c 003d 003c 0035 002f</t>
        </is>
      </c>
      <c r="H297" s="2" t="inlineStr">
        <is>
          <t>0304 0303</t>
        </is>
      </c>
      <c r="I297" s="2" t="n">
        <v>1</v>
      </c>
      <c r="J297" s="2" t="inlineStr">
        <is>
          <t>skb-eval-80103-c5056</t>
        </is>
      </c>
      <c r="K297" s="2" t="n">
        <v>1934</v>
      </c>
      <c r="L297" s="2" t="n">
        <v>771</v>
      </c>
      <c r="M297" s="2" t="n">
        <v>1443</v>
      </c>
      <c r="N297" s="2" t="b">
        <v>1</v>
      </c>
      <c r="O297" s="2" t="b">
        <v>1</v>
      </c>
      <c r="P297" s="2" t="inlineStr">
        <is>
          <t>1302 1303 1301 c02c c030 009f cca9 cca8 ccaa c02b c02f 009e c024 c028 006b c023 c027 0067 c00a c014 0039 c009 c013 0033 009d 009c 003d 003c 0035 002f</t>
        </is>
      </c>
      <c r="Q297" s="2" t="inlineStr">
        <is>
          <t>0304 0303</t>
        </is>
      </c>
      <c r="R297" s="2" t="inlineStr">
        <is>
          <t>allow</t>
        </is>
      </c>
      <c r="S297" s="2" t="inlineStr">
        <is>
          <t>allow</t>
        </is>
      </c>
      <c r="T297" s="2">
        <f>K297=E297</f>
        <v/>
      </c>
      <c r="U297" s="2">
        <f>L297=F297</f>
        <v/>
      </c>
      <c r="V297" s="2">
        <f>IF(N297,EXACT(P297,G297),"")</f>
        <v/>
      </c>
      <c r="W297" s="2">
        <f>IF(O297,EXACT(Q297,H297),"")</f>
        <v/>
      </c>
      <c r="X297" s="2">
        <f>J297=C297</f>
        <v/>
      </c>
      <c r="Y297" s="2">
        <f>IF(R297="unknown","",R297=S297)</f>
        <v/>
      </c>
      <c r="Z297" s="2" t="inlineStr">
        <is>
          <t>A</t>
        </is>
      </c>
      <c r="AA297" s="2" t="inlineStr">
        <is>
          <t>A</t>
        </is>
      </c>
      <c r="AB297" s="2">
        <f>AND(N297,O297,A297&lt;&gt;"census-mixed")</f>
        <v/>
      </c>
      <c r="AC297" s="2">
        <f>IF(AB297,Z297=AA297,"")</f>
        <v/>
      </c>
    </row>
    <row r="298">
      <c r="A298" s="2" t="inlineStr">
        <is>
          <t>census-mixed</t>
        </is>
      </c>
      <c r="B298" s="2" t="inlineStr">
        <is>
          <t>openssl SecP384r1MLKEM1024</t>
        </is>
      </c>
      <c r="C298" s="2" t="inlineStr">
        <is>
          <t>skb-eval-80103-c5057</t>
        </is>
      </c>
      <c r="D298" s="2" t="n">
        <v>5057</v>
      </c>
      <c r="E298" s="2" t="n">
        <v>1934</v>
      </c>
      <c r="F298" s="2" t="n">
        <v>771</v>
      </c>
      <c r="G298" s="2" t="inlineStr">
        <is>
          <t>1302 1303 1301 c02c c030 009f cca9 cca8 ccaa c02b c02f 009e c024 c028 006b c023 c027 0067 c00a c014 0039 c009 c013 0033 009d 009c 003d 003c 0035 002f</t>
        </is>
      </c>
      <c r="H298" s="2" t="inlineStr">
        <is>
          <t>0304 0303</t>
        </is>
      </c>
      <c r="I298" s="2" t="n">
        <v>1</v>
      </c>
      <c r="J298" s="2" t="inlineStr">
        <is>
          <t>skb-eval-80103-c5057</t>
        </is>
      </c>
      <c r="K298" s="2" t="n">
        <v>1934</v>
      </c>
      <c r="L298" s="2" t="n">
        <v>771</v>
      </c>
      <c r="M298" s="2" t="n">
        <v>1443</v>
      </c>
      <c r="N298" s="2" t="b">
        <v>1</v>
      </c>
      <c r="O298" s="2" t="b">
        <v>1</v>
      </c>
      <c r="P298" s="2" t="inlineStr">
        <is>
          <t>1302 1303 1301 c02c c030 009f cca9 cca8 ccaa c02b c02f 009e c024 c028 006b c023 c027 0067 c00a c014 0039 c009 c013 0033 009d 009c 003d 003c 0035 002f</t>
        </is>
      </c>
      <c r="Q298" s="2" t="inlineStr">
        <is>
          <t>0304 0303</t>
        </is>
      </c>
      <c r="R298" s="2" t="inlineStr">
        <is>
          <t>allow</t>
        </is>
      </c>
      <c r="S298" s="2" t="inlineStr">
        <is>
          <t>allow</t>
        </is>
      </c>
      <c r="T298" s="2">
        <f>K298=E298</f>
        <v/>
      </c>
      <c r="U298" s="2">
        <f>L298=F298</f>
        <v/>
      </c>
      <c r="V298" s="2">
        <f>IF(N298,EXACT(P298,G298),"")</f>
        <v/>
      </c>
      <c r="W298" s="2">
        <f>IF(O298,EXACT(Q298,H298),"")</f>
        <v/>
      </c>
      <c r="X298" s="2">
        <f>J298=C298</f>
        <v/>
      </c>
      <c r="Y298" s="2">
        <f>IF(R298="unknown","",R298=S298)</f>
        <v/>
      </c>
      <c r="Z298" s="2" t="inlineStr">
        <is>
          <t>A</t>
        </is>
      </c>
      <c r="AA298" s="2" t="inlineStr">
        <is>
          <t>A</t>
        </is>
      </c>
      <c r="AB298" s="2">
        <f>AND(N298,O298,A298&lt;&gt;"census-mixed")</f>
        <v/>
      </c>
      <c r="AC298" s="2">
        <f>IF(AB298,Z298=AA298,"")</f>
        <v/>
      </c>
    </row>
    <row r="299">
      <c r="A299" s="2" t="inlineStr">
        <is>
          <t>census-mixed</t>
        </is>
      </c>
      <c r="B299" s="2" t="inlineStr">
        <is>
          <t>openssl SecP384r1MLKEM1024</t>
        </is>
      </c>
      <c r="C299" s="2" t="inlineStr">
        <is>
          <t>skb-eval-80103-c5058</t>
        </is>
      </c>
      <c r="D299" s="2" t="n">
        <v>5058</v>
      </c>
      <c r="E299" s="2" t="n">
        <v>1934</v>
      </c>
      <c r="F299" s="2" t="n">
        <v>771</v>
      </c>
      <c r="G299" s="2" t="inlineStr">
        <is>
          <t>1302 1303 1301 c02c c030 009f cca9 cca8 ccaa c02b c02f 009e c024 c028 006b c023 c027 0067 c00a c014 0039 c009 c013 0033 009d 009c 003d 003c 0035 002f</t>
        </is>
      </c>
      <c r="H299" s="2" t="inlineStr">
        <is>
          <t>0304 0303</t>
        </is>
      </c>
      <c r="I299" s="2" t="n">
        <v>1</v>
      </c>
      <c r="J299" s="2" t="inlineStr">
        <is>
          <t>skb-eval-80103-c5058</t>
        </is>
      </c>
      <c r="K299" s="2" t="n">
        <v>1934</v>
      </c>
      <c r="L299" s="2" t="n">
        <v>771</v>
      </c>
      <c r="M299" s="2" t="n">
        <v>1443</v>
      </c>
      <c r="N299" s="2" t="b">
        <v>1</v>
      </c>
      <c r="O299" s="2" t="b">
        <v>1</v>
      </c>
      <c r="P299" s="2" t="inlineStr">
        <is>
          <t>1302 1303 1301 c02c c030 009f cca9 cca8 ccaa c02b c02f 009e c024 c028 006b c023 c027 0067 c00a c014 0039 c009 c013 0033 009d 009c 003d 003c 0035 002f</t>
        </is>
      </c>
      <c r="Q299" s="2" t="inlineStr">
        <is>
          <t>0304 0303</t>
        </is>
      </c>
      <c r="R299" s="2" t="inlineStr">
        <is>
          <t>allow</t>
        </is>
      </c>
      <c r="S299" s="2" t="inlineStr">
        <is>
          <t>allow</t>
        </is>
      </c>
      <c r="T299" s="2">
        <f>K299=E299</f>
        <v/>
      </c>
      <c r="U299" s="2">
        <f>L299=F299</f>
        <v/>
      </c>
      <c r="V299" s="2">
        <f>IF(N299,EXACT(P299,G299),"")</f>
        <v/>
      </c>
      <c r="W299" s="2">
        <f>IF(O299,EXACT(Q299,H299),"")</f>
        <v/>
      </c>
      <c r="X299" s="2">
        <f>J299=C299</f>
        <v/>
      </c>
      <c r="Y299" s="2">
        <f>IF(R299="unknown","",R299=S299)</f>
        <v/>
      </c>
      <c r="Z299" s="2" t="inlineStr">
        <is>
          <t>A</t>
        </is>
      </c>
      <c r="AA299" s="2" t="inlineStr">
        <is>
          <t>A</t>
        </is>
      </c>
      <c r="AB299" s="2">
        <f>AND(N299,O299,A299&lt;&gt;"census-mixed")</f>
        <v/>
      </c>
      <c r="AC299" s="2">
        <f>IF(AB299,Z299=AA299,"")</f>
        <v/>
      </c>
    </row>
    <row r="300">
      <c r="A300" s="2" t="inlineStr">
        <is>
          <t>census-mixed</t>
        </is>
      </c>
      <c r="B300" s="2" t="inlineStr">
        <is>
          <t>openssl SecP384r1MLKEM1024</t>
        </is>
      </c>
      <c r="C300" s="2" t="inlineStr">
        <is>
          <t>skb-eval-80103-c5059</t>
        </is>
      </c>
      <c r="D300" s="2" t="n">
        <v>5059</v>
      </c>
      <c r="E300" s="2" t="n">
        <v>1934</v>
      </c>
      <c r="F300" s="2" t="n">
        <v>771</v>
      </c>
      <c r="G300" s="2" t="inlineStr">
        <is>
          <t>1302 1303 1301 c02c c030 009f cca9 cca8 ccaa c02b c02f 009e c024 c028 006b c023 c027 0067 c00a c014 0039 c009 c013 0033 009d 009c 003d 003c 0035 002f</t>
        </is>
      </c>
      <c r="H300" s="2" t="inlineStr">
        <is>
          <t>0304 0303</t>
        </is>
      </c>
      <c r="I300" s="2" t="n">
        <v>1</v>
      </c>
      <c r="J300" s="2" t="inlineStr">
        <is>
          <t>skb-eval-80103-c5059</t>
        </is>
      </c>
      <c r="K300" s="2" t="n">
        <v>1934</v>
      </c>
      <c r="L300" s="2" t="n">
        <v>771</v>
      </c>
      <c r="M300" s="2" t="n">
        <v>1443</v>
      </c>
      <c r="N300" s="2" t="b">
        <v>1</v>
      </c>
      <c r="O300" s="2" t="b">
        <v>1</v>
      </c>
      <c r="P300" s="2" t="inlineStr">
        <is>
          <t>1302 1303 1301 c02c c030 009f cca9 cca8 ccaa c02b c02f 009e c024 c028 006b c023 c027 0067 c00a c014 0039 c009 c013 0033 009d 009c 003d 003c 0035 002f</t>
        </is>
      </c>
      <c r="Q300" s="2" t="inlineStr">
        <is>
          <t>0304 0303</t>
        </is>
      </c>
      <c r="R300" s="2" t="inlineStr">
        <is>
          <t>allow</t>
        </is>
      </c>
      <c r="S300" s="2" t="inlineStr">
        <is>
          <t>allow</t>
        </is>
      </c>
      <c r="T300" s="2">
        <f>K300=E300</f>
        <v/>
      </c>
      <c r="U300" s="2">
        <f>L300=F300</f>
        <v/>
      </c>
      <c r="V300" s="2">
        <f>IF(N300,EXACT(P300,G300),"")</f>
        <v/>
      </c>
      <c r="W300" s="2">
        <f>IF(O300,EXACT(Q300,H300),"")</f>
        <v/>
      </c>
      <c r="X300" s="2">
        <f>J300=C300</f>
        <v/>
      </c>
      <c r="Y300" s="2">
        <f>IF(R300="unknown","",R300=S300)</f>
        <v/>
      </c>
      <c r="Z300" s="2" t="inlineStr">
        <is>
          <t>A</t>
        </is>
      </c>
      <c r="AA300" s="2" t="inlineStr">
        <is>
          <t>A</t>
        </is>
      </c>
      <c r="AB300" s="2">
        <f>AND(N300,O300,A300&lt;&gt;"census-mixed")</f>
        <v/>
      </c>
      <c r="AC300" s="2">
        <f>IF(AB300,Z300=AA300,"")</f>
        <v/>
      </c>
    </row>
    <row r="301">
      <c r="A301" s="2" t="inlineStr">
        <is>
          <t>census-mixed</t>
        </is>
      </c>
      <c r="B301" s="2" t="inlineStr">
        <is>
          <t>openssl SecP384r1MLKEM1024</t>
        </is>
      </c>
      <c r="C301" s="2" t="inlineStr">
        <is>
          <t>skb-eval-80103-c5060</t>
        </is>
      </c>
      <c r="D301" s="2" t="n">
        <v>5060</v>
      </c>
      <c r="E301" s="2" t="n">
        <v>1934</v>
      </c>
      <c r="F301" s="2" t="n">
        <v>771</v>
      </c>
      <c r="G301" s="2" t="inlineStr">
        <is>
          <t>1302 1303 1301 c02c c030 009f cca9 cca8 ccaa c02b c02f 009e c024 c028 006b c023 c027 0067 c00a c014 0039 c009 c013 0033 009d 009c 003d 003c 0035 002f</t>
        </is>
      </c>
      <c r="H301" s="2" t="inlineStr">
        <is>
          <t>0304 0303</t>
        </is>
      </c>
      <c r="I301" s="2" t="n">
        <v>1</v>
      </c>
      <c r="J301" s="2" t="inlineStr">
        <is>
          <t>skb-eval-80103-c5060</t>
        </is>
      </c>
      <c r="K301" s="2" t="n">
        <v>1934</v>
      </c>
      <c r="L301" s="2" t="n">
        <v>771</v>
      </c>
      <c r="M301" s="2" t="n">
        <v>1443</v>
      </c>
      <c r="N301" s="2" t="b">
        <v>1</v>
      </c>
      <c r="O301" s="2" t="b">
        <v>1</v>
      </c>
      <c r="P301" s="2" t="inlineStr">
        <is>
          <t>1302 1303 1301 c02c c030 009f cca9 cca8 ccaa c02b c02f 009e c024 c028 006b c023 c027 0067 c00a c014 0039 c009 c013 0033 009d 009c 003d 003c 0035 002f</t>
        </is>
      </c>
      <c r="Q301" s="2" t="inlineStr">
        <is>
          <t>0304 0303</t>
        </is>
      </c>
      <c r="R301" s="2" t="inlineStr">
        <is>
          <t>allow</t>
        </is>
      </c>
      <c r="S301" s="2" t="inlineStr">
        <is>
          <t>allow</t>
        </is>
      </c>
      <c r="T301" s="2">
        <f>K301=E301</f>
        <v/>
      </c>
      <c r="U301" s="2">
        <f>L301=F301</f>
        <v/>
      </c>
      <c r="V301" s="2">
        <f>IF(N301,EXACT(P301,G301),"")</f>
        <v/>
      </c>
      <c r="W301" s="2">
        <f>IF(O301,EXACT(Q301,H301),"")</f>
        <v/>
      </c>
      <c r="X301" s="2">
        <f>J301=C301</f>
        <v/>
      </c>
      <c r="Y301" s="2">
        <f>IF(R301="unknown","",R301=S301)</f>
        <v/>
      </c>
      <c r="Z301" s="2" t="inlineStr">
        <is>
          <t>A</t>
        </is>
      </c>
      <c r="AA301" s="2" t="inlineStr">
        <is>
          <t>A</t>
        </is>
      </c>
      <c r="AB301" s="2">
        <f>AND(N301,O301,A301&lt;&gt;"census-mixed")</f>
        <v/>
      </c>
      <c r="AC301" s="2">
        <f>IF(AB301,Z301=AA301,"")</f>
        <v/>
      </c>
    </row>
    <row r="302">
      <c r="A302" s="2" t="inlineStr">
        <is>
          <t>census-mixed</t>
        </is>
      </c>
      <c r="B302" s="2" t="inlineStr">
        <is>
          <t>openssl MLKEM768 (pure PQ)</t>
        </is>
      </c>
      <c r="C302" s="2" t="inlineStr">
        <is>
          <t>skb-eval-80103-c5061</t>
        </is>
      </c>
      <c r="D302" s="2" t="n">
        <v>5061</v>
      </c>
      <c r="E302" s="2" t="n">
        <v>1453</v>
      </c>
      <c r="F302" s="2" t="n">
        <v>771</v>
      </c>
      <c r="G302" s="2" t="inlineStr">
        <is>
          <t>1302 1303 1301 c02c c030 009f cca9 cca8 ccaa c02b c02f 009e c024 c028 006b c023 c027 0067 c00a c014 0039 c009 c013 0033 009d 009c 003d 003c 0035 002f</t>
        </is>
      </c>
      <c r="H302" s="2" t="inlineStr">
        <is>
          <t>0304 0303</t>
        </is>
      </c>
      <c r="I302" s="2" t="n">
        <v>1</v>
      </c>
      <c r="J302" s="2" t="inlineStr">
        <is>
          <t>skb-eval-80103-c5061</t>
        </is>
      </c>
      <c r="K302" s="2" t="n">
        <v>1453</v>
      </c>
      <c r="L302" s="2" t="n">
        <v>771</v>
      </c>
      <c r="M302" s="2" t="n">
        <v>1443</v>
      </c>
      <c r="N302" s="2" t="b">
        <v>1</v>
      </c>
      <c r="O302" s="2" t="b">
        <v>1</v>
      </c>
      <c r="P302" s="2" t="inlineStr">
        <is>
          <t>1302 1303 1301 c02c c030 009f cca9 cca8 ccaa c02b c02f 009e c024 c028 006b c023 c027 0067 c00a c014 0039 c009 c013 0033 009d 009c 003d 003c 0035 002f</t>
        </is>
      </c>
      <c r="Q302" s="2" t="inlineStr">
        <is>
          <t>0304 0303</t>
        </is>
      </c>
      <c r="R302" s="2" t="inlineStr">
        <is>
          <t>allow</t>
        </is>
      </c>
      <c r="S302" s="2" t="inlineStr">
        <is>
          <t>allow</t>
        </is>
      </c>
      <c r="T302" s="2">
        <f>K302=E302</f>
        <v/>
      </c>
      <c r="U302" s="2">
        <f>L302=F302</f>
        <v/>
      </c>
      <c r="V302" s="2">
        <f>IF(N302,EXACT(P302,G302),"")</f>
        <v/>
      </c>
      <c r="W302" s="2">
        <f>IF(O302,EXACT(Q302,H302),"")</f>
        <v/>
      </c>
      <c r="X302" s="2">
        <f>J302=C302</f>
        <v/>
      </c>
      <c r="Y302" s="2">
        <f>IF(R302="unknown","",R302=S302)</f>
        <v/>
      </c>
      <c r="Z302" s="2" t="inlineStr">
        <is>
          <t>A</t>
        </is>
      </c>
      <c r="AA302" s="2" t="inlineStr">
        <is>
          <t>A</t>
        </is>
      </c>
      <c r="AB302" s="2">
        <f>AND(N302,O302,A302&lt;&gt;"census-mixed")</f>
        <v/>
      </c>
      <c r="AC302" s="2">
        <f>IF(AB302,Z302=AA302,"")</f>
        <v/>
      </c>
    </row>
    <row r="303">
      <c r="A303" s="2" t="inlineStr">
        <is>
          <t>census-mixed</t>
        </is>
      </c>
      <c r="B303" s="2" t="inlineStr">
        <is>
          <t>openssl MLKEM768 (pure PQ)</t>
        </is>
      </c>
      <c r="C303" s="2" t="inlineStr">
        <is>
          <t>skb-eval-80103-c5062</t>
        </is>
      </c>
      <c r="D303" s="2" t="n">
        <v>5062</v>
      </c>
      <c r="E303" s="2" t="n">
        <v>1453</v>
      </c>
      <c r="F303" s="2" t="n">
        <v>771</v>
      </c>
      <c r="G303" s="2" t="inlineStr">
        <is>
          <t>1302 1303 1301 c02c c030 009f cca9 cca8 ccaa c02b c02f 009e c024 c028 006b c023 c027 0067 c00a c014 0039 c009 c013 0033 009d 009c 003d 003c 0035 002f</t>
        </is>
      </c>
      <c r="H303" s="2" t="inlineStr">
        <is>
          <t>0304 0303</t>
        </is>
      </c>
      <c r="I303" s="2" t="n">
        <v>1</v>
      </c>
      <c r="J303" s="2" t="inlineStr">
        <is>
          <t>skb-eval-80103-c5062</t>
        </is>
      </c>
      <c r="K303" s="2" t="n">
        <v>1453</v>
      </c>
      <c r="L303" s="2" t="n">
        <v>771</v>
      </c>
      <c r="M303" s="2" t="n">
        <v>1443</v>
      </c>
      <c r="N303" s="2" t="b">
        <v>1</v>
      </c>
      <c r="O303" s="2" t="b">
        <v>1</v>
      </c>
      <c r="P303" s="2" t="inlineStr">
        <is>
          <t>1302 1303 1301 c02c c030 009f cca9 cca8 ccaa c02b c02f 009e c024 c028 006b c023 c027 0067 c00a c014 0039 c009 c013 0033 009d 009c 003d 003c 0035 002f</t>
        </is>
      </c>
      <c r="Q303" s="2" t="inlineStr">
        <is>
          <t>0304 0303</t>
        </is>
      </c>
      <c r="R303" s="2" t="inlineStr">
        <is>
          <t>allow</t>
        </is>
      </c>
      <c r="S303" s="2" t="inlineStr">
        <is>
          <t>allow</t>
        </is>
      </c>
      <c r="T303" s="2">
        <f>K303=E303</f>
        <v/>
      </c>
      <c r="U303" s="2">
        <f>L303=F303</f>
        <v/>
      </c>
      <c r="V303" s="2">
        <f>IF(N303,EXACT(P303,G303),"")</f>
        <v/>
      </c>
      <c r="W303" s="2">
        <f>IF(O303,EXACT(Q303,H303),"")</f>
        <v/>
      </c>
      <c r="X303" s="2">
        <f>J303=C303</f>
        <v/>
      </c>
      <c r="Y303" s="2">
        <f>IF(R303="unknown","",R303=S303)</f>
        <v/>
      </c>
      <c r="Z303" s="2" t="inlineStr">
        <is>
          <t>A</t>
        </is>
      </c>
      <c r="AA303" s="2" t="inlineStr">
        <is>
          <t>A</t>
        </is>
      </c>
      <c r="AB303" s="2">
        <f>AND(N303,O303,A303&lt;&gt;"census-mixed")</f>
        <v/>
      </c>
      <c r="AC303" s="2">
        <f>IF(AB303,Z303=AA303,"")</f>
        <v/>
      </c>
    </row>
    <row r="304">
      <c r="A304" s="2" t="inlineStr">
        <is>
          <t>census-mixed</t>
        </is>
      </c>
      <c r="B304" s="2" t="inlineStr">
        <is>
          <t>openssl MLKEM768 (pure PQ)</t>
        </is>
      </c>
      <c r="C304" s="2" t="inlineStr">
        <is>
          <t>skb-eval-80103-c5063</t>
        </is>
      </c>
      <c r="D304" s="2" t="n">
        <v>5063</v>
      </c>
      <c r="E304" s="2" t="n">
        <v>1453</v>
      </c>
      <c r="F304" s="2" t="n">
        <v>771</v>
      </c>
      <c r="G304" s="2" t="inlineStr">
        <is>
          <t>1302 1303 1301 c02c c030 009f cca9 cca8 ccaa c02b c02f 009e c024 c028 006b c023 c027 0067 c00a c014 0039 c009 c013 0033 009d 009c 003d 003c 0035 002f</t>
        </is>
      </c>
      <c r="H304" s="2" t="inlineStr">
        <is>
          <t>0304 0303</t>
        </is>
      </c>
      <c r="I304" s="2" t="n">
        <v>1</v>
      </c>
      <c r="J304" s="2" t="inlineStr">
        <is>
          <t>skb-eval-80103-c5063</t>
        </is>
      </c>
      <c r="K304" s="2" t="n">
        <v>1453</v>
      </c>
      <c r="L304" s="2" t="n">
        <v>771</v>
      </c>
      <c r="M304" s="2" t="n">
        <v>1443</v>
      </c>
      <c r="N304" s="2" t="b">
        <v>1</v>
      </c>
      <c r="O304" s="2" t="b">
        <v>1</v>
      </c>
      <c r="P304" s="2" t="inlineStr">
        <is>
          <t>1302 1303 1301 c02c c030 009f cca9 cca8 ccaa c02b c02f 009e c024 c028 006b c023 c027 0067 c00a c014 0039 c009 c013 0033 009d 009c 003d 003c 0035 002f</t>
        </is>
      </c>
      <c r="Q304" s="2" t="inlineStr">
        <is>
          <t>0304 0303</t>
        </is>
      </c>
      <c r="R304" s="2" t="inlineStr">
        <is>
          <t>allow</t>
        </is>
      </c>
      <c r="S304" s="2" t="inlineStr">
        <is>
          <t>allow</t>
        </is>
      </c>
      <c r="T304" s="2">
        <f>K304=E304</f>
        <v/>
      </c>
      <c r="U304" s="2">
        <f>L304=F304</f>
        <v/>
      </c>
      <c r="V304" s="2">
        <f>IF(N304,EXACT(P304,G304),"")</f>
        <v/>
      </c>
      <c r="W304" s="2">
        <f>IF(O304,EXACT(Q304,H304),"")</f>
        <v/>
      </c>
      <c r="X304" s="2">
        <f>J304=C304</f>
        <v/>
      </c>
      <c r="Y304" s="2">
        <f>IF(R304="unknown","",R304=S304)</f>
        <v/>
      </c>
      <c r="Z304" s="2" t="inlineStr">
        <is>
          <t>A</t>
        </is>
      </c>
      <c r="AA304" s="2" t="inlineStr">
        <is>
          <t>A</t>
        </is>
      </c>
      <c r="AB304" s="2">
        <f>AND(N304,O304,A304&lt;&gt;"census-mixed")</f>
        <v/>
      </c>
      <c r="AC304" s="2">
        <f>IF(AB304,Z304=AA304,"")</f>
        <v/>
      </c>
    </row>
    <row r="305">
      <c r="A305" s="2" t="inlineStr">
        <is>
          <t>census-mixed</t>
        </is>
      </c>
      <c r="B305" s="2" t="inlineStr">
        <is>
          <t>openssl MLKEM768 (pure PQ)</t>
        </is>
      </c>
      <c r="C305" s="2" t="inlineStr">
        <is>
          <t>skb-eval-80103-c5064</t>
        </is>
      </c>
      <c r="D305" s="2" t="n">
        <v>5064</v>
      </c>
      <c r="E305" s="2" t="n">
        <v>1453</v>
      </c>
      <c r="F305" s="2" t="n">
        <v>771</v>
      </c>
      <c r="G305" s="2" t="inlineStr">
        <is>
          <t>1302 1303 1301 c02c c030 009f cca9 cca8 ccaa c02b c02f 009e c024 c028 006b c023 c027 0067 c00a c014 0039 c009 c013 0033 009d 009c 003d 003c 0035 002f</t>
        </is>
      </c>
      <c r="H305" s="2" t="inlineStr">
        <is>
          <t>0304 0303</t>
        </is>
      </c>
      <c r="I305" s="2" t="n">
        <v>1</v>
      </c>
      <c r="J305" s="2" t="inlineStr">
        <is>
          <t>skb-eval-80103-c5064</t>
        </is>
      </c>
      <c r="K305" s="2" t="n">
        <v>1453</v>
      </c>
      <c r="L305" s="2" t="n">
        <v>771</v>
      </c>
      <c r="M305" s="2" t="n">
        <v>1443</v>
      </c>
      <c r="N305" s="2" t="b">
        <v>1</v>
      </c>
      <c r="O305" s="2" t="b">
        <v>1</v>
      </c>
      <c r="P305" s="2" t="inlineStr">
        <is>
          <t>1302 1303 1301 c02c c030 009f cca9 cca8 ccaa c02b c02f 009e c024 c028 006b c023 c027 0067 c00a c014 0039 c009 c013 0033 009d 009c 003d 003c 0035 002f</t>
        </is>
      </c>
      <c r="Q305" s="2" t="inlineStr">
        <is>
          <t>0304 0303</t>
        </is>
      </c>
      <c r="R305" s="2" t="inlineStr">
        <is>
          <t>allow</t>
        </is>
      </c>
      <c r="S305" s="2" t="inlineStr">
        <is>
          <t>allow</t>
        </is>
      </c>
      <c r="T305" s="2">
        <f>K305=E305</f>
        <v/>
      </c>
      <c r="U305" s="2">
        <f>L305=F305</f>
        <v/>
      </c>
      <c r="V305" s="2">
        <f>IF(N305,EXACT(P305,G305),"")</f>
        <v/>
      </c>
      <c r="W305" s="2">
        <f>IF(O305,EXACT(Q305,H305),"")</f>
        <v/>
      </c>
      <c r="X305" s="2">
        <f>J305=C305</f>
        <v/>
      </c>
      <c r="Y305" s="2">
        <f>IF(R305="unknown","",R305=S305)</f>
        <v/>
      </c>
      <c r="Z305" s="2" t="inlineStr">
        <is>
          <t>A</t>
        </is>
      </c>
      <c r="AA305" s="2" t="inlineStr">
        <is>
          <t>A</t>
        </is>
      </c>
      <c r="AB305" s="2">
        <f>AND(N305,O305,A305&lt;&gt;"census-mixed")</f>
        <v/>
      </c>
      <c r="AC305" s="2">
        <f>IF(AB305,Z305=AA305,"")</f>
        <v/>
      </c>
    </row>
    <row r="306">
      <c r="A306" s="2" t="inlineStr">
        <is>
          <t>census-mixed</t>
        </is>
      </c>
      <c r="B306" s="2" t="inlineStr">
        <is>
          <t>openssl MLKEM768 (pure PQ)</t>
        </is>
      </c>
      <c r="C306" s="2" t="inlineStr">
        <is>
          <t>skb-eval-80103-c5065</t>
        </is>
      </c>
      <c r="D306" s="2" t="n">
        <v>5065</v>
      </c>
      <c r="E306" s="2" t="n">
        <v>1453</v>
      </c>
      <c r="F306" s="2" t="n">
        <v>771</v>
      </c>
      <c r="G306" s="2" t="inlineStr">
        <is>
          <t>1302 1303 1301 c02c c030 009f cca9 cca8 ccaa c02b c02f 009e c024 c028 006b c023 c027 0067 c00a c014 0039 c009 c013 0033 009d 009c 003d 003c 0035 002f</t>
        </is>
      </c>
      <c r="H306" s="2" t="inlineStr">
        <is>
          <t>0304 0303</t>
        </is>
      </c>
      <c r="I306" s="2" t="n">
        <v>1</v>
      </c>
      <c r="J306" s="2" t="inlineStr">
        <is>
          <t>skb-eval-80103-c5065</t>
        </is>
      </c>
      <c r="K306" s="2" t="n">
        <v>1453</v>
      </c>
      <c r="L306" s="2" t="n">
        <v>771</v>
      </c>
      <c r="M306" s="2" t="n">
        <v>1443</v>
      </c>
      <c r="N306" s="2" t="b">
        <v>1</v>
      </c>
      <c r="O306" s="2" t="b">
        <v>1</v>
      </c>
      <c r="P306" s="2" t="inlineStr">
        <is>
          <t>1302 1303 1301 c02c c030 009f cca9 cca8 ccaa c02b c02f 009e c024 c028 006b c023 c027 0067 c00a c014 0039 c009 c013 0033 009d 009c 003d 003c 0035 002f</t>
        </is>
      </c>
      <c r="Q306" s="2" t="inlineStr">
        <is>
          <t>0304 0303</t>
        </is>
      </c>
      <c r="R306" s="2" t="inlineStr">
        <is>
          <t>allow</t>
        </is>
      </c>
      <c r="S306" s="2" t="inlineStr">
        <is>
          <t>allow</t>
        </is>
      </c>
      <c r="T306" s="2">
        <f>K306=E306</f>
        <v/>
      </c>
      <c r="U306" s="2">
        <f>L306=F306</f>
        <v/>
      </c>
      <c r="V306" s="2">
        <f>IF(N306,EXACT(P306,G306),"")</f>
        <v/>
      </c>
      <c r="W306" s="2">
        <f>IF(O306,EXACT(Q306,H306),"")</f>
        <v/>
      </c>
      <c r="X306" s="2">
        <f>J306=C306</f>
        <v/>
      </c>
      <c r="Y306" s="2">
        <f>IF(R306="unknown","",R306=S306)</f>
        <v/>
      </c>
      <c r="Z306" s="2" t="inlineStr">
        <is>
          <t>A</t>
        </is>
      </c>
      <c r="AA306" s="2" t="inlineStr">
        <is>
          <t>A</t>
        </is>
      </c>
      <c r="AB306" s="2">
        <f>AND(N306,O306,A306&lt;&gt;"census-mixed")</f>
        <v/>
      </c>
      <c r="AC306" s="2">
        <f>IF(AB306,Z306=AA306,"")</f>
        <v/>
      </c>
    </row>
    <row r="307">
      <c r="A307" s="2" t="inlineStr">
        <is>
          <t>census-mixed</t>
        </is>
      </c>
      <c r="B307" s="2" t="inlineStr">
        <is>
          <t>openssl MLKEM768 (pure PQ)</t>
        </is>
      </c>
      <c r="C307" s="2" t="inlineStr">
        <is>
          <t>skb-eval-80103-c5066</t>
        </is>
      </c>
      <c r="D307" s="2" t="n">
        <v>5066</v>
      </c>
      <c r="E307" s="2" t="n">
        <v>1453</v>
      </c>
      <c r="F307" s="2" t="n">
        <v>771</v>
      </c>
      <c r="G307" s="2" t="inlineStr">
        <is>
          <t>1302 1303 1301 c02c c030 009f cca9 cca8 ccaa c02b c02f 009e c024 c028 006b c023 c027 0067 c00a c014 0039 c009 c013 0033 009d 009c 003d 003c 0035 002f</t>
        </is>
      </c>
      <c r="H307" s="2" t="inlineStr">
        <is>
          <t>0304 0303</t>
        </is>
      </c>
      <c r="I307" s="2" t="n">
        <v>1</v>
      </c>
      <c r="J307" s="2" t="inlineStr">
        <is>
          <t>skb-eval-80103-c5066</t>
        </is>
      </c>
      <c r="K307" s="2" t="n">
        <v>1453</v>
      </c>
      <c r="L307" s="2" t="n">
        <v>771</v>
      </c>
      <c r="M307" s="2" t="n">
        <v>1443</v>
      </c>
      <c r="N307" s="2" t="b">
        <v>1</v>
      </c>
      <c r="O307" s="2" t="b">
        <v>1</v>
      </c>
      <c r="P307" s="2" t="inlineStr">
        <is>
          <t>1302 1303 1301 c02c c030 009f cca9 cca8 ccaa c02b c02f 009e c024 c028 006b c023 c027 0067 c00a c014 0039 c009 c013 0033 009d 009c 003d 003c 0035 002f</t>
        </is>
      </c>
      <c r="Q307" s="2" t="inlineStr">
        <is>
          <t>0304 0303</t>
        </is>
      </c>
      <c r="R307" s="2" t="inlineStr">
        <is>
          <t>allow</t>
        </is>
      </c>
      <c r="S307" s="2" t="inlineStr">
        <is>
          <t>allow</t>
        </is>
      </c>
      <c r="T307" s="2">
        <f>K307=E307</f>
        <v/>
      </c>
      <c r="U307" s="2">
        <f>L307=F307</f>
        <v/>
      </c>
      <c r="V307" s="2">
        <f>IF(N307,EXACT(P307,G307),"")</f>
        <v/>
      </c>
      <c r="W307" s="2">
        <f>IF(O307,EXACT(Q307,H307),"")</f>
        <v/>
      </c>
      <c r="X307" s="2">
        <f>J307=C307</f>
        <v/>
      </c>
      <c r="Y307" s="2">
        <f>IF(R307="unknown","",R307=S307)</f>
        <v/>
      </c>
      <c r="Z307" s="2" t="inlineStr">
        <is>
          <t>A</t>
        </is>
      </c>
      <c r="AA307" s="2" t="inlineStr">
        <is>
          <t>A</t>
        </is>
      </c>
      <c r="AB307" s="2">
        <f>AND(N307,O307,A307&lt;&gt;"census-mixed")</f>
        <v/>
      </c>
      <c r="AC307" s="2">
        <f>IF(AB307,Z307=AA307,"")</f>
        <v/>
      </c>
    </row>
    <row r="308">
      <c r="A308" s="2" t="inlineStr">
        <is>
          <t>census-mixed</t>
        </is>
      </c>
      <c r="B308" s="2" t="inlineStr">
        <is>
          <t>openssl MLKEM768 (pure PQ)</t>
        </is>
      </c>
      <c r="C308" s="2" t="inlineStr">
        <is>
          <t>skb-eval-80103-c5067</t>
        </is>
      </c>
      <c r="D308" s="2" t="n">
        <v>5067</v>
      </c>
      <c r="E308" s="2" t="n">
        <v>1453</v>
      </c>
      <c r="F308" s="2" t="n">
        <v>771</v>
      </c>
      <c r="G308" s="2" t="inlineStr">
        <is>
          <t>1302 1303 1301 c02c c030 009f cca9 cca8 ccaa c02b c02f 009e c024 c028 006b c023 c027 0067 c00a c014 0039 c009 c013 0033 009d 009c 003d 003c 0035 002f</t>
        </is>
      </c>
      <c r="H308" s="2" t="inlineStr">
        <is>
          <t>0304 0303</t>
        </is>
      </c>
      <c r="I308" s="2" t="n">
        <v>1</v>
      </c>
      <c r="J308" s="2" t="inlineStr">
        <is>
          <t>skb-eval-80103-c5067</t>
        </is>
      </c>
      <c r="K308" s="2" t="n">
        <v>1453</v>
      </c>
      <c r="L308" s="2" t="n">
        <v>771</v>
      </c>
      <c r="M308" s="2" t="n">
        <v>1443</v>
      </c>
      <c r="N308" s="2" t="b">
        <v>1</v>
      </c>
      <c r="O308" s="2" t="b">
        <v>1</v>
      </c>
      <c r="P308" s="2" t="inlineStr">
        <is>
          <t>1302 1303 1301 c02c c030 009f cca9 cca8 ccaa c02b c02f 009e c024 c028 006b c023 c027 0067 c00a c014 0039 c009 c013 0033 009d 009c 003d 003c 0035 002f</t>
        </is>
      </c>
      <c r="Q308" s="2" t="inlineStr">
        <is>
          <t>0304 0303</t>
        </is>
      </c>
      <c r="R308" s="2" t="inlineStr">
        <is>
          <t>allow</t>
        </is>
      </c>
      <c r="S308" s="2" t="inlineStr">
        <is>
          <t>allow</t>
        </is>
      </c>
      <c r="T308" s="2">
        <f>K308=E308</f>
        <v/>
      </c>
      <c r="U308" s="2">
        <f>L308=F308</f>
        <v/>
      </c>
      <c r="V308" s="2">
        <f>IF(N308,EXACT(P308,G308),"")</f>
        <v/>
      </c>
      <c r="W308" s="2">
        <f>IF(O308,EXACT(Q308,H308),"")</f>
        <v/>
      </c>
      <c r="X308" s="2">
        <f>J308=C308</f>
        <v/>
      </c>
      <c r="Y308" s="2">
        <f>IF(R308="unknown","",R308=S308)</f>
        <v/>
      </c>
      <c r="Z308" s="2" t="inlineStr">
        <is>
          <t>A</t>
        </is>
      </c>
      <c r="AA308" s="2" t="inlineStr">
        <is>
          <t>A</t>
        </is>
      </c>
      <c r="AB308" s="2">
        <f>AND(N308,O308,A308&lt;&gt;"census-mixed")</f>
        <v/>
      </c>
      <c r="AC308" s="2">
        <f>IF(AB308,Z308=AA308,"")</f>
        <v/>
      </c>
    </row>
    <row r="309">
      <c r="A309" s="2" t="inlineStr">
        <is>
          <t>census-mixed</t>
        </is>
      </c>
      <c r="B309" s="2" t="inlineStr">
        <is>
          <t>openssl MLKEM768 (pure PQ)</t>
        </is>
      </c>
      <c r="C309" s="2" t="inlineStr">
        <is>
          <t>skb-eval-80103-c5068</t>
        </is>
      </c>
      <c r="D309" s="2" t="n">
        <v>5068</v>
      </c>
      <c r="E309" s="2" t="n">
        <v>1453</v>
      </c>
      <c r="F309" s="2" t="n">
        <v>771</v>
      </c>
      <c r="G309" s="2" t="inlineStr">
        <is>
          <t>1302 1303 1301 c02c c030 009f cca9 cca8 ccaa c02b c02f 009e c024 c028 006b c023 c027 0067 c00a c014 0039 c009 c013 0033 009d 009c 003d 003c 0035 002f</t>
        </is>
      </c>
      <c r="H309" s="2" t="inlineStr">
        <is>
          <t>0304 0303</t>
        </is>
      </c>
      <c r="I309" s="2" t="n">
        <v>1</v>
      </c>
      <c r="J309" s="2" t="inlineStr">
        <is>
          <t>skb-eval-80103-c5068</t>
        </is>
      </c>
      <c r="K309" s="2" t="n">
        <v>1453</v>
      </c>
      <c r="L309" s="2" t="n">
        <v>771</v>
      </c>
      <c r="M309" s="2" t="n">
        <v>1443</v>
      </c>
      <c r="N309" s="2" t="b">
        <v>1</v>
      </c>
      <c r="O309" s="2" t="b">
        <v>1</v>
      </c>
      <c r="P309" s="2" t="inlineStr">
        <is>
          <t>1302 1303 1301 c02c c030 009f cca9 cca8 ccaa c02b c02f 009e c024 c028 006b c023 c027 0067 c00a c014 0039 c009 c013 0033 009d 009c 003d 003c 0035 002f</t>
        </is>
      </c>
      <c r="Q309" s="2" t="inlineStr">
        <is>
          <t>0304 0303</t>
        </is>
      </c>
      <c r="R309" s="2" t="inlineStr">
        <is>
          <t>allow</t>
        </is>
      </c>
      <c r="S309" s="2" t="inlineStr">
        <is>
          <t>allow</t>
        </is>
      </c>
      <c r="T309" s="2">
        <f>K309=E309</f>
        <v/>
      </c>
      <c r="U309" s="2">
        <f>L309=F309</f>
        <v/>
      </c>
      <c r="V309" s="2">
        <f>IF(N309,EXACT(P309,G309),"")</f>
        <v/>
      </c>
      <c r="W309" s="2">
        <f>IF(O309,EXACT(Q309,H309),"")</f>
        <v/>
      </c>
      <c r="X309" s="2">
        <f>J309=C309</f>
        <v/>
      </c>
      <c r="Y309" s="2">
        <f>IF(R309="unknown","",R309=S309)</f>
        <v/>
      </c>
      <c r="Z309" s="2" t="inlineStr">
        <is>
          <t>A</t>
        </is>
      </c>
      <c r="AA309" s="2" t="inlineStr">
        <is>
          <t>A</t>
        </is>
      </c>
      <c r="AB309" s="2">
        <f>AND(N309,O309,A309&lt;&gt;"census-mixed")</f>
        <v/>
      </c>
      <c r="AC309" s="2">
        <f>IF(AB309,Z309=AA309,"")</f>
        <v/>
      </c>
    </row>
    <row r="310">
      <c r="A310" s="2" t="inlineStr">
        <is>
          <t>census-mixed</t>
        </is>
      </c>
      <c r="B310" s="2" t="inlineStr">
        <is>
          <t>openssl MLKEM768 (pure PQ)</t>
        </is>
      </c>
      <c r="C310" s="2" t="inlineStr">
        <is>
          <t>skb-eval-80103-c5069</t>
        </is>
      </c>
      <c r="D310" s="2" t="n">
        <v>5069</v>
      </c>
      <c r="E310" s="2" t="n">
        <v>1453</v>
      </c>
      <c r="F310" s="2" t="n">
        <v>771</v>
      </c>
      <c r="G310" s="2" t="inlineStr">
        <is>
          <t>1302 1303 1301 c02c c030 009f cca9 cca8 ccaa c02b c02f 009e c024 c028 006b c023 c027 0067 c00a c014 0039 c009 c013 0033 009d 009c 003d 003c 0035 002f</t>
        </is>
      </c>
      <c r="H310" s="2" t="inlineStr">
        <is>
          <t>0304 0303</t>
        </is>
      </c>
      <c r="I310" s="2" t="n">
        <v>1</v>
      </c>
      <c r="J310" s="2" t="inlineStr">
        <is>
          <t>skb-eval-80103-c5069</t>
        </is>
      </c>
      <c r="K310" s="2" t="n">
        <v>1453</v>
      </c>
      <c r="L310" s="2" t="n">
        <v>771</v>
      </c>
      <c r="M310" s="2" t="n">
        <v>1443</v>
      </c>
      <c r="N310" s="2" t="b">
        <v>1</v>
      </c>
      <c r="O310" s="2" t="b">
        <v>1</v>
      </c>
      <c r="P310" s="2" t="inlineStr">
        <is>
          <t>1302 1303 1301 c02c c030 009f cca9 cca8 ccaa c02b c02f 009e c024 c028 006b c023 c027 0067 c00a c014 0039 c009 c013 0033 009d 009c 003d 003c 0035 002f</t>
        </is>
      </c>
      <c r="Q310" s="2" t="inlineStr">
        <is>
          <t>0304 0303</t>
        </is>
      </c>
      <c r="R310" s="2" t="inlineStr">
        <is>
          <t>allow</t>
        </is>
      </c>
      <c r="S310" s="2" t="inlineStr">
        <is>
          <t>allow</t>
        </is>
      </c>
      <c r="T310" s="2">
        <f>K310=E310</f>
        <v/>
      </c>
      <c r="U310" s="2">
        <f>L310=F310</f>
        <v/>
      </c>
      <c r="V310" s="2">
        <f>IF(N310,EXACT(P310,G310),"")</f>
        <v/>
      </c>
      <c r="W310" s="2">
        <f>IF(O310,EXACT(Q310,H310),"")</f>
        <v/>
      </c>
      <c r="X310" s="2">
        <f>J310=C310</f>
        <v/>
      </c>
      <c r="Y310" s="2">
        <f>IF(R310="unknown","",R310=S310)</f>
        <v/>
      </c>
      <c r="Z310" s="2" t="inlineStr">
        <is>
          <t>A</t>
        </is>
      </c>
      <c r="AA310" s="2" t="inlineStr">
        <is>
          <t>A</t>
        </is>
      </c>
      <c r="AB310" s="2">
        <f>AND(N310,O310,A310&lt;&gt;"census-mixed")</f>
        <v/>
      </c>
      <c r="AC310" s="2">
        <f>IF(AB310,Z310=AA310,"")</f>
        <v/>
      </c>
    </row>
    <row r="311">
      <c r="A311" s="2" t="inlineStr">
        <is>
          <t>census-mixed</t>
        </is>
      </c>
      <c r="B311" s="2" t="inlineStr">
        <is>
          <t>openssl MLKEM768 (pure PQ)</t>
        </is>
      </c>
      <c r="C311" s="2" t="inlineStr">
        <is>
          <t>skb-eval-80103-c5070</t>
        </is>
      </c>
      <c r="D311" s="2" t="n">
        <v>5070</v>
      </c>
      <c r="E311" s="2" t="n">
        <v>1453</v>
      </c>
      <c r="F311" s="2" t="n">
        <v>771</v>
      </c>
      <c r="G311" s="2" t="inlineStr">
        <is>
          <t>1302 1303 1301 c02c c030 009f cca9 cca8 ccaa c02b c02f 009e c024 c028 006b c023 c027 0067 c00a c014 0039 c009 c013 0033 009d 009c 003d 003c 0035 002f</t>
        </is>
      </c>
      <c r="H311" s="2" t="inlineStr">
        <is>
          <t>0304 0303</t>
        </is>
      </c>
      <c r="I311" s="2" t="n">
        <v>1</v>
      </c>
      <c r="J311" s="2" t="inlineStr">
        <is>
          <t>skb-eval-80103-c5070</t>
        </is>
      </c>
      <c r="K311" s="2" t="n">
        <v>1453</v>
      </c>
      <c r="L311" s="2" t="n">
        <v>771</v>
      </c>
      <c r="M311" s="2" t="n">
        <v>1443</v>
      </c>
      <c r="N311" s="2" t="b">
        <v>1</v>
      </c>
      <c r="O311" s="2" t="b">
        <v>1</v>
      </c>
      <c r="P311" s="2" t="inlineStr">
        <is>
          <t>1302 1303 1301 c02c c030 009f cca9 cca8 ccaa c02b c02f 009e c024 c028 006b c023 c027 0067 c00a c014 0039 c009 c013 0033 009d 009c 003d 003c 0035 002f</t>
        </is>
      </c>
      <c r="Q311" s="2" t="inlineStr">
        <is>
          <t>0304 0303</t>
        </is>
      </c>
      <c r="R311" s="2" t="inlineStr">
        <is>
          <t>allow</t>
        </is>
      </c>
      <c r="S311" s="2" t="inlineStr">
        <is>
          <t>allow</t>
        </is>
      </c>
      <c r="T311" s="2">
        <f>K311=E311</f>
        <v/>
      </c>
      <c r="U311" s="2">
        <f>L311=F311</f>
        <v/>
      </c>
      <c r="V311" s="2">
        <f>IF(N311,EXACT(P311,G311),"")</f>
        <v/>
      </c>
      <c r="W311" s="2">
        <f>IF(O311,EXACT(Q311,H311),"")</f>
        <v/>
      </c>
      <c r="X311" s="2">
        <f>J311=C311</f>
        <v/>
      </c>
      <c r="Y311" s="2">
        <f>IF(R311="unknown","",R311=S311)</f>
        <v/>
      </c>
      <c r="Z311" s="2" t="inlineStr">
        <is>
          <t>A</t>
        </is>
      </c>
      <c r="AA311" s="2" t="inlineStr">
        <is>
          <t>A</t>
        </is>
      </c>
      <c r="AB311" s="2">
        <f>AND(N311,O311,A311&lt;&gt;"census-mixed")</f>
        <v/>
      </c>
      <c r="AC311" s="2">
        <f>IF(AB311,Z311=AA311,"")</f>
        <v/>
      </c>
    </row>
    <row r="312">
      <c r="A312" s="2" t="inlineStr">
        <is>
          <t>census-mixed</t>
        </is>
      </c>
      <c r="B312" s="2" t="inlineStr">
        <is>
          <t>openssl MLKEM1024 (pure PQ)</t>
        </is>
      </c>
      <c r="C312" s="2" t="inlineStr">
        <is>
          <t>skb-eval-80103-c5071</t>
        </is>
      </c>
      <c r="D312" s="2" t="n">
        <v>5071</v>
      </c>
      <c r="E312" s="2" t="n">
        <v>1837</v>
      </c>
      <c r="F312" s="2" t="n">
        <v>771</v>
      </c>
      <c r="G312" s="2" t="inlineStr">
        <is>
          <t>1302 1303 1301 c02c c030 009f cca9 cca8 ccaa c02b c02f 009e c024 c028 006b c023 c027 0067 c00a c014 0039 c009 c013 0033 009d 009c 003d 003c 0035 002f</t>
        </is>
      </c>
      <c r="H312" s="2" t="inlineStr">
        <is>
          <t>0304 0303</t>
        </is>
      </c>
      <c r="I312" s="2" t="n">
        <v>1</v>
      </c>
      <c r="J312" s="2" t="inlineStr">
        <is>
          <t>skb-eval-80103-c5071</t>
        </is>
      </c>
      <c r="K312" s="2" t="n">
        <v>1837</v>
      </c>
      <c r="L312" s="2" t="n">
        <v>771</v>
      </c>
      <c r="M312" s="2" t="n">
        <v>1443</v>
      </c>
      <c r="N312" s="2" t="b">
        <v>1</v>
      </c>
      <c r="O312" s="2" t="b">
        <v>1</v>
      </c>
      <c r="P312" s="2" t="inlineStr">
        <is>
          <t>1302 1303 1301 c02c c030 009f cca9 cca8 ccaa c02b c02f 009e c024 c028 006b c023 c027 0067 c00a c014 0039 c009 c013 0033 009d 009c 003d 003c 0035 002f</t>
        </is>
      </c>
      <c r="Q312" s="2" t="inlineStr">
        <is>
          <t>0304 0303</t>
        </is>
      </c>
      <c r="R312" s="2" t="inlineStr">
        <is>
          <t>allow</t>
        </is>
      </c>
      <c r="S312" s="2" t="inlineStr">
        <is>
          <t>allow</t>
        </is>
      </c>
      <c r="T312" s="2">
        <f>K312=E312</f>
        <v/>
      </c>
      <c r="U312" s="2">
        <f>L312=F312</f>
        <v/>
      </c>
      <c r="V312" s="2">
        <f>IF(N312,EXACT(P312,G312),"")</f>
        <v/>
      </c>
      <c r="W312" s="2">
        <f>IF(O312,EXACT(Q312,H312),"")</f>
        <v/>
      </c>
      <c r="X312" s="2">
        <f>J312=C312</f>
        <v/>
      </c>
      <c r="Y312" s="2">
        <f>IF(R312="unknown","",R312=S312)</f>
        <v/>
      </c>
      <c r="Z312" s="2" t="inlineStr">
        <is>
          <t>A</t>
        </is>
      </c>
      <c r="AA312" s="2" t="inlineStr">
        <is>
          <t>A</t>
        </is>
      </c>
      <c r="AB312" s="2">
        <f>AND(N312,O312,A312&lt;&gt;"census-mixed")</f>
        <v/>
      </c>
      <c r="AC312" s="2">
        <f>IF(AB312,Z312=AA312,"")</f>
        <v/>
      </c>
    </row>
    <row r="313">
      <c r="A313" s="2" t="inlineStr">
        <is>
          <t>census-mixed</t>
        </is>
      </c>
      <c r="B313" s="2" t="inlineStr">
        <is>
          <t>openssl MLKEM1024 (pure PQ)</t>
        </is>
      </c>
      <c r="C313" s="2" t="inlineStr">
        <is>
          <t>skb-eval-80103-c5072</t>
        </is>
      </c>
      <c r="D313" s="2" t="n">
        <v>5072</v>
      </c>
      <c r="E313" s="2" t="n">
        <v>1837</v>
      </c>
      <c r="F313" s="2" t="n">
        <v>771</v>
      </c>
      <c r="G313" s="2" t="inlineStr">
        <is>
          <t>1302 1303 1301 c02c c030 009f cca9 cca8 ccaa c02b c02f 009e c024 c028 006b c023 c027 0067 c00a c014 0039 c009 c013 0033 009d 009c 003d 003c 0035 002f</t>
        </is>
      </c>
      <c r="H313" s="2" t="inlineStr">
        <is>
          <t>0304 0303</t>
        </is>
      </c>
      <c r="I313" s="2" t="n">
        <v>1</v>
      </c>
      <c r="J313" s="2" t="inlineStr">
        <is>
          <t>skb-eval-80103-c5072</t>
        </is>
      </c>
      <c r="K313" s="2" t="n">
        <v>1837</v>
      </c>
      <c r="L313" s="2" t="n">
        <v>771</v>
      </c>
      <c r="M313" s="2" t="n">
        <v>1443</v>
      </c>
      <c r="N313" s="2" t="b">
        <v>1</v>
      </c>
      <c r="O313" s="2" t="b">
        <v>1</v>
      </c>
      <c r="P313" s="2" t="inlineStr">
        <is>
          <t>1302 1303 1301 c02c c030 009f cca9 cca8 ccaa c02b c02f 009e c024 c028 006b c023 c027 0067 c00a c014 0039 c009 c013 0033 009d 009c 003d 003c 0035 002f</t>
        </is>
      </c>
      <c r="Q313" s="2" t="inlineStr">
        <is>
          <t>0304 0303</t>
        </is>
      </c>
      <c r="R313" s="2" t="inlineStr">
        <is>
          <t>allow</t>
        </is>
      </c>
      <c r="S313" s="2" t="inlineStr">
        <is>
          <t>allow</t>
        </is>
      </c>
      <c r="T313" s="2">
        <f>K313=E313</f>
        <v/>
      </c>
      <c r="U313" s="2">
        <f>L313=F313</f>
        <v/>
      </c>
      <c r="V313" s="2">
        <f>IF(N313,EXACT(P313,G313),"")</f>
        <v/>
      </c>
      <c r="W313" s="2">
        <f>IF(O313,EXACT(Q313,H313),"")</f>
        <v/>
      </c>
      <c r="X313" s="2">
        <f>J313=C313</f>
        <v/>
      </c>
      <c r="Y313" s="2">
        <f>IF(R313="unknown","",R313=S313)</f>
        <v/>
      </c>
      <c r="Z313" s="2" t="inlineStr">
        <is>
          <t>A</t>
        </is>
      </c>
      <c r="AA313" s="2" t="inlineStr">
        <is>
          <t>A</t>
        </is>
      </c>
      <c r="AB313" s="2">
        <f>AND(N313,O313,A313&lt;&gt;"census-mixed")</f>
        <v/>
      </c>
      <c r="AC313" s="2">
        <f>IF(AB313,Z313=AA313,"")</f>
        <v/>
      </c>
    </row>
    <row r="314">
      <c r="A314" s="2" t="inlineStr">
        <is>
          <t>census-mixed</t>
        </is>
      </c>
      <c r="B314" s="2" t="inlineStr">
        <is>
          <t>openssl MLKEM1024 (pure PQ)</t>
        </is>
      </c>
      <c r="C314" s="2" t="inlineStr">
        <is>
          <t>skb-eval-80103-c5073</t>
        </is>
      </c>
      <c r="D314" s="2" t="n">
        <v>5073</v>
      </c>
      <c r="E314" s="2" t="n">
        <v>1837</v>
      </c>
      <c r="F314" s="2" t="n">
        <v>771</v>
      </c>
      <c r="G314" s="2" t="inlineStr">
        <is>
          <t>1302 1303 1301 c02c c030 009f cca9 cca8 ccaa c02b c02f 009e c024 c028 006b c023 c027 0067 c00a c014 0039 c009 c013 0033 009d 009c 003d 003c 0035 002f</t>
        </is>
      </c>
      <c r="H314" s="2" t="inlineStr">
        <is>
          <t>0304 0303</t>
        </is>
      </c>
      <c r="I314" s="2" t="n">
        <v>1</v>
      </c>
      <c r="J314" s="2" t="inlineStr">
        <is>
          <t>skb-eval-80103-c5073</t>
        </is>
      </c>
      <c r="K314" s="2" t="n">
        <v>1837</v>
      </c>
      <c r="L314" s="2" t="n">
        <v>771</v>
      </c>
      <c r="M314" s="2" t="n">
        <v>1443</v>
      </c>
      <c r="N314" s="2" t="b">
        <v>1</v>
      </c>
      <c r="O314" s="2" t="b">
        <v>1</v>
      </c>
      <c r="P314" s="2" t="inlineStr">
        <is>
          <t>1302 1303 1301 c02c c030 009f cca9 cca8 ccaa c02b c02f 009e c024 c028 006b c023 c027 0067 c00a c014 0039 c009 c013 0033 009d 009c 003d 003c 0035 002f</t>
        </is>
      </c>
      <c r="Q314" s="2" t="inlineStr">
        <is>
          <t>0304 0303</t>
        </is>
      </c>
      <c r="R314" s="2" t="inlineStr">
        <is>
          <t>allow</t>
        </is>
      </c>
      <c r="S314" s="2" t="inlineStr">
        <is>
          <t>allow</t>
        </is>
      </c>
      <c r="T314" s="2">
        <f>K314=E314</f>
        <v/>
      </c>
      <c r="U314" s="2">
        <f>L314=F314</f>
        <v/>
      </c>
      <c r="V314" s="2">
        <f>IF(N314,EXACT(P314,G314),"")</f>
        <v/>
      </c>
      <c r="W314" s="2">
        <f>IF(O314,EXACT(Q314,H314),"")</f>
        <v/>
      </c>
      <c r="X314" s="2">
        <f>J314=C314</f>
        <v/>
      </c>
      <c r="Y314" s="2">
        <f>IF(R314="unknown","",R314=S314)</f>
        <v/>
      </c>
      <c r="Z314" s="2" t="inlineStr">
        <is>
          <t>A</t>
        </is>
      </c>
      <c r="AA314" s="2" t="inlineStr">
        <is>
          <t>A</t>
        </is>
      </c>
      <c r="AB314" s="2">
        <f>AND(N314,O314,A314&lt;&gt;"census-mixed")</f>
        <v/>
      </c>
      <c r="AC314" s="2">
        <f>IF(AB314,Z314=AA314,"")</f>
        <v/>
      </c>
    </row>
    <row r="315">
      <c r="A315" s="2" t="inlineStr">
        <is>
          <t>census-mixed</t>
        </is>
      </c>
      <c r="B315" s="2" t="inlineStr">
        <is>
          <t>openssl MLKEM1024 (pure PQ)</t>
        </is>
      </c>
      <c r="C315" s="2" t="inlineStr">
        <is>
          <t>skb-eval-80103-c5074</t>
        </is>
      </c>
      <c r="D315" s="2" t="n">
        <v>5074</v>
      </c>
      <c r="E315" s="2" t="n">
        <v>1837</v>
      </c>
      <c r="F315" s="2" t="n">
        <v>771</v>
      </c>
      <c r="G315" s="2" t="inlineStr">
        <is>
          <t>1302 1303 1301 c02c c030 009f cca9 cca8 ccaa c02b c02f 009e c024 c028 006b c023 c027 0067 c00a c014 0039 c009 c013 0033 009d 009c 003d 003c 0035 002f</t>
        </is>
      </c>
      <c r="H315" s="2" t="inlineStr">
        <is>
          <t>0304 0303</t>
        </is>
      </c>
      <c r="I315" s="2" t="n">
        <v>1</v>
      </c>
      <c r="J315" s="2" t="inlineStr">
        <is>
          <t>skb-eval-80103-c5074</t>
        </is>
      </c>
      <c r="K315" s="2" t="n">
        <v>1837</v>
      </c>
      <c r="L315" s="2" t="n">
        <v>771</v>
      </c>
      <c r="M315" s="2" t="n">
        <v>1443</v>
      </c>
      <c r="N315" s="2" t="b">
        <v>1</v>
      </c>
      <c r="O315" s="2" t="b">
        <v>1</v>
      </c>
      <c r="P315" s="2" t="inlineStr">
        <is>
          <t>1302 1303 1301 c02c c030 009f cca9 cca8 ccaa c02b c02f 009e c024 c028 006b c023 c027 0067 c00a c014 0039 c009 c013 0033 009d 009c 003d 003c 0035 002f</t>
        </is>
      </c>
      <c r="Q315" s="2" t="inlineStr">
        <is>
          <t>0304 0303</t>
        </is>
      </c>
      <c r="R315" s="2" t="inlineStr">
        <is>
          <t>allow</t>
        </is>
      </c>
      <c r="S315" s="2" t="inlineStr">
        <is>
          <t>allow</t>
        </is>
      </c>
      <c r="T315" s="2">
        <f>K315=E315</f>
        <v/>
      </c>
      <c r="U315" s="2">
        <f>L315=F315</f>
        <v/>
      </c>
      <c r="V315" s="2">
        <f>IF(N315,EXACT(P315,G315),"")</f>
        <v/>
      </c>
      <c r="W315" s="2">
        <f>IF(O315,EXACT(Q315,H315),"")</f>
        <v/>
      </c>
      <c r="X315" s="2">
        <f>J315=C315</f>
        <v/>
      </c>
      <c r="Y315" s="2">
        <f>IF(R315="unknown","",R315=S315)</f>
        <v/>
      </c>
      <c r="Z315" s="2" t="inlineStr">
        <is>
          <t>A</t>
        </is>
      </c>
      <c r="AA315" s="2" t="inlineStr">
        <is>
          <t>A</t>
        </is>
      </c>
      <c r="AB315" s="2">
        <f>AND(N315,O315,A315&lt;&gt;"census-mixed")</f>
        <v/>
      </c>
      <c r="AC315" s="2">
        <f>IF(AB315,Z315=AA315,"")</f>
        <v/>
      </c>
    </row>
    <row r="316">
      <c r="A316" s="2" t="inlineStr">
        <is>
          <t>census-mixed</t>
        </is>
      </c>
      <c r="B316" s="2" t="inlineStr">
        <is>
          <t>openssl MLKEM1024 (pure PQ)</t>
        </is>
      </c>
      <c r="C316" s="2" t="inlineStr">
        <is>
          <t>skb-eval-80103-c5075</t>
        </is>
      </c>
      <c r="D316" s="2" t="n">
        <v>5075</v>
      </c>
      <c r="E316" s="2" t="n">
        <v>1837</v>
      </c>
      <c r="F316" s="2" t="n">
        <v>771</v>
      </c>
      <c r="G316" s="2" t="inlineStr">
        <is>
          <t>1302 1303 1301 c02c c030 009f cca9 cca8 ccaa c02b c02f 009e c024 c028 006b c023 c027 0067 c00a c014 0039 c009 c013 0033 009d 009c 003d 003c 0035 002f</t>
        </is>
      </c>
      <c r="H316" s="2" t="inlineStr">
        <is>
          <t>0304 0303</t>
        </is>
      </c>
      <c r="I316" s="2" t="n">
        <v>1</v>
      </c>
      <c r="J316" s="2" t="inlineStr">
        <is>
          <t>skb-eval-80103-c5075</t>
        </is>
      </c>
      <c r="K316" s="2" t="n">
        <v>1837</v>
      </c>
      <c r="L316" s="2" t="n">
        <v>771</v>
      </c>
      <c r="M316" s="2" t="n">
        <v>1443</v>
      </c>
      <c r="N316" s="2" t="b">
        <v>1</v>
      </c>
      <c r="O316" s="2" t="b">
        <v>1</v>
      </c>
      <c r="P316" s="2" t="inlineStr">
        <is>
          <t>1302 1303 1301 c02c c030 009f cca9 cca8 ccaa c02b c02f 009e c024 c028 006b c023 c027 0067 c00a c014 0039 c009 c013 0033 009d 009c 003d 003c 0035 002f</t>
        </is>
      </c>
      <c r="Q316" s="2" t="inlineStr">
        <is>
          <t>0304 0303</t>
        </is>
      </c>
      <c r="R316" s="2" t="inlineStr">
        <is>
          <t>allow</t>
        </is>
      </c>
      <c r="S316" s="2" t="inlineStr">
        <is>
          <t>allow</t>
        </is>
      </c>
      <c r="T316" s="2">
        <f>K316=E316</f>
        <v/>
      </c>
      <c r="U316" s="2">
        <f>L316=F316</f>
        <v/>
      </c>
      <c r="V316" s="2">
        <f>IF(N316,EXACT(P316,G316),"")</f>
        <v/>
      </c>
      <c r="W316" s="2">
        <f>IF(O316,EXACT(Q316,H316),"")</f>
        <v/>
      </c>
      <c r="X316" s="2">
        <f>J316=C316</f>
        <v/>
      </c>
      <c r="Y316" s="2">
        <f>IF(R316="unknown","",R316=S316)</f>
        <v/>
      </c>
      <c r="Z316" s="2" t="inlineStr">
        <is>
          <t>A</t>
        </is>
      </c>
      <c r="AA316" s="2" t="inlineStr">
        <is>
          <t>A</t>
        </is>
      </c>
      <c r="AB316" s="2">
        <f>AND(N316,O316,A316&lt;&gt;"census-mixed")</f>
        <v/>
      </c>
      <c r="AC316" s="2">
        <f>IF(AB316,Z316=AA316,"")</f>
        <v/>
      </c>
    </row>
    <row r="317">
      <c r="A317" s="2" t="inlineStr">
        <is>
          <t>census-mixed</t>
        </is>
      </c>
      <c r="B317" s="2" t="inlineStr">
        <is>
          <t>openssl MLKEM1024 (pure PQ)</t>
        </is>
      </c>
      <c r="C317" s="2" t="inlineStr">
        <is>
          <t>skb-eval-80103-c5076</t>
        </is>
      </c>
      <c r="D317" s="2" t="n">
        <v>5076</v>
      </c>
      <c r="E317" s="2" t="n">
        <v>1837</v>
      </c>
      <c r="F317" s="2" t="n">
        <v>771</v>
      </c>
      <c r="G317" s="2" t="inlineStr">
        <is>
          <t>1302 1303 1301 c02c c030 009f cca9 cca8 ccaa c02b c02f 009e c024 c028 006b c023 c027 0067 c00a c014 0039 c009 c013 0033 009d 009c 003d 003c 0035 002f</t>
        </is>
      </c>
      <c r="H317" s="2" t="inlineStr">
        <is>
          <t>0304 0303</t>
        </is>
      </c>
      <c r="I317" s="2" t="n">
        <v>1</v>
      </c>
      <c r="J317" s="2" t="inlineStr">
        <is>
          <t>skb-eval-80103-c5076</t>
        </is>
      </c>
      <c r="K317" s="2" t="n">
        <v>1837</v>
      </c>
      <c r="L317" s="2" t="n">
        <v>771</v>
      </c>
      <c r="M317" s="2" t="n">
        <v>1443</v>
      </c>
      <c r="N317" s="2" t="b">
        <v>1</v>
      </c>
      <c r="O317" s="2" t="b">
        <v>1</v>
      </c>
      <c r="P317" s="2" t="inlineStr">
        <is>
          <t>1302 1303 1301 c02c c030 009f cca9 cca8 ccaa c02b c02f 009e c024 c028 006b c023 c027 0067 c00a c014 0039 c009 c013 0033 009d 009c 003d 003c 0035 002f</t>
        </is>
      </c>
      <c r="Q317" s="2" t="inlineStr">
        <is>
          <t>0304 0303</t>
        </is>
      </c>
      <c r="R317" s="2" t="inlineStr">
        <is>
          <t>allow</t>
        </is>
      </c>
      <c r="S317" s="2" t="inlineStr">
        <is>
          <t>allow</t>
        </is>
      </c>
      <c r="T317" s="2">
        <f>K317=E317</f>
        <v/>
      </c>
      <c r="U317" s="2">
        <f>L317=F317</f>
        <v/>
      </c>
      <c r="V317" s="2">
        <f>IF(N317,EXACT(P317,G317),"")</f>
        <v/>
      </c>
      <c r="W317" s="2">
        <f>IF(O317,EXACT(Q317,H317),"")</f>
        <v/>
      </c>
      <c r="X317" s="2">
        <f>J317=C317</f>
        <v/>
      </c>
      <c r="Y317" s="2">
        <f>IF(R317="unknown","",R317=S317)</f>
        <v/>
      </c>
      <c r="Z317" s="2" t="inlineStr">
        <is>
          <t>A</t>
        </is>
      </c>
      <c r="AA317" s="2" t="inlineStr">
        <is>
          <t>A</t>
        </is>
      </c>
      <c r="AB317" s="2">
        <f>AND(N317,O317,A317&lt;&gt;"census-mixed")</f>
        <v/>
      </c>
      <c r="AC317" s="2">
        <f>IF(AB317,Z317=AA317,"")</f>
        <v/>
      </c>
    </row>
    <row r="318">
      <c r="A318" s="2" t="inlineStr">
        <is>
          <t>census-mixed</t>
        </is>
      </c>
      <c r="B318" s="2" t="inlineStr">
        <is>
          <t>openssl MLKEM1024 (pure PQ)</t>
        </is>
      </c>
      <c r="C318" s="2" t="inlineStr">
        <is>
          <t>skb-eval-80103-c5077</t>
        </is>
      </c>
      <c r="D318" s="2" t="n">
        <v>5077</v>
      </c>
      <c r="E318" s="2" t="n">
        <v>1837</v>
      </c>
      <c r="F318" s="2" t="n">
        <v>771</v>
      </c>
      <c r="G318" s="2" t="inlineStr">
        <is>
          <t>1302 1303 1301 c02c c030 009f cca9 cca8 ccaa c02b c02f 009e c024 c028 006b c023 c027 0067 c00a c014 0039 c009 c013 0033 009d 009c 003d 003c 0035 002f</t>
        </is>
      </c>
      <c r="H318" s="2" t="inlineStr">
        <is>
          <t>0304 0303</t>
        </is>
      </c>
      <c r="I318" s="2" t="n">
        <v>1</v>
      </c>
      <c r="J318" s="2" t="inlineStr">
        <is>
          <t>skb-eval-80103-c5077</t>
        </is>
      </c>
      <c r="K318" s="2" t="n">
        <v>1837</v>
      </c>
      <c r="L318" s="2" t="n">
        <v>771</v>
      </c>
      <c r="M318" s="2" t="n">
        <v>1443</v>
      </c>
      <c r="N318" s="2" t="b">
        <v>1</v>
      </c>
      <c r="O318" s="2" t="b">
        <v>1</v>
      </c>
      <c r="P318" s="2" t="inlineStr">
        <is>
          <t>1302 1303 1301 c02c c030 009f cca9 cca8 ccaa c02b c02f 009e c024 c028 006b c023 c027 0067 c00a c014 0039 c009 c013 0033 009d 009c 003d 003c 0035 002f</t>
        </is>
      </c>
      <c r="Q318" s="2" t="inlineStr">
        <is>
          <t>0304 0303</t>
        </is>
      </c>
      <c r="R318" s="2" t="inlineStr">
        <is>
          <t>allow</t>
        </is>
      </c>
      <c r="S318" s="2" t="inlineStr">
        <is>
          <t>allow</t>
        </is>
      </c>
      <c r="T318" s="2">
        <f>K318=E318</f>
        <v/>
      </c>
      <c r="U318" s="2">
        <f>L318=F318</f>
        <v/>
      </c>
      <c r="V318" s="2">
        <f>IF(N318,EXACT(P318,G318),"")</f>
        <v/>
      </c>
      <c r="W318" s="2">
        <f>IF(O318,EXACT(Q318,H318),"")</f>
        <v/>
      </c>
      <c r="X318" s="2">
        <f>J318=C318</f>
        <v/>
      </c>
      <c r="Y318" s="2">
        <f>IF(R318="unknown","",R318=S318)</f>
        <v/>
      </c>
      <c r="Z318" s="2" t="inlineStr">
        <is>
          <t>A</t>
        </is>
      </c>
      <c r="AA318" s="2" t="inlineStr">
        <is>
          <t>A</t>
        </is>
      </c>
      <c r="AB318" s="2">
        <f>AND(N318,O318,A318&lt;&gt;"census-mixed")</f>
        <v/>
      </c>
      <c r="AC318" s="2">
        <f>IF(AB318,Z318=AA318,"")</f>
        <v/>
      </c>
    </row>
    <row r="319">
      <c r="A319" s="2" t="inlineStr">
        <is>
          <t>census-mixed</t>
        </is>
      </c>
      <c r="B319" s="2" t="inlineStr">
        <is>
          <t>openssl MLKEM1024 (pure PQ)</t>
        </is>
      </c>
      <c r="C319" s="2" t="inlineStr">
        <is>
          <t>skb-eval-80103-c5078</t>
        </is>
      </c>
      <c r="D319" s="2" t="n">
        <v>5078</v>
      </c>
      <c r="E319" s="2" t="n">
        <v>1837</v>
      </c>
      <c r="F319" s="2" t="n">
        <v>771</v>
      </c>
      <c r="G319" s="2" t="inlineStr">
        <is>
          <t>1302 1303 1301 c02c c030 009f cca9 cca8 ccaa c02b c02f 009e c024 c028 006b c023 c027 0067 c00a c014 0039 c009 c013 0033 009d 009c 003d 003c 0035 002f</t>
        </is>
      </c>
      <c r="H319" s="2" t="inlineStr">
        <is>
          <t>0304 0303</t>
        </is>
      </c>
      <c r="I319" s="2" t="n">
        <v>1</v>
      </c>
      <c r="J319" s="2" t="inlineStr">
        <is>
          <t>skb-eval-80103-c5078</t>
        </is>
      </c>
      <c r="K319" s="2" t="n">
        <v>1837</v>
      </c>
      <c r="L319" s="2" t="n">
        <v>771</v>
      </c>
      <c r="M319" s="2" t="n">
        <v>1443</v>
      </c>
      <c r="N319" s="2" t="b">
        <v>1</v>
      </c>
      <c r="O319" s="2" t="b">
        <v>1</v>
      </c>
      <c r="P319" s="2" t="inlineStr">
        <is>
          <t>1302 1303 1301 c02c c030 009f cca9 cca8 ccaa c02b c02f 009e c024 c028 006b c023 c027 0067 c00a c014 0039 c009 c013 0033 009d 009c 003d 003c 0035 002f</t>
        </is>
      </c>
      <c r="Q319" s="2" t="inlineStr">
        <is>
          <t>0304 0303</t>
        </is>
      </c>
      <c r="R319" s="2" t="inlineStr">
        <is>
          <t>allow</t>
        </is>
      </c>
      <c r="S319" s="2" t="inlineStr">
        <is>
          <t>allow</t>
        </is>
      </c>
      <c r="T319" s="2">
        <f>K319=E319</f>
        <v/>
      </c>
      <c r="U319" s="2">
        <f>L319=F319</f>
        <v/>
      </c>
      <c r="V319" s="2">
        <f>IF(N319,EXACT(P319,G319),"")</f>
        <v/>
      </c>
      <c r="W319" s="2">
        <f>IF(O319,EXACT(Q319,H319),"")</f>
        <v/>
      </c>
      <c r="X319" s="2">
        <f>J319=C319</f>
        <v/>
      </c>
      <c r="Y319" s="2">
        <f>IF(R319="unknown","",R319=S319)</f>
        <v/>
      </c>
      <c r="Z319" s="2" t="inlineStr">
        <is>
          <t>A</t>
        </is>
      </c>
      <c r="AA319" s="2" t="inlineStr">
        <is>
          <t>A</t>
        </is>
      </c>
      <c r="AB319" s="2">
        <f>AND(N319,O319,A319&lt;&gt;"census-mixed")</f>
        <v/>
      </c>
      <c r="AC319" s="2">
        <f>IF(AB319,Z319=AA319,"")</f>
        <v/>
      </c>
    </row>
    <row r="320">
      <c r="A320" s="2" t="inlineStr">
        <is>
          <t>census-mixed</t>
        </is>
      </c>
      <c r="B320" s="2" t="inlineStr">
        <is>
          <t>openssl MLKEM1024 (pure PQ)</t>
        </is>
      </c>
      <c r="C320" s="2" t="inlineStr">
        <is>
          <t>skb-eval-80103-c5079</t>
        </is>
      </c>
      <c r="D320" s="2" t="n">
        <v>5079</v>
      </c>
      <c r="E320" s="2" t="n">
        <v>1837</v>
      </c>
      <c r="F320" s="2" t="n">
        <v>771</v>
      </c>
      <c r="G320" s="2" t="inlineStr">
        <is>
          <t>1302 1303 1301 c02c c030 009f cca9 cca8 ccaa c02b c02f 009e c024 c028 006b c023 c027 0067 c00a c014 0039 c009 c013 0033 009d 009c 003d 003c 0035 002f</t>
        </is>
      </c>
      <c r="H320" s="2" t="inlineStr">
        <is>
          <t>0304 0303</t>
        </is>
      </c>
      <c r="I320" s="2" t="n">
        <v>1</v>
      </c>
      <c r="J320" s="2" t="inlineStr">
        <is>
          <t>skb-eval-80103-c5079</t>
        </is>
      </c>
      <c r="K320" s="2" t="n">
        <v>1837</v>
      </c>
      <c r="L320" s="2" t="n">
        <v>771</v>
      </c>
      <c r="M320" s="2" t="n">
        <v>1443</v>
      </c>
      <c r="N320" s="2" t="b">
        <v>1</v>
      </c>
      <c r="O320" s="2" t="b">
        <v>1</v>
      </c>
      <c r="P320" s="2" t="inlineStr">
        <is>
          <t>1302 1303 1301 c02c c030 009f cca9 cca8 ccaa c02b c02f 009e c024 c028 006b c023 c027 0067 c00a c014 0039 c009 c013 0033 009d 009c 003d 003c 0035 002f</t>
        </is>
      </c>
      <c r="Q320" s="2" t="inlineStr">
        <is>
          <t>0304 0303</t>
        </is>
      </c>
      <c r="R320" s="2" t="inlineStr">
        <is>
          <t>allow</t>
        </is>
      </c>
      <c r="S320" s="2" t="inlineStr">
        <is>
          <t>allow</t>
        </is>
      </c>
      <c r="T320" s="2">
        <f>K320=E320</f>
        <v/>
      </c>
      <c r="U320" s="2">
        <f>L320=F320</f>
        <v/>
      </c>
      <c r="V320" s="2">
        <f>IF(N320,EXACT(P320,G320),"")</f>
        <v/>
      </c>
      <c r="W320" s="2">
        <f>IF(O320,EXACT(Q320,H320),"")</f>
        <v/>
      </c>
      <c r="X320" s="2">
        <f>J320=C320</f>
        <v/>
      </c>
      <c r="Y320" s="2">
        <f>IF(R320="unknown","",R320=S320)</f>
        <v/>
      </c>
      <c r="Z320" s="2" t="inlineStr">
        <is>
          <t>A</t>
        </is>
      </c>
      <c r="AA320" s="2" t="inlineStr">
        <is>
          <t>A</t>
        </is>
      </c>
      <c r="AB320" s="2">
        <f>AND(N320,O320,A320&lt;&gt;"census-mixed")</f>
        <v/>
      </c>
      <c r="AC320" s="2">
        <f>IF(AB320,Z320=AA320,"")</f>
        <v/>
      </c>
    </row>
    <row r="321">
      <c r="A321" s="2" t="inlineStr">
        <is>
          <t>census-mixed</t>
        </is>
      </c>
      <c r="B321" s="2" t="inlineStr">
        <is>
          <t>openssl MLKEM1024 (pure PQ)</t>
        </is>
      </c>
      <c r="C321" s="2" t="inlineStr">
        <is>
          <t>skb-eval-80103-c5080</t>
        </is>
      </c>
      <c r="D321" s="2" t="n">
        <v>5080</v>
      </c>
      <c r="E321" s="2" t="n">
        <v>1837</v>
      </c>
      <c r="F321" s="2" t="n">
        <v>771</v>
      </c>
      <c r="G321" s="2" t="inlineStr">
        <is>
          <t>1302 1303 1301 c02c c030 009f cca9 cca8 ccaa c02b c02f 009e c024 c028 006b c023 c027 0067 c00a c014 0039 c009 c013 0033 009d 009c 003d 003c 0035 002f</t>
        </is>
      </c>
      <c r="H321" s="2" t="inlineStr">
        <is>
          <t>0304 0303</t>
        </is>
      </c>
      <c r="I321" s="2" t="n">
        <v>1</v>
      </c>
      <c r="J321" s="2" t="inlineStr">
        <is>
          <t>skb-eval-80103-c5080</t>
        </is>
      </c>
      <c r="K321" s="2" t="n">
        <v>1837</v>
      </c>
      <c r="L321" s="2" t="n">
        <v>771</v>
      </c>
      <c r="M321" s="2" t="n">
        <v>1443</v>
      </c>
      <c r="N321" s="2" t="b">
        <v>1</v>
      </c>
      <c r="O321" s="2" t="b">
        <v>1</v>
      </c>
      <c r="P321" s="2" t="inlineStr">
        <is>
          <t>1302 1303 1301 c02c c030 009f cca9 cca8 ccaa c02b c02f 009e c024 c028 006b c023 c027 0067 c00a c014 0039 c009 c013 0033 009d 009c 003d 003c 0035 002f</t>
        </is>
      </c>
      <c r="Q321" s="2" t="inlineStr">
        <is>
          <t>0304 0303</t>
        </is>
      </c>
      <c r="R321" s="2" t="inlineStr">
        <is>
          <t>allow</t>
        </is>
      </c>
      <c r="S321" s="2" t="inlineStr">
        <is>
          <t>allow</t>
        </is>
      </c>
      <c r="T321" s="2">
        <f>K321=E321</f>
        <v/>
      </c>
      <c r="U321" s="2">
        <f>L321=F321</f>
        <v/>
      </c>
      <c r="V321" s="2">
        <f>IF(N321,EXACT(P321,G321),"")</f>
        <v/>
      </c>
      <c r="W321" s="2">
        <f>IF(O321,EXACT(Q321,H321),"")</f>
        <v/>
      </c>
      <c r="X321" s="2">
        <f>J321=C321</f>
        <v/>
      </c>
      <c r="Y321" s="2">
        <f>IF(R321="unknown","",R321=S321)</f>
        <v/>
      </c>
      <c r="Z321" s="2" t="inlineStr">
        <is>
          <t>A</t>
        </is>
      </c>
      <c r="AA321" s="2" t="inlineStr">
        <is>
          <t>A</t>
        </is>
      </c>
      <c r="AB321" s="2">
        <f>AND(N321,O321,A321&lt;&gt;"census-mixed")</f>
        <v/>
      </c>
      <c r="AC321" s="2">
        <f>IF(AB321,Z321=AA321,"")</f>
        <v/>
      </c>
    </row>
    <row r="322">
      <c r="A322" s="2" t="inlineStr">
        <is>
          <t>census-mixed</t>
        </is>
      </c>
      <c r="B322" s="2" t="inlineStr">
        <is>
          <t>openssl TLS 1.2 only</t>
        </is>
      </c>
      <c r="C322" s="2" t="inlineStr">
        <is>
          <t>skb-eval-80103-c5081</t>
        </is>
      </c>
      <c r="D322" s="2" t="n">
        <v>5081</v>
      </c>
      <c r="E322" s="2" t="n">
        <v>210</v>
      </c>
      <c r="F322" s="2" t="n">
        <v>771</v>
      </c>
      <c r="G322" s="2" t="inlineStr">
        <is>
          <t>c02c c030 009f cca9 cca8 ccaa c02b c02f 009e c024 c028 006b c023 c027 0067 c00a c014 0039 c009 c013 0033 009d 009c 003d 003c 0035 002f</t>
        </is>
      </c>
      <c r="H322" s="2" t="inlineStr"/>
      <c r="I322" s="2" t="n">
        <v>1</v>
      </c>
      <c r="J322" s="2" t="inlineStr">
        <is>
          <t>skb-eval-80103-c5081</t>
        </is>
      </c>
      <c r="K322" s="2" t="n">
        <v>210</v>
      </c>
      <c r="L322" s="2" t="n">
        <v>771</v>
      </c>
      <c r="M322" s="2" t="n">
        <v>210</v>
      </c>
      <c r="N322" s="2" t="b">
        <v>1</v>
      </c>
      <c r="O322" s="2" t="b">
        <v>1</v>
      </c>
      <c r="P322" s="2" t="inlineStr">
        <is>
          <t>c02c c030 009f cca9 cca8 ccaa c02b c02f 009e c024 c028 006b c023 c027 0067 c00a c014 0039 c009 c013 0033 009d 009c 003d 003c 0035 002f</t>
        </is>
      </c>
      <c r="Q322" s="2" t="inlineStr"/>
      <c r="R322" s="2" t="inlineStr">
        <is>
          <t>allow</t>
        </is>
      </c>
      <c r="S322" s="2" t="inlineStr">
        <is>
          <t>allow</t>
        </is>
      </c>
      <c r="T322" s="2">
        <f>K322=E322</f>
        <v/>
      </c>
      <c r="U322" s="2">
        <f>L322=F322</f>
        <v/>
      </c>
      <c r="V322" s="2">
        <f>IF(N322,EXACT(P322,G322),"")</f>
        <v/>
      </c>
      <c r="W322" s="2">
        <f>IF(O322,EXACT(Q322,H322),"")</f>
        <v/>
      </c>
      <c r="X322" s="2">
        <f>J322=C322</f>
        <v/>
      </c>
      <c r="Y322" s="2">
        <f>IF(R322="unknown","",R322=S322)</f>
        <v/>
      </c>
      <c r="Z322" s="2" t="inlineStr">
        <is>
          <t>A</t>
        </is>
      </c>
      <c r="AA322" s="2" t="inlineStr">
        <is>
          <t>A</t>
        </is>
      </c>
      <c r="AB322" s="2">
        <f>AND(N322,O322,A322&lt;&gt;"census-mixed")</f>
        <v/>
      </c>
      <c r="AC322" s="2">
        <f>IF(AB322,Z322=AA322,"")</f>
        <v/>
      </c>
    </row>
    <row r="323">
      <c r="A323" s="2" t="inlineStr">
        <is>
          <t>census-mixed</t>
        </is>
      </c>
      <c r="B323" s="2" t="inlineStr">
        <is>
          <t>openssl TLS 1.2 only</t>
        </is>
      </c>
      <c r="C323" s="2" t="inlineStr">
        <is>
          <t>skb-eval-80103-c5082</t>
        </is>
      </c>
      <c r="D323" s="2" t="n">
        <v>5082</v>
      </c>
      <c r="E323" s="2" t="n">
        <v>210</v>
      </c>
      <c r="F323" s="2" t="n">
        <v>771</v>
      </c>
      <c r="G323" s="2" t="inlineStr">
        <is>
          <t>c02c c030 009f cca9 cca8 ccaa c02b c02f 009e c024 c028 006b c023 c027 0067 c00a c014 0039 c009 c013 0033 009d 009c 003d 003c 0035 002f</t>
        </is>
      </c>
      <c r="H323" s="2" t="inlineStr"/>
      <c r="I323" s="2" t="n">
        <v>1</v>
      </c>
      <c r="J323" s="2" t="inlineStr">
        <is>
          <t>skb-eval-80103-c5082</t>
        </is>
      </c>
      <c r="K323" s="2" t="n">
        <v>210</v>
      </c>
      <c r="L323" s="2" t="n">
        <v>771</v>
      </c>
      <c r="M323" s="2" t="n">
        <v>210</v>
      </c>
      <c r="N323" s="2" t="b">
        <v>1</v>
      </c>
      <c r="O323" s="2" t="b">
        <v>1</v>
      </c>
      <c r="P323" s="2" t="inlineStr">
        <is>
          <t>c02c c030 009f cca9 cca8 ccaa c02b c02f 009e c024 c028 006b c023 c027 0067 c00a c014 0039 c009 c013 0033 009d 009c 003d 003c 0035 002f</t>
        </is>
      </c>
      <c r="Q323" s="2" t="inlineStr"/>
      <c r="R323" s="2" t="inlineStr">
        <is>
          <t>allow</t>
        </is>
      </c>
      <c r="S323" s="2" t="inlineStr">
        <is>
          <t>allow</t>
        </is>
      </c>
      <c r="T323" s="2">
        <f>K323=E323</f>
        <v/>
      </c>
      <c r="U323" s="2">
        <f>L323=F323</f>
        <v/>
      </c>
      <c r="V323" s="2">
        <f>IF(N323,EXACT(P323,G323),"")</f>
        <v/>
      </c>
      <c r="W323" s="2">
        <f>IF(O323,EXACT(Q323,H323),"")</f>
        <v/>
      </c>
      <c r="X323" s="2">
        <f>J323=C323</f>
        <v/>
      </c>
      <c r="Y323" s="2">
        <f>IF(R323="unknown","",R323=S323)</f>
        <v/>
      </c>
      <c r="Z323" s="2" t="inlineStr">
        <is>
          <t>A</t>
        </is>
      </c>
      <c r="AA323" s="2" t="inlineStr">
        <is>
          <t>A</t>
        </is>
      </c>
      <c r="AB323" s="2">
        <f>AND(N323,O323,A323&lt;&gt;"census-mixed")</f>
        <v/>
      </c>
      <c r="AC323" s="2">
        <f>IF(AB323,Z323=AA323,"")</f>
        <v/>
      </c>
    </row>
    <row r="324">
      <c r="A324" s="2" t="inlineStr">
        <is>
          <t>census-mixed</t>
        </is>
      </c>
      <c r="B324" s="2" t="inlineStr">
        <is>
          <t>openssl TLS 1.2 only</t>
        </is>
      </c>
      <c r="C324" s="2" t="inlineStr">
        <is>
          <t>skb-eval-80103-c5083</t>
        </is>
      </c>
      <c r="D324" s="2" t="n">
        <v>5083</v>
      </c>
      <c r="E324" s="2" t="n">
        <v>210</v>
      </c>
      <c r="F324" s="2" t="n">
        <v>771</v>
      </c>
      <c r="G324" s="2" t="inlineStr">
        <is>
          <t>c02c c030 009f cca9 cca8 ccaa c02b c02f 009e c024 c028 006b c023 c027 0067 c00a c014 0039 c009 c013 0033 009d 009c 003d 003c 0035 002f</t>
        </is>
      </c>
      <c r="H324" s="2" t="inlineStr"/>
      <c r="I324" s="2" t="n">
        <v>1</v>
      </c>
      <c r="J324" s="2" t="inlineStr">
        <is>
          <t>skb-eval-80103-c5083</t>
        </is>
      </c>
      <c r="K324" s="2" t="n">
        <v>210</v>
      </c>
      <c r="L324" s="2" t="n">
        <v>771</v>
      </c>
      <c r="M324" s="2" t="n">
        <v>210</v>
      </c>
      <c r="N324" s="2" t="b">
        <v>1</v>
      </c>
      <c r="O324" s="2" t="b">
        <v>1</v>
      </c>
      <c r="P324" s="2" t="inlineStr">
        <is>
          <t>c02c c030 009f cca9 cca8 ccaa c02b c02f 009e c024 c028 006b c023 c027 0067 c00a c014 0039 c009 c013 0033 009d 009c 003d 003c 0035 002f</t>
        </is>
      </c>
      <c r="Q324" s="2" t="inlineStr"/>
      <c r="R324" s="2" t="inlineStr">
        <is>
          <t>allow</t>
        </is>
      </c>
      <c r="S324" s="2" t="inlineStr">
        <is>
          <t>allow</t>
        </is>
      </c>
      <c r="T324" s="2">
        <f>K324=E324</f>
        <v/>
      </c>
      <c r="U324" s="2">
        <f>L324=F324</f>
        <v/>
      </c>
      <c r="V324" s="2">
        <f>IF(N324,EXACT(P324,G324),"")</f>
        <v/>
      </c>
      <c r="W324" s="2">
        <f>IF(O324,EXACT(Q324,H324),"")</f>
        <v/>
      </c>
      <c r="X324" s="2">
        <f>J324=C324</f>
        <v/>
      </c>
      <c r="Y324" s="2">
        <f>IF(R324="unknown","",R324=S324)</f>
        <v/>
      </c>
      <c r="Z324" s="2" t="inlineStr">
        <is>
          <t>A</t>
        </is>
      </c>
      <c r="AA324" s="2" t="inlineStr">
        <is>
          <t>A</t>
        </is>
      </c>
      <c r="AB324" s="2">
        <f>AND(N324,O324,A324&lt;&gt;"census-mixed")</f>
        <v/>
      </c>
      <c r="AC324" s="2">
        <f>IF(AB324,Z324=AA324,"")</f>
        <v/>
      </c>
    </row>
    <row r="325">
      <c r="A325" s="2" t="inlineStr">
        <is>
          <t>census-mixed</t>
        </is>
      </c>
      <c r="B325" s="2" t="inlineStr">
        <is>
          <t>openssl TLS 1.2 only</t>
        </is>
      </c>
      <c r="C325" s="2" t="inlineStr">
        <is>
          <t>skb-eval-80103-c5084</t>
        </is>
      </c>
      <c r="D325" s="2" t="n">
        <v>5084</v>
      </c>
      <c r="E325" s="2" t="n">
        <v>210</v>
      </c>
      <c r="F325" s="2" t="n">
        <v>771</v>
      </c>
      <c r="G325" s="2" t="inlineStr">
        <is>
          <t>c02c c030 009f cca9 cca8 ccaa c02b c02f 009e c024 c028 006b c023 c027 0067 c00a c014 0039 c009 c013 0033 009d 009c 003d 003c 0035 002f</t>
        </is>
      </c>
      <c r="H325" s="2" t="inlineStr"/>
      <c r="I325" s="2" t="n">
        <v>1</v>
      </c>
      <c r="J325" s="2" t="inlineStr">
        <is>
          <t>skb-eval-80103-c5084</t>
        </is>
      </c>
      <c r="K325" s="2" t="n">
        <v>210</v>
      </c>
      <c r="L325" s="2" t="n">
        <v>771</v>
      </c>
      <c r="M325" s="2" t="n">
        <v>210</v>
      </c>
      <c r="N325" s="2" t="b">
        <v>1</v>
      </c>
      <c r="O325" s="2" t="b">
        <v>1</v>
      </c>
      <c r="P325" s="2" t="inlineStr">
        <is>
          <t>c02c c030 009f cca9 cca8 ccaa c02b c02f 009e c024 c028 006b c023 c027 0067 c00a c014 0039 c009 c013 0033 009d 009c 003d 003c 0035 002f</t>
        </is>
      </c>
      <c r="Q325" s="2" t="inlineStr"/>
      <c r="R325" s="2" t="inlineStr">
        <is>
          <t>allow</t>
        </is>
      </c>
      <c r="S325" s="2" t="inlineStr">
        <is>
          <t>allow</t>
        </is>
      </c>
      <c r="T325" s="2">
        <f>K325=E325</f>
        <v/>
      </c>
      <c r="U325" s="2">
        <f>L325=F325</f>
        <v/>
      </c>
      <c r="V325" s="2">
        <f>IF(N325,EXACT(P325,G325),"")</f>
        <v/>
      </c>
      <c r="W325" s="2">
        <f>IF(O325,EXACT(Q325,H325),"")</f>
        <v/>
      </c>
      <c r="X325" s="2">
        <f>J325=C325</f>
        <v/>
      </c>
      <c r="Y325" s="2">
        <f>IF(R325="unknown","",R325=S325)</f>
        <v/>
      </c>
      <c r="Z325" s="2" t="inlineStr">
        <is>
          <t>A</t>
        </is>
      </c>
      <c r="AA325" s="2" t="inlineStr">
        <is>
          <t>A</t>
        </is>
      </c>
      <c r="AB325" s="2">
        <f>AND(N325,O325,A325&lt;&gt;"census-mixed")</f>
        <v/>
      </c>
      <c r="AC325" s="2">
        <f>IF(AB325,Z325=AA325,"")</f>
        <v/>
      </c>
    </row>
    <row r="326">
      <c r="A326" s="2" t="inlineStr">
        <is>
          <t>census-mixed</t>
        </is>
      </c>
      <c r="B326" s="2" t="inlineStr">
        <is>
          <t>openssl TLS 1.2 only</t>
        </is>
      </c>
      <c r="C326" s="2" t="inlineStr">
        <is>
          <t>skb-eval-80103-c5085</t>
        </is>
      </c>
      <c r="D326" s="2" t="n">
        <v>5085</v>
      </c>
      <c r="E326" s="2" t="n">
        <v>210</v>
      </c>
      <c r="F326" s="2" t="n">
        <v>771</v>
      </c>
      <c r="G326" s="2" t="inlineStr">
        <is>
          <t>c02c c030 009f cca9 cca8 ccaa c02b c02f 009e c024 c028 006b c023 c027 0067 c00a c014 0039 c009 c013 0033 009d 009c 003d 003c 0035 002f</t>
        </is>
      </c>
      <c r="H326" s="2" t="inlineStr"/>
      <c r="I326" s="2" t="n">
        <v>1</v>
      </c>
      <c r="J326" s="2" t="inlineStr">
        <is>
          <t>skb-eval-80103-c5085</t>
        </is>
      </c>
      <c r="K326" s="2" t="n">
        <v>210</v>
      </c>
      <c r="L326" s="2" t="n">
        <v>771</v>
      </c>
      <c r="M326" s="2" t="n">
        <v>210</v>
      </c>
      <c r="N326" s="2" t="b">
        <v>1</v>
      </c>
      <c r="O326" s="2" t="b">
        <v>1</v>
      </c>
      <c r="P326" s="2" t="inlineStr">
        <is>
          <t>c02c c030 009f cca9 cca8 ccaa c02b c02f 009e c024 c028 006b c023 c027 0067 c00a c014 0039 c009 c013 0033 009d 009c 003d 003c 0035 002f</t>
        </is>
      </c>
      <c r="Q326" s="2" t="inlineStr"/>
      <c r="R326" s="2" t="inlineStr">
        <is>
          <t>allow</t>
        </is>
      </c>
      <c r="S326" s="2" t="inlineStr">
        <is>
          <t>allow</t>
        </is>
      </c>
      <c r="T326" s="2">
        <f>K326=E326</f>
        <v/>
      </c>
      <c r="U326" s="2">
        <f>L326=F326</f>
        <v/>
      </c>
      <c r="V326" s="2">
        <f>IF(N326,EXACT(P326,G326),"")</f>
        <v/>
      </c>
      <c r="W326" s="2">
        <f>IF(O326,EXACT(Q326,H326),"")</f>
        <v/>
      </c>
      <c r="X326" s="2">
        <f>J326=C326</f>
        <v/>
      </c>
      <c r="Y326" s="2">
        <f>IF(R326="unknown","",R326=S326)</f>
        <v/>
      </c>
      <c r="Z326" s="2" t="inlineStr">
        <is>
          <t>A</t>
        </is>
      </c>
      <c r="AA326" s="2" t="inlineStr">
        <is>
          <t>A</t>
        </is>
      </c>
      <c r="AB326" s="2">
        <f>AND(N326,O326,A326&lt;&gt;"census-mixed")</f>
        <v/>
      </c>
      <c r="AC326" s="2">
        <f>IF(AB326,Z326=AA326,"")</f>
        <v/>
      </c>
    </row>
    <row r="327">
      <c r="A327" s="2" t="inlineStr">
        <is>
          <t>census-mixed</t>
        </is>
      </c>
      <c r="B327" s="2" t="inlineStr">
        <is>
          <t>openssl TLS 1.2 only</t>
        </is>
      </c>
      <c r="C327" s="2" t="inlineStr">
        <is>
          <t>skb-eval-80103-c5086</t>
        </is>
      </c>
      <c r="D327" s="2" t="n">
        <v>5086</v>
      </c>
      <c r="E327" s="2" t="n">
        <v>210</v>
      </c>
      <c r="F327" s="2" t="n">
        <v>771</v>
      </c>
      <c r="G327" s="2" t="inlineStr">
        <is>
          <t>c02c c030 009f cca9 cca8 ccaa c02b c02f 009e c024 c028 006b c023 c027 0067 c00a c014 0039 c009 c013 0033 009d 009c 003d 003c 0035 002f</t>
        </is>
      </c>
      <c r="H327" s="2" t="inlineStr"/>
      <c r="I327" s="2" t="n">
        <v>1</v>
      </c>
      <c r="J327" s="2" t="inlineStr">
        <is>
          <t>skb-eval-80103-c5086</t>
        </is>
      </c>
      <c r="K327" s="2" t="n">
        <v>210</v>
      </c>
      <c r="L327" s="2" t="n">
        <v>771</v>
      </c>
      <c r="M327" s="2" t="n">
        <v>210</v>
      </c>
      <c r="N327" s="2" t="b">
        <v>1</v>
      </c>
      <c r="O327" s="2" t="b">
        <v>1</v>
      </c>
      <c r="P327" s="2" t="inlineStr">
        <is>
          <t>c02c c030 009f cca9 cca8 ccaa c02b c02f 009e c024 c028 006b c023 c027 0067 c00a c014 0039 c009 c013 0033 009d 009c 003d 003c 0035 002f</t>
        </is>
      </c>
      <c r="Q327" s="2" t="inlineStr"/>
      <c r="R327" s="2" t="inlineStr">
        <is>
          <t>allow</t>
        </is>
      </c>
      <c r="S327" s="2" t="inlineStr">
        <is>
          <t>allow</t>
        </is>
      </c>
      <c r="T327" s="2">
        <f>K327=E327</f>
        <v/>
      </c>
      <c r="U327" s="2">
        <f>L327=F327</f>
        <v/>
      </c>
      <c r="V327" s="2">
        <f>IF(N327,EXACT(P327,G327),"")</f>
        <v/>
      </c>
      <c r="W327" s="2">
        <f>IF(O327,EXACT(Q327,H327),"")</f>
        <v/>
      </c>
      <c r="X327" s="2">
        <f>J327=C327</f>
        <v/>
      </c>
      <c r="Y327" s="2">
        <f>IF(R327="unknown","",R327=S327)</f>
        <v/>
      </c>
      <c r="Z327" s="2" t="inlineStr">
        <is>
          <t>A</t>
        </is>
      </c>
      <c r="AA327" s="2" t="inlineStr">
        <is>
          <t>A</t>
        </is>
      </c>
      <c r="AB327" s="2">
        <f>AND(N327,O327,A327&lt;&gt;"census-mixed")</f>
        <v/>
      </c>
      <c r="AC327" s="2">
        <f>IF(AB327,Z327=AA327,"")</f>
        <v/>
      </c>
    </row>
    <row r="328">
      <c r="A328" s="2" t="inlineStr">
        <is>
          <t>census-mixed</t>
        </is>
      </c>
      <c r="B328" s="2" t="inlineStr">
        <is>
          <t>openssl TLS 1.2 only</t>
        </is>
      </c>
      <c r="C328" s="2" t="inlineStr">
        <is>
          <t>skb-eval-80103-c5087</t>
        </is>
      </c>
      <c r="D328" s="2" t="n">
        <v>5087</v>
      </c>
      <c r="E328" s="2" t="n">
        <v>210</v>
      </c>
      <c r="F328" s="2" t="n">
        <v>771</v>
      </c>
      <c r="G328" s="2" t="inlineStr">
        <is>
          <t>c02c c030 009f cca9 cca8 ccaa c02b c02f 009e c024 c028 006b c023 c027 0067 c00a c014 0039 c009 c013 0033 009d 009c 003d 003c 0035 002f</t>
        </is>
      </c>
      <c r="H328" s="2" t="inlineStr"/>
      <c r="I328" s="2" t="n">
        <v>1</v>
      </c>
      <c r="J328" s="2" t="inlineStr">
        <is>
          <t>skb-eval-80103-c5087</t>
        </is>
      </c>
      <c r="K328" s="2" t="n">
        <v>210</v>
      </c>
      <c r="L328" s="2" t="n">
        <v>771</v>
      </c>
      <c r="M328" s="2" t="n">
        <v>210</v>
      </c>
      <c r="N328" s="2" t="b">
        <v>1</v>
      </c>
      <c r="O328" s="2" t="b">
        <v>1</v>
      </c>
      <c r="P328" s="2" t="inlineStr">
        <is>
          <t>c02c c030 009f cca9 cca8 ccaa c02b c02f 009e c024 c028 006b c023 c027 0067 c00a c014 0039 c009 c013 0033 009d 009c 003d 003c 0035 002f</t>
        </is>
      </c>
      <c r="Q328" s="2" t="inlineStr"/>
      <c r="R328" s="2" t="inlineStr">
        <is>
          <t>allow</t>
        </is>
      </c>
      <c r="S328" s="2" t="inlineStr">
        <is>
          <t>allow</t>
        </is>
      </c>
      <c r="T328" s="2">
        <f>K328=E328</f>
        <v/>
      </c>
      <c r="U328" s="2">
        <f>L328=F328</f>
        <v/>
      </c>
      <c r="V328" s="2">
        <f>IF(N328,EXACT(P328,G328),"")</f>
        <v/>
      </c>
      <c r="W328" s="2">
        <f>IF(O328,EXACT(Q328,H328),"")</f>
        <v/>
      </c>
      <c r="X328" s="2">
        <f>J328=C328</f>
        <v/>
      </c>
      <c r="Y328" s="2">
        <f>IF(R328="unknown","",R328=S328)</f>
        <v/>
      </c>
      <c r="Z328" s="2" t="inlineStr">
        <is>
          <t>A</t>
        </is>
      </c>
      <c r="AA328" s="2" t="inlineStr">
        <is>
          <t>A</t>
        </is>
      </c>
      <c r="AB328" s="2">
        <f>AND(N328,O328,A328&lt;&gt;"census-mixed")</f>
        <v/>
      </c>
      <c r="AC328" s="2">
        <f>IF(AB328,Z328=AA328,"")</f>
        <v/>
      </c>
    </row>
    <row r="329">
      <c r="A329" s="2" t="inlineStr">
        <is>
          <t>census-mixed</t>
        </is>
      </c>
      <c r="B329" s="2" t="inlineStr">
        <is>
          <t>openssl TLS 1.2 only</t>
        </is>
      </c>
      <c r="C329" s="2" t="inlineStr">
        <is>
          <t>skb-eval-80103-c5088</t>
        </is>
      </c>
      <c r="D329" s="2" t="n">
        <v>5088</v>
      </c>
      <c r="E329" s="2" t="n">
        <v>210</v>
      </c>
      <c r="F329" s="2" t="n">
        <v>771</v>
      </c>
      <c r="G329" s="2" t="inlineStr">
        <is>
          <t>c02c c030 009f cca9 cca8 ccaa c02b c02f 009e c024 c028 006b c023 c027 0067 c00a c014 0039 c009 c013 0033 009d 009c 003d 003c 0035 002f</t>
        </is>
      </c>
      <c r="H329" s="2" t="inlineStr"/>
      <c r="I329" s="2" t="n">
        <v>1</v>
      </c>
      <c r="J329" s="2" t="inlineStr">
        <is>
          <t>skb-eval-80103-c5088</t>
        </is>
      </c>
      <c r="K329" s="2" t="n">
        <v>210</v>
      </c>
      <c r="L329" s="2" t="n">
        <v>771</v>
      </c>
      <c r="M329" s="2" t="n">
        <v>210</v>
      </c>
      <c r="N329" s="2" t="b">
        <v>1</v>
      </c>
      <c r="O329" s="2" t="b">
        <v>1</v>
      </c>
      <c r="P329" s="2" t="inlineStr">
        <is>
          <t>c02c c030 009f cca9 cca8 ccaa c02b c02f 009e c024 c028 006b c023 c027 0067 c00a c014 0039 c009 c013 0033 009d 009c 003d 003c 0035 002f</t>
        </is>
      </c>
      <c r="Q329" s="2" t="inlineStr"/>
      <c r="R329" s="2" t="inlineStr">
        <is>
          <t>allow</t>
        </is>
      </c>
      <c r="S329" s="2" t="inlineStr">
        <is>
          <t>allow</t>
        </is>
      </c>
      <c r="T329" s="2">
        <f>K329=E329</f>
        <v/>
      </c>
      <c r="U329" s="2">
        <f>L329=F329</f>
        <v/>
      </c>
      <c r="V329" s="2">
        <f>IF(N329,EXACT(P329,G329),"")</f>
        <v/>
      </c>
      <c r="W329" s="2">
        <f>IF(O329,EXACT(Q329,H329),"")</f>
        <v/>
      </c>
      <c r="X329" s="2">
        <f>J329=C329</f>
        <v/>
      </c>
      <c r="Y329" s="2">
        <f>IF(R329="unknown","",R329=S329)</f>
        <v/>
      </c>
      <c r="Z329" s="2" t="inlineStr">
        <is>
          <t>A</t>
        </is>
      </c>
      <c r="AA329" s="2" t="inlineStr">
        <is>
          <t>A</t>
        </is>
      </c>
      <c r="AB329" s="2">
        <f>AND(N329,O329,A329&lt;&gt;"census-mixed")</f>
        <v/>
      </c>
      <c r="AC329" s="2">
        <f>IF(AB329,Z329=AA329,"")</f>
        <v/>
      </c>
    </row>
    <row r="330">
      <c r="A330" s="2" t="inlineStr">
        <is>
          <t>census-mixed</t>
        </is>
      </c>
      <c r="B330" s="2" t="inlineStr">
        <is>
          <t>openssl TLS 1.2 only</t>
        </is>
      </c>
      <c r="C330" s="2" t="inlineStr">
        <is>
          <t>skb-eval-80103-c5089</t>
        </is>
      </c>
      <c r="D330" s="2" t="n">
        <v>5089</v>
      </c>
      <c r="E330" s="2" t="n">
        <v>210</v>
      </c>
      <c r="F330" s="2" t="n">
        <v>771</v>
      </c>
      <c r="G330" s="2" t="inlineStr">
        <is>
          <t>c02c c030 009f cca9 cca8 ccaa c02b c02f 009e c024 c028 006b c023 c027 0067 c00a c014 0039 c009 c013 0033 009d 009c 003d 003c 0035 002f</t>
        </is>
      </c>
      <c r="H330" s="2" t="inlineStr"/>
      <c r="I330" s="2" t="n">
        <v>1</v>
      </c>
      <c r="J330" s="2" t="inlineStr">
        <is>
          <t>skb-eval-80103-c5089</t>
        </is>
      </c>
      <c r="K330" s="2" t="n">
        <v>210</v>
      </c>
      <c r="L330" s="2" t="n">
        <v>771</v>
      </c>
      <c r="M330" s="2" t="n">
        <v>210</v>
      </c>
      <c r="N330" s="2" t="b">
        <v>1</v>
      </c>
      <c r="O330" s="2" t="b">
        <v>1</v>
      </c>
      <c r="P330" s="2" t="inlineStr">
        <is>
          <t>c02c c030 009f cca9 cca8 ccaa c02b c02f 009e c024 c028 006b c023 c027 0067 c00a c014 0039 c009 c013 0033 009d 009c 003d 003c 0035 002f</t>
        </is>
      </c>
      <c r="Q330" s="2" t="inlineStr"/>
      <c r="R330" s="2" t="inlineStr">
        <is>
          <t>allow</t>
        </is>
      </c>
      <c r="S330" s="2" t="inlineStr">
        <is>
          <t>allow</t>
        </is>
      </c>
      <c r="T330" s="2">
        <f>K330=E330</f>
        <v/>
      </c>
      <c r="U330" s="2">
        <f>L330=F330</f>
        <v/>
      </c>
      <c r="V330" s="2">
        <f>IF(N330,EXACT(P330,G330),"")</f>
        <v/>
      </c>
      <c r="W330" s="2">
        <f>IF(O330,EXACT(Q330,H330),"")</f>
        <v/>
      </c>
      <c r="X330" s="2">
        <f>J330=C330</f>
        <v/>
      </c>
      <c r="Y330" s="2">
        <f>IF(R330="unknown","",R330=S330)</f>
        <v/>
      </c>
      <c r="Z330" s="2" t="inlineStr">
        <is>
          <t>A</t>
        </is>
      </c>
      <c r="AA330" s="2" t="inlineStr">
        <is>
          <t>A</t>
        </is>
      </c>
      <c r="AB330" s="2">
        <f>AND(N330,O330,A330&lt;&gt;"census-mixed")</f>
        <v/>
      </c>
      <c r="AC330" s="2">
        <f>IF(AB330,Z330=AA330,"")</f>
        <v/>
      </c>
    </row>
    <row r="331">
      <c r="A331" s="2" t="inlineStr">
        <is>
          <t>census-mixed</t>
        </is>
      </c>
      <c r="B331" s="2" t="inlineStr">
        <is>
          <t>openssl TLS 1.2 only</t>
        </is>
      </c>
      <c r="C331" s="2" t="inlineStr">
        <is>
          <t>skb-eval-80103-c5090</t>
        </is>
      </c>
      <c r="D331" s="2" t="n">
        <v>5090</v>
      </c>
      <c r="E331" s="2" t="n">
        <v>210</v>
      </c>
      <c r="F331" s="2" t="n">
        <v>771</v>
      </c>
      <c r="G331" s="2" t="inlineStr">
        <is>
          <t>c02c c030 009f cca9 cca8 ccaa c02b c02f 009e c024 c028 006b c023 c027 0067 c00a c014 0039 c009 c013 0033 009d 009c 003d 003c 0035 002f</t>
        </is>
      </c>
      <c r="H331" s="2" t="inlineStr"/>
      <c r="I331" s="2" t="n">
        <v>1</v>
      </c>
      <c r="J331" s="2" t="inlineStr">
        <is>
          <t>skb-eval-80103-c5090</t>
        </is>
      </c>
      <c r="K331" s="2" t="n">
        <v>210</v>
      </c>
      <c r="L331" s="2" t="n">
        <v>771</v>
      </c>
      <c r="M331" s="2" t="n">
        <v>210</v>
      </c>
      <c r="N331" s="2" t="b">
        <v>1</v>
      </c>
      <c r="O331" s="2" t="b">
        <v>1</v>
      </c>
      <c r="P331" s="2" t="inlineStr">
        <is>
          <t>c02c c030 009f cca9 cca8 ccaa c02b c02f 009e c024 c028 006b c023 c027 0067 c00a c014 0039 c009 c013 0033 009d 009c 003d 003c 0035 002f</t>
        </is>
      </c>
      <c r="Q331" s="2" t="inlineStr"/>
      <c r="R331" s="2" t="inlineStr">
        <is>
          <t>allow</t>
        </is>
      </c>
      <c r="S331" s="2" t="inlineStr">
        <is>
          <t>allow</t>
        </is>
      </c>
      <c r="T331" s="2">
        <f>K331=E331</f>
        <v/>
      </c>
      <c r="U331" s="2">
        <f>L331=F331</f>
        <v/>
      </c>
      <c r="V331" s="2">
        <f>IF(N331,EXACT(P331,G331),"")</f>
        <v/>
      </c>
      <c r="W331" s="2">
        <f>IF(O331,EXACT(Q331,H331),"")</f>
        <v/>
      </c>
      <c r="X331" s="2">
        <f>J331=C331</f>
        <v/>
      </c>
      <c r="Y331" s="2">
        <f>IF(R331="unknown","",R331=S331)</f>
        <v/>
      </c>
      <c r="Z331" s="2" t="inlineStr">
        <is>
          <t>A</t>
        </is>
      </c>
      <c r="AA331" s="2" t="inlineStr">
        <is>
          <t>A</t>
        </is>
      </c>
      <c r="AB331" s="2">
        <f>AND(N331,O331,A331&lt;&gt;"census-mixed")</f>
        <v/>
      </c>
      <c r="AC331" s="2">
        <f>IF(AB331,Z331=AA331,"")</f>
        <v/>
      </c>
    </row>
    <row r="332">
      <c r="A332" s="2" t="inlineStr">
        <is>
          <t>census-mixed</t>
        </is>
      </c>
      <c r="B332" s="2" t="inlineStr">
        <is>
          <t>curl 8.22 (OpenSSL 3.5.8)</t>
        </is>
      </c>
      <c r="C332" s="2" t="inlineStr">
        <is>
          <t>skb-eval-80103-c5091</t>
        </is>
      </c>
      <c r="D332" s="2" t="n">
        <v>5091</v>
      </c>
      <c r="E332" s="2" t="n">
        <v>1561</v>
      </c>
      <c r="F332" s="2" t="n">
        <v>771</v>
      </c>
      <c r="G332" s="2" t="inlineStr">
        <is>
          <t>1302 1303 1301 c02c c030 009f cca9 cca8 ccaa c02b c02f 009e c024 c028 006b c023 c027 0067 c00a c014 0039 c009 c013 0033 009d 009c 003d 003c 0035 002f</t>
        </is>
      </c>
      <c r="H332" s="2" t="inlineStr">
        <is>
          <t>0304 0303</t>
        </is>
      </c>
      <c r="I332" s="2" t="n">
        <v>1</v>
      </c>
      <c r="J332" s="2" t="inlineStr">
        <is>
          <t>skb-eval-80103-c5091</t>
        </is>
      </c>
      <c r="K332" s="2" t="n">
        <v>1561</v>
      </c>
      <c r="L332" s="2" t="n">
        <v>771</v>
      </c>
      <c r="M332" s="2" t="n">
        <v>1443</v>
      </c>
      <c r="N332" s="2" t="b">
        <v>1</v>
      </c>
      <c r="O332" s="2" t="b">
        <v>1</v>
      </c>
      <c r="P332" s="2" t="inlineStr">
        <is>
          <t>1302 1303 1301 c02c c030 009f cca9 cca8 ccaa c02b c02f 009e c024 c028 006b c023 c027 0067 c00a c014 0039 c009 c013 0033 009d 009c 003d 003c 0035 002f</t>
        </is>
      </c>
      <c r="Q332" s="2" t="inlineStr">
        <is>
          <t>0304 0303</t>
        </is>
      </c>
      <c r="R332" s="2" t="inlineStr">
        <is>
          <t>allow</t>
        </is>
      </c>
      <c r="S332" s="2" t="inlineStr">
        <is>
          <t>allow</t>
        </is>
      </c>
      <c r="T332" s="2">
        <f>K332=E332</f>
        <v/>
      </c>
      <c r="U332" s="2">
        <f>L332=F332</f>
        <v/>
      </c>
      <c r="V332" s="2">
        <f>IF(N332,EXACT(P332,G332),"")</f>
        <v/>
      </c>
      <c r="W332" s="2">
        <f>IF(O332,EXACT(Q332,H332),"")</f>
        <v/>
      </c>
      <c r="X332" s="2">
        <f>J332=C332</f>
        <v/>
      </c>
      <c r="Y332" s="2">
        <f>IF(R332="unknown","",R332=S332)</f>
        <v/>
      </c>
      <c r="Z332" s="2" t="inlineStr">
        <is>
          <t>A</t>
        </is>
      </c>
      <c r="AA332" s="2" t="inlineStr">
        <is>
          <t>A</t>
        </is>
      </c>
      <c r="AB332" s="2">
        <f>AND(N332,O332,A332&lt;&gt;"census-mixed")</f>
        <v/>
      </c>
      <c r="AC332" s="2">
        <f>IF(AB332,Z332=AA332,"")</f>
        <v/>
      </c>
    </row>
    <row r="333">
      <c r="A333" s="2" t="inlineStr">
        <is>
          <t>census-mixed</t>
        </is>
      </c>
      <c r="B333" s="2" t="inlineStr">
        <is>
          <t>curl 8.22 (OpenSSL 3.5.8)</t>
        </is>
      </c>
      <c r="C333" s="2" t="inlineStr">
        <is>
          <t>skb-eval-80103-c5092</t>
        </is>
      </c>
      <c r="D333" s="2" t="n">
        <v>5092</v>
      </c>
      <c r="E333" s="2" t="n">
        <v>1561</v>
      </c>
      <c r="F333" s="2" t="n">
        <v>771</v>
      </c>
      <c r="G333" s="2" t="inlineStr">
        <is>
          <t>1302 1303 1301 c02c c030 009f cca9 cca8 ccaa c02b c02f 009e c024 c028 006b c023 c027 0067 c00a c014 0039 c009 c013 0033 009d 009c 003d 003c 0035 002f</t>
        </is>
      </c>
      <c r="H333" s="2" t="inlineStr">
        <is>
          <t>0304 0303</t>
        </is>
      </c>
      <c r="I333" s="2" t="n">
        <v>1</v>
      </c>
      <c r="J333" s="2" t="inlineStr">
        <is>
          <t>skb-eval-80103-c5092</t>
        </is>
      </c>
      <c r="K333" s="2" t="n">
        <v>1561</v>
      </c>
      <c r="L333" s="2" t="n">
        <v>771</v>
      </c>
      <c r="M333" s="2" t="n">
        <v>1443</v>
      </c>
      <c r="N333" s="2" t="b">
        <v>1</v>
      </c>
      <c r="O333" s="2" t="b">
        <v>1</v>
      </c>
      <c r="P333" s="2" t="inlineStr">
        <is>
          <t>1302 1303 1301 c02c c030 009f cca9 cca8 ccaa c02b c02f 009e c024 c028 006b c023 c027 0067 c00a c014 0039 c009 c013 0033 009d 009c 003d 003c 0035 002f</t>
        </is>
      </c>
      <c r="Q333" s="2" t="inlineStr">
        <is>
          <t>0304 0303</t>
        </is>
      </c>
      <c r="R333" s="2" t="inlineStr">
        <is>
          <t>allow</t>
        </is>
      </c>
      <c r="S333" s="2" t="inlineStr">
        <is>
          <t>allow</t>
        </is>
      </c>
      <c r="T333" s="2">
        <f>K333=E333</f>
        <v/>
      </c>
      <c r="U333" s="2">
        <f>L333=F333</f>
        <v/>
      </c>
      <c r="V333" s="2">
        <f>IF(N333,EXACT(P333,G333),"")</f>
        <v/>
      </c>
      <c r="W333" s="2">
        <f>IF(O333,EXACT(Q333,H333),"")</f>
        <v/>
      </c>
      <c r="X333" s="2">
        <f>J333=C333</f>
        <v/>
      </c>
      <c r="Y333" s="2">
        <f>IF(R333="unknown","",R333=S333)</f>
        <v/>
      </c>
      <c r="Z333" s="2" t="inlineStr">
        <is>
          <t>A</t>
        </is>
      </c>
      <c r="AA333" s="2" t="inlineStr">
        <is>
          <t>A</t>
        </is>
      </c>
      <c r="AB333" s="2">
        <f>AND(N333,O333,A333&lt;&gt;"census-mixed")</f>
        <v/>
      </c>
      <c r="AC333" s="2">
        <f>IF(AB333,Z333=AA333,"")</f>
        <v/>
      </c>
    </row>
    <row r="334">
      <c r="A334" s="2" t="inlineStr">
        <is>
          <t>census-mixed</t>
        </is>
      </c>
      <c r="B334" s="2" t="inlineStr">
        <is>
          <t>curl 8.22 (OpenSSL 3.5.8)</t>
        </is>
      </c>
      <c r="C334" s="2" t="inlineStr">
        <is>
          <t>skb-eval-80103-c5093</t>
        </is>
      </c>
      <c r="D334" s="2" t="n">
        <v>5093</v>
      </c>
      <c r="E334" s="2" t="n">
        <v>1561</v>
      </c>
      <c r="F334" s="2" t="n">
        <v>771</v>
      </c>
      <c r="G334" s="2" t="inlineStr">
        <is>
          <t>1302 1303 1301 c02c c030 009f cca9 cca8 ccaa c02b c02f 009e c024 c028 006b c023 c027 0067 c00a c014 0039 c009 c013 0033 009d 009c 003d 003c 0035 002f</t>
        </is>
      </c>
      <c r="H334" s="2" t="inlineStr">
        <is>
          <t>0304 0303</t>
        </is>
      </c>
      <c r="I334" s="2" t="n">
        <v>1</v>
      </c>
      <c r="J334" s="2" t="inlineStr">
        <is>
          <t>skb-eval-80103-c5093</t>
        </is>
      </c>
      <c r="K334" s="2" t="n">
        <v>1561</v>
      </c>
      <c r="L334" s="2" t="n">
        <v>771</v>
      </c>
      <c r="M334" s="2" t="n">
        <v>1443</v>
      </c>
      <c r="N334" s="2" t="b">
        <v>1</v>
      </c>
      <c r="O334" s="2" t="b">
        <v>1</v>
      </c>
      <c r="P334" s="2" t="inlineStr">
        <is>
          <t>1302 1303 1301 c02c c030 009f cca9 cca8 ccaa c02b c02f 009e c024 c028 006b c023 c027 0067 c00a c014 0039 c009 c013 0033 009d 009c 003d 003c 0035 002f</t>
        </is>
      </c>
      <c r="Q334" s="2" t="inlineStr">
        <is>
          <t>0304 0303</t>
        </is>
      </c>
      <c r="R334" s="2" t="inlineStr">
        <is>
          <t>allow</t>
        </is>
      </c>
      <c r="S334" s="2" t="inlineStr">
        <is>
          <t>allow</t>
        </is>
      </c>
      <c r="T334" s="2">
        <f>K334=E334</f>
        <v/>
      </c>
      <c r="U334" s="2">
        <f>L334=F334</f>
        <v/>
      </c>
      <c r="V334" s="2">
        <f>IF(N334,EXACT(P334,G334),"")</f>
        <v/>
      </c>
      <c r="W334" s="2">
        <f>IF(O334,EXACT(Q334,H334),"")</f>
        <v/>
      </c>
      <c r="X334" s="2">
        <f>J334=C334</f>
        <v/>
      </c>
      <c r="Y334" s="2">
        <f>IF(R334="unknown","",R334=S334)</f>
        <v/>
      </c>
      <c r="Z334" s="2" t="inlineStr">
        <is>
          <t>A</t>
        </is>
      </c>
      <c r="AA334" s="2" t="inlineStr">
        <is>
          <t>A</t>
        </is>
      </c>
      <c r="AB334" s="2">
        <f>AND(N334,O334,A334&lt;&gt;"census-mixed")</f>
        <v/>
      </c>
      <c r="AC334" s="2">
        <f>IF(AB334,Z334=AA334,"")</f>
        <v/>
      </c>
    </row>
    <row r="335">
      <c r="A335" s="2" t="inlineStr">
        <is>
          <t>census-mixed</t>
        </is>
      </c>
      <c r="B335" s="2" t="inlineStr">
        <is>
          <t>curl 8.22 (OpenSSL 3.5.8)</t>
        </is>
      </c>
      <c r="C335" s="2" t="inlineStr">
        <is>
          <t>skb-eval-80103-c5094</t>
        </is>
      </c>
      <c r="D335" s="2" t="n">
        <v>5094</v>
      </c>
      <c r="E335" s="2" t="n">
        <v>1561</v>
      </c>
      <c r="F335" s="2" t="n">
        <v>771</v>
      </c>
      <c r="G335" s="2" t="inlineStr">
        <is>
          <t>1302 1303 1301 c02c c030 009f cca9 cca8 ccaa c02b c02f 009e c024 c028 006b c023 c027 0067 c00a c014 0039 c009 c013 0033 009d 009c 003d 003c 0035 002f</t>
        </is>
      </c>
      <c r="H335" s="2" t="inlineStr">
        <is>
          <t>0304 0303</t>
        </is>
      </c>
      <c r="I335" s="2" t="n">
        <v>1</v>
      </c>
      <c r="J335" s="2" t="inlineStr">
        <is>
          <t>skb-eval-80103-c5094</t>
        </is>
      </c>
      <c r="K335" s="2" t="n">
        <v>1561</v>
      </c>
      <c r="L335" s="2" t="n">
        <v>771</v>
      </c>
      <c r="M335" s="2" t="n">
        <v>1443</v>
      </c>
      <c r="N335" s="2" t="b">
        <v>1</v>
      </c>
      <c r="O335" s="2" t="b">
        <v>1</v>
      </c>
      <c r="P335" s="2" t="inlineStr">
        <is>
          <t>1302 1303 1301 c02c c030 009f cca9 cca8 ccaa c02b c02f 009e c024 c028 006b c023 c027 0067 c00a c014 0039 c009 c013 0033 009d 009c 003d 003c 0035 002f</t>
        </is>
      </c>
      <c r="Q335" s="2" t="inlineStr">
        <is>
          <t>0304 0303</t>
        </is>
      </c>
      <c r="R335" s="2" t="inlineStr">
        <is>
          <t>allow</t>
        </is>
      </c>
      <c r="S335" s="2" t="inlineStr">
        <is>
          <t>allow</t>
        </is>
      </c>
      <c r="T335" s="2">
        <f>K335=E335</f>
        <v/>
      </c>
      <c r="U335" s="2">
        <f>L335=F335</f>
        <v/>
      </c>
      <c r="V335" s="2">
        <f>IF(N335,EXACT(P335,G335),"")</f>
        <v/>
      </c>
      <c r="W335" s="2">
        <f>IF(O335,EXACT(Q335,H335),"")</f>
        <v/>
      </c>
      <c r="X335" s="2">
        <f>J335=C335</f>
        <v/>
      </c>
      <c r="Y335" s="2">
        <f>IF(R335="unknown","",R335=S335)</f>
        <v/>
      </c>
      <c r="Z335" s="2" t="inlineStr">
        <is>
          <t>A</t>
        </is>
      </c>
      <c r="AA335" s="2" t="inlineStr">
        <is>
          <t>A</t>
        </is>
      </c>
      <c r="AB335" s="2">
        <f>AND(N335,O335,A335&lt;&gt;"census-mixed")</f>
        <v/>
      </c>
      <c r="AC335" s="2">
        <f>IF(AB335,Z335=AA335,"")</f>
        <v/>
      </c>
    </row>
    <row r="336">
      <c r="A336" s="2" t="inlineStr">
        <is>
          <t>census-mixed</t>
        </is>
      </c>
      <c r="B336" s="2" t="inlineStr">
        <is>
          <t>curl 8.22 (OpenSSL 3.5.8)</t>
        </is>
      </c>
      <c r="C336" s="2" t="inlineStr">
        <is>
          <t>skb-eval-80103-c5095</t>
        </is>
      </c>
      <c r="D336" s="2" t="n">
        <v>5095</v>
      </c>
      <c r="E336" s="2" t="n">
        <v>1561</v>
      </c>
      <c r="F336" s="2" t="n">
        <v>771</v>
      </c>
      <c r="G336" s="2" t="inlineStr">
        <is>
          <t>1302 1303 1301 c02c c030 009f cca9 cca8 ccaa c02b c02f 009e c024 c028 006b c023 c027 0067 c00a c014 0039 c009 c013 0033 009d 009c 003d 003c 0035 002f</t>
        </is>
      </c>
      <c r="H336" s="2" t="inlineStr">
        <is>
          <t>0304 0303</t>
        </is>
      </c>
      <c r="I336" s="2" t="n">
        <v>1</v>
      </c>
      <c r="J336" s="2" t="inlineStr">
        <is>
          <t>skb-eval-80103-c5095</t>
        </is>
      </c>
      <c r="K336" s="2" t="n">
        <v>1561</v>
      </c>
      <c r="L336" s="2" t="n">
        <v>771</v>
      </c>
      <c r="M336" s="2" t="n">
        <v>1443</v>
      </c>
      <c r="N336" s="2" t="b">
        <v>1</v>
      </c>
      <c r="O336" s="2" t="b">
        <v>1</v>
      </c>
      <c r="P336" s="2" t="inlineStr">
        <is>
          <t>1302 1303 1301 c02c c030 009f cca9 cca8 ccaa c02b c02f 009e c024 c028 006b c023 c027 0067 c00a c014 0039 c009 c013 0033 009d 009c 003d 003c 0035 002f</t>
        </is>
      </c>
      <c r="Q336" s="2" t="inlineStr">
        <is>
          <t>0304 0303</t>
        </is>
      </c>
      <c r="R336" s="2" t="inlineStr">
        <is>
          <t>allow</t>
        </is>
      </c>
      <c r="S336" s="2" t="inlineStr">
        <is>
          <t>allow</t>
        </is>
      </c>
      <c r="T336" s="2">
        <f>K336=E336</f>
        <v/>
      </c>
      <c r="U336" s="2">
        <f>L336=F336</f>
        <v/>
      </c>
      <c r="V336" s="2">
        <f>IF(N336,EXACT(P336,G336),"")</f>
        <v/>
      </c>
      <c r="W336" s="2">
        <f>IF(O336,EXACT(Q336,H336),"")</f>
        <v/>
      </c>
      <c r="X336" s="2">
        <f>J336=C336</f>
        <v/>
      </c>
      <c r="Y336" s="2">
        <f>IF(R336="unknown","",R336=S336)</f>
        <v/>
      </c>
      <c r="Z336" s="2" t="inlineStr">
        <is>
          <t>A</t>
        </is>
      </c>
      <c r="AA336" s="2" t="inlineStr">
        <is>
          <t>A</t>
        </is>
      </c>
      <c r="AB336" s="2">
        <f>AND(N336,O336,A336&lt;&gt;"census-mixed")</f>
        <v/>
      </c>
      <c r="AC336" s="2">
        <f>IF(AB336,Z336=AA336,"")</f>
        <v/>
      </c>
    </row>
    <row r="337">
      <c r="A337" s="2" t="inlineStr">
        <is>
          <t>census-mixed</t>
        </is>
      </c>
      <c r="B337" s="2" t="inlineStr">
        <is>
          <t>curl 8.22 (OpenSSL 3.5.8)</t>
        </is>
      </c>
      <c r="C337" s="2" t="inlineStr">
        <is>
          <t>skb-eval-80103-c5096</t>
        </is>
      </c>
      <c r="D337" s="2" t="n">
        <v>5096</v>
      </c>
      <c r="E337" s="2" t="n">
        <v>1561</v>
      </c>
      <c r="F337" s="2" t="n">
        <v>771</v>
      </c>
      <c r="G337" s="2" t="inlineStr">
        <is>
          <t>1302 1303 1301 c02c c030 009f cca9 cca8 ccaa c02b c02f 009e c024 c028 006b c023 c027 0067 c00a c014 0039 c009 c013 0033 009d 009c 003d 003c 0035 002f</t>
        </is>
      </c>
      <c r="H337" s="2" t="inlineStr">
        <is>
          <t>0304 0303</t>
        </is>
      </c>
      <c r="I337" s="2" t="n">
        <v>1</v>
      </c>
      <c r="J337" s="2" t="inlineStr">
        <is>
          <t>skb-eval-80103-c5096</t>
        </is>
      </c>
      <c r="K337" s="2" t="n">
        <v>1561</v>
      </c>
      <c r="L337" s="2" t="n">
        <v>771</v>
      </c>
      <c r="M337" s="2" t="n">
        <v>1443</v>
      </c>
      <c r="N337" s="2" t="b">
        <v>1</v>
      </c>
      <c r="O337" s="2" t="b">
        <v>1</v>
      </c>
      <c r="P337" s="2" t="inlineStr">
        <is>
          <t>1302 1303 1301 c02c c030 009f cca9 cca8 ccaa c02b c02f 009e c024 c028 006b c023 c027 0067 c00a c014 0039 c009 c013 0033 009d 009c 003d 003c 0035 002f</t>
        </is>
      </c>
      <c r="Q337" s="2" t="inlineStr">
        <is>
          <t>0304 0303</t>
        </is>
      </c>
      <c r="R337" s="2" t="inlineStr">
        <is>
          <t>allow</t>
        </is>
      </c>
      <c r="S337" s="2" t="inlineStr">
        <is>
          <t>allow</t>
        </is>
      </c>
      <c r="T337" s="2">
        <f>K337=E337</f>
        <v/>
      </c>
      <c r="U337" s="2">
        <f>L337=F337</f>
        <v/>
      </c>
      <c r="V337" s="2">
        <f>IF(N337,EXACT(P337,G337),"")</f>
        <v/>
      </c>
      <c r="W337" s="2">
        <f>IF(O337,EXACT(Q337,H337),"")</f>
        <v/>
      </c>
      <c r="X337" s="2">
        <f>J337=C337</f>
        <v/>
      </c>
      <c r="Y337" s="2">
        <f>IF(R337="unknown","",R337=S337)</f>
        <v/>
      </c>
      <c r="Z337" s="2" t="inlineStr">
        <is>
          <t>A</t>
        </is>
      </c>
      <c r="AA337" s="2" t="inlineStr">
        <is>
          <t>A</t>
        </is>
      </c>
      <c r="AB337" s="2">
        <f>AND(N337,O337,A337&lt;&gt;"census-mixed")</f>
        <v/>
      </c>
      <c r="AC337" s="2">
        <f>IF(AB337,Z337=AA337,"")</f>
        <v/>
      </c>
    </row>
    <row r="338">
      <c r="A338" s="2" t="inlineStr">
        <is>
          <t>census-mixed</t>
        </is>
      </c>
      <c r="B338" s="2" t="inlineStr">
        <is>
          <t>curl 8.22 (OpenSSL 3.5.8)</t>
        </is>
      </c>
      <c r="C338" s="2" t="inlineStr">
        <is>
          <t>skb-eval-80103-c5097</t>
        </is>
      </c>
      <c r="D338" s="2" t="n">
        <v>5097</v>
      </c>
      <c r="E338" s="2" t="n">
        <v>1561</v>
      </c>
      <c r="F338" s="2" t="n">
        <v>771</v>
      </c>
      <c r="G338" s="2" t="inlineStr">
        <is>
          <t>1302 1303 1301 c02c c030 009f cca9 cca8 ccaa c02b c02f 009e c024 c028 006b c023 c027 0067 c00a c014 0039 c009 c013 0033 009d 009c 003d 003c 0035 002f</t>
        </is>
      </c>
      <c r="H338" s="2" t="inlineStr">
        <is>
          <t>0304 0303</t>
        </is>
      </c>
      <c r="I338" s="2" t="n">
        <v>1</v>
      </c>
      <c r="J338" s="2" t="inlineStr">
        <is>
          <t>skb-eval-80103-c5097</t>
        </is>
      </c>
      <c r="K338" s="2" t="n">
        <v>1561</v>
      </c>
      <c r="L338" s="2" t="n">
        <v>771</v>
      </c>
      <c r="M338" s="2" t="n">
        <v>1443</v>
      </c>
      <c r="N338" s="2" t="b">
        <v>1</v>
      </c>
      <c r="O338" s="2" t="b">
        <v>1</v>
      </c>
      <c r="P338" s="2" t="inlineStr">
        <is>
          <t>1302 1303 1301 c02c c030 009f cca9 cca8 ccaa c02b c02f 009e c024 c028 006b c023 c027 0067 c00a c014 0039 c009 c013 0033 009d 009c 003d 003c 0035 002f</t>
        </is>
      </c>
      <c r="Q338" s="2" t="inlineStr">
        <is>
          <t>0304 0303</t>
        </is>
      </c>
      <c r="R338" s="2" t="inlineStr">
        <is>
          <t>allow</t>
        </is>
      </c>
      <c r="S338" s="2" t="inlineStr">
        <is>
          <t>allow</t>
        </is>
      </c>
      <c r="T338" s="2">
        <f>K338=E338</f>
        <v/>
      </c>
      <c r="U338" s="2">
        <f>L338=F338</f>
        <v/>
      </c>
      <c r="V338" s="2">
        <f>IF(N338,EXACT(P338,G338),"")</f>
        <v/>
      </c>
      <c r="W338" s="2">
        <f>IF(O338,EXACT(Q338,H338),"")</f>
        <v/>
      </c>
      <c r="X338" s="2">
        <f>J338=C338</f>
        <v/>
      </c>
      <c r="Y338" s="2">
        <f>IF(R338="unknown","",R338=S338)</f>
        <v/>
      </c>
      <c r="Z338" s="2" t="inlineStr">
        <is>
          <t>A</t>
        </is>
      </c>
      <c r="AA338" s="2" t="inlineStr">
        <is>
          <t>A</t>
        </is>
      </c>
      <c r="AB338" s="2">
        <f>AND(N338,O338,A338&lt;&gt;"census-mixed")</f>
        <v/>
      </c>
      <c r="AC338" s="2">
        <f>IF(AB338,Z338=AA338,"")</f>
        <v/>
      </c>
    </row>
    <row r="339">
      <c r="A339" s="2" t="inlineStr">
        <is>
          <t>census-mixed</t>
        </is>
      </c>
      <c r="B339" s="2" t="inlineStr">
        <is>
          <t>curl 8.22 (OpenSSL 3.5.8)</t>
        </is>
      </c>
      <c r="C339" s="2" t="inlineStr">
        <is>
          <t>skb-eval-80103-c5098</t>
        </is>
      </c>
      <c r="D339" s="2" t="n">
        <v>5098</v>
      </c>
      <c r="E339" s="2" t="n">
        <v>1561</v>
      </c>
      <c r="F339" s="2" t="n">
        <v>771</v>
      </c>
      <c r="G339" s="2" t="inlineStr">
        <is>
          <t>1302 1303 1301 c02c c030 009f cca9 cca8 ccaa c02b c02f 009e c024 c028 006b c023 c027 0067 c00a c014 0039 c009 c013 0033 009d 009c 003d 003c 0035 002f</t>
        </is>
      </c>
      <c r="H339" s="2" t="inlineStr">
        <is>
          <t>0304 0303</t>
        </is>
      </c>
      <c r="I339" s="2" t="n">
        <v>1</v>
      </c>
      <c r="J339" s="2" t="inlineStr">
        <is>
          <t>skb-eval-80103-c5098</t>
        </is>
      </c>
      <c r="K339" s="2" t="n">
        <v>1561</v>
      </c>
      <c r="L339" s="2" t="n">
        <v>771</v>
      </c>
      <c r="M339" s="2" t="n">
        <v>1443</v>
      </c>
      <c r="N339" s="2" t="b">
        <v>1</v>
      </c>
      <c r="O339" s="2" t="b">
        <v>1</v>
      </c>
      <c r="P339" s="2" t="inlineStr">
        <is>
          <t>1302 1303 1301 c02c c030 009f cca9 cca8 ccaa c02b c02f 009e c024 c028 006b c023 c027 0067 c00a c014 0039 c009 c013 0033 009d 009c 003d 003c 0035 002f</t>
        </is>
      </c>
      <c r="Q339" s="2" t="inlineStr">
        <is>
          <t>0304 0303</t>
        </is>
      </c>
      <c r="R339" s="2" t="inlineStr">
        <is>
          <t>allow</t>
        </is>
      </c>
      <c r="S339" s="2" t="inlineStr">
        <is>
          <t>allow</t>
        </is>
      </c>
      <c r="T339" s="2">
        <f>K339=E339</f>
        <v/>
      </c>
      <c r="U339" s="2">
        <f>L339=F339</f>
        <v/>
      </c>
      <c r="V339" s="2">
        <f>IF(N339,EXACT(P339,G339),"")</f>
        <v/>
      </c>
      <c r="W339" s="2">
        <f>IF(O339,EXACT(Q339,H339),"")</f>
        <v/>
      </c>
      <c r="X339" s="2">
        <f>J339=C339</f>
        <v/>
      </c>
      <c r="Y339" s="2">
        <f>IF(R339="unknown","",R339=S339)</f>
        <v/>
      </c>
      <c r="Z339" s="2" t="inlineStr">
        <is>
          <t>A</t>
        </is>
      </c>
      <c r="AA339" s="2" t="inlineStr">
        <is>
          <t>A</t>
        </is>
      </c>
      <c r="AB339" s="2">
        <f>AND(N339,O339,A339&lt;&gt;"census-mixed")</f>
        <v/>
      </c>
      <c r="AC339" s="2">
        <f>IF(AB339,Z339=AA339,"")</f>
        <v/>
      </c>
    </row>
    <row r="340">
      <c r="A340" s="2" t="inlineStr">
        <is>
          <t>census-mixed</t>
        </is>
      </c>
      <c r="B340" s="2" t="inlineStr">
        <is>
          <t>curl 8.22 (OpenSSL 3.5.8)</t>
        </is>
      </c>
      <c r="C340" s="2" t="inlineStr">
        <is>
          <t>skb-eval-80103-c5099</t>
        </is>
      </c>
      <c r="D340" s="2" t="n">
        <v>5099</v>
      </c>
      <c r="E340" s="2" t="n">
        <v>1561</v>
      </c>
      <c r="F340" s="2" t="n">
        <v>771</v>
      </c>
      <c r="G340" s="2" t="inlineStr">
        <is>
          <t>1302 1303 1301 c02c c030 009f cca9 cca8 ccaa c02b c02f 009e c024 c028 006b c023 c027 0067 c00a c014 0039 c009 c013 0033 009d 009c 003d 003c 0035 002f</t>
        </is>
      </c>
      <c r="H340" s="2" t="inlineStr">
        <is>
          <t>0304 0303</t>
        </is>
      </c>
      <c r="I340" s="2" t="n">
        <v>1</v>
      </c>
      <c r="J340" s="2" t="inlineStr">
        <is>
          <t>skb-eval-80103-c5099</t>
        </is>
      </c>
      <c r="K340" s="2" t="n">
        <v>1561</v>
      </c>
      <c r="L340" s="2" t="n">
        <v>771</v>
      </c>
      <c r="M340" s="2" t="n">
        <v>1443</v>
      </c>
      <c r="N340" s="2" t="b">
        <v>1</v>
      </c>
      <c r="O340" s="2" t="b">
        <v>1</v>
      </c>
      <c r="P340" s="2" t="inlineStr">
        <is>
          <t>1302 1303 1301 c02c c030 009f cca9 cca8 ccaa c02b c02f 009e c024 c028 006b c023 c027 0067 c00a c014 0039 c009 c013 0033 009d 009c 003d 003c 0035 002f</t>
        </is>
      </c>
      <c r="Q340" s="2" t="inlineStr">
        <is>
          <t>0304 0303</t>
        </is>
      </c>
      <c r="R340" s="2" t="inlineStr">
        <is>
          <t>allow</t>
        </is>
      </c>
      <c r="S340" s="2" t="inlineStr">
        <is>
          <t>allow</t>
        </is>
      </c>
      <c r="T340" s="2">
        <f>K340=E340</f>
        <v/>
      </c>
      <c r="U340" s="2">
        <f>L340=F340</f>
        <v/>
      </c>
      <c r="V340" s="2">
        <f>IF(N340,EXACT(P340,G340),"")</f>
        <v/>
      </c>
      <c r="W340" s="2">
        <f>IF(O340,EXACT(Q340,H340),"")</f>
        <v/>
      </c>
      <c r="X340" s="2">
        <f>J340=C340</f>
        <v/>
      </c>
      <c r="Y340" s="2">
        <f>IF(R340="unknown","",R340=S340)</f>
        <v/>
      </c>
      <c r="Z340" s="2" t="inlineStr">
        <is>
          <t>A</t>
        </is>
      </c>
      <c r="AA340" s="2" t="inlineStr">
        <is>
          <t>A</t>
        </is>
      </c>
      <c r="AB340" s="2">
        <f>AND(N340,O340,A340&lt;&gt;"census-mixed")</f>
        <v/>
      </c>
      <c r="AC340" s="2">
        <f>IF(AB340,Z340=AA340,"")</f>
        <v/>
      </c>
    </row>
    <row r="341">
      <c r="A341" s="2" t="inlineStr">
        <is>
          <t>census-mixed</t>
        </is>
      </c>
      <c r="B341" s="2" t="inlineStr">
        <is>
          <t>curl 8.22 (OpenSSL 3.5.8)</t>
        </is>
      </c>
      <c r="C341" s="2" t="inlineStr">
        <is>
          <t>skb-eval-80103-c5100</t>
        </is>
      </c>
      <c r="D341" s="2" t="n">
        <v>5100</v>
      </c>
      <c r="E341" s="2" t="n">
        <v>1561</v>
      </c>
      <c r="F341" s="2" t="n">
        <v>771</v>
      </c>
      <c r="G341" s="2" t="inlineStr">
        <is>
          <t>1302 1303 1301 c02c c030 009f cca9 cca8 ccaa c02b c02f 009e c024 c028 006b c023 c027 0067 c00a c014 0039 c009 c013 0033 009d 009c 003d 003c 0035 002f</t>
        </is>
      </c>
      <c r="H341" s="2" t="inlineStr">
        <is>
          <t>0304 0303</t>
        </is>
      </c>
      <c r="I341" s="2" t="n">
        <v>1</v>
      </c>
      <c r="J341" s="2" t="inlineStr">
        <is>
          <t>skb-eval-80103-c5100</t>
        </is>
      </c>
      <c r="K341" s="2" t="n">
        <v>1561</v>
      </c>
      <c r="L341" s="2" t="n">
        <v>771</v>
      </c>
      <c r="M341" s="2" t="n">
        <v>1443</v>
      </c>
      <c r="N341" s="2" t="b">
        <v>1</v>
      </c>
      <c r="O341" s="2" t="b">
        <v>1</v>
      </c>
      <c r="P341" s="2" t="inlineStr">
        <is>
          <t>1302 1303 1301 c02c c030 009f cca9 cca8 ccaa c02b c02f 009e c024 c028 006b c023 c027 0067 c00a c014 0039 c009 c013 0033 009d 009c 003d 003c 0035 002f</t>
        </is>
      </c>
      <c r="Q341" s="2" t="inlineStr">
        <is>
          <t>0304 0303</t>
        </is>
      </c>
      <c r="R341" s="2" t="inlineStr">
        <is>
          <t>allow</t>
        </is>
      </c>
      <c r="S341" s="2" t="inlineStr">
        <is>
          <t>allow</t>
        </is>
      </c>
      <c r="T341" s="2">
        <f>K341=E341</f>
        <v/>
      </c>
      <c r="U341" s="2">
        <f>L341=F341</f>
        <v/>
      </c>
      <c r="V341" s="2">
        <f>IF(N341,EXACT(P341,G341),"")</f>
        <v/>
      </c>
      <c r="W341" s="2">
        <f>IF(O341,EXACT(Q341,H341),"")</f>
        <v/>
      </c>
      <c r="X341" s="2">
        <f>J341=C341</f>
        <v/>
      </c>
      <c r="Y341" s="2">
        <f>IF(R341="unknown","",R341=S341)</f>
        <v/>
      </c>
      <c r="Z341" s="2" t="inlineStr">
        <is>
          <t>A</t>
        </is>
      </c>
      <c r="AA341" s="2" t="inlineStr">
        <is>
          <t>A</t>
        </is>
      </c>
      <c r="AB341" s="2">
        <f>AND(N341,O341,A341&lt;&gt;"census-mixed")</f>
        <v/>
      </c>
      <c r="AC341" s="2">
        <f>IF(AB341,Z341=AA341,"")</f>
        <v/>
      </c>
    </row>
    <row r="342">
      <c r="A342" s="2" t="inlineStr">
        <is>
          <t>census-mixed</t>
        </is>
      </c>
      <c r="B342" s="2" t="inlineStr">
        <is>
          <t>python 3.14 urllib (OpenSSL 3.5.8)</t>
        </is>
      </c>
      <c r="C342" s="2" t="inlineStr">
        <is>
          <t>skb-eval-80103-c5101</t>
        </is>
      </c>
      <c r="D342" s="2" t="n">
        <v>5101</v>
      </c>
      <c r="E342" s="2" t="n">
        <v>1517</v>
      </c>
      <c r="F342" s="2" t="n">
        <v>771</v>
      </c>
      <c r="G342" s="2" t="inlineStr">
        <is>
          <t>1302 1303 1301 c02c c030 c02b c02f cca9 cca8 c024 c028 c023 c027 009f 009e 006b 0067</t>
        </is>
      </c>
      <c r="H342" s="2" t="inlineStr">
        <is>
          <t>0304 0303</t>
        </is>
      </c>
      <c r="I342" s="2" t="n">
        <v>1</v>
      </c>
      <c r="J342" s="2" t="inlineStr">
        <is>
          <t>skb-eval-80103-c5101</t>
        </is>
      </c>
      <c r="K342" s="2" t="n">
        <v>1517</v>
      </c>
      <c r="L342" s="2" t="n">
        <v>771</v>
      </c>
      <c r="M342" s="2" t="n">
        <v>1443</v>
      </c>
      <c r="N342" s="2" t="b">
        <v>1</v>
      </c>
      <c r="O342" s="2" t="b">
        <v>1</v>
      </c>
      <c r="P342" s="2" t="inlineStr">
        <is>
          <t>1302 1303 1301 c02c c030 c02b c02f cca9 cca8 c024 c028 c023 c027 009f 009e 006b 0067</t>
        </is>
      </c>
      <c r="Q342" s="2" t="inlineStr">
        <is>
          <t>0304 0303</t>
        </is>
      </c>
      <c r="R342" s="2" t="inlineStr">
        <is>
          <t>allow</t>
        </is>
      </c>
      <c r="S342" s="2" t="inlineStr">
        <is>
          <t>allow</t>
        </is>
      </c>
      <c r="T342" s="2">
        <f>K342=E342</f>
        <v/>
      </c>
      <c r="U342" s="2">
        <f>L342=F342</f>
        <v/>
      </c>
      <c r="V342" s="2">
        <f>IF(N342,EXACT(P342,G342),"")</f>
        <v/>
      </c>
      <c r="W342" s="2">
        <f>IF(O342,EXACT(Q342,H342),"")</f>
        <v/>
      </c>
      <c r="X342" s="2">
        <f>J342=C342</f>
        <v/>
      </c>
      <c r="Y342" s="2">
        <f>IF(R342="unknown","",R342=S342)</f>
        <v/>
      </c>
      <c r="Z342" s="2" t="inlineStr">
        <is>
          <t>A</t>
        </is>
      </c>
      <c r="AA342" s="2" t="inlineStr">
        <is>
          <t>A</t>
        </is>
      </c>
      <c r="AB342" s="2">
        <f>AND(N342,O342,A342&lt;&gt;"census-mixed")</f>
        <v/>
      </c>
      <c r="AC342" s="2">
        <f>IF(AB342,Z342=AA342,"")</f>
        <v/>
      </c>
    </row>
    <row r="343">
      <c r="A343" s="2" t="inlineStr">
        <is>
          <t>census-mixed</t>
        </is>
      </c>
      <c r="B343" s="2" t="inlineStr">
        <is>
          <t>python 3.14 urllib (OpenSSL 3.5.8)</t>
        </is>
      </c>
      <c r="C343" s="2" t="inlineStr">
        <is>
          <t>skb-eval-80103-c5102</t>
        </is>
      </c>
      <c r="D343" s="2" t="n">
        <v>5102</v>
      </c>
      <c r="E343" s="2" t="n">
        <v>1517</v>
      </c>
      <c r="F343" s="2" t="n">
        <v>771</v>
      </c>
      <c r="G343" s="2" t="inlineStr">
        <is>
          <t>1302 1303 1301 c02c c030 c02b c02f cca9 cca8 c024 c028 c023 c027 009f 009e 006b 0067</t>
        </is>
      </c>
      <c r="H343" s="2" t="inlineStr">
        <is>
          <t>0304 0303</t>
        </is>
      </c>
      <c r="I343" s="2" t="n">
        <v>1</v>
      </c>
      <c r="J343" s="2" t="inlineStr">
        <is>
          <t>skb-eval-80103-c5102</t>
        </is>
      </c>
      <c r="K343" s="2" t="n">
        <v>1517</v>
      </c>
      <c r="L343" s="2" t="n">
        <v>771</v>
      </c>
      <c r="M343" s="2" t="n">
        <v>1443</v>
      </c>
      <c r="N343" s="2" t="b">
        <v>1</v>
      </c>
      <c r="O343" s="2" t="b">
        <v>1</v>
      </c>
      <c r="P343" s="2" t="inlineStr">
        <is>
          <t>1302 1303 1301 c02c c030 c02b c02f cca9 cca8 c024 c028 c023 c027 009f 009e 006b 0067</t>
        </is>
      </c>
      <c r="Q343" s="2" t="inlineStr">
        <is>
          <t>0304 0303</t>
        </is>
      </c>
      <c r="R343" s="2" t="inlineStr">
        <is>
          <t>allow</t>
        </is>
      </c>
      <c r="S343" s="2" t="inlineStr">
        <is>
          <t>allow</t>
        </is>
      </c>
      <c r="T343" s="2">
        <f>K343=E343</f>
        <v/>
      </c>
      <c r="U343" s="2">
        <f>L343=F343</f>
        <v/>
      </c>
      <c r="V343" s="2">
        <f>IF(N343,EXACT(P343,G343),"")</f>
        <v/>
      </c>
      <c r="W343" s="2">
        <f>IF(O343,EXACT(Q343,H343),"")</f>
        <v/>
      </c>
      <c r="X343" s="2">
        <f>J343=C343</f>
        <v/>
      </c>
      <c r="Y343" s="2">
        <f>IF(R343="unknown","",R343=S343)</f>
        <v/>
      </c>
      <c r="Z343" s="2" t="inlineStr">
        <is>
          <t>A</t>
        </is>
      </c>
      <c r="AA343" s="2" t="inlineStr">
        <is>
          <t>A</t>
        </is>
      </c>
      <c r="AB343" s="2">
        <f>AND(N343,O343,A343&lt;&gt;"census-mixed")</f>
        <v/>
      </c>
      <c r="AC343" s="2">
        <f>IF(AB343,Z343=AA343,"")</f>
        <v/>
      </c>
    </row>
    <row r="344">
      <c r="A344" s="2" t="inlineStr">
        <is>
          <t>census-mixed</t>
        </is>
      </c>
      <c r="B344" s="2" t="inlineStr">
        <is>
          <t>python 3.14 urllib (OpenSSL 3.5.8)</t>
        </is>
      </c>
      <c r="C344" s="2" t="inlineStr">
        <is>
          <t>skb-eval-80103-c5103</t>
        </is>
      </c>
      <c r="D344" s="2" t="n">
        <v>5103</v>
      </c>
      <c r="E344" s="2" t="n">
        <v>1517</v>
      </c>
      <c r="F344" s="2" t="n">
        <v>771</v>
      </c>
      <c r="G344" s="2" t="inlineStr">
        <is>
          <t>1302 1303 1301 c02c c030 c02b c02f cca9 cca8 c024 c028 c023 c027 009f 009e 006b 0067</t>
        </is>
      </c>
      <c r="H344" s="2" t="inlineStr">
        <is>
          <t>0304 0303</t>
        </is>
      </c>
      <c r="I344" s="2" t="n">
        <v>1</v>
      </c>
      <c r="J344" s="2" t="inlineStr">
        <is>
          <t>skb-eval-80103-c5103</t>
        </is>
      </c>
      <c r="K344" s="2" t="n">
        <v>1517</v>
      </c>
      <c r="L344" s="2" t="n">
        <v>771</v>
      </c>
      <c r="M344" s="2" t="n">
        <v>1443</v>
      </c>
      <c r="N344" s="2" t="b">
        <v>1</v>
      </c>
      <c r="O344" s="2" t="b">
        <v>1</v>
      </c>
      <c r="P344" s="2" t="inlineStr">
        <is>
          <t>1302 1303 1301 c02c c030 c02b c02f cca9 cca8 c024 c028 c023 c027 009f 009e 006b 0067</t>
        </is>
      </c>
      <c r="Q344" s="2" t="inlineStr">
        <is>
          <t>0304 0303</t>
        </is>
      </c>
      <c r="R344" s="2" t="inlineStr">
        <is>
          <t>allow</t>
        </is>
      </c>
      <c r="S344" s="2" t="inlineStr">
        <is>
          <t>allow</t>
        </is>
      </c>
      <c r="T344" s="2">
        <f>K344=E344</f>
        <v/>
      </c>
      <c r="U344" s="2">
        <f>L344=F344</f>
        <v/>
      </c>
      <c r="V344" s="2">
        <f>IF(N344,EXACT(P344,G344),"")</f>
        <v/>
      </c>
      <c r="W344" s="2">
        <f>IF(O344,EXACT(Q344,H344),"")</f>
        <v/>
      </c>
      <c r="X344" s="2">
        <f>J344=C344</f>
        <v/>
      </c>
      <c r="Y344" s="2">
        <f>IF(R344="unknown","",R344=S344)</f>
        <v/>
      </c>
      <c r="Z344" s="2" t="inlineStr">
        <is>
          <t>A</t>
        </is>
      </c>
      <c r="AA344" s="2" t="inlineStr">
        <is>
          <t>A</t>
        </is>
      </c>
      <c r="AB344" s="2">
        <f>AND(N344,O344,A344&lt;&gt;"census-mixed")</f>
        <v/>
      </c>
      <c r="AC344" s="2">
        <f>IF(AB344,Z344=AA344,"")</f>
        <v/>
      </c>
    </row>
    <row r="345">
      <c r="A345" s="2" t="inlineStr">
        <is>
          <t>census-mixed</t>
        </is>
      </c>
      <c r="B345" s="2" t="inlineStr">
        <is>
          <t>python 3.14 urllib (OpenSSL 3.5.8)</t>
        </is>
      </c>
      <c r="C345" s="2" t="inlineStr">
        <is>
          <t>skb-eval-80103-c5104</t>
        </is>
      </c>
      <c r="D345" s="2" t="n">
        <v>5104</v>
      </c>
      <c r="E345" s="2" t="n">
        <v>1517</v>
      </c>
      <c r="F345" s="2" t="n">
        <v>771</v>
      </c>
      <c r="G345" s="2" t="inlineStr">
        <is>
          <t>1302 1303 1301 c02c c030 c02b c02f cca9 cca8 c024 c028 c023 c027 009f 009e 006b 0067</t>
        </is>
      </c>
      <c r="H345" s="2" t="inlineStr">
        <is>
          <t>0304 0303</t>
        </is>
      </c>
      <c r="I345" s="2" t="n">
        <v>1</v>
      </c>
      <c r="J345" s="2" t="inlineStr">
        <is>
          <t>skb-eval-80103-c5104</t>
        </is>
      </c>
      <c r="K345" s="2" t="n">
        <v>1517</v>
      </c>
      <c r="L345" s="2" t="n">
        <v>771</v>
      </c>
      <c r="M345" s="2" t="n">
        <v>1443</v>
      </c>
      <c r="N345" s="2" t="b">
        <v>1</v>
      </c>
      <c r="O345" s="2" t="b">
        <v>1</v>
      </c>
      <c r="P345" s="2" t="inlineStr">
        <is>
          <t>1302 1303 1301 c02c c030 c02b c02f cca9 cca8 c024 c028 c023 c027 009f 009e 006b 0067</t>
        </is>
      </c>
      <c r="Q345" s="2" t="inlineStr">
        <is>
          <t>0304 0303</t>
        </is>
      </c>
      <c r="R345" s="2" t="inlineStr">
        <is>
          <t>allow</t>
        </is>
      </c>
      <c r="S345" s="2" t="inlineStr">
        <is>
          <t>allow</t>
        </is>
      </c>
      <c r="T345" s="2">
        <f>K345=E345</f>
        <v/>
      </c>
      <c r="U345" s="2">
        <f>L345=F345</f>
        <v/>
      </c>
      <c r="V345" s="2">
        <f>IF(N345,EXACT(P345,G345),"")</f>
        <v/>
      </c>
      <c r="W345" s="2">
        <f>IF(O345,EXACT(Q345,H345),"")</f>
        <v/>
      </c>
      <c r="X345" s="2">
        <f>J345=C345</f>
        <v/>
      </c>
      <c r="Y345" s="2">
        <f>IF(R345="unknown","",R345=S345)</f>
        <v/>
      </c>
      <c r="Z345" s="2" t="inlineStr">
        <is>
          <t>A</t>
        </is>
      </c>
      <c r="AA345" s="2" t="inlineStr">
        <is>
          <t>A</t>
        </is>
      </c>
      <c r="AB345" s="2">
        <f>AND(N345,O345,A345&lt;&gt;"census-mixed")</f>
        <v/>
      </c>
      <c r="AC345" s="2">
        <f>IF(AB345,Z345=AA345,"")</f>
        <v/>
      </c>
    </row>
    <row r="346">
      <c r="A346" s="2" t="inlineStr">
        <is>
          <t>census-mixed</t>
        </is>
      </c>
      <c r="B346" s="2" t="inlineStr">
        <is>
          <t>python 3.14 urllib (OpenSSL 3.5.8)</t>
        </is>
      </c>
      <c r="C346" s="2" t="inlineStr">
        <is>
          <t>skb-eval-80103-c5105</t>
        </is>
      </c>
      <c r="D346" s="2" t="n">
        <v>5105</v>
      </c>
      <c r="E346" s="2" t="n">
        <v>1517</v>
      </c>
      <c r="F346" s="2" t="n">
        <v>771</v>
      </c>
      <c r="G346" s="2" t="inlineStr">
        <is>
          <t>1302 1303 1301 c02c c030 c02b c02f cca9 cca8 c024 c028 c023 c027 009f 009e 006b 0067</t>
        </is>
      </c>
      <c r="H346" s="2" t="inlineStr">
        <is>
          <t>0304 0303</t>
        </is>
      </c>
      <c r="I346" s="2" t="n">
        <v>1</v>
      </c>
      <c r="J346" s="2" t="inlineStr">
        <is>
          <t>skb-eval-80103-c5105</t>
        </is>
      </c>
      <c r="K346" s="2" t="n">
        <v>1517</v>
      </c>
      <c r="L346" s="2" t="n">
        <v>771</v>
      </c>
      <c r="M346" s="2" t="n">
        <v>1443</v>
      </c>
      <c r="N346" s="2" t="b">
        <v>1</v>
      </c>
      <c r="O346" s="2" t="b">
        <v>1</v>
      </c>
      <c r="P346" s="2" t="inlineStr">
        <is>
          <t>1302 1303 1301 c02c c030 c02b c02f cca9 cca8 c024 c028 c023 c027 009f 009e 006b 0067</t>
        </is>
      </c>
      <c r="Q346" s="2" t="inlineStr">
        <is>
          <t>0304 0303</t>
        </is>
      </c>
      <c r="R346" s="2" t="inlineStr">
        <is>
          <t>allow</t>
        </is>
      </c>
      <c r="S346" s="2" t="inlineStr">
        <is>
          <t>allow</t>
        </is>
      </c>
      <c r="T346" s="2">
        <f>K346=E346</f>
        <v/>
      </c>
      <c r="U346" s="2">
        <f>L346=F346</f>
        <v/>
      </c>
      <c r="V346" s="2">
        <f>IF(N346,EXACT(P346,G346),"")</f>
        <v/>
      </c>
      <c r="W346" s="2">
        <f>IF(O346,EXACT(Q346,H346),"")</f>
        <v/>
      </c>
      <c r="X346" s="2">
        <f>J346=C346</f>
        <v/>
      </c>
      <c r="Y346" s="2">
        <f>IF(R346="unknown","",R346=S346)</f>
        <v/>
      </c>
      <c r="Z346" s="2" t="inlineStr">
        <is>
          <t>A</t>
        </is>
      </c>
      <c r="AA346" s="2" t="inlineStr">
        <is>
          <t>A</t>
        </is>
      </c>
      <c r="AB346" s="2">
        <f>AND(N346,O346,A346&lt;&gt;"census-mixed")</f>
        <v/>
      </c>
      <c r="AC346" s="2">
        <f>IF(AB346,Z346=AA346,"")</f>
        <v/>
      </c>
    </row>
    <row r="347">
      <c r="A347" s="2" t="inlineStr">
        <is>
          <t>census-mixed</t>
        </is>
      </c>
      <c r="B347" s="2" t="inlineStr">
        <is>
          <t>python 3.14 urllib (OpenSSL 3.5.8)</t>
        </is>
      </c>
      <c r="C347" s="2" t="inlineStr">
        <is>
          <t>skb-eval-80103-c5106</t>
        </is>
      </c>
      <c r="D347" s="2" t="n">
        <v>5106</v>
      </c>
      <c r="E347" s="2" t="n">
        <v>1517</v>
      </c>
      <c r="F347" s="2" t="n">
        <v>771</v>
      </c>
      <c r="G347" s="2" t="inlineStr">
        <is>
          <t>1302 1303 1301 c02c c030 c02b c02f cca9 cca8 c024 c028 c023 c027 009f 009e 006b 0067</t>
        </is>
      </c>
      <c r="H347" s="2" t="inlineStr">
        <is>
          <t>0304 0303</t>
        </is>
      </c>
      <c r="I347" s="2" t="n">
        <v>1</v>
      </c>
      <c r="J347" s="2" t="inlineStr">
        <is>
          <t>skb-eval-80103-c5106</t>
        </is>
      </c>
      <c r="K347" s="2" t="n">
        <v>1517</v>
      </c>
      <c r="L347" s="2" t="n">
        <v>771</v>
      </c>
      <c r="M347" s="2" t="n">
        <v>1443</v>
      </c>
      <c r="N347" s="2" t="b">
        <v>1</v>
      </c>
      <c r="O347" s="2" t="b">
        <v>1</v>
      </c>
      <c r="P347" s="2" t="inlineStr">
        <is>
          <t>1302 1303 1301 c02c c030 c02b c02f cca9 cca8 c024 c028 c023 c027 009f 009e 006b 0067</t>
        </is>
      </c>
      <c r="Q347" s="2" t="inlineStr">
        <is>
          <t>0304 0303</t>
        </is>
      </c>
      <c r="R347" s="2" t="inlineStr">
        <is>
          <t>allow</t>
        </is>
      </c>
      <c r="S347" s="2" t="inlineStr">
        <is>
          <t>allow</t>
        </is>
      </c>
      <c r="T347" s="2">
        <f>K347=E347</f>
        <v/>
      </c>
      <c r="U347" s="2">
        <f>L347=F347</f>
        <v/>
      </c>
      <c r="V347" s="2">
        <f>IF(N347,EXACT(P347,G347),"")</f>
        <v/>
      </c>
      <c r="W347" s="2">
        <f>IF(O347,EXACT(Q347,H347),"")</f>
        <v/>
      </c>
      <c r="X347" s="2">
        <f>J347=C347</f>
        <v/>
      </c>
      <c r="Y347" s="2">
        <f>IF(R347="unknown","",R347=S347)</f>
        <v/>
      </c>
      <c r="Z347" s="2" t="inlineStr">
        <is>
          <t>A</t>
        </is>
      </c>
      <c r="AA347" s="2" t="inlineStr">
        <is>
          <t>A</t>
        </is>
      </c>
      <c r="AB347" s="2">
        <f>AND(N347,O347,A347&lt;&gt;"census-mixed")</f>
        <v/>
      </c>
      <c r="AC347" s="2">
        <f>IF(AB347,Z347=AA347,"")</f>
        <v/>
      </c>
    </row>
    <row r="348">
      <c r="A348" s="2" t="inlineStr">
        <is>
          <t>census-mixed</t>
        </is>
      </c>
      <c r="B348" s="2" t="inlineStr">
        <is>
          <t>python 3.14 urllib (OpenSSL 3.5.8)</t>
        </is>
      </c>
      <c r="C348" s="2" t="inlineStr">
        <is>
          <t>skb-eval-80103-c5107</t>
        </is>
      </c>
      <c r="D348" s="2" t="n">
        <v>5107</v>
      </c>
      <c r="E348" s="2" t="n">
        <v>1517</v>
      </c>
      <c r="F348" s="2" t="n">
        <v>771</v>
      </c>
      <c r="G348" s="2" t="inlineStr">
        <is>
          <t>1302 1303 1301 c02c c030 c02b c02f cca9 cca8 c024 c028 c023 c027 009f 009e 006b 0067</t>
        </is>
      </c>
      <c r="H348" s="2" t="inlineStr">
        <is>
          <t>0304 0303</t>
        </is>
      </c>
      <c r="I348" s="2" t="n">
        <v>1</v>
      </c>
      <c r="J348" s="2" t="inlineStr">
        <is>
          <t>skb-eval-80103-c5107</t>
        </is>
      </c>
      <c r="K348" s="2" t="n">
        <v>1517</v>
      </c>
      <c r="L348" s="2" t="n">
        <v>771</v>
      </c>
      <c r="M348" s="2" t="n">
        <v>1443</v>
      </c>
      <c r="N348" s="2" t="b">
        <v>1</v>
      </c>
      <c r="O348" s="2" t="b">
        <v>1</v>
      </c>
      <c r="P348" s="2" t="inlineStr">
        <is>
          <t>1302 1303 1301 c02c c030 c02b c02f cca9 cca8 c024 c028 c023 c027 009f 009e 006b 0067</t>
        </is>
      </c>
      <c r="Q348" s="2" t="inlineStr">
        <is>
          <t>0304 0303</t>
        </is>
      </c>
      <c r="R348" s="2" t="inlineStr">
        <is>
          <t>allow</t>
        </is>
      </c>
      <c r="S348" s="2" t="inlineStr">
        <is>
          <t>allow</t>
        </is>
      </c>
      <c r="T348" s="2">
        <f>K348=E348</f>
        <v/>
      </c>
      <c r="U348" s="2">
        <f>L348=F348</f>
        <v/>
      </c>
      <c r="V348" s="2">
        <f>IF(N348,EXACT(P348,G348),"")</f>
        <v/>
      </c>
      <c r="W348" s="2">
        <f>IF(O348,EXACT(Q348,H348),"")</f>
        <v/>
      </c>
      <c r="X348" s="2">
        <f>J348=C348</f>
        <v/>
      </c>
      <c r="Y348" s="2">
        <f>IF(R348="unknown","",R348=S348)</f>
        <v/>
      </c>
      <c r="Z348" s="2" t="inlineStr">
        <is>
          <t>A</t>
        </is>
      </c>
      <c r="AA348" s="2" t="inlineStr">
        <is>
          <t>A</t>
        </is>
      </c>
      <c r="AB348" s="2">
        <f>AND(N348,O348,A348&lt;&gt;"census-mixed")</f>
        <v/>
      </c>
      <c r="AC348" s="2">
        <f>IF(AB348,Z348=AA348,"")</f>
        <v/>
      </c>
    </row>
    <row r="349">
      <c r="A349" s="2" t="inlineStr">
        <is>
          <t>census-mixed</t>
        </is>
      </c>
      <c r="B349" s="2" t="inlineStr">
        <is>
          <t>python 3.14 urllib (OpenSSL 3.5.8)</t>
        </is>
      </c>
      <c r="C349" s="2" t="inlineStr">
        <is>
          <t>skb-eval-80103-c5108</t>
        </is>
      </c>
      <c r="D349" s="2" t="n">
        <v>5108</v>
      </c>
      <c r="E349" s="2" t="n">
        <v>1517</v>
      </c>
      <c r="F349" s="2" t="n">
        <v>771</v>
      </c>
      <c r="G349" s="2" t="inlineStr">
        <is>
          <t>1302 1303 1301 c02c c030 c02b c02f cca9 cca8 c024 c028 c023 c027 009f 009e 006b 0067</t>
        </is>
      </c>
      <c r="H349" s="2" t="inlineStr">
        <is>
          <t>0304 0303</t>
        </is>
      </c>
      <c r="I349" s="2" t="n">
        <v>1</v>
      </c>
      <c r="J349" s="2" t="inlineStr">
        <is>
          <t>skb-eval-80103-c5108</t>
        </is>
      </c>
      <c r="K349" s="2" t="n">
        <v>1517</v>
      </c>
      <c r="L349" s="2" t="n">
        <v>771</v>
      </c>
      <c r="M349" s="2" t="n">
        <v>1443</v>
      </c>
      <c r="N349" s="2" t="b">
        <v>1</v>
      </c>
      <c r="O349" s="2" t="b">
        <v>1</v>
      </c>
      <c r="P349" s="2" t="inlineStr">
        <is>
          <t>1302 1303 1301 c02c c030 c02b c02f cca9 cca8 c024 c028 c023 c027 009f 009e 006b 0067</t>
        </is>
      </c>
      <c r="Q349" s="2" t="inlineStr">
        <is>
          <t>0304 0303</t>
        </is>
      </c>
      <c r="R349" s="2" t="inlineStr">
        <is>
          <t>allow</t>
        </is>
      </c>
      <c r="S349" s="2" t="inlineStr">
        <is>
          <t>allow</t>
        </is>
      </c>
      <c r="T349" s="2">
        <f>K349=E349</f>
        <v/>
      </c>
      <c r="U349" s="2">
        <f>L349=F349</f>
        <v/>
      </c>
      <c r="V349" s="2">
        <f>IF(N349,EXACT(P349,G349),"")</f>
        <v/>
      </c>
      <c r="W349" s="2">
        <f>IF(O349,EXACT(Q349,H349),"")</f>
        <v/>
      </c>
      <c r="X349" s="2">
        <f>J349=C349</f>
        <v/>
      </c>
      <c r="Y349" s="2">
        <f>IF(R349="unknown","",R349=S349)</f>
        <v/>
      </c>
      <c r="Z349" s="2" t="inlineStr">
        <is>
          <t>A</t>
        </is>
      </c>
      <c r="AA349" s="2" t="inlineStr">
        <is>
          <t>A</t>
        </is>
      </c>
      <c r="AB349" s="2">
        <f>AND(N349,O349,A349&lt;&gt;"census-mixed")</f>
        <v/>
      </c>
      <c r="AC349" s="2">
        <f>IF(AB349,Z349=AA349,"")</f>
        <v/>
      </c>
    </row>
    <row r="350">
      <c r="A350" s="2" t="inlineStr">
        <is>
          <t>census-mixed</t>
        </is>
      </c>
      <c r="B350" s="2" t="inlineStr">
        <is>
          <t>python 3.14 urllib (OpenSSL 3.5.8)</t>
        </is>
      </c>
      <c r="C350" s="2" t="inlineStr">
        <is>
          <t>skb-eval-80103-c5109</t>
        </is>
      </c>
      <c r="D350" s="2" t="n">
        <v>5109</v>
      </c>
      <c r="E350" s="2" t="n">
        <v>1517</v>
      </c>
      <c r="F350" s="2" t="n">
        <v>771</v>
      </c>
      <c r="G350" s="2" t="inlineStr">
        <is>
          <t>1302 1303 1301 c02c c030 c02b c02f cca9 cca8 c024 c028 c023 c027 009f 009e 006b 0067</t>
        </is>
      </c>
      <c r="H350" s="2" t="inlineStr">
        <is>
          <t>0304 0303</t>
        </is>
      </c>
      <c r="I350" s="2" t="n">
        <v>1</v>
      </c>
      <c r="J350" s="2" t="inlineStr">
        <is>
          <t>skb-eval-80103-c5109</t>
        </is>
      </c>
      <c r="K350" s="2" t="n">
        <v>1517</v>
      </c>
      <c r="L350" s="2" t="n">
        <v>771</v>
      </c>
      <c r="M350" s="2" t="n">
        <v>1443</v>
      </c>
      <c r="N350" s="2" t="b">
        <v>1</v>
      </c>
      <c r="O350" s="2" t="b">
        <v>1</v>
      </c>
      <c r="P350" s="2" t="inlineStr">
        <is>
          <t>1302 1303 1301 c02c c030 c02b c02f cca9 cca8 c024 c028 c023 c027 009f 009e 006b 0067</t>
        </is>
      </c>
      <c r="Q350" s="2" t="inlineStr">
        <is>
          <t>0304 0303</t>
        </is>
      </c>
      <c r="R350" s="2" t="inlineStr">
        <is>
          <t>allow</t>
        </is>
      </c>
      <c r="S350" s="2" t="inlineStr">
        <is>
          <t>allow</t>
        </is>
      </c>
      <c r="T350" s="2">
        <f>K350=E350</f>
        <v/>
      </c>
      <c r="U350" s="2">
        <f>L350=F350</f>
        <v/>
      </c>
      <c r="V350" s="2">
        <f>IF(N350,EXACT(P350,G350),"")</f>
        <v/>
      </c>
      <c r="W350" s="2">
        <f>IF(O350,EXACT(Q350,H350),"")</f>
        <v/>
      </c>
      <c r="X350" s="2">
        <f>J350=C350</f>
        <v/>
      </c>
      <c r="Y350" s="2">
        <f>IF(R350="unknown","",R350=S350)</f>
        <v/>
      </c>
      <c r="Z350" s="2" t="inlineStr">
        <is>
          <t>A</t>
        </is>
      </c>
      <c r="AA350" s="2" t="inlineStr">
        <is>
          <t>A</t>
        </is>
      </c>
      <c r="AB350" s="2">
        <f>AND(N350,O350,A350&lt;&gt;"census-mixed")</f>
        <v/>
      </c>
      <c r="AC350" s="2">
        <f>IF(AB350,Z350=AA350,"")</f>
        <v/>
      </c>
    </row>
    <row r="351">
      <c r="A351" s="2" t="inlineStr">
        <is>
          <t>census-mixed</t>
        </is>
      </c>
      <c r="B351" s="2" t="inlineStr">
        <is>
          <t>python 3.14 urllib (OpenSSL 3.5.8)</t>
        </is>
      </c>
      <c r="C351" s="2" t="inlineStr">
        <is>
          <t>skb-eval-80103-c5110</t>
        </is>
      </c>
      <c r="D351" s="2" t="n">
        <v>5110</v>
      </c>
      <c r="E351" s="2" t="n">
        <v>1517</v>
      </c>
      <c r="F351" s="2" t="n">
        <v>771</v>
      </c>
      <c r="G351" s="2" t="inlineStr">
        <is>
          <t>1302 1303 1301 c02c c030 c02b c02f cca9 cca8 c024 c028 c023 c027 009f 009e 006b 0067</t>
        </is>
      </c>
      <c r="H351" s="2" t="inlineStr">
        <is>
          <t>0304 0303</t>
        </is>
      </c>
      <c r="I351" s="2" t="n">
        <v>1</v>
      </c>
      <c r="J351" s="2" t="inlineStr">
        <is>
          <t>skb-eval-80103-c5110</t>
        </is>
      </c>
      <c r="K351" s="2" t="n">
        <v>1517</v>
      </c>
      <c r="L351" s="2" t="n">
        <v>771</v>
      </c>
      <c r="M351" s="2" t="n">
        <v>1443</v>
      </c>
      <c r="N351" s="2" t="b">
        <v>1</v>
      </c>
      <c r="O351" s="2" t="b">
        <v>1</v>
      </c>
      <c r="P351" s="2" t="inlineStr">
        <is>
          <t>1302 1303 1301 c02c c030 c02b c02f cca9 cca8 c024 c028 c023 c027 009f 009e 006b 0067</t>
        </is>
      </c>
      <c r="Q351" s="2" t="inlineStr">
        <is>
          <t>0304 0303</t>
        </is>
      </c>
      <c r="R351" s="2" t="inlineStr">
        <is>
          <t>allow</t>
        </is>
      </c>
      <c r="S351" s="2" t="inlineStr">
        <is>
          <t>allow</t>
        </is>
      </c>
      <c r="T351" s="2">
        <f>K351=E351</f>
        <v/>
      </c>
      <c r="U351" s="2">
        <f>L351=F351</f>
        <v/>
      </c>
      <c r="V351" s="2">
        <f>IF(N351,EXACT(P351,G351),"")</f>
        <v/>
      </c>
      <c r="W351" s="2">
        <f>IF(O351,EXACT(Q351,H351),"")</f>
        <v/>
      </c>
      <c r="X351" s="2">
        <f>J351=C351</f>
        <v/>
      </c>
      <c r="Y351" s="2">
        <f>IF(R351="unknown","",R351=S351)</f>
        <v/>
      </c>
      <c r="Z351" s="2" t="inlineStr">
        <is>
          <t>A</t>
        </is>
      </c>
      <c r="AA351" s="2" t="inlineStr">
        <is>
          <t>A</t>
        </is>
      </c>
      <c r="AB351" s="2">
        <f>AND(N351,O351,A351&lt;&gt;"census-mixed")</f>
        <v/>
      </c>
      <c r="AC351" s="2">
        <f>IF(AB351,Z351=AA351,"")</f>
        <v/>
      </c>
    </row>
    <row r="352">
      <c r="A352" s="2" t="inlineStr">
        <is>
          <t>census-mixed</t>
        </is>
      </c>
      <c r="B352" s="2" t="inlineStr">
        <is>
          <t>node 26 https (OpenSSL 3.5.8)</t>
        </is>
      </c>
      <c r="C352" s="2" t="inlineStr">
        <is>
          <t>skb-eval-80103-c5111</t>
        </is>
      </c>
      <c r="D352" s="2" t="n">
        <v>5111</v>
      </c>
      <c r="E352" s="2" t="n">
        <v>1587</v>
      </c>
      <c r="F352" s="2" t="n">
        <v>771</v>
      </c>
      <c r="G352"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2" s="2" t="inlineStr">
        <is>
          <t>0304 0303</t>
        </is>
      </c>
      <c r="I352" s="2" t="n">
        <v>1</v>
      </c>
      <c r="J352" s="2" t="inlineStr">
        <is>
          <t>skb-eval-80103-c5111</t>
        </is>
      </c>
      <c r="K352" s="2" t="n">
        <v>1587</v>
      </c>
      <c r="L352" s="2" t="n">
        <v>771</v>
      </c>
      <c r="M352" s="2" t="n">
        <v>1443</v>
      </c>
      <c r="N352" s="2" t="b">
        <v>1</v>
      </c>
      <c r="O352" s="2" t="b">
        <v>1</v>
      </c>
      <c r="P352"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2" s="2" t="inlineStr">
        <is>
          <t>0304 0303</t>
        </is>
      </c>
      <c r="R352" s="2" t="inlineStr">
        <is>
          <t>violation</t>
        </is>
      </c>
      <c r="S352" s="2" t="inlineStr">
        <is>
          <t>violation</t>
        </is>
      </c>
      <c r="T352" s="2">
        <f>K352=E352</f>
        <v/>
      </c>
      <c r="U352" s="2">
        <f>L352=F352</f>
        <v/>
      </c>
      <c r="V352" s="2">
        <f>IF(N352,EXACT(P352,G352),"")</f>
        <v/>
      </c>
      <c r="W352" s="2">
        <f>IF(O352,EXACT(Q352,H352),"")</f>
        <v/>
      </c>
      <c r="X352" s="2">
        <f>J352=C352</f>
        <v/>
      </c>
      <c r="Y352" s="2">
        <f>IF(R352="unknown","",R352=S352)</f>
        <v/>
      </c>
      <c r="Z352" s="2" t="inlineStr">
        <is>
          <t>A</t>
        </is>
      </c>
      <c r="AA352" s="2" t="inlineStr">
        <is>
          <t>A</t>
        </is>
      </c>
      <c r="AB352" s="2">
        <f>AND(N352,O352,A352&lt;&gt;"census-mixed")</f>
        <v/>
      </c>
      <c r="AC352" s="2">
        <f>IF(AB352,Z352=AA352,"")</f>
        <v/>
      </c>
    </row>
    <row r="353">
      <c r="A353" s="2" t="inlineStr">
        <is>
          <t>census-mixed</t>
        </is>
      </c>
      <c r="B353" s="2" t="inlineStr">
        <is>
          <t>node 26 https (OpenSSL 3.5.8)</t>
        </is>
      </c>
      <c r="C353" s="2" t="inlineStr">
        <is>
          <t>skb-eval-80103-c5112</t>
        </is>
      </c>
      <c r="D353" s="2" t="n">
        <v>5112</v>
      </c>
      <c r="E353" s="2" t="n">
        <v>1587</v>
      </c>
      <c r="F353" s="2" t="n">
        <v>771</v>
      </c>
      <c r="G353"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3" s="2" t="inlineStr">
        <is>
          <t>0304 0303</t>
        </is>
      </c>
      <c r="I353" s="2" t="n">
        <v>1</v>
      </c>
      <c r="J353" s="2" t="inlineStr">
        <is>
          <t>skb-eval-80103-c5112</t>
        </is>
      </c>
      <c r="K353" s="2" t="n">
        <v>1587</v>
      </c>
      <c r="L353" s="2" t="n">
        <v>771</v>
      </c>
      <c r="M353" s="2" t="n">
        <v>1443</v>
      </c>
      <c r="N353" s="2" t="b">
        <v>1</v>
      </c>
      <c r="O353" s="2" t="b">
        <v>1</v>
      </c>
      <c r="P353"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3" s="2" t="inlineStr">
        <is>
          <t>0304 0303</t>
        </is>
      </c>
      <c r="R353" s="2" t="inlineStr">
        <is>
          <t>violation</t>
        </is>
      </c>
      <c r="S353" s="2" t="inlineStr">
        <is>
          <t>violation</t>
        </is>
      </c>
      <c r="T353" s="2">
        <f>K353=E353</f>
        <v/>
      </c>
      <c r="U353" s="2">
        <f>L353=F353</f>
        <v/>
      </c>
      <c r="V353" s="2">
        <f>IF(N353,EXACT(P353,G353),"")</f>
        <v/>
      </c>
      <c r="W353" s="2">
        <f>IF(O353,EXACT(Q353,H353),"")</f>
        <v/>
      </c>
      <c r="X353" s="2">
        <f>J353=C353</f>
        <v/>
      </c>
      <c r="Y353" s="2">
        <f>IF(R353="unknown","",R353=S353)</f>
        <v/>
      </c>
      <c r="Z353" s="2" t="inlineStr">
        <is>
          <t>A</t>
        </is>
      </c>
      <c r="AA353" s="2" t="inlineStr">
        <is>
          <t>A</t>
        </is>
      </c>
      <c r="AB353" s="2">
        <f>AND(N353,O353,A353&lt;&gt;"census-mixed")</f>
        <v/>
      </c>
      <c r="AC353" s="2">
        <f>IF(AB353,Z353=AA353,"")</f>
        <v/>
      </c>
    </row>
    <row r="354">
      <c r="A354" s="2" t="inlineStr">
        <is>
          <t>census-mixed</t>
        </is>
      </c>
      <c r="B354" s="2" t="inlineStr">
        <is>
          <t>node 26 https (OpenSSL 3.5.8)</t>
        </is>
      </c>
      <c r="C354" s="2" t="inlineStr">
        <is>
          <t>skb-eval-80103-c5113</t>
        </is>
      </c>
      <c r="D354" s="2" t="n">
        <v>5113</v>
      </c>
      <c r="E354" s="2" t="n">
        <v>1587</v>
      </c>
      <c r="F354" s="2" t="n">
        <v>771</v>
      </c>
      <c r="G354"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4" s="2" t="inlineStr">
        <is>
          <t>0304 0303</t>
        </is>
      </c>
      <c r="I354" s="2" t="n">
        <v>1</v>
      </c>
      <c r="J354" s="2" t="inlineStr">
        <is>
          <t>skb-eval-80103-c5113</t>
        </is>
      </c>
      <c r="K354" s="2" t="n">
        <v>1587</v>
      </c>
      <c r="L354" s="2" t="n">
        <v>771</v>
      </c>
      <c r="M354" s="2" t="n">
        <v>1443</v>
      </c>
      <c r="N354" s="2" t="b">
        <v>1</v>
      </c>
      <c r="O354" s="2" t="b">
        <v>1</v>
      </c>
      <c r="P354"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4" s="2" t="inlineStr">
        <is>
          <t>0304 0303</t>
        </is>
      </c>
      <c r="R354" s="2" t="inlineStr">
        <is>
          <t>violation</t>
        </is>
      </c>
      <c r="S354" s="2" t="inlineStr">
        <is>
          <t>violation</t>
        </is>
      </c>
      <c r="T354" s="2">
        <f>K354=E354</f>
        <v/>
      </c>
      <c r="U354" s="2">
        <f>L354=F354</f>
        <v/>
      </c>
      <c r="V354" s="2">
        <f>IF(N354,EXACT(P354,G354),"")</f>
        <v/>
      </c>
      <c r="W354" s="2">
        <f>IF(O354,EXACT(Q354,H354),"")</f>
        <v/>
      </c>
      <c r="X354" s="2">
        <f>J354=C354</f>
        <v/>
      </c>
      <c r="Y354" s="2">
        <f>IF(R354="unknown","",R354=S354)</f>
        <v/>
      </c>
      <c r="Z354" s="2" t="inlineStr">
        <is>
          <t>A</t>
        </is>
      </c>
      <c r="AA354" s="2" t="inlineStr">
        <is>
          <t>A</t>
        </is>
      </c>
      <c r="AB354" s="2">
        <f>AND(N354,O354,A354&lt;&gt;"census-mixed")</f>
        <v/>
      </c>
      <c r="AC354" s="2">
        <f>IF(AB354,Z354=AA354,"")</f>
        <v/>
      </c>
    </row>
    <row r="355">
      <c r="A355" s="2" t="inlineStr">
        <is>
          <t>census-mixed</t>
        </is>
      </c>
      <c r="B355" s="2" t="inlineStr">
        <is>
          <t>node 26 https (OpenSSL 3.5.8)</t>
        </is>
      </c>
      <c r="C355" s="2" t="inlineStr">
        <is>
          <t>skb-eval-80103-c5114</t>
        </is>
      </c>
      <c r="D355" s="2" t="n">
        <v>5114</v>
      </c>
      <c r="E355" s="2" t="n">
        <v>1587</v>
      </c>
      <c r="F355" s="2" t="n">
        <v>771</v>
      </c>
      <c r="G355"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5" s="2" t="inlineStr">
        <is>
          <t>0304 0303</t>
        </is>
      </c>
      <c r="I355" s="2" t="n">
        <v>1</v>
      </c>
      <c r="J355" s="2" t="inlineStr">
        <is>
          <t>skb-eval-80103-c5114</t>
        </is>
      </c>
      <c r="K355" s="2" t="n">
        <v>1587</v>
      </c>
      <c r="L355" s="2" t="n">
        <v>771</v>
      </c>
      <c r="M355" s="2" t="n">
        <v>1443</v>
      </c>
      <c r="N355" s="2" t="b">
        <v>1</v>
      </c>
      <c r="O355" s="2" t="b">
        <v>1</v>
      </c>
      <c r="P355"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5" s="2" t="inlineStr">
        <is>
          <t>0304 0303</t>
        </is>
      </c>
      <c r="R355" s="2" t="inlineStr">
        <is>
          <t>violation</t>
        </is>
      </c>
      <c r="S355" s="2" t="inlineStr">
        <is>
          <t>violation</t>
        </is>
      </c>
      <c r="T355" s="2">
        <f>K355=E355</f>
        <v/>
      </c>
      <c r="U355" s="2">
        <f>L355=F355</f>
        <v/>
      </c>
      <c r="V355" s="2">
        <f>IF(N355,EXACT(P355,G355),"")</f>
        <v/>
      </c>
      <c r="W355" s="2">
        <f>IF(O355,EXACT(Q355,H355),"")</f>
        <v/>
      </c>
      <c r="X355" s="2">
        <f>J355=C355</f>
        <v/>
      </c>
      <c r="Y355" s="2">
        <f>IF(R355="unknown","",R355=S355)</f>
        <v/>
      </c>
      <c r="Z355" s="2" t="inlineStr">
        <is>
          <t>A</t>
        </is>
      </c>
      <c r="AA355" s="2" t="inlineStr">
        <is>
          <t>A</t>
        </is>
      </c>
      <c r="AB355" s="2">
        <f>AND(N355,O355,A355&lt;&gt;"census-mixed")</f>
        <v/>
      </c>
      <c r="AC355" s="2">
        <f>IF(AB355,Z355=AA355,"")</f>
        <v/>
      </c>
    </row>
    <row r="356">
      <c r="A356" s="2" t="inlineStr">
        <is>
          <t>census-mixed</t>
        </is>
      </c>
      <c r="B356" s="2" t="inlineStr">
        <is>
          <t>node 26 https (OpenSSL 3.5.8)</t>
        </is>
      </c>
      <c r="C356" s="2" t="inlineStr">
        <is>
          <t>skb-eval-80103-c5115</t>
        </is>
      </c>
      <c r="D356" s="2" t="n">
        <v>5115</v>
      </c>
      <c r="E356" s="2" t="n">
        <v>1587</v>
      </c>
      <c r="F356" s="2" t="n">
        <v>771</v>
      </c>
      <c r="G356"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6" s="2" t="inlineStr">
        <is>
          <t>0304 0303</t>
        </is>
      </c>
      <c r="I356" s="2" t="n">
        <v>1</v>
      </c>
      <c r="J356" s="2" t="inlineStr">
        <is>
          <t>skb-eval-80103-c5115</t>
        </is>
      </c>
      <c r="K356" s="2" t="n">
        <v>1587</v>
      </c>
      <c r="L356" s="2" t="n">
        <v>771</v>
      </c>
      <c r="M356" s="2" t="n">
        <v>1443</v>
      </c>
      <c r="N356" s="2" t="b">
        <v>1</v>
      </c>
      <c r="O356" s="2" t="b">
        <v>1</v>
      </c>
      <c r="P356"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6" s="2" t="inlineStr">
        <is>
          <t>0304 0303</t>
        </is>
      </c>
      <c r="R356" s="2" t="inlineStr">
        <is>
          <t>violation</t>
        </is>
      </c>
      <c r="S356" s="2" t="inlineStr">
        <is>
          <t>violation</t>
        </is>
      </c>
      <c r="T356" s="2">
        <f>K356=E356</f>
        <v/>
      </c>
      <c r="U356" s="2">
        <f>L356=F356</f>
        <v/>
      </c>
      <c r="V356" s="2">
        <f>IF(N356,EXACT(P356,G356),"")</f>
        <v/>
      </c>
      <c r="W356" s="2">
        <f>IF(O356,EXACT(Q356,H356),"")</f>
        <v/>
      </c>
      <c r="X356" s="2">
        <f>J356=C356</f>
        <v/>
      </c>
      <c r="Y356" s="2">
        <f>IF(R356="unknown","",R356=S356)</f>
        <v/>
      </c>
      <c r="Z356" s="2" t="inlineStr">
        <is>
          <t>A</t>
        </is>
      </c>
      <c r="AA356" s="2" t="inlineStr">
        <is>
          <t>A</t>
        </is>
      </c>
      <c r="AB356" s="2">
        <f>AND(N356,O356,A356&lt;&gt;"census-mixed")</f>
        <v/>
      </c>
      <c r="AC356" s="2">
        <f>IF(AB356,Z356=AA356,"")</f>
        <v/>
      </c>
    </row>
    <row r="357">
      <c r="A357" s="2" t="inlineStr">
        <is>
          <t>census-mixed</t>
        </is>
      </c>
      <c r="B357" s="2" t="inlineStr">
        <is>
          <t>node 26 https (OpenSSL 3.5.8)</t>
        </is>
      </c>
      <c r="C357" s="2" t="inlineStr">
        <is>
          <t>skb-eval-80103-c5116</t>
        </is>
      </c>
      <c r="D357" s="2" t="n">
        <v>5116</v>
      </c>
      <c r="E357" s="2" t="n">
        <v>1587</v>
      </c>
      <c r="F357" s="2" t="n">
        <v>771</v>
      </c>
      <c r="G357"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7" s="2" t="inlineStr">
        <is>
          <t>0304 0303</t>
        </is>
      </c>
      <c r="I357" s="2" t="n">
        <v>1</v>
      </c>
      <c r="J357" s="2" t="inlineStr">
        <is>
          <t>skb-eval-80103-c5116</t>
        </is>
      </c>
      <c r="K357" s="2" t="n">
        <v>1587</v>
      </c>
      <c r="L357" s="2" t="n">
        <v>771</v>
      </c>
      <c r="M357" s="2" t="n">
        <v>1443</v>
      </c>
      <c r="N357" s="2" t="b">
        <v>1</v>
      </c>
      <c r="O357" s="2" t="b">
        <v>1</v>
      </c>
      <c r="P357"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7" s="2" t="inlineStr">
        <is>
          <t>0304 0303</t>
        </is>
      </c>
      <c r="R357" s="2" t="inlineStr">
        <is>
          <t>violation</t>
        </is>
      </c>
      <c r="S357" s="2" t="inlineStr">
        <is>
          <t>violation</t>
        </is>
      </c>
      <c r="T357" s="2">
        <f>K357=E357</f>
        <v/>
      </c>
      <c r="U357" s="2">
        <f>L357=F357</f>
        <v/>
      </c>
      <c r="V357" s="2">
        <f>IF(N357,EXACT(P357,G357),"")</f>
        <v/>
      </c>
      <c r="W357" s="2">
        <f>IF(O357,EXACT(Q357,H357),"")</f>
        <v/>
      </c>
      <c r="X357" s="2">
        <f>J357=C357</f>
        <v/>
      </c>
      <c r="Y357" s="2">
        <f>IF(R357="unknown","",R357=S357)</f>
        <v/>
      </c>
      <c r="Z357" s="2" t="inlineStr">
        <is>
          <t>A</t>
        </is>
      </c>
      <c r="AA357" s="2" t="inlineStr">
        <is>
          <t>A</t>
        </is>
      </c>
      <c r="AB357" s="2">
        <f>AND(N357,O357,A357&lt;&gt;"census-mixed")</f>
        <v/>
      </c>
      <c r="AC357" s="2">
        <f>IF(AB357,Z357=AA357,"")</f>
        <v/>
      </c>
    </row>
    <row r="358">
      <c r="A358" s="2" t="inlineStr">
        <is>
          <t>census-mixed</t>
        </is>
      </c>
      <c r="B358" s="2" t="inlineStr">
        <is>
          <t>node 26 https (OpenSSL 3.5.8)</t>
        </is>
      </c>
      <c r="C358" s="2" t="inlineStr">
        <is>
          <t>skb-eval-80103-c5117</t>
        </is>
      </c>
      <c r="D358" s="2" t="n">
        <v>5117</v>
      </c>
      <c r="E358" s="2" t="n">
        <v>1587</v>
      </c>
      <c r="F358" s="2" t="n">
        <v>771</v>
      </c>
      <c r="G358"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8" s="2" t="inlineStr">
        <is>
          <t>0304 0303</t>
        </is>
      </c>
      <c r="I358" s="2" t="n">
        <v>1</v>
      </c>
      <c r="J358" s="2" t="inlineStr">
        <is>
          <t>skb-eval-80103-c5117</t>
        </is>
      </c>
      <c r="K358" s="2" t="n">
        <v>1587</v>
      </c>
      <c r="L358" s="2" t="n">
        <v>771</v>
      </c>
      <c r="M358" s="2" t="n">
        <v>1443</v>
      </c>
      <c r="N358" s="2" t="b">
        <v>1</v>
      </c>
      <c r="O358" s="2" t="b">
        <v>1</v>
      </c>
      <c r="P358"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8" s="2" t="inlineStr">
        <is>
          <t>0304 0303</t>
        </is>
      </c>
      <c r="R358" s="2" t="inlineStr">
        <is>
          <t>violation</t>
        </is>
      </c>
      <c r="S358" s="2" t="inlineStr">
        <is>
          <t>violation</t>
        </is>
      </c>
      <c r="T358" s="2">
        <f>K358=E358</f>
        <v/>
      </c>
      <c r="U358" s="2">
        <f>L358=F358</f>
        <v/>
      </c>
      <c r="V358" s="2">
        <f>IF(N358,EXACT(P358,G358),"")</f>
        <v/>
      </c>
      <c r="W358" s="2">
        <f>IF(O358,EXACT(Q358,H358),"")</f>
        <v/>
      </c>
      <c r="X358" s="2">
        <f>J358=C358</f>
        <v/>
      </c>
      <c r="Y358" s="2">
        <f>IF(R358="unknown","",R358=S358)</f>
        <v/>
      </c>
      <c r="Z358" s="2" t="inlineStr">
        <is>
          <t>A</t>
        </is>
      </c>
      <c r="AA358" s="2" t="inlineStr">
        <is>
          <t>A</t>
        </is>
      </c>
      <c r="AB358" s="2">
        <f>AND(N358,O358,A358&lt;&gt;"census-mixed")</f>
        <v/>
      </c>
      <c r="AC358" s="2">
        <f>IF(AB358,Z358=AA358,"")</f>
        <v/>
      </c>
    </row>
    <row r="359">
      <c r="A359" s="2" t="inlineStr">
        <is>
          <t>census-mixed</t>
        </is>
      </c>
      <c r="B359" s="2" t="inlineStr">
        <is>
          <t>node 26 https (OpenSSL 3.5.8)</t>
        </is>
      </c>
      <c r="C359" s="2" t="inlineStr">
        <is>
          <t>skb-eval-80103-c5118</t>
        </is>
      </c>
      <c r="D359" s="2" t="n">
        <v>5118</v>
      </c>
      <c r="E359" s="2" t="n">
        <v>1587</v>
      </c>
      <c r="F359" s="2" t="n">
        <v>771</v>
      </c>
      <c r="G359"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9" s="2" t="inlineStr">
        <is>
          <t>0304 0303</t>
        </is>
      </c>
      <c r="I359" s="2" t="n">
        <v>1</v>
      </c>
      <c r="J359" s="2" t="inlineStr">
        <is>
          <t>skb-eval-80103-c5118</t>
        </is>
      </c>
      <c r="K359" s="2" t="n">
        <v>1587</v>
      </c>
      <c r="L359" s="2" t="n">
        <v>771</v>
      </c>
      <c r="M359" s="2" t="n">
        <v>1443</v>
      </c>
      <c r="N359" s="2" t="b">
        <v>1</v>
      </c>
      <c r="O359" s="2" t="b">
        <v>1</v>
      </c>
      <c r="P359"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9" s="2" t="inlineStr">
        <is>
          <t>0304 0303</t>
        </is>
      </c>
      <c r="R359" s="2" t="inlineStr">
        <is>
          <t>violation</t>
        </is>
      </c>
      <c r="S359" s="2" t="inlineStr">
        <is>
          <t>violation</t>
        </is>
      </c>
      <c r="T359" s="2">
        <f>K359=E359</f>
        <v/>
      </c>
      <c r="U359" s="2">
        <f>L359=F359</f>
        <v/>
      </c>
      <c r="V359" s="2">
        <f>IF(N359,EXACT(P359,G359),"")</f>
        <v/>
      </c>
      <c r="W359" s="2">
        <f>IF(O359,EXACT(Q359,H359),"")</f>
        <v/>
      </c>
      <c r="X359" s="2">
        <f>J359=C359</f>
        <v/>
      </c>
      <c r="Y359" s="2">
        <f>IF(R359="unknown","",R359=S359)</f>
        <v/>
      </c>
      <c r="Z359" s="2" t="inlineStr">
        <is>
          <t>A</t>
        </is>
      </c>
      <c r="AA359" s="2" t="inlineStr">
        <is>
          <t>A</t>
        </is>
      </c>
      <c r="AB359" s="2">
        <f>AND(N359,O359,A359&lt;&gt;"census-mixed")</f>
        <v/>
      </c>
      <c r="AC359" s="2">
        <f>IF(AB359,Z359=AA359,"")</f>
        <v/>
      </c>
    </row>
    <row r="360">
      <c r="A360" s="2" t="inlineStr">
        <is>
          <t>census-mixed</t>
        </is>
      </c>
      <c r="B360" s="2" t="inlineStr">
        <is>
          <t>node 26 https (OpenSSL 3.5.8)</t>
        </is>
      </c>
      <c r="C360" s="2" t="inlineStr">
        <is>
          <t>skb-eval-80103-c5119</t>
        </is>
      </c>
      <c r="D360" s="2" t="n">
        <v>5119</v>
      </c>
      <c r="E360" s="2" t="n">
        <v>1587</v>
      </c>
      <c r="F360" s="2" t="n">
        <v>771</v>
      </c>
      <c r="G360"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60" s="2" t="inlineStr">
        <is>
          <t>0304 0303</t>
        </is>
      </c>
      <c r="I360" s="2" t="n">
        <v>1</v>
      </c>
      <c r="J360" s="2" t="inlineStr">
        <is>
          <t>skb-eval-80103-c5119</t>
        </is>
      </c>
      <c r="K360" s="2" t="n">
        <v>1587</v>
      </c>
      <c r="L360" s="2" t="n">
        <v>771</v>
      </c>
      <c r="M360" s="2" t="n">
        <v>1443</v>
      </c>
      <c r="N360" s="2" t="b">
        <v>1</v>
      </c>
      <c r="O360" s="2" t="b">
        <v>1</v>
      </c>
      <c r="P360"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60" s="2" t="inlineStr">
        <is>
          <t>0304 0303</t>
        </is>
      </c>
      <c r="R360" s="2" t="inlineStr">
        <is>
          <t>violation</t>
        </is>
      </c>
      <c r="S360" s="2" t="inlineStr">
        <is>
          <t>violation</t>
        </is>
      </c>
      <c r="T360" s="2">
        <f>K360=E360</f>
        <v/>
      </c>
      <c r="U360" s="2">
        <f>L360=F360</f>
        <v/>
      </c>
      <c r="V360" s="2">
        <f>IF(N360,EXACT(P360,G360),"")</f>
        <v/>
      </c>
      <c r="W360" s="2">
        <f>IF(O360,EXACT(Q360,H360),"")</f>
        <v/>
      </c>
      <c r="X360" s="2">
        <f>J360=C360</f>
        <v/>
      </c>
      <c r="Y360" s="2">
        <f>IF(R360="unknown","",R360=S360)</f>
        <v/>
      </c>
      <c r="Z360" s="2" t="inlineStr">
        <is>
          <t>A</t>
        </is>
      </c>
      <c r="AA360" s="2" t="inlineStr">
        <is>
          <t>A</t>
        </is>
      </c>
      <c r="AB360" s="2">
        <f>AND(N360,O360,A360&lt;&gt;"census-mixed")</f>
        <v/>
      </c>
      <c r="AC360" s="2">
        <f>IF(AB360,Z360=AA360,"")</f>
        <v/>
      </c>
    </row>
    <row r="361">
      <c r="A361" s="2" t="inlineStr">
        <is>
          <t>census-mixed</t>
        </is>
      </c>
      <c r="B361" s="2" t="inlineStr">
        <is>
          <t>node 26 https (OpenSSL 3.5.8)</t>
        </is>
      </c>
      <c r="C361" s="2" t="inlineStr">
        <is>
          <t>skb-eval-80103-c5120</t>
        </is>
      </c>
      <c r="D361" s="2" t="n">
        <v>5120</v>
      </c>
      <c r="E361" s="2" t="n">
        <v>1587</v>
      </c>
      <c r="F361" s="2" t="n">
        <v>771</v>
      </c>
      <c r="G361"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61" s="2" t="inlineStr">
        <is>
          <t>0304 0303</t>
        </is>
      </c>
      <c r="I361" s="2" t="n">
        <v>1</v>
      </c>
      <c r="J361" s="2" t="inlineStr">
        <is>
          <t>skb-eval-80103-c5120</t>
        </is>
      </c>
      <c r="K361" s="2" t="n">
        <v>1587</v>
      </c>
      <c r="L361" s="2" t="n">
        <v>771</v>
      </c>
      <c r="M361" s="2" t="n">
        <v>1443</v>
      </c>
      <c r="N361" s="2" t="b">
        <v>1</v>
      </c>
      <c r="O361" s="2" t="b">
        <v>1</v>
      </c>
      <c r="P361"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61" s="2" t="inlineStr">
        <is>
          <t>0304 0303</t>
        </is>
      </c>
      <c r="R361" s="2" t="inlineStr">
        <is>
          <t>violation</t>
        </is>
      </c>
      <c r="S361" s="2" t="inlineStr">
        <is>
          <t>violation</t>
        </is>
      </c>
      <c r="T361" s="2">
        <f>K361=E361</f>
        <v/>
      </c>
      <c r="U361" s="2">
        <f>L361=F361</f>
        <v/>
      </c>
      <c r="V361" s="2">
        <f>IF(N361,EXACT(P361,G361),"")</f>
        <v/>
      </c>
      <c r="W361" s="2">
        <f>IF(O361,EXACT(Q361,H361),"")</f>
        <v/>
      </c>
      <c r="X361" s="2">
        <f>J361=C361</f>
        <v/>
      </c>
      <c r="Y361" s="2">
        <f>IF(R361="unknown","",R361=S361)</f>
        <v/>
      </c>
      <c r="Z361" s="2" t="inlineStr">
        <is>
          <t>A</t>
        </is>
      </c>
      <c r="AA361" s="2" t="inlineStr">
        <is>
          <t>A</t>
        </is>
      </c>
      <c r="AB361" s="2">
        <f>AND(N361,O361,A361&lt;&gt;"census-mixed")</f>
        <v/>
      </c>
      <c r="AC361" s="2">
        <f>IF(AB361,Z361=AA361,"")</f>
        <v/>
      </c>
    </row>
    <row r="362">
      <c r="A362" s="2" t="inlineStr">
        <is>
          <t>census-mixed</t>
        </is>
      </c>
      <c r="B362" s="2" t="inlineStr">
        <is>
          <t>go 1.27 net/http (crypto/tls)</t>
        </is>
      </c>
      <c r="C362" s="2" t="inlineStr">
        <is>
          <t>skb-eval-80103-c5121</t>
        </is>
      </c>
      <c r="D362" s="2" t="n">
        <v>5121</v>
      </c>
      <c r="E362" s="2" t="n">
        <v>1532</v>
      </c>
      <c r="F362" s="2" t="n">
        <v>771</v>
      </c>
      <c r="G362" s="2" t="inlineStr">
        <is>
          <t>c02b c02f c02c c030 cca9 cca8 c009 c013 c00a c014 1301 1302 1303</t>
        </is>
      </c>
      <c r="H362" s="2" t="inlineStr">
        <is>
          <t>0304 0303</t>
        </is>
      </c>
      <c r="I362" s="2" t="n">
        <v>1</v>
      </c>
      <c r="J362" s="2" t="inlineStr">
        <is>
          <t>skb-eval-80103-c5121</t>
        </is>
      </c>
      <c r="K362" s="2" t="n">
        <v>1532</v>
      </c>
      <c r="L362" s="2" t="n">
        <v>771</v>
      </c>
      <c r="M362" s="2" t="n">
        <v>1443</v>
      </c>
      <c r="N362" s="2" t="b">
        <v>1</v>
      </c>
      <c r="O362" s="2" t="b">
        <v>1</v>
      </c>
      <c r="P362" s="2" t="inlineStr">
        <is>
          <t>c02b c02f c02c c030 cca9 cca8 c009 c013 c00a c014 1301 1302 1303</t>
        </is>
      </c>
      <c r="Q362" s="2" t="inlineStr">
        <is>
          <t>0304 0303</t>
        </is>
      </c>
      <c r="R362" s="2" t="inlineStr">
        <is>
          <t>allow</t>
        </is>
      </c>
      <c r="S362" s="2" t="inlineStr">
        <is>
          <t>allow</t>
        </is>
      </c>
      <c r="T362" s="2">
        <f>K362=E362</f>
        <v/>
      </c>
      <c r="U362" s="2">
        <f>L362=F362</f>
        <v/>
      </c>
      <c r="V362" s="2">
        <f>IF(N362,EXACT(P362,G362),"")</f>
        <v/>
      </c>
      <c r="W362" s="2">
        <f>IF(O362,EXACT(Q362,H362),"")</f>
        <v/>
      </c>
      <c r="X362" s="2">
        <f>J362=C362</f>
        <v/>
      </c>
      <c r="Y362" s="2">
        <f>IF(R362="unknown","",R362=S362)</f>
        <v/>
      </c>
      <c r="Z362" s="2" t="inlineStr">
        <is>
          <t>A</t>
        </is>
      </c>
      <c r="AA362" s="2" t="inlineStr">
        <is>
          <t>A</t>
        </is>
      </c>
      <c r="AB362" s="2">
        <f>AND(N362,O362,A362&lt;&gt;"census-mixed")</f>
        <v/>
      </c>
      <c r="AC362" s="2">
        <f>IF(AB362,Z362=AA362,"")</f>
        <v/>
      </c>
    </row>
    <row r="363">
      <c r="A363" s="2" t="inlineStr">
        <is>
          <t>census-mixed</t>
        </is>
      </c>
      <c r="B363" s="2" t="inlineStr">
        <is>
          <t>go 1.27 net/http (crypto/tls)</t>
        </is>
      </c>
      <c r="C363" s="2" t="inlineStr">
        <is>
          <t>skb-eval-80103-c5122</t>
        </is>
      </c>
      <c r="D363" s="2" t="n">
        <v>5122</v>
      </c>
      <c r="E363" s="2" t="n">
        <v>1532</v>
      </c>
      <c r="F363" s="2" t="n">
        <v>771</v>
      </c>
      <c r="G363" s="2" t="inlineStr">
        <is>
          <t>c02b c02f c02c c030 cca9 cca8 c009 c013 c00a c014 1301 1302 1303</t>
        </is>
      </c>
      <c r="H363" s="2" t="inlineStr">
        <is>
          <t>0304 0303</t>
        </is>
      </c>
      <c r="I363" s="2" t="n">
        <v>1</v>
      </c>
      <c r="J363" s="2" t="inlineStr">
        <is>
          <t>skb-eval-80103-c5122</t>
        </is>
      </c>
      <c r="K363" s="2" t="n">
        <v>1532</v>
      </c>
      <c r="L363" s="2" t="n">
        <v>771</v>
      </c>
      <c r="M363" s="2" t="n">
        <v>1443</v>
      </c>
      <c r="N363" s="2" t="b">
        <v>1</v>
      </c>
      <c r="O363" s="2" t="b">
        <v>1</v>
      </c>
      <c r="P363" s="2" t="inlineStr">
        <is>
          <t>c02b c02f c02c c030 cca9 cca8 c009 c013 c00a c014 1301 1302 1303</t>
        </is>
      </c>
      <c r="Q363" s="2" t="inlineStr">
        <is>
          <t>0304 0303</t>
        </is>
      </c>
      <c r="R363" s="2" t="inlineStr">
        <is>
          <t>allow</t>
        </is>
      </c>
      <c r="S363" s="2" t="inlineStr">
        <is>
          <t>allow</t>
        </is>
      </c>
      <c r="T363" s="2">
        <f>K363=E363</f>
        <v/>
      </c>
      <c r="U363" s="2">
        <f>L363=F363</f>
        <v/>
      </c>
      <c r="V363" s="2">
        <f>IF(N363,EXACT(P363,G363),"")</f>
        <v/>
      </c>
      <c r="W363" s="2">
        <f>IF(O363,EXACT(Q363,H363),"")</f>
        <v/>
      </c>
      <c r="X363" s="2">
        <f>J363=C363</f>
        <v/>
      </c>
      <c r="Y363" s="2">
        <f>IF(R363="unknown","",R363=S363)</f>
        <v/>
      </c>
      <c r="Z363" s="2" t="inlineStr">
        <is>
          <t>A</t>
        </is>
      </c>
      <c r="AA363" s="2" t="inlineStr">
        <is>
          <t>A</t>
        </is>
      </c>
      <c r="AB363" s="2">
        <f>AND(N363,O363,A363&lt;&gt;"census-mixed")</f>
        <v/>
      </c>
      <c r="AC363" s="2">
        <f>IF(AB363,Z363=AA363,"")</f>
        <v/>
      </c>
    </row>
    <row r="364">
      <c r="A364" s="2" t="inlineStr">
        <is>
          <t>census-mixed</t>
        </is>
      </c>
      <c r="B364" s="2" t="inlineStr">
        <is>
          <t>go 1.27 net/http (crypto/tls)</t>
        </is>
      </c>
      <c r="C364" s="2" t="inlineStr">
        <is>
          <t>skb-eval-80103-c5123</t>
        </is>
      </c>
      <c r="D364" s="2" t="n">
        <v>5123</v>
      </c>
      <c r="E364" s="2" t="n">
        <v>1532</v>
      </c>
      <c r="F364" s="2" t="n">
        <v>771</v>
      </c>
      <c r="G364" s="2" t="inlineStr">
        <is>
          <t>c02b c02f c02c c030 cca9 cca8 c009 c013 c00a c014 1301 1302 1303</t>
        </is>
      </c>
      <c r="H364" s="2" t="inlineStr">
        <is>
          <t>0304 0303</t>
        </is>
      </c>
      <c r="I364" s="2" t="n">
        <v>1</v>
      </c>
      <c r="J364" s="2" t="inlineStr">
        <is>
          <t>skb-eval-80103-c5123</t>
        </is>
      </c>
      <c r="K364" s="2" t="n">
        <v>1532</v>
      </c>
      <c r="L364" s="2" t="n">
        <v>771</v>
      </c>
      <c r="M364" s="2" t="n">
        <v>1443</v>
      </c>
      <c r="N364" s="2" t="b">
        <v>1</v>
      </c>
      <c r="O364" s="2" t="b">
        <v>1</v>
      </c>
      <c r="P364" s="2" t="inlineStr">
        <is>
          <t>c02b c02f c02c c030 cca9 cca8 c009 c013 c00a c014 1301 1302 1303</t>
        </is>
      </c>
      <c r="Q364" s="2" t="inlineStr">
        <is>
          <t>0304 0303</t>
        </is>
      </c>
      <c r="R364" s="2" t="inlineStr">
        <is>
          <t>allow</t>
        </is>
      </c>
      <c r="S364" s="2" t="inlineStr">
        <is>
          <t>allow</t>
        </is>
      </c>
      <c r="T364" s="2">
        <f>K364=E364</f>
        <v/>
      </c>
      <c r="U364" s="2">
        <f>L364=F364</f>
        <v/>
      </c>
      <c r="V364" s="2">
        <f>IF(N364,EXACT(P364,G364),"")</f>
        <v/>
      </c>
      <c r="W364" s="2">
        <f>IF(O364,EXACT(Q364,H364),"")</f>
        <v/>
      </c>
      <c r="X364" s="2">
        <f>J364=C364</f>
        <v/>
      </c>
      <c r="Y364" s="2">
        <f>IF(R364="unknown","",R364=S364)</f>
        <v/>
      </c>
      <c r="Z364" s="2" t="inlineStr">
        <is>
          <t>A</t>
        </is>
      </c>
      <c r="AA364" s="2" t="inlineStr">
        <is>
          <t>A</t>
        </is>
      </c>
      <c r="AB364" s="2">
        <f>AND(N364,O364,A364&lt;&gt;"census-mixed")</f>
        <v/>
      </c>
      <c r="AC364" s="2">
        <f>IF(AB364,Z364=AA364,"")</f>
        <v/>
      </c>
    </row>
    <row r="365">
      <c r="A365" s="2" t="inlineStr">
        <is>
          <t>census-mixed</t>
        </is>
      </c>
      <c r="B365" s="2" t="inlineStr">
        <is>
          <t>go 1.27 net/http (crypto/tls)</t>
        </is>
      </c>
      <c r="C365" s="2" t="inlineStr">
        <is>
          <t>skb-eval-80103-c5124</t>
        </is>
      </c>
      <c r="D365" s="2" t="n">
        <v>5124</v>
      </c>
      <c r="E365" s="2" t="n">
        <v>1532</v>
      </c>
      <c r="F365" s="2" t="n">
        <v>771</v>
      </c>
      <c r="G365" s="2" t="inlineStr">
        <is>
          <t>c02b c02f c02c c030 cca9 cca8 c009 c013 c00a c014 1301 1302 1303</t>
        </is>
      </c>
      <c r="H365" s="2" t="inlineStr">
        <is>
          <t>0304 0303</t>
        </is>
      </c>
      <c r="I365" s="2" t="n">
        <v>1</v>
      </c>
      <c r="J365" s="2" t="inlineStr">
        <is>
          <t>skb-eval-80103-c5124</t>
        </is>
      </c>
      <c r="K365" s="2" t="n">
        <v>1532</v>
      </c>
      <c r="L365" s="2" t="n">
        <v>771</v>
      </c>
      <c r="M365" s="2" t="n">
        <v>1443</v>
      </c>
      <c r="N365" s="2" t="b">
        <v>1</v>
      </c>
      <c r="O365" s="2" t="b">
        <v>1</v>
      </c>
      <c r="P365" s="2" t="inlineStr">
        <is>
          <t>c02b c02f c02c c030 cca9 cca8 c009 c013 c00a c014 1301 1302 1303</t>
        </is>
      </c>
      <c r="Q365" s="2" t="inlineStr">
        <is>
          <t>0304 0303</t>
        </is>
      </c>
      <c r="R365" s="2" t="inlineStr">
        <is>
          <t>allow</t>
        </is>
      </c>
      <c r="S365" s="2" t="inlineStr">
        <is>
          <t>allow</t>
        </is>
      </c>
      <c r="T365" s="2">
        <f>K365=E365</f>
        <v/>
      </c>
      <c r="U365" s="2">
        <f>L365=F365</f>
        <v/>
      </c>
      <c r="V365" s="2">
        <f>IF(N365,EXACT(P365,G365),"")</f>
        <v/>
      </c>
      <c r="W365" s="2">
        <f>IF(O365,EXACT(Q365,H365),"")</f>
        <v/>
      </c>
      <c r="X365" s="2">
        <f>J365=C365</f>
        <v/>
      </c>
      <c r="Y365" s="2">
        <f>IF(R365="unknown","",R365=S365)</f>
        <v/>
      </c>
      <c r="Z365" s="2" t="inlineStr">
        <is>
          <t>A</t>
        </is>
      </c>
      <c r="AA365" s="2" t="inlineStr">
        <is>
          <t>A</t>
        </is>
      </c>
      <c r="AB365" s="2">
        <f>AND(N365,O365,A365&lt;&gt;"census-mixed")</f>
        <v/>
      </c>
      <c r="AC365" s="2">
        <f>IF(AB365,Z365=AA365,"")</f>
        <v/>
      </c>
    </row>
    <row r="366">
      <c r="A366" s="2" t="inlineStr">
        <is>
          <t>census-mixed</t>
        </is>
      </c>
      <c r="B366" s="2" t="inlineStr">
        <is>
          <t>go 1.27 net/http (crypto/tls)</t>
        </is>
      </c>
      <c r="C366" s="2" t="inlineStr">
        <is>
          <t>skb-eval-80103-c5125</t>
        </is>
      </c>
      <c r="D366" s="2" t="n">
        <v>5125</v>
      </c>
      <c r="E366" s="2" t="n">
        <v>1532</v>
      </c>
      <c r="F366" s="2" t="n">
        <v>771</v>
      </c>
      <c r="G366" s="2" t="inlineStr">
        <is>
          <t>c02b c02f c02c c030 cca9 cca8 c009 c013 c00a c014 1301 1302 1303</t>
        </is>
      </c>
      <c r="H366" s="2" t="inlineStr">
        <is>
          <t>0304 0303</t>
        </is>
      </c>
      <c r="I366" s="2" t="n">
        <v>1</v>
      </c>
      <c r="J366" s="2" t="inlineStr">
        <is>
          <t>skb-eval-80103-c5125</t>
        </is>
      </c>
      <c r="K366" s="2" t="n">
        <v>1532</v>
      </c>
      <c r="L366" s="2" t="n">
        <v>771</v>
      </c>
      <c r="M366" s="2" t="n">
        <v>1443</v>
      </c>
      <c r="N366" s="2" t="b">
        <v>1</v>
      </c>
      <c r="O366" s="2" t="b">
        <v>1</v>
      </c>
      <c r="P366" s="2" t="inlineStr">
        <is>
          <t>c02b c02f c02c c030 cca9 cca8 c009 c013 c00a c014 1301 1302 1303</t>
        </is>
      </c>
      <c r="Q366" s="2" t="inlineStr">
        <is>
          <t>0304 0303</t>
        </is>
      </c>
      <c r="R366" s="2" t="inlineStr">
        <is>
          <t>allow</t>
        </is>
      </c>
      <c r="S366" s="2" t="inlineStr">
        <is>
          <t>allow</t>
        </is>
      </c>
      <c r="T366" s="2">
        <f>K366=E366</f>
        <v/>
      </c>
      <c r="U366" s="2">
        <f>L366=F366</f>
        <v/>
      </c>
      <c r="V366" s="2">
        <f>IF(N366,EXACT(P366,G366),"")</f>
        <v/>
      </c>
      <c r="W366" s="2">
        <f>IF(O366,EXACT(Q366,H366),"")</f>
        <v/>
      </c>
      <c r="X366" s="2">
        <f>J366=C366</f>
        <v/>
      </c>
      <c r="Y366" s="2">
        <f>IF(R366="unknown","",R366=S366)</f>
        <v/>
      </c>
      <c r="Z366" s="2" t="inlineStr">
        <is>
          <t>A</t>
        </is>
      </c>
      <c r="AA366" s="2" t="inlineStr">
        <is>
          <t>A</t>
        </is>
      </c>
      <c r="AB366" s="2">
        <f>AND(N366,O366,A366&lt;&gt;"census-mixed")</f>
        <v/>
      </c>
      <c r="AC366" s="2">
        <f>IF(AB366,Z366=AA366,"")</f>
        <v/>
      </c>
    </row>
    <row r="367">
      <c r="A367" s="2" t="inlineStr">
        <is>
          <t>census-mixed</t>
        </is>
      </c>
      <c r="B367" s="2" t="inlineStr">
        <is>
          <t>go 1.27 net/http (crypto/tls)</t>
        </is>
      </c>
      <c r="C367" s="2" t="inlineStr">
        <is>
          <t>skb-eval-80103-c5126</t>
        </is>
      </c>
      <c r="D367" s="2" t="n">
        <v>5126</v>
      </c>
      <c r="E367" s="2" t="n">
        <v>1532</v>
      </c>
      <c r="F367" s="2" t="n">
        <v>771</v>
      </c>
      <c r="G367" s="2" t="inlineStr">
        <is>
          <t>c02b c02f c02c c030 cca9 cca8 c009 c013 c00a c014 1301 1302 1303</t>
        </is>
      </c>
      <c r="H367" s="2" t="inlineStr">
        <is>
          <t>0304 0303</t>
        </is>
      </c>
      <c r="I367" s="2" t="n">
        <v>1</v>
      </c>
      <c r="J367" s="2" t="inlineStr">
        <is>
          <t>skb-eval-80103-c5126</t>
        </is>
      </c>
      <c r="K367" s="2" t="n">
        <v>1532</v>
      </c>
      <c r="L367" s="2" t="n">
        <v>771</v>
      </c>
      <c r="M367" s="2" t="n">
        <v>1443</v>
      </c>
      <c r="N367" s="2" t="b">
        <v>1</v>
      </c>
      <c r="O367" s="2" t="b">
        <v>1</v>
      </c>
      <c r="P367" s="2" t="inlineStr">
        <is>
          <t>c02b c02f c02c c030 cca9 cca8 c009 c013 c00a c014 1301 1302 1303</t>
        </is>
      </c>
      <c r="Q367" s="2" t="inlineStr">
        <is>
          <t>0304 0303</t>
        </is>
      </c>
      <c r="R367" s="2" t="inlineStr">
        <is>
          <t>allow</t>
        </is>
      </c>
      <c r="S367" s="2" t="inlineStr">
        <is>
          <t>allow</t>
        </is>
      </c>
      <c r="T367" s="2">
        <f>K367=E367</f>
        <v/>
      </c>
      <c r="U367" s="2">
        <f>L367=F367</f>
        <v/>
      </c>
      <c r="V367" s="2">
        <f>IF(N367,EXACT(P367,G367),"")</f>
        <v/>
      </c>
      <c r="W367" s="2">
        <f>IF(O367,EXACT(Q367,H367),"")</f>
        <v/>
      </c>
      <c r="X367" s="2">
        <f>J367=C367</f>
        <v/>
      </c>
      <c r="Y367" s="2">
        <f>IF(R367="unknown","",R367=S367)</f>
        <v/>
      </c>
      <c r="Z367" s="2" t="inlineStr">
        <is>
          <t>A</t>
        </is>
      </c>
      <c r="AA367" s="2" t="inlineStr">
        <is>
          <t>A</t>
        </is>
      </c>
      <c r="AB367" s="2">
        <f>AND(N367,O367,A367&lt;&gt;"census-mixed")</f>
        <v/>
      </c>
      <c r="AC367" s="2">
        <f>IF(AB367,Z367=AA367,"")</f>
        <v/>
      </c>
    </row>
    <row r="368">
      <c r="A368" s="2" t="inlineStr">
        <is>
          <t>census-mixed</t>
        </is>
      </c>
      <c r="B368" s="2" t="inlineStr">
        <is>
          <t>go 1.27 net/http (crypto/tls)</t>
        </is>
      </c>
      <c r="C368" s="2" t="inlineStr">
        <is>
          <t>skb-eval-80103-c5127</t>
        </is>
      </c>
      <c r="D368" s="2" t="n">
        <v>5127</v>
      </c>
      <c r="E368" s="2" t="n">
        <v>1532</v>
      </c>
      <c r="F368" s="2" t="n">
        <v>771</v>
      </c>
      <c r="G368" s="2" t="inlineStr">
        <is>
          <t>c02b c02f c02c c030 cca9 cca8 c009 c013 c00a c014 1301 1302 1303</t>
        </is>
      </c>
      <c r="H368" s="2" t="inlineStr">
        <is>
          <t>0304 0303</t>
        </is>
      </c>
      <c r="I368" s="2" t="n">
        <v>1</v>
      </c>
      <c r="J368" s="2" t="inlineStr">
        <is>
          <t>skb-eval-80103-c5127</t>
        </is>
      </c>
      <c r="K368" s="2" t="n">
        <v>1532</v>
      </c>
      <c r="L368" s="2" t="n">
        <v>771</v>
      </c>
      <c r="M368" s="2" t="n">
        <v>1443</v>
      </c>
      <c r="N368" s="2" t="b">
        <v>1</v>
      </c>
      <c r="O368" s="2" t="b">
        <v>1</v>
      </c>
      <c r="P368" s="2" t="inlineStr">
        <is>
          <t>c02b c02f c02c c030 cca9 cca8 c009 c013 c00a c014 1301 1302 1303</t>
        </is>
      </c>
      <c r="Q368" s="2" t="inlineStr">
        <is>
          <t>0304 0303</t>
        </is>
      </c>
      <c r="R368" s="2" t="inlineStr">
        <is>
          <t>allow</t>
        </is>
      </c>
      <c r="S368" s="2" t="inlineStr">
        <is>
          <t>allow</t>
        </is>
      </c>
      <c r="T368" s="2">
        <f>K368=E368</f>
        <v/>
      </c>
      <c r="U368" s="2">
        <f>L368=F368</f>
        <v/>
      </c>
      <c r="V368" s="2">
        <f>IF(N368,EXACT(P368,G368),"")</f>
        <v/>
      </c>
      <c r="W368" s="2">
        <f>IF(O368,EXACT(Q368,H368),"")</f>
        <v/>
      </c>
      <c r="X368" s="2">
        <f>J368=C368</f>
        <v/>
      </c>
      <c r="Y368" s="2">
        <f>IF(R368="unknown","",R368=S368)</f>
        <v/>
      </c>
      <c r="Z368" s="2" t="inlineStr">
        <is>
          <t>A</t>
        </is>
      </c>
      <c r="AA368" s="2" t="inlineStr">
        <is>
          <t>A</t>
        </is>
      </c>
      <c r="AB368" s="2">
        <f>AND(N368,O368,A368&lt;&gt;"census-mixed")</f>
        <v/>
      </c>
      <c r="AC368" s="2">
        <f>IF(AB368,Z368=AA368,"")</f>
        <v/>
      </c>
    </row>
    <row r="369">
      <c r="A369" s="2" t="inlineStr">
        <is>
          <t>census-mixed</t>
        </is>
      </c>
      <c r="B369" s="2" t="inlineStr">
        <is>
          <t>go 1.27 net/http (crypto/tls)</t>
        </is>
      </c>
      <c r="C369" s="2" t="inlineStr">
        <is>
          <t>skb-eval-80103-c5128</t>
        </is>
      </c>
      <c r="D369" s="2" t="n">
        <v>5128</v>
      </c>
      <c r="E369" s="2" t="n">
        <v>1532</v>
      </c>
      <c r="F369" s="2" t="n">
        <v>771</v>
      </c>
      <c r="G369" s="2" t="inlineStr">
        <is>
          <t>c02b c02f c02c c030 cca9 cca8 c009 c013 c00a c014 1301 1302 1303</t>
        </is>
      </c>
      <c r="H369" s="2" t="inlineStr">
        <is>
          <t>0304 0303</t>
        </is>
      </c>
      <c r="I369" s="2" t="n">
        <v>1</v>
      </c>
      <c r="J369" s="2" t="inlineStr">
        <is>
          <t>skb-eval-80103-c5128</t>
        </is>
      </c>
      <c r="K369" s="2" t="n">
        <v>1532</v>
      </c>
      <c r="L369" s="2" t="n">
        <v>771</v>
      </c>
      <c r="M369" s="2" t="n">
        <v>1443</v>
      </c>
      <c r="N369" s="2" t="b">
        <v>1</v>
      </c>
      <c r="O369" s="2" t="b">
        <v>1</v>
      </c>
      <c r="P369" s="2" t="inlineStr">
        <is>
          <t>c02b c02f c02c c030 cca9 cca8 c009 c013 c00a c014 1301 1302 1303</t>
        </is>
      </c>
      <c r="Q369" s="2" t="inlineStr">
        <is>
          <t>0304 0303</t>
        </is>
      </c>
      <c r="R369" s="2" t="inlineStr">
        <is>
          <t>allow</t>
        </is>
      </c>
      <c r="S369" s="2" t="inlineStr">
        <is>
          <t>allow</t>
        </is>
      </c>
      <c r="T369" s="2">
        <f>K369=E369</f>
        <v/>
      </c>
      <c r="U369" s="2">
        <f>L369=F369</f>
        <v/>
      </c>
      <c r="V369" s="2">
        <f>IF(N369,EXACT(P369,G369),"")</f>
        <v/>
      </c>
      <c r="W369" s="2">
        <f>IF(O369,EXACT(Q369,H369),"")</f>
        <v/>
      </c>
      <c r="X369" s="2">
        <f>J369=C369</f>
        <v/>
      </c>
      <c r="Y369" s="2">
        <f>IF(R369="unknown","",R369=S369)</f>
        <v/>
      </c>
      <c r="Z369" s="2" t="inlineStr">
        <is>
          <t>A</t>
        </is>
      </c>
      <c r="AA369" s="2" t="inlineStr">
        <is>
          <t>A</t>
        </is>
      </c>
      <c r="AB369" s="2">
        <f>AND(N369,O369,A369&lt;&gt;"census-mixed")</f>
        <v/>
      </c>
      <c r="AC369" s="2">
        <f>IF(AB369,Z369=AA369,"")</f>
        <v/>
      </c>
    </row>
    <row r="370">
      <c r="A370" s="2" t="inlineStr">
        <is>
          <t>census-mixed</t>
        </is>
      </c>
      <c r="B370" s="2" t="inlineStr">
        <is>
          <t>go 1.27 net/http (crypto/tls)</t>
        </is>
      </c>
      <c r="C370" s="2" t="inlineStr">
        <is>
          <t>skb-eval-80103-c5129</t>
        </is>
      </c>
      <c r="D370" s="2" t="n">
        <v>5129</v>
      </c>
      <c r="E370" s="2" t="n">
        <v>1532</v>
      </c>
      <c r="F370" s="2" t="n">
        <v>771</v>
      </c>
      <c r="G370" s="2" t="inlineStr">
        <is>
          <t>c02b c02f c02c c030 cca9 cca8 c009 c013 c00a c014 1301 1302 1303</t>
        </is>
      </c>
      <c r="H370" s="2" t="inlineStr">
        <is>
          <t>0304 0303</t>
        </is>
      </c>
      <c r="I370" s="2" t="n">
        <v>1</v>
      </c>
      <c r="J370" s="2" t="inlineStr">
        <is>
          <t>skb-eval-80103-c5129</t>
        </is>
      </c>
      <c r="K370" s="2" t="n">
        <v>1532</v>
      </c>
      <c r="L370" s="2" t="n">
        <v>771</v>
      </c>
      <c r="M370" s="2" t="n">
        <v>1443</v>
      </c>
      <c r="N370" s="2" t="b">
        <v>1</v>
      </c>
      <c r="O370" s="2" t="b">
        <v>1</v>
      </c>
      <c r="P370" s="2" t="inlineStr">
        <is>
          <t>c02b c02f c02c c030 cca9 cca8 c009 c013 c00a c014 1301 1302 1303</t>
        </is>
      </c>
      <c r="Q370" s="2" t="inlineStr">
        <is>
          <t>0304 0303</t>
        </is>
      </c>
      <c r="R370" s="2" t="inlineStr">
        <is>
          <t>allow</t>
        </is>
      </c>
      <c r="S370" s="2" t="inlineStr">
        <is>
          <t>allow</t>
        </is>
      </c>
      <c r="T370" s="2">
        <f>K370=E370</f>
        <v/>
      </c>
      <c r="U370" s="2">
        <f>L370=F370</f>
        <v/>
      </c>
      <c r="V370" s="2">
        <f>IF(N370,EXACT(P370,G370),"")</f>
        <v/>
      </c>
      <c r="W370" s="2">
        <f>IF(O370,EXACT(Q370,H370),"")</f>
        <v/>
      </c>
      <c r="X370" s="2">
        <f>J370=C370</f>
        <v/>
      </c>
      <c r="Y370" s="2">
        <f>IF(R370="unknown","",R370=S370)</f>
        <v/>
      </c>
      <c r="Z370" s="2" t="inlineStr">
        <is>
          <t>A</t>
        </is>
      </c>
      <c r="AA370" s="2" t="inlineStr">
        <is>
          <t>A</t>
        </is>
      </c>
      <c r="AB370" s="2">
        <f>AND(N370,O370,A370&lt;&gt;"census-mixed")</f>
        <v/>
      </c>
      <c r="AC370" s="2">
        <f>IF(AB370,Z370=AA370,"")</f>
        <v/>
      </c>
    </row>
    <row r="371">
      <c r="A371" s="2" t="inlineStr">
        <is>
          <t>census-mixed</t>
        </is>
      </c>
      <c r="B371" s="2" t="inlineStr">
        <is>
          <t>go 1.27 net/http (crypto/tls)</t>
        </is>
      </c>
      <c r="C371" s="2" t="inlineStr">
        <is>
          <t>skb-eval-80103-c5130</t>
        </is>
      </c>
      <c r="D371" s="2" t="n">
        <v>5130</v>
      </c>
      <c r="E371" s="2" t="n">
        <v>1532</v>
      </c>
      <c r="F371" s="2" t="n">
        <v>771</v>
      </c>
      <c r="G371" s="2" t="inlineStr">
        <is>
          <t>c02b c02f c02c c030 cca9 cca8 c009 c013 c00a c014 1301 1302 1303</t>
        </is>
      </c>
      <c r="H371" s="2" t="inlineStr">
        <is>
          <t>0304 0303</t>
        </is>
      </c>
      <c r="I371" s="2" t="n">
        <v>1</v>
      </c>
      <c r="J371" s="2" t="inlineStr">
        <is>
          <t>skb-eval-80103-c5130</t>
        </is>
      </c>
      <c r="K371" s="2" t="n">
        <v>1532</v>
      </c>
      <c r="L371" s="2" t="n">
        <v>771</v>
      </c>
      <c r="M371" s="2" t="n">
        <v>1443</v>
      </c>
      <c r="N371" s="2" t="b">
        <v>1</v>
      </c>
      <c r="O371" s="2" t="b">
        <v>1</v>
      </c>
      <c r="P371" s="2" t="inlineStr">
        <is>
          <t>c02b c02f c02c c030 cca9 cca8 c009 c013 c00a c014 1301 1302 1303</t>
        </is>
      </c>
      <c r="Q371" s="2" t="inlineStr">
        <is>
          <t>0304 0303</t>
        </is>
      </c>
      <c r="R371" s="2" t="inlineStr">
        <is>
          <t>allow</t>
        </is>
      </c>
      <c r="S371" s="2" t="inlineStr">
        <is>
          <t>allow</t>
        </is>
      </c>
      <c r="T371" s="2">
        <f>K371=E371</f>
        <v/>
      </c>
      <c r="U371" s="2">
        <f>L371=F371</f>
        <v/>
      </c>
      <c r="V371" s="2">
        <f>IF(N371,EXACT(P371,G371),"")</f>
        <v/>
      </c>
      <c r="W371" s="2">
        <f>IF(O371,EXACT(Q371,H371),"")</f>
        <v/>
      </c>
      <c r="X371" s="2">
        <f>J371=C371</f>
        <v/>
      </c>
      <c r="Y371" s="2">
        <f>IF(R371="unknown","",R371=S371)</f>
        <v/>
      </c>
      <c r="Z371" s="2" t="inlineStr">
        <is>
          <t>A</t>
        </is>
      </c>
      <c r="AA371" s="2" t="inlineStr">
        <is>
          <t>A</t>
        </is>
      </c>
      <c r="AB371" s="2">
        <f>AND(N371,O371,A371&lt;&gt;"census-mixed")</f>
        <v/>
      </c>
      <c r="AC371" s="2">
        <f>IF(AB371,Z371=AA371,"")</f>
        <v/>
      </c>
    </row>
    <row r="372">
      <c r="A372" s="2" t="inlineStr">
        <is>
          <t>census-mixed</t>
        </is>
      </c>
      <c r="B372" s="2" t="inlineStr">
        <is>
          <t>browser chrome116</t>
        </is>
      </c>
      <c r="C372" s="2" t="inlineStr">
        <is>
          <t>skb-eval-80103-c5131</t>
        </is>
      </c>
      <c r="D372" s="2" t="n">
        <v>5131</v>
      </c>
      <c r="E372" s="2" t="n">
        <v>512</v>
      </c>
      <c r="F372" s="2" t="n">
        <v>771</v>
      </c>
      <c r="G372" s="2" t="inlineStr">
        <is>
          <t>1a1a 1301 1302 1303 c02b c02f c02c c030 cca9 cca8 c013 c014 009c 009d 002f 0035</t>
        </is>
      </c>
      <c r="H372" s="2" t="inlineStr">
        <is>
          <t>aaaa 0304 0303</t>
        </is>
      </c>
      <c r="I372" s="2" t="n">
        <v>1</v>
      </c>
      <c r="J372" s="2" t="inlineStr">
        <is>
          <t>skb-eval-80103-c5131</t>
        </is>
      </c>
      <c r="K372" s="2" t="n">
        <v>512</v>
      </c>
      <c r="L372" s="2" t="n">
        <v>771</v>
      </c>
      <c r="M372" s="2" t="n">
        <v>512</v>
      </c>
      <c r="N372" s="2" t="b">
        <v>1</v>
      </c>
      <c r="O372" s="2" t="b">
        <v>1</v>
      </c>
      <c r="P372" s="2" t="inlineStr">
        <is>
          <t>1a1a 1301 1302 1303 c02b c02f c02c c030 cca9 cca8 c013 c014 009c 009d 002f 0035</t>
        </is>
      </c>
      <c r="Q372" s="2" t="inlineStr">
        <is>
          <t>aaaa 0304 0303</t>
        </is>
      </c>
      <c r="R372" s="2" t="inlineStr">
        <is>
          <t>allow</t>
        </is>
      </c>
      <c r="S372" s="2" t="inlineStr">
        <is>
          <t>allow</t>
        </is>
      </c>
      <c r="T372" s="2">
        <f>K372=E372</f>
        <v/>
      </c>
      <c r="U372" s="2">
        <f>L372=F372</f>
        <v/>
      </c>
      <c r="V372" s="2">
        <f>IF(N372,EXACT(P372,G372),"")</f>
        <v/>
      </c>
      <c r="W372" s="2">
        <f>IF(O372,EXACT(Q372,H372),"")</f>
        <v/>
      </c>
      <c r="X372" s="2">
        <f>J372=C372</f>
        <v/>
      </c>
      <c r="Y372" s="2">
        <f>IF(R372="unknown","",R372=S372)</f>
        <v/>
      </c>
      <c r="Z372" s="2" t="inlineStr">
        <is>
          <t>A</t>
        </is>
      </c>
      <c r="AA372" s="2" t="inlineStr">
        <is>
          <t>A</t>
        </is>
      </c>
      <c r="AB372" s="2">
        <f>AND(N372,O372,A372&lt;&gt;"census-mixed")</f>
        <v/>
      </c>
      <c r="AC372" s="2">
        <f>IF(AB372,Z372=AA372,"")</f>
        <v/>
      </c>
    </row>
    <row r="373">
      <c r="A373" s="2" t="inlineStr">
        <is>
          <t>census-mixed</t>
        </is>
      </c>
      <c r="B373" s="2" t="inlineStr">
        <is>
          <t>browser chrome116</t>
        </is>
      </c>
      <c r="C373" s="2" t="inlineStr">
        <is>
          <t>skb-eval-80103-c5132</t>
        </is>
      </c>
      <c r="D373" s="2" t="n">
        <v>5132</v>
      </c>
      <c r="E373" s="2" t="n">
        <v>512</v>
      </c>
      <c r="F373" s="2" t="n">
        <v>771</v>
      </c>
      <c r="G373" s="2" t="inlineStr">
        <is>
          <t>eaea 1301 1302 1303 c02b c02f c02c c030 cca9 cca8 c013 c014 009c 009d 002f 0035</t>
        </is>
      </c>
      <c r="H373" s="2" t="inlineStr">
        <is>
          <t>6a6a 0304 0303</t>
        </is>
      </c>
      <c r="I373" s="2" t="n">
        <v>1</v>
      </c>
      <c r="J373" s="2" t="inlineStr">
        <is>
          <t>skb-eval-80103-c5132</t>
        </is>
      </c>
      <c r="K373" s="2" t="n">
        <v>512</v>
      </c>
      <c r="L373" s="2" t="n">
        <v>771</v>
      </c>
      <c r="M373" s="2" t="n">
        <v>512</v>
      </c>
      <c r="N373" s="2" t="b">
        <v>1</v>
      </c>
      <c r="O373" s="2" t="b">
        <v>1</v>
      </c>
      <c r="P373" s="2" t="inlineStr">
        <is>
          <t>eaea 1301 1302 1303 c02b c02f c02c c030 cca9 cca8 c013 c014 009c 009d 002f 0035</t>
        </is>
      </c>
      <c r="Q373" s="2" t="inlineStr">
        <is>
          <t>6a6a 0304 0303</t>
        </is>
      </c>
      <c r="R373" s="2" t="inlineStr">
        <is>
          <t>allow</t>
        </is>
      </c>
      <c r="S373" s="2" t="inlineStr">
        <is>
          <t>allow</t>
        </is>
      </c>
      <c r="T373" s="2">
        <f>K373=E373</f>
        <v/>
      </c>
      <c r="U373" s="2">
        <f>L373=F373</f>
        <v/>
      </c>
      <c r="V373" s="2">
        <f>IF(N373,EXACT(P373,G373),"")</f>
        <v/>
      </c>
      <c r="W373" s="2">
        <f>IF(O373,EXACT(Q373,H373),"")</f>
        <v/>
      </c>
      <c r="X373" s="2">
        <f>J373=C373</f>
        <v/>
      </c>
      <c r="Y373" s="2">
        <f>IF(R373="unknown","",R373=S373)</f>
        <v/>
      </c>
      <c r="Z373" s="2" t="inlineStr">
        <is>
          <t>A</t>
        </is>
      </c>
      <c r="AA373" s="2" t="inlineStr">
        <is>
          <t>A</t>
        </is>
      </c>
      <c r="AB373" s="2">
        <f>AND(N373,O373,A373&lt;&gt;"census-mixed")</f>
        <v/>
      </c>
      <c r="AC373" s="2">
        <f>IF(AB373,Z373=AA373,"")</f>
        <v/>
      </c>
    </row>
    <row r="374">
      <c r="A374" s="2" t="inlineStr">
        <is>
          <t>census-mixed</t>
        </is>
      </c>
      <c r="B374" s="2" t="inlineStr">
        <is>
          <t>browser chrome116</t>
        </is>
      </c>
      <c r="C374" s="2" t="inlineStr">
        <is>
          <t>skb-eval-80103-c5133</t>
        </is>
      </c>
      <c r="D374" s="2" t="n">
        <v>5133</v>
      </c>
      <c r="E374" s="2" t="n">
        <v>512</v>
      </c>
      <c r="F374" s="2" t="n">
        <v>771</v>
      </c>
      <c r="G374" s="2" t="inlineStr">
        <is>
          <t>8a8a 1301 1302 1303 c02b c02f c02c c030 cca9 cca8 c013 c014 009c 009d 002f 0035</t>
        </is>
      </c>
      <c r="H374" s="2" t="inlineStr">
        <is>
          <t>dada 0304 0303</t>
        </is>
      </c>
      <c r="I374" s="2" t="n">
        <v>1</v>
      </c>
      <c r="J374" s="2" t="inlineStr">
        <is>
          <t>skb-eval-80103-c5133</t>
        </is>
      </c>
      <c r="K374" s="2" t="n">
        <v>512</v>
      </c>
      <c r="L374" s="2" t="n">
        <v>771</v>
      </c>
      <c r="M374" s="2" t="n">
        <v>512</v>
      </c>
      <c r="N374" s="2" t="b">
        <v>1</v>
      </c>
      <c r="O374" s="2" t="b">
        <v>1</v>
      </c>
      <c r="P374" s="2" t="inlineStr">
        <is>
          <t>8a8a 1301 1302 1303 c02b c02f c02c c030 cca9 cca8 c013 c014 009c 009d 002f 0035</t>
        </is>
      </c>
      <c r="Q374" s="2" t="inlineStr">
        <is>
          <t>dada 0304 0303</t>
        </is>
      </c>
      <c r="R374" s="2" t="inlineStr">
        <is>
          <t>allow</t>
        </is>
      </c>
      <c r="S374" s="2" t="inlineStr">
        <is>
          <t>allow</t>
        </is>
      </c>
      <c r="T374" s="2">
        <f>K374=E374</f>
        <v/>
      </c>
      <c r="U374" s="2">
        <f>L374=F374</f>
        <v/>
      </c>
      <c r="V374" s="2">
        <f>IF(N374,EXACT(P374,G374),"")</f>
        <v/>
      </c>
      <c r="W374" s="2">
        <f>IF(O374,EXACT(Q374,H374),"")</f>
        <v/>
      </c>
      <c r="X374" s="2">
        <f>J374=C374</f>
        <v/>
      </c>
      <c r="Y374" s="2">
        <f>IF(R374="unknown","",R374=S374)</f>
        <v/>
      </c>
      <c r="Z374" s="2" t="inlineStr">
        <is>
          <t>A</t>
        </is>
      </c>
      <c r="AA374" s="2" t="inlineStr">
        <is>
          <t>A</t>
        </is>
      </c>
      <c r="AB374" s="2">
        <f>AND(N374,O374,A374&lt;&gt;"census-mixed")</f>
        <v/>
      </c>
      <c r="AC374" s="2">
        <f>IF(AB374,Z374=AA374,"")</f>
        <v/>
      </c>
    </row>
    <row r="375">
      <c r="A375" s="2" t="inlineStr">
        <is>
          <t>census-mixed</t>
        </is>
      </c>
      <c r="B375" s="2" t="inlineStr">
        <is>
          <t>browser chrome116</t>
        </is>
      </c>
      <c r="C375" s="2" t="inlineStr">
        <is>
          <t>skb-eval-80103-c5134</t>
        </is>
      </c>
      <c r="D375" s="2" t="n">
        <v>5134</v>
      </c>
      <c r="E375" s="2" t="n">
        <v>512</v>
      </c>
      <c r="F375" s="2" t="n">
        <v>771</v>
      </c>
      <c r="G375" s="2" t="inlineStr">
        <is>
          <t>0a0a 1301 1302 1303 c02b c02f c02c c030 cca9 cca8 c013 c014 009c 009d 002f 0035</t>
        </is>
      </c>
      <c r="H375" s="2" t="inlineStr">
        <is>
          <t>fafa 0304 0303</t>
        </is>
      </c>
      <c r="I375" s="2" t="n">
        <v>1</v>
      </c>
      <c r="J375" s="2" t="inlineStr">
        <is>
          <t>skb-eval-80103-c5134</t>
        </is>
      </c>
      <c r="K375" s="2" t="n">
        <v>512</v>
      </c>
      <c r="L375" s="2" t="n">
        <v>771</v>
      </c>
      <c r="M375" s="2" t="n">
        <v>512</v>
      </c>
      <c r="N375" s="2" t="b">
        <v>1</v>
      </c>
      <c r="O375" s="2" t="b">
        <v>1</v>
      </c>
      <c r="P375" s="2" t="inlineStr">
        <is>
          <t>0a0a 1301 1302 1303 c02b c02f c02c c030 cca9 cca8 c013 c014 009c 009d 002f 0035</t>
        </is>
      </c>
      <c r="Q375" s="2" t="inlineStr">
        <is>
          <t>fafa 0304 0303</t>
        </is>
      </c>
      <c r="R375" s="2" t="inlineStr">
        <is>
          <t>allow</t>
        </is>
      </c>
      <c r="S375" s="2" t="inlineStr">
        <is>
          <t>allow</t>
        </is>
      </c>
      <c r="T375" s="2">
        <f>K375=E375</f>
        <v/>
      </c>
      <c r="U375" s="2">
        <f>L375=F375</f>
        <v/>
      </c>
      <c r="V375" s="2">
        <f>IF(N375,EXACT(P375,G375),"")</f>
        <v/>
      </c>
      <c r="W375" s="2">
        <f>IF(O375,EXACT(Q375,H375),"")</f>
        <v/>
      </c>
      <c r="X375" s="2">
        <f>J375=C375</f>
        <v/>
      </c>
      <c r="Y375" s="2">
        <f>IF(R375="unknown","",R375=S375)</f>
        <v/>
      </c>
      <c r="Z375" s="2" t="inlineStr">
        <is>
          <t>A</t>
        </is>
      </c>
      <c r="AA375" s="2" t="inlineStr">
        <is>
          <t>A</t>
        </is>
      </c>
      <c r="AB375" s="2">
        <f>AND(N375,O375,A375&lt;&gt;"census-mixed")</f>
        <v/>
      </c>
      <c r="AC375" s="2">
        <f>IF(AB375,Z375=AA375,"")</f>
        <v/>
      </c>
    </row>
    <row r="376">
      <c r="A376" s="2" t="inlineStr">
        <is>
          <t>census-mixed</t>
        </is>
      </c>
      <c r="B376" s="2" t="inlineStr">
        <is>
          <t>browser chrome116</t>
        </is>
      </c>
      <c r="C376" s="2" t="inlineStr">
        <is>
          <t>skb-eval-80103-c5135</t>
        </is>
      </c>
      <c r="D376" s="2" t="n">
        <v>5135</v>
      </c>
      <c r="E376" s="2" t="n">
        <v>512</v>
      </c>
      <c r="F376" s="2" t="n">
        <v>771</v>
      </c>
      <c r="G376" s="2" t="inlineStr">
        <is>
          <t>fafa 1301 1302 1303 c02b c02f c02c c030 cca9 cca8 c013 c014 009c 009d 002f 0035</t>
        </is>
      </c>
      <c r="H376" s="2" t="inlineStr">
        <is>
          <t>baba 0304 0303</t>
        </is>
      </c>
      <c r="I376" s="2" t="n">
        <v>1</v>
      </c>
      <c r="J376" s="2" t="inlineStr">
        <is>
          <t>skb-eval-80103-c5135</t>
        </is>
      </c>
      <c r="K376" s="2" t="n">
        <v>512</v>
      </c>
      <c r="L376" s="2" t="n">
        <v>771</v>
      </c>
      <c r="M376" s="2" t="n">
        <v>512</v>
      </c>
      <c r="N376" s="2" t="b">
        <v>1</v>
      </c>
      <c r="O376" s="2" t="b">
        <v>1</v>
      </c>
      <c r="P376" s="2" t="inlineStr">
        <is>
          <t>fafa 1301 1302 1303 c02b c02f c02c c030 cca9 cca8 c013 c014 009c 009d 002f 0035</t>
        </is>
      </c>
      <c r="Q376" s="2" t="inlineStr">
        <is>
          <t>baba 0304 0303</t>
        </is>
      </c>
      <c r="R376" s="2" t="inlineStr">
        <is>
          <t>allow</t>
        </is>
      </c>
      <c r="S376" s="2" t="inlineStr">
        <is>
          <t>allow</t>
        </is>
      </c>
      <c r="T376" s="2">
        <f>K376=E376</f>
        <v/>
      </c>
      <c r="U376" s="2">
        <f>L376=F376</f>
        <v/>
      </c>
      <c r="V376" s="2">
        <f>IF(N376,EXACT(P376,G376),"")</f>
        <v/>
      </c>
      <c r="W376" s="2">
        <f>IF(O376,EXACT(Q376,H376),"")</f>
        <v/>
      </c>
      <c r="X376" s="2">
        <f>J376=C376</f>
        <v/>
      </c>
      <c r="Y376" s="2">
        <f>IF(R376="unknown","",R376=S376)</f>
        <v/>
      </c>
      <c r="Z376" s="2" t="inlineStr">
        <is>
          <t>A</t>
        </is>
      </c>
      <c r="AA376" s="2" t="inlineStr">
        <is>
          <t>A</t>
        </is>
      </c>
      <c r="AB376" s="2">
        <f>AND(N376,O376,A376&lt;&gt;"census-mixed")</f>
        <v/>
      </c>
      <c r="AC376" s="2">
        <f>IF(AB376,Z376=AA376,"")</f>
        <v/>
      </c>
    </row>
    <row r="377">
      <c r="A377" s="2" t="inlineStr">
        <is>
          <t>census-mixed</t>
        </is>
      </c>
      <c r="B377" s="2" t="inlineStr">
        <is>
          <t>browser chrome116</t>
        </is>
      </c>
      <c r="C377" s="2" t="inlineStr">
        <is>
          <t>skb-eval-80103-c5136</t>
        </is>
      </c>
      <c r="D377" s="2" t="n">
        <v>5136</v>
      </c>
      <c r="E377" s="2" t="n">
        <v>512</v>
      </c>
      <c r="F377" s="2" t="n">
        <v>771</v>
      </c>
      <c r="G377" s="2" t="inlineStr">
        <is>
          <t>baba 1301 1302 1303 c02b c02f c02c c030 cca9 cca8 c013 c014 009c 009d 002f 0035</t>
        </is>
      </c>
      <c r="H377" s="2" t="inlineStr">
        <is>
          <t>0a0a 0304 0303</t>
        </is>
      </c>
      <c r="I377" s="2" t="n">
        <v>1</v>
      </c>
      <c r="J377" s="2" t="inlineStr">
        <is>
          <t>skb-eval-80103-c5136</t>
        </is>
      </c>
      <c r="K377" s="2" t="n">
        <v>512</v>
      </c>
      <c r="L377" s="2" t="n">
        <v>771</v>
      </c>
      <c r="M377" s="2" t="n">
        <v>512</v>
      </c>
      <c r="N377" s="2" t="b">
        <v>1</v>
      </c>
      <c r="O377" s="2" t="b">
        <v>1</v>
      </c>
      <c r="P377" s="2" t="inlineStr">
        <is>
          <t>baba 1301 1302 1303 c02b c02f c02c c030 cca9 cca8 c013 c014 009c 009d 002f 0035</t>
        </is>
      </c>
      <c r="Q377" s="2" t="inlineStr">
        <is>
          <t>0a0a 0304 0303</t>
        </is>
      </c>
      <c r="R377" s="2" t="inlineStr">
        <is>
          <t>allow</t>
        </is>
      </c>
      <c r="S377" s="2" t="inlineStr">
        <is>
          <t>allow</t>
        </is>
      </c>
      <c r="T377" s="2">
        <f>K377=E377</f>
        <v/>
      </c>
      <c r="U377" s="2">
        <f>L377=F377</f>
        <v/>
      </c>
      <c r="V377" s="2">
        <f>IF(N377,EXACT(P377,G377),"")</f>
        <v/>
      </c>
      <c r="W377" s="2">
        <f>IF(O377,EXACT(Q377,H377),"")</f>
        <v/>
      </c>
      <c r="X377" s="2">
        <f>J377=C377</f>
        <v/>
      </c>
      <c r="Y377" s="2">
        <f>IF(R377="unknown","",R377=S377)</f>
        <v/>
      </c>
      <c r="Z377" s="2" t="inlineStr">
        <is>
          <t>A</t>
        </is>
      </c>
      <c r="AA377" s="2" t="inlineStr">
        <is>
          <t>A</t>
        </is>
      </c>
      <c r="AB377" s="2">
        <f>AND(N377,O377,A377&lt;&gt;"census-mixed")</f>
        <v/>
      </c>
      <c r="AC377" s="2">
        <f>IF(AB377,Z377=AA377,"")</f>
        <v/>
      </c>
    </row>
    <row r="378">
      <c r="A378" s="2" t="inlineStr">
        <is>
          <t>census-mixed</t>
        </is>
      </c>
      <c r="B378" s="2" t="inlineStr">
        <is>
          <t>browser chrome116</t>
        </is>
      </c>
      <c r="C378" s="2" t="inlineStr">
        <is>
          <t>skb-eval-80103-c5137</t>
        </is>
      </c>
      <c r="D378" s="2" t="n">
        <v>5137</v>
      </c>
      <c r="E378" s="2" t="n">
        <v>512</v>
      </c>
      <c r="F378" s="2" t="n">
        <v>771</v>
      </c>
      <c r="G378" s="2" t="inlineStr">
        <is>
          <t>fafa 1301 1302 1303 c02b c02f c02c c030 cca9 cca8 c013 c014 009c 009d 002f 0035</t>
        </is>
      </c>
      <c r="H378" s="2" t="inlineStr">
        <is>
          <t>6a6a 0304 0303</t>
        </is>
      </c>
      <c r="I378" s="2" t="n">
        <v>1</v>
      </c>
      <c r="J378" s="2" t="inlineStr">
        <is>
          <t>skb-eval-80103-c5137</t>
        </is>
      </c>
      <c r="K378" s="2" t="n">
        <v>512</v>
      </c>
      <c r="L378" s="2" t="n">
        <v>771</v>
      </c>
      <c r="M378" s="2" t="n">
        <v>512</v>
      </c>
      <c r="N378" s="2" t="b">
        <v>1</v>
      </c>
      <c r="O378" s="2" t="b">
        <v>1</v>
      </c>
      <c r="P378" s="2" t="inlineStr">
        <is>
          <t>fafa 1301 1302 1303 c02b c02f c02c c030 cca9 cca8 c013 c014 009c 009d 002f 0035</t>
        </is>
      </c>
      <c r="Q378" s="2" t="inlineStr">
        <is>
          <t>6a6a 0304 0303</t>
        </is>
      </c>
      <c r="R378" s="2" t="inlineStr">
        <is>
          <t>allow</t>
        </is>
      </c>
      <c r="S378" s="2" t="inlineStr">
        <is>
          <t>allow</t>
        </is>
      </c>
      <c r="T378" s="2">
        <f>K378=E378</f>
        <v/>
      </c>
      <c r="U378" s="2">
        <f>L378=F378</f>
        <v/>
      </c>
      <c r="V378" s="2">
        <f>IF(N378,EXACT(P378,G378),"")</f>
        <v/>
      </c>
      <c r="W378" s="2">
        <f>IF(O378,EXACT(Q378,H378),"")</f>
        <v/>
      </c>
      <c r="X378" s="2">
        <f>J378=C378</f>
        <v/>
      </c>
      <c r="Y378" s="2">
        <f>IF(R378="unknown","",R378=S378)</f>
        <v/>
      </c>
      <c r="Z378" s="2" t="inlineStr">
        <is>
          <t>A</t>
        </is>
      </c>
      <c r="AA378" s="2" t="inlineStr">
        <is>
          <t>A</t>
        </is>
      </c>
      <c r="AB378" s="2">
        <f>AND(N378,O378,A378&lt;&gt;"census-mixed")</f>
        <v/>
      </c>
      <c r="AC378" s="2">
        <f>IF(AB378,Z378=AA378,"")</f>
        <v/>
      </c>
    </row>
    <row r="379">
      <c r="A379" s="2" t="inlineStr">
        <is>
          <t>census-mixed</t>
        </is>
      </c>
      <c r="B379" s="2" t="inlineStr">
        <is>
          <t>browser chrome116</t>
        </is>
      </c>
      <c r="C379" s="2" t="inlineStr">
        <is>
          <t>skb-eval-80103-c5138</t>
        </is>
      </c>
      <c r="D379" s="2" t="n">
        <v>5138</v>
      </c>
      <c r="E379" s="2" t="n">
        <v>512</v>
      </c>
      <c r="F379" s="2" t="n">
        <v>771</v>
      </c>
      <c r="G379" s="2" t="inlineStr">
        <is>
          <t>4a4a 1301 1302 1303 c02b c02f c02c c030 cca9 cca8 c013 c014 009c 009d 002f 0035</t>
        </is>
      </c>
      <c r="H379" s="2" t="inlineStr">
        <is>
          <t>1a1a 0304 0303</t>
        </is>
      </c>
      <c r="I379" s="2" t="n">
        <v>1</v>
      </c>
      <c r="J379" s="2" t="inlineStr">
        <is>
          <t>skb-eval-80103-c5138</t>
        </is>
      </c>
      <c r="K379" s="2" t="n">
        <v>512</v>
      </c>
      <c r="L379" s="2" t="n">
        <v>771</v>
      </c>
      <c r="M379" s="2" t="n">
        <v>512</v>
      </c>
      <c r="N379" s="2" t="b">
        <v>1</v>
      </c>
      <c r="O379" s="2" t="b">
        <v>1</v>
      </c>
      <c r="P379" s="2" t="inlineStr">
        <is>
          <t>4a4a 1301 1302 1303 c02b c02f c02c c030 cca9 cca8 c013 c014 009c 009d 002f 0035</t>
        </is>
      </c>
      <c r="Q379" s="2" t="inlineStr">
        <is>
          <t>1a1a 0304 0303</t>
        </is>
      </c>
      <c r="R379" s="2" t="inlineStr">
        <is>
          <t>allow</t>
        </is>
      </c>
      <c r="S379" s="2" t="inlineStr">
        <is>
          <t>allow</t>
        </is>
      </c>
      <c r="T379" s="2">
        <f>K379=E379</f>
        <v/>
      </c>
      <c r="U379" s="2">
        <f>L379=F379</f>
        <v/>
      </c>
      <c r="V379" s="2">
        <f>IF(N379,EXACT(P379,G379),"")</f>
        <v/>
      </c>
      <c r="W379" s="2">
        <f>IF(O379,EXACT(Q379,H379),"")</f>
        <v/>
      </c>
      <c r="X379" s="2">
        <f>J379=C379</f>
        <v/>
      </c>
      <c r="Y379" s="2">
        <f>IF(R379="unknown","",R379=S379)</f>
        <v/>
      </c>
      <c r="Z379" s="2" t="inlineStr">
        <is>
          <t>A</t>
        </is>
      </c>
      <c r="AA379" s="2" t="inlineStr">
        <is>
          <t>A</t>
        </is>
      </c>
      <c r="AB379" s="2">
        <f>AND(N379,O379,A379&lt;&gt;"census-mixed")</f>
        <v/>
      </c>
      <c r="AC379" s="2">
        <f>IF(AB379,Z379=AA379,"")</f>
        <v/>
      </c>
    </row>
    <row r="380">
      <c r="A380" s="2" t="inlineStr">
        <is>
          <t>census-mixed</t>
        </is>
      </c>
      <c r="B380" s="2" t="inlineStr">
        <is>
          <t>browser chrome116</t>
        </is>
      </c>
      <c r="C380" s="2" t="inlineStr">
        <is>
          <t>skb-eval-80103-c5139</t>
        </is>
      </c>
      <c r="D380" s="2" t="n">
        <v>5139</v>
      </c>
      <c r="E380" s="2" t="n">
        <v>512</v>
      </c>
      <c r="F380" s="2" t="n">
        <v>771</v>
      </c>
      <c r="G380" s="2" t="inlineStr">
        <is>
          <t>caca 1301 1302 1303 c02b c02f c02c c030 cca9 cca8 c013 c014 009c 009d 002f 0035</t>
        </is>
      </c>
      <c r="H380" s="2" t="inlineStr">
        <is>
          <t>9a9a 0304 0303</t>
        </is>
      </c>
      <c r="I380" s="2" t="n">
        <v>1</v>
      </c>
      <c r="J380" s="2" t="inlineStr">
        <is>
          <t>skb-eval-80103-c5139</t>
        </is>
      </c>
      <c r="K380" s="2" t="n">
        <v>512</v>
      </c>
      <c r="L380" s="2" t="n">
        <v>771</v>
      </c>
      <c r="M380" s="2" t="n">
        <v>512</v>
      </c>
      <c r="N380" s="2" t="b">
        <v>1</v>
      </c>
      <c r="O380" s="2" t="b">
        <v>1</v>
      </c>
      <c r="P380" s="2" t="inlineStr">
        <is>
          <t>caca 1301 1302 1303 c02b c02f c02c c030 cca9 cca8 c013 c014 009c 009d 002f 0035</t>
        </is>
      </c>
      <c r="Q380" s="2" t="inlineStr">
        <is>
          <t>9a9a 0304 0303</t>
        </is>
      </c>
      <c r="R380" s="2" t="inlineStr">
        <is>
          <t>allow</t>
        </is>
      </c>
      <c r="S380" s="2" t="inlineStr">
        <is>
          <t>allow</t>
        </is>
      </c>
      <c r="T380" s="2">
        <f>K380=E380</f>
        <v/>
      </c>
      <c r="U380" s="2">
        <f>L380=F380</f>
        <v/>
      </c>
      <c r="V380" s="2">
        <f>IF(N380,EXACT(P380,G380),"")</f>
        <v/>
      </c>
      <c r="W380" s="2">
        <f>IF(O380,EXACT(Q380,H380),"")</f>
        <v/>
      </c>
      <c r="X380" s="2">
        <f>J380=C380</f>
        <v/>
      </c>
      <c r="Y380" s="2">
        <f>IF(R380="unknown","",R380=S380)</f>
        <v/>
      </c>
      <c r="Z380" s="2" t="inlineStr">
        <is>
          <t>A</t>
        </is>
      </c>
      <c r="AA380" s="2" t="inlineStr">
        <is>
          <t>A</t>
        </is>
      </c>
      <c r="AB380" s="2">
        <f>AND(N380,O380,A380&lt;&gt;"census-mixed")</f>
        <v/>
      </c>
      <c r="AC380" s="2">
        <f>IF(AB380,Z380=AA380,"")</f>
        <v/>
      </c>
    </row>
    <row r="381">
      <c r="A381" s="2" t="inlineStr">
        <is>
          <t>census-mixed</t>
        </is>
      </c>
      <c r="B381" s="2" t="inlineStr">
        <is>
          <t>browser chrome116</t>
        </is>
      </c>
      <c r="C381" s="2" t="inlineStr">
        <is>
          <t>skb-eval-80103-c5140</t>
        </is>
      </c>
      <c r="D381" s="2" t="n">
        <v>5140</v>
      </c>
      <c r="E381" s="2" t="n">
        <v>512</v>
      </c>
      <c r="F381" s="2" t="n">
        <v>771</v>
      </c>
      <c r="G381" s="2" t="inlineStr">
        <is>
          <t>aaaa 1301 1302 1303 c02b c02f c02c c030 cca9 cca8 c013 c014 009c 009d 002f 0035</t>
        </is>
      </c>
      <c r="H381" s="2" t="inlineStr">
        <is>
          <t>fafa 0304 0303</t>
        </is>
      </c>
      <c r="I381" s="2" t="n">
        <v>1</v>
      </c>
      <c r="J381" s="2" t="inlineStr">
        <is>
          <t>skb-eval-80103-c5140</t>
        </is>
      </c>
      <c r="K381" s="2" t="n">
        <v>512</v>
      </c>
      <c r="L381" s="2" t="n">
        <v>771</v>
      </c>
      <c r="M381" s="2" t="n">
        <v>512</v>
      </c>
      <c r="N381" s="2" t="b">
        <v>1</v>
      </c>
      <c r="O381" s="2" t="b">
        <v>1</v>
      </c>
      <c r="P381" s="2" t="inlineStr">
        <is>
          <t>aaaa 1301 1302 1303 c02b c02f c02c c030 cca9 cca8 c013 c014 009c 009d 002f 0035</t>
        </is>
      </c>
      <c r="Q381" s="2" t="inlineStr">
        <is>
          <t>fafa 0304 0303</t>
        </is>
      </c>
      <c r="R381" s="2" t="inlineStr">
        <is>
          <t>allow</t>
        </is>
      </c>
      <c r="S381" s="2" t="inlineStr">
        <is>
          <t>allow</t>
        </is>
      </c>
      <c r="T381" s="2">
        <f>K381=E381</f>
        <v/>
      </c>
      <c r="U381" s="2">
        <f>L381=F381</f>
        <v/>
      </c>
      <c r="V381" s="2">
        <f>IF(N381,EXACT(P381,G381),"")</f>
        <v/>
      </c>
      <c r="W381" s="2">
        <f>IF(O381,EXACT(Q381,H381),"")</f>
        <v/>
      </c>
      <c r="X381" s="2">
        <f>J381=C381</f>
        <v/>
      </c>
      <c r="Y381" s="2">
        <f>IF(R381="unknown","",R381=S381)</f>
        <v/>
      </c>
      <c r="Z381" s="2" t="inlineStr">
        <is>
          <t>A</t>
        </is>
      </c>
      <c r="AA381" s="2" t="inlineStr">
        <is>
          <t>A</t>
        </is>
      </c>
      <c r="AB381" s="2">
        <f>AND(N381,O381,A381&lt;&gt;"census-mixed")</f>
        <v/>
      </c>
      <c r="AC381" s="2">
        <f>IF(AB381,Z381=AA381,"")</f>
        <v/>
      </c>
    </row>
    <row r="382">
      <c r="A382" s="2" t="inlineStr">
        <is>
          <t>census-mixed</t>
        </is>
      </c>
      <c r="B382" s="2" t="inlineStr">
        <is>
          <t>browser chrome124</t>
        </is>
      </c>
      <c r="C382" s="2" t="inlineStr">
        <is>
          <t>skb-eval-80103-c5141</t>
        </is>
      </c>
      <c r="D382" s="2" t="n">
        <v>5141</v>
      </c>
      <c r="E382" s="2" t="n">
        <v>1752</v>
      </c>
      <c r="F382" s="2" t="n">
        <v>771</v>
      </c>
      <c r="G382" s="2" t="inlineStr">
        <is>
          <t>caca 1301 1302 1303 c02b c02f c02c c030 cca9 cca8 c013 c014 009c 009d 002f 0035</t>
        </is>
      </c>
      <c r="H382" s="2" t="inlineStr">
        <is>
          <t>4a4a 0304 0303</t>
        </is>
      </c>
      <c r="I382" s="2" t="n">
        <v>1</v>
      </c>
      <c r="J382" s="2" t="inlineStr">
        <is>
          <t>skb-eval-80103-c5141</t>
        </is>
      </c>
      <c r="K382" s="2" t="n">
        <v>1752</v>
      </c>
      <c r="L382" s="2" t="n">
        <v>771</v>
      </c>
      <c r="M382" s="2" t="n">
        <v>1443</v>
      </c>
      <c r="N382" s="2" t="b">
        <v>1</v>
      </c>
      <c r="O382" s="2" t="b">
        <v>0</v>
      </c>
      <c r="P382" s="2" t="inlineStr">
        <is>
          <t>caca 1301 1302 1303 c02b c02f c02c c030 cca9 cca8 c013 c014 009c 009d 002f 0035</t>
        </is>
      </c>
      <c r="Q382" s="2" t="inlineStr"/>
      <c r="R382" s="2" t="inlineStr">
        <is>
          <t>unknown</t>
        </is>
      </c>
      <c r="S382" s="2" t="inlineStr">
        <is>
          <t>allow</t>
        </is>
      </c>
      <c r="T382" s="2">
        <f>K382=E382</f>
        <v/>
      </c>
      <c r="U382" s="2">
        <f>L382=F382</f>
        <v/>
      </c>
      <c r="V382" s="2">
        <f>IF(N382,EXACT(P382,G382),"")</f>
        <v/>
      </c>
      <c r="W382" s="2">
        <f>IF(O382,EXACT(Q382,H382),"")</f>
        <v/>
      </c>
      <c r="X382" s="2">
        <f>J382=C382</f>
        <v/>
      </c>
      <c r="Y382" s="2">
        <f>IF(R382="unknown","",R382=S382)</f>
        <v/>
      </c>
      <c r="Z382" s="2" t="inlineStr">
        <is>
          <t>A</t>
        </is>
      </c>
      <c r="AA382" s="2" t="inlineStr">
        <is>
          <t>A</t>
        </is>
      </c>
      <c r="AB382" s="2">
        <f>AND(N382,O382,A382&lt;&gt;"census-mixed")</f>
        <v/>
      </c>
      <c r="AC382" s="2">
        <f>IF(AB382,Z382=AA382,"")</f>
        <v/>
      </c>
    </row>
    <row r="383">
      <c r="A383" s="2" t="inlineStr">
        <is>
          <t>census-mixed</t>
        </is>
      </c>
      <c r="B383" s="2" t="inlineStr">
        <is>
          <t>browser chrome124</t>
        </is>
      </c>
      <c r="C383" s="2" t="inlineStr">
        <is>
          <t>skb-eval-80103-c5142</t>
        </is>
      </c>
      <c r="D383" s="2" t="n">
        <v>5142</v>
      </c>
      <c r="E383" s="2" t="n">
        <v>1784</v>
      </c>
      <c r="F383" s="2" t="n">
        <v>771</v>
      </c>
      <c r="G383" s="2" t="inlineStr">
        <is>
          <t>2a2a 1301 1302 1303 c02b c02f c02c c030 cca9 cca8 c013 c014 009c 009d 002f 0035</t>
        </is>
      </c>
      <c r="H383" s="2" t="inlineStr">
        <is>
          <t>baba 0304 0303</t>
        </is>
      </c>
      <c r="I383" s="2" t="n">
        <v>1</v>
      </c>
      <c r="J383" s="2" t="inlineStr">
        <is>
          <t>skb-eval-80103-c5142</t>
        </is>
      </c>
      <c r="K383" s="2" t="n">
        <v>1784</v>
      </c>
      <c r="L383" s="2" t="n">
        <v>771</v>
      </c>
      <c r="M383" s="2" t="n">
        <v>1443</v>
      </c>
      <c r="N383" s="2" t="b">
        <v>1</v>
      </c>
      <c r="O383" s="2" t="b">
        <v>1</v>
      </c>
      <c r="P383" s="2" t="inlineStr">
        <is>
          <t>2a2a 1301 1302 1303 c02b c02f c02c c030 cca9 cca8 c013 c014 009c 009d 002f 0035</t>
        </is>
      </c>
      <c r="Q383" s="2" t="inlineStr">
        <is>
          <t>baba 0304 0303</t>
        </is>
      </c>
      <c r="R383" s="2" t="inlineStr">
        <is>
          <t>allow</t>
        </is>
      </c>
      <c r="S383" s="2" t="inlineStr">
        <is>
          <t>allow</t>
        </is>
      </c>
      <c r="T383" s="2">
        <f>K383=E383</f>
        <v/>
      </c>
      <c r="U383" s="2">
        <f>L383=F383</f>
        <v/>
      </c>
      <c r="V383" s="2">
        <f>IF(N383,EXACT(P383,G383),"")</f>
        <v/>
      </c>
      <c r="W383" s="2">
        <f>IF(O383,EXACT(Q383,H383),"")</f>
        <v/>
      </c>
      <c r="X383" s="2">
        <f>J383=C383</f>
        <v/>
      </c>
      <c r="Y383" s="2">
        <f>IF(R383="unknown","",R383=S383)</f>
        <v/>
      </c>
      <c r="Z383" s="2" t="inlineStr">
        <is>
          <t>A</t>
        </is>
      </c>
      <c r="AA383" s="2" t="inlineStr">
        <is>
          <t>A</t>
        </is>
      </c>
      <c r="AB383" s="2">
        <f>AND(N383,O383,A383&lt;&gt;"census-mixed")</f>
        <v/>
      </c>
      <c r="AC383" s="2">
        <f>IF(AB383,Z383=AA383,"")</f>
        <v/>
      </c>
    </row>
    <row r="384">
      <c r="A384" s="2" t="inlineStr">
        <is>
          <t>census-mixed</t>
        </is>
      </c>
      <c r="B384" s="2" t="inlineStr">
        <is>
          <t>browser chrome124</t>
        </is>
      </c>
      <c r="C384" s="2" t="inlineStr">
        <is>
          <t>skb-eval-80103-c5143</t>
        </is>
      </c>
      <c r="D384" s="2" t="n">
        <v>5143</v>
      </c>
      <c r="E384" s="2" t="n">
        <v>1784</v>
      </c>
      <c r="F384" s="2" t="n">
        <v>771</v>
      </c>
      <c r="G384" s="2" t="inlineStr">
        <is>
          <t>3a3a 1301 1302 1303 c02b c02f c02c c030 cca9 cca8 c013 c014 009c 009d 002f 0035</t>
        </is>
      </c>
      <c r="H384" s="2" t="inlineStr">
        <is>
          <t>caca 0304 0303</t>
        </is>
      </c>
      <c r="I384" s="2" t="n">
        <v>1</v>
      </c>
      <c r="J384" s="2" t="inlineStr">
        <is>
          <t>skb-eval-80103-c5143</t>
        </is>
      </c>
      <c r="K384" s="2" t="n">
        <v>1784</v>
      </c>
      <c r="L384" s="2" t="n">
        <v>771</v>
      </c>
      <c r="M384" s="2" t="n">
        <v>1443</v>
      </c>
      <c r="N384" s="2" t="b">
        <v>1</v>
      </c>
      <c r="O384" s="2" t="b">
        <v>0</v>
      </c>
      <c r="P384" s="2" t="inlineStr">
        <is>
          <t>3a3a 1301 1302 1303 c02b c02f c02c c030 cca9 cca8 c013 c014 009c 009d 002f 0035</t>
        </is>
      </c>
      <c r="Q384" s="2" t="inlineStr"/>
      <c r="R384" s="2" t="inlineStr">
        <is>
          <t>unknown</t>
        </is>
      </c>
      <c r="S384" s="2" t="inlineStr">
        <is>
          <t>allow</t>
        </is>
      </c>
      <c r="T384" s="2">
        <f>K384=E384</f>
        <v/>
      </c>
      <c r="U384" s="2">
        <f>L384=F384</f>
        <v/>
      </c>
      <c r="V384" s="2">
        <f>IF(N384,EXACT(P384,G384),"")</f>
        <v/>
      </c>
      <c r="W384" s="2">
        <f>IF(O384,EXACT(Q384,H384),"")</f>
        <v/>
      </c>
      <c r="X384" s="2">
        <f>J384=C384</f>
        <v/>
      </c>
      <c r="Y384" s="2">
        <f>IF(R384="unknown","",R384=S384)</f>
        <v/>
      </c>
      <c r="Z384" s="2" t="inlineStr">
        <is>
          <t>A</t>
        </is>
      </c>
      <c r="AA384" s="2" t="inlineStr">
        <is>
          <t>A</t>
        </is>
      </c>
      <c r="AB384" s="2">
        <f>AND(N384,O384,A384&lt;&gt;"census-mixed")</f>
        <v/>
      </c>
      <c r="AC384" s="2">
        <f>IF(AB384,Z384=AA384,"")</f>
        <v/>
      </c>
    </row>
    <row r="385">
      <c r="A385" s="2" t="inlineStr">
        <is>
          <t>census-mixed</t>
        </is>
      </c>
      <c r="B385" s="2" t="inlineStr">
        <is>
          <t>browser chrome124</t>
        </is>
      </c>
      <c r="C385" s="2" t="inlineStr">
        <is>
          <t>skb-eval-80103-c5144</t>
        </is>
      </c>
      <c r="D385" s="2" t="n">
        <v>5144</v>
      </c>
      <c r="E385" s="2" t="n">
        <v>1816</v>
      </c>
      <c r="F385" s="2" t="n">
        <v>771</v>
      </c>
      <c r="G385" s="2" t="inlineStr">
        <is>
          <t>aaaa 1301 1302 1303 c02b c02f c02c c030 cca9 cca8 c013 c014 009c 009d 002f 0035</t>
        </is>
      </c>
      <c r="H385" s="2" t="inlineStr">
        <is>
          <t>4a4a 0304 0303</t>
        </is>
      </c>
      <c r="I385" s="2" t="n">
        <v>1</v>
      </c>
      <c r="J385" s="2" t="inlineStr">
        <is>
          <t>skb-eval-80103-c5144</t>
        </is>
      </c>
      <c r="K385" s="2" t="n">
        <v>1816</v>
      </c>
      <c r="L385" s="2" t="n">
        <v>771</v>
      </c>
      <c r="M385" s="2" t="n">
        <v>1443</v>
      </c>
      <c r="N385" s="2" t="b">
        <v>1</v>
      </c>
      <c r="O385" s="2" t="b">
        <v>1</v>
      </c>
      <c r="P385" s="2" t="inlineStr">
        <is>
          <t>aaaa 1301 1302 1303 c02b c02f c02c c030 cca9 cca8 c013 c014 009c 009d 002f 0035</t>
        </is>
      </c>
      <c r="Q385" s="2" t="inlineStr">
        <is>
          <t>4a4a 0304 0303</t>
        </is>
      </c>
      <c r="R385" s="2" t="inlineStr">
        <is>
          <t>allow</t>
        </is>
      </c>
      <c r="S385" s="2" t="inlineStr">
        <is>
          <t>allow</t>
        </is>
      </c>
      <c r="T385" s="2">
        <f>K385=E385</f>
        <v/>
      </c>
      <c r="U385" s="2">
        <f>L385=F385</f>
        <v/>
      </c>
      <c r="V385" s="2">
        <f>IF(N385,EXACT(P385,G385),"")</f>
        <v/>
      </c>
      <c r="W385" s="2">
        <f>IF(O385,EXACT(Q385,H385),"")</f>
        <v/>
      </c>
      <c r="X385" s="2">
        <f>J385=C385</f>
        <v/>
      </c>
      <c r="Y385" s="2">
        <f>IF(R385="unknown","",R385=S385)</f>
        <v/>
      </c>
      <c r="Z385" s="2" t="inlineStr">
        <is>
          <t>A</t>
        </is>
      </c>
      <c r="AA385" s="2" t="inlineStr">
        <is>
          <t>A</t>
        </is>
      </c>
      <c r="AB385" s="2">
        <f>AND(N385,O385,A385&lt;&gt;"census-mixed")</f>
        <v/>
      </c>
      <c r="AC385" s="2">
        <f>IF(AB385,Z385=AA385,"")</f>
        <v/>
      </c>
    </row>
    <row r="386">
      <c r="A386" s="2" t="inlineStr">
        <is>
          <t>census-mixed</t>
        </is>
      </c>
      <c r="B386" s="2" t="inlineStr">
        <is>
          <t>browser chrome124</t>
        </is>
      </c>
      <c r="C386" s="2" t="inlineStr">
        <is>
          <t>skb-eval-80103-c5145</t>
        </is>
      </c>
      <c r="D386" s="2" t="n">
        <v>5145</v>
      </c>
      <c r="E386" s="2" t="n">
        <v>1784</v>
      </c>
      <c r="F386" s="2" t="n">
        <v>771</v>
      </c>
      <c r="G386" s="2" t="inlineStr">
        <is>
          <t>caca 1301 1302 1303 c02b c02f c02c c030 cca9 cca8 c013 c014 009c 009d 002f 0035</t>
        </is>
      </c>
      <c r="H386" s="2" t="inlineStr">
        <is>
          <t>7a7a 0304 0303</t>
        </is>
      </c>
      <c r="I386" s="2" t="n">
        <v>1</v>
      </c>
      <c r="J386" s="2" t="inlineStr">
        <is>
          <t>skb-eval-80103-c5145</t>
        </is>
      </c>
      <c r="K386" s="2" t="n">
        <v>1784</v>
      </c>
      <c r="L386" s="2" t="n">
        <v>771</v>
      </c>
      <c r="M386" s="2" t="n">
        <v>1443</v>
      </c>
      <c r="N386" s="2" t="b">
        <v>1</v>
      </c>
      <c r="O386" s="2" t="b">
        <v>0</v>
      </c>
      <c r="P386" s="2" t="inlineStr">
        <is>
          <t>caca 1301 1302 1303 c02b c02f c02c c030 cca9 cca8 c013 c014 009c 009d 002f 0035</t>
        </is>
      </c>
      <c r="Q386" s="2" t="inlineStr"/>
      <c r="R386" s="2" t="inlineStr">
        <is>
          <t>unknown</t>
        </is>
      </c>
      <c r="S386" s="2" t="inlineStr">
        <is>
          <t>allow</t>
        </is>
      </c>
      <c r="T386" s="2">
        <f>K386=E386</f>
        <v/>
      </c>
      <c r="U386" s="2">
        <f>L386=F386</f>
        <v/>
      </c>
      <c r="V386" s="2">
        <f>IF(N386,EXACT(P386,G386),"")</f>
        <v/>
      </c>
      <c r="W386" s="2">
        <f>IF(O386,EXACT(Q386,H386),"")</f>
        <v/>
      </c>
      <c r="X386" s="2">
        <f>J386=C386</f>
        <v/>
      </c>
      <c r="Y386" s="2">
        <f>IF(R386="unknown","",R386=S386)</f>
        <v/>
      </c>
      <c r="Z386" s="2" t="inlineStr">
        <is>
          <t>A</t>
        </is>
      </c>
      <c r="AA386" s="2" t="inlineStr">
        <is>
          <t>A</t>
        </is>
      </c>
      <c r="AB386" s="2">
        <f>AND(N386,O386,A386&lt;&gt;"census-mixed")</f>
        <v/>
      </c>
      <c r="AC386" s="2">
        <f>IF(AB386,Z386=AA386,"")</f>
        <v/>
      </c>
    </row>
    <row r="387">
      <c r="A387" s="2" t="inlineStr">
        <is>
          <t>census-mixed</t>
        </is>
      </c>
      <c r="B387" s="2" t="inlineStr">
        <is>
          <t>browser chrome124</t>
        </is>
      </c>
      <c r="C387" s="2" t="inlineStr">
        <is>
          <t>skb-eval-80103-c5146</t>
        </is>
      </c>
      <c r="D387" s="2" t="n">
        <v>5146</v>
      </c>
      <c r="E387" s="2" t="n">
        <v>1816</v>
      </c>
      <c r="F387" s="2" t="n">
        <v>771</v>
      </c>
      <c r="G387" s="2" t="inlineStr">
        <is>
          <t>2a2a 1301 1302 1303 c02b c02f c02c c030 cca9 cca8 c013 c014 009c 009d 002f 0035</t>
        </is>
      </c>
      <c r="H387" s="2" t="inlineStr">
        <is>
          <t>7a7a 0304 0303</t>
        </is>
      </c>
      <c r="I387" s="2" t="n">
        <v>1</v>
      </c>
      <c r="J387" s="2" t="inlineStr">
        <is>
          <t>skb-eval-80103-c5146</t>
        </is>
      </c>
      <c r="K387" s="2" t="n">
        <v>1816</v>
      </c>
      <c r="L387" s="2" t="n">
        <v>771</v>
      </c>
      <c r="M387" s="2" t="n">
        <v>1443</v>
      </c>
      <c r="N387" s="2" t="b">
        <v>1</v>
      </c>
      <c r="O387" s="2" t="b">
        <v>1</v>
      </c>
      <c r="P387" s="2" t="inlineStr">
        <is>
          <t>2a2a 1301 1302 1303 c02b c02f c02c c030 cca9 cca8 c013 c014 009c 009d 002f 0035</t>
        </is>
      </c>
      <c r="Q387" s="2" t="inlineStr">
        <is>
          <t>7a7a 0304 0303</t>
        </is>
      </c>
      <c r="R387" s="2" t="inlineStr">
        <is>
          <t>allow</t>
        </is>
      </c>
      <c r="S387" s="2" t="inlineStr">
        <is>
          <t>allow</t>
        </is>
      </c>
      <c r="T387" s="2">
        <f>K387=E387</f>
        <v/>
      </c>
      <c r="U387" s="2">
        <f>L387=F387</f>
        <v/>
      </c>
      <c r="V387" s="2">
        <f>IF(N387,EXACT(P387,G387),"")</f>
        <v/>
      </c>
      <c r="W387" s="2">
        <f>IF(O387,EXACT(Q387,H387),"")</f>
        <v/>
      </c>
      <c r="X387" s="2">
        <f>J387=C387</f>
        <v/>
      </c>
      <c r="Y387" s="2">
        <f>IF(R387="unknown","",R387=S387)</f>
        <v/>
      </c>
      <c r="Z387" s="2" t="inlineStr">
        <is>
          <t>A</t>
        </is>
      </c>
      <c r="AA387" s="2" t="inlineStr">
        <is>
          <t>A</t>
        </is>
      </c>
      <c r="AB387" s="2">
        <f>AND(N387,O387,A387&lt;&gt;"census-mixed")</f>
        <v/>
      </c>
      <c r="AC387" s="2">
        <f>IF(AB387,Z387=AA387,"")</f>
        <v/>
      </c>
    </row>
    <row r="388">
      <c r="A388" s="2" t="inlineStr">
        <is>
          <t>census-mixed</t>
        </is>
      </c>
      <c r="B388" s="2" t="inlineStr">
        <is>
          <t>browser chrome124</t>
        </is>
      </c>
      <c r="C388" s="2" t="inlineStr">
        <is>
          <t>skb-eval-80103-c5147</t>
        </is>
      </c>
      <c r="D388" s="2" t="n">
        <v>5147</v>
      </c>
      <c r="E388" s="2" t="n">
        <v>1784</v>
      </c>
      <c r="F388" s="2" t="n">
        <v>771</v>
      </c>
      <c r="G388" s="2" t="inlineStr">
        <is>
          <t>8a8a 1301 1302 1303 c02b c02f c02c c030 cca9 cca8 c013 c014 009c 009d 002f 0035</t>
        </is>
      </c>
      <c r="H388" s="2" t="inlineStr">
        <is>
          <t>dada 0304 0303</t>
        </is>
      </c>
      <c r="I388" s="2" t="n">
        <v>1</v>
      </c>
      <c r="J388" s="2" t="inlineStr">
        <is>
          <t>skb-eval-80103-c5147</t>
        </is>
      </c>
      <c r="K388" s="2" t="n">
        <v>1784</v>
      </c>
      <c r="L388" s="2" t="n">
        <v>771</v>
      </c>
      <c r="M388" s="2" t="n">
        <v>1443</v>
      </c>
      <c r="N388" s="2" t="b">
        <v>1</v>
      </c>
      <c r="O388" s="2" t="b">
        <v>1</v>
      </c>
      <c r="P388" s="2" t="inlineStr">
        <is>
          <t>8a8a 1301 1302 1303 c02b c02f c02c c030 cca9 cca8 c013 c014 009c 009d 002f 0035</t>
        </is>
      </c>
      <c r="Q388" s="2" t="inlineStr">
        <is>
          <t>dada 0304 0303</t>
        </is>
      </c>
      <c r="R388" s="2" t="inlineStr">
        <is>
          <t>allow</t>
        </is>
      </c>
      <c r="S388" s="2" t="inlineStr">
        <is>
          <t>allow</t>
        </is>
      </c>
      <c r="T388" s="2">
        <f>K388=E388</f>
        <v/>
      </c>
      <c r="U388" s="2">
        <f>L388=F388</f>
        <v/>
      </c>
      <c r="V388" s="2">
        <f>IF(N388,EXACT(P388,G388),"")</f>
        <v/>
      </c>
      <c r="W388" s="2">
        <f>IF(O388,EXACT(Q388,H388),"")</f>
        <v/>
      </c>
      <c r="X388" s="2">
        <f>J388=C388</f>
        <v/>
      </c>
      <c r="Y388" s="2">
        <f>IF(R388="unknown","",R388=S388)</f>
        <v/>
      </c>
      <c r="Z388" s="2" t="inlineStr">
        <is>
          <t>A</t>
        </is>
      </c>
      <c r="AA388" s="2" t="inlineStr">
        <is>
          <t>A</t>
        </is>
      </c>
      <c r="AB388" s="2">
        <f>AND(N388,O388,A388&lt;&gt;"census-mixed")</f>
        <v/>
      </c>
      <c r="AC388" s="2">
        <f>IF(AB388,Z388=AA388,"")</f>
        <v/>
      </c>
    </row>
    <row r="389">
      <c r="A389" s="2" t="inlineStr">
        <is>
          <t>census-mixed</t>
        </is>
      </c>
      <c r="B389" s="2" t="inlineStr">
        <is>
          <t>browser chrome124</t>
        </is>
      </c>
      <c r="C389" s="2" t="inlineStr">
        <is>
          <t>skb-eval-80103-c5148</t>
        </is>
      </c>
      <c r="D389" s="2" t="n">
        <v>5148</v>
      </c>
      <c r="E389" s="2" t="n">
        <v>1816</v>
      </c>
      <c r="F389" s="2" t="n">
        <v>771</v>
      </c>
      <c r="G389" s="2" t="inlineStr">
        <is>
          <t>dada 1301 1302 1303 c02b c02f c02c c030 cca9 cca8 c013 c014 009c 009d 002f 0035</t>
        </is>
      </c>
      <c r="H389" s="2" t="inlineStr">
        <is>
          <t>3a3a 0304 0303</t>
        </is>
      </c>
      <c r="I389" s="2" t="n">
        <v>1</v>
      </c>
      <c r="J389" s="2" t="inlineStr">
        <is>
          <t>skb-eval-80103-c5148</t>
        </is>
      </c>
      <c r="K389" s="2" t="n">
        <v>1816</v>
      </c>
      <c r="L389" s="2" t="n">
        <v>771</v>
      </c>
      <c r="M389" s="2" t="n">
        <v>1443</v>
      </c>
      <c r="N389" s="2" t="b">
        <v>1</v>
      </c>
      <c r="O389" s="2" t="b">
        <v>1</v>
      </c>
      <c r="P389" s="2" t="inlineStr">
        <is>
          <t>dada 1301 1302 1303 c02b c02f c02c c030 cca9 cca8 c013 c014 009c 009d 002f 0035</t>
        </is>
      </c>
      <c r="Q389" s="2" t="inlineStr">
        <is>
          <t>3a3a 0304 0303</t>
        </is>
      </c>
      <c r="R389" s="2" t="inlineStr">
        <is>
          <t>allow</t>
        </is>
      </c>
      <c r="S389" s="2" t="inlineStr">
        <is>
          <t>allow</t>
        </is>
      </c>
      <c r="T389" s="2">
        <f>K389=E389</f>
        <v/>
      </c>
      <c r="U389" s="2">
        <f>L389=F389</f>
        <v/>
      </c>
      <c r="V389" s="2">
        <f>IF(N389,EXACT(P389,G389),"")</f>
        <v/>
      </c>
      <c r="W389" s="2">
        <f>IF(O389,EXACT(Q389,H389),"")</f>
        <v/>
      </c>
      <c r="X389" s="2">
        <f>J389=C389</f>
        <v/>
      </c>
      <c r="Y389" s="2">
        <f>IF(R389="unknown","",R389=S389)</f>
        <v/>
      </c>
      <c r="Z389" s="2" t="inlineStr">
        <is>
          <t>A</t>
        </is>
      </c>
      <c r="AA389" s="2" t="inlineStr">
        <is>
          <t>A</t>
        </is>
      </c>
      <c r="AB389" s="2">
        <f>AND(N389,O389,A389&lt;&gt;"census-mixed")</f>
        <v/>
      </c>
      <c r="AC389" s="2">
        <f>IF(AB389,Z389=AA389,"")</f>
        <v/>
      </c>
    </row>
    <row r="390">
      <c r="A390" s="2" t="inlineStr">
        <is>
          <t>census-mixed</t>
        </is>
      </c>
      <c r="B390" s="2" t="inlineStr">
        <is>
          <t>browser chrome124</t>
        </is>
      </c>
      <c r="C390" s="2" t="inlineStr">
        <is>
          <t>skb-eval-80103-c5149</t>
        </is>
      </c>
      <c r="D390" s="2" t="n">
        <v>5149</v>
      </c>
      <c r="E390" s="2" t="n">
        <v>1816</v>
      </c>
      <c r="F390" s="2" t="n">
        <v>771</v>
      </c>
      <c r="G390" s="2" t="inlineStr">
        <is>
          <t>6a6a 1301 1302 1303 c02b c02f c02c c030 cca9 cca8 c013 c014 009c 009d 002f 0035</t>
        </is>
      </c>
      <c r="H390" s="2" t="inlineStr">
        <is>
          <t>3a3a 0304 0303</t>
        </is>
      </c>
      <c r="I390" s="2" t="n">
        <v>1</v>
      </c>
      <c r="J390" s="2" t="inlineStr">
        <is>
          <t>skb-eval-80103-c5149</t>
        </is>
      </c>
      <c r="K390" s="2" t="n">
        <v>1816</v>
      </c>
      <c r="L390" s="2" t="n">
        <v>771</v>
      </c>
      <c r="M390" s="2" t="n">
        <v>1443</v>
      </c>
      <c r="N390" s="2" t="b">
        <v>1</v>
      </c>
      <c r="O390" s="2" t="b">
        <v>1</v>
      </c>
      <c r="P390" s="2" t="inlineStr">
        <is>
          <t>6a6a 1301 1302 1303 c02b c02f c02c c030 cca9 cca8 c013 c014 009c 009d 002f 0035</t>
        </is>
      </c>
      <c r="Q390" s="2" t="inlineStr">
        <is>
          <t>3a3a 0304 0303</t>
        </is>
      </c>
      <c r="R390" s="2" t="inlineStr">
        <is>
          <t>allow</t>
        </is>
      </c>
      <c r="S390" s="2" t="inlineStr">
        <is>
          <t>allow</t>
        </is>
      </c>
      <c r="T390" s="2">
        <f>K390=E390</f>
        <v/>
      </c>
      <c r="U390" s="2">
        <f>L390=F390</f>
        <v/>
      </c>
      <c r="V390" s="2">
        <f>IF(N390,EXACT(P390,G390),"")</f>
        <v/>
      </c>
      <c r="W390" s="2">
        <f>IF(O390,EXACT(Q390,H390),"")</f>
        <v/>
      </c>
      <c r="X390" s="2">
        <f>J390=C390</f>
        <v/>
      </c>
      <c r="Y390" s="2">
        <f>IF(R390="unknown","",R390=S390)</f>
        <v/>
      </c>
      <c r="Z390" s="2" t="inlineStr">
        <is>
          <t>A</t>
        </is>
      </c>
      <c r="AA390" s="2" t="inlineStr">
        <is>
          <t>A</t>
        </is>
      </c>
      <c r="AB390" s="2">
        <f>AND(N390,O390,A390&lt;&gt;"census-mixed")</f>
        <v/>
      </c>
      <c r="AC390" s="2">
        <f>IF(AB390,Z390=AA390,"")</f>
        <v/>
      </c>
    </row>
    <row r="391">
      <c r="A391" s="2" t="inlineStr">
        <is>
          <t>census-mixed</t>
        </is>
      </c>
      <c r="B391" s="2" t="inlineStr">
        <is>
          <t>browser chrome124</t>
        </is>
      </c>
      <c r="C391" s="2" t="inlineStr">
        <is>
          <t>skb-eval-80103-c5150</t>
        </is>
      </c>
      <c r="D391" s="2" t="n">
        <v>5150</v>
      </c>
      <c r="E391" s="2" t="n">
        <v>1784</v>
      </c>
      <c r="F391" s="2" t="n">
        <v>771</v>
      </c>
      <c r="G391" s="2" t="inlineStr">
        <is>
          <t>6a6a 1301 1302 1303 c02b c02f c02c c030 cca9 cca8 c013 c014 009c 009d 002f 0035</t>
        </is>
      </c>
      <c r="H391" s="2" t="inlineStr">
        <is>
          <t>eaea 0304 0303</t>
        </is>
      </c>
      <c r="I391" s="2" t="n">
        <v>1</v>
      </c>
      <c r="J391" s="2" t="inlineStr">
        <is>
          <t>skb-eval-80103-c5150</t>
        </is>
      </c>
      <c r="K391" s="2" t="n">
        <v>1784</v>
      </c>
      <c r="L391" s="2" t="n">
        <v>771</v>
      </c>
      <c r="M391" s="2" t="n">
        <v>1443</v>
      </c>
      <c r="N391" s="2" t="b">
        <v>1</v>
      </c>
      <c r="O391" s="2" t="b">
        <v>0</v>
      </c>
      <c r="P391" s="2" t="inlineStr">
        <is>
          <t>6a6a 1301 1302 1303 c02b c02f c02c c030 cca9 cca8 c013 c014 009c 009d 002f 0035</t>
        </is>
      </c>
      <c r="Q391" s="2" t="inlineStr"/>
      <c r="R391" s="2" t="inlineStr">
        <is>
          <t>unknown</t>
        </is>
      </c>
      <c r="S391" s="2" t="inlineStr">
        <is>
          <t>allow</t>
        </is>
      </c>
      <c r="T391" s="2">
        <f>K391=E391</f>
        <v/>
      </c>
      <c r="U391" s="2">
        <f>L391=F391</f>
        <v/>
      </c>
      <c r="V391" s="2">
        <f>IF(N391,EXACT(P391,G391),"")</f>
        <v/>
      </c>
      <c r="W391" s="2">
        <f>IF(O391,EXACT(Q391,H391),"")</f>
        <v/>
      </c>
      <c r="X391" s="2">
        <f>J391=C391</f>
        <v/>
      </c>
      <c r="Y391" s="2">
        <f>IF(R391="unknown","",R391=S391)</f>
        <v/>
      </c>
      <c r="Z391" s="2" t="inlineStr">
        <is>
          <t>A</t>
        </is>
      </c>
      <c r="AA391" s="2" t="inlineStr">
        <is>
          <t>A</t>
        </is>
      </c>
      <c r="AB391" s="2">
        <f>AND(N391,O391,A391&lt;&gt;"census-mixed")</f>
        <v/>
      </c>
      <c r="AC391" s="2">
        <f>IF(AB391,Z391=AA391,"")</f>
        <v/>
      </c>
    </row>
    <row r="392">
      <c r="A392" s="2" t="inlineStr">
        <is>
          <t>census-mixed</t>
        </is>
      </c>
      <c r="B392" s="2" t="inlineStr">
        <is>
          <t>browser chrome131</t>
        </is>
      </c>
      <c r="C392" s="2" t="inlineStr">
        <is>
          <t>skb-eval-80103-c5151</t>
        </is>
      </c>
      <c r="D392" s="2" t="n">
        <v>5151</v>
      </c>
      <c r="E392" s="2" t="n">
        <v>1752</v>
      </c>
      <c r="F392" s="2" t="n">
        <v>771</v>
      </c>
      <c r="G392" s="2" t="inlineStr">
        <is>
          <t>eaea 1301 1302 1303 c02b c02f c02c c030 cca9 cca8 c013 c014 009c 009d 002f 0035</t>
        </is>
      </c>
      <c r="H392" s="2" t="inlineStr">
        <is>
          <t>eaea 0304 0303</t>
        </is>
      </c>
      <c r="I392" s="2" t="n">
        <v>1</v>
      </c>
      <c r="J392" s="2" t="inlineStr">
        <is>
          <t>skb-eval-80103-c5151</t>
        </is>
      </c>
      <c r="K392" s="2" t="n">
        <v>1752</v>
      </c>
      <c r="L392" s="2" t="n">
        <v>771</v>
      </c>
      <c r="M392" s="2" t="n">
        <v>1443</v>
      </c>
      <c r="N392" s="2" t="b">
        <v>1</v>
      </c>
      <c r="O392" s="2" t="b">
        <v>1</v>
      </c>
      <c r="P392" s="2" t="inlineStr">
        <is>
          <t>eaea 1301 1302 1303 c02b c02f c02c c030 cca9 cca8 c013 c014 009c 009d 002f 0035</t>
        </is>
      </c>
      <c r="Q392" s="2" t="inlineStr">
        <is>
          <t>eaea 0304 0303</t>
        </is>
      </c>
      <c r="R392" s="2" t="inlineStr">
        <is>
          <t>allow</t>
        </is>
      </c>
      <c r="S392" s="2" t="inlineStr">
        <is>
          <t>allow</t>
        </is>
      </c>
      <c r="T392" s="2">
        <f>K392=E392</f>
        <v/>
      </c>
      <c r="U392" s="2">
        <f>L392=F392</f>
        <v/>
      </c>
      <c r="V392" s="2">
        <f>IF(N392,EXACT(P392,G392),"")</f>
        <v/>
      </c>
      <c r="W392" s="2">
        <f>IF(O392,EXACT(Q392,H392),"")</f>
        <v/>
      </c>
      <c r="X392" s="2">
        <f>J392=C392</f>
        <v/>
      </c>
      <c r="Y392" s="2">
        <f>IF(R392="unknown","",R392=S392)</f>
        <v/>
      </c>
      <c r="Z392" s="2" t="inlineStr">
        <is>
          <t>A</t>
        </is>
      </c>
      <c r="AA392" s="2" t="inlineStr">
        <is>
          <t>A</t>
        </is>
      </c>
      <c r="AB392" s="2">
        <f>AND(N392,O392,A392&lt;&gt;"census-mixed")</f>
        <v/>
      </c>
      <c r="AC392" s="2">
        <f>IF(AB392,Z392=AA392,"")</f>
        <v/>
      </c>
    </row>
    <row r="393">
      <c r="A393" s="2" t="inlineStr">
        <is>
          <t>census-mixed</t>
        </is>
      </c>
      <c r="B393" s="2" t="inlineStr">
        <is>
          <t>browser chrome131</t>
        </is>
      </c>
      <c r="C393" s="2" t="inlineStr">
        <is>
          <t>skb-eval-80103-c5152</t>
        </is>
      </c>
      <c r="D393" s="2" t="n">
        <v>5152</v>
      </c>
      <c r="E393" s="2" t="n">
        <v>1816</v>
      </c>
      <c r="F393" s="2" t="n">
        <v>771</v>
      </c>
      <c r="G393" s="2" t="inlineStr">
        <is>
          <t>3a3a 1301 1302 1303 c02b c02f c02c c030 cca9 cca8 c013 c014 009c 009d 002f 0035</t>
        </is>
      </c>
      <c r="H393" s="2" t="inlineStr">
        <is>
          <t>caca 0304 0303</t>
        </is>
      </c>
      <c r="I393" s="2" t="n">
        <v>1</v>
      </c>
      <c r="J393" s="2" t="inlineStr">
        <is>
          <t>skb-eval-80103-c5152</t>
        </is>
      </c>
      <c r="K393" s="2" t="n">
        <v>1816</v>
      </c>
      <c r="L393" s="2" t="n">
        <v>771</v>
      </c>
      <c r="M393" s="2" t="n">
        <v>1443</v>
      </c>
      <c r="N393" s="2" t="b">
        <v>1</v>
      </c>
      <c r="O393" s="2" t="b">
        <v>0</v>
      </c>
      <c r="P393" s="2" t="inlineStr">
        <is>
          <t>3a3a 1301 1302 1303 c02b c02f c02c c030 cca9 cca8 c013 c014 009c 009d 002f 0035</t>
        </is>
      </c>
      <c r="Q393" s="2" t="inlineStr"/>
      <c r="R393" s="2" t="inlineStr">
        <is>
          <t>unknown</t>
        </is>
      </c>
      <c r="S393" s="2" t="inlineStr">
        <is>
          <t>allow</t>
        </is>
      </c>
      <c r="T393" s="2">
        <f>K393=E393</f>
        <v/>
      </c>
      <c r="U393" s="2">
        <f>L393=F393</f>
        <v/>
      </c>
      <c r="V393" s="2">
        <f>IF(N393,EXACT(P393,G393),"")</f>
        <v/>
      </c>
      <c r="W393" s="2">
        <f>IF(O393,EXACT(Q393,H393),"")</f>
        <v/>
      </c>
      <c r="X393" s="2">
        <f>J393=C393</f>
        <v/>
      </c>
      <c r="Y393" s="2">
        <f>IF(R393="unknown","",R393=S393)</f>
        <v/>
      </c>
      <c r="Z393" s="2" t="inlineStr">
        <is>
          <t>A</t>
        </is>
      </c>
      <c r="AA393" s="2" t="inlineStr">
        <is>
          <t>A</t>
        </is>
      </c>
      <c r="AB393" s="2">
        <f>AND(N393,O393,A393&lt;&gt;"census-mixed")</f>
        <v/>
      </c>
      <c r="AC393" s="2">
        <f>IF(AB393,Z393=AA393,"")</f>
        <v/>
      </c>
    </row>
    <row r="394">
      <c r="A394" s="2" t="inlineStr">
        <is>
          <t>census-mixed</t>
        </is>
      </c>
      <c r="B394" s="2" t="inlineStr">
        <is>
          <t>browser chrome131</t>
        </is>
      </c>
      <c r="C394" s="2" t="inlineStr">
        <is>
          <t>skb-eval-80103-c5153</t>
        </is>
      </c>
      <c r="D394" s="2" t="n">
        <v>5153</v>
      </c>
      <c r="E394" s="2" t="n">
        <v>1784</v>
      </c>
      <c r="F394" s="2" t="n">
        <v>771</v>
      </c>
      <c r="G394" s="2" t="inlineStr">
        <is>
          <t>caca 1301 1302 1303 c02b c02f c02c c030 cca9 cca8 c013 c014 009c 009d 002f 0035</t>
        </is>
      </c>
      <c r="H394" s="2" t="inlineStr">
        <is>
          <t>dada 0304 0303</t>
        </is>
      </c>
      <c r="I394" s="2" t="n">
        <v>1</v>
      </c>
      <c r="J394" s="2" t="inlineStr">
        <is>
          <t>skb-eval-80103-c5153</t>
        </is>
      </c>
      <c r="K394" s="2" t="n">
        <v>1784</v>
      </c>
      <c r="L394" s="2" t="n">
        <v>771</v>
      </c>
      <c r="M394" s="2" t="n">
        <v>1443</v>
      </c>
      <c r="N394" s="2" t="b">
        <v>1</v>
      </c>
      <c r="O394" s="2" t="b">
        <v>0</v>
      </c>
      <c r="P394" s="2" t="inlineStr">
        <is>
          <t>caca 1301 1302 1303 c02b c02f c02c c030 cca9 cca8 c013 c014 009c 009d 002f 0035</t>
        </is>
      </c>
      <c r="Q394" s="2" t="inlineStr"/>
      <c r="R394" s="2" t="inlineStr">
        <is>
          <t>unknown</t>
        </is>
      </c>
      <c r="S394" s="2" t="inlineStr">
        <is>
          <t>allow</t>
        </is>
      </c>
      <c r="T394" s="2">
        <f>K394=E394</f>
        <v/>
      </c>
      <c r="U394" s="2">
        <f>L394=F394</f>
        <v/>
      </c>
      <c r="V394" s="2">
        <f>IF(N394,EXACT(P394,G394),"")</f>
        <v/>
      </c>
      <c r="W394" s="2">
        <f>IF(O394,EXACT(Q394,H394),"")</f>
        <v/>
      </c>
      <c r="X394" s="2">
        <f>J394=C394</f>
        <v/>
      </c>
      <c r="Y394" s="2">
        <f>IF(R394="unknown","",R394=S394)</f>
        <v/>
      </c>
      <c r="Z394" s="2" t="inlineStr">
        <is>
          <t>A</t>
        </is>
      </c>
      <c r="AA394" s="2" t="inlineStr">
        <is>
          <t>A</t>
        </is>
      </c>
      <c r="AB394" s="2">
        <f>AND(N394,O394,A394&lt;&gt;"census-mixed")</f>
        <v/>
      </c>
      <c r="AC394" s="2">
        <f>IF(AB394,Z394=AA394,"")</f>
        <v/>
      </c>
    </row>
    <row r="395">
      <c r="A395" s="2" t="inlineStr">
        <is>
          <t>census-mixed</t>
        </is>
      </c>
      <c r="B395" s="2" t="inlineStr">
        <is>
          <t>browser chrome131</t>
        </is>
      </c>
      <c r="C395" s="2" t="inlineStr">
        <is>
          <t>skb-eval-80103-c5154</t>
        </is>
      </c>
      <c r="D395" s="2" t="n">
        <v>5154</v>
      </c>
      <c r="E395" s="2" t="n">
        <v>1816</v>
      </c>
      <c r="F395" s="2" t="n">
        <v>771</v>
      </c>
      <c r="G395" s="2" t="inlineStr">
        <is>
          <t>8a8a 1301 1302 1303 c02b c02f c02c c030 cca9 cca8 c013 c014 009c 009d 002f 0035</t>
        </is>
      </c>
      <c r="H395" s="2" t="inlineStr">
        <is>
          <t>caca 0304 0303</t>
        </is>
      </c>
      <c r="I395" s="2" t="n">
        <v>1</v>
      </c>
      <c r="J395" s="2" t="inlineStr">
        <is>
          <t>skb-eval-80103-c5154</t>
        </is>
      </c>
      <c r="K395" s="2" t="n">
        <v>1816</v>
      </c>
      <c r="L395" s="2" t="n">
        <v>771</v>
      </c>
      <c r="M395" s="2" t="n">
        <v>1443</v>
      </c>
      <c r="N395" s="2" t="b">
        <v>1</v>
      </c>
      <c r="O395" s="2" t="b">
        <v>1</v>
      </c>
      <c r="P395" s="2" t="inlineStr">
        <is>
          <t>8a8a 1301 1302 1303 c02b c02f c02c c030 cca9 cca8 c013 c014 009c 009d 002f 0035</t>
        </is>
      </c>
      <c r="Q395" s="2" t="inlineStr">
        <is>
          <t>caca 0304 0303</t>
        </is>
      </c>
      <c r="R395" s="2" t="inlineStr">
        <is>
          <t>allow</t>
        </is>
      </c>
      <c r="S395" s="2" t="inlineStr">
        <is>
          <t>allow</t>
        </is>
      </c>
      <c r="T395" s="2">
        <f>K395=E395</f>
        <v/>
      </c>
      <c r="U395" s="2">
        <f>L395=F395</f>
        <v/>
      </c>
      <c r="V395" s="2">
        <f>IF(N395,EXACT(P395,G395),"")</f>
        <v/>
      </c>
      <c r="W395" s="2">
        <f>IF(O395,EXACT(Q395,H395),"")</f>
        <v/>
      </c>
      <c r="X395" s="2">
        <f>J395=C395</f>
        <v/>
      </c>
      <c r="Y395" s="2">
        <f>IF(R395="unknown","",R395=S395)</f>
        <v/>
      </c>
      <c r="Z395" s="2" t="inlineStr">
        <is>
          <t>A</t>
        </is>
      </c>
      <c r="AA395" s="2" t="inlineStr">
        <is>
          <t>A</t>
        </is>
      </c>
      <c r="AB395" s="2">
        <f>AND(N395,O395,A395&lt;&gt;"census-mixed")</f>
        <v/>
      </c>
      <c r="AC395" s="2">
        <f>IF(AB395,Z395=AA395,"")</f>
        <v/>
      </c>
    </row>
    <row r="396">
      <c r="A396" s="2" t="inlineStr">
        <is>
          <t>census-mixed</t>
        </is>
      </c>
      <c r="B396" s="2" t="inlineStr">
        <is>
          <t>browser chrome131</t>
        </is>
      </c>
      <c r="C396" s="2" t="inlineStr">
        <is>
          <t>skb-eval-80103-c5155</t>
        </is>
      </c>
      <c r="D396" s="2" t="n">
        <v>5155</v>
      </c>
      <c r="E396" s="2" t="n">
        <v>1784</v>
      </c>
      <c r="F396" s="2" t="n">
        <v>771</v>
      </c>
      <c r="G396" s="2" t="inlineStr">
        <is>
          <t>aaaa 1301 1302 1303 c02b c02f c02c c030 cca9 cca8 c013 c014 009c 009d 002f 0035</t>
        </is>
      </c>
      <c r="H396" s="2" t="inlineStr">
        <is>
          <t>8a8a 0304 0303</t>
        </is>
      </c>
      <c r="I396" s="2" t="n">
        <v>1</v>
      </c>
      <c r="J396" s="2" t="inlineStr">
        <is>
          <t>skb-eval-80103-c5155</t>
        </is>
      </c>
      <c r="K396" s="2" t="n">
        <v>1784</v>
      </c>
      <c r="L396" s="2" t="n">
        <v>771</v>
      </c>
      <c r="M396" s="2" t="n">
        <v>1443</v>
      </c>
      <c r="N396" s="2" t="b">
        <v>1</v>
      </c>
      <c r="O396" s="2" t="b">
        <v>1</v>
      </c>
      <c r="P396" s="2" t="inlineStr">
        <is>
          <t>aaaa 1301 1302 1303 c02b c02f c02c c030 cca9 cca8 c013 c014 009c 009d 002f 0035</t>
        </is>
      </c>
      <c r="Q396" s="2" t="inlineStr">
        <is>
          <t>8a8a 0304 0303</t>
        </is>
      </c>
      <c r="R396" s="2" t="inlineStr">
        <is>
          <t>allow</t>
        </is>
      </c>
      <c r="S396" s="2" t="inlineStr">
        <is>
          <t>allow</t>
        </is>
      </c>
      <c r="T396" s="2">
        <f>K396=E396</f>
        <v/>
      </c>
      <c r="U396" s="2">
        <f>L396=F396</f>
        <v/>
      </c>
      <c r="V396" s="2">
        <f>IF(N396,EXACT(P396,G396),"")</f>
        <v/>
      </c>
      <c r="W396" s="2">
        <f>IF(O396,EXACT(Q396,H396),"")</f>
        <v/>
      </c>
      <c r="X396" s="2">
        <f>J396=C396</f>
        <v/>
      </c>
      <c r="Y396" s="2">
        <f>IF(R396="unknown","",R396=S396)</f>
        <v/>
      </c>
      <c r="Z396" s="2" t="inlineStr">
        <is>
          <t>A</t>
        </is>
      </c>
      <c r="AA396" s="2" t="inlineStr">
        <is>
          <t>A</t>
        </is>
      </c>
      <c r="AB396" s="2">
        <f>AND(N396,O396,A396&lt;&gt;"census-mixed")</f>
        <v/>
      </c>
      <c r="AC396" s="2">
        <f>IF(AB396,Z396=AA396,"")</f>
        <v/>
      </c>
    </row>
    <row r="397">
      <c r="A397" s="2" t="inlineStr">
        <is>
          <t>census-mixed</t>
        </is>
      </c>
      <c r="B397" s="2" t="inlineStr">
        <is>
          <t>browser chrome131</t>
        </is>
      </c>
      <c r="C397" s="2" t="inlineStr">
        <is>
          <t>skb-eval-80103-c5156</t>
        </is>
      </c>
      <c r="D397" s="2" t="n">
        <v>5156</v>
      </c>
      <c r="E397" s="2" t="n">
        <v>1720</v>
      </c>
      <c r="F397" s="2" t="n">
        <v>771</v>
      </c>
      <c r="G397" s="2" t="inlineStr">
        <is>
          <t>dada 1301 1302 1303 c02b c02f c02c c030 cca9 cca8 c013 c014 009c 009d 002f 0035</t>
        </is>
      </c>
      <c r="H397" s="2" t="inlineStr">
        <is>
          <t>4a4a 0304 0303</t>
        </is>
      </c>
      <c r="I397" s="2" t="n">
        <v>1</v>
      </c>
      <c r="J397" s="2" t="inlineStr">
        <is>
          <t>skb-eval-80103-c5156</t>
        </is>
      </c>
      <c r="K397" s="2" t="n">
        <v>1720</v>
      </c>
      <c r="L397" s="2" t="n">
        <v>771</v>
      </c>
      <c r="M397" s="2" t="n">
        <v>1443</v>
      </c>
      <c r="N397" s="2" t="b">
        <v>1</v>
      </c>
      <c r="O397" s="2" t="b">
        <v>0</v>
      </c>
      <c r="P397" s="2" t="inlineStr">
        <is>
          <t>dada 1301 1302 1303 c02b c02f c02c c030 cca9 cca8 c013 c014 009c 009d 002f 0035</t>
        </is>
      </c>
      <c r="Q397" s="2" t="inlineStr"/>
      <c r="R397" s="2" t="inlineStr">
        <is>
          <t>unknown</t>
        </is>
      </c>
      <c r="S397" s="2" t="inlineStr">
        <is>
          <t>allow</t>
        </is>
      </c>
      <c r="T397" s="2">
        <f>K397=E397</f>
        <v/>
      </c>
      <c r="U397" s="2">
        <f>L397=F397</f>
        <v/>
      </c>
      <c r="V397" s="2">
        <f>IF(N397,EXACT(P397,G397),"")</f>
        <v/>
      </c>
      <c r="W397" s="2">
        <f>IF(O397,EXACT(Q397,H397),"")</f>
        <v/>
      </c>
      <c r="X397" s="2">
        <f>J397=C397</f>
        <v/>
      </c>
      <c r="Y397" s="2">
        <f>IF(R397="unknown","",R397=S397)</f>
        <v/>
      </c>
      <c r="Z397" s="2" t="inlineStr">
        <is>
          <t>A</t>
        </is>
      </c>
      <c r="AA397" s="2" t="inlineStr">
        <is>
          <t>A</t>
        </is>
      </c>
      <c r="AB397" s="2">
        <f>AND(N397,O397,A397&lt;&gt;"census-mixed")</f>
        <v/>
      </c>
      <c r="AC397" s="2">
        <f>IF(AB397,Z397=AA397,"")</f>
        <v/>
      </c>
    </row>
    <row r="398">
      <c r="A398" s="2" t="inlineStr">
        <is>
          <t>census-mixed</t>
        </is>
      </c>
      <c r="B398" s="2" t="inlineStr">
        <is>
          <t>browser chrome131</t>
        </is>
      </c>
      <c r="C398" s="2" t="inlineStr">
        <is>
          <t>skb-eval-80103-c5157</t>
        </is>
      </c>
      <c r="D398" s="2" t="n">
        <v>5157</v>
      </c>
      <c r="E398" s="2" t="n">
        <v>1816</v>
      </c>
      <c r="F398" s="2" t="n">
        <v>771</v>
      </c>
      <c r="G398" s="2" t="inlineStr">
        <is>
          <t>caca 1301 1302 1303 c02b c02f c02c c030 cca9 cca8 c013 c014 009c 009d 002f 0035</t>
        </is>
      </c>
      <c r="H398" s="2" t="inlineStr">
        <is>
          <t>8a8a 0304 0303</t>
        </is>
      </c>
      <c r="I398" s="2" t="n">
        <v>1</v>
      </c>
      <c r="J398" s="2" t="inlineStr">
        <is>
          <t>skb-eval-80103-c5157</t>
        </is>
      </c>
      <c r="K398" s="2" t="n">
        <v>1816</v>
      </c>
      <c r="L398" s="2" t="n">
        <v>771</v>
      </c>
      <c r="M398" s="2" t="n">
        <v>1443</v>
      </c>
      <c r="N398" s="2" t="b">
        <v>1</v>
      </c>
      <c r="O398" s="2" t="b">
        <v>1</v>
      </c>
      <c r="P398" s="2" t="inlineStr">
        <is>
          <t>caca 1301 1302 1303 c02b c02f c02c c030 cca9 cca8 c013 c014 009c 009d 002f 0035</t>
        </is>
      </c>
      <c r="Q398" s="2" t="inlineStr">
        <is>
          <t>8a8a 0304 0303</t>
        </is>
      </c>
      <c r="R398" s="2" t="inlineStr">
        <is>
          <t>allow</t>
        </is>
      </c>
      <c r="S398" s="2" t="inlineStr">
        <is>
          <t>allow</t>
        </is>
      </c>
      <c r="T398" s="2">
        <f>K398=E398</f>
        <v/>
      </c>
      <c r="U398" s="2">
        <f>L398=F398</f>
        <v/>
      </c>
      <c r="V398" s="2">
        <f>IF(N398,EXACT(P398,G398),"")</f>
        <v/>
      </c>
      <c r="W398" s="2">
        <f>IF(O398,EXACT(Q398,H398),"")</f>
        <v/>
      </c>
      <c r="X398" s="2">
        <f>J398=C398</f>
        <v/>
      </c>
      <c r="Y398" s="2">
        <f>IF(R398="unknown","",R398=S398)</f>
        <v/>
      </c>
      <c r="Z398" s="2" t="inlineStr">
        <is>
          <t>A</t>
        </is>
      </c>
      <c r="AA398" s="2" t="inlineStr">
        <is>
          <t>A</t>
        </is>
      </c>
      <c r="AB398" s="2">
        <f>AND(N398,O398,A398&lt;&gt;"census-mixed")</f>
        <v/>
      </c>
      <c r="AC398" s="2">
        <f>IF(AB398,Z398=AA398,"")</f>
        <v/>
      </c>
    </row>
    <row r="399">
      <c r="A399" s="2" t="inlineStr">
        <is>
          <t>census-mixed</t>
        </is>
      </c>
      <c r="B399" s="2" t="inlineStr">
        <is>
          <t>browser chrome131</t>
        </is>
      </c>
      <c r="C399" s="2" t="inlineStr">
        <is>
          <t>skb-eval-80103-c5158</t>
        </is>
      </c>
      <c r="D399" s="2" t="n">
        <v>5158</v>
      </c>
      <c r="E399" s="2" t="n">
        <v>1752</v>
      </c>
      <c r="F399" s="2" t="n">
        <v>771</v>
      </c>
      <c r="G399" s="2" t="inlineStr">
        <is>
          <t>caca 1301 1302 1303 c02b c02f c02c c030 cca9 cca8 c013 c014 009c 009d 002f 0035</t>
        </is>
      </c>
      <c r="H399" s="2" t="inlineStr">
        <is>
          <t>baba 0304 0303</t>
        </is>
      </c>
      <c r="I399" s="2" t="n">
        <v>1</v>
      </c>
      <c r="J399" s="2" t="inlineStr">
        <is>
          <t>skb-eval-80103-c5158</t>
        </is>
      </c>
      <c r="K399" s="2" t="n">
        <v>1752</v>
      </c>
      <c r="L399" s="2" t="n">
        <v>771</v>
      </c>
      <c r="M399" s="2" t="n">
        <v>1443</v>
      </c>
      <c r="N399" s="2" t="b">
        <v>1</v>
      </c>
      <c r="O399" s="2" t="b">
        <v>0</v>
      </c>
      <c r="P399" s="2" t="inlineStr">
        <is>
          <t>caca 1301 1302 1303 c02b c02f c02c c030 cca9 cca8 c013 c014 009c 009d 002f 0035</t>
        </is>
      </c>
      <c r="Q399" s="2" t="inlineStr"/>
      <c r="R399" s="2" t="inlineStr">
        <is>
          <t>unknown</t>
        </is>
      </c>
      <c r="S399" s="2" t="inlineStr">
        <is>
          <t>allow</t>
        </is>
      </c>
      <c r="T399" s="2">
        <f>K399=E399</f>
        <v/>
      </c>
      <c r="U399" s="2">
        <f>L399=F399</f>
        <v/>
      </c>
      <c r="V399" s="2">
        <f>IF(N399,EXACT(P399,G399),"")</f>
        <v/>
      </c>
      <c r="W399" s="2">
        <f>IF(O399,EXACT(Q399,H399),"")</f>
        <v/>
      </c>
      <c r="X399" s="2">
        <f>J399=C399</f>
        <v/>
      </c>
      <c r="Y399" s="2">
        <f>IF(R399="unknown","",R399=S399)</f>
        <v/>
      </c>
      <c r="Z399" s="2" t="inlineStr">
        <is>
          <t>A</t>
        </is>
      </c>
      <c r="AA399" s="2" t="inlineStr">
        <is>
          <t>A</t>
        </is>
      </c>
      <c r="AB399" s="2">
        <f>AND(N399,O399,A399&lt;&gt;"census-mixed")</f>
        <v/>
      </c>
      <c r="AC399" s="2">
        <f>IF(AB399,Z399=AA399,"")</f>
        <v/>
      </c>
    </row>
    <row r="400">
      <c r="A400" s="2" t="inlineStr">
        <is>
          <t>census-mixed</t>
        </is>
      </c>
      <c r="B400" s="2" t="inlineStr">
        <is>
          <t>browser chrome131</t>
        </is>
      </c>
      <c r="C400" s="2" t="inlineStr">
        <is>
          <t>skb-eval-80103-c5159</t>
        </is>
      </c>
      <c r="D400" s="2" t="n">
        <v>5159</v>
      </c>
      <c r="E400" s="2" t="n">
        <v>1720</v>
      </c>
      <c r="F400" s="2" t="n">
        <v>771</v>
      </c>
      <c r="G400" s="2" t="inlineStr">
        <is>
          <t>8a8a 1301 1302 1303 c02b c02f c02c c030 cca9 cca8 c013 c014 009c 009d 002f 0035</t>
        </is>
      </c>
      <c r="H400" s="2" t="inlineStr">
        <is>
          <t>3a3a 0304 0303</t>
        </is>
      </c>
      <c r="I400" s="2" t="n">
        <v>1</v>
      </c>
      <c r="J400" s="2" t="inlineStr">
        <is>
          <t>skb-eval-80103-c5159</t>
        </is>
      </c>
      <c r="K400" s="2" t="n">
        <v>1720</v>
      </c>
      <c r="L400" s="2" t="n">
        <v>771</v>
      </c>
      <c r="M400" s="2" t="n">
        <v>1443</v>
      </c>
      <c r="N400" s="2" t="b">
        <v>1</v>
      </c>
      <c r="O400" s="2" t="b">
        <v>1</v>
      </c>
      <c r="P400" s="2" t="inlineStr">
        <is>
          <t>8a8a 1301 1302 1303 c02b c02f c02c c030 cca9 cca8 c013 c014 009c 009d 002f 0035</t>
        </is>
      </c>
      <c r="Q400" s="2" t="inlineStr">
        <is>
          <t>3a3a 0304 0303</t>
        </is>
      </c>
      <c r="R400" s="2" t="inlineStr">
        <is>
          <t>allow</t>
        </is>
      </c>
      <c r="S400" s="2" t="inlineStr">
        <is>
          <t>allow</t>
        </is>
      </c>
      <c r="T400" s="2">
        <f>K400=E400</f>
        <v/>
      </c>
      <c r="U400" s="2">
        <f>L400=F400</f>
        <v/>
      </c>
      <c r="V400" s="2">
        <f>IF(N400,EXACT(P400,G400),"")</f>
        <v/>
      </c>
      <c r="W400" s="2">
        <f>IF(O400,EXACT(Q400,H400),"")</f>
        <v/>
      </c>
      <c r="X400" s="2">
        <f>J400=C400</f>
        <v/>
      </c>
      <c r="Y400" s="2">
        <f>IF(R400="unknown","",R400=S400)</f>
        <v/>
      </c>
      <c r="Z400" s="2" t="inlineStr">
        <is>
          <t>A</t>
        </is>
      </c>
      <c r="AA400" s="2" t="inlineStr">
        <is>
          <t>A</t>
        </is>
      </c>
      <c r="AB400" s="2">
        <f>AND(N400,O400,A400&lt;&gt;"census-mixed")</f>
        <v/>
      </c>
      <c r="AC400" s="2">
        <f>IF(AB400,Z400=AA400,"")</f>
        <v/>
      </c>
    </row>
    <row r="401">
      <c r="A401" s="2" t="inlineStr">
        <is>
          <t>census-mixed</t>
        </is>
      </c>
      <c r="B401" s="2" t="inlineStr">
        <is>
          <t>browser chrome131</t>
        </is>
      </c>
      <c r="C401" s="2" t="inlineStr">
        <is>
          <t>skb-eval-80103-c5160</t>
        </is>
      </c>
      <c r="D401" s="2" t="n">
        <v>5160</v>
      </c>
      <c r="E401" s="2" t="n">
        <v>1752</v>
      </c>
      <c r="F401" s="2" t="n">
        <v>771</v>
      </c>
      <c r="G401" s="2" t="inlineStr">
        <is>
          <t>dada 1301 1302 1303 c02b c02f c02c c030 cca9 cca8 c013 c014 009c 009d 002f 0035</t>
        </is>
      </c>
      <c r="H401" s="2" t="inlineStr">
        <is>
          <t>0a0a 0304 0303</t>
        </is>
      </c>
      <c r="I401" s="2" t="n">
        <v>1</v>
      </c>
      <c r="J401" s="2" t="inlineStr">
        <is>
          <t>skb-eval-80103-c5160</t>
        </is>
      </c>
      <c r="K401" s="2" t="n">
        <v>1752</v>
      </c>
      <c r="L401" s="2" t="n">
        <v>771</v>
      </c>
      <c r="M401" s="2" t="n">
        <v>1443</v>
      </c>
      <c r="N401" s="2" t="b">
        <v>1</v>
      </c>
      <c r="O401" s="2" t="b">
        <v>0</v>
      </c>
      <c r="P401" s="2" t="inlineStr">
        <is>
          <t>dada 1301 1302 1303 c02b c02f c02c c030 cca9 cca8 c013 c014 009c 009d 002f 0035</t>
        </is>
      </c>
      <c r="Q401" s="2" t="inlineStr"/>
      <c r="R401" s="2" t="inlineStr">
        <is>
          <t>unknown</t>
        </is>
      </c>
      <c r="S401" s="2" t="inlineStr">
        <is>
          <t>allow</t>
        </is>
      </c>
      <c r="T401" s="2">
        <f>K401=E401</f>
        <v/>
      </c>
      <c r="U401" s="2">
        <f>L401=F401</f>
        <v/>
      </c>
      <c r="V401" s="2">
        <f>IF(N401,EXACT(P401,G401),"")</f>
        <v/>
      </c>
      <c r="W401" s="2">
        <f>IF(O401,EXACT(Q401,H401),"")</f>
        <v/>
      </c>
      <c r="X401" s="2">
        <f>J401=C401</f>
        <v/>
      </c>
      <c r="Y401" s="2">
        <f>IF(R401="unknown","",R401=S401)</f>
        <v/>
      </c>
      <c r="Z401" s="2" t="inlineStr">
        <is>
          <t>A</t>
        </is>
      </c>
      <c r="AA401" s="2" t="inlineStr">
        <is>
          <t>A</t>
        </is>
      </c>
      <c r="AB401" s="2">
        <f>AND(N401,O401,A401&lt;&gt;"census-mixed")</f>
        <v/>
      </c>
      <c r="AC401" s="2">
        <f>IF(AB401,Z401=AA401,"")</f>
        <v/>
      </c>
    </row>
    <row r="402">
      <c r="A402" s="2" t="inlineStr">
        <is>
          <t>census-mixed</t>
        </is>
      </c>
      <c r="B402" s="2" t="inlineStr">
        <is>
          <t>browser chrome150</t>
        </is>
      </c>
      <c r="C402" s="2" t="inlineStr">
        <is>
          <t>skb-eval-80103-c5161</t>
        </is>
      </c>
      <c r="D402" s="2" t="n">
        <v>5161</v>
      </c>
      <c r="E402" s="2" t="n">
        <v>1758</v>
      </c>
      <c r="F402" s="2" t="n">
        <v>771</v>
      </c>
      <c r="G402" s="2" t="inlineStr">
        <is>
          <t>dada 1301 1302 1303 c02b c02f c02c c030 cca9 cca8 c013 c014 009c 009d 002f 0035</t>
        </is>
      </c>
      <c r="H402" s="2" t="inlineStr">
        <is>
          <t>2a2a 0304 0303</t>
        </is>
      </c>
      <c r="I402" s="2" t="n">
        <v>1</v>
      </c>
      <c r="J402" s="2" t="inlineStr">
        <is>
          <t>skb-eval-80103-c5161</t>
        </is>
      </c>
      <c r="K402" s="2" t="n">
        <v>1758</v>
      </c>
      <c r="L402" s="2" t="n">
        <v>771</v>
      </c>
      <c r="M402" s="2" t="n">
        <v>1443</v>
      </c>
      <c r="N402" s="2" t="b">
        <v>1</v>
      </c>
      <c r="O402" s="2" t="b">
        <v>0</v>
      </c>
      <c r="P402" s="2" t="inlineStr">
        <is>
          <t>dada 1301 1302 1303 c02b c02f c02c c030 cca9 cca8 c013 c014 009c 009d 002f 0035</t>
        </is>
      </c>
      <c r="Q402" s="2" t="inlineStr"/>
      <c r="R402" s="2" t="inlineStr">
        <is>
          <t>unknown</t>
        </is>
      </c>
      <c r="S402" s="2" t="inlineStr">
        <is>
          <t>allow</t>
        </is>
      </c>
      <c r="T402" s="2">
        <f>K402=E402</f>
        <v/>
      </c>
      <c r="U402" s="2">
        <f>L402=F402</f>
        <v/>
      </c>
      <c r="V402" s="2">
        <f>IF(N402,EXACT(P402,G402),"")</f>
        <v/>
      </c>
      <c r="W402" s="2">
        <f>IF(O402,EXACT(Q402,H402),"")</f>
        <v/>
      </c>
      <c r="X402" s="2">
        <f>J402=C402</f>
        <v/>
      </c>
      <c r="Y402" s="2">
        <f>IF(R402="unknown","",R402=S402)</f>
        <v/>
      </c>
      <c r="Z402" s="2" t="inlineStr">
        <is>
          <t>A</t>
        </is>
      </c>
      <c r="AA402" s="2" t="inlineStr">
        <is>
          <t>A</t>
        </is>
      </c>
      <c r="AB402" s="2">
        <f>AND(N402,O402,A402&lt;&gt;"census-mixed")</f>
        <v/>
      </c>
      <c r="AC402" s="2">
        <f>IF(AB402,Z402=AA402,"")</f>
        <v/>
      </c>
    </row>
    <row r="403">
      <c r="A403" s="2" t="inlineStr">
        <is>
          <t>census-mixed</t>
        </is>
      </c>
      <c r="B403" s="2" t="inlineStr">
        <is>
          <t>browser chrome150</t>
        </is>
      </c>
      <c r="C403" s="2" t="inlineStr">
        <is>
          <t>skb-eval-80103-c5162</t>
        </is>
      </c>
      <c r="D403" s="2" t="n">
        <v>5162</v>
      </c>
      <c r="E403" s="2" t="n">
        <v>1822</v>
      </c>
      <c r="F403" s="2" t="n">
        <v>771</v>
      </c>
      <c r="G403" s="2" t="inlineStr">
        <is>
          <t>4a4a 1301 1302 1303 c02b c02f c02c c030 cca9 cca8 c013 c014 009c 009d 002f 0035</t>
        </is>
      </c>
      <c r="H403" s="2" t="inlineStr">
        <is>
          <t>1a1a 0304 0303</t>
        </is>
      </c>
      <c r="I403" s="2" t="n">
        <v>1</v>
      </c>
      <c r="J403" s="2" t="inlineStr">
        <is>
          <t>skb-eval-80103-c5162</t>
        </is>
      </c>
      <c r="K403" s="2" t="n">
        <v>1822</v>
      </c>
      <c r="L403" s="2" t="n">
        <v>771</v>
      </c>
      <c r="M403" s="2" t="n">
        <v>1443</v>
      </c>
      <c r="N403" s="2" t="b">
        <v>1</v>
      </c>
      <c r="O403" s="2" t="b">
        <v>0</v>
      </c>
      <c r="P403" s="2" t="inlineStr">
        <is>
          <t>4a4a 1301 1302 1303 c02b c02f c02c c030 cca9 cca8 c013 c014 009c 009d 002f 0035</t>
        </is>
      </c>
      <c r="Q403" s="2" t="inlineStr"/>
      <c r="R403" s="2" t="inlineStr">
        <is>
          <t>unknown</t>
        </is>
      </c>
      <c r="S403" s="2" t="inlineStr">
        <is>
          <t>allow</t>
        </is>
      </c>
      <c r="T403" s="2">
        <f>K403=E403</f>
        <v/>
      </c>
      <c r="U403" s="2">
        <f>L403=F403</f>
        <v/>
      </c>
      <c r="V403" s="2">
        <f>IF(N403,EXACT(P403,G403),"")</f>
        <v/>
      </c>
      <c r="W403" s="2">
        <f>IF(O403,EXACT(Q403,H403),"")</f>
        <v/>
      </c>
      <c r="X403" s="2">
        <f>J403=C403</f>
        <v/>
      </c>
      <c r="Y403" s="2">
        <f>IF(R403="unknown","",R403=S403)</f>
        <v/>
      </c>
      <c r="Z403" s="2" t="inlineStr">
        <is>
          <t>A</t>
        </is>
      </c>
      <c r="AA403" s="2" t="inlineStr">
        <is>
          <t>A</t>
        </is>
      </c>
      <c r="AB403" s="2">
        <f>AND(N403,O403,A403&lt;&gt;"census-mixed")</f>
        <v/>
      </c>
      <c r="AC403" s="2">
        <f>IF(AB403,Z403=AA403,"")</f>
        <v/>
      </c>
    </row>
    <row r="404">
      <c r="A404" s="2" t="inlineStr">
        <is>
          <t>census-mixed</t>
        </is>
      </c>
      <c r="B404" s="2" t="inlineStr">
        <is>
          <t>browser chrome150</t>
        </is>
      </c>
      <c r="C404" s="2" t="inlineStr">
        <is>
          <t>skb-eval-80103-c5163</t>
        </is>
      </c>
      <c r="D404" s="2" t="n">
        <v>5163</v>
      </c>
      <c r="E404" s="2" t="n">
        <v>1726</v>
      </c>
      <c r="F404" s="2" t="n">
        <v>771</v>
      </c>
      <c r="G404" s="2" t="inlineStr">
        <is>
          <t>7a7a 1301 1302 1303 c02b c02f c02c c030 cca9 cca8 c013 c014 009c 009d 002f 0035</t>
        </is>
      </c>
      <c r="H404" s="2" t="inlineStr">
        <is>
          <t>baba 0304 0303</t>
        </is>
      </c>
      <c r="I404" s="2" t="n">
        <v>1</v>
      </c>
      <c r="J404" s="2" t="inlineStr">
        <is>
          <t>skb-eval-80103-c5163</t>
        </is>
      </c>
      <c r="K404" s="2" t="n">
        <v>1726</v>
      </c>
      <c r="L404" s="2" t="n">
        <v>771</v>
      </c>
      <c r="M404" s="2" t="n">
        <v>1443</v>
      </c>
      <c r="N404" s="2" t="b">
        <v>1</v>
      </c>
      <c r="O404" s="2" t="b">
        <v>0</v>
      </c>
      <c r="P404" s="2" t="inlineStr">
        <is>
          <t>7a7a 1301 1302 1303 c02b c02f c02c c030 cca9 cca8 c013 c014 009c 009d 002f 0035</t>
        </is>
      </c>
      <c r="Q404" s="2" t="inlineStr"/>
      <c r="R404" s="2" t="inlineStr">
        <is>
          <t>unknown</t>
        </is>
      </c>
      <c r="S404" s="2" t="inlineStr">
        <is>
          <t>allow</t>
        </is>
      </c>
      <c r="T404" s="2">
        <f>K404=E404</f>
        <v/>
      </c>
      <c r="U404" s="2">
        <f>L404=F404</f>
        <v/>
      </c>
      <c r="V404" s="2">
        <f>IF(N404,EXACT(P404,G404),"")</f>
        <v/>
      </c>
      <c r="W404" s="2">
        <f>IF(O404,EXACT(Q404,H404),"")</f>
        <v/>
      </c>
      <c r="X404" s="2">
        <f>J404=C404</f>
        <v/>
      </c>
      <c r="Y404" s="2">
        <f>IF(R404="unknown","",R404=S404)</f>
        <v/>
      </c>
      <c r="Z404" s="2" t="inlineStr">
        <is>
          <t>A</t>
        </is>
      </c>
      <c r="AA404" s="2" t="inlineStr">
        <is>
          <t>A</t>
        </is>
      </c>
      <c r="AB404" s="2">
        <f>AND(N404,O404,A404&lt;&gt;"census-mixed")</f>
        <v/>
      </c>
      <c r="AC404" s="2">
        <f>IF(AB404,Z404=AA404,"")</f>
        <v/>
      </c>
    </row>
    <row r="405">
      <c r="A405" s="2" t="inlineStr">
        <is>
          <t>census-mixed</t>
        </is>
      </c>
      <c r="B405" s="2" t="inlineStr">
        <is>
          <t>browser chrome150</t>
        </is>
      </c>
      <c r="C405" s="2" t="inlineStr">
        <is>
          <t>skb-eval-80103-c5164</t>
        </is>
      </c>
      <c r="D405" s="2" t="n">
        <v>5164</v>
      </c>
      <c r="E405" s="2" t="n">
        <v>1726</v>
      </c>
      <c r="F405" s="2" t="n">
        <v>771</v>
      </c>
      <c r="G405" s="2" t="inlineStr">
        <is>
          <t>3a3a 1301 1302 1303 c02b c02f c02c c030 cca9 cca8 c013 c014 009c 009d 002f 0035</t>
        </is>
      </c>
      <c r="H405" s="2" t="inlineStr">
        <is>
          <t>5a5a 0304 0303</t>
        </is>
      </c>
      <c r="I405" s="2" t="n">
        <v>1</v>
      </c>
      <c r="J405" s="2" t="inlineStr">
        <is>
          <t>skb-eval-80103-c5164</t>
        </is>
      </c>
      <c r="K405" s="2" t="n">
        <v>1726</v>
      </c>
      <c r="L405" s="2" t="n">
        <v>771</v>
      </c>
      <c r="M405" s="2" t="n">
        <v>1443</v>
      </c>
      <c r="N405" s="2" t="b">
        <v>1</v>
      </c>
      <c r="O405" s="2" t="b">
        <v>0</v>
      </c>
      <c r="P405" s="2" t="inlineStr">
        <is>
          <t>3a3a 1301 1302 1303 c02b c02f c02c c030 cca9 cca8 c013 c014 009c 009d 002f 0035</t>
        </is>
      </c>
      <c r="Q405" s="2" t="inlineStr"/>
      <c r="R405" s="2" t="inlineStr">
        <is>
          <t>unknown</t>
        </is>
      </c>
      <c r="S405" s="2" t="inlineStr">
        <is>
          <t>allow</t>
        </is>
      </c>
      <c r="T405" s="2">
        <f>K405=E405</f>
        <v/>
      </c>
      <c r="U405" s="2">
        <f>L405=F405</f>
        <v/>
      </c>
      <c r="V405" s="2">
        <f>IF(N405,EXACT(P405,G405),"")</f>
        <v/>
      </c>
      <c r="W405" s="2">
        <f>IF(O405,EXACT(Q405,H405),"")</f>
        <v/>
      </c>
      <c r="X405" s="2">
        <f>J405=C405</f>
        <v/>
      </c>
      <c r="Y405" s="2">
        <f>IF(R405="unknown","",R405=S405)</f>
        <v/>
      </c>
      <c r="Z405" s="2" t="inlineStr">
        <is>
          <t>A</t>
        </is>
      </c>
      <c r="AA405" s="2" t="inlineStr">
        <is>
          <t>A</t>
        </is>
      </c>
      <c r="AB405" s="2">
        <f>AND(N405,O405,A405&lt;&gt;"census-mixed")</f>
        <v/>
      </c>
      <c r="AC405" s="2">
        <f>IF(AB405,Z405=AA405,"")</f>
        <v/>
      </c>
    </row>
    <row r="406">
      <c r="A406" s="2" t="inlineStr">
        <is>
          <t>census-mixed</t>
        </is>
      </c>
      <c r="B406" s="2" t="inlineStr">
        <is>
          <t>browser chrome150</t>
        </is>
      </c>
      <c r="C406" s="2" t="inlineStr">
        <is>
          <t>skb-eval-80103-c5165</t>
        </is>
      </c>
      <c r="D406" s="2" t="n">
        <v>5165</v>
      </c>
      <c r="E406" s="2" t="n">
        <v>1790</v>
      </c>
      <c r="F406" s="2" t="n">
        <v>771</v>
      </c>
      <c r="G406" s="2" t="inlineStr">
        <is>
          <t>1a1a 1301 1302 1303 c02b c02f c02c c030 cca9 cca8 c013 c014 009c 009d 002f 0035</t>
        </is>
      </c>
      <c r="H406" s="2" t="inlineStr">
        <is>
          <t>aaaa 0304 0303</t>
        </is>
      </c>
      <c r="I406" s="2" t="n">
        <v>1</v>
      </c>
      <c r="J406" s="2" t="inlineStr">
        <is>
          <t>skb-eval-80103-c5165</t>
        </is>
      </c>
      <c r="K406" s="2" t="n">
        <v>1790</v>
      </c>
      <c r="L406" s="2" t="n">
        <v>771</v>
      </c>
      <c r="M406" s="2" t="n">
        <v>1443</v>
      </c>
      <c r="N406" s="2" t="b">
        <v>1</v>
      </c>
      <c r="O406" s="2" t="b">
        <v>1</v>
      </c>
      <c r="P406" s="2" t="inlineStr">
        <is>
          <t>1a1a 1301 1302 1303 c02b c02f c02c c030 cca9 cca8 c013 c014 009c 009d 002f 0035</t>
        </is>
      </c>
      <c r="Q406" s="2" t="inlineStr">
        <is>
          <t>aaaa 0304 0303</t>
        </is>
      </c>
      <c r="R406" s="2" t="inlineStr">
        <is>
          <t>allow</t>
        </is>
      </c>
      <c r="S406" s="2" t="inlineStr">
        <is>
          <t>allow</t>
        </is>
      </c>
      <c r="T406" s="2">
        <f>K406=E406</f>
        <v/>
      </c>
      <c r="U406" s="2">
        <f>L406=F406</f>
        <v/>
      </c>
      <c r="V406" s="2">
        <f>IF(N406,EXACT(P406,G406),"")</f>
        <v/>
      </c>
      <c r="W406" s="2">
        <f>IF(O406,EXACT(Q406,H406),"")</f>
        <v/>
      </c>
      <c r="X406" s="2">
        <f>J406=C406</f>
        <v/>
      </c>
      <c r="Y406" s="2">
        <f>IF(R406="unknown","",R406=S406)</f>
        <v/>
      </c>
      <c r="Z406" s="2" t="inlineStr">
        <is>
          <t>A</t>
        </is>
      </c>
      <c r="AA406" s="2" t="inlineStr">
        <is>
          <t>A</t>
        </is>
      </c>
      <c r="AB406" s="2">
        <f>AND(N406,O406,A406&lt;&gt;"census-mixed")</f>
        <v/>
      </c>
      <c r="AC406" s="2">
        <f>IF(AB406,Z406=AA406,"")</f>
        <v/>
      </c>
    </row>
    <row r="407">
      <c r="A407" s="2" t="inlineStr">
        <is>
          <t>census-mixed</t>
        </is>
      </c>
      <c r="B407" s="2" t="inlineStr">
        <is>
          <t>browser chrome150</t>
        </is>
      </c>
      <c r="C407" s="2" t="inlineStr">
        <is>
          <t>skb-eval-80103-c5166</t>
        </is>
      </c>
      <c r="D407" s="2" t="n">
        <v>5166</v>
      </c>
      <c r="E407" s="2" t="n">
        <v>1758</v>
      </c>
      <c r="F407" s="2" t="n">
        <v>771</v>
      </c>
      <c r="G407" s="2" t="inlineStr">
        <is>
          <t>2a2a 1301 1302 1303 c02b c02f c02c c030 cca9 cca8 c013 c014 009c 009d 002f 0035</t>
        </is>
      </c>
      <c r="H407" s="2" t="inlineStr">
        <is>
          <t>6a6a 0304 0303</t>
        </is>
      </c>
      <c r="I407" s="2" t="n">
        <v>1</v>
      </c>
      <c r="J407" s="2" t="inlineStr">
        <is>
          <t>skb-eval-80103-c5166</t>
        </is>
      </c>
      <c r="K407" s="2" t="n">
        <v>1758</v>
      </c>
      <c r="L407" s="2" t="n">
        <v>771</v>
      </c>
      <c r="M407" s="2" t="n">
        <v>1443</v>
      </c>
      <c r="N407" s="2" t="b">
        <v>1</v>
      </c>
      <c r="O407" s="2" t="b">
        <v>0</v>
      </c>
      <c r="P407" s="2" t="inlineStr">
        <is>
          <t>2a2a 1301 1302 1303 c02b c02f c02c c030 cca9 cca8 c013 c014 009c 009d 002f 0035</t>
        </is>
      </c>
      <c r="Q407" s="2" t="inlineStr"/>
      <c r="R407" s="2" t="inlineStr">
        <is>
          <t>unknown</t>
        </is>
      </c>
      <c r="S407" s="2" t="inlineStr">
        <is>
          <t>allow</t>
        </is>
      </c>
      <c r="T407" s="2">
        <f>K407=E407</f>
        <v/>
      </c>
      <c r="U407" s="2">
        <f>L407=F407</f>
        <v/>
      </c>
      <c r="V407" s="2">
        <f>IF(N407,EXACT(P407,G407),"")</f>
        <v/>
      </c>
      <c r="W407" s="2">
        <f>IF(O407,EXACT(Q407,H407),"")</f>
        <v/>
      </c>
      <c r="X407" s="2">
        <f>J407=C407</f>
        <v/>
      </c>
      <c r="Y407" s="2">
        <f>IF(R407="unknown","",R407=S407)</f>
        <v/>
      </c>
      <c r="Z407" s="2" t="inlineStr">
        <is>
          <t>A</t>
        </is>
      </c>
      <c r="AA407" s="2" t="inlineStr">
        <is>
          <t>A</t>
        </is>
      </c>
      <c r="AB407" s="2">
        <f>AND(N407,O407,A407&lt;&gt;"census-mixed")</f>
        <v/>
      </c>
      <c r="AC407" s="2">
        <f>IF(AB407,Z407=AA407,"")</f>
        <v/>
      </c>
    </row>
    <row r="408">
      <c r="A408" s="2" t="inlineStr">
        <is>
          <t>census-mixed</t>
        </is>
      </c>
      <c r="B408" s="2" t="inlineStr">
        <is>
          <t>browser chrome150</t>
        </is>
      </c>
      <c r="C408" s="2" t="inlineStr">
        <is>
          <t>skb-eval-80103-c5167</t>
        </is>
      </c>
      <c r="D408" s="2" t="n">
        <v>5167</v>
      </c>
      <c r="E408" s="2" t="n">
        <v>1822</v>
      </c>
      <c r="F408" s="2" t="n">
        <v>771</v>
      </c>
      <c r="G408" s="2" t="inlineStr">
        <is>
          <t>1a1a 1301 1302 1303 c02b c02f c02c c030 cca9 cca8 c013 c014 009c 009d 002f 0035</t>
        </is>
      </c>
      <c r="H408" s="2" t="inlineStr">
        <is>
          <t>caca 0304 0303</t>
        </is>
      </c>
      <c r="I408" s="2" t="n">
        <v>1</v>
      </c>
      <c r="J408" s="2" t="inlineStr">
        <is>
          <t>skb-eval-80103-c5167</t>
        </is>
      </c>
      <c r="K408" s="2" t="n">
        <v>1822</v>
      </c>
      <c r="L408" s="2" t="n">
        <v>771</v>
      </c>
      <c r="M408" s="2" t="n">
        <v>1443</v>
      </c>
      <c r="N408" s="2" t="b">
        <v>1</v>
      </c>
      <c r="O408" s="2" t="b">
        <v>1</v>
      </c>
      <c r="P408" s="2" t="inlineStr">
        <is>
          <t>1a1a 1301 1302 1303 c02b c02f c02c c030 cca9 cca8 c013 c014 009c 009d 002f 0035</t>
        </is>
      </c>
      <c r="Q408" s="2" t="inlineStr">
        <is>
          <t>caca 0304 0303</t>
        </is>
      </c>
      <c r="R408" s="2" t="inlineStr">
        <is>
          <t>allow</t>
        </is>
      </c>
      <c r="S408" s="2" t="inlineStr">
        <is>
          <t>allow</t>
        </is>
      </c>
      <c r="T408" s="2">
        <f>K408=E408</f>
        <v/>
      </c>
      <c r="U408" s="2">
        <f>L408=F408</f>
        <v/>
      </c>
      <c r="V408" s="2">
        <f>IF(N408,EXACT(P408,G408),"")</f>
        <v/>
      </c>
      <c r="W408" s="2">
        <f>IF(O408,EXACT(Q408,H408),"")</f>
        <v/>
      </c>
      <c r="X408" s="2">
        <f>J408=C408</f>
        <v/>
      </c>
      <c r="Y408" s="2">
        <f>IF(R408="unknown","",R408=S408)</f>
        <v/>
      </c>
      <c r="Z408" s="2" t="inlineStr">
        <is>
          <t>A</t>
        </is>
      </c>
      <c r="AA408" s="2" t="inlineStr">
        <is>
          <t>A</t>
        </is>
      </c>
      <c r="AB408" s="2">
        <f>AND(N408,O408,A408&lt;&gt;"census-mixed")</f>
        <v/>
      </c>
      <c r="AC408" s="2">
        <f>IF(AB408,Z408=AA408,"")</f>
        <v/>
      </c>
    </row>
    <row r="409">
      <c r="A409" s="2" t="inlineStr">
        <is>
          <t>census-mixed</t>
        </is>
      </c>
      <c r="B409" s="2" t="inlineStr">
        <is>
          <t>browser chrome150</t>
        </is>
      </c>
      <c r="C409" s="2" t="inlineStr">
        <is>
          <t>skb-eval-80103-c5168</t>
        </is>
      </c>
      <c r="D409" s="2" t="n">
        <v>5168</v>
      </c>
      <c r="E409" s="2" t="n">
        <v>1790</v>
      </c>
      <c r="F409" s="2" t="n">
        <v>771</v>
      </c>
      <c r="G409" s="2" t="inlineStr">
        <is>
          <t>eaea 1301 1302 1303 c02b c02f c02c c030 cca9 cca8 c013 c014 009c 009d 002f 0035</t>
        </is>
      </c>
      <c r="H409" s="2" t="inlineStr">
        <is>
          <t>dada 0304 0303</t>
        </is>
      </c>
      <c r="I409" s="2" t="n">
        <v>1</v>
      </c>
      <c r="J409" s="2" t="inlineStr">
        <is>
          <t>skb-eval-80103-c5168</t>
        </is>
      </c>
      <c r="K409" s="2" t="n">
        <v>1790</v>
      </c>
      <c r="L409" s="2" t="n">
        <v>771</v>
      </c>
      <c r="M409" s="2" t="n">
        <v>1443</v>
      </c>
      <c r="N409" s="2" t="b">
        <v>1</v>
      </c>
      <c r="O409" s="2" t="b">
        <v>0</v>
      </c>
      <c r="P409" s="2" t="inlineStr">
        <is>
          <t>eaea 1301 1302 1303 c02b c02f c02c c030 cca9 cca8 c013 c014 009c 009d 002f 0035</t>
        </is>
      </c>
      <c r="Q409" s="2" t="inlineStr"/>
      <c r="R409" s="2" t="inlineStr">
        <is>
          <t>unknown</t>
        </is>
      </c>
      <c r="S409" s="2" t="inlineStr">
        <is>
          <t>allow</t>
        </is>
      </c>
      <c r="T409" s="2">
        <f>K409=E409</f>
        <v/>
      </c>
      <c r="U409" s="2">
        <f>L409=F409</f>
        <v/>
      </c>
      <c r="V409" s="2">
        <f>IF(N409,EXACT(P409,G409),"")</f>
        <v/>
      </c>
      <c r="W409" s="2">
        <f>IF(O409,EXACT(Q409,H409),"")</f>
        <v/>
      </c>
      <c r="X409" s="2">
        <f>J409=C409</f>
        <v/>
      </c>
      <c r="Y409" s="2">
        <f>IF(R409="unknown","",R409=S409)</f>
        <v/>
      </c>
      <c r="Z409" s="2" t="inlineStr">
        <is>
          <t>A</t>
        </is>
      </c>
      <c r="AA409" s="2" t="inlineStr">
        <is>
          <t>A</t>
        </is>
      </c>
      <c r="AB409" s="2">
        <f>AND(N409,O409,A409&lt;&gt;"census-mixed")</f>
        <v/>
      </c>
      <c r="AC409" s="2">
        <f>IF(AB409,Z409=AA409,"")</f>
        <v/>
      </c>
    </row>
    <row r="410">
      <c r="A410" s="2" t="inlineStr">
        <is>
          <t>census-mixed</t>
        </is>
      </c>
      <c r="B410" s="2" t="inlineStr">
        <is>
          <t>browser chrome150</t>
        </is>
      </c>
      <c r="C410" s="2" t="inlineStr">
        <is>
          <t>skb-eval-80103-c5169</t>
        </is>
      </c>
      <c r="D410" s="2" t="n">
        <v>5169</v>
      </c>
      <c r="E410" s="2" t="n">
        <v>1790</v>
      </c>
      <c r="F410" s="2" t="n">
        <v>771</v>
      </c>
      <c r="G410" s="2" t="inlineStr">
        <is>
          <t>2a2a 1301 1302 1303 c02b c02f c02c c030 cca9 cca8 c013 c014 009c 009d 002f 0035</t>
        </is>
      </c>
      <c r="H410" s="2" t="inlineStr">
        <is>
          <t>eaea 0304 0303</t>
        </is>
      </c>
      <c r="I410" s="2" t="n">
        <v>1</v>
      </c>
      <c r="J410" s="2" t="inlineStr">
        <is>
          <t>skb-eval-80103-c5169</t>
        </is>
      </c>
      <c r="K410" s="2" t="n">
        <v>1790</v>
      </c>
      <c r="L410" s="2" t="n">
        <v>771</v>
      </c>
      <c r="M410" s="2" t="n">
        <v>1443</v>
      </c>
      <c r="N410" s="2" t="b">
        <v>1</v>
      </c>
      <c r="O410" s="2" t="b">
        <v>0</v>
      </c>
      <c r="P410" s="2" t="inlineStr">
        <is>
          <t>2a2a 1301 1302 1303 c02b c02f c02c c030 cca9 cca8 c013 c014 009c 009d 002f 0035</t>
        </is>
      </c>
      <c r="Q410" s="2" t="inlineStr"/>
      <c r="R410" s="2" t="inlineStr">
        <is>
          <t>unknown</t>
        </is>
      </c>
      <c r="S410" s="2" t="inlineStr">
        <is>
          <t>allow</t>
        </is>
      </c>
      <c r="T410" s="2">
        <f>K410=E410</f>
        <v/>
      </c>
      <c r="U410" s="2">
        <f>L410=F410</f>
        <v/>
      </c>
      <c r="V410" s="2">
        <f>IF(N410,EXACT(P410,G410),"")</f>
        <v/>
      </c>
      <c r="W410" s="2">
        <f>IF(O410,EXACT(Q410,H410),"")</f>
        <v/>
      </c>
      <c r="X410" s="2">
        <f>J410=C410</f>
        <v/>
      </c>
      <c r="Y410" s="2">
        <f>IF(R410="unknown","",R410=S410)</f>
        <v/>
      </c>
      <c r="Z410" s="2" t="inlineStr">
        <is>
          <t>A</t>
        </is>
      </c>
      <c r="AA410" s="2" t="inlineStr">
        <is>
          <t>A</t>
        </is>
      </c>
      <c r="AB410" s="2">
        <f>AND(N410,O410,A410&lt;&gt;"census-mixed")</f>
        <v/>
      </c>
      <c r="AC410" s="2">
        <f>IF(AB410,Z410=AA410,"")</f>
        <v/>
      </c>
    </row>
    <row r="411">
      <c r="A411" s="2" t="inlineStr">
        <is>
          <t>census-mixed</t>
        </is>
      </c>
      <c r="B411" s="2" t="inlineStr">
        <is>
          <t>browser chrome150</t>
        </is>
      </c>
      <c r="C411" s="2" t="inlineStr">
        <is>
          <t>skb-eval-80103-c5170</t>
        </is>
      </c>
      <c r="D411" s="2" t="n">
        <v>5170</v>
      </c>
      <c r="E411" s="2" t="n">
        <v>1822</v>
      </c>
      <c r="F411" s="2" t="n">
        <v>771</v>
      </c>
      <c r="G411" s="2" t="inlineStr">
        <is>
          <t>caca 1301 1302 1303 c02b c02f c02c c030 cca9 cca8 c013 c014 009c 009d 002f 0035</t>
        </is>
      </c>
      <c r="H411" s="2" t="inlineStr">
        <is>
          <t>dada 0304 0303</t>
        </is>
      </c>
      <c r="I411" s="2" t="n">
        <v>1</v>
      </c>
      <c r="J411" s="2" t="inlineStr">
        <is>
          <t>skb-eval-80103-c5170</t>
        </is>
      </c>
      <c r="K411" s="2" t="n">
        <v>1822</v>
      </c>
      <c r="L411" s="2" t="n">
        <v>771</v>
      </c>
      <c r="M411" s="2" t="n">
        <v>1443</v>
      </c>
      <c r="N411" s="2" t="b">
        <v>1</v>
      </c>
      <c r="O411" s="2" t="b">
        <v>0</v>
      </c>
      <c r="P411" s="2" t="inlineStr">
        <is>
          <t>caca 1301 1302 1303 c02b c02f c02c c030 cca9 cca8 c013 c014 009c 009d 002f 0035</t>
        </is>
      </c>
      <c r="Q411" s="2" t="inlineStr"/>
      <c r="R411" s="2" t="inlineStr">
        <is>
          <t>unknown</t>
        </is>
      </c>
      <c r="S411" s="2" t="inlineStr">
        <is>
          <t>allow</t>
        </is>
      </c>
      <c r="T411" s="2">
        <f>K411=E411</f>
        <v/>
      </c>
      <c r="U411" s="2">
        <f>L411=F411</f>
        <v/>
      </c>
      <c r="V411" s="2">
        <f>IF(N411,EXACT(P411,G411),"")</f>
        <v/>
      </c>
      <c r="W411" s="2">
        <f>IF(O411,EXACT(Q411,H411),"")</f>
        <v/>
      </c>
      <c r="X411" s="2">
        <f>J411=C411</f>
        <v/>
      </c>
      <c r="Y411" s="2">
        <f>IF(R411="unknown","",R411=S411)</f>
        <v/>
      </c>
      <c r="Z411" s="2" t="inlineStr">
        <is>
          <t>A</t>
        </is>
      </c>
      <c r="AA411" s="2" t="inlineStr">
        <is>
          <t>A</t>
        </is>
      </c>
      <c r="AB411" s="2">
        <f>AND(N411,O411,A411&lt;&gt;"census-mixed")</f>
        <v/>
      </c>
      <c r="AC411" s="2">
        <f>IF(AB411,Z411=AA411,"")</f>
        <v/>
      </c>
    </row>
    <row r="412">
      <c r="A412" s="2" t="inlineStr">
        <is>
          <t>census-mixed</t>
        </is>
      </c>
      <c r="B412" s="2" t="inlineStr">
        <is>
          <t>browser edge101</t>
        </is>
      </c>
      <c r="C412" s="2" t="inlineStr">
        <is>
          <t>skb-eval-80103-c5171</t>
        </is>
      </c>
      <c r="D412" s="2" t="n">
        <v>5171</v>
      </c>
      <c r="E412" s="2" t="n">
        <v>512</v>
      </c>
      <c r="F412" s="2" t="n">
        <v>771</v>
      </c>
      <c r="G412" s="2" t="inlineStr">
        <is>
          <t>baba 1301 1302 1303 c02b c02f c02c c030 cca9 cca8 c013 c014 009c 009d 002f 0035</t>
        </is>
      </c>
      <c r="H412" s="2" t="inlineStr">
        <is>
          <t>6a6a 0304 0303</t>
        </is>
      </c>
      <c r="I412" s="2" t="n">
        <v>1</v>
      </c>
      <c r="J412" s="2" t="inlineStr">
        <is>
          <t>skb-eval-80103-c5171</t>
        </is>
      </c>
      <c r="K412" s="2" t="n">
        <v>512</v>
      </c>
      <c r="L412" s="2" t="n">
        <v>771</v>
      </c>
      <c r="M412" s="2" t="n">
        <v>512</v>
      </c>
      <c r="N412" s="2" t="b">
        <v>1</v>
      </c>
      <c r="O412" s="2" t="b">
        <v>1</v>
      </c>
      <c r="P412" s="2" t="inlineStr">
        <is>
          <t>baba 1301 1302 1303 c02b c02f c02c c030 cca9 cca8 c013 c014 009c 009d 002f 0035</t>
        </is>
      </c>
      <c r="Q412" s="2" t="inlineStr">
        <is>
          <t>6a6a 0304 0303</t>
        </is>
      </c>
      <c r="R412" s="2" t="inlineStr">
        <is>
          <t>allow</t>
        </is>
      </c>
      <c r="S412" s="2" t="inlineStr">
        <is>
          <t>allow</t>
        </is>
      </c>
      <c r="T412" s="2">
        <f>K412=E412</f>
        <v/>
      </c>
      <c r="U412" s="2">
        <f>L412=F412</f>
        <v/>
      </c>
      <c r="V412" s="2">
        <f>IF(N412,EXACT(P412,G412),"")</f>
        <v/>
      </c>
      <c r="W412" s="2">
        <f>IF(O412,EXACT(Q412,H412),"")</f>
        <v/>
      </c>
      <c r="X412" s="2">
        <f>J412=C412</f>
        <v/>
      </c>
      <c r="Y412" s="2">
        <f>IF(R412="unknown","",R412=S412)</f>
        <v/>
      </c>
      <c r="Z412" s="2" t="inlineStr">
        <is>
          <t>A</t>
        </is>
      </c>
      <c r="AA412" s="2" t="inlineStr">
        <is>
          <t>A</t>
        </is>
      </c>
      <c r="AB412" s="2">
        <f>AND(N412,O412,A412&lt;&gt;"census-mixed")</f>
        <v/>
      </c>
      <c r="AC412" s="2">
        <f>IF(AB412,Z412=AA412,"")</f>
        <v/>
      </c>
    </row>
    <row r="413">
      <c r="A413" s="2" t="inlineStr">
        <is>
          <t>census-mixed</t>
        </is>
      </c>
      <c r="B413" s="2" t="inlineStr">
        <is>
          <t>browser edge101</t>
        </is>
      </c>
      <c r="C413" s="2" t="inlineStr">
        <is>
          <t>skb-eval-80103-c5172</t>
        </is>
      </c>
      <c r="D413" s="2" t="n">
        <v>5172</v>
      </c>
      <c r="E413" s="2" t="n">
        <v>512</v>
      </c>
      <c r="F413" s="2" t="n">
        <v>771</v>
      </c>
      <c r="G413" s="2" t="inlineStr">
        <is>
          <t>baba 1301 1302 1303 c02b c02f c02c c030 cca9 cca8 c013 c014 009c 009d 002f 0035</t>
        </is>
      </c>
      <c r="H413" s="2" t="inlineStr">
        <is>
          <t>0a0a 0304 0303</t>
        </is>
      </c>
      <c r="I413" s="2" t="n">
        <v>1</v>
      </c>
      <c r="J413" s="2" t="inlineStr">
        <is>
          <t>skb-eval-80103-c5172</t>
        </is>
      </c>
      <c r="K413" s="2" t="n">
        <v>512</v>
      </c>
      <c r="L413" s="2" t="n">
        <v>771</v>
      </c>
      <c r="M413" s="2" t="n">
        <v>512</v>
      </c>
      <c r="N413" s="2" t="b">
        <v>1</v>
      </c>
      <c r="O413" s="2" t="b">
        <v>1</v>
      </c>
      <c r="P413" s="2" t="inlineStr">
        <is>
          <t>baba 1301 1302 1303 c02b c02f c02c c030 cca9 cca8 c013 c014 009c 009d 002f 0035</t>
        </is>
      </c>
      <c r="Q413" s="2" t="inlineStr">
        <is>
          <t>0a0a 0304 0303</t>
        </is>
      </c>
      <c r="R413" s="2" t="inlineStr">
        <is>
          <t>allow</t>
        </is>
      </c>
      <c r="S413" s="2" t="inlineStr">
        <is>
          <t>allow</t>
        </is>
      </c>
      <c r="T413" s="2">
        <f>K413=E413</f>
        <v/>
      </c>
      <c r="U413" s="2">
        <f>L413=F413</f>
        <v/>
      </c>
      <c r="V413" s="2">
        <f>IF(N413,EXACT(P413,G413),"")</f>
        <v/>
      </c>
      <c r="W413" s="2">
        <f>IF(O413,EXACT(Q413,H413),"")</f>
        <v/>
      </c>
      <c r="X413" s="2">
        <f>J413=C413</f>
        <v/>
      </c>
      <c r="Y413" s="2">
        <f>IF(R413="unknown","",R413=S413)</f>
        <v/>
      </c>
      <c r="Z413" s="2" t="inlineStr">
        <is>
          <t>A</t>
        </is>
      </c>
      <c r="AA413" s="2" t="inlineStr">
        <is>
          <t>A</t>
        </is>
      </c>
      <c r="AB413" s="2">
        <f>AND(N413,O413,A413&lt;&gt;"census-mixed")</f>
        <v/>
      </c>
      <c r="AC413" s="2">
        <f>IF(AB413,Z413=AA413,"")</f>
        <v/>
      </c>
    </row>
    <row r="414">
      <c r="A414" s="2" t="inlineStr">
        <is>
          <t>census-mixed</t>
        </is>
      </c>
      <c r="B414" s="2" t="inlineStr">
        <is>
          <t>browser edge101</t>
        </is>
      </c>
      <c r="C414" s="2" t="inlineStr">
        <is>
          <t>skb-eval-80103-c5173</t>
        </is>
      </c>
      <c r="D414" s="2" t="n">
        <v>5173</v>
      </c>
      <c r="E414" s="2" t="n">
        <v>512</v>
      </c>
      <c r="F414" s="2" t="n">
        <v>771</v>
      </c>
      <c r="G414" s="2" t="inlineStr">
        <is>
          <t>dada 1301 1302 1303 c02b c02f c02c c030 cca9 cca8 c013 c014 009c 009d 002f 0035</t>
        </is>
      </c>
      <c r="H414" s="2" t="inlineStr">
        <is>
          <t>4a4a 0304 0303</t>
        </is>
      </c>
      <c r="I414" s="2" t="n">
        <v>1</v>
      </c>
      <c r="J414" s="2" t="inlineStr">
        <is>
          <t>skb-eval-80103-c5173</t>
        </is>
      </c>
      <c r="K414" s="2" t="n">
        <v>512</v>
      </c>
      <c r="L414" s="2" t="n">
        <v>771</v>
      </c>
      <c r="M414" s="2" t="n">
        <v>512</v>
      </c>
      <c r="N414" s="2" t="b">
        <v>1</v>
      </c>
      <c r="O414" s="2" t="b">
        <v>1</v>
      </c>
      <c r="P414" s="2" t="inlineStr">
        <is>
          <t>dada 1301 1302 1303 c02b c02f c02c c030 cca9 cca8 c013 c014 009c 009d 002f 0035</t>
        </is>
      </c>
      <c r="Q414" s="2" t="inlineStr">
        <is>
          <t>4a4a 0304 0303</t>
        </is>
      </c>
      <c r="R414" s="2" t="inlineStr">
        <is>
          <t>allow</t>
        </is>
      </c>
      <c r="S414" s="2" t="inlineStr">
        <is>
          <t>allow</t>
        </is>
      </c>
      <c r="T414" s="2">
        <f>K414=E414</f>
        <v/>
      </c>
      <c r="U414" s="2">
        <f>L414=F414</f>
        <v/>
      </c>
      <c r="V414" s="2">
        <f>IF(N414,EXACT(P414,G414),"")</f>
        <v/>
      </c>
      <c r="W414" s="2">
        <f>IF(O414,EXACT(Q414,H414),"")</f>
        <v/>
      </c>
      <c r="X414" s="2">
        <f>J414=C414</f>
        <v/>
      </c>
      <c r="Y414" s="2">
        <f>IF(R414="unknown","",R414=S414)</f>
        <v/>
      </c>
      <c r="Z414" s="2" t="inlineStr">
        <is>
          <t>A</t>
        </is>
      </c>
      <c r="AA414" s="2" t="inlineStr">
        <is>
          <t>A</t>
        </is>
      </c>
      <c r="AB414" s="2">
        <f>AND(N414,O414,A414&lt;&gt;"census-mixed")</f>
        <v/>
      </c>
      <c r="AC414" s="2">
        <f>IF(AB414,Z414=AA414,"")</f>
        <v/>
      </c>
    </row>
    <row r="415">
      <c r="A415" s="2" t="inlineStr">
        <is>
          <t>census-mixed</t>
        </is>
      </c>
      <c r="B415" s="2" t="inlineStr">
        <is>
          <t>browser edge101</t>
        </is>
      </c>
      <c r="C415" s="2" t="inlineStr">
        <is>
          <t>skb-eval-80103-c5174</t>
        </is>
      </c>
      <c r="D415" s="2" t="n">
        <v>5174</v>
      </c>
      <c r="E415" s="2" t="n">
        <v>512</v>
      </c>
      <c r="F415" s="2" t="n">
        <v>771</v>
      </c>
      <c r="G415" s="2" t="inlineStr">
        <is>
          <t>8a8a 1301 1302 1303 c02b c02f c02c c030 cca9 cca8 c013 c014 009c 009d 002f 0035</t>
        </is>
      </c>
      <c r="H415" s="2" t="inlineStr">
        <is>
          <t>caca 0304 0303</t>
        </is>
      </c>
      <c r="I415" s="2" t="n">
        <v>1</v>
      </c>
      <c r="J415" s="2" t="inlineStr">
        <is>
          <t>skb-eval-80103-c5174</t>
        </is>
      </c>
      <c r="K415" s="2" t="n">
        <v>512</v>
      </c>
      <c r="L415" s="2" t="n">
        <v>771</v>
      </c>
      <c r="M415" s="2" t="n">
        <v>512</v>
      </c>
      <c r="N415" s="2" t="b">
        <v>1</v>
      </c>
      <c r="O415" s="2" t="b">
        <v>1</v>
      </c>
      <c r="P415" s="2" t="inlineStr">
        <is>
          <t>8a8a 1301 1302 1303 c02b c02f c02c c030 cca9 cca8 c013 c014 009c 009d 002f 0035</t>
        </is>
      </c>
      <c r="Q415" s="2" t="inlineStr">
        <is>
          <t>caca 0304 0303</t>
        </is>
      </c>
      <c r="R415" s="2" t="inlineStr">
        <is>
          <t>allow</t>
        </is>
      </c>
      <c r="S415" s="2" t="inlineStr">
        <is>
          <t>allow</t>
        </is>
      </c>
      <c r="T415" s="2">
        <f>K415=E415</f>
        <v/>
      </c>
      <c r="U415" s="2">
        <f>L415=F415</f>
        <v/>
      </c>
      <c r="V415" s="2">
        <f>IF(N415,EXACT(P415,G415),"")</f>
        <v/>
      </c>
      <c r="W415" s="2">
        <f>IF(O415,EXACT(Q415,H415),"")</f>
        <v/>
      </c>
      <c r="X415" s="2">
        <f>J415=C415</f>
        <v/>
      </c>
      <c r="Y415" s="2">
        <f>IF(R415="unknown","",R415=S415)</f>
        <v/>
      </c>
      <c r="Z415" s="2" t="inlineStr">
        <is>
          <t>A</t>
        </is>
      </c>
      <c r="AA415" s="2" t="inlineStr">
        <is>
          <t>A</t>
        </is>
      </c>
      <c r="AB415" s="2">
        <f>AND(N415,O415,A415&lt;&gt;"census-mixed")</f>
        <v/>
      </c>
      <c r="AC415" s="2">
        <f>IF(AB415,Z415=AA415,"")</f>
        <v/>
      </c>
    </row>
    <row r="416">
      <c r="A416" s="2" t="inlineStr">
        <is>
          <t>census-mixed</t>
        </is>
      </c>
      <c r="B416" s="2" t="inlineStr">
        <is>
          <t>browser edge101</t>
        </is>
      </c>
      <c r="C416" s="2" t="inlineStr">
        <is>
          <t>skb-eval-80103-c5175</t>
        </is>
      </c>
      <c r="D416" s="2" t="n">
        <v>5175</v>
      </c>
      <c r="E416" s="2" t="n">
        <v>512</v>
      </c>
      <c r="F416" s="2" t="n">
        <v>771</v>
      </c>
      <c r="G416" s="2" t="inlineStr">
        <is>
          <t>5a5a 1301 1302 1303 c02b c02f c02c c030 cca9 cca8 c013 c014 009c 009d 002f 0035</t>
        </is>
      </c>
      <c r="H416" s="2" t="inlineStr">
        <is>
          <t>caca 0304 0303</t>
        </is>
      </c>
      <c r="I416" s="2" t="n">
        <v>1</v>
      </c>
      <c r="J416" s="2" t="inlineStr">
        <is>
          <t>skb-eval-80103-c5175</t>
        </is>
      </c>
      <c r="K416" s="2" t="n">
        <v>512</v>
      </c>
      <c r="L416" s="2" t="n">
        <v>771</v>
      </c>
      <c r="M416" s="2" t="n">
        <v>512</v>
      </c>
      <c r="N416" s="2" t="b">
        <v>1</v>
      </c>
      <c r="O416" s="2" t="b">
        <v>1</v>
      </c>
      <c r="P416" s="2" t="inlineStr">
        <is>
          <t>5a5a 1301 1302 1303 c02b c02f c02c c030 cca9 cca8 c013 c014 009c 009d 002f 0035</t>
        </is>
      </c>
      <c r="Q416" s="2" t="inlineStr">
        <is>
          <t>caca 0304 0303</t>
        </is>
      </c>
      <c r="R416" s="2" t="inlineStr">
        <is>
          <t>allow</t>
        </is>
      </c>
      <c r="S416" s="2" t="inlineStr">
        <is>
          <t>allow</t>
        </is>
      </c>
      <c r="T416" s="2">
        <f>K416=E416</f>
        <v/>
      </c>
      <c r="U416" s="2">
        <f>L416=F416</f>
        <v/>
      </c>
      <c r="V416" s="2">
        <f>IF(N416,EXACT(P416,G416),"")</f>
        <v/>
      </c>
      <c r="W416" s="2">
        <f>IF(O416,EXACT(Q416,H416),"")</f>
        <v/>
      </c>
      <c r="X416" s="2">
        <f>J416=C416</f>
        <v/>
      </c>
      <c r="Y416" s="2">
        <f>IF(R416="unknown","",R416=S416)</f>
        <v/>
      </c>
      <c r="Z416" s="2" t="inlineStr">
        <is>
          <t>A</t>
        </is>
      </c>
      <c r="AA416" s="2" t="inlineStr">
        <is>
          <t>A</t>
        </is>
      </c>
      <c r="AB416" s="2">
        <f>AND(N416,O416,A416&lt;&gt;"census-mixed")</f>
        <v/>
      </c>
      <c r="AC416" s="2">
        <f>IF(AB416,Z416=AA416,"")</f>
        <v/>
      </c>
    </row>
    <row r="417">
      <c r="A417" s="2" t="inlineStr">
        <is>
          <t>census-mixed</t>
        </is>
      </c>
      <c r="B417" s="2" t="inlineStr">
        <is>
          <t>browser edge101</t>
        </is>
      </c>
      <c r="C417" s="2" t="inlineStr">
        <is>
          <t>skb-eval-80103-c5176</t>
        </is>
      </c>
      <c r="D417" s="2" t="n">
        <v>5176</v>
      </c>
      <c r="E417" s="2" t="n">
        <v>512</v>
      </c>
      <c r="F417" s="2" t="n">
        <v>771</v>
      </c>
      <c r="G417" s="2" t="inlineStr">
        <is>
          <t>dada 1301 1302 1303 c02b c02f c02c c030 cca9 cca8 c013 c014 009c 009d 002f 0035</t>
        </is>
      </c>
      <c r="H417" s="2" t="inlineStr">
        <is>
          <t>caca 0304 0303</t>
        </is>
      </c>
      <c r="I417" s="2" t="n">
        <v>1</v>
      </c>
      <c r="J417" s="2" t="inlineStr">
        <is>
          <t>skb-eval-80103-c5176</t>
        </is>
      </c>
      <c r="K417" s="2" t="n">
        <v>512</v>
      </c>
      <c r="L417" s="2" t="n">
        <v>771</v>
      </c>
      <c r="M417" s="2" t="n">
        <v>512</v>
      </c>
      <c r="N417" s="2" t="b">
        <v>1</v>
      </c>
      <c r="O417" s="2" t="b">
        <v>1</v>
      </c>
      <c r="P417" s="2" t="inlineStr">
        <is>
          <t>dada 1301 1302 1303 c02b c02f c02c c030 cca9 cca8 c013 c014 009c 009d 002f 0035</t>
        </is>
      </c>
      <c r="Q417" s="2" t="inlineStr">
        <is>
          <t>caca 0304 0303</t>
        </is>
      </c>
      <c r="R417" s="2" t="inlineStr">
        <is>
          <t>allow</t>
        </is>
      </c>
      <c r="S417" s="2" t="inlineStr">
        <is>
          <t>allow</t>
        </is>
      </c>
      <c r="T417" s="2">
        <f>K417=E417</f>
        <v/>
      </c>
      <c r="U417" s="2">
        <f>L417=F417</f>
        <v/>
      </c>
      <c r="V417" s="2">
        <f>IF(N417,EXACT(P417,G417),"")</f>
        <v/>
      </c>
      <c r="W417" s="2">
        <f>IF(O417,EXACT(Q417,H417),"")</f>
        <v/>
      </c>
      <c r="X417" s="2">
        <f>J417=C417</f>
        <v/>
      </c>
      <c r="Y417" s="2">
        <f>IF(R417="unknown","",R417=S417)</f>
        <v/>
      </c>
      <c r="Z417" s="2" t="inlineStr">
        <is>
          <t>A</t>
        </is>
      </c>
      <c r="AA417" s="2" t="inlineStr">
        <is>
          <t>A</t>
        </is>
      </c>
      <c r="AB417" s="2">
        <f>AND(N417,O417,A417&lt;&gt;"census-mixed")</f>
        <v/>
      </c>
      <c r="AC417" s="2">
        <f>IF(AB417,Z417=AA417,"")</f>
        <v/>
      </c>
    </row>
    <row r="418">
      <c r="A418" s="2" t="inlineStr">
        <is>
          <t>census-mixed</t>
        </is>
      </c>
      <c r="B418" s="2" t="inlineStr">
        <is>
          <t>browser edge101</t>
        </is>
      </c>
      <c r="C418" s="2" t="inlineStr">
        <is>
          <t>skb-eval-80103-c5177</t>
        </is>
      </c>
      <c r="D418" s="2" t="n">
        <v>5177</v>
      </c>
      <c r="E418" s="2" t="n">
        <v>512</v>
      </c>
      <c r="F418" s="2" t="n">
        <v>771</v>
      </c>
      <c r="G418" s="2" t="inlineStr">
        <is>
          <t>baba 1301 1302 1303 c02b c02f c02c c030 cca9 cca8 c013 c014 009c 009d 002f 0035</t>
        </is>
      </c>
      <c r="H418" s="2" t="inlineStr">
        <is>
          <t>caca 0304 0303</t>
        </is>
      </c>
      <c r="I418" s="2" t="n">
        <v>1</v>
      </c>
      <c r="J418" s="2" t="inlineStr">
        <is>
          <t>skb-eval-80103-c5177</t>
        </is>
      </c>
      <c r="K418" s="2" t="n">
        <v>512</v>
      </c>
      <c r="L418" s="2" t="n">
        <v>771</v>
      </c>
      <c r="M418" s="2" t="n">
        <v>512</v>
      </c>
      <c r="N418" s="2" t="b">
        <v>1</v>
      </c>
      <c r="O418" s="2" t="b">
        <v>1</v>
      </c>
      <c r="P418" s="2" t="inlineStr">
        <is>
          <t>baba 1301 1302 1303 c02b c02f c02c c030 cca9 cca8 c013 c014 009c 009d 002f 0035</t>
        </is>
      </c>
      <c r="Q418" s="2" t="inlineStr">
        <is>
          <t>caca 0304 0303</t>
        </is>
      </c>
      <c r="R418" s="2" t="inlineStr">
        <is>
          <t>allow</t>
        </is>
      </c>
      <c r="S418" s="2" t="inlineStr">
        <is>
          <t>allow</t>
        </is>
      </c>
      <c r="T418" s="2">
        <f>K418=E418</f>
        <v/>
      </c>
      <c r="U418" s="2">
        <f>L418=F418</f>
        <v/>
      </c>
      <c r="V418" s="2">
        <f>IF(N418,EXACT(P418,G418),"")</f>
        <v/>
      </c>
      <c r="W418" s="2">
        <f>IF(O418,EXACT(Q418,H418),"")</f>
        <v/>
      </c>
      <c r="X418" s="2">
        <f>J418=C418</f>
        <v/>
      </c>
      <c r="Y418" s="2">
        <f>IF(R418="unknown","",R418=S418)</f>
        <v/>
      </c>
      <c r="Z418" s="2" t="inlineStr">
        <is>
          <t>A</t>
        </is>
      </c>
      <c r="AA418" s="2" t="inlineStr">
        <is>
          <t>A</t>
        </is>
      </c>
      <c r="AB418" s="2">
        <f>AND(N418,O418,A418&lt;&gt;"census-mixed")</f>
        <v/>
      </c>
      <c r="AC418" s="2">
        <f>IF(AB418,Z418=AA418,"")</f>
        <v/>
      </c>
    </row>
    <row r="419">
      <c r="A419" s="2" t="inlineStr">
        <is>
          <t>census-mixed</t>
        </is>
      </c>
      <c r="B419" s="2" t="inlineStr">
        <is>
          <t>browser edge101</t>
        </is>
      </c>
      <c r="C419" s="2" t="inlineStr">
        <is>
          <t>skb-eval-80103-c5178</t>
        </is>
      </c>
      <c r="D419" s="2" t="n">
        <v>5178</v>
      </c>
      <c r="E419" s="2" t="n">
        <v>512</v>
      </c>
      <c r="F419" s="2" t="n">
        <v>771</v>
      </c>
      <c r="G419" s="2" t="inlineStr">
        <is>
          <t>dada 1301 1302 1303 c02b c02f c02c c030 cca9 cca8 c013 c014 009c 009d 002f 0035</t>
        </is>
      </c>
      <c r="H419" s="2" t="inlineStr">
        <is>
          <t>2a2a 0304 0303</t>
        </is>
      </c>
      <c r="I419" s="2" t="n">
        <v>1</v>
      </c>
      <c r="J419" s="2" t="inlineStr">
        <is>
          <t>skb-eval-80103-c5178</t>
        </is>
      </c>
      <c r="K419" s="2" t="n">
        <v>512</v>
      </c>
      <c r="L419" s="2" t="n">
        <v>771</v>
      </c>
      <c r="M419" s="2" t="n">
        <v>512</v>
      </c>
      <c r="N419" s="2" t="b">
        <v>1</v>
      </c>
      <c r="O419" s="2" t="b">
        <v>1</v>
      </c>
      <c r="P419" s="2" t="inlineStr">
        <is>
          <t>dada 1301 1302 1303 c02b c02f c02c c030 cca9 cca8 c013 c014 009c 009d 002f 0035</t>
        </is>
      </c>
      <c r="Q419" s="2" t="inlineStr">
        <is>
          <t>2a2a 0304 0303</t>
        </is>
      </c>
      <c r="R419" s="2" t="inlineStr">
        <is>
          <t>allow</t>
        </is>
      </c>
      <c r="S419" s="2" t="inlineStr">
        <is>
          <t>allow</t>
        </is>
      </c>
      <c r="T419" s="2">
        <f>K419=E419</f>
        <v/>
      </c>
      <c r="U419" s="2">
        <f>L419=F419</f>
        <v/>
      </c>
      <c r="V419" s="2">
        <f>IF(N419,EXACT(P419,G419),"")</f>
        <v/>
      </c>
      <c r="W419" s="2">
        <f>IF(O419,EXACT(Q419,H419),"")</f>
        <v/>
      </c>
      <c r="X419" s="2">
        <f>J419=C419</f>
        <v/>
      </c>
      <c r="Y419" s="2">
        <f>IF(R419="unknown","",R419=S419)</f>
        <v/>
      </c>
      <c r="Z419" s="2" t="inlineStr">
        <is>
          <t>A</t>
        </is>
      </c>
      <c r="AA419" s="2" t="inlineStr">
        <is>
          <t>A</t>
        </is>
      </c>
      <c r="AB419" s="2">
        <f>AND(N419,O419,A419&lt;&gt;"census-mixed")</f>
        <v/>
      </c>
      <c r="AC419" s="2">
        <f>IF(AB419,Z419=AA419,"")</f>
        <v/>
      </c>
    </row>
    <row r="420">
      <c r="A420" s="2" t="inlineStr">
        <is>
          <t>census-mixed</t>
        </is>
      </c>
      <c r="B420" s="2" t="inlineStr">
        <is>
          <t>browser edge101</t>
        </is>
      </c>
      <c r="C420" s="2" t="inlineStr">
        <is>
          <t>skb-eval-80103-c5179</t>
        </is>
      </c>
      <c r="D420" s="2" t="n">
        <v>5179</v>
      </c>
      <c r="E420" s="2" t="n">
        <v>512</v>
      </c>
      <c r="F420" s="2" t="n">
        <v>771</v>
      </c>
      <c r="G420" s="2" t="inlineStr">
        <is>
          <t>3a3a 1301 1302 1303 c02b c02f c02c c030 cca9 cca8 c013 c014 009c 009d 002f 0035</t>
        </is>
      </c>
      <c r="H420" s="2" t="inlineStr">
        <is>
          <t>aaaa 0304 0303</t>
        </is>
      </c>
      <c r="I420" s="2" t="n">
        <v>1</v>
      </c>
      <c r="J420" s="2" t="inlineStr">
        <is>
          <t>skb-eval-80103-c5179</t>
        </is>
      </c>
      <c r="K420" s="2" t="n">
        <v>512</v>
      </c>
      <c r="L420" s="2" t="n">
        <v>771</v>
      </c>
      <c r="M420" s="2" t="n">
        <v>512</v>
      </c>
      <c r="N420" s="2" t="b">
        <v>1</v>
      </c>
      <c r="O420" s="2" t="b">
        <v>1</v>
      </c>
      <c r="P420" s="2" t="inlineStr">
        <is>
          <t>3a3a 1301 1302 1303 c02b c02f c02c c030 cca9 cca8 c013 c014 009c 009d 002f 0035</t>
        </is>
      </c>
      <c r="Q420" s="2" t="inlineStr">
        <is>
          <t>aaaa 0304 0303</t>
        </is>
      </c>
      <c r="R420" s="2" t="inlineStr">
        <is>
          <t>allow</t>
        </is>
      </c>
      <c r="S420" s="2" t="inlineStr">
        <is>
          <t>allow</t>
        </is>
      </c>
      <c r="T420" s="2">
        <f>K420=E420</f>
        <v/>
      </c>
      <c r="U420" s="2">
        <f>L420=F420</f>
        <v/>
      </c>
      <c r="V420" s="2">
        <f>IF(N420,EXACT(P420,G420),"")</f>
        <v/>
      </c>
      <c r="W420" s="2">
        <f>IF(O420,EXACT(Q420,H420),"")</f>
        <v/>
      </c>
      <c r="X420" s="2">
        <f>J420=C420</f>
        <v/>
      </c>
      <c r="Y420" s="2">
        <f>IF(R420="unknown","",R420=S420)</f>
        <v/>
      </c>
      <c r="Z420" s="2" t="inlineStr">
        <is>
          <t>A</t>
        </is>
      </c>
      <c r="AA420" s="2" t="inlineStr">
        <is>
          <t>A</t>
        </is>
      </c>
      <c r="AB420" s="2">
        <f>AND(N420,O420,A420&lt;&gt;"census-mixed")</f>
        <v/>
      </c>
      <c r="AC420" s="2">
        <f>IF(AB420,Z420=AA420,"")</f>
        <v/>
      </c>
    </row>
    <row r="421">
      <c r="A421" s="2" t="inlineStr">
        <is>
          <t>census-mixed</t>
        </is>
      </c>
      <c r="B421" s="2" t="inlineStr">
        <is>
          <t>browser edge101</t>
        </is>
      </c>
      <c r="C421" s="2" t="inlineStr">
        <is>
          <t>skb-eval-80103-c5180</t>
        </is>
      </c>
      <c r="D421" s="2" t="n">
        <v>5180</v>
      </c>
      <c r="E421" s="2" t="n">
        <v>512</v>
      </c>
      <c r="F421" s="2" t="n">
        <v>771</v>
      </c>
      <c r="G421" s="2" t="inlineStr">
        <is>
          <t>9a9a 1301 1302 1303 c02b c02f c02c c030 cca9 cca8 c013 c014 009c 009d 002f 0035</t>
        </is>
      </c>
      <c r="H421" s="2" t="inlineStr">
        <is>
          <t>4a4a 0304 0303</t>
        </is>
      </c>
      <c r="I421" s="2" t="n">
        <v>1</v>
      </c>
      <c r="J421" s="2" t="inlineStr">
        <is>
          <t>skb-eval-80103-c5180</t>
        </is>
      </c>
      <c r="K421" s="2" t="n">
        <v>512</v>
      </c>
      <c r="L421" s="2" t="n">
        <v>771</v>
      </c>
      <c r="M421" s="2" t="n">
        <v>512</v>
      </c>
      <c r="N421" s="2" t="b">
        <v>1</v>
      </c>
      <c r="O421" s="2" t="b">
        <v>1</v>
      </c>
      <c r="P421" s="2" t="inlineStr">
        <is>
          <t>9a9a 1301 1302 1303 c02b c02f c02c c030 cca9 cca8 c013 c014 009c 009d 002f 0035</t>
        </is>
      </c>
      <c r="Q421" s="2" t="inlineStr">
        <is>
          <t>4a4a 0304 0303</t>
        </is>
      </c>
      <c r="R421" s="2" t="inlineStr">
        <is>
          <t>allow</t>
        </is>
      </c>
      <c r="S421" s="2" t="inlineStr">
        <is>
          <t>allow</t>
        </is>
      </c>
      <c r="T421" s="2">
        <f>K421=E421</f>
        <v/>
      </c>
      <c r="U421" s="2">
        <f>L421=F421</f>
        <v/>
      </c>
      <c r="V421" s="2">
        <f>IF(N421,EXACT(P421,G421),"")</f>
        <v/>
      </c>
      <c r="W421" s="2">
        <f>IF(O421,EXACT(Q421,H421),"")</f>
        <v/>
      </c>
      <c r="X421" s="2">
        <f>J421=C421</f>
        <v/>
      </c>
      <c r="Y421" s="2">
        <f>IF(R421="unknown","",R421=S421)</f>
        <v/>
      </c>
      <c r="Z421" s="2" t="inlineStr">
        <is>
          <t>A</t>
        </is>
      </c>
      <c r="AA421" s="2" t="inlineStr">
        <is>
          <t>A</t>
        </is>
      </c>
      <c r="AB421" s="2">
        <f>AND(N421,O421,A421&lt;&gt;"census-mixed")</f>
        <v/>
      </c>
      <c r="AC421" s="2">
        <f>IF(AB421,Z421=AA421,"")</f>
        <v/>
      </c>
    </row>
    <row r="422">
      <c r="A422" s="2" t="inlineStr">
        <is>
          <t>census-mixed</t>
        </is>
      </c>
      <c r="B422" s="2" t="inlineStr">
        <is>
          <t>browser firefox133</t>
        </is>
      </c>
      <c r="C422" s="2" t="inlineStr">
        <is>
          <t>skb-eval-80103-c5181</t>
        </is>
      </c>
      <c r="D422" s="2" t="n">
        <v>5181</v>
      </c>
      <c r="E422" s="2" t="n">
        <v>1796</v>
      </c>
      <c r="F422" s="2" t="n">
        <v>771</v>
      </c>
      <c r="G422" s="2" t="inlineStr">
        <is>
          <t>1301 1303 1302 c02b c02f cca9 cca8 c02c c030 c00a c009 c013 c014 009c 009d 002f 0035</t>
        </is>
      </c>
      <c r="H422" s="2" t="inlineStr">
        <is>
          <t>0304 0303</t>
        </is>
      </c>
      <c r="I422" s="2" t="n">
        <v>1</v>
      </c>
      <c r="J422" s="2" t="inlineStr">
        <is>
          <t>skb-eval-80103-c5181</t>
        </is>
      </c>
      <c r="K422" s="2" t="n">
        <v>1796</v>
      </c>
      <c r="L422" s="2" t="n">
        <v>771</v>
      </c>
      <c r="M422" s="2" t="n">
        <v>1443</v>
      </c>
      <c r="N422" s="2" t="b">
        <v>1</v>
      </c>
      <c r="O422" s="2" t="b">
        <v>0</v>
      </c>
      <c r="P422" s="2" t="inlineStr">
        <is>
          <t>1301 1303 1302 c02b c02f cca9 cca8 c02c c030 c00a c009 c013 c014 009c 009d 002f 0035</t>
        </is>
      </c>
      <c r="Q422" s="2" t="inlineStr"/>
      <c r="R422" s="2" t="inlineStr">
        <is>
          <t>unknown</t>
        </is>
      </c>
      <c r="S422" s="2" t="inlineStr">
        <is>
          <t>allow</t>
        </is>
      </c>
      <c r="T422" s="2">
        <f>K422=E422</f>
        <v/>
      </c>
      <c r="U422" s="2">
        <f>L422=F422</f>
        <v/>
      </c>
      <c r="V422" s="2">
        <f>IF(N422,EXACT(P422,G422),"")</f>
        <v/>
      </c>
      <c r="W422" s="2">
        <f>IF(O422,EXACT(Q422,H422),"")</f>
        <v/>
      </c>
      <c r="X422" s="2">
        <f>J422=C422</f>
        <v/>
      </c>
      <c r="Y422" s="2">
        <f>IF(R422="unknown","",R422=S422)</f>
        <v/>
      </c>
      <c r="Z422" s="2" t="inlineStr">
        <is>
          <t>A</t>
        </is>
      </c>
      <c r="AA422" s="2" t="inlineStr">
        <is>
          <t>A</t>
        </is>
      </c>
      <c r="AB422" s="2">
        <f>AND(N422,O422,A422&lt;&gt;"census-mixed")</f>
        <v/>
      </c>
      <c r="AC422" s="2">
        <f>IF(AB422,Z422=AA422,"")</f>
        <v/>
      </c>
    </row>
    <row r="423">
      <c r="A423" s="2" t="inlineStr">
        <is>
          <t>census-mixed</t>
        </is>
      </c>
      <c r="B423" s="2" t="inlineStr">
        <is>
          <t>browser firefox133</t>
        </is>
      </c>
      <c r="C423" s="2" t="inlineStr">
        <is>
          <t>skb-eval-80103-c5182</t>
        </is>
      </c>
      <c r="D423" s="2" t="n">
        <v>5182</v>
      </c>
      <c r="E423" s="2" t="n">
        <v>1892</v>
      </c>
      <c r="F423" s="2" t="n">
        <v>771</v>
      </c>
      <c r="G423" s="2" t="inlineStr">
        <is>
          <t>1301 1303 1302 c02b c02f cca9 cca8 c02c c030 c00a c009 c013 c014 009c 009d 002f 0035</t>
        </is>
      </c>
      <c r="H423" s="2" t="inlineStr">
        <is>
          <t>0304 0303</t>
        </is>
      </c>
      <c r="I423" s="2" t="n">
        <v>1</v>
      </c>
      <c r="J423" s="2" t="inlineStr">
        <is>
          <t>skb-eval-80103-c5182</t>
        </is>
      </c>
      <c r="K423" s="2" t="n">
        <v>1892</v>
      </c>
      <c r="L423" s="2" t="n">
        <v>771</v>
      </c>
      <c r="M423" s="2" t="n">
        <v>1443</v>
      </c>
      <c r="N423" s="2" t="b">
        <v>1</v>
      </c>
      <c r="O423" s="2" t="b">
        <v>0</v>
      </c>
      <c r="P423" s="2" t="inlineStr">
        <is>
          <t>1301 1303 1302 c02b c02f cca9 cca8 c02c c030 c00a c009 c013 c014 009c 009d 002f 0035</t>
        </is>
      </c>
      <c r="Q423" s="2" t="inlineStr"/>
      <c r="R423" s="2" t="inlineStr">
        <is>
          <t>unknown</t>
        </is>
      </c>
      <c r="S423" s="2" t="inlineStr">
        <is>
          <t>allow</t>
        </is>
      </c>
      <c r="T423" s="2">
        <f>K423=E423</f>
        <v/>
      </c>
      <c r="U423" s="2">
        <f>L423=F423</f>
        <v/>
      </c>
      <c r="V423" s="2">
        <f>IF(N423,EXACT(P423,G423),"")</f>
        <v/>
      </c>
      <c r="W423" s="2">
        <f>IF(O423,EXACT(Q423,H423),"")</f>
        <v/>
      </c>
      <c r="X423" s="2">
        <f>J423=C423</f>
        <v/>
      </c>
      <c r="Y423" s="2">
        <f>IF(R423="unknown","",R423=S423)</f>
        <v/>
      </c>
      <c r="Z423" s="2" t="inlineStr">
        <is>
          <t>A</t>
        </is>
      </c>
      <c r="AA423" s="2" t="inlineStr">
        <is>
          <t>A</t>
        </is>
      </c>
      <c r="AB423" s="2">
        <f>AND(N423,O423,A423&lt;&gt;"census-mixed")</f>
        <v/>
      </c>
      <c r="AC423" s="2">
        <f>IF(AB423,Z423=AA423,"")</f>
        <v/>
      </c>
    </row>
    <row r="424">
      <c r="A424" s="2" t="inlineStr">
        <is>
          <t>census-mixed</t>
        </is>
      </c>
      <c r="B424" s="2" t="inlineStr">
        <is>
          <t>browser firefox133</t>
        </is>
      </c>
      <c r="C424" s="2" t="inlineStr">
        <is>
          <t>skb-eval-80103-c5183</t>
        </is>
      </c>
      <c r="D424" s="2" t="n">
        <v>5183</v>
      </c>
      <c r="E424" s="2" t="n">
        <v>1892</v>
      </c>
      <c r="F424" s="2" t="n">
        <v>771</v>
      </c>
      <c r="G424" s="2" t="inlineStr">
        <is>
          <t>1301 1303 1302 c02b c02f cca9 cca8 c02c c030 c00a c009 c013 c014 009c 009d 002f 0035</t>
        </is>
      </c>
      <c r="H424" s="2" t="inlineStr">
        <is>
          <t>0304 0303</t>
        </is>
      </c>
      <c r="I424" s="2" t="n">
        <v>1</v>
      </c>
      <c r="J424" s="2" t="inlineStr">
        <is>
          <t>skb-eval-80103-c5183</t>
        </is>
      </c>
      <c r="K424" s="2" t="n">
        <v>1892</v>
      </c>
      <c r="L424" s="2" t="n">
        <v>771</v>
      </c>
      <c r="M424" s="2" t="n">
        <v>1443</v>
      </c>
      <c r="N424" s="2" t="b">
        <v>1</v>
      </c>
      <c r="O424" s="2" t="b">
        <v>0</v>
      </c>
      <c r="P424" s="2" t="inlineStr">
        <is>
          <t>1301 1303 1302 c02b c02f cca9 cca8 c02c c030 c00a c009 c013 c014 009c 009d 002f 0035</t>
        </is>
      </c>
      <c r="Q424" s="2" t="inlineStr"/>
      <c r="R424" s="2" t="inlineStr">
        <is>
          <t>unknown</t>
        </is>
      </c>
      <c r="S424" s="2" t="inlineStr">
        <is>
          <t>allow</t>
        </is>
      </c>
      <c r="T424" s="2">
        <f>K424=E424</f>
        <v/>
      </c>
      <c r="U424" s="2">
        <f>L424=F424</f>
        <v/>
      </c>
      <c r="V424" s="2">
        <f>IF(N424,EXACT(P424,G424),"")</f>
        <v/>
      </c>
      <c r="W424" s="2">
        <f>IF(O424,EXACT(Q424,H424),"")</f>
        <v/>
      </c>
      <c r="X424" s="2">
        <f>J424=C424</f>
        <v/>
      </c>
      <c r="Y424" s="2">
        <f>IF(R424="unknown","",R424=S424)</f>
        <v/>
      </c>
      <c r="Z424" s="2" t="inlineStr">
        <is>
          <t>A</t>
        </is>
      </c>
      <c r="AA424" s="2" t="inlineStr">
        <is>
          <t>A</t>
        </is>
      </c>
      <c r="AB424" s="2">
        <f>AND(N424,O424,A424&lt;&gt;"census-mixed")</f>
        <v/>
      </c>
      <c r="AC424" s="2">
        <f>IF(AB424,Z424=AA424,"")</f>
        <v/>
      </c>
    </row>
    <row r="425">
      <c r="A425" s="2" t="inlineStr">
        <is>
          <t>census-mixed</t>
        </is>
      </c>
      <c r="B425" s="2" t="inlineStr">
        <is>
          <t>browser firefox133</t>
        </is>
      </c>
      <c r="C425" s="2" t="inlineStr">
        <is>
          <t>skb-eval-80103-c5184</t>
        </is>
      </c>
      <c r="D425" s="2" t="n">
        <v>5184</v>
      </c>
      <c r="E425" s="2" t="n">
        <v>1828</v>
      </c>
      <c r="F425" s="2" t="n">
        <v>771</v>
      </c>
      <c r="G425" s="2" t="inlineStr">
        <is>
          <t>1301 1303 1302 c02b c02f cca9 cca8 c02c c030 c00a c009 c013 c014 009c 009d 002f 0035</t>
        </is>
      </c>
      <c r="H425" s="2" t="inlineStr">
        <is>
          <t>0304 0303</t>
        </is>
      </c>
      <c r="I425" s="2" t="n">
        <v>1</v>
      </c>
      <c r="J425" s="2" t="inlineStr">
        <is>
          <t>skb-eval-80103-c5184</t>
        </is>
      </c>
      <c r="K425" s="2" t="n">
        <v>1828</v>
      </c>
      <c r="L425" s="2" t="n">
        <v>771</v>
      </c>
      <c r="M425" s="2" t="n">
        <v>1443</v>
      </c>
      <c r="N425" s="2" t="b">
        <v>1</v>
      </c>
      <c r="O425" s="2" t="b">
        <v>0</v>
      </c>
      <c r="P425" s="2" t="inlineStr">
        <is>
          <t>1301 1303 1302 c02b c02f cca9 cca8 c02c c030 c00a c009 c013 c014 009c 009d 002f 0035</t>
        </is>
      </c>
      <c r="Q425" s="2" t="inlineStr"/>
      <c r="R425" s="2" t="inlineStr">
        <is>
          <t>unknown</t>
        </is>
      </c>
      <c r="S425" s="2" t="inlineStr">
        <is>
          <t>allow</t>
        </is>
      </c>
      <c r="T425" s="2">
        <f>K425=E425</f>
        <v/>
      </c>
      <c r="U425" s="2">
        <f>L425=F425</f>
        <v/>
      </c>
      <c r="V425" s="2">
        <f>IF(N425,EXACT(P425,G425),"")</f>
        <v/>
      </c>
      <c r="W425" s="2">
        <f>IF(O425,EXACT(Q425,H425),"")</f>
        <v/>
      </c>
      <c r="X425" s="2">
        <f>J425=C425</f>
        <v/>
      </c>
      <c r="Y425" s="2">
        <f>IF(R425="unknown","",R425=S425)</f>
        <v/>
      </c>
      <c r="Z425" s="2" t="inlineStr">
        <is>
          <t>A</t>
        </is>
      </c>
      <c r="AA425" s="2" t="inlineStr">
        <is>
          <t>A</t>
        </is>
      </c>
      <c r="AB425" s="2">
        <f>AND(N425,O425,A425&lt;&gt;"census-mixed")</f>
        <v/>
      </c>
      <c r="AC425" s="2">
        <f>IF(AB425,Z425=AA425,"")</f>
        <v/>
      </c>
    </row>
    <row r="426">
      <c r="A426" s="2" t="inlineStr">
        <is>
          <t>census-mixed</t>
        </is>
      </c>
      <c r="B426" s="2" t="inlineStr">
        <is>
          <t>browser firefox133</t>
        </is>
      </c>
      <c r="C426" s="2" t="inlineStr">
        <is>
          <t>skb-eval-80103-c5185</t>
        </is>
      </c>
      <c r="D426" s="2" t="n">
        <v>5185</v>
      </c>
      <c r="E426" s="2" t="n">
        <v>1796</v>
      </c>
      <c r="F426" s="2" t="n">
        <v>771</v>
      </c>
      <c r="G426" s="2" t="inlineStr">
        <is>
          <t>1301 1303 1302 c02b c02f cca9 cca8 c02c c030 c00a c009 c013 c014 009c 009d 002f 0035</t>
        </is>
      </c>
      <c r="H426" s="2" t="inlineStr">
        <is>
          <t>0304 0303</t>
        </is>
      </c>
      <c r="I426" s="2" t="n">
        <v>1</v>
      </c>
      <c r="J426" s="2" t="inlineStr">
        <is>
          <t>skb-eval-80103-c5185</t>
        </is>
      </c>
      <c r="K426" s="2" t="n">
        <v>1796</v>
      </c>
      <c r="L426" s="2" t="n">
        <v>771</v>
      </c>
      <c r="M426" s="2" t="n">
        <v>1443</v>
      </c>
      <c r="N426" s="2" t="b">
        <v>1</v>
      </c>
      <c r="O426" s="2" t="b">
        <v>0</v>
      </c>
      <c r="P426" s="2" t="inlineStr">
        <is>
          <t>1301 1303 1302 c02b c02f cca9 cca8 c02c c030 c00a c009 c013 c014 009c 009d 002f 0035</t>
        </is>
      </c>
      <c r="Q426" s="2" t="inlineStr"/>
      <c r="R426" s="2" t="inlineStr">
        <is>
          <t>unknown</t>
        </is>
      </c>
      <c r="S426" s="2" t="inlineStr">
        <is>
          <t>allow</t>
        </is>
      </c>
      <c r="T426" s="2">
        <f>K426=E426</f>
        <v/>
      </c>
      <c r="U426" s="2">
        <f>L426=F426</f>
        <v/>
      </c>
      <c r="V426" s="2">
        <f>IF(N426,EXACT(P426,G426),"")</f>
        <v/>
      </c>
      <c r="W426" s="2">
        <f>IF(O426,EXACT(Q426,H426),"")</f>
        <v/>
      </c>
      <c r="X426" s="2">
        <f>J426=C426</f>
        <v/>
      </c>
      <c r="Y426" s="2">
        <f>IF(R426="unknown","",R426=S426)</f>
        <v/>
      </c>
      <c r="Z426" s="2" t="inlineStr">
        <is>
          <t>A</t>
        </is>
      </c>
      <c r="AA426" s="2" t="inlineStr">
        <is>
          <t>A</t>
        </is>
      </c>
      <c r="AB426" s="2">
        <f>AND(N426,O426,A426&lt;&gt;"census-mixed")</f>
        <v/>
      </c>
      <c r="AC426" s="2">
        <f>IF(AB426,Z426=AA426,"")</f>
        <v/>
      </c>
    </row>
    <row r="427">
      <c r="A427" s="2" t="inlineStr">
        <is>
          <t>census-mixed</t>
        </is>
      </c>
      <c r="B427" s="2" t="inlineStr">
        <is>
          <t>browser firefox133</t>
        </is>
      </c>
      <c r="C427" s="2" t="inlineStr">
        <is>
          <t>skb-eval-80103-c5186</t>
        </is>
      </c>
      <c r="D427" s="2" t="n">
        <v>5186</v>
      </c>
      <c r="E427" s="2" t="n">
        <v>1860</v>
      </c>
      <c r="F427" s="2" t="n">
        <v>771</v>
      </c>
      <c r="G427" s="2" t="inlineStr">
        <is>
          <t>1301 1303 1302 c02b c02f cca9 cca8 c02c c030 c00a c009 c013 c014 009c 009d 002f 0035</t>
        </is>
      </c>
      <c r="H427" s="2" t="inlineStr">
        <is>
          <t>0304 0303</t>
        </is>
      </c>
      <c r="I427" s="2" t="n">
        <v>1</v>
      </c>
      <c r="J427" s="2" t="inlineStr">
        <is>
          <t>skb-eval-80103-c5186</t>
        </is>
      </c>
      <c r="K427" s="2" t="n">
        <v>1860</v>
      </c>
      <c r="L427" s="2" t="n">
        <v>771</v>
      </c>
      <c r="M427" s="2" t="n">
        <v>1443</v>
      </c>
      <c r="N427" s="2" t="b">
        <v>1</v>
      </c>
      <c r="O427" s="2" t="b">
        <v>0</v>
      </c>
      <c r="P427" s="2" t="inlineStr">
        <is>
          <t>1301 1303 1302 c02b c02f cca9 cca8 c02c c030 c00a c009 c013 c014 009c 009d 002f 0035</t>
        </is>
      </c>
      <c r="Q427" s="2" t="inlineStr"/>
      <c r="R427" s="2" t="inlineStr">
        <is>
          <t>unknown</t>
        </is>
      </c>
      <c r="S427" s="2" t="inlineStr">
        <is>
          <t>allow</t>
        </is>
      </c>
      <c r="T427" s="2">
        <f>K427=E427</f>
        <v/>
      </c>
      <c r="U427" s="2">
        <f>L427=F427</f>
        <v/>
      </c>
      <c r="V427" s="2">
        <f>IF(N427,EXACT(P427,G427),"")</f>
        <v/>
      </c>
      <c r="W427" s="2">
        <f>IF(O427,EXACT(Q427,H427),"")</f>
        <v/>
      </c>
      <c r="X427" s="2">
        <f>J427=C427</f>
        <v/>
      </c>
      <c r="Y427" s="2">
        <f>IF(R427="unknown","",R427=S427)</f>
        <v/>
      </c>
      <c r="Z427" s="2" t="inlineStr">
        <is>
          <t>A</t>
        </is>
      </c>
      <c r="AA427" s="2" t="inlineStr">
        <is>
          <t>A</t>
        </is>
      </c>
      <c r="AB427" s="2">
        <f>AND(N427,O427,A427&lt;&gt;"census-mixed")</f>
        <v/>
      </c>
      <c r="AC427" s="2">
        <f>IF(AB427,Z427=AA427,"")</f>
        <v/>
      </c>
    </row>
    <row r="428">
      <c r="A428" s="2" t="inlineStr">
        <is>
          <t>census-mixed</t>
        </is>
      </c>
      <c r="B428" s="2" t="inlineStr">
        <is>
          <t>browser firefox133</t>
        </is>
      </c>
      <c r="C428" s="2" t="inlineStr">
        <is>
          <t>skb-eval-80103-c5187</t>
        </is>
      </c>
      <c r="D428" s="2" t="n">
        <v>5187</v>
      </c>
      <c r="E428" s="2" t="n">
        <v>1860</v>
      </c>
      <c r="F428" s="2" t="n">
        <v>771</v>
      </c>
      <c r="G428" s="2" t="inlineStr">
        <is>
          <t>1301 1303 1302 c02b c02f cca9 cca8 c02c c030 c00a c009 c013 c014 009c 009d 002f 0035</t>
        </is>
      </c>
      <c r="H428" s="2" t="inlineStr">
        <is>
          <t>0304 0303</t>
        </is>
      </c>
      <c r="I428" s="2" t="n">
        <v>1</v>
      </c>
      <c r="J428" s="2" t="inlineStr">
        <is>
          <t>skb-eval-80103-c5187</t>
        </is>
      </c>
      <c r="K428" s="2" t="n">
        <v>1860</v>
      </c>
      <c r="L428" s="2" t="n">
        <v>771</v>
      </c>
      <c r="M428" s="2" t="n">
        <v>1443</v>
      </c>
      <c r="N428" s="2" t="b">
        <v>1</v>
      </c>
      <c r="O428" s="2" t="b">
        <v>0</v>
      </c>
      <c r="P428" s="2" t="inlineStr">
        <is>
          <t>1301 1303 1302 c02b c02f cca9 cca8 c02c c030 c00a c009 c013 c014 009c 009d 002f 0035</t>
        </is>
      </c>
      <c r="Q428" s="2" t="inlineStr"/>
      <c r="R428" s="2" t="inlineStr">
        <is>
          <t>unknown</t>
        </is>
      </c>
      <c r="S428" s="2" t="inlineStr">
        <is>
          <t>allow</t>
        </is>
      </c>
      <c r="T428" s="2">
        <f>K428=E428</f>
        <v/>
      </c>
      <c r="U428" s="2">
        <f>L428=F428</f>
        <v/>
      </c>
      <c r="V428" s="2">
        <f>IF(N428,EXACT(P428,G428),"")</f>
        <v/>
      </c>
      <c r="W428" s="2">
        <f>IF(O428,EXACT(Q428,H428),"")</f>
        <v/>
      </c>
      <c r="X428" s="2">
        <f>J428=C428</f>
        <v/>
      </c>
      <c r="Y428" s="2">
        <f>IF(R428="unknown","",R428=S428)</f>
        <v/>
      </c>
      <c r="Z428" s="2" t="inlineStr">
        <is>
          <t>A</t>
        </is>
      </c>
      <c r="AA428" s="2" t="inlineStr">
        <is>
          <t>A</t>
        </is>
      </c>
      <c r="AB428" s="2">
        <f>AND(N428,O428,A428&lt;&gt;"census-mixed")</f>
        <v/>
      </c>
      <c r="AC428" s="2">
        <f>IF(AB428,Z428=AA428,"")</f>
        <v/>
      </c>
    </row>
    <row r="429">
      <c r="A429" s="2" t="inlineStr">
        <is>
          <t>census-mixed</t>
        </is>
      </c>
      <c r="B429" s="2" t="inlineStr">
        <is>
          <t>browser firefox133</t>
        </is>
      </c>
      <c r="C429" s="2" t="inlineStr">
        <is>
          <t>skb-eval-80103-c5188</t>
        </is>
      </c>
      <c r="D429" s="2" t="n">
        <v>5188</v>
      </c>
      <c r="E429" s="2" t="n">
        <v>1892</v>
      </c>
      <c r="F429" s="2" t="n">
        <v>771</v>
      </c>
      <c r="G429" s="2" t="inlineStr">
        <is>
          <t>1301 1303 1302 c02b c02f cca9 cca8 c02c c030 c00a c009 c013 c014 009c 009d 002f 0035</t>
        </is>
      </c>
      <c r="H429" s="2" t="inlineStr">
        <is>
          <t>0304 0303</t>
        </is>
      </c>
      <c r="I429" s="2" t="n">
        <v>1</v>
      </c>
      <c r="J429" s="2" t="inlineStr">
        <is>
          <t>skb-eval-80103-c5188</t>
        </is>
      </c>
      <c r="K429" s="2" t="n">
        <v>1892</v>
      </c>
      <c r="L429" s="2" t="n">
        <v>771</v>
      </c>
      <c r="M429" s="2" t="n">
        <v>1443</v>
      </c>
      <c r="N429" s="2" t="b">
        <v>1</v>
      </c>
      <c r="O429" s="2" t="b">
        <v>0</v>
      </c>
      <c r="P429" s="2" t="inlineStr">
        <is>
          <t>1301 1303 1302 c02b c02f cca9 cca8 c02c c030 c00a c009 c013 c014 009c 009d 002f 0035</t>
        </is>
      </c>
      <c r="Q429" s="2" t="inlineStr"/>
      <c r="R429" s="2" t="inlineStr">
        <is>
          <t>unknown</t>
        </is>
      </c>
      <c r="S429" s="2" t="inlineStr">
        <is>
          <t>allow</t>
        </is>
      </c>
      <c r="T429" s="2">
        <f>K429=E429</f>
        <v/>
      </c>
      <c r="U429" s="2">
        <f>L429=F429</f>
        <v/>
      </c>
      <c r="V429" s="2">
        <f>IF(N429,EXACT(P429,G429),"")</f>
        <v/>
      </c>
      <c r="W429" s="2">
        <f>IF(O429,EXACT(Q429,H429),"")</f>
        <v/>
      </c>
      <c r="X429" s="2">
        <f>J429=C429</f>
        <v/>
      </c>
      <c r="Y429" s="2">
        <f>IF(R429="unknown","",R429=S429)</f>
        <v/>
      </c>
      <c r="Z429" s="2" t="inlineStr">
        <is>
          <t>A</t>
        </is>
      </c>
      <c r="AA429" s="2" t="inlineStr">
        <is>
          <t>A</t>
        </is>
      </c>
      <c r="AB429" s="2">
        <f>AND(N429,O429,A429&lt;&gt;"census-mixed")</f>
        <v/>
      </c>
      <c r="AC429" s="2">
        <f>IF(AB429,Z429=AA429,"")</f>
        <v/>
      </c>
    </row>
    <row r="430">
      <c r="A430" s="2" t="inlineStr">
        <is>
          <t>census-mixed</t>
        </is>
      </c>
      <c r="B430" s="2" t="inlineStr">
        <is>
          <t>browser firefox133</t>
        </is>
      </c>
      <c r="C430" s="2" t="inlineStr">
        <is>
          <t>skb-eval-80103-c5189</t>
        </is>
      </c>
      <c r="D430" s="2" t="n">
        <v>5189</v>
      </c>
      <c r="E430" s="2" t="n">
        <v>1860</v>
      </c>
      <c r="F430" s="2" t="n">
        <v>771</v>
      </c>
      <c r="G430" s="2" t="inlineStr">
        <is>
          <t>1301 1303 1302 c02b c02f cca9 cca8 c02c c030 c00a c009 c013 c014 009c 009d 002f 0035</t>
        </is>
      </c>
      <c r="H430" s="2" t="inlineStr">
        <is>
          <t>0304 0303</t>
        </is>
      </c>
      <c r="I430" s="2" t="n">
        <v>1</v>
      </c>
      <c r="J430" s="2" t="inlineStr">
        <is>
          <t>skb-eval-80103-c5189</t>
        </is>
      </c>
      <c r="K430" s="2" t="n">
        <v>1860</v>
      </c>
      <c r="L430" s="2" t="n">
        <v>771</v>
      </c>
      <c r="M430" s="2" t="n">
        <v>1443</v>
      </c>
      <c r="N430" s="2" t="b">
        <v>1</v>
      </c>
      <c r="O430" s="2" t="b">
        <v>0</v>
      </c>
      <c r="P430" s="2" t="inlineStr">
        <is>
          <t>1301 1303 1302 c02b c02f cca9 cca8 c02c c030 c00a c009 c013 c014 009c 009d 002f 0035</t>
        </is>
      </c>
      <c r="Q430" s="2" t="inlineStr"/>
      <c r="R430" s="2" t="inlineStr">
        <is>
          <t>unknown</t>
        </is>
      </c>
      <c r="S430" s="2" t="inlineStr">
        <is>
          <t>allow</t>
        </is>
      </c>
      <c r="T430" s="2">
        <f>K430=E430</f>
        <v/>
      </c>
      <c r="U430" s="2">
        <f>L430=F430</f>
        <v/>
      </c>
      <c r="V430" s="2">
        <f>IF(N430,EXACT(P430,G430),"")</f>
        <v/>
      </c>
      <c r="W430" s="2">
        <f>IF(O430,EXACT(Q430,H430),"")</f>
        <v/>
      </c>
      <c r="X430" s="2">
        <f>J430=C430</f>
        <v/>
      </c>
      <c r="Y430" s="2">
        <f>IF(R430="unknown","",R430=S430)</f>
        <v/>
      </c>
      <c r="Z430" s="2" t="inlineStr">
        <is>
          <t>A</t>
        </is>
      </c>
      <c r="AA430" s="2" t="inlineStr">
        <is>
          <t>A</t>
        </is>
      </c>
      <c r="AB430" s="2">
        <f>AND(N430,O430,A430&lt;&gt;"census-mixed")</f>
        <v/>
      </c>
      <c r="AC430" s="2">
        <f>IF(AB430,Z430=AA430,"")</f>
        <v/>
      </c>
    </row>
    <row r="431">
      <c r="A431" s="2" t="inlineStr">
        <is>
          <t>census-mixed</t>
        </is>
      </c>
      <c r="B431" s="2" t="inlineStr">
        <is>
          <t>browser firefox133</t>
        </is>
      </c>
      <c r="C431" s="2" t="inlineStr">
        <is>
          <t>skb-eval-80103-c5190</t>
        </is>
      </c>
      <c r="D431" s="2" t="n">
        <v>5190</v>
      </c>
      <c r="E431" s="2" t="n">
        <v>1828</v>
      </c>
      <c r="F431" s="2" t="n">
        <v>771</v>
      </c>
      <c r="G431" s="2" t="inlineStr">
        <is>
          <t>1301 1303 1302 c02b c02f cca9 cca8 c02c c030 c00a c009 c013 c014 009c 009d 002f 0035</t>
        </is>
      </c>
      <c r="H431" s="2" t="inlineStr">
        <is>
          <t>0304 0303</t>
        </is>
      </c>
      <c r="I431" s="2" t="n">
        <v>1</v>
      </c>
      <c r="J431" s="2" t="inlineStr">
        <is>
          <t>skb-eval-80103-c5190</t>
        </is>
      </c>
      <c r="K431" s="2" t="n">
        <v>1828</v>
      </c>
      <c r="L431" s="2" t="n">
        <v>771</v>
      </c>
      <c r="M431" s="2" t="n">
        <v>1443</v>
      </c>
      <c r="N431" s="2" t="b">
        <v>1</v>
      </c>
      <c r="O431" s="2" t="b">
        <v>0</v>
      </c>
      <c r="P431" s="2" t="inlineStr">
        <is>
          <t>1301 1303 1302 c02b c02f cca9 cca8 c02c c030 c00a c009 c013 c014 009c 009d 002f 0035</t>
        </is>
      </c>
      <c r="Q431" s="2" t="inlineStr"/>
      <c r="R431" s="2" t="inlineStr">
        <is>
          <t>unknown</t>
        </is>
      </c>
      <c r="S431" s="2" t="inlineStr">
        <is>
          <t>allow</t>
        </is>
      </c>
      <c r="T431" s="2">
        <f>K431=E431</f>
        <v/>
      </c>
      <c r="U431" s="2">
        <f>L431=F431</f>
        <v/>
      </c>
      <c r="V431" s="2">
        <f>IF(N431,EXACT(P431,G431),"")</f>
        <v/>
      </c>
      <c r="W431" s="2">
        <f>IF(O431,EXACT(Q431,H431),"")</f>
        <v/>
      </c>
      <c r="X431" s="2">
        <f>J431=C431</f>
        <v/>
      </c>
      <c r="Y431" s="2">
        <f>IF(R431="unknown","",R431=S431)</f>
        <v/>
      </c>
      <c r="Z431" s="2" t="inlineStr">
        <is>
          <t>A</t>
        </is>
      </c>
      <c r="AA431" s="2" t="inlineStr">
        <is>
          <t>A</t>
        </is>
      </c>
      <c r="AB431" s="2">
        <f>AND(N431,O431,A431&lt;&gt;"census-mixed")</f>
        <v/>
      </c>
      <c r="AC431" s="2">
        <f>IF(AB431,Z431=AA431,"")</f>
        <v/>
      </c>
    </row>
    <row r="432">
      <c r="A432" s="2" t="inlineStr">
        <is>
          <t>census-mixed</t>
        </is>
      </c>
      <c r="B432" s="2" t="inlineStr">
        <is>
          <t>browser firefox147</t>
        </is>
      </c>
      <c r="C432" s="2" t="inlineStr">
        <is>
          <t>skb-eval-80103-c5191</t>
        </is>
      </c>
      <c r="D432" s="2" t="n">
        <v>5191</v>
      </c>
      <c r="E432" s="2" t="n">
        <v>1864</v>
      </c>
      <c r="F432" s="2" t="n">
        <v>771</v>
      </c>
      <c r="G432" s="2" t="inlineStr">
        <is>
          <t>1301 1303 1302 c02b c02f cca9 cca8 c02c c030 c00a c009 c013 c014 009c 009d 002f 0035</t>
        </is>
      </c>
      <c r="H432" s="2" t="inlineStr">
        <is>
          <t>0304 0303</t>
        </is>
      </c>
      <c r="I432" s="2" t="n">
        <v>1</v>
      </c>
      <c r="J432" s="2" t="inlineStr">
        <is>
          <t>skb-eval-80103-c5191</t>
        </is>
      </c>
      <c r="K432" s="2" t="n">
        <v>1864</v>
      </c>
      <c r="L432" s="2" t="n">
        <v>771</v>
      </c>
      <c r="M432" s="2" t="n">
        <v>1443</v>
      </c>
      <c r="N432" s="2" t="b">
        <v>1</v>
      </c>
      <c r="O432" s="2" t="b">
        <v>0</v>
      </c>
      <c r="P432" s="2" t="inlineStr">
        <is>
          <t>1301 1303 1302 c02b c02f cca9 cca8 c02c c030 c00a c009 c013 c014 009c 009d 002f 0035</t>
        </is>
      </c>
      <c r="Q432" s="2" t="inlineStr"/>
      <c r="R432" s="2" t="inlineStr">
        <is>
          <t>unknown</t>
        </is>
      </c>
      <c r="S432" s="2" t="inlineStr">
        <is>
          <t>allow</t>
        </is>
      </c>
      <c r="T432" s="2">
        <f>K432=E432</f>
        <v/>
      </c>
      <c r="U432" s="2">
        <f>L432=F432</f>
        <v/>
      </c>
      <c r="V432" s="2">
        <f>IF(N432,EXACT(P432,G432),"")</f>
        <v/>
      </c>
      <c r="W432" s="2">
        <f>IF(O432,EXACT(Q432,H432),"")</f>
        <v/>
      </c>
      <c r="X432" s="2">
        <f>J432=C432</f>
        <v/>
      </c>
      <c r="Y432" s="2">
        <f>IF(R432="unknown","",R432=S432)</f>
        <v/>
      </c>
      <c r="Z432" s="2" t="inlineStr">
        <is>
          <t>A</t>
        </is>
      </c>
      <c r="AA432" s="2" t="inlineStr">
        <is>
          <t>A</t>
        </is>
      </c>
      <c r="AB432" s="2">
        <f>AND(N432,O432,A432&lt;&gt;"census-mixed")</f>
        <v/>
      </c>
      <c r="AC432" s="2">
        <f>IF(AB432,Z432=AA432,"")</f>
        <v/>
      </c>
    </row>
    <row r="433">
      <c r="A433" s="2" t="inlineStr">
        <is>
          <t>census-mixed</t>
        </is>
      </c>
      <c r="B433" s="2" t="inlineStr">
        <is>
          <t>browser firefox147</t>
        </is>
      </c>
      <c r="C433" s="2" t="inlineStr">
        <is>
          <t>skb-eval-80103-c5192</t>
        </is>
      </c>
      <c r="D433" s="2" t="n">
        <v>5192</v>
      </c>
      <c r="E433" s="2" t="n">
        <v>1832</v>
      </c>
      <c r="F433" s="2" t="n">
        <v>771</v>
      </c>
      <c r="G433" s="2" t="inlineStr">
        <is>
          <t>1301 1303 1302 c02b c02f cca9 cca8 c02c c030 c00a c009 c013 c014 009c 009d 002f 0035</t>
        </is>
      </c>
      <c r="H433" s="2" t="inlineStr">
        <is>
          <t>0304 0303</t>
        </is>
      </c>
      <c r="I433" s="2" t="n">
        <v>1</v>
      </c>
      <c r="J433" s="2" t="inlineStr">
        <is>
          <t>skb-eval-80103-c5192</t>
        </is>
      </c>
      <c r="K433" s="2" t="n">
        <v>1832</v>
      </c>
      <c r="L433" s="2" t="n">
        <v>771</v>
      </c>
      <c r="M433" s="2" t="n">
        <v>1443</v>
      </c>
      <c r="N433" s="2" t="b">
        <v>1</v>
      </c>
      <c r="O433" s="2" t="b">
        <v>0</v>
      </c>
      <c r="P433" s="2" t="inlineStr">
        <is>
          <t>1301 1303 1302 c02b c02f cca9 cca8 c02c c030 c00a c009 c013 c014 009c 009d 002f 0035</t>
        </is>
      </c>
      <c r="Q433" s="2" t="inlineStr"/>
      <c r="R433" s="2" t="inlineStr">
        <is>
          <t>unknown</t>
        </is>
      </c>
      <c r="S433" s="2" t="inlineStr">
        <is>
          <t>allow</t>
        </is>
      </c>
      <c r="T433" s="2">
        <f>K433=E433</f>
        <v/>
      </c>
      <c r="U433" s="2">
        <f>L433=F433</f>
        <v/>
      </c>
      <c r="V433" s="2">
        <f>IF(N433,EXACT(P433,G433),"")</f>
        <v/>
      </c>
      <c r="W433" s="2">
        <f>IF(O433,EXACT(Q433,H433),"")</f>
        <v/>
      </c>
      <c r="X433" s="2">
        <f>J433=C433</f>
        <v/>
      </c>
      <c r="Y433" s="2">
        <f>IF(R433="unknown","",R433=S433)</f>
        <v/>
      </c>
      <c r="Z433" s="2" t="inlineStr">
        <is>
          <t>A</t>
        </is>
      </c>
      <c r="AA433" s="2" t="inlineStr">
        <is>
          <t>A</t>
        </is>
      </c>
      <c r="AB433" s="2">
        <f>AND(N433,O433,A433&lt;&gt;"census-mixed")</f>
        <v/>
      </c>
      <c r="AC433" s="2">
        <f>IF(AB433,Z433=AA433,"")</f>
        <v/>
      </c>
    </row>
    <row r="434">
      <c r="A434" s="2" t="inlineStr">
        <is>
          <t>census-mixed</t>
        </is>
      </c>
      <c r="B434" s="2" t="inlineStr">
        <is>
          <t>browser firefox147</t>
        </is>
      </c>
      <c r="C434" s="2" t="inlineStr">
        <is>
          <t>skb-eval-80103-c5193</t>
        </is>
      </c>
      <c r="D434" s="2" t="n">
        <v>5193</v>
      </c>
      <c r="E434" s="2" t="n">
        <v>1896</v>
      </c>
      <c r="F434" s="2" t="n">
        <v>771</v>
      </c>
      <c r="G434" s="2" t="inlineStr">
        <is>
          <t>1301 1303 1302 c02b c02f cca9 cca8 c02c c030 c00a c009 c013 c014 009c 009d 002f 0035</t>
        </is>
      </c>
      <c r="H434" s="2" t="inlineStr">
        <is>
          <t>0304 0303</t>
        </is>
      </c>
      <c r="I434" s="2" t="n">
        <v>1</v>
      </c>
      <c r="J434" s="2" t="inlineStr">
        <is>
          <t>skb-eval-80103-c5193</t>
        </is>
      </c>
      <c r="K434" s="2" t="n">
        <v>1896</v>
      </c>
      <c r="L434" s="2" t="n">
        <v>771</v>
      </c>
      <c r="M434" s="2" t="n">
        <v>1443</v>
      </c>
      <c r="N434" s="2" t="b">
        <v>1</v>
      </c>
      <c r="O434" s="2" t="b">
        <v>0</v>
      </c>
      <c r="P434" s="2" t="inlineStr">
        <is>
          <t>1301 1303 1302 c02b c02f cca9 cca8 c02c c030 c00a c009 c013 c014 009c 009d 002f 0035</t>
        </is>
      </c>
      <c r="Q434" s="2" t="inlineStr"/>
      <c r="R434" s="2" t="inlineStr">
        <is>
          <t>unknown</t>
        </is>
      </c>
      <c r="S434" s="2" t="inlineStr">
        <is>
          <t>allow</t>
        </is>
      </c>
      <c r="T434" s="2">
        <f>K434=E434</f>
        <v/>
      </c>
      <c r="U434" s="2">
        <f>L434=F434</f>
        <v/>
      </c>
      <c r="V434" s="2">
        <f>IF(N434,EXACT(P434,G434),"")</f>
        <v/>
      </c>
      <c r="W434" s="2">
        <f>IF(O434,EXACT(Q434,H434),"")</f>
        <v/>
      </c>
      <c r="X434" s="2">
        <f>J434=C434</f>
        <v/>
      </c>
      <c r="Y434" s="2">
        <f>IF(R434="unknown","",R434=S434)</f>
        <v/>
      </c>
      <c r="Z434" s="2" t="inlineStr">
        <is>
          <t>A</t>
        </is>
      </c>
      <c r="AA434" s="2" t="inlineStr">
        <is>
          <t>A</t>
        </is>
      </c>
      <c r="AB434" s="2">
        <f>AND(N434,O434,A434&lt;&gt;"census-mixed")</f>
        <v/>
      </c>
      <c r="AC434" s="2">
        <f>IF(AB434,Z434=AA434,"")</f>
        <v/>
      </c>
    </row>
    <row r="435">
      <c r="A435" s="2" t="inlineStr">
        <is>
          <t>census-mixed</t>
        </is>
      </c>
      <c r="B435" s="2" t="inlineStr">
        <is>
          <t>browser firefox147</t>
        </is>
      </c>
      <c r="C435" s="2" t="inlineStr">
        <is>
          <t>skb-eval-80103-c5194</t>
        </is>
      </c>
      <c r="D435" s="2" t="n">
        <v>5194</v>
      </c>
      <c r="E435" s="2" t="n">
        <v>1896</v>
      </c>
      <c r="F435" s="2" t="n">
        <v>771</v>
      </c>
      <c r="G435" s="2" t="inlineStr">
        <is>
          <t>1301 1303 1302 c02b c02f cca9 cca8 c02c c030 c00a c009 c013 c014 009c 009d 002f 0035</t>
        </is>
      </c>
      <c r="H435" s="2" t="inlineStr">
        <is>
          <t>0304 0303</t>
        </is>
      </c>
      <c r="I435" s="2" t="n">
        <v>1</v>
      </c>
      <c r="J435" s="2" t="inlineStr">
        <is>
          <t>skb-eval-80103-c5194</t>
        </is>
      </c>
      <c r="K435" s="2" t="n">
        <v>1896</v>
      </c>
      <c r="L435" s="2" t="n">
        <v>771</v>
      </c>
      <c r="M435" s="2" t="n">
        <v>1443</v>
      </c>
      <c r="N435" s="2" t="b">
        <v>1</v>
      </c>
      <c r="O435" s="2" t="b">
        <v>0</v>
      </c>
      <c r="P435" s="2" t="inlineStr">
        <is>
          <t>1301 1303 1302 c02b c02f cca9 cca8 c02c c030 c00a c009 c013 c014 009c 009d 002f 0035</t>
        </is>
      </c>
      <c r="Q435" s="2" t="inlineStr"/>
      <c r="R435" s="2" t="inlineStr">
        <is>
          <t>unknown</t>
        </is>
      </c>
      <c r="S435" s="2" t="inlineStr">
        <is>
          <t>allow</t>
        </is>
      </c>
      <c r="T435" s="2">
        <f>K435=E435</f>
        <v/>
      </c>
      <c r="U435" s="2">
        <f>L435=F435</f>
        <v/>
      </c>
      <c r="V435" s="2">
        <f>IF(N435,EXACT(P435,G435),"")</f>
        <v/>
      </c>
      <c r="W435" s="2">
        <f>IF(O435,EXACT(Q435,H435),"")</f>
        <v/>
      </c>
      <c r="X435" s="2">
        <f>J435=C435</f>
        <v/>
      </c>
      <c r="Y435" s="2">
        <f>IF(R435="unknown","",R435=S435)</f>
        <v/>
      </c>
      <c r="Z435" s="2" t="inlineStr">
        <is>
          <t>A</t>
        </is>
      </c>
      <c r="AA435" s="2" t="inlineStr">
        <is>
          <t>A</t>
        </is>
      </c>
      <c r="AB435" s="2">
        <f>AND(N435,O435,A435&lt;&gt;"census-mixed")</f>
        <v/>
      </c>
      <c r="AC435" s="2">
        <f>IF(AB435,Z435=AA435,"")</f>
        <v/>
      </c>
    </row>
    <row r="436">
      <c r="A436" s="2" t="inlineStr">
        <is>
          <t>census-mixed</t>
        </is>
      </c>
      <c r="B436" s="2" t="inlineStr">
        <is>
          <t>browser firefox147</t>
        </is>
      </c>
      <c r="C436" s="2" t="inlineStr">
        <is>
          <t>skb-eval-80103-c5195</t>
        </is>
      </c>
      <c r="D436" s="2" t="n">
        <v>5195</v>
      </c>
      <c r="E436" s="2" t="n">
        <v>1864</v>
      </c>
      <c r="F436" s="2" t="n">
        <v>771</v>
      </c>
      <c r="G436" s="2" t="inlineStr">
        <is>
          <t>1301 1303 1302 c02b c02f cca9 cca8 c02c c030 c00a c009 c013 c014 009c 009d 002f 0035</t>
        </is>
      </c>
      <c r="H436" s="2" t="inlineStr">
        <is>
          <t>0304 0303</t>
        </is>
      </c>
      <c r="I436" s="2" t="n">
        <v>1</v>
      </c>
      <c r="J436" s="2" t="inlineStr">
        <is>
          <t>skb-eval-80103-c5195</t>
        </is>
      </c>
      <c r="K436" s="2" t="n">
        <v>1864</v>
      </c>
      <c r="L436" s="2" t="n">
        <v>771</v>
      </c>
      <c r="M436" s="2" t="n">
        <v>1443</v>
      </c>
      <c r="N436" s="2" t="b">
        <v>1</v>
      </c>
      <c r="O436" s="2" t="b">
        <v>0</v>
      </c>
      <c r="P436" s="2" t="inlineStr">
        <is>
          <t>1301 1303 1302 c02b c02f cca9 cca8 c02c c030 c00a c009 c013 c014 009c 009d 002f 0035</t>
        </is>
      </c>
      <c r="Q436" s="2" t="inlineStr"/>
      <c r="R436" s="2" t="inlineStr">
        <is>
          <t>unknown</t>
        </is>
      </c>
      <c r="S436" s="2" t="inlineStr">
        <is>
          <t>allow</t>
        </is>
      </c>
      <c r="T436" s="2">
        <f>K436=E436</f>
        <v/>
      </c>
      <c r="U436" s="2">
        <f>L436=F436</f>
        <v/>
      </c>
      <c r="V436" s="2">
        <f>IF(N436,EXACT(P436,G436),"")</f>
        <v/>
      </c>
      <c r="W436" s="2">
        <f>IF(O436,EXACT(Q436,H436),"")</f>
        <v/>
      </c>
      <c r="X436" s="2">
        <f>J436=C436</f>
        <v/>
      </c>
      <c r="Y436" s="2">
        <f>IF(R436="unknown","",R436=S436)</f>
        <v/>
      </c>
      <c r="Z436" s="2" t="inlineStr">
        <is>
          <t>A</t>
        </is>
      </c>
      <c r="AA436" s="2" t="inlineStr">
        <is>
          <t>A</t>
        </is>
      </c>
      <c r="AB436" s="2">
        <f>AND(N436,O436,A436&lt;&gt;"census-mixed")</f>
        <v/>
      </c>
      <c r="AC436" s="2">
        <f>IF(AB436,Z436=AA436,"")</f>
        <v/>
      </c>
    </row>
    <row r="437">
      <c r="A437" s="2" t="inlineStr">
        <is>
          <t>census-mixed</t>
        </is>
      </c>
      <c r="B437" s="2" t="inlineStr">
        <is>
          <t>browser firefox147</t>
        </is>
      </c>
      <c r="C437" s="2" t="inlineStr">
        <is>
          <t>skb-eval-80103-c5196</t>
        </is>
      </c>
      <c r="D437" s="2" t="n">
        <v>5196</v>
      </c>
      <c r="E437" s="2" t="n">
        <v>1896</v>
      </c>
      <c r="F437" s="2" t="n">
        <v>771</v>
      </c>
      <c r="G437" s="2" t="inlineStr">
        <is>
          <t>1301 1303 1302 c02b c02f cca9 cca8 c02c c030 c00a c009 c013 c014 009c 009d 002f 0035</t>
        </is>
      </c>
      <c r="H437" s="2" t="inlineStr">
        <is>
          <t>0304 0303</t>
        </is>
      </c>
      <c r="I437" s="2" t="n">
        <v>1</v>
      </c>
      <c r="J437" s="2" t="inlineStr">
        <is>
          <t>skb-eval-80103-c5196</t>
        </is>
      </c>
      <c r="K437" s="2" t="n">
        <v>1896</v>
      </c>
      <c r="L437" s="2" t="n">
        <v>771</v>
      </c>
      <c r="M437" s="2" t="n">
        <v>1443</v>
      </c>
      <c r="N437" s="2" t="b">
        <v>1</v>
      </c>
      <c r="O437" s="2" t="b">
        <v>0</v>
      </c>
      <c r="P437" s="2" t="inlineStr">
        <is>
          <t>1301 1303 1302 c02b c02f cca9 cca8 c02c c030 c00a c009 c013 c014 009c 009d 002f 0035</t>
        </is>
      </c>
      <c r="Q437" s="2" t="inlineStr"/>
      <c r="R437" s="2" t="inlineStr">
        <is>
          <t>unknown</t>
        </is>
      </c>
      <c r="S437" s="2" t="inlineStr">
        <is>
          <t>allow</t>
        </is>
      </c>
      <c r="T437" s="2">
        <f>K437=E437</f>
        <v/>
      </c>
      <c r="U437" s="2">
        <f>L437=F437</f>
        <v/>
      </c>
      <c r="V437" s="2">
        <f>IF(N437,EXACT(P437,G437),"")</f>
        <v/>
      </c>
      <c r="W437" s="2">
        <f>IF(O437,EXACT(Q437,H437),"")</f>
        <v/>
      </c>
      <c r="X437" s="2">
        <f>J437=C437</f>
        <v/>
      </c>
      <c r="Y437" s="2">
        <f>IF(R437="unknown","",R437=S437)</f>
        <v/>
      </c>
      <c r="Z437" s="2" t="inlineStr">
        <is>
          <t>A</t>
        </is>
      </c>
      <c r="AA437" s="2" t="inlineStr">
        <is>
          <t>A</t>
        </is>
      </c>
      <c r="AB437" s="2">
        <f>AND(N437,O437,A437&lt;&gt;"census-mixed")</f>
        <v/>
      </c>
      <c r="AC437" s="2">
        <f>IF(AB437,Z437=AA437,"")</f>
        <v/>
      </c>
    </row>
    <row r="438">
      <c r="A438" s="2" t="inlineStr">
        <is>
          <t>census-mixed</t>
        </is>
      </c>
      <c r="B438" s="2" t="inlineStr">
        <is>
          <t>browser firefox147</t>
        </is>
      </c>
      <c r="C438" s="2" t="inlineStr">
        <is>
          <t>skb-eval-80103-c5197</t>
        </is>
      </c>
      <c r="D438" s="2" t="n">
        <v>5197</v>
      </c>
      <c r="E438" s="2" t="n">
        <v>1864</v>
      </c>
      <c r="F438" s="2" t="n">
        <v>771</v>
      </c>
      <c r="G438" s="2" t="inlineStr">
        <is>
          <t>1301 1303 1302 c02b c02f cca9 cca8 c02c c030 c00a c009 c013 c014 009c 009d 002f 0035</t>
        </is>
      </c>
      <c r="H438" s="2" t="inlineStr">
        <is>
          <t>0304 0303</t>
        </is>
      </c>
      <c r="I438" s="2" t="n">
        <v>1</v>
      </c>
      <c r="J438" s="2" t="inlineStr">
        <is>
          <t>skb-eval-80103-c5197</t>
        </is>
      </c>
      <c r="K438" s="2" t="n">
        <v>1864</v>
      </c>
      <c r="L438" s="2" t="n">
        <v>771</v>
      </c>
      <c r="M438" s="2" t="n">
        <v>1443</v>
      </c>
      <c r="N438" s="2" t="b">
        <v>1</v>
      </c>
      <c r="O438" s="2" t="b">
        <v>0</v>
      </c>
      <c r="P438" s="2" t="inlineStr">
        <is>
          <t>1301 1303 1302 c02b c02f cca9 cca8 c02c c030 c00a c009 c013 c014 009c 009d 002f 0035</t>
        </is>
      </c>
      <c r="Q438" s="2" t="inlineStr"/>
      <c r="R438" s="2" t="inlineStr">
        <is>
          <t>unknown</t>
        </is>
      </c>
      <c r="S438" s="2" t="inlineStr">
        <is>
          <t>allow</t>
        </is>
      </c>
      <c r="T438" s="2">
        <f>K438=E438</f>
        <v/>
      </c>
      <c r="U438" s="2">
        <f>L438=F438</f>
        <v/>
      </c>
      <c r="V438" s="2">
        <f>IF(N438,EXACT(P438,G438),"")</f>
        <v/>
      </c>
      <c r="W438" s="2">
        <f>IF(O438,EXACT(Q438,H438),"")</f>
        <v/>
      </c>
      <c r="X438" s="2">
        <f>J438=C438</f>
        <v/>
      </c>
      <c r="Y438" s="2">
        <f>IF(R438="unknown","",R438=S438)</f>
        <v/>
      </c>
      <c r="Z438" s="2" t="inlineStr">
        <is>
          <t>A</t>
        </is>
      </c>
      <c r="AA438" s="2" t="inlineStr">
        <is>
          <t>A</t>
        </is>
      </c>
      <c r="AB438" s="2">
        <f>AND(N438,O438,A438&lt;&gt;"census-mixed")</f>
        <v/>
      </c>
      <c r="AC438" s="2">
        <f>IF(AB438,Z438=AA438,"")</f>
        <v/>
      </c>
    </row>
    <row r="439">
      <c r="A439" s="2" t="inlineStr">
        <is>
          <t>census-mixed</t>
        </is>
      </c>
      <c r="B439" s="2" t="inlineStr">
        <is>
          <t>browser firefox147</t>
        </is>
      </c>
      <c r="C439" s="2" t="inlineStr">
        <is>
          <t>skb-eval-80103-c5198</t>
        </is>
      </c>
      <c r="D439" s="2" t="n">
        <v>5198</v>
      </c>
      <c r="E439" s="2" t="n">
        <v>1832</v>
      </c>
      <c r="F439" s="2" t="n">
        <v>771</v>
      </c>
      <c r="G439" s="2" t="inlineStr">
        <is>
          <t>1301 1303 1302 c02b c02f cca9 cca8 c02c c030 c00a c009 c013 c014 009c 009d 002f 0035</t>
        </is>
      </c>
      <c r="H439" s="2" t="inlineStr">
        <is>
          <t>0304 0303</t>
        </is>
      </c>
      <c r="I439" s="2" t="n">
        <v>1</v>
      </c>
      <c r="J439" s="2" t="inlineStr">
        <is>
          <t>skb-eval-80103-c5198</t>
        </is>
      </c>
      <c r="K439" s="2" t="n">
        <v>1832</v>
      </c>
      <c r="L439" s="2" t="n">
        <v>771</v>
      </c>
      <c r="M439" s="2" t="n">
        <v>1443</v>
      </c>
      <c r="N439" s="2" t="b">
        <v>1</v>
      </c>
      <c r="O439" s="2" t="b">
        <v>0</v>
      </c>
      <c r="P439" s="2" t="inlineStr">
        <is>
          <t>1301 1303 1302 c02b c02f cca9 cca8 c02c c030 c00a c009 c013 c014 009c 009d 002f 0035</t>
        </is>
      </c>
      <c r="Q439" s="2" t="inlineStr"/>
      <c r="R439" s="2" t="inlineStr">
        <is>
          <t>unknown</t>
        </is>
      </c>
      <c r="S439" s="2" t="inlineStr">
        <is>
          <t>allow</t>
        </is>
      </c>
      <c r="T439" s="2">
        <f>K439=E439</f>
        <v/>
      </c>
      <c r="U439" s="2">
        <f>L439=F439</f>
        <v/>
      </c>
      <c r="V439" s="2">
        <f>IF(N439,EXACT(P439,G439),"")</f>
        <v/>
      </c>
      <c r="W439" s="2">
        <f>IF(O439,EXACT(Q439,H439),"")</f>
        <v/>
      </c>
      <c r="X439" s="2">
        <f>J439=C439</f>
        <v/>
      </c>
      <c r="Y439" s="2">
        <f>IF(R439="unknown","",R439=S439)</f>
        <v/>
      </c>
      <c r="Z439" s="2" t="inlineStr">
        <is>
          <t>A</t>
        </is>
      </c>
      <c r="AA439" s="2" t="inlineStr">
        <is>
          <t>A</t>
        </is>
      </c>
      <c r="AB439" s="2">
        <f>AND(N439,O439,A439&lt;&gt;"census-mixed")</f>
        <v/>
      </c>
      <c r="AC439" s="2">
        <f>IF(AB439,Z439=AA439,"")</f>
        <v/>
      </c>
    </row>
    <row r="440">
      <c r="A440" s="2" t="inlineStr">
        <is>
          <t>census-mixed</t>
        </is>
      </c>
      <c r="B440" s="2" t="inlineStr">
        <is>
          <t>browser firefox147</t>
        </is>
      </c>
      <c r="C440" s="2" t="inlineStr">
        <is>
          <t>skb-eval-80103-c5199</t>
        </is>
      </c>
      <c r="D440" s="2" t="n">
        <v>5199</v>
      </c>
      <c r="E440" s="2" t="n">
        <v>1800</v>
      </c>
      <c r="F440" s="2" t="n">
        <v>771</v>
      </c>
      <c r="G440" s="2" t="inlineStr">
        <is>
          <t>1301 1303 1302 c02b c02f cca9 cca8 c02c c030 c00a c009 c013 c014 009c 009d 002f 0035</t>
        </is>
      </c>
      <c r="H440" s="2" t="inlineStr">
        <is>
          <t>0304 0303</t>
        </is>
      </c>
      <c r="I440" s="2" t="n">
        <v>1</v>
      </c>
      <c r="J440" s="2" t="inlineStr">
        <is>
          <t>skb-eval-80103-c5199</t>
        </is>
      </c>
      <c r="K440" s="2" t="n">
        <v>1800</v>
      </c>
      <c r="L440" s="2" t="n">
        <v>771</v>
      </c>
      <c r="M440" s="2" t="n">
        <v>1443</v>
      </c>
      <c r="N440" s="2" t="b">
        <v>1</v>
      </c>
      <c r="O440" s="2" t="b">
        <v>0</v>
      </c>
      <c r="P440" s="2" t="inlineStr">
        <is>
          <t>1301 1303 1302 c02b c02f cca9 cca8 c02c c030 c00a c009 c013 c014 009c 009d 002f 0035</t>
        </is>
      </c>
      <c r="Q440" s="2" t="inlineStr"/>
      <c r="R440" s="2" t="inlineStr">
        <is>
          <t>unknown</t>
        </is>
      </c>
      <c r="S440" s="2" t="inlineStr">
        <is>
          <t>allow</t>
        </is>
      </c>
      <c r="T440" s="2">
        <f>K440=E440</f>
        <v/>
      </c>
      <c r="U440" s="2">
        <f>L440=F440</f>
        <v/>
      </c>
      <c r="V440" s="2">
        <f>IF(N440,EXACT(P440,G440),"")</f>
        <v/>
      </c>
      <c r="W440" s="2">
        <f>IF(O440,EXACT(Q440,H440),"")</f>
        <v/>
      </c>
      <c r="X440" s="2">
        <f>J440=C440</f>
        <v/>
      </c>
      <c r="Y440" s="2">
        <f>IF(R440="unknown","",R440=S440)</f>
        <v/>
      </c>
      <c r="Z440" s="2" t="inlineStr">
        <is>
          <t>A</t>
        </is>
      </c>
      <c r="AA440" s="2" t="inlineStr">
        <is>
          <t>A</t>
        </is>
      </c>
      <c r="AB440" s="2">
        <f>AND(N440,O440,A440&lt;&gt;"census-mixed")</f>
        <v/>
      </c>
      <c r="AC440" s="2">
        <f>IF(AB440,Z440=AA440,"")</f>
        <v/>
      </c>
    </row>
    <row r="441">
      <c r="A441" s="2" t="inlineStr">
        <is>
          <t>census-mixed</t>
        </is>
      </c>
      <c r="B441" s="2" t="inlineStr">
        <is>
          <t>browser firefox147</t>
        </is>
      </c>
      <c r="C441" s="2" t="inlineStr">
        <is>
          <t>skb-eval-80103-c5200</t>
        </is>
      </c>
      <c r="D441" s="2" t="n">
        <v>5200</v>
      </c>
      <c r="E441" s="2" t="n">
        <v>1800</v>
      </c>
      <c r="F441" s="2" t="n">
        <v>771</v>
      </c>
      <c r="G441" s="2" t="inlineStr">
        <is>
          <t>1301 1303 1302 c02b c02f cca9 cca8 c02c c030 c00a c009 c013 c014 009c 009d 002f 0035</t>
        </is>
      </c>
      <c r="H441" s="2" t="inlineStr">
        <is>
          <t>0304 0303</t>
        </is>
      </c>
      <c r="I441" s="2" t="n">
        <v>1</v>
      </c>
      <c r="J441" s="2" t="inlineStr">
        <is>
          <t>skb-eval-80103-c5200</t>
        </is>
      </c>
      <c r="K441" s="2" t="n">
        <v>1800</v>
      </c>
      <c r="L441" s="2" t="n">
        <v>771</v>
      </c>
      <c r="M441" s="2" t="n">
        <v>1443</v>
      </c>
      <c r="N441" s="2" t="b">
        <v>1</v>
      </c>
      <c r="O441" s="2" t="b">
        <v>0</v>
      </c>
      <c r="P441" s="2" t="inlineStr">
        <is>
          <t>1301 1303 1302 c02b c02f cca9 cca8 c02c c030 c00a c009 c013 c014 009c 009d 002f 0035</t>
        </is>
      </c>
      <c r="Q441" s="2" t="inlineStr"/>
      <c r="R441" s="2" t="inlineStr">
        <is>
          <t>unknown</t>
        </is>
      </c>
      <c r="S441" s="2" t="inlineStr">
        <is>
          <t>allow</t>
        </is>
      </c>
      <c r="T441" s="2">
        <f>K441=E441</f>
        <v/>
      </c>
      <c r="U441" s="2">
        <f>L441=F441</f>
        <v/>
      </c>
      <c r="V441" s="2">
        <f>IF(N441,EXACT(P441,G441),"")</f>
        <v/>
      </c>
      <c r="W441" s="2">
        <f>IF(O441,EXACT(Q441,H441),"")</f>
        <v/>
      </c>
      <c r="X441" s="2">
        <f>J441=C441</f>
        <v/>
      </c>
      <c r="Y441" s="2">
        <f>IF(R441="unknown","",R441=S441)</f>
        <v/>
      </c>
      <c r="Z441" s="2" t="inlineStr">
        <is>
          <t>A</t>
        </is>
      </c>
      <c r="AA441" s="2" t="inlineStr">
        <is>
          <t>A</t>
        </is>
      </c>
      <c r="AB441" s="2">
        <f>AND(N441,O441,A441&lt;&gt;"census-mixed")</f>
        <v/>
      </c>
      <c r="AC441" s="2">
        <f>IF(AB441,Z441=AA441,"")</f>
        <v/>
      </c>
    </row>
    <row r="442">
      <c r="A442" s="2" t="inlineStr">
        <is>
          <t>census-mixed</t>
        </is>
      </c>
      <c r="B442" s="2" t="inlineStr">
        <is>
          <t>browser safari184</t>
        </is>
      </c>
      <c r="C442" s="2" t="inlineStr">
        <is>
          <t>skb-eval-80103-c5201</t>
        </is>
      </c>
      <c r="D442" s="2" t="n">
        <v>5201</v>
      </c>
      <c r="E442" s="2" t="n">
        <v>512</v>
      </c>
      <c r="F442" s="2" t="n">
        <v>771</v>
      </c>
      <c r="G442" s="2" t="inlineStr">
        <is>
          <t>dada 1301 1302 1303 c02c c02b cca9 c030 c02f cca8 c00a c009 c014 c013 009d 009c 0035 002f c008 c012 000a</t>
        </is>
      </c>
      <c r="H442" s="2" t="inlineStr">
        <is>
          <t>eaea 0304 0303 0302 0301</t>
        </is>
      </c>
      <c r="I442" s="2" t="n">
        <v>1</v>
      </c>
      <c r="J442" s="2" t="inlineStr">
        <is>
          <t>skb-eval-80103-c5201</t>
        </is>
      </c>
      <c r="K442" s="2" t="n">
        <v>512</v>
      </c>
      <c r="L442" s="2" t="n">
        <v>771</v>
      </c>
      <c r="M442" s="2" t="n">
        <v>512</v>
      </c>
      <c r="N442" s="2" t="b">
        <v>1</v>
      </c>
      <c r="O442" s="2" t="b">
        <v>1</v>
      </c>
      <c r="P442" s="2" t="inlineStr">
        <is>
          <t>dada 1301 1302 1303 c02c c02b cca9 c030 c02f cca8 c00a c009 c014 c013 009d 009c 0035 002f c008 c012 000a</t>
        </is>
      </c>
      <c r="Q442" s="2" t="inlineStr">
        <is>
          <t>eaea 0304 0303 0302 0301</t>
        </is>
      </c>
      <c r="R442" s="2" t="inlineStr">
        <is>
          <t>violation</t>
        </is>
      </c>
      <c r="S442" s="2" t="inlineStr">
        <is>
          <t>violation</t>
        </is>
      </c>
      <c r="T442" s="2">
        <f>K442=E442</f>
        <v/>
      </c>
      <c r="U442" s="2">
        <f>L442=F442</f>
        <v/>
      </c>
      <c r="V442" s="2">
        <f>IF(N442,EXACT(P442,G442),"")</f>
        <v/>
      </c>
      <c r="W442" s="2">
        <f>IF(O442,EXACT(Q442,H442),"")</f>
        <v/>
      </c>
      <c r="X442" s="2">
        <f>J442=C442</f>
        <v/>
      </c>
      <c r="Y442" s="2">
        <f>IF(R442="unknown","",R442=S442)</f>
        <v/>
      </c>
      <c r="Z442" s="2" t="inlineStr">
        <is>
          <t>A</t>
        </is>
      </c>
      <c r="AA442" s="2" t="inlineStr">
        <is>
          <t>A</t>
        </is>
      </c>
      <c r="AB442" s="2">
        <f>AND(N442,O442,A442&lt;&gt;"census-mixed")</f>
        <v/>
      </c>
      <c r="AC442" s="2">
        <f>IF(AB442,Z442=AA442,"")</f>
        <v/>
      </c>
    </row>
    <row r="443">
      <c r="A443" s="2" t="inlineStr">
        <is>
          <t>census-mixed</t>
        </is>
      </c>
      <c r="B443" s="2" t="inlineStr">
        <is>
          <t>browser safari184</t>
        </is>
      </c>
      <c r="C443" s="2" t="inlineStr">
        <is>
          <t>skb-eval-80103-c5202</t>
        </is>
      </c>
      <c r="D443" s="2" t="n">
        <v>5202</v>
      </c>
      <c r="E443" s="2" t="n">
        <v>512</v>
      </c>
      <c r="F443" s="2" t="n">
        <v>771</v>
      </c>
      <c r="G443" s="2" t="inlineStr">
        <is>
          <t>0a0a 1301 1302 1303 c02c c02b cca9 c030 c02f cca8 c00a c009 c014 c013 009d 009c 0035 002f c008 c012 000a</t>
        </is>
      </c>
      <c r="H443" s="2" t="inlineStr">
        <is>
          <t>5a5a 0304 0303 0302 0301</t>
        </is>
      </c>
      <c r="I443" s="2" t="n">
        <v>1</v>
      </c>
      <c r="J443" s="2" t="inlineStr">
        <is>
          <t>skb-eval-80103-c5202</t>
        </is>
      </c>
      <c r="K443" s="2" t="n">
        <v>512</v>
      </c>
      <c r="L443" s="2" t="n">
        <v>771</v>
      </c>
      <c r="M443" s="2" t="n">
        <v>512</v>
      </c>
      <c r="N443" s="2" t="b">
        <v>1</v>
      </c>
      <c r="O443" s="2" t="b">
        <v>1</v>
      </c>
      <c r="P443" s="2" t="inlineStr">
        <is>
          <t>0a0a 1301 1302 1303 c02c c02b cca9 c030 c02f cca8 c00a c009 c014 c013 009d 009c 0035 002f c008 c012 000a</t>
        </is>
      </c>
      <c r="Q443" s="2" t="inlineStr">
        <is>
          <t>5a5a 0304 0303 0302 0301</t>
        </is>
      </c>
      <c r="R443" s="2" t="inlineStr">
        <is>
          <t>violation</t>
        </is>
      </c>
      <c r="S443" s="2" t="inlineStr">
        <is>
          <t>violation</t>
        </is>
      </c>
      <c r="T443" s="2">
        <f>K443=E443</f>
        <v/>
      </c>
      <c r="U443" s="2">
        <f>L443=F443</f>
        <v/>
      </c>
      <c r="V443" s="2">
        <f>IF(N443,EXACT(P443,G443),"")</f>
        <v/>
      </c>
      <c r="W443" s="2">
        <f>IF(O443,EXACT(Q443,H443),"")</f>
        <v/>
      </c>
      <c r="X443" s="2">
        <f>J443=C443</f>
        <v/>
      </c>
      <c r="Y443" s="2">
        <f>IF(R443="unknown","",R443=S443)</f>
        <v/>
      </c>
      <c r="Z443" s="2" t="inlineStr">
        <is>
          <t>A</t>
        </is>
      </c>
      <c r="AA443" s="2" t="inlineStr">
        <is>
          <t>A</t>
        </is>
      </c>
      <c r="AB443" s="2">
        <f>AND(N443,O443,A443&lt;&gt;"census-mixed")</f>
        <v/>
      </c>
      <c r="AC443" s="2">
        <f>IF(AB443,Z443=AA443,"")</f>
        <v/>
      </c>
    </row>
    <row r="444">
      <c r="A444" s="2" t="inlineStr">
        <is>
          <t>census-mixed</t>
        </is>
      </c>
      <c r="B444" s="2" t="inlineStr">
        <is>
          <t>browser safari184</t>
        </is>
      </c>
      <c r="C444" s="2" t="inlineStr">
        <is>
          <t>skb-eval-80103-c5203</t>
        </is>
      </c>
      <c r="D444" s="2" t="n">
        <v>5203</v>
      </c>
      <c r="E444" s="2" t="n">
        <v>512</v>
      </c>
      <c r="F444" s="2" t="n">
        <v>771</v>
      </c>
      <c r="G444" s="2" t="inlineStr">
        <is>
          <t>dada 1301 1302 1303 c02c c02b cca9 c030 c02f cca8 c00a c009 c014 c013 009d 009c 0035 002f c008 c012 000a</t>
        </is>
      </c>
      <c r="H444" s="2" t="inlineStr">
        <is>
          <t>fafa 0304 0303 0302 0301</t>
        </is>
      </c>
      <c r="I444" s="2" t="n">
        <v>1</v>
      </c>
      <c r="J444" s="2" t="inlineStr">
        <is>
          <t>skb-eval-80103-c5203</t>
        </is>
      </c>
      <c r="K444" s="2" t="n">
        <v>512</v>
      </c>
      <c r="L444" s="2" t="n">
        <v>771</v>
      </c>
      <c r="M444" s="2" t="n">
        <v>512</v>
      </c>
      <c r="N444" s="2" t="b">
        <v>1</v>
      </c>
      <c r="O444" s="2" t="b">
        <v>1</v>
      </c>
      <c r="P444" s="2" t="inlineStr">
        <is>
          <t>dada 1301 1302 1303 c02c c02b cca9 c030 c02f cca8 c00a c009 c014 c013 009d 009c 0035 002f c008 c012 000a</t>
        </is>
      </c>
      <c r="Q444" s="2" t="inlineStr">
        <is>
          <t>fafa 0304 0303 0302 0301</t>
        </is>
      </c>
      <c r="R444" s="2" t="inlineStr">
        <is>
          <t>violation</t>
        </is>
      </c>
      <c r="S444" s="2" t="inlineStr">
        <is>
          <t>violation</t>
        </is>
      </c>
      <c r="T444" s="2">
        <f>K444=E444</f>
        <v/>
      </c>
      <c r="U444" s="2">
        <f>L444=F444</f>
        <v/>
      </c>
      <c r="V444" s="2">
        <f>IF(N444,EXACT(P444,G444),"")</f>
        <v/>
      </c>
      <c r="W444" s="2">
        <f>IF(O444,EXACT(Q444,H444),"")</f>
        <v/>
      </c>
      <c r="X444" s="2">
        <f>J444=C444</f>
        <v/>
      </c>
      <c r="Y444" s="2">
        <f>IF(R444="unknown","",R444=S444)</f>
        <v/>
      </c>
      <c r="Z444" s="2" t="inlineStr">
        <is>
          <t>A</t>
        </is>
      </c>
      <c r="AA444" s="2" t="inlineStr">
        <is>
          <t>A</t>
        </is>
      </c>
      <c r="AB444" s="2">
        <f>AND(N444,O444,A444&lt;&gt;"census-mixed")</f>
        <v/>
      </c>
      <c r="AC444" s="2">
        <f>IF(AB444,Z444=AA444,"")</f>
        <v/>
      </c>
    </row>
    <row r="445">
      <c r="A445" s="2" t="inlineStr">
        <is>
          <t>census-mixed</t>
        </is>
      </c>
      <c r="B445" s="2" t="inlineStr">
        <is>
          <t>browser safari184</t>
        </is>
      </c>
      <c r="C445" s="2" t="inlineStr">
        <is>
          <t>skb-eval-80103-c5204</t>
        </is>
      </c>
      <c r="D445" s="2" t="n">
        <v>5204</v>
      </c>
      <c r="E445" s="2" t="n">
        <v>512</v>
      </c>
      <c r="F445" s="2" t="n">
        <v>771</v>
      </c>
      <c r="G445" s="2" t="inlineStr">
        <is>
          <t>eaea 1301 1302 1303 c02c c02b cca9 c030 c02f cca8 c00a c009 c014 c013 009d 009c 0035 002f c008 c012 000a</t>
        </is>
      </c>
      <c r="H445" s="2" t="inlineStr">
        <is>
          <t>4a4a 0304 0303 0302 0301</t>
        </is>
      </c>
      <c r="I445" s="2" t="n">
        <v>1</v>
      </c>
      <c r="J445" s="2" t="inlineStr">
        <is>
          <t>skb-eval-80103-c5204</t>
        </is>
      </c>
      <c r="K445" s="2" t="n">
        <v>512</v>
      </c>
      <c r="L445" s="2" t="n">
        <v>771</v>
      </c>
      <c r="M445" s="2" t="n">
        <v>512</v>
      </c>
      <c r="N445" s="2" t="b">
        <v>1</v>
      </c>
      <c r="O445" s="2" t="b">
        <v>1</v>
      </c>
      <c r="P445" s="2" t="inlineStr">
        <is>
          <t>eaea 1301 1302 1303 c02c c02b cca9 c030 c02f cca8 c00a c009 c014 c013 009d 009c 0035 002f c008 c012 000a</t>
        </is>
      </c>
      <c r="Q445" s="2" t="inlineStr">
        <is>
          <t>4a4a 0304 0303 0302 0301</t>
        </is>
      </c>
      <c r="R445" s="2" t="inlineStr">
        <is>
          <t>violation</t>
        </is>
      </c>
      <c r="S445" s="2" t="inlineStr">
        <is>
          <t>violation</t>
        </is>
      </c>
      <c r="T445" s="2">
        <f>K445=E445</f>
        <v/>
      </c>
      <c r="U445" s="2">
        <f>L445=F445</f>
        <v/>
      </c>
      <c r="V445" s="2">
        <f>IF(N445,EXACT(P445,G445),"")</f>
        <v/>
      </c>
      <c r="W445" s="2">
        <f>IF(O445,EXACT(Q445,H445),"")</f>
        <v/>
      </c>
      <c r="X445" s="2">
        <f>J445=C445</f>
        <v/>
      </c>
      <c r="Y445" s="2">
        <f>IF(R445="unknown","",R445=S445)</f>
        <v/>
      </c>
      <c r="Z445" s="2" t="inlineStr">
        <is>
          <t>A</t>
        </is>
      </c>
      <c r="AA445" s="2" t="inlineStr">
        <is>
          <t>A</t>
        </is>
      </c>
      <c r="AB445" s="2">
        <f>AND(N445,O445,A445&lt;&gt;"census-mixed")</f>
        <v/>
      </c>
      <c r="AC445" s="2">
        <f>IF(AB445,Z445=AA445,"")</f>
        <v/>
      </c>
    </row>
    <row r="446">
      <c r="A446" s="2" t="inlineStr">
        <is>
          <t>census-mixed</t>
        </is>
      </c>
      <c r="B446" s="2" t="inlineStr">
        <is>
          <t>browser safari184</t>
        </is>
      </c>
      <c r="C446" s="2" t="inlineStr">
        <is>
          <t>skb-eval-80103-c5205</t>
        </is>
      </c>
      <c r="D446" s="2" t="n">
        <v>5205</v>
      </c>
      <c r="E446" s="2" t="n">
        <v>512</v>
      </c>
      <c r="F446" s="2" t="n">
        <v>771</v>
      </c>
      <c r="G446" s="2" t="inlineStr">
        <is>
          <t>aaaa 1301 1302 1303 c02c c02b cca9 c030 c02f cca8 c00a c009 c014 c013 009d 009c 0035 002f c008 c012 000a</t>
        </is>
      </c>
      <c r="H446" s="2" t="inlineStr">
        <is>
          <t>4a4a 0304 0303 0302 0301</t>
        </is>
      </c>
      <c r="I446" s="2" t="n">
        <v>1</v>
      </c>
      <c r="J446" s="2" t="inlineStr">
        <is>
          <t>skb-eval-80103-c5205</t>
        </is>
      </c>
      <c r="K446" s="2" t="n">
        <v>512</v>
      </c>
      <c r="L446" s="2" t="n">
        <v>771</v>
      </c>
      <c r="M446" s="2" t="n">
        <v>512</v>
      </c>
      <c r="N446" s="2" t="b">
        <v>1</v>
      </c>
      <c r="O446" s="2" t="b">
        <v>1</v>
      </c>
      <c r="P446" s="2" t="inlineStr">
        <is>
          <t>aaaa 1301 1302 1303 c02c c02b cca9 c030 c02f cca8 c00a c009 c014 c013 009d 009c 0035 002f c008 c012 000a</t>
        </is>
      </c>
      <c r="Q446" s="2" t="inlineStr">
        <is>
          <t>4a4a 0304 0303 0302 0301</t>
        </is>
      </c>
      <c r="R446" s="2" t="inlineStr">
        <is>
          <t>violation</t>
        </is>
      </c>
      <c r="S446" s="2" t="inlineStr">
        <is>
          <t>violation</t>
        </is>
      </c>
      <c r="T446" s="2">
        <f>K446=E446</f>
        <v/>
      </c>
      <c r="U446" s="2">
        <f>L446=F446</f>
        <v/>
      </c>
      <c r="V446" s="2">
        <f>IF(N446,EXACT(P446,G446),"")</f>
        <v/>
      </c>
      <c r="W446" s="2">
        <f>IF(O446,EXACT(Q446,H446),"")</f>
        <v/>
      </c>
      <c r="X446" s="2">
        <f>J446=C446</f>
        <v/>
      </c>
      <c r="Y446" s="2">
        <f>IF(R446="unknown","",R446=S446)</f>
        <v/>
      </c>
      <c r="Z446" s="2" t="inlineStr">
        <is>
          <t>A</t>
        </is>
      </c>
      <c r="AA446" s="2" t="inlineStr">
        <is>
          <t>A</t>
        </is>
      </c>
      <c r="AB446" s="2">
        <f>AND(N446,O446,A446&lt;&gt;"census-mixed")</f>
        <v/>
      </c>
      <c r="AC446" s="2">
        <f>IF(AB446,Z446=AA446,"")</f>
        <v/>
      </c>
    </row>
    <row r="447">
      <c r="A447" s="2" t="inlineStr">
        <is>
          <t>census-mixed</t>
        </is>
      </c>
      <c r="B447" s="2" t="inlineStr">
        <is>
          <t>browser safari184</t>
        </is>
      </c>
      <c r="C447" s="2" t="inlineStr">
        <is>
          <t>skb-eval-80103-c5206</t>
        </is>
      </c>
      <c r="D447" s="2" t="n">
        <v>5206</v>
      </c>
      <c r="E447" s="2" t="n">
        <v>512</v>
      </c>
      <c r="F447" s="2" t="n">
        <v>771</v>
      </c>
      <c r="G447" s="2" t="inlineStr">
        <is>
          <t>5a5a 1301 1302 1303 c02c c02b cca9 c030 c02f cca8 c00a c009 c014 c013 009d 009c 0035 002f c008 c012 000a</t>
        </is>
      </c>
      <c r="H447" s="2" t="inlineStr">
        <is>
          <t>8a8a 0304 0303 0302 0301</t>
        </is>
      </c>
      <c r="I447" s="2" t="n">
        <v>1</v>
      </c>
      <c r="J447" s="2" t="inlineStr">
        <is>
          <t>skb-eval-80103-c5206</t>
        </is>
      </c>
      <c r="K447" s="2" t="n">
        <v>512</v>
      </c>
      <c r="L447" s="2" t="n">
        <v>771</v>
      </c>
      <c r="M447" s="2" t="n">
        <v>512</v>
      </c>
      <c r="N447" s="2" t="b">
        <v>1</v>
      </c>
      <c r="O447" s="2" t="b">
        <v>1</v>
      </c>
      <c r="P447" s="2" t="inlineStr">
        <is>
          <t>5a5a 1301 1302 1303 c02c c02b cca9 c030 c02f cca8 c00a c009 c014 c013 009d 009c 0035 002f c008 c012 000a</t>
        </is>
      </c>
      <c r="Q447" s="2" t="inlineStr">
        <is>
          <t>8a8a 0304 0303 0302 0301</t>
        </is>
      </c>
      <c r="R447" s="2" t="inlineStr">
        <is>
          <t>violation</t>
        </is>
      </c>
      <c r="S447" s="2" t="inlineStr">
        <is>
          <t>violation</t>
        </is>
      </c>
      <c r="T447" s="2">
        <f>K447=E447</f>
        <v/>
      </c>
      <c r="U447" s="2">
        <f>L447=F447</f>
        <v/>
      </c>
      <c r="V447" s="2">
        <f>IF(N447,EXACT(P447,G447),"")</f>
        <v/>
      </c>
      <c r="W447" s="2">
        <f>IF(O447,EXACT(Q447,H447),"")</f>
        <v/>
      </c>
      <c r="X447" s="2">
        <f>J447=C447</f>
        <v/>
      </c>
      <c r="Y447" s="2">
        <f>IF(R447="unknown","",R447=S447)</f>
        <v/>
      </c>
      <c r="Z447" s="2" t="inlineStr">
        <is>
          <t>A</t>
        </is>
      </c>
      <c r="AA447" s="2" t="inlineStr">
        <is>
          <t>A</t>
        </is>
      </c>
      <c r="AB447" s="2">
        <f>AND(N447,O447,A447&lt;&gt;"census-mixed")</f>
        <v/>
      </c>
      <c r="AC447" s="2">
        <f>IF(AB447,Z447=AA447,"")</f>
        <v/>
      </c>
    </row>
    <row r="448">
      <c r="A448" s="2" t="inlineStr">
        <is>
          <t>census-mixed</t>
        </is>
      </c>
      <c r="B448" s="2" t="inlineStr">
        <is>
          <t>browser safari184</t>
        </is>
      </c>
      <c r="C448" s="2" t="inlineStr">
        <is>
          <t>skb-eval-80103-c5207</t>
        </is>
      </c>
      <c r="D448" s="2" t="n">
        <v>5207</v>
      </c>
      <c r="E448" s="2" t="n">
        <v>512</v>
      </c>
      <c r="F448" s="2" t="n">
        <v>771</v>
      </c>
      <c r="G448" s="2" t="inlineStr">
        <is>
          <t>dada 1301 1302 1303 c02c c02b cca9 c030 c02f cca8 c00a c009 c014 c013 009d 009c 0035 002f c008 c012 000a</t>
        </is>
      </c>
      <c r="H448" s="2" t="inlineStr">
        <is>
          <t>dada 0304 0303 0302 0301</t>
        </is>
      </c>
      <c r="I448" s="2" t="n">
        <v>1</v>
      </c>
      <c r="J448" s="2" t="inlineStr">
        <is>
          <t>skb-eval-80103-c5207</t>
        </is>
      </c>
      <c r="K448" s="2" t="n">
        <v>512</v>
      </c>
      <c r="L448" s="2" t="n">
        <v>771</v>
      </c>
      <c r="M448" s="2" t="n">
        <v>512</v>
      </c>
      <c r="N448" s="2" t="b">
        <v>1</v>
      </c>
      <c r="O448" s="2" t="b">
        <v>1</v>
      </c>
      <c r="P448" s="2" t="inlineStr">
        <is>
          <t>dada 1301 1302 1303 c02c c02b cca9 c030 c02f cca8 c00a c009 c014 c013 009d 009c 0035 002f c008 c012 000a</t>
        </is>
      </c>
      <c r="Q448" s="2" t="inlineStr">
        <is>
          <t>dada 0304 0303 0302 0301</t>
        </is>
      </c>
      <c r="R448" s="2" t="inlineStr">
        <is>
          <t>violation</t>
        </is>
      </c>
      <c r="S448" s="2" t="inlineStr">
        <is>
          <t>violation</t>
        </is>
      </c>
      <c r="T448" s="2">
        <f>K448=E448</f>
        <v/>
      </c>
      <c r="U448" s="2">
        <f>L448=F448</f>
        <v/>
      </c>
      <c r="V448" s="2">
        <f>IF(N448,EXACT(P448,G448),"")</f>
        <v/>
      </c>
      <c r="W448" s="2">
        <f>IF(O448,EXACT(Q448,H448),"")</f>
        <v/>
      </c>
      <c r="X448" s="2">
        <f>J448=C448</f>
        <v/>
      </c>
      <c r="Y448" s="2">
        <f>IF(R448="unknown","",R448=S448)</f>
        <v/>
      </c>
      <c r="Z448" s="2" t="inlineStr">
        <is>
          <t>A</t>
        </is>
      </c>
      <c r="AA448" s="2" t="inlineStr">
        <is>
          <t>A</t>
        </is>
      </c>
      <c r="AB448" s="2">
        <f>AND(N448,O448,A448&lt;&gt;"census-mixed")</f>
        <v/>
      </c>
      <c r="AC448" s="2">
        <f>IF(AB448,Z448=AA448,"")</f>
        <v/>
      </c>
    </row>
    <row r="449">
      <c r="A449" s="2" t="inlineStr">
        <is>
          <t>census-mixed</t>
        </is>
      </c>
      <c r="B449" s="2" t="inlineStr">
        <is>
          <t>browser safari184</t>
        </is>
      </c>
      <c r="C449" s="2" t="inlineStr">
        <is>
          <t>skb-eval-80103-c5208</t>
        </is>
      </c>
      <c r="D449" s="2" t="n">
        <v>5208</v>
      </c>
      <c r="E449" s="2" t="n">
        <v>512</v>
      </c>
      <c r="F449" s="2" t="n">
        <v>771</v>
      </c>
      <c r="G449" s="2" t="inlineStr">
        <is>
          <t>baba 1301 1302 1303 c02c c02b cca9 c030 c02f cca8 c00a c009 c014 c013 009d 009c 0035 002f c008 c012 000a</t>
        </is>
      </c>
      <c r="H449" s="2" t="inlineStr">
        <is>
          <t>baba 0304 0303 0302 0301</t>
        </is>
      </c>
      <c r="I449" s="2" t="n">
        <v>1</v>
      </c>
      <c r="J449" s="2" t="inlineStr">
        <is>
          <t>skb-eval-80103-c5208</t>
        </is>
      </c>
      <c r="K449" s="2" t="n">
        <v>512</v>
      </c>
      <c r="L449" s="2" t="n">
        <v>771</v>
      </c>
      <c r="M449" s="2" t="n">
        <v>512</v>
      </c>
      <c r="N449" s="2" t="b">
        <v>1</v>
      </c>
      <c r="O449" s="2" t="b">
        <v>1</v>
      </c>
      <c r="P449" s="2" t="inlineStr">
        <is>
          <t>baba 1301 1302 1303 c02c c02b cca9 c030 c02f cca8 c00a c009 c014 c013 009d 009c 0035 002f c008 c012 000a</t>
        </is>
      </c>
      <c r="Q449" s="2" t="inlineStr">
        <is>
          <t>baba 0304 0303 0302 0301</t>
        </is>
      </c>
      <c r="R449" s="2" t="inlineStr">
        <is>
          <t>violation</t>
        </is>
      </c>
      <c r="S449" s="2" t="inlineStr">
        <is>
          <t>violation</t>
        </is>
      </c>
      <c r="T449" s="2">
        <f>K449=E449</f>
        <v/>
      </c>
      <c r="U449" s="2">
        <f>L449=F449</f>
        <v/>
      </c>
      <c r="V449" s="2">
        <f>IF(N449,EXACT(P449,G449),"")</f>
        <v/>
      </c>
      <c r="W449" s="2">
        <f>IF(O449,EXACT(Q449,H449),"")</f>
        <v/>
      </c>
      <c r="X449" s="2">
        <f>J449=C449</f>
        <v/>
      </c>
      <c r="Y449" s="2">
        <f>IF(R449="unknown","",R449=S449)</f>
        <v/>
      </c>
      <c r="Z449" s="2" t="inlineStr">
        <is>
          <t>A</t>
        </is>
      </c>
      <c r="AA449" s="2" t="inlineStr">
        <is>
          <t>A</t>
        </is>
      </c>
      <c r="AB449" s="2">
        <f>AND(N449,O449,A449&lt;&gt;"census-mixed")</f>
        <v/>
      </c>
      <c r="AC449" s="2">
        <f>IF(AB449,Z449=AA449,"")</f>
        <v/>
      </c>
    </row>
    <row r="450">
      <c r="A450" s="2" t="inlineStr">
        <is>
          <t>census-mixed</t>
        </is>
      </c>
      <c r="B450" s="2" t="inlineStr">
        <is>
          <t>browser safari184</t>
        </is>
      </c>
      <c r="C450" s="2" t="inlineStr">
        <is>
          <t>skb-eval-80103-c5209</t>
        </is>
      </c>
      <c r="D450" s="2" t="n">
        <v>5209</v>
      </c>
      <c r="E450" s="2" t="n">
        <v>512</v>
      </c>
      <c r="F450" s="2" t="n">
        <v>771</v>
      </c>
      <c r="G450" s="2" t="inlineStr">
        <is>
          <t>4a4a 1301 1302 1303 c02c c02b cca9 c030 c02f cca8 c00a c009 c014 c013 009d 009c 0035 002f c008 c012 000a</t>
        </is>
      </c>
      <c r="H450" s="2" t="inlineStr">
        <is>
          <t>8a8a 0304 0303 0302 0301</t>
        </is>
      </c>
      <c r="I450" s="2" t="n">
        <v>1</v>
      </c>
      <c r="J450" s="2" t="inlineStr">
        <is>
          <t>skb-eval-80103-c5209</t>
        </is>
      </c>
      <c r="K450" s="2" t="n">
        <v>512</v>
      </c>
      <c r="L450" s="2" t="n">
        <v>771</v>
      </c>
      <c r="M450" s="2" t="n">
        <v>512</v>
      </c>
      <c r="N450" s="2" t="b">
        <v>1</v>
      </c>
      <c r="O450" s="2" t="b">
        <v>1</v>
      </c>
      <c r="P450" s="2" t="inlineStr">
        <is>
          <t>4a4a 1301 1302 1303 c02c c02b cca9 c030 c02f cca8 c00a c009 c014 c013 009d 009c 0035 002f c008 c012 000a</t>
        </is>
      </c>
      <c r="Q450" s="2" t="inlineStr">
        <is>
          <t>8a8a 0304 0303 0302 0301</t>
        </is>
      </c>
      <c r="R450" s="2" t="inlineStr">
        <is>
          <t>violation</t>
        </is>
      </c>
      <c r="S450" s="2" t="inlineStr">
        <is>
          <t>violation</t>
        </is>
      </c>
      <c r="T450" s="2">
        <f>K450=E450</f>
        <v/>
      </c>
      <c r="U450" s="2">
        <f>L450=F450</f>
        <v/>
      </c>
      <c r="V450" s="2">
        <f>IF(N450,EXACT(P450,G450),"")</f>
        <v/>
      </c>
      <c r="W450" s="2">
        <f>IF(O450,EXACT(Q450,H450),"")</f>
        <v/>
      </c>
      <c r="X450" s="2">
        <f>J450=C450</f>
        <v/>
      </c>
      <c r="Y450" s="2">
        <f>IF(R450="unknown","",R450=S450)</f>
        <v/>
      </c>
      <c r="Z450" s="2" t="inlineStr">
        <is>
          <t>A</t>
        </is>
      </c>
      <c r="AA450" s="2" t="inlineStr">
        <is>
          <t>A</t>
        </is>
      </c>
      <c r="AB450" s="2">
        <f>AND(N450,O450,A450&lt;&gt;"census-mixed")</f>
        <v/>
      </c>
      <c r="AC450" s="2">
        <f>IF(AB450,Z450=AA450,"")</f>
        <v/>
      </c>
    </row>
    <row r="451">
      <c r="A451" s="2" t="inlineStr">
        <is>
          <t>census-mixed</t>
        </is>
      </c>
      <c r="B451" s="2" t="inlineStr">
        <is>
          <t>browser safari184</t>
        </is>
      </c>
      <c r="C451" s="2" t="inlineStr">
        <is>
          <t>skb-eval-80103-c5210</t>
        </is>
      </c>
      <c r="D451" s="2" t="n">
        <v>5210</v>
      </c>
      <c r="E451" s="2" t="n">
        <v>512</v>
      </c>
      <c r="F451" s="2" t="n">
        <v>771</v>
      </c>
      <c r="G451" s="2" t="inlineStr">
        <is>
          <t>5a5a 1301 1302 1303 c02c c02b cca9 c030 c02f cca8 c00a c009 c014 c013 009d 009c 0035 002f c008 c012 000a</t>
        </is>
      </c>
      <c r="H451" s="2" t="inlineStr">
        <is>
          <t>7a7a 0304 0303 0302 0301</t>
        </is>
      </c>
      <c r="I451" s="2" t="n">
        <v>1</v>
      </c>
      <c r="J451" s="2" t="inlineStr">
        <is>
          <t>skb-eval-80103-c5210</t>
        </is>
      </c>
      <c r="K451" s="2" t="n">
        <v>512</v>
      </c>
      <c r="L451" s="2" t="n">
        <v>771</v>
      </c>
      <c r="M451" s="2" t="n">
        <v>512</v>
      </c>
      <c r="N451" s="2" t="b">
        <v>1</v>
      </c>
      <c r="O451" s="2" t="b">
        <v>1</v>
      </c>
      <c r="P451" s="2" t="inlineStr">
        <is>
          <t>5a5a 1301 1302 1303 c02c c02b cca9 c030 c02f cca8 c00a c009 c014 c013 009d 009c 0035 002f c008 c012 000a</t>
        </is>
      </c>
      <c r="Q451" s="2" t="inlineStr">
        <is>
          <t>7a7a 0304 0303 0302 0301</t>
        </is>
      </c>
      <c r="R451" s="2" t="inlineStr">
        <is>
          <t>violation</t>
        </is>
      </c>
      <c r="S451" s="2" t="inlineStr">
        <is>
          <t>violation</t>
        </is>
      </c>
      <c r="T451" s="2">
        <f>K451=E451</f>
        <v/>
      </c>
      <c r="U451" s="2">
        <f>L451=F451</f>
        <v/>
      </c>
      <c r="V451" s="2">
        <f>IF(N451,EXACT(P451,G451),"")</f>
        <v/>
      </c>
      <c r="W451" s="2">
        <f>IF(O451,EXACT(Q451,H451),"")</f>
        <v/>
      </c>
      <c r="X451" s="2">
        <f>J451=C451</f>
        <v/>
      </c>
      <c r="Y451" s="2">
        <f>IF(R451="unknown","",R451=S451)</f>
        <v/>
      </c>
      <c r="Z451" s="2" t="inlineStr">
        <is>
          <t>A</t>
        </is>
      </c>
      <c r="AA451" s="2" t="inlineStr">
        <is>
          <t>A</t>
        </is>
      </c>
      <c r="AB451" s="2">
        <f>AND(N451,O451,A451&lt;&gt;"census-mixed")</f>
        <v/>
      </c>
      <c r="AC451" s="2">
        <f>IF(AB451,Z451=AA451,"")</f>
        <v/>
      </c>
    </row>
    <row r="452">
      <c r="A452" s="2" t="inlineStr">
        <is>
          <t>census-mixed</t>
        </is>
      </c>
      <c r="B452" s="2" t="inlineStr">
        <is>
          <t>browser safari260</t>
        </is>
      </c>
      <c r="C452" s="2" t="inlineStr">
        <is>
          <t>skb-eval-80103-c5211</t>
        </is>
      </c>
      <c r="D452" s="2" t="n">
        <v>5211</v>
      </c>
      <c r="E452" s="2" t="n">
        <v>1537</v>
      </c>
      <c r="F452" s="2" t="n">
        <v>771</v>
      </c>
      <c r="G452" s="2" t="inlineStr">
        <is>
          <t>aaaa 1302 1303 1301 c02c c02b cca9 c030 c02f cca8 c00a c009 c014 c013 009d 009c 0035 002f c008 c012 000a</t>
        </is>
      </c>
      <c r="H452" s="2" t="inlineStr">
        <is>
          <t>8a8a 0304 0303</t>
        </is>
      </c>
      <c r="I452" s="2" t="n">
        <v>1</v>
      </c>
      <c r="J452" s="2" t="inlineStr">
        <is>
          <t>skb-eval-80103-c5211</t>
        </is>
      </c>
      <c r="K452" s="2" t="n">
        <v>1537</v>
      </c>
      <c r="L452" s="2" t="n">
        <v>771</v>
      </c>
      <c r="M452" s="2" t="n">
        <v>1443</v>
      </c>
      <c r="N452" s="2" t="b">
        <v>1</v>
      </c>
      <c r="O452" s="2" t="b">
        <v>0</v>
      </c>
      <c r="P452" s="2" t="inlineStr">
        <is>
          <t>aaaa 1302 1303 1301 c02c c02b cca9 c030 c02f cca8 c00a c009 c014 c013 009d 009c 0035 002f c008 c012 000a</t>
        </is>
      </c>
      <c r="Q452" s="2" t="inlineStr"/>
      <c r="R452" s="2" t="inlineStr">
        <is>
          <t>violation</t>
        </is>
      </c>
      <c r="S452" s="2" t="inlineStr">
        <is>
          <t>violation</t>
        </is>
      </c>
      <c r="T452" s="2">
        <f>K452=E452</f>
        <v/>
      </c>
      <c r="U452" s="2">
        <f>L452=F452</f>
        <v/>
      </c>
      <c r="V452" s="2">
        <f>IF(N452,EXACT(P452,G452),"")</f>
        <v/>
      </c>
      <c r="W452" s="2">
        <f>IF(O452,EXACT(Q452,H452),"")</f>
        <v/>
      </c>
      <c r="X452" s="2">
        <f>J452=C452</f>
        <v/>
      </c>
      <c r="Y452" s="2">
        <f>IF(R452="unknown","",R452=S452)</f>
        <v/>
      </c>
      <c r="Z452" s="2" t="inlineStr">
        <is>
          <t>A</t>
        </is>
      </c>
      <c r="AA452" s="2" t="inlineStr">
        <is>
          <t>A</t>
        </is>
      </c>
      <c r="AB452" s="2">
        <f>AND(N452,O452,A452&lt;&gt;"census-mixed")</f>
        <v/>
      </c>
      <c r="AC452" s="2">
        <f>IF(AB452,Z452=AA452,"")</f>
        <v/>
      </c>
    </row>
    <row r="453">
      <c r="A453" s="2" t="inlineStr">
        <is>
          <t>census-mixed</t>
        </is>
      </c>
      <c r="B453" s="2" t="inlineStr">
        <is>
          <t>browser safari260</t>
        </is>
      </c>
      <c r="C453" s="2" t="inlineStr">
        <is>
          <t>skb-eval-80103-c5212</t>
        </is>
      </c>
      <c r="D453" s="2" t="n">
        <v>5212</v>
      </c>
      <c r="E453" s="2" t="n">
        <v>1537</v>
      </c>
      <c r="F453" s="2" t="n">
        <v>771</v>
      </c>
      <c r="G453" s="2" t="inlineStr">
        <is>
          <t>1a1a 1302 1303 1301 c02c c02b cca9 c030 c02f cca8 c00a c009 c014 c013 009d 009c 0035 002f c008 c012 000a</t>
        </is>
      </c>
      <c r="H453" s="2" t="inlineStr">
        <is>
          <t>aaaa 0304 0303</t>
        </is>
      </c>
      <c r="I453" s="2" t="n">
        <v>1</v>
      </c>
      <c r="J453" s="2" t="inlineStr">
        <is>
          <t>skb-eval-80103-c5212</t>
        </is>
      </c>
      <c r="K453" s="2" t="n">
        <v>1537</v>
      </c>
      <c r="L453" s="2" t="n">
        <v>771</v>
      </c>
      <c r="M453" s="2" t="n">
        <v>1443</v>
      </c>
      <c r="N453" s="2" t="b">
        <v>1</v>
      </c>
      <c r="O453" s="2" t="b">
        <v>0</v>
      </c>
      <c r="P453" s="2" t="inlineStr">
        <is>
          <t>1a1a 1302 1303 1301 c02c c02b cca9 c030 c02f cca8 c00a c009 c014 c013 009d 009c 0035 002f c008 c012 000a</t>
        </is>
      </c>
      <c r="Q453" s="2" t="inlineStr"/>
      <c r="R453" s="2" t="inlineStr">
        <is>
          <t>violation</t>
        </is>
      </c>
      <c r="S453" s="2" t="inlineStr">
        <is>
          <t>violation</t>
        </is>
      </c>
      <c r="T453" s="2">
        <f>K453=E453</f>
        <v/>
      </c>
      <c r="U453" s="2">
        <f>L453=F453</f>
        <v/>
      </c>
      <c r="V453" s="2">
        <f>IF(N453,EXACT(P453,G453),"")</f>
        <v/>
      </c>
      <c r="W453" s="2">
        <f>IF(O453,EXACT(Q453,H453),"")</f>
        <v/>
      </c>
      <c r="X453" s="2">
        <f>J453=C453</f>
        <v/>
      </c>
      <c r="Y453" s="2">
        <f>IF(R453="unknown","",R453=S453)</f>
        <v/>
      </c>
      <c r="Z453" s="2" t="inlineStr">
        <is>
          <t>A</t>
        </is>
      </c>
      <c r="AA453" s="2" t="inlineStr">
        <is>
          <t>A</t>
        </is>
      </c>
      <c r="AB453" s="2">
        <f>AND(N453,O453,A453&lt;&gt;"census-mixed")</f>
        <v/>
      </c>
      <c r="AC453" s="2">
        <f>IF(AB453,Z453=AA453,"")</f>
        <v/>
      </c>
    </row>
    <row r="454">
      <c r="A454" s="2" t="inlineStr">
        <is>
          <t>census-mixed</t>
        </is>
      </c>
      <c r="B454" s="2" t="inlineStr">
        <is>
          <t>browser safari260</t>
        </is>
      </c>
      <c r="C454" s="2" t="inlineStr">
        <is>
          <t>skb-eval-80103-c5213</t>
        </is>
      </c>
      <c r="D454" s="2" t="n">
        <v>5213</v>
      </c>
      <c r="E454" s="2" t="n">
        <v>1537</v>
      </c>
      <c r="F454" s="2" t="n">
        <v>771</v>
      </c>
      <c r="G454" s="2" t="inlineStr">
        <is>
          <t>7a7a 1302 1303 1301 c02c c02b cca9 c030 c02f cca8 c00a c009 c014 c013 009d 009c 0035 002f c008 c012 000a</t>
        </is>
      </c>
      <c r="H454" s="2" t="inlineStr">
        <is>
          <t>2a2a 0304 0303</t>
        </is>
      </c>
      <c r="I454" s="2" t="n">
        <v>1</v>
      </c>
      <c r="J454" s="2" t="inlineStr">
        <is>
          <t>skb-eval-80103-c5213</t>
        </is>
      </c>
      <c r="K454" s="2" t="n">
        <v>1537</v>
      </c>
      <c r="L454" s="2" t="n">
        <v>771</v>
      </c>
      <c r="M454" s="2" t="n">
        <v>1443</v>
      </c>
      <c r="N454" s="2" t="b">
        <v>1</v>
      </c>
      <c r="O454" s="2" t="b">
        <v>0</v>
      </c>
      <c r="P454" s="2" t="inlineStr">
        <is>
          <t>7a7a 1302 1303 1301 c02c c02b cca9 c030 c02f cca8 c00a c009 c014 c013 009d 009c 0035 002f c008 c012 000a</t>
        </is>
      </c>
      <c r="Q454" s="2" t="inlineStr"/>
      <c r="R454" s="2" t="inlineStr">
        <is>
          <t>violation</t>
        </is>
      </c>
      <c r="S454" s="2" t="inlineStr">
        <is>
          <t>violation</t>
        </is>
      </c>
      <c r="T454" s="2">
        <f>K454=E454</f>
        <v/>
      </c>
      <c r="U454" s="2">
        <f>L454=F454</f>
        <v/>
      </c>
      <c r="V454" s="2">
        <f>IF(N454,EXACT(P454,G454),"")</f>
        <v/>
      </c>
      <c r="W454" s="2">
        <f>IF(O454,EXACT(Q454,H454),"")</f>
        <v/>
      </c>
      <c r="X454" s="2">
        <f>J454=C454</f>
        <v/>
      </c>
      <c r="Y454" s="2">
        <f>IF(R454="unknown","",R454=S454)</f>
        <v/>
      </c>
      <c r="Z454" s="2" t="inlineStr">
        <is>
          <t>A</t>
        </is>
      </c>
      <c r="AA454" s="2" t="inlineStr">
        <is>
          <t>A</t>
        </is>
      </c>
      <c r="AB454" s="2">
        <f>AND(N454,O454,A454&lt;&gt;"census-mixed")</f>
        <v/>
      </c>
      <c r="AC454" s="2">
        <f>IF(AB454,Z454=AA454,"")</f>
        <v/>
      </c>
    </row>
    <row r="455">
      <c r="A455" s="2" t="inlineStr">
        <is>
          <t>census-mixed</t>
        </is>
      </c>
      <c r="B455" s="2" t="inlineStr">
        <is>
          <t>browser safari260</t>
        </is>
      </c>
      <c r="C455" s="2" t="inlineStr">
        <is>
          <t>skb-eval-80103-c5214</t>
        </is>
      </c>
      <c r="D455" s="2" t="n">
        <v>5214</v>
      </c>
      <c r="E455" s="2" t="n">
        <v>1537</v>
      </c>
      <c r="F455" s="2" t="n">
        <v>771</v>
      </c>
      <c r="G455" s="2" t="inlineStr">
        <is>
          <t>eaea 1302 1303 1301 c02c c02b cca9 c030 c02f cca8 c00a c009 c014 c013 009d 009c 0035 002f c008 c012 000a</t>
        </is>
      </c>
      <c r="H455" s="2" t="inlineStr">
        <is>
          <t>eaea 0304 0303</t>
        </is>
      </c>
      <c r="I455" s="2" t="n">
        <v>1</v>
      </c>
      <c r="J455" s="2" t="inlineStr">
        <is>
          <t>skb-eval-80103-c5214</t>
        </is>
      </c>
      <c r="K455" s="2" t="n">
        <v>1537</v>
      </c>
      <c r="L455" s="2" t="n">
        <v>771</v>
      </c>
      <c r="M455" s="2" t="n">
        <v>1443</v>
      </c>
      <c r="N455" s="2" t="b">
        <v>1</v>
      </c>
      <c r="O455" s="2" t="b">
        <v>0</v>
      </c>
      <c r="P455" s="2" t="inlineStr">
        <is>
          <t>eaea 1302 1303 1301 c02c c02b cca9 c030 c02f cca8 c00a c009 c014 c013 009d 009c 0035 002f c008 c012 000a</t>
        </is>
      </c>
      <c r="Q455" s="2" t="inlineStr"/>
      <c r="R455" s="2" t="inlineStr">
        <is>
          <t>violation</t>
        </is>
      </c>
      <c r="S455" s="2" t="inlineStr">
        <is>
          <t>violation</t>
        </is>
      </c>
      <c r="T455" s="2">
        <f>K455=E455</f>
        <v/>
      </c>
      <c r="U455" s="2">
        <f>L455=F455</f>
        <v/>
      </c>
      <c r="V455" s="2">
        <f>IF(N455,EXACT(P455,G455),"")</f>
        <v/>
      </c>
      <c r="W455" s="2">
        <f>IF(O455,EXACT(Q455,H455),"")</f>
        <v/>
      </c>
      <c r="X455" s="2">
        <f>J455=C455</f>
        <v/>
      </c>
      <c r="Y455" s="2">
        <f>IF(R455="unknown","",R455=S455)</f>
        <v/>
      </c>
      <c r="Z455" s="2" t="inlineStr">
        <is>
          <t>A</t>
        </is>
      </c>
      <c r="AA455" s="2" t="inlineStr">
        <is>
          <t>A</t>
        </is>
      </c>
      <c r="AB455" s="2">
        <f>AND(N455,O455,A455&lt;&gt;"census-mixed")</f>
        <v/>
      </c>
      <c r="AC455" s="2">
        <f>IF(AB455,Z455=AA455,"")</f>
        <v/>
      </c>
    </row>
    <row r="456">
      <c r="A456" s="2" t="inlineStr">
        <is>
          <t>census-mixed</t>
        </is>
      </c>
      <c r="B456" s="2" t="inlineStr">
        <is>
          <t>browser safari260</t>
        </is>
      </c>
      <c r="C456" s="2" t="inlineStr">
        <is>
          <t>skb-eval-80103-c5215</t>
        </is>
      </c>
      <c r="D456" s="2" t="n">
        <v>5215</v>
      </c>
      <c r="E456" s="2" t="n">
        <v>1537</v>
      </c>
      <c r="F456" s="2" t="n">
        <v>771</v>
      </c>
      <c r="G456" s="2" t="inlineStr">
        <is>
          <t>fafa 1302 1303 1301 c02c c02b cca9 c030 c02f cca8 c00a c009 c014 c013 009d 009c 0035 002f c008 c012 000a</t>
        </is>
      </c>
      <c r="H456" s="2" t="inlineStr">
        <is>
          <t>8a8a 0304 0303</t>
        </is>
      </c>
      <c r="I456" s="2" t="n">
        <v>1</v>
      </c>
      <c r="J456" s="2" t="inlineStr">
        <is>
          <t>skb-eval-80103-c5215</t>
        </is>
      </c>
      <c r="K456" s="2" t="n">
        <v>1537</v>
      </c>
      <c r="L456" s="2" t="n">
        <v>771</v>
      </c>
      <c r="M456" s="2" t="n">
        <v>1443</v>
      </c>
      <c r="N456" s="2" t="b">
        <v>1</v>
      </c>
      <c r="O456" s="2" t="b">
        <v>0</v>
      </c>
      <c r="P456" s="2" t="inlineStr">
        <is>
          <t>fafa 1302 1303 1301 c02c c02b cca9 c030 c02f cca8 c00a c009 c014 c013 009d 009c 0035 002f c008 c012 000a</t>
        </is>
      </c>
      <c r="Q456" s="2" t="inlineStr"/>
      <c r="R456" s="2" t="inlineStr">
        <is>
          <t>violation</t>
        </is>
      </c>
      <c r="S456" s="2" t="inlineStr">
        <is>
          <t>violation</t>
        </is>
      </c>
      <c r="T456" s="2">
        <f>K456=E456</f>
        <v/>
      </c>
      <c r="U456" s="2">
        <f>L456=F456</f>
        <v/>
      </c>
      <c r="V456" s="2">
        <f>IF(N456,EXACT(P456,G456),"")</f>
        <v/>
      </c>
      <c r="W456" s="2">
        <f>IF(O456,EXACT(Q456,H456),"")</f>
        <v/>
      </c>
      <c r="X456" s="2">
        <f>J456=C456</f>
        <v/>
      </c>
      <c r="Y456" s="2">
        <f>IF(R456="unknown","",R456=S456)</f>
        <v/>
      </c>
      <c r="Z456" s="2" t="inlineStr">
        <is>
          <t>A</t>
        </is>
      </c>
      <c r="AA456" s="2" t="inlineStr">
        <is>
          <t>A</t>
        </is>
      </c>
      <c r="AB456" s="2">
        <f>AND(N456,O456,A456&lt;&gt;"census-mixed")</f>
        <v/>
      </c>
      <c r="AC456" s="2">
        <f>IF(AB456,Z456=AA456,"")</f>
        <v/>
      </c>
    </row>
    <row r="457">
      <c r="A457" s="2" t="inlineStr">
        <is>
          <t>census-mixed</t>
        </is>
      </c>
      <c r="B457" s="2" t="inlineStr">
        <is>
          <t>browser safari260</t>
        </is>
      </c>
      <c r="C457" s="2" t="inlineStr">
        <is>
          <t>skb-eval-80103-c5216</t>
        </is>
      </c>
      <c r="D457" s="2" t="n">
        <v>5216</v>
      </c>
      <c r="E457" s="2" t="n">
        <v>1537</v>
      </c>
      <c r="F457" s="2" t="n">
        <v>771</v>
      </c>
      <c r="G457" s="2" t="inlineStr">
        <is>
          <t>eaea 1302 1303 1301 c02c c02b cca9 c030 c02f cca8 c00a c009 c014 c013 009d 009c 0035 002f c008 c012 000a</t>
        </is>
      </c>
      <c r="H457" s="2" t="inlineStr">
        <is>
          <t>dada 0304 0303</t>
        </is>
      </c>
      <c r="I457" s="2" t="n">
        <v>1</v>
      </c>
      <c r="J457" s="2" t="inlineStr">
        <is>
          <t>skb-eval-80103-c5216</t>
        </is>
      </c>
      <c r="K457" s="2" t="n">
        <v>1537</v>
      </c>
      <c r="L457" s="2" t="n">
        <v>771</v>
      </c>
      <c r="M457" s="2" t="n">
        <v>1443</v>
      </c>
      <c r="N457" s="2" t="b">
        <v>1</v>
      </c>
      <c r="O457" s="2" t="b">
        <v>0</v>
      </c>
      <c r="P457" s="2" t="inlineStr">
        <is>
          <t>eaea 1302 1303 1301 c02c c02b cca9 c030 c02f cca8 c00a c009 c014 c013 009d 009c 0035 002f c008 c012 000a</t>
        </is>
      </c>
      <c r="Q457" s="2" t="inlineStr"/>
      <c r="R457" s="2" t="inlineStr">
        <is>
          <t>violation</t>
        </is>
      </c>
      <c r="S457" s="2" t="inlineStr">
        <is>
          <t>violation</t>
        </is>
      </c>
      <c r="T457" s="2">
        <f>K457=E457</f>
        <v/>
      </c>
      <c r="U457" s="2">
        <f>L457=F457</f>
        <v/>
      </c>
      <c r="V457" s="2">
        <f>IF(N457,EXACT(P457,G457),"")</f>
        <v/>
      </c>
      <c r="W457" s="2">
        <f>IF(O457,EXACT(Q457,H457),"")</f>
        <v/>
      </c>
      <c r="X457" s="2">
        <f>J457=C457</f>
        <v/>
      </c>
      <c r="Y457" s="2">
        <f>IF(R457="unknown","",R457=S457)</f>
        <v/>
      </c>
      <c r="Z457" s="2" t="inlineStr">
        <is>
          <t>A</t>
        </is>
      </c>
      <c r="AA457" s="2" t="inlineStr">
        <is>
          <t>A</t>
        </is>
      </c>
      <c r="AB457" s="2">
        <f>AND(N457,O457,A457&lt;&gt;"census-mixed")</f>
        <v/>
      </c>
      <c r="AC457" s="2">
        <f>IF(AB457,Z457=AA457,"")</f>
        <v/>
      </c>
    </row>
    <row r="458">
      <c r="A458" s="2" t="inlineStr">
        <is>
          <t>census-mixed</t>
        </is>
      </c>
      <c r="B458" s="2" t="inlineStr">
        <is>
          <t>browser safari260</t>
        </is>
      </c>
      <c r="C458" s="2" t="inlineStr">
        <is>
          <t>skb-eval-80103-c5217</t>
        </is>
      </c>
      <c r="D458" s="2" t="n">
        <v>5217</v>
      </c>
      <c r="E458" s="2" t="n">
        <v>1537</v>
      </c>
      <c r="F458" s="2" t="n">
        <v>771</v>
      </c>
      <c r="G458" s="2" t="inlineStr">
        <is>
          <t>5a5a 1302 1303 1301 c02c c02b cca9 c030 c02f cca8 c00a c009 c014 c013 009d 009c 0035 002f c008 c012 000a</t>
        </is>
      </c>
      <c r="H458" s="2" t="inlineStr">
        <is>
          <t>9a9a 0304 0303</t>
        </is>
      </c>
      <c r="I458" s="2" t="n">
        <v>1</v>
      </c>
      <c r="J458" s="2" t="inlineStr">
        <is>
          <t>skb-eval-80103-c5217</t>
        </is>
      </c>
      <c r="K458" s="2" t="n">
        <v>1537</v>
      </c>
      <c r="L458" s="2" t="n">
        <v>771</v>
      </c>
      <c r="M458" s="2" t="n">
        <v>1443</v>
      </c>
      <c r="N458" s="2" t="b">
        <v>1</v>
      </c>
      <c r="O458" s="2" t="b">
        <v>0</v>
      </c>
      <c r="P458" s="2" t="inlineStr">
        <is>
          <t>5a5a 1302 1303 1301 c02c c02b cca9 c030 c02f cca8 c00a c009 c014 c013 009d 009c 0035 002f c008 c012 000a</t>
        </is>
      </c>
      <c r="Q458" s="2" t="inlineStr"/>
      <c r="R458" s="2" t="inlineStr">
        <is>
          <t>violation</t>
        </is>
      </c>
      <c r="S458" s="2" t="inlineStr">
        <is>
          <t>violation</t>
        </is>
      </c>
      <c r="T458" s="2">
        <f>K458=E458</f>
        <v/>
      </c>
      <c r="U458" s="2">
        <f>L458=F458</f>
        <v/>
      </c>
      <c r="V458" s="2">
        <f>IF(N458,EXACT(P458,G458),"")</f>
        <v/>
      </c>
      <c r="W458" s="2">
        <f>IF(O458,EXACT(Q458,H458),"")</f>
        <v/>
      </c>
      <c r="X458" s="2">
        <f>J458=C458</f>
        <v/>
      </c>
      <c r="Y458" s="2">
        <f>IF(R458="unknown","",R458=S458)</f>
        <v/>
      </c>
      <c r="Z458" s="2" t="inlineStr">
        <is>
          <t>A</t>
        </is>
      </c>
      <c r="AA458" s="2" t="inlineStr">
        <is>
          <t>A</t>
        </is>
      </c>
      <c r="AB458" s="2">
        <f>AND(N458,O458,A458&lt;&gt;"census-mixed")</f>
        <v/>
      </c>
      <c r="AC458" s="2">
        <f>IF(AB458,Z458=AA458,"")</f>
        <v/>
      </c>
    </row>
    <row r="459">
      <c r="A459" s="2" t="inlineStr">
        <is>
          <t>census-mixed</t>
        </is>
      </c>
      <c r="B459" s="2" t="inlineStr">
        <is>
          <t>browser safari260</t>
        </is>
      </c>
      <c r="C459" s="2" t="inlineStr">
        <is>
          <t>skb-eval-80103-c5218</t>
        </is>
      </c>
      <c r="D459" s="2" t="n">
        <v>5218</v>
      </c>
      <c r="E459" s="2" t="n">
        <v>1537</v>
      </c>
      <c r="F459" s="2" t="n">
        <v>771</v>
      </c>
      <c r="G459" s="2" t="inlineStr">
        <is>
          <t>caca 1302 1303 1301 c02c c02b cca9 c030 c02f cca8 c00a c009 c014 c013 009d 009c 0035 002f c008 c012 000a</t>
        </is>
      </c>
      <c r="H459" s="2" t="inlineStr">
        <is>
          <t>fafa 0304 0303</t>
        </is>
      </c>
      <c r="I459" s="2" t="n">
        <v>1</v>
      </c>
      <c r="J459" s="2" t="inlineStr">
        <is>
          <t>skb-eval-80103-c5218</t>
        </is>
      </c>
      <c r="K459" s="2" t="n">
        <v>1537</v>
      </c>
      <c r="L459" s="2" t="n">
        <v>771</v>
      </c>
      <c r="M459" s="2" t="n">
        <v>1443</v>
      </c>
      <c r="N459" s="2" t="b">
        <v>1</v>
      </c>
      <c r="O459" s="2" t="b">
        <v>0</v>
      </c>
      <c r="P459" s="2" t="inlineStr">
        <is>
          <t>caca 1302 1303 1301 c02c c02b cca9 c030 c02f cca8 c00a c009 c014 c013 009d 009c 0035 002f c008 c012 000a</t>
        </is>
      </c>
      <c r="Q459" s="2" t="inlineStr"/>
      <c r="R459" s="2" t="inlineStr">
        <is>
          <t>violation</t>
        </is>
      </c>
      <c r="S459" s="2" t="inlineStr">
        <is>
          <t>violation</t>
        </is>
      </c>
      <c r="T459" s="2">
        <f>K459=E459</f>
        <v/>
      </c>
      <c r="U459" s="2">
        <f>L459=F459</f>
        <v/>
      </c>
      <c r="V459" s="2">
        <f>IF(N459,EXACT(P459,G459),"")</f>
        <v/>
      </c>
      <c r="W459" s="2">
        <f>IF(O459,EXACT(Q459,H459),"")</f>
        <v/>
      </c>
      <c r="X459" s="2">
        <f>J459=C459</f>
        <v/>
      </c>
      <c r="Y459" s="2">
        <f>IF(R459="unknown","",R459=S459)</f>
        <v/>
      </c>
      <c r="Z459" s="2" t="inlineStr">
        <is>
          <t>A</t>
        </is>
      </c>
      <c r="AA459" s="2" t="inlineStr">
        <is>
          <t>A</t>
        </is>
      </c>
      <c r="AB459" s="2">
        <f>AND(N459,O459,A459&lt;&gt;"census-mixed")</f>
        <v/>
      </c>
      <c r="AC459" s="2">
        <f>IF(AB459,Z459=AA459,"")</f>
        <v/>
      </c>
    </row>
    <row r="460">
      <c r="A460" s="2" t="inlineStr">
        <is>
          <t>census-mixed</t>
        </is>
      </c>
      <c r="B460" s="2" t="inlineStr">
        <is>
          <t>browser safari260</t>
        </is>
      </c>
      <c r="C460" s="2" t="inlineStr">
        <is>
          <t>skb-eval-80103-c5219</t>
        </is>
      </c>
      <c r="D460" s="2" t="n">
        <v>5219</v>
      </c>
      <c r="E460" s="2" t="n">
        <v>1537</v>
      </c>
      <c r="F460" s="2" t="n">
        <v>771</v>
      </c>
      <c r="G460" s="2" t="inlineStr">
        <is>
          <t>fafa 1302 1303 1301 c02c c02b cca9 c030 c02f cca8 c00a c009 c014 c013 009d 009c 0035 002f c008 c012 000a</t>
        </is>
      </c>
      <c r="H460" s="2" t="inlineStr">
        <is>
          <t>eaea 0304 0303</t>
        </is>
      </c>
      <c r="I460" s="2" t="n">
        <v>1</v>
      </c>
      <c r="J460" s="2" t="inlineStr">
        <is>
          <t>skb-eval-80103-c5219</t>
        </is>
      </c>
      <c r="K460" s="2" t="n">
        <v>1537</v>
      </c>
      <c r="L460" s="2" t="n">
        <v>771</v>
      </c>
      <c r="M460" s="2" t="n">
        <v>1443</v>
      </c>
      <c r="N460" s="2" t="b">
        <v>1</v>
      </c>
      <c r="O460" s="2" t="b">
        <v>0</v>
      </c>
      <c r="P460" s="2" t="inlineStr">
        <is>
          <t>fafa 1302 1303 1301 c02c c02b cca9 c030 c02f cca8 c00a c009 c014 c013 009d 009c 0035 002f c008 c012 000a</t>
        </is>
      </c>
      <c r="Q460" s="2" t="inlineStr"/>
      <c r="R460" s="2" t="inlineStr">
        <is>
          <t>violation</t>
        </is>
      </c>
      <c r="S460" s="2" t="inlineStr">
        <is>
          <t>violation</t>
        </is>
      </c>
      <c r="T460" s="2">
        <f>K460=E460</f>
        <v/>
      </c>
      <c r="U460" s="2">
        <f>L460=F460</f>
        <v/>
      </c>
      <c r="V460" s="2">
        <f>IF(N460,EXACT(P460,G460),"")</f>
        <v/>
      </c>
      <c r="W460" s="2">
        <f>IF(O460,EXACT(Q460,H460),"")</f>
        <v/>
      </c>
      <c r="X460" s="2">
        <f>J460=C460</f>
        <v/>
      </c>
      <c r="Y460" s="2">
        <f>IF(R460="unknown","",R460=S460)</f>
        <v/>
      </c>
      <c r="Z460" s="2" t="inlineStr">
        <is>
          <t>A</t>
        </is>
      </c>
      <c r="AA460" s="2" t="inlineStr">
        <is>
          <t>A</t>
        </is>
      </c>
      <c r="AB460" s="2">
        <f>AND(N460,O460,A460&lt;&gt;"census-mixed")</f>
        <v/>
      </c>
      <c r="AC460" s="2">
        <f>IF(AB460,Z460=AA460,"")</f>
        <v/>
      </c>
    </row>
    <row r="461">
      <c r="A461" s="2" t="inlineStr">
        <is>
          <t>census-mixed</t>
        </is>
      </c>
      <c r="B461" s="2" t="inlineStr">
        <is>
          <t>browser safari260</t>
        </is>
      </c>
      <c r="C461" s="2" t="inlineStr">
        <is>
          <t>skb-eval-80103-c5220</t>
        </is>
      </c>
      <c r="D461" s="2" t="n">
        <v>5220</v>
      </c>
      <c r="E461" s="2" t="n">
        <v>1537</v>
      </c>
      <c r="F461" s="2" t="n">
        <v>771</v>
      </c>
      <c r="G461" s="2" t="inlineStr">
        <is>
          <t>2a2a 1302 1303 1301 c02c c02b cca9 c030 c02f cca8 c00a c009 c014 c013 009d 009c 0035 002f c008 c012 000a</t>
        </is>
      </c>
      <c r="H461" s="2" t="inlineStr">
        <is>
          <t>aaaa 0304 0303</t>
        </is>
      </c>
      <c r="I461" s="2" t="n">
        <v>1</v>
      </c>
      <c r="J461" s="2" t="inlineStr">
        <is>
          <t>skb-eval-80103-c5220</t>
        </is>
      </c>
      <c r="K461" s="2" t="n">
        <v>1537</v>
      </c>
      <c r="L461" s="2" t="n">
        <v>771</v>
      </c>
      <c r="M461" s="2" t="n">
        <v>1443</v>
      </c>
      <c r="N461" s="2" t="b">
        <v>1</v>
      </c>
      <c r="O461" s="2" t="b">
        <v>0</v>
      </c>
      <c r="P461" s="2" t="inlineStr">
        <is>
          <t>2a2a 1302 1303 1301 c02c c02b cca9 c030 c02f cca8 c00a c009 c014 c013 009d 009c 0035 002f c008 c012 000a</t>
        </is>
      </c>
      <c r="Q461" s="2" t="inlineStr"/>
      <c r="R461" s="2" t="inlineStr">
        <is>
          <t>violation</t>
        </is>
      </c>
      <c r="S461" s="2" t="inlineStr">
        <is>
          <t>violation</t>
        </is>
      </c>
      <c r="T461" s="2">
        <f>K461=E461</f>
        <v/>
      </c>
      <c r="U461" s="2">
        <f>L461=F461</f>
        <v/>
      </c>
      <c r="V461" s="2">
        <f>IF(N461,EXACT(P461,G461),"")</f>
        <v/>
      </c>
      <c r="W461" s="2">
        <f>IF(O461,EXACT(Q461,H461),"")</f>
        <v/>
      </c>
      <c r="X461" s="2">
        <f>J461=C461</f>
        <v/>
      </c>
      <c r="Y461" s="2">
        <f>IF(R461="unknown","",R461=S461)</f>
        <v/>
      </c>
      <c r="Z461" s="2" t="inlineStr">
        <is>
          <t>A</t>
        </is>
      </c>
      <c r="AA461" s="2" t="inlineStr">
        <is>
          <t>A</t>
        </is>
      </c>
      <c r="AB461" s="2">
        <f>AND(N461,O461,A461&lt;&gt;"census-mixed")</f>
        <v/>
      </c>
      <c r="AC461" s="2">
        <f>IF(AB461,Z461=AA461,"")</f>
        <v/>
      </c>
    </row>
    <row r="462">
      <c r="A462" s="2" t="inlineStr">
        <is>
          <t>census-mixed</t>
        </is>
      </c>
      <c r="B462" s="2" t="inlineStr">
        <is>
          <t>browser safari260_ios</t>
        </is>
      </c>
      <c r="C462" s="2" t="inlineStr">
        <is>
          <t>skb-eval-80103-c5221</t>
        </is>
      </c>
      <c r="D462" s="2" t="n">
        <v>5221</v>
      </c>
      <c r="E462" s="2" t="n">
        <v>512</v>
      </c>
      <c r="F462" s="2" t="n">
        <v>771</v>
      </c>
      <c r="G462" s="2" t="inlineStr">
        <is>
          <t>dada 1301 1302 1303 c02c c02b cca9 c030 c02f cca8 c00a c009 c014 c013 009d 009c 0035 002f c008 c012 000a</t>
        </is>
      </c>
      <c r="H462" s="2" t="inlineStr">
        <is>
          <t>8a8a 0304 0303</t>
        </is>
      </c>
      <c r="I462" s="2" t="n">
        <v>1</v>
      </c>
      <c r="J462" s="2" t="inlineStr">
        <is>
          <t>skb-eval-80103-c5221</t>
        </is>
      </c>
      <c r="K462" s="2" t="n">
        <v>512</v>
      </c>
      <c r="L462" s="2" t="n">
        <v>771</v>
      </c>
      <c r="M462" s="2" t="n">
        <v>512</v>
      </c>
      <c r="N462" s="2" t="b">
        <v>1</v>
      </c>
      <c r="O462" s="2" t="b">
        <v>1</v>
      </c>
      <c r="P462" s="2" t="inlineStr">
        <is>
          <t>dada 1301 1302 1303 c02c c02b cca9 c030 c02f cca8 c00a c009 c014 c013 009d 009c 0035 002f c008 c012 000a</t>
        </is>
      </c>
      <c r="Q462" s="2" t="inlineStr">
        <is>
          <t>8a8a 0304 0303</t>
        </is>
      </c>
      <c r="R462" s="2" t="inlineStr">
        <is>
          <t>violation</t>
        </is>
      </c>
      <c r="S462" s="2" t="inlineStr">
        <is>
          <t>violation</t>
        </is>
      </c>
      <c r="T462" s="2">
        <f>K462=E462</f>
        <v/>
      </c>
      <c r="U462" s="2">
        <f>L462=F462</f>
        <v/>
      </c>
      <c r="V462" s="2">
        <f>IF(N462,EXACT(P462,G462),"")</f>
        <v/>
      </c>
      <c r="W462" s="2">
        <f>IF(O462,EXACT(Q462,H462),"")</f>
        <v/>
      </c>
      <c r="X462" s="2">
        <f>J462=C462</f>
        <v/>
      </c>
      <c r="Y462" s="2">
        <f>IF(R462="unknown","",R462=S462)</f>
        <v/>
      </c>
      <c r="Z462" s="2" t="inlineStr">
        <is>
          <t>A</t>
        </is>
      </c>
      <c r="AA462" s="2" t="inlineStr">
        <is>
          <t>A</t>
        </is>
      </c>
      <c r="AB462" s="2">
        <f>AND(N462,O462,A462&lt;&gt;"census-mixed")</f>
        <v/>
      </c>
      <c r="AC462" s="2">
        <f>IF(AB462,Z462=AA462,"")</f>
        <v/>
      </c>
    </row>
    <row r="463">
      <c r="A463" s="2" t="inlineStr">
        <is>
          <t>census-mixed</t>
        </is>
      </c>
      <c r="B463" s="2" t="inlineStr">
        <is>
          <t>browser safari260_ios</t>
        </is>
      </c>
      <c r="C463" s="2" t="inlineStr">
        <is>
          <t>skb-eval-80103-c5222</t>
        </is>
      </c>
      <c r="D463" s="2" t="n">
        <v>5222</v>
      </c>
      <c r="E463" s="2" t="n">
        <v>512</v>
      </c>
      <c r="F463" s="2" t="n">
        <v>771</v>
      </c>
      <c r="G463" s="2" t="inlineStr">
        <is>
          <t>caca 1301 1302 1303 c02c c02b cca9 c030 c02f cca8 c00a c009 c014 c013 009d 009c 0035 002f c008 c012 000a</t>
        </is>
      </c>
      <c r="H463" s="2" t="inlineStr">
        <is>
          <t>2a2a 0304 0303</t>
        </is>
      </c>
      <c r="I463" s="2" t="n">
        <v>1</v>
      </c>
      <c r="J463" s="2" t="inlineStr">
        <is>
          <t>skb-eval-80103-c5222</t>
        </is>
      </c>
      <c r="K463" s="2" t="n">
        <v>512</v>
      </c>
      <c r="L463" s="2" t="n">
        <v>771</v>
      </c>
      <c r="M463" s="2" t="n">
        <v>512</v>
      </c>
      <c r="N463" s="2" t="b">
        <v>1</v>
      </c>
      <c r="O463" s="2" t="b">
        <v>1</v>
      </c>
      <c r="P463" s="2" t="inlineStr">
        <is>
          <t>caca 1301 1302 1303 c02c c02b cca9 c030 c02f cca8 c00a c009 c014 c013 009d 009c 0035 002f c008 c012 000a</t>
        </is>
      </c>
      <c r="Q463" s="2" t="inlineStr">
        <is>
          <t>2a2a 0304 0303</t>
        </is>
      </c>
      <c r="R463" s="2" t="inlineStr">
        <is>
          <t>violation</t>
        </is>
      </c>
      <c r="S463" s="2" t="inlineStr">
        <is>
          <t>violation</t>
        </is>
      </c>
      <c r="T463" s="2">
        <f>K463=E463</f>
        <v/>
      </c>
      <c r="U463" s="2">
        <f>L463=F463</f>
        <v/>
      </c>
      <c r="V463" s="2">
        <f>IF(N463,EXACT(P463,G463),"")</f>
        <v/>
      </c>
      <c r="W463" s="2">
        <f>IF(O463,EXACT(Q463,H463),"")</f>
        <v/>
      </c>
      <c r="X463" s="2">
        <f>J463=C463</f>
        <v/>
      </c>
      <c r="Y463" s="2">
        <f>IF(R463="unknown","",R463=S463)</f>
        <v/>
      </c>
      <c r="Z463" s="2" t="inlineStr">
        <is>
          <t>A</t>
        </is>
      </c>
      <c r="AA463" s="2" t="inlineStr">
        <is>
          <t>A</t>
        </is>
      </c>
      <c r="AB463" s="2">
        <f>AND(N463,O463,A463&lt;&gt;"census-mixed")</f>
        <v/>
      </c>
      <c r="AC463" s="2">
        <f>IF(AB463,Z463=AA463,"")</f>
        <v/>
      </c>
    </row>
    <row r="464">
      <c r="A464" s="2" t="inlineStr">
        <is>
          <t>census-mixed</t>
        </is>
      </c>
      <c r="B464" s="2" t="inlineStr">
        <is>
          <t>browser safari260_ios</t>
        </is>
      </c>
      <c r="C464" s="2" t="inlineStr">
        <is>
          <t>skb-eval-80103-c5223</t>
        </is>
      </c>
      <c r="D464" s="2" t="n">
        <v>5223</v>
      </c>
      <c r="E464" s="2" t="n">
        <v>512</v>
      </c>
      <c r="F464" s="2" t="n">
        <v>771</v>
      </c>
      <c r="G464" s="2" t="inlineStr">
        <is>
          <t>0a0a 1301 1302 1303 c02c c02b cca9 c030 c02f cca8 c00a c009 c014 c013 009d 009c 0035 002f c008 c012 000a</t>
        </is>
      </c>
      <c r="H464" s="2" t="inlineStr">
        <is>
          <t>fafa 0304 0303</t>
        </is>
      </c>
      <c r="I464" s="2" t="n">
        <v>1</v>
      </c>
      <c r="J464" s="2" t="inlineStr">
        <is>
          <t>skb-eval-80103-c5223</t>
        </is>
      </c>
      <c r="K464" s="2" t="n">
        <v>512</v>
      </c>
      <c r="L464" s="2" t="n">
        <v>771</v>
      </c>
      <c r="M464" s="2" t="n">
        <v>512</v>
      </c>
      <c r="N464" s="2" t="b">
        <v>1</v>
      </c>
      <c r="O464" s="2" t="b">
        <v>1</v>
      </c>
      <c r="P464" s="2" t="inlineStr">
        <is>
          <t>0a0a 1301 1302 1303 c02c c02b cca9 c030 c02f cca8 c00a c009 c014 c013 009d 009c 0035 002f c008 c012 000a</t>
        </is>
      </c>
      <c r="Q464" s="2" t="inlineStr">
        <is>
          <t>fafa 0304 0303</t>
        </is>
      </c>
      <c r="R464" s="2" t="inlineStr">
        <is>
          <t>violation</t>
        </is>
      </c>
      <c r="S464" s="2" t="inlineStr">
        <is>
          <t>violation</t>
        </is>
      </c>
      <c r="T464" s="2">
        <f>K464=E464</f>
        <v/>
      </c>
      <c r="U464" s="2">
        <f>L464=F464</f>
        <v/>
      </c>
      <c r="V464" s="2">
        <f>IF(N464,EXACT(P464,G464),"")</f>
        <v/>
      </c>
      <c r="W464" s="2">
        <f>IF(O464,EXACT(Q464,H464),"")</f>
        <v/>
      </c>
      <c r="X464" s="2">
        <f>J464=C464</f>
        <v/>
      </c>
      <c r="Y464" s="2">
        <f>IF(R464="unknown","",R464=S464)</f>
        <v/>
      </c>
      <c r="Z464" s="2" t="inlineStr">
        <is>
          <t>A</t>
        </is>
      </c>
      <c r="AA464" s="2" t="inlineStr">
        <is>
          <t>A</t>
        </is>
      </c>
      <c r="AB464" s="2">
        <f>AND(N464,O464,A464&lt;&gt;"census-mixed")</f>
        <v/>
      </c>
      <c r="AC464" s="2">
        <f>IF(AB464,Z464=AA464,"")</f>
        <v/>
      </c>
    </row>
    <row r="465">
      <c r="A465" s="2" t="inlineStr">
        <is>
          <t>census-mixed</t>
        </is>
      </c>
      <c r="B465" s="2" t="inlineStr">
        <is>
          <t>browser safari260_ios</t>
        </is>
      </c>
      <c r="C465" s="2" t="inlineStr">
        <is>
          <t>skb-eval-80103-c5224</t>
        </is>
      </c>
      <c r="D465" s="2" t="n">
        <v>5224</v>
      </c>
      <c r="E465" s="2" t="n">
        <v>512</v>
      </c>
      <c r="F465" s="2" t="n">
        <v>771</v>
      </c>
      <c r="G465" s="2" t="inlineStr">
        <is>
          <t>9a9a 1301 1302 1303 c02c c02b cca9 c030 c02f cca8 c00a c009 c014 c013 009d 009c 0035 002f c008 c012 000a</t>
        </is>
      </c>
      <c r="H465" s="2" t="inlineStr">
        <is>
          <t>4a4a 0304 0303</t>
        </is>
      </c>
      <c r="I465" s="2" t="n">
        <v>1</v>
      </c>
      <c r="J465" s="2" t="inlineStr">
        <is>
          <t>skb-eval-80103-c5224</t>
        </is>
      </c>
      <c r="K465" s="2" t="n">
        <v>512</v>
      </c>
      <c r="L465" s="2" t="n">
        <v>771</v>
      </c>
      <c r="M465" s="2" t="n">
        <v>512</v>
      </c>
      <c r="N465" s="2" t="b">
        <v>1</v>
      </c>
      <c r="O465" s="2" t="b">
        <v>1</v>
      </c>
      <c r="P465" s="2" t="inlineStr">
        <is>
          <t>9a9a 1301 1302 1303 c02c c02b cca9 c030 c02f cca8 c00a c009 c014 c013 009d 009c 0035 002f c008 c012 000a</t>
        </is>
      </c>
      <c r="Q465" s="2" t="inlineStr">
        <is>
          <t>4a4a 0304 0303</t>
        </is>
      </c>
      <c r="R465" s="2" t="inlineStr">
        <is>
          <t>violation</t>
        </is>
      </c>
      <c r="S465" s="2" t="inlineStr">
        <is>
          <t>violation</t>
        </is>
      </c>
      <c r="T465" s="2">
        <f>K465=E465</f>
        <v/>
      </c>
      <c r="U465" s="2">
        <f>L465=F465</f>
        <v/>
      </c>
      <c r="V465" s="2">
        <f>IF(N465,EXACT(P465,G465),"")</f>
        <v/>
      </c>
      <c r="W465" s="2">
        <f>IF(O465,EXACT(Q465,H465),"")</f>
        <v/>
      </c>
      <c r="X465" s="2">
        <f>J465=C465</f>
        <v/>
      </c>
      <c r="Y465" s="2">
        <f>IF(R465="unknown","",R465=S465)</f>
        <v/>
      </c>
      <c r="Z465" s="2" t="inlineStr">
        <is>
          <t>A</t>
        </is>
      </c>
      <c r="AA465" s="2" t="inlineStr">
        <is>
          <t>A</t>
        </is>
      </c>
      <c r="AB465" s="2">
        <f>AND(N465,O465,A465&lt;&gt;"census-mixed")</f>
        <v/>
      </c>
      <c r="AC465" s="2">
        <f>IF(AB465,Z465=AA465,"")</f>
        <v/>
      </c>
    </row>
    <row r="466">
      <c r="A466" s="2" t="inlineStr">
        <is>
          <t>census-mixed</t>
        </is>
      </c>
      <c r="B466" s="2" t="inlineStr">
        <is>
          <t>browser safari260_ios</t>
        </is>
      </c>
      <c r="C466" s="2" t="inlineStr">
        <is>
          <t>skb-eval-80103-c5225</t>
        </is>
      </c>
      <c r="D466" s="2" t="n">
        <v>5225</v>
      </c>
      <c r="E466" s="2" t="n">
        <v>512</v>
      </c>
      <c r="F466" s="2" t="n">
        <v>771</v>
      </c>
      <c r="G466" s="2" t="inlineStr">
        <is>
          <t>fafa 1301 1302 1303 c02c c02b cca9 c030 c02f cca8 c00a c009 c014 c013 009d 009c 0035 002f c008 c012 000a</t>
        </is>
      </c>
      <c r="H466" s="2" t="inlineStr">
        <is>
          <t>0a0a 0304 0303</t>
        </is>
      </c>
      <c r="I466" s="2" t="n">
        <v>1</v>
      </c>
      <c r="J466" s="2" t="inlineStr">
        <is>
          <t>skb-eval-80103-c5225</t>
        </is>
      </c>
      <c r="K466" s="2" t="n">
        <v>512</v>
      </c>
      <c r="L466" s="2" t="n">
        <v>771</v>
      </c>
      <c r="M466" s="2" t="n">
        <v>512</v>
      </c>
      <c r="N466" s="2" t="b">
        <v>1</v>
      </c>
      <c r="O466" s="2" t="b">
        <v>1</v>
      </c>
      <c r="P466" s="2" t="inlineStr">
        <is>
          <t>fafa 1301 1302 1303 c02c c02b cca9 c030 c02f cca8 c00a c009 c014 c013 009d 009c 0035 002f c008 c012 000a</t>
        </is>
      </c>
      <c r="Q466" s="2" t="inlineStr">
        <is>
          <t>0a0a 0304 0303</t>
        </is>
      </c>
      <c r="R466" s="2" t="inlineStr">
        <is>
          <t>violation</t>
        </is>
      </c>
      <c r="S466" s="2" t="inlineStr">
        <is>
          <t>violation</t>
        </is>
      </c>
      <c r="T466" s="2">
        <f>K466=E466</f>
        <v/>
      </c>
      <c r="U466" s="2">
        <f>L466=F466</f>
        <v/>
      </c>
      <c r="V466" s="2">
        <f>IF(N466,EXACT(P466,G466),"")</f>
        <v/>
      </c>
      <c r="W466" s="2">
        <f>IF(O466,EXACT(Q466,H466),"")</f>
        <v/>
      </c>
      <c r="X466" s="2">
        <f>J466=C466</f>
        <v/>
      </c>
      <c r="Y466" s="2">
        <f>IF(R466="unknown","",R466=S466)</f>
        <v/>
      </c>
      <c r="Z466" s="2" t="inlineStr">
        <is>
          <t>A</t>
        </is>
      </c>
      <c r="AA466" s="2" t="inlineStr">
        <is>
          <t>A</t>
        </is>
      </c>
      <c r="AB466" s="2">
        <f>AND(N466,O466,A466&lt;&gt;"census-mixed")</f>
        <v/>
      </c>
      <c r="AC466" s="2">
        <f>IF(AB466,Z466=AA466,"")</f>
        <v/>
      </c>
    </row>
    <row r="467">
      <c r="A467" s="2" t="inlineStr">
        <is>
          <t>census-mixed</t>
        </is>
      </c>
      <c r="B467" s="2" t="inlineStr">
        <is>
          <t>browser safari260_ios</t>
        </is>
      </c>
      <c r="C467" s="2" t="inlineStr">
        <is>
          <t>skb-eval-80103-c5226</t>
        </is>
      </c>
      <c r="D467" s="2" t="n">
        <v>5226</v>
      </c>
      <c r="E467" s="2" t="n">
        <v>512</v>
      </c>
      <c r="F467" s="2" t="n">
        <v>771</v>
      </c>
      <c r="G467" s="2" t="inlineStr">
        <is>
          <t>7a7a 1301 1302 1303 c02c c02b cca9 c030 c02f cca8 c00a c009 c014 c013 009d 009c 0035 002f c008 c012 000a</t>
        </is>
      </c>
      <c r="H467" s="2" t="inlineStr">
        <is>
          <t>8a8a 0304 0303</t>
        </is>
      </c>
      <c r="I467" s="2" t="n">
        <v>1</v>
      </c>
      <c r="J467" s="2" t="inlineStr">
        <is>
          <t>skb-eval-80103-c5226</t>
        </is>
      </c>
      <c r="K467" s="2" t="n">
        <v>512</v>
      </c>
      <c r="L467" s="2" t="n">
        <v>771</v>
      </c>
      <c r="M467" s="2" t="n">
        <v>512</v>
      </c>
      <c r="N467" s="2" t="b">
        <v>1</v>
      </c>
      <c r="O467" s="2" t="b">
        <v>1</v>
      </c>
      <c r="P467" s="2" t="inlineStr">
        <is>
          <t>7a7a 1301 1302 1303 c02c c02b cca9 c030 c02f cca8 c00a c009 c014 c013 009d 009c 0035 002f c008 c012 000a</t>
        </is>
      </c>
      <c r="Q467" s="2" t="inlineStr">
        <is>
          <t>8a8a 0304 0303</t>
        </is>
      </c>
      <c r="R467" s="2" t="inlineStr">
        <is>
          <t>violation</t>
        </is>
      </c>
      <c r="S467" s="2" t="inlineStr">
        <is>
          <t>violation</t>
        </is>
      </c>
      <c r="T467" s="2">
        <f>K467=E467</f>
        <v/>
      </c>
      <c r="U467" s="2">
        <f>L467=F467</f>
        <v/>
      </c>
      <c r="V467" s="2">
        <f>IF(N467,EXACT(P467,G467),"")</f>
        <v/>
      </c>
      <c r="W467" s="2">
        <f>IF(O467,EXACT(Q467,H467),"")</f>
        <v/>
      </c>
      <c r="X467" s="2">
        <f>J467=C467</f>
        <v/>
      </c>
      <c r="Y467" s="2">
        <f>IF(R467="unknown","",R467=S467)</f>
        <v/>
      </c>
      <c r="Z467" s="2" t="inlineStr">
        <is>
          <t>A</t>
        </is>
      </c>
      <c r="AA467" s="2" t="inlineStr">
        <is>
          <t>A</t>
        </is>
      </c>
      <c r="AB467" s="2">
        <f>AND(N467,O467,A467&lt;&gt;"census-mixed")</f>
        <v/>
      </c>
      <c r="AC467" s="2">
        <f>IF(AB467,Z467=AA467,"")</f>
        <v/>
      </c>
    </row>
    <row r="468">
      <c r="A468" s="2" t="inlineStr">
        <is>
          <t>census-mixed</t>
        </is>
      </c>
      <c r="B468" s="2" t="inlineStr">
        <is>
          <t>browser safari260_ios</t>
        </is>
      </c>
      <c r="C468" s="2" t="inlineStr">
        <is>
          <t>skb-eval-80103-c5227</t>
        </is>
      </c>
      <c r="D468" s="2" t="n">
        <v>5227</v>
      </c>
      <c r="E468" s="2" t="n">
        <v>512</v>
      </c>
      <c r="F468" s="2" t="n">
        <v>771</v>
      </c>
      <c r="G468" s="2" t="inlineStr">
        <is>
          <t>1a1a 1301 1302 1303 c02c c02b cca9 c030 c02f cca8 c00a c009 c014 c013 009d 009c 0035 002f c008 c012 000a</t>
        </is>
      </c>
      <c r="H468" s="2" t="inlineStr">
        <is>
          <t>5a5a 0304 0303</t>
        </is>
      </c>
      <c r="I468" s="2" t="n">
        <v>1</v>
      </c>
      <c r="J468" s="2" t="inlineStr">
        <is>
          <t>skb-eval-80103-c5227</t>
        </is>
      </c>
      <c r="K468" s="2" t="n">
        <v>512</v>
      </c>
      <c r="L468" s="2" t="n">
        <v>771</v>
      </c>
      <c r="M468" s="2" t="n">
        <v>512</v>
      </c>
      <c r="N468" s="2" t="b">
        <v>1</v>
      </c>
      <c r="O468" s="2" t="b">
        <v>1</v>
      </c>
      <c r="P468" s="2" t="inlineStr">
        <is>
          <t>1a1a 1301 1302 1303 c02c c02b cca9 c030 c02f cca8 c00a c009 c014 c013 009d 009c 0035 002f c008 c012 000a</t>
        </is>
      </c>
      <c r="Q468" s="2" t="inlineStr">
        <is>
          <t>5a5a 0304 0303</t>
        </is>
      </c>
      <c r="R468" s="2" t="inlineStr">
        <is>
          <t>violation</t>
        </is>
      </c>
      <c r="S468" s="2" t="inlineStr">
        <is>
          <t>violation</t>
        </is>
      </c>
      <c r="T468" s="2">
        <f>K468=E468</f>
        <v/>
      </c>
      <c r="U468" s="2">
        <f>L468=F468</f>
        <v/>
      </c>
      <c r="V468" s="2">
        <f>IF(N468,EXACT(P468,G468),"")</f>
        <v/>
      </c>
      <c r="W468" s="2">
        <f>IF(O468,EXACT(Q468,H468),"")</f>
        <v/>
      </c>
      <c r="X468" s="2">
        <f>J468=C468</f>
        <v/>
      </c>
      <c r="Y468" s="2">
        <f>IF(R468="unknown","",R468=S468)</f>
        <v/>
      </c>
      <c r="Z468" s="2" t="inlineStr">
        <is>
          <t>A</t>
        </is>
      </c>
      <c r="AA468" s="2" t="inlineStr">
        <is>
          <t>A</t>
        </is>
      </c>
      <c r="AB468" s="2">
        <f>AND(N468,O468,A468&lt;&gt;"census-mixed")</f>
        <v/>
      </c>
      <c r="AC468" s="2">
        <f>IF(AB468,Z468=AA468,"")</f>
        <v/>
      </c>
    </row>
    <row r="469">
      <c r="A469" s="2" t="inlineStr">
        <is>
          <t>census-mixed</t>
        </is>
      </c>
      <c r="B469" s="2" t="inlineStr">
        <is>
          <t>browser safari260_ios</t>
        </is>
      </c>
      <c r="C469" s="2" t="inlineStr">
        <is>
          <t>skb-eval-80103-c5228</t>
        </is>
      </c>
      <c r="D469" s="2" t="n">
        <v>5228</v>
      </c>
      <c r="E469" s="2" t="n">
        <v>512</v>
      </c>
      <c r="F469" s="2" t="n">
        <v>771</v>
      </c>
      <c r="G469" s="2" t="inlineStr">
        <is>
          <t>eaea 1301 1302 1303 c02c c02b cca9 c030 c02f cca8 c00a c009 c014 c013 009d 009c 0035 002f c008 c012 000a</t>
        </is>
      </c>
      <c r="H469" s="2" t="inlineStr">
        <is>
          <t>baba 0304 0303</t>
        </is>
      </c>
      <c r="I469" s="2" t="n">
        <v>1</v>
      </c>
      <c r="J469" s="2" t="inlineStr">
        <is>
          <t>skb-eval-80103-c5228</t>
        </is>
      </c>
      <c r="K469" s="2" t="n">
        <v>512</v>
      </c>
      <c r="L469" s="2" t="n">
        <v>771</v>
      </c>
      <c r="M469" s="2" t="n">
        <v>512</v>
      </c>
      <c r="N469" s="2" t="b">
        <v>1</v>
      </c>
      <c r="O469" s="2" t="b">
        <v>1</v>
      </c>
      <c r="P469" s="2" t="inlineStr">
        <is>
          <t>eaea 1301 1302 1303 c02c c02b cca9 c030 c02f cca8 c00a c009 c014 c013 009d 009c 0035 002f c008 c012 000a</t>
        </is>
      </c>
      <c r="Q469" s="2" t="inlineStr">
        <is>
          <t>baba 0304 0303</t>
        </is>
      </c>
      <c r="R469" s="2" t="inlineStr">
        <is>
          <t>violation</t>
        </is>
      </c>
      <c r="S469" s="2" t="inlineStr">
        <is>
          <t>violation</t>
        </is>
      </c>
      <c r="T469" s="2">
        <f>K469=E469</f>
        <v/>
      </c>
      <c r="U469" s="2">
        <f>L469=F469</f>
        <v/>
      </c>
      <c r="V469" s="2">
        <f>IF(N469,EXACT(P469,G469),"")</f>
        <v/>
      </c>
      <c r="W469" s="2">
        <f>IF(O469,EXACT(Q469,H469),"")</f>
        <v/>
      </c>
      <c r="X469" s="2">
        <f>J469=C469</f>
        <v/>
      </c>
      <c r="Y469" s="2">
        <f>IF(R469="unknown","",R469=S469)</f>
        <v/>
      </c>
      <c r="Z469" s="2" t="inlineStr">
        <is>
          <t>A</t>
        </is>
      </c>
      <c r="AA469" s="2" t="inlineStr">
        <is>
          <t>A</t>
        </is>
      </c>
      <c r="AB469" s="2">
        <f>AND(N469,O469,A469&lt;&gt;"census-mixed")</f>
        <v/>
      </c>
      <c r="AC469" s="2">
        <f>IF(AB469,Z469=AA469,"")</f>
        <v/>
      </c>
    </row>
    <row r="470">
      <c r="A470" s="2" t="inlineStr">
        <is>
          <t>census-mixed</t>
        </is>
      </c>
      <c r="B470" s="2" t="inlineStr">
        <is>
          <t>browser safari260_ios</t>
        </is>
      </c>
      <c r="C470" s="2" t="inlineStr">
        <is>
          <t>skb-eval-80103-c5229</t>
        </is>
      </c>
      <c r="D470" s="2" t="n">
        <v>5229</v>
      </c>
      <c r="E470" s="2" t="n">
        <v>512</v>
      </c>
      <c r="F470" s="2" t="n">
        <v>771</v>
      </c>
      <c r="G470" s="2" t="inlineStr">
        <is>
          <t>dada 1301 1302 1303 c02c c02b cca9 c030 c02f cca8 c00a c009 c014 c013 009d 009c 0035 002f c008 c012 000a</t>
        </is>
      </c>
      <c r="H470" s="2" t="inlineStr">
        <is>
          <t>dada 0304 0303</t>
        </is>
      </c>
      <c r="I470" s="2" t="n">
        <v>1</v>
      </c>
      <c r="J470" s="2" t="inlineStr">
        <is>
          <t>skb-eval-80103-c5229</t>
        </is>
      </c>
      <c r="K470" s="2" t="n">
        <v>512</v>
      </c>
      <c r="L470" s="2" t="n">
        <v>771</v>
      </c>
      <c r="M470" s="2" t="n">
        <v>512</v>
      </c>
      <c r="N470" s="2" t="b">
        <v>1</v>
      </c>
      <c r="O470" s="2" t="b">
        <v>1</v>
      </c>
      <c r="P470" s="2" t="inlineStr">
        <is>
          <t>dada 1301 1302 1303 c02c c02b cca9 c030 c02f cca8 c00a c009 c014 c013 009d 009c 0035 002f c008 c012 000a</t>
        </is>
      </c>
      <c r="Q470" s="2" t="inlineStr">
        <is>
          <t>dada 0304 0303</t>
        </is>
      </c>
      <c r="R470" s="2" t="inlineStr">
        <is>
          <t>violation</t>
        </is>
      </c>
      <c r="S470" s="2" t="inlineStr">
        <is>
          <t>violation</t>
        </is>
      </c>
      <c r="T470" s="2">
        <f>K470=E470</f>
        <v/>
      </c>
      <c r="U470" s="2">
        <f>L470=F470</f>
        <v/>
      </c>
      <c r="V470" s="2">
        <f>IF(N470,EXACT(P470,G470),"")</f>
        <v/>
      </c>
      <c r="W470" s="2">
        <f>IF(O470,EXACT(Q470,H470),"")</f>
        <v/>
      </c>
      <c r="X470" s="2">
        <f>J470=C470</f>
        <v/>
      </c>
      <c r="Y470" s="2">
        <f>IF(R470="unknown","",R470=S470)</f>
        <v/>
      </c>
      <c r="Z470" s="2" t="inlineStr">
        <is>
          <t>A</t>
        </is>
      </c>
      <c r="AA470" s="2" t="inlineStr">
        <is>
          <t>A</t>
        </is>
      </c>
      <c r="AB470" s="2">
        <f>AND(N470,O470,A470&lt;&gt;"census-mixed")</f>
        <v/>
      </c>
      <c r="AC470" s="2">
        <f>IF(AB470,Z470=AA470,"")</f>
        <v/>
      </c>
    </row>
    <row r="471">
      <c r="A471" s="2" t="inlineStr">
        <is>
          <t>census-mixed</t>
        </is>
      </c>
      <c r="B471" s="2" t="inlineStr">
        <is>
          <t>browser safari260_ios</t>
        </is>
      </c>
      <c r="C471" s="2" t="inlineStr">
        <is>
          <t>skb-eval-80103-c5230</t>
        </is>
      </c>
      <c r="D471" s="2" t="n">
        <v>5230</v>
      </c>
      <c r="E471" s="2" t="n">
        <v>512</v>
      </c>
      <c r="F471" s="2" t="n">
        <v>771</v>
      </c>
      <c r="G471" s="2" t="inlineStr">
        <is>
          <t>baba 1301 1302 1303 c02c c02b cca9 c030 c02f cca8 c00a c009 c014 c013 009d 009c 0035 002f c008 c012 000a</t>
        </is>
      </c>
      <c r="H471" s="2" t="inlineStr">
        <is>
          <t>7a7a 0304 0303</t>
        </is>
      </c>
      <c r="I471" s="2" t="n">
        <v>1</v>
      </c>
      <c r="J471" s="2" t="inlineStr">
        <is>
          <t>skb-eval-80103-c5230</t>
        </is>
      </c>
      <c r="K471" s="2" t="n">
        <v>512</v>
      </c>
      <c r="L471" s="2" t="n">
        <v>771</v>
      </c>
      <c r="M471" s="2" t="n">
        <v>512</v>
      </c>
      <c r="N471" s="2" t="b">
        <v>1</v>
      </c>
      <c r="O471" s="2" t="b">
        <v>1</v>
      </c>
      <c r="P471" s="2" t="inlineStr">
        <is>
          <t>baba 1301 1302 1303 c02c c02b cca9 c030 c02f cca8 c00a c009 c014 c013 009d 009c 0035 002f c008 c012 000a</t>
        </is>
      </c>
      <c r="Q471" s="2" t="inlineStr">
        <is>
          <t>7a7a 0304 0303</t>
        </is>
      </c>
      <c r="R471" s="2" t="inlineStr">
        <is>
          <t>violation</t>
        </is>
      </c>
      <c r="S471" s="2" t="inlineStr">
        <is>
          <t>violation</t>
        </is>
      </c>
      <c r="T471" s="2">
        <f>K471=E471</f>
        <v/>
      </c>
      <c r="U471" s="2">
        <f>L471=F471</f>
        <v/>
      </c>
      <c r="V471" s="2">
        <f>IF(N471,EXACT(P471,G471),"")</f>
        <v/>
      </c>
      <c r="W471" s="2">
        <f>IF(O471,EXACT(Q471,H471),"")</f>
        <v/>
      </c>
      <c r="X471" s="2">
        <f>J471=C471</f>
        <v/>
      </c>
      <c r="Y471" s="2">
        <f>IF(R471="unknown","",R471=S471)</f>
        <v/>
      </c>
      <c r="Z471" s="2" t="inlineStr">
        <is>
          <t>A</t>
        </is>
      </c>
      <c r="AA471" s="2" t="inlineStr">
        <is>
          <t>A</t>
        </is>
      </c>
      <c r="AB471" s="2">
        <f>AND(N471,O471,A471&lt;&gt;"census-mixed")</f>
        <v/>
      </c>
      <c r="AC471" s="2">
        <f>IF(AB471,Z471=AA471,"")</f>
        <v/>
      </c>
    </row>
    <row r="472">
      <c r="A472" s="2" t="inlineStr">
        <is>
          <t>census-mixed</t>
        </is>
      </c>
      <c r="B472" s="2" t="inlineStr">
        <is>
          <t>browser tor145</t>
        </is>
      </c>
      <c r="C472" s="2" t="inlineStr">
        <is>
          <t>skb-eval-80103-c5231</t>
        </is>
      </c>
      <c r="D472" s="2" t="n">
        <v>5231</v>
      </c>
      <c r="E472" s="2" t="n">
        <v>613</v>
      </c>
      <c r="F472" s="2" t="n">
        <v>771</v>
      </c>
      <c r="G472" s="2" t="inlineStr">
        <is>
          <t>1301 1303 1302 c02b c02f cca9 cca8 c02c c030 c013 c014 009c 009d 002f 0035</t>
        </is>
      </c>
      <c r="H472" s="2" t="inlineStr">
        <is>
          <t>0304 0303</t>
        </is>
      </c>
      <c r="I472" s="2" t="n">
        <v>1</v>
      </c>
      <c r="J472" s="2" t="inlineStr">
        <is>
          <t>skb-eval-80103-c5231</t>
        </is>
      </c>
      <c r="K472" s="2" t="n">
        <v>613</v>
      </c>
      <c r="L472" s="2" t="n">
        <v>771</v>
      </c>
      <c r="M472" s="2" t="n">
        <v>613</v>
      </c>
      <c r="N472" s="2" t="b">
        <v>1</v>
      </c>
      <c r="O472" s="2" t="b">
        <v>1</v>
      </c>
      <c r="P472" s="2" t="inlineStr">
        <is>
          <t>1301 1303 1302 c02b c02f cca9 cca8 c02c c030 c013 c014 009c 009d 002f 0035</t>
        </is>
      </c>
      <c r="Q472" s="2" t="inlineStr">
        <is>
          <t>0304 0303</t>
        </is>
      </c>
      <c r="R472" s="2" t="inlineStr">
        <is>
          <t>allow</t>
        </is>
      </c>
      <c r="S472" s="2" t="inlineStr">
        <is>
          <t>allow</t>
        </is>
      </c>
      <c r="T472" s="2">
        <f>K472=E472</f>
        <v/>
      </c>
      <c r="U472" s="2">
        <f>L472=F472</f>
        <v/>
      </c>
      <c r="V472" s="2">
        <f>IF(N472,EXACT(P472,G472),"")</f>
        <v/>
      </c>
      <c r="W472" s="2">
        <f>IF(O472,EXACT(Q472,H472),"")</f>
        <v/>
      </c>
      <c r="X472" s="2">
        <f>J472=C472</f>
        <v/>
      </c>
      <c r="Y472" s="2">
        <f>IF(R472="unknown","",R472=S472)</f>
        <v/>
      </c>
      <c r="Z472" s="2" t="inlineStr">
        <is>
          <t>A</t>
        </is>
      </c>
      <c r="AA472" s="2" t="inlineStr">
        <is>
          <t>A</t>
        </is>
      </c>
      <c r="AB472" s="2">
        <f>AND(N472,O472,A472&lt;&gt;"census-mixed")</f>
        <v/>
      </c>
      <c r="AC472" s="2">
        <f>IF(AB472,Z472=AA472,"")</f>
        <v/>
      </c>
    </row>
    <row r="473">
      <c r="A473" s="2" t="inlineStr">
        <is>
          <t>census-mixed</t>
        </is>
      </c>
      <c r="B473" s="2" t="inlineStr">
        <is>
          <t>browser tor145</t>
        </is>
      </c>
      <c r="C473" s="2" t="inlineStr">
        <is>
          <t>skb-eval-80103-c5232</t>
        </is>
      </c>
      <c r="D473" s="2" t="n">
        <v>5232</v>
      </c>
      <c r="E473" s="2" t="n">
        <v>613</v>
      </c>
      <c r="F473" s="2" t="n">
        <v>771</v>
      </c>
      <c r="G473" s="2" t="inlineStr">
        <is>
          <t>1301 1303 1302 c02b c02f cca9 cca8 c02c c030 c013 c014 009c 009d 002f 0035</t>
        </is>
      </c>
      <c r="H473" s="2" t="inlineStr">
        <is>
          <t>0304 0303</t>
        </is>
      </c>
      <c r="I473" s="2" t="n">
        <v>1</v>
      </c>
      <c r="J473" s="2" t="inlineStr">
        <is>
          <t>skb-eval-80103-c5232</t>
        </is>
      </c>
      <c r="K473" s="2" t="n">
        <v>613</v>
      </c>
      <c r="L473" s="2" t="n">
        <v>771</v>
      </c>
      <c r="M473" s="2" t="n">
        <v>613</v>
      </c>
      <c r="N473" s="2" t="b">
        <v>1</v>
      </c>
      <c r="O473" s="2" t="b">
        <v>1</v>
      </c>
      <c r="P473" s="2" t="inlineStr">
        <is>
          <t>1301 1303 1302 c02b c02f cca9 cca8 c02c c030 c013 c014 009c 009d 002f 0035</t>
        </is>
      </c>
      <c r="Q473" s="2" t="inlineStr">
        <is>
          <t>0304 0303</t>
        </is>
      </c>
      <c r="R473" s="2" t="inlineStr">
        <is>
          <t>allow</t>
        </is>
      </c>
      <c r="S473" s="2" t="inlineStr">
        <is>
          <t>allow</t>
        </is>
      </c>
      <c r="T473" s="2">
        <f>K473=E473</f>
        <v/>
      </c>
      <c r="U473" s="2">
        <f>L473=F473</f>
        <v/>
      </c>
      <c r="V473" s="2">
        <f>IF(N473,EXACT(P473,G473),"")</f>
        <v/>
      </c>
      <c r="W473" s="2">
        <f>IF(O473,EXACT(Q473,H473),"")</f>
        <v/>
      </c>
      <c r="X473" s="2">
        <f>J473=C473</f>
        <v/>
      </c>
      <c r="Y473" s="2">
        <f>IF(R473="unknown","",R473=S473)</f>
        <v/>
      </c>
      <c r="Z473" s="2" t="inlineStr">
        <is>
          <t>A</t>
        </is>
      </c>
      <c r="AA473" s="2" t="inlineStr">
        <is>
          <t>A</t>
        </is>
      </c>
      <c r="AB473" s="2">
        <f>AND(N473,O473,A473&lt;&gt;"census-mixed")</f>
        <v/>
      </c>
      <c r="AC473" s="2">
        <f>IF(AB473,Z473=AA473,"")</f>
        <v/>
      </c>
    </row>
    <row r="474">
      <c r="A474" s="2" t="inlineStr">
        <is>
          <t>census-mixed</t>
        </is>
      </c>
      <c r="B474" s="2" t="inlineStr">
        <is>
          <t>browser tor145</t>
        </is>
      </c>
      <c r="C474" s="2" t="inlineStr">
        <is>
          <t>skb-eval-80103-c5233</t>
        </is>
      </c>
      <c r="D474" s="2" t="n">
        <v>5233</v>
      </c>
      <c r="E474" s="2" t="n">
        <v>581</v>
      </c>
      <c r="F474" s="2" t="n">
        <v>771</v>
      </c>
      <c r="G474" s="2" t="inlineStr">
        <is>
          <t>1301 1303 1302 c02b c02f cca9 cca8 c02c c030 c013 c014 009c 009d 002f 0035</t>
        </is>
      </c>
      <c r="H474" s="2" t="inlineStr">
        <is>
          <t>0304 0303</t>
        </is>
      </c>
      <c r="I474" s="2" t="n">
        <v>1</v>
      </c>
      <c r="J474" s="2" t="inlineStr">
        <is>
          <t>skb-eval-80103-c5233</t>
        </is>
      </c>
      <c r="K474" s="2" t="n">
        <v>581</v>
      </c>
      <c r="L474" s="2" t="n">
        <v>771</v>
      </c>
      <c r="M474" s="2" t="n">
        <v>581</v>
      </c>
      <c r="N474" s="2" t="b">
        <v>1</v>
      </c>
      <c r="O474" s="2" t="b">
        <v>1</v>
      </c>
      <c r="P474" s="2" t="inlineStr">
        <is>
          <t>1301 1303 1302 c02b c02f cca9 cca8 c02c c030 c013 c014 009c 009d 002f 0035</t>
        </is>
      </c>
      <c r="Q474" s="2" t="inlineStr">
        <is>
          <t>0304 0303</t>
        </is>
      </c>
      <c r="R474" s="2" t="inlineStr">
        <is>
          <t>allow</t>
        </is>
      </c>
      <c r="S474" s="2" t="inlineStr">
        <is>
          <t>allow</t>
        </is>
      </c>
      <c r="T474" s="2">
        <f>K474=E474</f>
        <v/>
      </c>
      <c r="U474" s="2">
        <f>L474=F474</f>
        <v/>
      </c>
      <c r="V474" s="2">
        <f>IF(N474,EXACT(P474,G474),"")</f>
        <v/>
      </c>
      <c r="W474" s="2">
        <f>IF(O474,EXACT(Q474,H474),"")</f>
        <v/>
      </c>
      <c r="X474" s="2">
        <f>J474=C474</f>
        <v/>
      </c>
      <c r="Y474" s="2">
        <f>IF(R474="unknown","",R474=S474)</f>
        <v/>
      </c>
      <c r="Z474" s="2" t="inlineStr">
        <is>
          <t>A</t>
        </is>
      </c>
      <c r="AA474" s="2" t="inlineStr">
        <is>
          <t>A</t>
        </is>
      </c>
      <c r="AB474" s="2">
        <f>AND(N474,O474,A474&lt;&gt;"census-mixed")</f>
        <v/>
      </c>
      <c r="AC474" s="2">
        <f>IF(AB474,Z474=AA474,"")</f>
        <v/>
      </c>
    </row>
    <row r="475">
      <c r="A475" s="2" t="inlineStr">
        <is>
          <t>census-mixed</t>
        </is>
      </c>
      <c r="B475" s="2" t="inlineStr">
        <is>
          <t>browser tor145</t>
        </is>
      </c>
      <c r="C475" s="2" t="inlineStr">
        <is>
          <t>skb-eval-80103-c5234</t>
        </is>
      </c>
      <c r="D475" s="2" t="n">
        <v>5234</v>
      </c>
      <c r="E475" s="2" t="n">
        <v>549</v>
      </c>
      <c r="F475" s="2" t="n">
        <v>771</v>
      </c>
      <c r="G475" s="2" t="inlineStr">
        <is>
          <t>1301 1303 1302 c02b c02f cca9 cca8 c02c c030 c013 c014 009c 009d 002f 0035</t>
        </is>
      </c>
      <c r="H475" s="2" t="inlineStr">
        <is>
          <t>0304 0303</t>
        </is>
      </c>
      <c r="I475" s="2" t="n">
        <v>1</v>
      </c>
      <c r="J475" s="2" t="inlineStr">
        <is>
          <t>skb-eval-80103-c5234</t>
        </is>
      </c>
      <c r="K475" s="2" t="n">
        <v>549</v>
      </c>
      <c r="L475" s="2" t="n">
        <v>771</v>
      </c>
      <c r="M475" s="2" t="n">
        <v>549</v>
      </c>
      <c r="N475" s="2" t="b">
        <v>1</v>
      </c>
      <c r="O475" s="2" t="b">
        <v>1</v>
      </c>
      <c r="P475" s="2" t="inlineStr">
        <is>
          <t>1301 1303 1302 c02b c02f cca9 cca8 c02c c030 c013 c014 009c 009d 002f 0035</t>
        </is>
      </c>
      <c r="Q475" s="2" t="inlineStr">
        <is>
          <t>0304 0303</t>
        </is>
      </c>
      <c r="R475" s="2" t="inlineStr">
        <is>
          <t>allow</t>
        </is>
      </c>
      <c r="S475" s="2" t="inlineStr">
        <is>
          <t>allow</t>
        </is>
      </c>
      <c r="T475" s="2">
        <f>K475=E475</f>
        <v/>
      </c>
      <c r="U475" s="2">
        <f>L475=F475</f>
        <v/>
      </c>
      <c r="V475" s="2">
        <f>IF(N475,EXACT(P475,G475),"")</f>
        <v/>
      </c>
      <c r="W475" s="2">
        <f>IF(O475,EXACT(Q475,H475),"")</f>
        <v/>
      </c>
      <c r="X475" s="2">
        <f>J475=C475</f>
        <v/>
      </c>
      <c r="Y475" s="2">
        <f>IF(R475="unknown","",R475=S475)</f>
        <v/>
      </c>
      <c r="Z475" s="2" t="inlineStr">
        <is>
          <t>A</t>
        </is>
      </c>
      <c r="AA475" s="2" t="inlineStr">
        <is>
          <t>A</t>
        </is>
      </c>
      <c r="AB475" s="2">
        <f>AND(N475,O475,A475&lt;&gt;"census-mixed")</f>
        <v/>
      </c>
      <c r="AC475" s="2">
        <f>IF(AB475,Z475=AA475,"")</f>
        <v/>
      </c>
    </row>
    <row r="476">
      <c r="A476" s="2" t="inlineStr">
        <is>
          <t>census-mixed</t>
        </is>
      </c>
      <c r="B476" s="2" t="inlineStr">
        <is>
          <t>browser tor145</t>
        </is>
      </c>
      <c r="C476" s="2" t="inlineStr">
        <is>
          <t>skb-eval-80103-c5235</t>
        </is>
      </c>
      <c r="D476" s="2" t="n">
        <v>5235</v>
      </c>
      <c r="E476" s="2" t="n">
        <v>613</v>
      </c>
      <c r="F476" s="2" t="n">
        <v>771</v>
      </c>
      <c r="G476" s="2" t="inlineStr">
        <is>
          <t>1301 1303 1302 c02b c02f cca9 cca8 c02c c030 c013 c014 009c 009d 002f 0035</t>
        </is>
      </c>
      <c r="H476" s="2" t="inlineStr">
        <is>
          <t>0304 0303</t>
        </is>
      </c>
      <c r="I476" s="2" t="n">
        <v>1</v>
      </c>
      <c r="J476" s="2" t="inlineStr">
        <is>
          <t>skb-eval-80103-c5235</t>
        </is>
      </c>
      <c r="K476" s="2" t="n">
        <v>613</v>
      </c>
      <c r="L476" s="2" t="n">
        <v>771</v>
      </c>
      <c r="M476" s="2" t="n">
        <v>613</v>
      </c>
      <c r="N476" s="2" t="b">
        <v>1</v>
      </c>
      <c r="O476" s="2" t="b">
        <v>1</v>
      </c>
      <c r="P476" s="2" t="inlineStr">
        <is>
          <t>1301 1303 1302 c02b c02f cca9 cca8 c02c c030 c013 c014 009c 009d 002f 0035</t>
        </is>
      </c>
      <c r="Q476" s="2" t="inlineStr">
        <is>
          <t>0304 0303</t>
        </is>
      </c>
      <c r="R476" s="2" t="inlineStr">
        <is>
          <t>allow</t>
        </is>
      </c>
      <c r="S476" s="2" t="inlineStr">
        <is>
          <t>allow</t>
        </is>
      </c>
      <c r="T476" s="2">
        <f>K476=E476</f>
        <v/>
      </c>
      <c r="U476" s="2">
        <f>L476=F476</f>
        <v/>
      </c>
      <c r="V476" s="2">
        <f>IF(N476,EXACT(P476,G476),"")</f>
        <v/>
      </c>
      <c r="W476" s="2">
        <f>IF(O476,EXACT(Q476,H476),"")</f>
        <v/>
      </c>
      <c r="X476" s="2">
        <f>J476=C476</f>
        <v/>
      </c>
      <c r="Y476" s="2">
        <f>IF(R476="unknown","",R476=S476)</f>
        <v/>
      </c>
      <c r="Z476" s="2" t="inlineStr">
        <is>
          <t>A</t>
        </is>
      </c>
      <c r="AA476" s="2" t="inlineStr">
        <is>
          <t>A</t>
        </is>
      </c>
      <c r="AB476" s="2">
        <f>AND(N476,O476,A476&lt;&gt;"census-mixed")</f>
        <v/>
      </c>
      <c r="AC476" s="2">
        <f>IF(AB476,Z476=AA476,"")</f>
        <v/>
      </c>
    </row>
    <row r="477">
      <c r="A477" s="2" t="inlineStr">
        <is>
          <t>census-mixed</t>
        </is>
      </c>
      <c r="B477" s="2" t="inlineStr">
        <is>
          <t>browser tor145</t>
        </is>
      </c>
      <c r="C477" s="2" t="inlineStr">
        <is>
          <t>skb-eval-80103-c5236</t>
        </is>
      </c>
      <c r="D477" s="2" t="n">
        <v>5236</v>
      </c>
      <c r="E477" s="2" t="n">
        <v>581</v>
      </c>
      <c r="F477" s="2" t="n">
        <v>771</v>
      </c>
      <c r="G477" s="2" t="inlineStr">
        <is>
          <t>1301 1303 1302 c02b c02f cca9 cca8 c02c c030 c013 c014 009c 009d 002f 0035</t>
        </is>
      </c>
      <c r="H477" s="2" t="inlineStr">
        <is>
          <t>0304 0303</t>
        </is>
      </c>
      <c r="I477" s="2" t="n">
        <v>1</v>
      </c>
      <c r="J477" s="2" t="inlineStr">
        <is>
          <t>skb-eval-80103-c5236</t>
        </is>
      </c>
      <c r="K477" s="2" t="n">
        <v>581</v>
      </c>
      <c r="L477" s="2" t="n">
        <v>771</v>
      </c>
      <c r="M477" s="2" t="n">
        <v>581</v>
      </c>
      <c r="N477" s="2" t="b">
        <v>1</v>
      </c>
      <c r="O477" s="2" t="b">
        <v>1</v>
      </c>
      <c r="P477" s="2" t="inlineStr">
        <is>
          <t>1301 1303 1302 c02b c02f cca9 cca8 c02c c030 c013 c014 009c 009d 002f 0035</t>
        </is>
      </c>
      <c r="Q477" s="2" t="inlineStr">
        <is>
          <t>0304 0303</t>
        </is>
      </c>
      <c r="R477" s="2" t="inlineStr">
        <is>
          <t>allow</t>
        </is>
      </c>
      <c r="S477" s="2" t="inlineStr">
        <is>
          <t>allow</t>
        </is>
      </c>
      <c r="T477" s="2">
        <f>K477=E477</f>
        <v/>
      </c>
      <c r="U477" s="2">
        <f>L477=F477</f>
        <v/>
      </c>
      <c r="V477" s="2">
        <f>IF(N477,EXACT(P477,G477),"")</f>
        <v/>
      </c>
      <c r="W477" s="2">
        <f>IF(O477,EXACT(Q477,H477),"")</f>
        <v/>
      </c>
      <c r="X477" s="2">
        <f>J477=C477</f>
        <v/>
      </c>
      <c r="Y477" s="2">
        <f>IF(R477="unknown","",R477=S477)</f>
        <v/>
      </c>
      <c r="Z477" s="2" t="inlineStr">
        <is>
          <t>A</t>
        </is>
      </c>
      <c r="AA477" s="2" t="inlineStr">
        <is>
          <t>A</t>
        </is>
      </c>
      <c r="AB477" s="2">
        <f>AND(N477,O477,A477&lt;&gt;"census-mixed")</f>
        <v/>
      </c>
      <c r="AC477" s="2">
        <f>IF(AB477,Z477=AA477,"")</f>
        <v/>
      </c>
    </row>
    <row r="478">
      <c r="A478" s="2" t="inlineStr">
        <is>
          <t>census-mixed</t>
        </is>
      </c>
      <c r="B478" s="2" t="inlineStr">
        <is>
          <t>browser tor145</t>
        </is>
      </c>
      <c r="C478" s="2" t="inlineStr">
        <is>
          <t>skb-eval-80103-c5237</t>
        </is>
      </c>
      <c r="D478" s="2" t="n">
        <v>5237</v>
      </c>
      <c r="E478" s="2" t="n">
        <v>645</v>
      </c>
      <c r="F478" s="2" t="n">
        <v>771</v>
      </c>
      <c r="G478" s="2" t="inlineStr">
        <is>
          <t>1301 1303 1302 c02b c02f cca9 cca8 c02c c030 c013 c014 009c 009d 002f 0035</t>
        </is>
      </c>
      <c r="H478" s="2" t="inlineStr">
        <is>
          <t>0304 0303</t>
        </is>
      </c>
      <c r="I478" s="2" t="n">
        <v>1</v>
      </c>
      <c r="J478" s="2" t="inlineStr">
        <is>
          <t>skb-eval-80103-c5237</t>
        </is>
      </c>
      <c r="K478" s="2" t="n">
        <v>645</v>
      </c>
      <c r="L478" s="2" t="n">
        <v>771</v>
      </c>
      <c r="M478" s="2" t="n">
        <v>645</v>
      </c>
      <c r="N478" s="2" t="b">
        <v>1</v>
      </c>
      <c r="O478" s="2" t="b">
        <v>1</v>
      </c>
      <c r="P478" s="2" t="inlineStr">
        <is>
          <t>1301 1303 1302 c02b c02f cca9 cca8 c02c c030 c013 c014 009c 009d 002f 0035</t>
        </is>
      </c>
      <c r="Q478" s="2" t="inlineStr">
        <is>
          <t>0304 0303</t>
        </is>
      </c>
      <c r="R478" s="2" t="inlineStr">
        <is>
          <t>allow</t>
        </is>
      </c>
      <c r="S478" s="2" t="inlineStr">
        <is>
          <t>allow</t>
        </is>
      </c>
      <c r="T478" s="2">
        <f>K478=E478</f>
        <v/>
      </c>
      <c r="U478" s="2">
        <f>L478=F478</f>
        <v/>
      </c>
      <c r="V478" s="2">
        <f>IF(N478,EXACT(P478,G478),"")</f>
        <v/>
      </c>
      <c r="W478" s="2">
        <f>IF(O478,EXACT(Q478,H478),"")</f>
        <v/>
      </c>
      <c r="X478" s="2">
        <f>J478=C478</f>
        <v/>
      </c>
      <c r="Y478" s="2">
        <f>IF(R478="unknown","",R478=S478)</f>
        <v/>
      </c>
      <c r="Z478" s="2" t="inlineStr">
        <is>
          <t>A</t>
        </is>
      </c>
      <c r="AA478" s="2" t="inlineStr">
        <is>
          <t>A</t>
        </is>
      </c>
      <c r="AB478" s="2">
        <f>AND(N478,O478,A478&lt;&gt;"census-mixed")</f>
        <v/>
      </c>
      <c r="AC478" s="2">
        <f>IF(AB478,Z478=AA478,"")</f>
        <v/>
      </c>
    </row>
    <row r="479">
      <c r="A479" s="2" t="inlineStr">
        <is>
          <t>census-mixed</t>
        </is>
      </c>
      <c r="B479" s="2" t="inlineStr">
        <is>
          <t>browser tor145</t>
        </is>
      </c>
      <c r="C479" s="2" t="inlineStr">
        <is>
          <t>skb-eval-80103-c5238</t>
        </is>
      </c>
      <c r="D479" s="2" t="n">
        <v>5238</v>
      </c>
      <c r="E479" s="2" t="n">
        <v>645</v>
      </c>
      <c r="F479" s="2" t="n">
        <v>771</v>
      </c>
      <c r="G479" s="2" t="inlineStr">
        <is>
          <t>1301 1303 1302 c02b c02f cca9 cca8 c02c c030 c013 c014 009c 009d 002f 0035</t>
        </is>
      </c>
      <c r="H479" s="2" t="inlineStr">
        <is>
          <t>0304 0303</t>
        </is>
      </c>
      <c r="I479" s="2" t="n">
        <v>1</v>
      </c>
      <c r="J479" s="2" t="inlineStr">
        <is>
          <t>skb-eval-80103-c5238</t>
        </is>
      </c>
      <c r="K479" s="2" t="n">
        <v>645</v>
      </c>
      <c r="L479" s="2" t="n">
        <v>771</v>
      </c>
      <c r="M479" s="2" t="n">
        <v>645</v>
      </c>
      <c r="N479" s="2" t="b">
        <v>1</v>
      </c>
      <c r="O479" s="2" t="b">
        <v>1</v>
      </c>
      <c r="P479" s="2" t="inlineStr">
        <is>
          <t>1301 1303 1302 c02b c02f cca9 cca8 c02c c030 c013 c014 009c 009d 002f 0035</t>
        </is>
      </c>
      <c r="Q479" s="2" t="inlineStr">
        <is>
          <t>0304 0303</t>
        </is>
      </c>
      <c r="R479" s="2" t="inlineStr">
        <is>
          <t>allow</t>
        </is>
      </c>
      <c r="S479" s="2" t="inlineStr">
        <is>
          <t>allow</t>
        </is>
      </c>
      <c r="T479" s="2">
        <f>K479=E479</f>
        <v/>
      </c>
      <c r="U479" s="2">
        <f>L479=F479</f>
        <v/>
      </c>
      <c r="V479" s="2">
        <f>IF(N479,EXACT(P479,G479),"")</f>
        <v/>
      </c>
      <c r="W479" s="2">
        <f>IF(O479,EXACT(Q479,H479),"")</f>
        <v/>
      </c>
      <c r="X479" s="2">
        <f>J479=C479</f>
        <v/>
      </c>
      <c r="Y479" s="2">
        <f>IF(R479="unknown","",R479=S479)</f>
        <v/>
      </c>
      <c r="Z479" s="2" t="inlineStr">
        <is>
          <t>A</t>
        </is>
      </c>
      <c r="AA479" s="2" t="inlineStr">
        <is>
          <t>A</t>
        </is>
      </c>
      <c r="AB479" s="2">
        <f>AND(N479,O479,A479&lt;&gt;"census-mixed")</f>
        <v/>
      </c>
      <c r="AC479" s="2">
        <f>IF(AB479,Z479=AA479,"")</f>
        <v/>
      </c>
    </row>
    <row r="480">
      <c r="A480" s="2" t="inlineStr">
        <is>
          <t>census-mixed</t>
        </is>
      </c>
      <c r="B480" s="2" t="inlineStr">
        <is>
          <t>browser tor145</t>
        </is>
      </c>
      <c r="C480" s="2" t="inlineStr">
        <is>
          <t>skb-eval-80103-c5239</t>
        </is>
      </c>
      <c r="D480" s="2" t="n">
        <v>5239</v>
      </c>
      <c r="E480" s="2" t="n">
        <v>613</v>
      </c>
      <c r="F480" s="2" t="n">
        <v>771</v>
      </c>
      <c r="G480" s="2" t="inlineStr">
        <is>
          <t>1301 1303 1302 c02b c02f cca9 cca8 c02c c030 c013 c014 009c 009d 002f 0035</t>
        </is>
      </c>
      <c r="H480" s="2" t="inlineStr">
        <is>
          <t>0304 0303</t>
        </is>
      </c>
      <c r="I480" s="2" t="n">
        <v>1</v>
      </c>
      <c r="J480" s="2" t="inlineStr">
        <is>
          <t>skb-eval-80103-c5239</t>
        </is>
      </c>
      <c r="K480" s="2" t="n">
        <v>613</v>
      </c>
      <c r="L480" s="2" t="n">
        <v>771</v>
      </c>
      <c r="M480" s="2" t="n">
        <v>613</v>
      </c>
      <c r="N480" s="2" t="b">
        <v>1</v>
      </c>
      <c r="O480" s="2" t="b">
        <v>1</v>
      </c>
      <c r="P480" s="2" t="inlineStr">
        <is>
          <t>1301 1303 1302 c02b c02f cca9 cca8 c02c c030 c013 c014 009c 009d 002f 0035</t>
        </is>
      </c>
      <c r="Q480" s="2" t="inlineStr">
        <is>
          <t>0304 0303</t>
        </is>
      </c>
      <c r="R480" s="2" t="inlineStr">
        <is>
          <t>allow</t>
        </is>
      </c>
      <c r="S480" s="2" t="inlineStr">
        <is>
          <t>allow</t>
        </is>
      </c>
      <c r="T480" s="2">
        <f>K480=E480</f>
        <v/>
      </c>
      <c r="U480" s="2">
        <f>L480=F480</f>
        <v/>
      </c>
      <c r="V480" s="2">
        <f>IF(N480,EXACT(P480,G480),"")</f>
        <v/>
      </c>
      <c r="W480" s="2">
        <f>IF(O480,EXACT(Q480,H480),"")</f>
        <v/>
      </c>
      <c r="X480" s="2">
        <f>J480=C480</f>
        <v/>
      </c>
      <c r="Y480" s="2">
        <f>IF(R480="unknown","",R480=S480)</f>
        <v/>
      </c>
      <c r="Z480" s="2" t="inlineStr">
        <is>
          <t>A</t>
        </is>
      </c>
      <c r="AA480" s="2" t="inlineStr">
        <is>
          <t>A</t>
        </is>
      </c>
      <c r="AB480" s="2">
        <f>AND(N480,O480,A480&lt;&gt;"census-mixed")</f>
        <v/>
      </c>
      <c r="AC480" s="2">
        <f>IF(AB480,Z480=AA480,"")</f>
        <v/>
      </c>
    </row>
    <row r="481">
      <c r="A481" s="2" t="inlineStr">
        <is>
          <t>census-mixed</t>
        </is>
      </c>
      <c r="B481" s="2" t="inlineStr">
        <is>
          <t>browser tor145</t>
        </is>
      </c>
      <c r="C481" s="2" t="inlineStr">
        <is>
          <t>skb-eval-80103-c5240</t>
        </is>
      </c>
      <c r="D481" s="2" t="n">
        <v>5240</v>
      </c>
      <c r="E481" s="2" t="n">
        <v>645</v>
      </c>
      <c r="F481" s="2" t="n">
        <v>771</v>
      </c>
      <c r="G481" s="2" t="inlineStr">
        <is>
          <t>1301 1303 1302 c02b c02f cca9 cca8 c02c c030 c013 c014 009c 009d 002f 0035</t>
        </is>
      </c>
      <c r="H481" s="2" t="inlineStr">
        <is>
          <t>0304 0303</t>
        </is>
      </c>
      <c r="I481" s="2" t="n">
        <v>1</v>
      </c>
      <c r="J481" s="2" t="inlineStr">
        <is>
          <t>skb-eval-80103-c5240</t>
        </is>
      </c>
      <c r="K481" s="2" t="n">
        <v>645</v>
      </c>
      <c r="L481" s="2" t="n">
        <v>771</v>
      </c>
      <c r="M481" s="2" t="n">
        <v>645</v>
      </c>
      <c r="N481" s="2" t="b">
        <v>1</v>
      </c>
      <c r="O481" s="2" t="b">
        <v>1</v>
      </c>
      <c r="P481" s="2" t="inlineStr">
        <is>
          <t>1301 1303 1302 c02b c02f cca9 cca8 c02c c030 c013 c014 009c 009d 002f 0035</t>
        </is>
      </c>
      <c r="Q481" s="2" t="inlineStr">
        <is>
          <t>0304 0303</t>
        </is>
      </c>
      <c r="R481" s="2" t="inlineStr">
        <is>
          <t>allow</t>
        </is>
      </c>
      <c r="S481" s="2" t="inlineStr">
        <is>
          <t>allow</t>
        </is>
      </c>
      <c r="T481" s="2">
        <f>K481=E481</f>
        <v/>
      </c>
      <c r="U481" s="2">
        <f>L481=F481</f>
        <v/>
      </c>
      <c r="V481" s="2">
        <f>IF(N481,EXACT(P481,G481),"")</f>
        <v/>
      </c>
      <c r="W481" s="2">
        <f>IF(O481,EXACT(Q481,H481),"")</f>
        <v/>
      </c>
      <c r="X481" s="2">
        <f>J481=C481</f>
        <v/>
      </c>
      <c r="Y481" s="2">
        <f>IF(R481="unknown","",R481=S481)</f>
        <v/>
      </c>
      <c r="Z481" s="2" t="inlineStr">
        <is>
          <t>A</t>
        </is>
      </c>
      <c r="AA481" s="2" t="inlineStr">
        <is>
          <t>A</t>
        </is>
      </c>
      <c r="AB481" s="2">
        <f>AND(N481,O481,A481&lt;&gt;"census-mixed")</f>
        <v/>
      </c>
      <c r="AC481" s="2">
        <f>IF(AB481,Z481=AA481,"")</f>
        <v/>
      </c>
    </row>
    <row r="482">
      <c r="A482" s="2" t="inlineStr">
        <is>
          <t>edge</t>
        </is>
      </c>
      <c r="B482" s="2" t="inlineStr">
        <is>
          <t>openssl TLS 1.2 only</t>
        </is>
      </c>
      <c r="C482" s="2" t="inlineStr">
        <is>
          <t>skb-eval-151710-c5001</t>
        </is>
      </c>
      <c r="D482" s="2" t="n">
        <v>5001</v>
      </c>
      <c r="E482" s="2" t="n">
        <v>210</v>
      </c>
      <c r="F482" s="2" t="n">
        <v>771</v>
      </c>
      <c r="G482" s="2" t="inlineStr">
        <is>
          <t>c02c c030 009f cca9 cca8 ccaa c02b c02f 009e c024 c028 006b c023 c027 0067 c00a c014 0039 c009 c013 0033 009d 009c 003d 003c 0035 002f</t>
        </is>
      </c>
      <c r="H482" s="2" t="inlineStr"/>
      <c r="I482" s="2" t="n">
        <v>1</v>
      </c>
      <c r="J482" s="2" t="inlineStr">
        <is>
          <t>skb-eval-151710-c5001</t>
        </is>
      </c>
      <c r="K482" s="2" t="n">
        <v>210</v>
      </c>
      <c r="L482" s="2" t="n">
        <v>771</v>
      </c>
      <c r="M482" s="2" t="n">
        <v>210</v>
      </c>
      <c r="N482" s="2" t="b">
        <v>1</v>
      </c>
      <c r="O482" s="2" t="b">
        <v>1</v>
      </c>
      <c r="P482" s="2" t="inlineStr">
        <is>
          <t>c02c c030 009f cca9 cca8 ccaa c02b c02f 009e c024 c028 006b c023 c027 0067 c00a c014 0039 c009 c013 0033 009d 009c 003d 003c 0035 002f</t>
        </is>
      </c>
      <c r="Q482" s="2" t="inlineStr"/>
      <c r="R482" s="2" t="inlineStr">
        <is>
          <t>violation</t>
        </is>
      </c>
      <c r="S482" s="2" t="inlineStr">
        <is>
          <t>violation</t>
        </is>
      </c>
      <c r="T482" s="2">
        <f>K482=E482</f>
        <v/>
      </c>
      <c r="U482" s="2">
        <f>L482=F482</f>
        <v/>
      </c>
      <c r="V482" s="2">
        <f>IF(N482,EXACT(P482,G482),"")</f>
        <v/>
      </c>
      <c r="W482" s="2">
        <f>IF(O482,EXACT(Q482,H482),"")</f>
        <v/>
      </c>
      <c r="X482" s="2">
        <f>J482=C482</f>
        <v/>
      </c>
      <c r="Y482" s="2">
        <f>IF(R482="unknown","",R482=S482)</f>
        <v/>
      </c>
      <c r="Z482" s="2" t="inlineStr">
        <is>
          <t>A</t>
        </is>
      </c>
      <c r="AA482" s="2" t="inlineStr">
        <is>
          <t>A</t>
        </is>
      </c>
      <c r="AB482" s="2">
        <f>AND(N482,O482,A482&lt;&gt;"census-mixed")</f>
        <v/>
      </c>
      <c r="AC482" s="2">
        <f>IF(AB482,Z482=AA482,"")</f>
        <v/>
      </c>
    </row>
    <row r="483">
      <c r="A483" s="2" t="inlineStr">
        <is>
          <t>edge</t>
        </is>
      </c>
      <c r="B483" s="2" t="inlineStr">
        <is>
          <t>openssl TLS 1.2 only</t>
        </is>
      </c>
      <c r="C483" s="2" t="inlineStr">
        <is>
          <t>skb-eval-151710-c5002</t>
        </is>
      </c>
      <c r="D483" s="2" t="n">
        <v>5002</v>
      </c>
      <c r="E483" s="2" t="n">
        <v>210</v>
      </c>
      <c r="F483" s="2" t="n">
        <v>771</v>
      </c>
      <c r="G483" s="2" t="inlineStr">
        <is>
          <t>c02c c030 009f cca9 cca8 ccaa c02b c02f 009e c024 c028 006b c023 c027 0067 c00a c014 0039 c009 c013 0033 009d 009c 003d 003c 0035 002f</t>
        </is>
      </c>
      <c r="H483" s="2" t="inlineStr"/>
      <c r="I483" s="2" t="n">
        <v>1</v>
      </c>
      <c r="J483" s="2" t="inlineStr">
        <is>
          <t>skb-eval-151710-c5002</t>
        </is>
      </c>
      <c r="K483" s="2" t="n">
        <v>210</v>
      </c>
      <c r="L483" s="2" t="n">
        <v>771</v>
      </c>
      <c r="M483" s="2" t="n">
        <v>210</v>
      </c>
      <c r="N483" s="2" t="b">
        <v>1</v>
      </c>
      <c r="O483" s="2" t="b">
        <v>1</v>
      </c>
      <c r="P483" s="2" t="inlineStr">
        <is>
          <t>c02c c030 009f cca9 cca8 ccaa c02b c02f 009e c024 c028 006b c023 c027 0067 c00a c014 0039 c009 c013 0033 009d 009c 003d 003c 0035 002f</t>
        </is>
      </c>
      <c r="Q483" s="2" t="inlineStr"/>
      <c r="R483" s="2" t="inlineStr">
        <is>
          <t>violation</t>
        </is>
      </c>
      <c r="S483" s="2" t="inlineStr">
        <is>
          <t>violation</t>
        </is>
      </c>
      <c r="T483" s="2">
        <f>K483=E483</f>
        <v/>
      </c>
      <c r="U483" s="2">
        <f>L483=F483</f>
        <v/>
      </c>
      <c r="V483" s="2">
        <f>IF(N483,EXACT(P483,G483),"")</f>
        <v/>
      </c>
      <c r="W483" s="2">
        <f>IF(O483,EXACT(Q483,H483),"")</f>
        <v/>
      </c>
      <c r="X483" s="2">
        <f>J483=C483</f>
        <v/>
      </c>
      <c r="Y483" s="2">
        <f>IF(R483="unknown","",R483=S483)</f>
        <v/>
      </c>
      <c r="Z483" s="2" t="inlineStr">
        <is>
          <t>A</t>
        </is>
      </c>
      <c r="AA483" s="2" t="inlineStr">
        <is>
          <t>A</t>
        </is>
      </c>
      <c r="AB483" s="2">
        <f>AND(N483,O483,A483&lt;&gt;"census-mixed")</f>
        <v/>
      </c>
      <c r="AC483" s="2">
        <f>IF(AB483,Z483=AA483,"")</f>
        <v/>
      </c>
    </row>
    <row r="484">
      <c r="A484" s="2" t="inlineStr">
        <is>
          <t>edge</t>
        </is>
      </c>
      <c r="B484" s="2" t="inlineStr">
        <is>
          <t>openssl TLS 1.2 only</t>
        </is>
      </c>
      <c r="C484" s="2" t="inlineStr">
        <is>
          <t>skb-eval-151710-c5003</t>
        </is>
      </c>
      <c r="D484" s="2" t="n">
        <v>5003</v>
      </c>
      <c r="E484" s="2" t="n">
        <v>210</v>
      </c>
      <c r="F484" s="2" t="n">
        <v>771</v>
      </c>
      <c r="G484" s="2" t="inlineStr">
        <is>
          <t>c02c c030 009f cca9 cca8 ccaa c02b c02f 009e c024 c028 006b c023 c027 0067 c00a c014 0039 c009 c013 0033 009d 009c 003d 003c 0035 002f</t>
        </is>
      </c>
      <c r="H484" s="2" t="inlineStr"/>
      <c r="I484" s="2" t="n">
        <v>1</v>
      </c>
      <c r="J484" s="2" t="inlineStr">
        <is>
          <t>skb-eval-151710-c5003</t>
        </is>
      </c>
      <c r="K484" s="2" t="n">
        <v>210</v>
      </c>
      <c r="L484" s="2" t="n">
        <v>771</v>
      </c>
      <c r="M484" s="2" t="n">
        <v>210</v>
      </c>
      <c r="N484" s="2" t="b">
        <v>1</v>
      </c>
      <c r="O484" s="2" t="b">
        <v>1</v>
      </c>
      <c r="P484" s="2" t="inlineStr">
        <is>
          <t>c02c c030 009f cca9 cca8 ccaa c02b c02f 009e c024 c028 006b c023 c027 0067 c00a c014 0039 c009 c013 0033 009d 009c 003d 003c 0035 002f</t>
        </is>
      </c>
      <c r="Q484" s="2" t="inlineStr"/>
      <c r="R484" s="2" t="inlineStr">
        <is>
          <t>violation</t>
        </is>
      </c>
      <c r="S484" s="2" t="inlineStr">
        <is>
          <t>violation</t>
        </is>
      </c>
      <c r="T484" s="2">
        <f>K484=E484</f>
        <v/>
      </c>
      <c r="U484" s="2">
        <f>L484=F484</f>
        <v/>
      </c>
      <c r="V484" s="2">
        <f>IF(N484,EXACT(P484,G484),"")</f>
        <v/>
      </c>
      <c r="W484" s="2">
        <f>IF(O484,EXACT(Q484,H484),"")</f>
        <v/>
      </c>
      <c r="X484" s="2">
        <f>J484=C484</f>
        <v/>
      </c>
      <c r="Y484" s="2">
        <f>IF(R484="unknown","",R484=S484)</f>
        <v/>
      </c>
      <c r="Z484" s="2" t="inlineStr">
        <is>
          <t>A</t>
        </is>
      </c>
      <c r="AA484" s="2" t="inlineStr">
        <is>
          <t>A</t>
        </is>
      </c>
      <c r="AB484" s="2">
        <f>AND(N484,O484,A484&lt;&gt;"census-mixed")</f>
        <v/>
      </c>
      <c r="AC484" s="2">
        <f>IF(AB484,Z484=AA484,"")</f>
        <v/>
      </c>
    </row>
    <row r="485">
      <c r="A485" s="2" t="inlineStr">
        <is>
          <t>edge</t>
        </is>
      </c>
      <c r="B485" s="2" t="inlineStr">
        <is>
          <t>openssl TLS 1.2 only</t>
        </is>
      </c>
      <c r="C485" s="2" t="inlineStr">
        <is>
          <t>skb-eval-151710-c5004</t>
        </is>
      </c>
      <c r="D485" s="2" t="n">
        <v>5004</v>
      </c>
      <c r="E485" s="2" t="n">
        <v>210</v>
      </c>
      <c r="F485" s="2" t="n">
        <v>771</v>
      </c>
      <c r="G485" s="2" t="inlineStr">
        <is>
          <t>c02c c030 009f cca9 cca8 ccaa c02b c02f 009e c024 c028 006b c023 c027 0067 c00a c014 0039 c009 c013 0033 009d 009c 003d 003c 0035 002f</t>
        </is>
      </c>
      <c r="H485" s="2" t="inlineStr"/>
      <c r="I485" s="2" t="n">
        <v>1</v>
      </c>
      <c r="J485" s="2" t="inlineStr">
        <is>
          <t>skb-eval-151710-c5004</t>
        </is>
      </c>
      <c r="K485" s="2" t="n">
        <v>210</v>
      </c>
      <c r="L485" s="2" t="n">
        <v>771</v>
      </c>
      <c r="M485" s="2" t="n">
        <v>210</v>
      </c>
      <c r="N485" s="2" t="b">
        <v>1</v>
      </c>
      <c r="O485" s="2" t="b">
        <v>1</v>
      </c>
      <c r="P485" s="2" t="inlineStr">
        <is>
          <t>c02c c030 009f cca9 cca8 ccaa c02b c02f 009e c024 c028 006b c023 c027 0067 c00a c014 0039 c009 c013 0033 009d 009c 003d 003c 0035 002f</t>
        </is>
      </c>
      <c r="Q485" s="2" t="inlineStr"/>
      <c r="R485" s="2" t="inlineStr">
        <is>
          <t>violation</t>
        </is>
      </c>
      <c r="S485" s="2" t="inlineStr">
        <is>
          <t>violation</t>
        </is>
      </c>
      <c r="T485" s="2">
        <f>K485=E485</f>
        <v/>
      </c>
      <c r="U485" s="2">
        <f>L485=F485</f>
        <v/>
      </c>
      <c r="V485" s="2">
        <f>IF(N485,EXACT(P485,G485),"")</f>
        <v/>
      </c>
      <c r="W485" s="2">
        <f>IF(O485,EXACT(Q485,H485),"")</f>
        <v/>
      </c>
      <c r="X485" s="2">
        <f>J485=C485</f>
        <v/>
      </c>
      <c r="Y485" s="2">
        <f>IF(R485="unknown","",R485=S485)</f>
        <v/>
      </c>
      <c r="Z485" s="2" t="inlineStr">
        <is>
          <t>A</t>
        </is>
      </c>
      <c r="AA485" s="2" t="inlineStr">
        <is>
          <t>A</t>
        </is>
      </c>
      <c r="AB485" s="2">
        <f>AND(N485,O485,A485&lt;&gt;"census-mixed")</f>
        <v/>
      </c>
      <c r="AC485" s="2">
        <f>IF(AB485,Z485=AA485,"")</f>
        <v/>
      </c>
    </row>
    <row r="486">
      <c r="A486" s="2" t="inlineStr">
        <is>
          <t>edge</t>
        </is>
      </c>
      <c r="B486" s="2" t="inlineStr">
        <is>
          <t>openssl TLS 1.2 only</t>
        </is>
      </c>
      <c r="C486" s="2" t="inlineStr">
        <is>
          <t>skb-eval-151710-c5005</t>
        </is>
      </c>
      <c r="D486" s="2" t="n">
        <v>5005</v>
      </c>
      <c r="E486" s="2" t="n">
        <v>210</v>
      </c>
      <c r="F486" s="2" t="n">
        <v>771</v>
      </c>
      <c r="G486" s="2" t="inlineStr">
        <is>
          <t>c02c c030 009f cca9 cca8 ccaa c02b c02f 009e c024 c028 006b c023 c027 0067 c00a c014 0039 c009 c013 0033 009d 009c 003d 003c 0035 002f</t>
        </is>
      </c>
      <c r="H486" s="2" t="inlineStr"/>
      <c r="I486" s="2" t="n">
        <v>1</v>
      </c>
      <c r="J486" s="2" t="inlineStr">
        <is>
          <t>skb-eval-151710-c5005</t>
        </is>
      </c>
      <c r="K486" s="2" t="n">
        <v>210</v>
      </c>
      <c r="L486" s="2" t="n">
        <v>771</v>
      </c>
      <c r="M486" s="2" t="n">
        <v>210</v>
      </c>
      <c r="N486" s="2" t="b">
        <v>1</v>
      </c>
      <c r="O486" s="2" t="b">
        <v>1</v>
      </c>
      <c r="P486" s="2" t="inlineStr">
        <is>
          <t>c02c c030 009f cca9 cca8 ccaa c02b c02f 009e c024 c028 006b c023 c027 0067 c00a c014 0039 c009 c013 0033 009d 009c 003d 003c 0035 002f</t>
        </is>
      </c>
      <c r="Q486" s="2" t="inlineStr"/>
      <c r="R486" s="2" t="inlineStr">
        <is>
          <t>violation</t>
        </is>
      </c>
      <c r="S486" s="2" t="inlineStr">
        <is>
          <t>violation</t>
        </is>
      </c>
      <c r="T486" s="2">
        <f>K486=E486</f>
        <v/>
      </c>
      <c r="U486" s="2">
        <f>L486=F486</f>
        <v/>
      </c>
      <c r="V486" s="2">
        <f>IF(N486,EXACT(P486,G486),"")</f>
        <v/>
      </c>
      <c r="W486" s="2">
        <f>IF(O486,EXACT(Q486,H486),"")</f>
        <v/>
      </c>
      <c r="X486" s="2">
        <f>J486=C486</f>
        <v/>
      </c>
      <c r="Y486" s="2">
        <f>IF(R486="unknown","",R486=S486)</f>
        <v/>
      </c>
      <c r="Z486" s="2" t="inlineStr">
        <is>
          <t>A</t>
        </is>
      </c>
      <c r="AA486" s="2" t="inlineStr">
        <is>
          <t>A</t>
        </is>
      </c>
      <c r="AB486" s="2">
        <f>AND(N486,O486,A486&lt;&gt;"census-mixed")</f>
        <v/>
      </c>
      <c r="AC486" s="2">
        <f>IF(AB486,Z486=AA486,"")</f>
        <v/>
      </c>
    </row>
    <row r="487">
      <c r="A487" s="2" t="inlineStr">
        <is>
          <t>edge</t>
        </is>
      </c>
      <c r="B487" s="2" t="inlineStr">
        <is>
          <t>openssl TLS 1.2 only</t>
        </is>
      </c>
      <c r="C487" s="2" t="inlineStr">
        <is>
          <t>skb-eval-151710-c5006</t>
        </is>
      </c>
      <c r="D487" s="2" t="n">
        <v>5006</v>
      </c>
      <c r="E487" s="2" t="n">
        <v>210</v>
      </c>
      <c r="F487" s="2" t="n">
        <v>771</v>
      </c>
      <c r="G487" s="2" t="inlineStr">
        <is>
          <t>c02c c030 009f cca9 cca8 ccaa c02b c02f 009e c024 c028 006b c023 c027 0067 c00a c014 0039 c009 c013 0033 009d 009c 003d 003c 0035 002f</t>
        </is>
      </c>
      <c r="H487" s="2" t="inlineStr"/>
      <c r="I487" s="2" t="n">
        <v>1</v>
      </c>
      <c r="J487" s="2" t="inlineStr">
        <is>
          <t>skb-eval-151710-c5006</t>
        </is>
      </c>
      <c r="K487" s="2" t="n">
        <v>210</v>
      </c>
      <c r="L487" s="2" t="n">
        <v>771</v>
      </c>
      <c r="M487" s="2" t="n">
        <v>210</v>
      </c>
      <c r="N487" s="2" t="b">
        <v>1</v>
      </c>
      <c r="O487" s="2" t="b">
        <v>1</v>
      </c>
      <c r="P487" s="2" t="inlineStr">
        <is>
          <t>c02c c030 009f cca9 cca8 ccaa c02b c02f 009e c024 c028 006b c023 c027 0067 c00a c014 0039 c009 c013 0033 009d 009c 003d 003c 0035 002f</t>
        </is>
      </c>
      <c r="Q487" s="2" t="inlineStr"/>
      <c r="R487" s="2" t="inlineStr">
        <is>
          <t>violation</t>
        </is>
      </c>
      <c r="S487" s="2" t="inlineStr">
        <is>
          <t>violation</t>
        </is>
      </c>
      <c r="T487" s="2">
        <f>K487=E487</f>
        <v/>
      </c>
      <c r="U487" s="2">
        <f>L487=F487</f>
        <v/>
      </c>
      <c r="V487" s="2">
        <f>IF(N487,EXACT(P487,G487),"")</f>
        <v/>
      </c>
      <c r="W487" s="2">
        <f>IF(O487,EXACT(Q487,H487),"")</f>
        <v/>
      </c>
      <c r="X487" s="2">
        <f>J487=C487</f>
        <v/>
      </c>
      <c r="Y487" s="2">
        <f>IF(R487="unknown","",R487=S487)</f>
        <v/>
      </c>
      <c r="Z487" s="2" t="inlineStr">
        <is>
          <t>A</t>
        </is>
      </c>
      <c r="AA487" s="2" t="inlineStr">
        <is>
          <t>A</t>
        </is>
      </c>
      <c r="AB487" s="2">
        <f>AND(N487,O487,A487&lt;&gt;"census-mixed")</f>
        <v/>
      </c>
      <c r="AC487" s="2">
        <f>IF(AB487,Z487=AA487,"")</f>
        <v/>
      </c>
    </row>
    <row r="488">
      <c r="A488" s="2" t="inlineStr">
        <is>
          <t>edge</t>
        </is>
      </c>
      <c r="B488" s="2" t="inlineStr">
        <is>
          <t>openssl TLS 1.2 only</t>
        </is>
      </c>
      <c r="C488" s="2" t="inlineStr">
        <is>
          <t>skb-eval-151710-c5007</t>
        </is>
      </c>
      <c r="D488" s="2" t="n">
        <v>5007</v>
      </c>
      <c r="E488" s="2" t="n">
        <v>210</v>
      </c>
      <c r="F488" s="2" t="n">
        <v>771</v>
      </c>
      <c r="G488" s="2" t="inlineStr">
        <is>
          <t>c02c c030 009f cca9 cca8 ccaa c02b c02f 009e c024 c028 006b c023 c027 0067 c00a c014 0039 c009 c013 0033 009d 009c 003d 003c 0035 002f</t>
        </is>
      </c>
      <c r="H488" s="2" t="inlineStr"/>
      <c r="I488" s="2" t="n">
        <v>1</v>
      </c>
      <c r="J488" s="2" t="inlineStr">
        <is>
          <t>skb-eval-151710-c5007</t>
        </is>
      </c>
      <c r="K488" s="2" t="n">
        <v>210</v>
      </c>
      <c r="L488" s="2" t="n">
        <v>771</v>
      </c>
      <c r="M488" s="2" t="n">
        <v>210</v>
      </c>
      <c r="N488" s="2" t="b">
        <v>1</v>
      </c>
      <c r="O488" s="2" t="b">
        <v>1</v>
      </c>
      <c r="P488" s="2" t="inlineStr">
        <is>
          <t>c02c c030 009f cca9 cca8 ccaa c02b c02f 009e c024 c028 006b c023 c027 0067 c00a c014 0039 c009 c013 0033 009d 009c 003d 003c 0035 002f</t>
        </is>
      </c>
      <c r="Q488" s="2" t="inlineStr"/>
      <c r="R488" s="2" t="inlineStr">
        <is>
          <t>violation</t>
        </is>
      </c>
      <c r="S488" s="2" t="inlineStr">
        <is>
          <t>violation</t>
        </is>
      </c>
      <c r="T488" s="2">
        <f>K488=E488</f>
        <v/>
      </c>
      <c r="U488" s="2">
        <f>L488=F488</f>
        <v/>
      </c>
      <c r="V488" s="2">
        <f>IF(N488,EXACT(P488,G488),"")</f>
        <v/>
      </c>
      <c r="W488" s="2">
        <f>IF(O488,EXACT(Q488,H488),"")</f>
        <v/>
      </c>
      <c r="X488" s="2">
        <f>J488=C488</f>
        <v/>
      </c>
      <c r="Y488" s="2">
        <f>IF(R488="unknown","",R488=S488)</f>
        <v/>
      </c>
      <c r="Z488" s="2" t="inlineStr">
        <is>
          <t>A</t>
        </is>
      </c>
      <c r="AA488" s="2" t="inlineStr">
        <is>
          <t>A</t>
        </is>
      </c>
      <c r="AB488" s="2">
        <f>AND(N488,O488,A488&lt;&gt;"census-mixed")</f>
        <v/>
      </c>
      <c r="AC488" s="2">
        <f>IF(AB488,Z488=AA488,"")</f>
        <v/>
      </c>
    </row>
    <row r="489">
      <c r="A489" s="2" t="inlineStr">
        <is>
          <t>edge</t>
        </is>
      </c>
      <c r="B489" s="2" t="inlineStr">
        <is>
          <t>openssl TLS 1.2 only</t>
        </is>
      </c>
      <c r="C489" s="2" t="inlineStr">
        <is>
          <t>skb-eval-151710-c5008</t>
        </is>
      </c>
      <c r="D489" s="2" t="n">
        <v>5008</v>
      </c>
      <c r="E489" s="2" t="n">
        <v>210</v>
      </c>
      <c r="F489" s="2" t="n">
        <v>771</v>
      </c>
      <c r="G489" s="2" t="inlineStr">
        <is>
          <t>c02c c030 009f cca9 cca8 ccaa c02b c02f 009e c024 c028 006b c023 c027 0067 c00a c014 0039 c009 c013 0033 009d 009c 003d 003c 0035 002f</t>
        </is>
      </c>
      <c r="H489" s="2" t="inlineStr"/>
      <c r="I489" s="2" t="n">
        <v>1</v>
      </c>
      <c r="J489" s="2" t="inlineStr">
        <is>
          <t>skb-eval-151710-c5008</t>
        </is>
      </c>
      <c r="K489" s="2" t="n">
        <v>210</v>
      </c>
      <c r="L489" s="2" t="n">
        <v>771</v>
      </c>
      <c r="M489" s="2" t="n">
        <v>210</v>
      </c>
      <c r="N489" s="2" t="b">
        <v>1</v>
      </c>
      <c r="O489" s="2" t="b">
        <v>1</v>
      </c>
      <c r="P489" s="2" t="inlineStr">
        <is>
          <t>c02c c030 009f cca9 cca8 ccaa c02b c02f 009e c024 c028 006b c023 c027 0067 c00a c014 0039 c009 c013 0033 009d 009c 003d 003c 0035 002f</t>
        </is>
      </c>
      <c r="Q489" s="2" t="inlineStr"/>
      <c r="R489" s="2" t="inlineStr">
        <is>
          <t>violation</t>
        </is>
      </c>
      <c r="S489" s="2" t="inlineStr">
        <is>
          <t>violation</t>
        </is>
      </c>
      <c r="T489" s="2">
        <f>K489=E489</f>
        <v/>
      </c>
      <c r="U489" s="2">
        <f>L489=F489</f>
        <v/>
      </c>
      <c r="V489" s="2">
        <f>IF(N489,EXACT(P489,G489),"")</f>
        <v/>
      </c>
      <c r="W489" s="2">
        <f>IF(O489,EXACT(Q489,H489),"")</f>
        <v/>
      </c>
      <c r="X489" s="2">
        <f>J489=C489</f>
        <v/>
      </c>
      <c r="Y489" s="2">
        <f>IF(R489="unknown","",R489=S489)</f>
        <v/>
      </c>
      <c r="Z489" s="2" t="inlineStr">
        <is>
          <t>A</t>
        </is>
      </c>
      <c r="AA489" s="2" t="inlineStr">
        <is>
          <t>A</t>
        </is>
      </c>
      <c r="AB489" s="2">
        <f>AND(N489,O489,A489&lt;&gt;"census-mixed")</f>
        <v/>
      </c>
      <c r="AC489" s="2">
        <f>IF(AB489,Z489=AA489,"")</f>
        <v/>
      </c>
    </row>
    <row r="490">
      <c r="A490" s="2" t="inlineStr">
        <is>
          <t>edge</t>
        </is>
      </c>
      <c r="B490" s="2" t="inlineStr">
        <is>
          <t>openssl TLS 1.2 only</t>
        </is>
      </c>
      <c r="C490" s="2" t="inlineStr">
        <is>
          <t>skb-eval-151710-c5009</t>
        </is>
      </c>
      <c r="D490" s="2" t="n">
        <v>5009</v>
      </c>
      <c r="E490" s="2" t="n">
        <v>210</v>
      </c>
      <c r="F490" s="2" t="n">
        <v>771</v>
      </c>
      <c r="G490" s="2" t="inlineStr">
        <is>
          <t>c02c c030 009f cca9 cca8 ccaa c02b c02f 009e c024 c028 006b c023 c027 0067 c00a c014 0039 c009 c013 0033 009d 009c 003d 003c 0035 002f</t>
        </is>
      </c>
      <c r="H490" s="2" t="inlineStr"/>
      <c r="I490" s="2" t="n">
        <v>1</v>
      </c>
      <c r="J490" s="2" t="inlineStr">
        <is>
          <t>skb-eval-151710-c5009</t>
        </is>
      </c>
      <c r="K490" s="2" t="n">
        <v>210</v>
      </c>
      <c r="L490" s="2" t="n">
        <v>771</v>
      </c>
      <c r="M490" s="2" t="n">
        <v>210</v>
      </c>
      <c r="N490" s="2" t="b">
        <v>1</v>
      </c>
      <c r="O490" s="2" t="b">
        <v>1</v>
      </c>
      <c r="P490" s="2" t="inlineStr">
        <is>
          <t>c02c c030 009f cca9 cca8 ccaa c02b c02f 009e c024 c028 006b c023 c027 0067 c00a c014 0039 c009 c013 0033 009d 009c 003d 003c 0035 002f</t>
        </is>
      </c>
      <c r="Q490" s="2" t="inlineStr"/>
      <c r="R490" s="2" t="inlineStr">
        <is>
          <t>violation</t>
        </is>
      </c>
      <c r="S490" s="2" t="inlineStr">
        <is>
          <t>violation</t>
        </is>
      </c>
      <c r="T490" s="2">
        <f>K490=E490</f>
        <v/>
      </c>
      <c r="U490" s="2">
        <f>L490=F490</f>
        <v/>
      </c>
      <c r="V490" s="2">
        <f>IF(N490,EXACT(P490,G490),"")</f>
        <v/>
      </c>
      <c r="W490" s="2">
        <f>IF(O490,EXACT(Q490,H490),"")</f>
        <v/>
      </c>
      <c r="X490" s="2">
        <f>J490=C490</f>
        <v/>
      </c>
      <c r="Y490" s="2">
        <f>IF(R490="unknown","",R490=S490)</f>
        <v/>
      </c>
      <c r="Z490" s="2" t="inlineStr">
        <is>
          <t>A</t>
        </is>
      </c>
      <c r="AA490" s="2" t="inlineStr">
        <is>
          <t>A</t>
        </is>
      </c>
      <c r="AB490" s="2">
        <f>AND(N490,O490,A490&lt;&gt;"census-mixed")</f>
        <v/>
      </c>
      <c r="AC490" s="2">
        <f>IF(AB490,Z490=AA490,"")</f>
        <v/>
      </c>
    </row>
    <row r="491">
      <c r="A491" s="2" t="inlineStr">
        <is>
          <t>edge</t>
        </is>
      </c>
      <c r="B491" s="2" t="inlineStr">
        <is>
          <t>openssl TLS 1.2 only</t>
        </is>
      </c>
      <c r="C491" s="2" t="inlineStr">
        <is>
          <t>skb-eval-151710-c5010</t>
        </is>
      </c>
      <c r="D491" s="2" t="n">
        <v>5010</v>
      </c>
      <c r="E491" s="2" t="n">
        <v>210</v>
      </c>
      <c r="F491" s="2" t="n">
        <v>771</v>
      </c>
      <c r="G491" s="2" t="inlineStr">
        <is>
          <t>c02c c030 009f cca9 cca8 ccaa c02b c02f 009e c024 c028 006b c023 c027 0067 c00a c014 0039 c009 c013 0033 009d 009c 003d 003c 0035 002f</t>
        </is>
      </c>
      <c r="H491" s="2" t="inlineStr"/>
      <c r="I491" s="2" t="n">
        <v>1</v>
      </c>
      <c r="J491" s="2" t="inlineStr">
        <is>
          <t>skb-eval-151710-c5010</t>
        </is>
      </c>
      <c r="K491" s="2" t="n">
        <v>210</v>
      </c>
      <c r="L491" s="2" t="n">
        <v>771</v>
      </c>
      <c r="M491" s="2" t="n">
        <v>210</v>
      </c>
      <c r="N491" s="2" t="b">
        <v>1</v>
      </c>
      <c r="O491" s="2" t="b">
        <v>1</v>
      </c>
      <c r="P491" s="2" t="inlineStr">
        <is>
          <t>c02c c030 009f cca9 cca8 ccaa c02b c02f 009e c024 c028 006b c023 c027 0067 c00a c014 0039 c009 c013 0033 009d 009c 003d 003c 0035 002f</t>
        </is>
      </c>
      <c r="Q491" s="2" t="inlineStr"/>
      <c r="R491" s="2" t="inlineStr">
        <is>
          <t>violation</t>
        </is>
      </c>
      <c r="S491" s="2" t="inlineStr">
        <is>
          <t>violation</t>
        </is>
      </c>
      <c r="T491" s="2">
        <f>K491=E491</f>
        <v/>
      </c>
      <c r="U491" s="2">
        <f>L491=F491</f>
        <v/>
      </c>
      <c r="V491" s="2">
        <f>IF(N491,EXACT(P491,G491),"")</f>
        <v/>
      </c>
      <c r="W491" s="2">
        <f>IF(O491,EXACT(Q491,H491),"")</f>
        <v/>
      </c>
      <c r="X491" s="2">
        <f>J491=C491</f>
        <v/>
      </c>
      <c r="Y491" s="2">
        <f>IF(R491="unknown","",R491=S491)</f>
        <v/>
      </c>
      <c r="Z491" s="2" t="inlineStr">
        <is>
          <t>A</t>
        </is>
      </c>
      <c r="AA491" s="2" t="inlineStr">
        <is>
          <t>A</t>
        </is>
      </c>
      <c r="AB491" s="2">
        <f>AND(N491,O491,A491&lt;&gt;"census-mixed")</f>
        <v/>
      </c>
      <c r="AC491" s="2">
        <f>IF(AB491,Z491=AA491,"")</f>
        <v/>
      </c>
    </row>
    <row r="492">
      <c r="A492" s="2" t="inlineStr">
        <is>
          <t>edge</t>
        </is>
      </c>
      <c r="B492" s="2" t="inlineStr">
        <is>
          <t>openssl 83 ciphers (TLS 1.2, ALL:@SECLEVEL=0)</t>
        </is>
      </c>
      <c r="C492" s="2" t="inlineStr">
        <is>
          <t>skb-eval-151710-c5011</t>
        </is>
      </c>
      <c r="D492" s="2" t="n">
        <v>5011</v>
      </c>
      <c r="E492" s="2" t="n">
        <v>328</v>
      </c>
      <c r="F492" s="2" t="n">
        <v>771</v>
      </c>
      <c r="G492"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2" s="2" t="inlineStr"/>
      <c r="I492" s="2" t="n">
        <v>1</v>
      </c>
      <c r="J492" s="2" t="inlineStr">
        <is>
          <t>skb-eval-151710-c5011</t>
        </is>
      </c>
      <c r="K492" s="2" t="n">
        <v>328</v>
      </c>
      <c r="L492" s="2" t="n">
        <v>771</v>
      </c>
      <c r="M492" s="2" t="n">
        <v>328</v>
      </c>
      <c r="N492" s="2" t="b">
        <v>0</v>
      </c>
      <c r="O492" s="2" t="b">
        <v>1</v>
      </c>
      <c r="P492"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2" s="2" t="inlineStr"/>
      <c r="R492" s="2" t="inlineStr">
        <is>
          <t>violation</t>
        </is>
      </c>
      <c r="S492" s="2" t="inlineStr">
        <is>
          <t>violation</t>
        </is>
      </c>
      <c r="T492" s="2">
        <f>K492=E492</f>
        <v/>
      </c>
      <c r="U492" s="2">
        <f>L492=F492</f>
        <v/>
      </c>
      <c r="V492" s="2">
        <f>IF(N492,EXACT(P492,G492),"")</f>
        <v/>
      </c>
      <c r="W492" s="2">
        <f>IF(O492,EXACT(Q492,H492),"")</f>
        <v/>
      </c>
      <c r="X492" s="2">
        <f>J492=C492</f>
        <v/>
      </c>
      <c r="Y492" s="2">
        <f>IF(R492="unknown","",R492=S492)</f>
        <v/>
      </c>
      <c r="Z492" s="2" t="inlineStr">
        <is>
          <t>F</t>
        </is>
      </c>
      <c r="AA492" s="2" t="inlineStr">
        <is>
          <t>F</t>
        </is>
      </c>
      <c r="AB492" s="2">
        <f>AND(N492,O492,A492&lt;&gt;"census-mixed")</f>
        <v/>
      </c>
      <c r="AC492" s="2">
        <f>IF(AB492,Z492=AA492,"")</f>
        <v/>
      </c>
    </row>
    <row r="493">
      <c r="A493" s="2" t="inlineStr">
        <is>
          <t>edge</t>
        </is>
      </c>
      <c r="B493" s="2" t="inlineStr">
        <is>
          <t>openssl 83 ciphers (TLS 1.2, ALL:@SECLEVEL=0)</t>
        </is>
      </c>
      <c r="C493" s="2" t="inlineStr">
        <is>
          <t>skb-eval-151710-c5012</t>
        </is>
      </c>
      <c r="D493" s="2" t="n">
        <v>5012</v>
      </c>
      <c r="E493" s="2" t="n">
        <v>328</v>
      </c>
      <c r="F493" s="2" t="n">
        <v>771</v>
      </c>
      <c r="G493"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3" s="2" t="inlineStr"/>
      <c r="I493" s="2" t="n">
        <v>1</v>
      </c>
      <c r="J493" s="2" t="inlineStr">
        <is>
          <t>skb-eval-151710-c5012</t>
        </is>
      </c>
      <c r="K493" s="2" t="n">
        <v>328</v>
      </c>
      <c r="L493" s="2" t="n">
        <v>771</v>
      </c>
      <c r="M493" s="2" t="n">
        <v>328</v>
      </c>
      <c r="N493" s="2" t="b">
        <v>0</v>
      </c>
      <c r="O493" s="2" t="b">
        <v>1</v>
      </c>
      <c r="P493"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3" s="2" t="inlineStr"/>
      <c r="R493" s="2" t="inlineStr">
        <is>
          <t>violation</t>
        </is>
      </c>
      <c r="S493" s="2" t="inlineStr">
        <is>
          <t>violation</t>
        </is>
      </c>
      <c r="T493" s="2">
        <f>K493=E493</f>
        <v/>
      </c>
      <c r="U493" s="2">
        <f>L493=F493</f>
        <v/>
      </c>
      <c r="V493" s="2">
        <f>IF(N493,EXACT(P493,G493),"")</f>
        <v/>
      </c>
      <c r="W493" s="2">
        <f>IF(O493,EXACT(Q493,H493),"")</f>
        <v/>
      </c>
      <c r="X493" s="2">
        <f>J493=C493</f>
        <v/>
      </c>
      <c r="Y493" s="2">
        <f>IF(R493="unknown","",R493=S493)</f>
        <v/>
      </c>
      <c r="Z493" s="2" t="inlineStr">
        <is>
          <t>F</t>
        </is>
      </c>
      <c r="AA493" s="2" t="inlineStr">
        <is>
          <t>F</t>
        </is>
      </c>
      <c r="AB493" s="2">
        <f>AND(N493,O493,A493&lt;&gt;"census-mixed")</f>
        <v/>
      </c>
      <c r="AC493" s="2">
        <f>IF(AB493,Z493=AA493,"")</f>
        <v/>
      </c>
    </row>
    <row r="494">
      <c r="A494" s="2" t="inlineStr">
        <is>
          <t>edge</t>
        </is>
      </c>
      <c r="B494" s="2" t="inlineStr">
        <is>
          <t>openssl 83 ciphers (TLS 1.2, ALL:@SECLEVEL=0)</t>
        </is>
      </c>
      <c r="C494" s="2" t="inlineStr">
        <is>
          <t>skb-eval-151710-c5013</t>
        </is>
      </c>
      <c r="D494" s="2" t="n">
        <v>5013</v>
      </c>
      <c r="E494" s="2" t="n">
        <v>328</v>
      </c>
      <c r="F494" s="2" t="n">
        <v>771</v>
      </c>
      <c r="G494"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4" s="2" t="inlineStr"/>
      <c r="I494" s="2" t="n">
        <v>1</v>
      </c>
      <c r="J494" s="2" t="inlineStr">
        <is>
          <t>skb-eval-151710-c5013</t>
        </is>
      </c>
      <c r="K494" s="2" t="n">
        <v>328</v>
      </c>
      <c r="L494" s="2" t="n">
        <v>771</v>
      </c>
      <c r="M494" s="2" t="n">
        <v>328</v>
      </c>
      <c r="N494" s="2" t="b">
        <v>0</v>
      </c>
      <c r="O494" s="2" t="b">
        <v>1</v>
      </c>
      <c r="P494"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4" s="2" t="inlineStr"/>
      <c r="R494" s="2" t="inlineStr">
        <is>
          <t>violation</t>
        </is>
      </c>
      <c r="S494" s="2" t="inlineStr">
        <is>
          <t>violation</t>
        </is>
      </c>
      <c r="T494" s="2">
        <f>K494=E494</f>
        <v/>
      </c>
      <c r="U494" s="2">
        <f>L494=F494</f>
        <v/>
      </c>
      <c r="V494" s="2">
        <f>IF(N494,EXACT(P494,G494),"")</f>
        <v/>
      </c>
      <c r="W494" s="2">
        <f>IF(O494,EXACT(Q494,H494),"")</f>
        <v/>
      </c>
      <c r="X494" s="2">
        <f>J494=C494</f>
        <v/>
      </c>
      <c r="Y494" s="2">
        <f>IF(R494="unknown","",R494=S494)</f>
        <v/>
      </c>
      <c r="Z494" s="2" t="inlineStr">
        <is>
          <t>F</t>
        </is>
      </c>
      <c r="AA494" s="2" t="inlineStr">
        <is>
          <t>F</t>
        </is>
      </c>
      <c r="AB494" s="2">
        <f>AND(N494,O494,A494&lt;&gt;"census-mixed")</f>
        <v/>
      </c>
      <c r="AC494" s="2">
        <f>IF(AB494,Z494=AA494,"")</f>
        <v/>
      </c>
    </row>
    <row r="495">
      <c r="A495" s="2" t="inlineStr">
        <is>
          <t>edge</t>
        </is>
      </c>
      <c r="B495" s="2" t="inlineStr">
        <is>
          <t>openssl 83 ciphers (TLS 1.2, ALL:@SECLEVEL=0)</t>
        </is>
      </c>
      <c r="C495" s="2" t="inlineStr">
        <is>
          <t>skb-eval-151710-c5014</t>
        </is>
      </c>
      <c r="D495" s="2" t="n">
        <v>5014</v>
      </c>
      <c r="E495" s="2" t="n">
        <v>328</v>
      </c>
      <c r="F495" s="2" t="n">
        <v>771</v>
      </c>
      <c r="G495"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5" s="2" t="inlineStr"/>
      <c r="I495" s="2" t="n">
        <v>1</v>
      </c>
      <c r="J495" s="2" t="inlineStr">
        <is>
          <t>skb-eval-151710-c5014</t>
        </is>
      </c>
      <c r="K495" s="2" t="n">
        <v>328</v>
      </c>
      <c r="L495" s="2" t="n">
        <v>771</v>
      </c>
      <c r="M495" s="2" t="n">
        <v>328</v>
      </c>
      <c r="N495" s="2" t="b">
        <v>0</v>
      </c>
      <c r="O495" s="2" t="b">
        <v>1</v>
      </c>
      <c r="P495"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5" s="2" t="inlineStr"/>
      <c r="R495" s="2" t="inlineStr">
        <is>
          <t>violation</t>
        </is>
      </c>
      <c r="S495" s="2" t="inlineStr">
        <is>
          <t>violation</t>
        </is>
      </c>
      <c r="T495" s="2">
        <f>K495=E495</f>
        <v/>
      </c>
      <c r="U495" s="2">
        <f>L495=F495</f>
        <v/>
      </c>
      <c r="V495" s="2">
        <f>IF(N495,EXACT(P495,G495),"")</f>
        <v/>
      </c>
      <c r="W495" s="2">
        <f>IF(O495,EXACT(Q495,H495),"")</f>
        <v/>
      </c>
      <c r="X495" s="2">
        <f>J495=C495</f>
        <v/>
      </c>
      <c r="Y495" s="2">
        <f>IF(R495="unknown","",R495=S495)</f>
        <v/>
      </c>
      <c r="Z495" s="2" t="inlineStr">
        <is>
          <t>F</t>
        </is>
      </c>
      <c r="AA495" s="2" t="inlineStr">
        <is>
          <t>F</t>
        </is>
      </c>
      <c r="AB495" s="2">
        <f>AND(N495,O495,A495&lt;&gt;"census-mixed")</f>
        <v/>
      </c>
      <c r="AC495" s="2">
        <f>IF(AB495,Z495=AA495,"")</f>
        <v/>
      </c>
    </row>
    <row r="496">
      <c r="A496" s="2" t="inlineStr">
        <is>
          <t>edge</t>
        </is>
      </c>
      <c r="B496" s="2" t="inlineStr">
        <is>
          <t>openssl 83 ciphers (TLS 1.2, ALL:@SECLEVEL=0)</t>
        </is>
      </c>
      <c r="C496" s="2" t="inlineStr">
        <is>
          <t>skb-eval-151710-c5015</t>
        </is>
      </c>
      <c r="D496" s="2" t="n">
        <v>5015</v>
      </c>
      <c r="E496" s="2" t="n">
        <v>328</v>
      </c>
      <c r="F496" s="2" t="n">
        <v>771</v>
      </c>
      <c r="G496"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6" s="2" t="inlineStr"/>
      <c r="I496" s="2" t="n">
        <v>1</v>
      </c>
      <c r="J496" s="2" t="inlineStr">
        <is>
          <t>skb-eval-151710-c5015</t>
        </is>
      </c>
      <c r="K496" s="2" t="n">
        <v>328</v>
      </c>
      <c r="L496" s="2" t="n">
        <v>771</v>
      </c>
      <c r="M496" s="2" t="n">
        <v>328</v>
      </c>
      <c r="N496" s="2" t="b">
        <v>0</v>
      </c>
      <c r="O496" s="2" t="b">
        <v>1</v>
      </c>
      <c r="P496"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6" s="2" t="inlineStr"/>
      <c r="R496" s="2" t="inlineStr">
        <is>
          <t>violation</t>
        </is>
      </c>
      <c r="S496" s="2" t="inlineStr">
        <is>
          <t>violation</t>
        </is>
      </c>
      <c r="T496" s="2">
        <f>K496=E496</f>
        <v/>
      </c>
      <c r="U496" s="2">
        <f>L496=F496</f>
        <v/>
      </c>
      <c r="V496" s="2">
        <f>IF(N496,EXACT(P496,G496),"")</f>
        <v/>
      </c>
      <c r="W496" s="2">
        <f>IF(O496,EXACT(Q496,H496),"")</f>
        <v/>
      </c>
      <c r="X496" s="2">
        <f>J496=C496</f>
        <v/>
      </c>
      <c r="Y496" s="2">
        <f>IF(R496="unknown","",R496=S496)</f>
        <v/>
      </c>
      <c r="Z496" s="2" t="inlineStr">
        <is>
          <t>F</t>
        </is>
      </c>
      <c r="AA496" s="2" t="inlineStr">
        <is>
          <t>F</t>
        </is>
      </c>
      <c r="AB496" s="2">
        <f>AND(N496,O496,A496&lt;&gt;"census-mixed")</f>
        <v/>
      </c>
      <c r="AC496" s="2">
        <f>IF(AB496,Z496=AA496,"")</f>
        <v/>
      </c>
    </row>
    <row r="497">
      <c r="A497" s="2" t="inlineStr">
        <is>
          <t>edge</t>
        </is>
      </c>
      <c r="B497" s="2" t="inlineStr">
        <is>
          <t>openssl 83 ciphers (TLS 1.2, ALL:@SECLEVEL=0)</t>
        </is>
      </c>
      <c r="C497" s="2" t="inlineStr">
        <is>
          <t>skb-eval-151710-c5016</t>
        </is>
      </c>
      <c r="D497" s="2" t="n">
        <v>5016</v>
      </c>
      <c r="E497" s="2" t="n">
        <v>328</v>
      </c>
      <c r="F497" s="2" t="n">
        <v>771</v>
      </c>
      <c r="G497"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7" s="2" t="inlineStr"/>
      <c r="I497" s="2" t="n">
        <v>1</v>
      </c>
      <c r="J497" s="2" t="inlineStr">
        <is>
          <t>skb-eval-151710-c5016</t>
        </is>
      </c>
      <c r="K497" s="2" t="n">
        <v>328</v>
      </c>
      <c r="L497" s="2" t="n">
        <v>771</v>
      </c>
      <c r="M497" s="2" t="n">
        <v>328</v>
      </c>
      <c r="N497" s="2" t="b">
        <v>0</v>
      </c>
      <c r="O497" s="2" t="b">
        <v>1</v>
      </c>
      <c r="P497"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7" s="2" t="inlineStr"/>
      <c r="R497" s="2" t="inlineStr">
        <is>
          <t>violation</t>
        </is>
      </c>
      <c r="S497" s="2" t="inlineStr">
        <is>
          <t>violation</t>
        </is>
      </c>
      <c r="T497" s="2">
        <f>K497=E497</f>
        <v/>
      </c>
      <c r="U497" s="2">
        <f>L497=F497</f>
        <v/>
      </c>
      <c r="V497" s="2">
        <f>IF(N497,EXACT(P497,G497),"")</f>
        <v/>
      </c>
      <c r="W497" s="2">
        <f>IF(O497,EXACT(Q497,H497),"")</f>
        <v/>
      </c>
      <c r="X497" s="2">
        <f>J497=C497</f>
        <v/>
      </c>
      <c r="Y497" s="2">
        <f>IF(R497="unknown","",R497=S497)</f>
        <v/>
      </c>
      <c r="Z497" s="2" t="inlineStr">
        <is>
          <t>F</t>
        </is>
      </c>
      <c r="AA497" s="2" t="inlineStr">
        <is>
          <t>F</t>
        </is>
      </c>
      <c r="AB497" s="2">
        <f>AND(N497,O497,A497&lt;&gt;"census-mixed")</f>
        <v/>
      </c>
      <c r="AC497" s="2">
        <f>IF(AB497,Z497=AA497,"")</f>
        <v/>
      </c>
    </row>
    <row r="498">
      <c r="A498" s="2" t="inlineStr">
        <is>
          <t>edge</t>
        </is>
      </c>
      <c r="B498" s="2" t="inlineStr">
        <is>
          <t>openssl 83 ciphers (TLS 1.2, ALL:@SECLEVEL=0)</t>
        </is>
      </c>
      <c r="C498" s="2" t="inlineStr">
        <is>
          <t>skb-eval-151710-c5017</t>
        </is>
      </c>
      <c r="D498" s="2" t="n">
        <v>5017</v>
      </c>
      <c r="E498" s="2" t="n">
        <v>328</v>
      </c>
      <c r="F498" s="2" t="n">
        <v>771</v>
      </c>
      <c r="G498"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8" s="2" t="inlineStr"/>
      <c r="I498" s="2" t="n">
        <v>1</v>
      </c>
      <c r="J498" s="2" t="inlineStr">
        <is>
          <t>skb-eval-151710-c5017</t>
        </is>
      </c>
      <c r="K498" s="2" t="n">
        <v>328</v>
      </c>
      <c r="L498" s="2" t="n">
        <v>771</v>
      </c>
      <c r="M498" s="2" t="n">
        <v>328</v>
      </c>
      <c r="N498" s="2" t="b">
        <v>0</v>
      </c>
      <c r="O498" s="2" t="b">
        <v>1</v>
      </c>
      <c r="P498"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8" s="2" t="inlineStr"/>
      <c r="R498" s="2" t="inlineStr">
        <is>
          <t>violation</t>
        </is>
      </c>
      <c r="S498" s="2" t="inlineStr">
        <is>
          <t>violation</t>
        </is>
      </c>
      <c r="T498" s="2">
        <f>K498=E498</f>
        <v/>
      </c>
      <c r="U498" s="2">
        <f>L498=F498</f>
        <v/>
      </c>
      <c r="V498" s="2">
        <f>IF(N498,EXACT(P498,G498),"")</f>
        <v/>
      </c>
      <c r="W498" s="2">
        <f>IF(O498,EXACT(Q498,H498),"")</f>
        <v/>
      </c>
      <c r="X498" s="2">
        <f>J498=C498</f>
        <v/>
      </c>
      <c r="Y498" s="2">
        <f>IF(R498="unknown","",R498=S498)</f>
        <v/>
      </c>
      <c r="Z498" s="2" t="inlineStr">
        <is>
          <t>F</t>
        </is>
      </c>
      <c r="AA498" s="2" t="inlineStr">
        <is>
          <t>F</t>
        </is>
      </c>
      <c r="AB498" s="2">
        <f>AND(N498,O498,A498&lt;&gt;"census-mixed")</f>
        <v/>
      </c>
      <c r="AC498" s="2">
        <f>IF(AB498,Z498=AA498,"")</f>
        <v/>
      </c>
    </row>
    <row r="499">
      <c r="A499" s="2" t="inlineStr">
        <is>
          <t>edge</t>
        </is>
      </c>
      <c r="B499" s="2" t="inlineStr">
        <is>
          <t>openssl 83 ciphers (TLS 1.2, ALL:@SECLEVEL=0)</t>
        </is>
      </c>
      <c r="C499" s="2" t="inlineStr">
        <is>
          <t>skb-eval-151710-c5018</t>
        </is>
      </c>
      <c r="D499" s="2" t="n">
        <v>5018</v>
      </c>
      <c r="E499" s="2" t="n">
        <v>328</v>
      </c>
      <c r="F499" s="2" t="n">
        <v>771</v>
      </c>
      <c r="G499"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9" s="2" t="inlineStr"/>
      <c r="I499" s="2" t="n">
        <v>1</v>
      </c>
      <c r="J499" s="2" t="inlineStr">
        <is>
          <t>skb-eval-151710-c5018</t>
        </is>
      </c>
      <c r="K499" s="2" t="n">
        <v>328</v>
      </c>
      <c r="L499" s="2" t="n">
        <v>771</v>
      </c>
      <c r="M499" s="2" t="n">
        <v>328</v>
      </c>
      <c r="N499" s="2" t="b">
        <v>0</v>
      </c>
      <c r="O499" s="2" t="b">
        <v>1</v>
      </c>
      <c r="P499"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9" s="2" t="inlineStr"/>
      <c r="R499" s="2" t="inlineStr">
        <is>
          <t>violation</t>
        </is>
      </c>
      <c r="S499" s="2" t="inlineStr">
        <is>
          <t>violation</t>
        </is>
      </c>
      <c r="T499" s="2">
        <f>K499=E499</f>
        <v/>
      </c>
      <c r="U499" s="2">
        <f>L499=F499</f>
        <v/>
      </c>
      <c r="V499" s="2">
        <f>IF(N499,EXACT(P499,G499),"")</f>
        <v/>
      </c>
      <c r="W499" s="2">
        <f>IF(O499,EXACT(Q499,H499),"")</f>
        <v/>
      </c>
      <c r="X499" s="2">
        <f>J499=C499</f>
        <v/>
      </c>
      <c r="Y499" s="2">
        <f>IF(R499="unknown","",R499=S499)</f>
        <v/>
      </c>
      <c r="Z499" s="2" t="inlineStr">
        <is>
          <t>F</t>
        </is>
      </c>
      <c r="AA499" s="2" t="inlineStr">
        <is>
          <t>F</t>
        </is>
      </c>
      <c r="AB499" s="2">
        <f>AND(N499,O499,A499&lt;&gt;"census-mixed")</f>
        <v/>
      </c>
      <c r="AC499" s="2">
        <f>IF(AB499,Z499=AA499,"")</f>
        <v/>
      </c>
    </row>
    <row r="500">
      <c r="A500" s="2" t="inlineStr">
        <is>
          <t>edge</t>
        </is>
      </c>
      <c r="B500" s="2" t="inlineStr">
        <is>
          <t>openssl 83 ciphers (TLS 1.2, ALL:@SECLEVEL=0)</t>
        </is>
      </c>
      <c r="C500" s="2" t="inlineStr">
        <is>
          <t>skb-eval-151710-c5019</t>
        </is>
      </c>
      <c r="D500" s="2" t="n">
        <v>5019</v>
      </c>
      <c r="E500" s="2" t="n">
        <v>328</v>
      </c>
      <c r="F500" s="2" t="n">
        <v>771</v>
      </c>
      <c r="G500"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500" s="2" t="inlineStr"/>
      <c r="I500" s="2" t="n">
        <v>1</v>
      </c>
      <c r="J500" s="2" t="inlineStr">
        <is>
          <t>skb-eval-151710-c5019</t>
        </is>
      </c>
      <c r="K500" s="2" t="n">
        <v>328</v>
      </c>
      <c r="L500" s="2" t="n">
        <v>771</v>
      </c>
      <c r="M500" s="2" t="n">
        <v>328</v>
      </c>
      <c r="N500" s="2" t="b">
        <v>0</v>
      </c>
      <c r="O500" s="2" t="b">
        <v>1</v>
      </c>
      <c r="P500"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500" s="2" t="inlineStr"/>
      <c r="R500" s="2" t="inlineStr">
        <is>
          <t>violation</t>
        </is>
      </c>
      <c r="S500" s="2" t="inlineStr">
        <is>
          <t>violation</t>
        </is>
      </c>
      <c r="T500" s="2">
        <f>K500=E500</f>
        <v/>
      </c>
      <c r="U500" s="2">
        <f>L500=F500</f>
        <v/>
      </c>
      <c r="V500" s="2">
        <f>IF(N500,EXACT(P500,G500),"")</f>
        <v/>
      </c>
      <c r="W500" s="2">
        <f>IF(O500,EXACT(Q500,H500),"")</f>
        <v/>
      </c>
      <c r="X500" s="2">
        <f>J500=C500</f>
        <v/>
      </c>
      <c r="Y500" s="2">
        <f>IF(R500="unknown","",R500=S500)</f>
        <v/>
      </c>
      <c r="Z500" s="2" t="inlineStr">
        <is>
          <t>F</t>
        </is>
      </c>
      <c r="AA500" s="2" t="inlineStr">
        <is>
          <t>F</t>
        </is>
      </c>
      <c r="AB500" s="2">
        <f>AND(N500,O500,A500&lt;&gt;"census-mixed")</f>
        <v/>
      </c>
      <c r="AC500" s="2">
        <f>IF(AB500,Z500=AA500,"")</f>
        <v/>
      </c>
    </row>
    <row r="501">
      <c r="A501" s="2" t="inlineStr">
        <is>
          <t>edge</t>
        </is>
      </c>
      <c r="B501" s="2" t="inlineStr">
        <is>
          <t>openssl 83 ciphers (TLS 1.2, ALL:@SECLEVEL=0)</t>
        </is>
      </c>
      <c r="C501" s="2" t="inlineStr">
        <is>
          <t>skb-eval-151710-c5020</t>
        </is>
      </c>
      <c r="D501" s="2" t="n">
        <v>5020</v>
      </c>
      <c r="E501" s="2" t="n">
        <v>328</v>
      </c>
      <c r="F501" s="2" t="n">
        <v>771</v>
      </c>
      <c r="G501"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501" s="2" t="inlineStr"/>
      <c r="I501" s="2" t="n">
        <v>1</v>
      </c>
      <c r="J501" s="2" t="inlineStr">
        <is>
          <t>skb-eval-151710-c5020</t>
        </is>
      </c>
      <c r="K501" s="2" t="n">
        <v>328</v>
      </c>
      <c r="L501" s="2" t="n">
        <v>771</v>
      </c>
      <c r="M501" s="2" t="n">
        <v>328</v>
      </c>
      <c r="N501" s="2" t="b">
        <v>0</v>
      </c>
      <c r="O501" s="2" t="b">
        <v>1</v>
      </c>
      <c r="P501"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501" s="2" t="inlineStr"/>
      <c r="R501" s="2" t="inlineStr">
        <is>
          <t>violation</t>
        </is>
      </c>
      <c r="S501" s="2" t="inlineStr">
        <is>
          <t>violation</t>
        </is>
      </c>
      <c r="T501" s="2">
        <f>K501=E501</f>
        <v/>
      </c>
      <c r="U501" s="2">
        <f>L501=F501</f>
        <v/>
      </c>
      <c r="V501" s="2">
        <f>IF(N501,EXACT(P501,G501),"")</f>
        <v/>
      </c>
      <c r="W501" s="2">
        <f>IF(O501,EXACT(Q501,H501),"")</f>
        <v/>
      </c>
      <c r="X501" s="2">
        <f>J501=C501</f>
        <v/>
      </c>
      <c r="Y501" s="2">
        <f>IF(R501="unknown","",R501=S501)</f>
        <v/>
      </c>
      <c r="Z501" s="2" t="inlineStr">
        <is>
          <t>F</t>
        </is>
      </c>
      <c r="AA501" s="2" t="inlineStr">
        <is>
          <t>F</t>
        </is>
      </c>
      <c r="AB501" s="2">
        <f>AND(N501,O501,A501&lt;&gt;"census-mixed")</f>
        <v/>
      </c>
      <c r="AC501" s="2">
        <f>IF(AB501,Z501=AA501,"")</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500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4" customWidth="1" min="3" max="3"/>
    <col width="12" customWidth="1" min="4" max="4"/>
    <col width="16" customWidth="1" min="5" max="5"/>
    <col width="10" customWidth="1" min="6" max="6"/>
    <col width="26" customWidth="1" min="7" max="7"/>
    <col width="27" customWidth="1" min="8" max="8"/>
    <col width="23" customWidth="1" min="9" max="9"/>
    <col width="26" customWidth="1" min="11" max="11"/>
  </cols>
  <sheetData>
    <row r="1">
      <c r="A1" s="4" t="inlineStr">
        <is>
          <t>i</t>
        </is>
      </c>
      <c r="B1" s="4" t="inlineStr">
        <is>
          <t>Kind</t>
        </is>
      </c>
      <c r="C1" s="4" t="inlineStr">
        <is>
          <t>From</t>
        </is>
      </c>
      <c r="D1" s="4" t="inlineStr">
        <is>
          <t>Bytes sent</t>
        </is>
      </c>
      <c r="E1" s="4" t="inlineStr">
        <is>
          <t>Bytes received</t>
        </is>
      </c>
      <c r="F1" s="4" t="inlineStr">
        <is>
          <t>Events</t>
        </is>
      </c>
      <c r="G1" s="4" t="inlineStr">
        <is>
          <t>Events with ciphers_seen</t>
        </is>
      </c>
      <c r="H1" s="4" t="inlineStr">
        <is>
          <t>Events with versions_seen</t>
        </is>
      </c>
      <c r="I1" s="4" t="inlineStr">
        <is>
          <t>False complete fields</t>
        </is>
      </c>
      <c r="K1" t="inlineStr">
        <is>
          <t>Run</t>
        </is>
      </c>
      <c r="L1" t="inlineStr">
        <is>
          <t>Value</t>
        </is>
      </c>
    </row>
    <row r="2">
      <c r="A2" s="2" t="n">
        <v>0</v>
      </c>
      <c r="B2" s="2" t="inlineStr">
        <is>
          <t>original</t>
        </is>
      </c>
      <c r="C2" s="2" t="inlineStr">
        <is>
          <t>openssl X25519 only (classical)</t>
        </is>
      </c>
      <c r="D2" s="2" t="n">
        <v>314</v>
      </c>
      <c r="E2" s="2" t="n">
        <v>314</v>
      </c>
      <c r="F2" s="2" t="n">
        <v>1</v>
      </c>
      <c r="G2" s="2" t="n">
        <v>1</v>
      </c>
      <c r="H2" s="2" t="n">
        <v>1</v>
      </c>
      <c r="I2" s="2" t="n">
        <v>0</v>
      </c>
      <c r="K2" t="inlineStr">
        <is>
          <t>skbouncer alive at end</t>
        </is>
      </c>
      <c r="L2" t="b">
        <v>1</v>
      </c>
    </row>
    <row r="3">
      <c r="A3" s="2" t="n">
        <v>1</v>
      </c>
      <c r="B3" s="2" t="inlineStr">
        <is>
          <t>original</t>
        </is>
      </c>
      <c r="C3" s="2" t="inlineStr">
        <is>
          <t>openssl 3.5.8 default</t>
        </is>
      </c>
      <c r="D3" s="2" t="n">
        <v>1548</v>
      </c>
      <c r="E3" s="2" t="n">
        <v>1548</v>
      </c>
      <c r="F3" s="2" t="n">
        <v>1</v>
      </c>
      <c r="G3" s="2" t="n">
        <v>1</v>
      </c>
      <c r="H3" s="2" t="n">
        <v>1</v>
      </c>
      <c r="I3" s="2" t="n">
        <v>0</v>
      </c>
      <c r="K3" t="inlineStr">
        <is>
          <t>skb_tc attached at end</t>
        </is>
      </c>
      <c r="L3" t="n">
        <v>1</v>
      </c>
    </row>
    <row r="4">
      <c r="A4" s="2" t="n">
        <v>2</v>
      </c>
      <c r="B4" s="2" t="inlineStr">
        <is>
          <t>original</t>
        </is>
      </c>
      <c r="C4" s="2" t="inlineStr">
        <is>
          <t>openssl TLS 1.2 only</t>
        </is>
      </c>
      <c r="D4" s="2" t="n">
        <v>215</v>
      </c>
      <c r="E4" s="2" t="n">
        <v>215</v>
      </c>
      <c r="F4" s="2" t="n">
        <v>1</v>
      </c>
      <c r="G4" s="2" t="n">
        <v>1</v>
      </c>
      <c r="H4" s="2" t="n">
        <v>1</v>
      </c>
      <c r="I4" s="2" t="n">
        <v>0</v>
      </c>
      <c r="K4" t="inlineStr">
        <is>
          <t>Detected</t>
        </is>
      </c>
      <c r="L4" t="n">
        <v>4693</v>
      </c>
    </row>
    <row r="5">
      <c r="A5" s="2" t="n">
        <v>3</v>
      </c>
      <c r="B5" s="2" t="inlineStr">
        <is>
          <t>original</t>
        </is>
      </c>
      <c r="C5" s="2" t="inlineStr">
        <is>
          <t>browser chrome150</t>
        </is>
      </c>
      <c r="D5" s="2" t="n">
        <v>1763</v>
      </c>
      <c r="E5" s="2" t="n">
        <v>1763</v>
      </c>
      <c r="F5" s="2" t="n">
        <v>1</v>
      </c>
      <c r="G5" s="2" t="n">
        <v>1</v>
      </c>
      <c r="H5" s="2" t="n">
        <v>1</v>
      </c>
      <c r="I5" s="2" t="n">
        <v>0</v>
      </c>
      <c r="K5" t="inlineStr">
        <is>
          <t>Too short to classify</t>
        </is>
      </c>
      <c r="L5" t="n">
        <v>8</v>
      </c>
    </row>
    <row r="6">
      <c r="A6" s="2" t="n">
        <v>4</v>
      </c>
      <c r="B6" s="2" t="inlineStr">
        <is>
          <t>original</t>
        </is>
      </c>
      <c r="C6" s="2" t="inlineStr">
        <is>
          <t>browser firefox147</t>
        </is>
      </c>
      <c r="D6" s="2" t="n">
        <v>1901</v>
      </c>
      <c r="E6" s="2" t="n">
        <v>1901</v>
      </c>
      <c r="F6" s="2" t="n">
        <v>1</v>
      </c>
      <c r="G6" s="2" t="n">
        <v>1</v>
      </c>
      <c r="H6" s="2" t="n">
        <v>0</v>
      </c>
      <c r="I6" s="2" t="n">
        <v>0</v>
      </c>
    </row>
    <row r="7">
      <c r="A7" s="2" t="n">
        <v>5</v>
      </c>
      <c r="B7" s="2" t="inlineStr">
        <is>
          <t>flip</t>
        </is>
      </c>
      <c r="C7" s="2" t="inlineStr">
        <is>
          <t>openssl 3.5.8 default</t>
        </is>
      </c>
      <c r="D7" s="2" t="n">
        <v>1548</v>
      </c>
      <c r="E7" s="2" t="n">
        <v>1548</v>
      </c>
      <c r="F7" s="2" t="n">
        <v>1</v>
      </c>
      <c r="G7" s="2" t="n">
        <v>1</v>
      </c>
      <c r="H7" s="2" t="n">
        <v>1</v>
      </c>
      <c r="I7" s="2" t="n">
        <v>0</v>
      </c>
    </row>
    <row r="8">
      <c r="A8" s="2" t="n">
        <v>6</v>
      </c>
      <c r="B8" s="2" t="inlineStr">
        <is>
          <t>truncate</t>
        </is>
      </c>
      <c r="C8" s="2" t="inlineStr">
        <is>
          <t>browser chrome150</t>
        </is>
      </c>
      <c r="D8" s="2" t="n">
        <v>968</v>
      </c>
      <c r="E8" s="2" t="n">
        <v>968</v>
      </c>
      <c r="F8" s="2" t="n">
        <v>1</v>
      </c>
      <c r="G8" s="2" t="n">
        <v>1</v>
      </c>
      <c r="H8" s="2" t="n">
        <v>1</v>
      </c>
      <c r="I8" s="2" t="n">
        <v>0</v>
      </c>
    </row>
    <row r="9">
      <c r="A9" s="2" t="n">
        <v>7</v>
      </c>
      <c r="B9" s="2" t="inlineStr">
        <is>
          <t>length</t>
        </is>
      </c>
      <c r="C9" s="2" t="inlineStr">
        <is>
          <t>browser chrome150</t>
        </is>
      </c>
      <c r="D9" s="2" t="n">
        <v>1763</v>
      </c>
      <c r="E9" s="2" t="n">
        <v>1763</v>
      </c>
      <c r="F9" s="2" t="n">
        <v>0</v>
      </c>
      <c r="G9" s="2" t="n">
        <v>0</v>
      </c>
      <c r="H9" s="2" t="n">
        <v>0</v>
      </c>
      <c r="I9" s="2" t="n">
        <v>0</v>
      </c>
    </row>
    <row r="10">
      <c r="A10" s="2" t="n">
        <v>8</v>
      </c>
      <c r="B10" s="2" t="inlineStr">
        <is>
          <t>insert</t>
        </is>
      </c>
      <c r="C10" s="2" t="inlineStr">
        <is>
          <t>browser chrome150</t>
        </is>
      </c>
      <c r="D10" s="2" t="n">
        <v>1764</v>
      </c>
      <c r="E10" s="2" t="n">
        <v>1764</v>
      </c>
      <c r="F10" s="2" t="n">
        <v>1</v>
      </c>
      <c r="G10" s="2" t="n">
        <v>1</v>
      </c>
      <c r="H10" s="2" t="n">
        <v>1</v>
      </c>
      <c r="I10" s="2" t="n">
        <v>0</v>
      </c>
    </row>
    <row r="11">
      <c r="A11" s="2" t="n">
        <v>9</v>
      </c>
      <c r="B11" s="2" t="inlineStr">
        <is>
          <t>flip</t>
        </is>
      </c>
      <c r="C11" s="2" t="inlineStr">
        <is>
          <t>browser chrome150</t>
        </is>
      </c>
      <c r="D11" s="2" t="n">
        <v>1763</v>
      </c>
      <c r="E11" s="2" t="n">
        <v>1763</v>
      </c>
      <c r="F11" s="2" t="n">
        <v>1</v>
      </c>
      <c r="G11" s="2" t="n">
        <v>1</v>
      </c>
      <c r="H11" s="2" t="n">
        <v>1</v>
      </c>
      <c r="I11" s="2" t="n">
        <v>0</v>
      </c>
    </row>
    <row r="12">
      <c r="A12" s="2" t="n">
        <v>10</v>
      </c>
      <c r="B12" s="2" t="inlineStr">
        <is>
          <t>truncate</t>
        </is>
      </c>
      <c r="C12" s="2" t="inlineStr">
        <is>
          <t>browser firefox147</t>
        </is>
      </c>
      <c r="D12" s="2" t="n">
        <v>19</v>
      </c>
      <c r="E12" s="2" t="n">
        <v>19</v>
      </c>
      <c r="F12" s="2" t="n">
        <v>1</v>
      </c>
      <c r="G12" s="2" t="n">
        <v>0</v>
      </c>
      <c r="H12" s="2" t="n">
        <v>0</v>
      </c>
      <c r="I12" s="2" t="n">
        <v>0</v>
      </c>
    </row>
    <row r="13">
      <c r="A13" s="2" t="n">
        <v>11</v>
      </c>
      <c r="B13" s="2" t="inlineStr">
        <is>
          <t>length</t>
        </is>
      </c>
      <c r="C13" s="2" t="inlineStr">
        <is>
          <t>browser chrome150</t>
        </is>
      </c>
      <c r="D13" s="2" t="n">
        <v>1763</v>
      </c>
      <c r="E13" s="2" t="n">
        <v>1763</v>
      </c>
      <c r="F13" s="2" t="n">
        <v>1</v>
      </c>
      <c r="G13" s="2" t="n">
        <v>1</v>
      </c>
      <c r="H13" s="2" t="n">
        <v>1</v>
      </c>
      <c r="I13" s="2" t="n">
        <v>0</v>
      </c>
    </row>
    <row r="14">
      <c r="A14" s="2" t="n">
        <v>12</v>
      </c>
      <c r="B14" s="2" t="inlineStr">
        <is>
          <t>insert</t>
        </is>
      </c>
      <c r="C14" s="2" t="inlineStr">
        <is>
          <t>openssl 3.5.8 default</t>
        </is>
      </c>
      <c r="D14" s="2" t="n">
        <v>1564</v>
      </c>
      <c r="E14" s="2" t="n">
        <v>1564</v>
      </c>
      <c r="F14" s="2" t="n">
        <v>1</v>
      </c>
      <c r="G14" s="2" t="n">
        <v>1</v>
      </c>
      <c r="H14" s="2" t="n">
        <v>1</v>
      </c>
      <c r="I14" s="2" t="n">
        <v>0</v>
      </c>
    </row>
    <row r="15">
      <c r="A15" s="2" t="n">
        <v>13</v>
      </c>
      <c r="B15" s="2" t="inlineStr">
        <is>
          <t>flip</t>
        </is>
      </c>
      <c r="C15" s="2" t="inlineStr">
        <is>
          <t>openssl 3.5.8 default</t>
        </is>
      </c>
      <c r="D15" s="2" t="n">
        <v>1548</v>
      </c>
      <c r="E15" s="2" t="n">
        <v>1548</v>
      </c>
      <c r="F15" s="2" t="n">
        <v>1</v>
      </c>
      <c r="G15" s="2" t="n">
        <v>1</v>
      </c>
      <c r="H15" s="2" t="n">
        <v>1</v>
      </c>
      <c r="I15" s="2" t="n">
        <v>0</v>
      </c>
    </row>
    <row r="16">
      <c r="A16" s="2" t="n">
        <v>14</v>
      </c>
      <c r="B16" s="2" t="inlineStr">
        <is>
          <t>truncate</t>
        </is>
      </c>
      <c r="C16" s="2" t="inlineStr">
        <is>
          <t>browser firefox147</t>
        </is>
      </c>
      <c r="D16" s="2" t="n">
        <v>865</v>
      </c>
      <c r="E16" s="2" t="n">
        <v>865</v>
      </c>
      <c r="F16" s="2" t="n">
        <v>1</v>
      </c>
      <c r="G16" s="2" t="n">
        <v>1</v>
      </c>
      <c r="H16" s="2" t="n">
        <v>0</v>
      </c>
      <c r="I16" s="2" t="n">
        <v>0</v>
      </c>
    </row>
    <row r="17">
      <c r="A17" s="2" t="n">
        <v>15</v>
      </c>
      <c r="B17" s="2" t="inlineStr">
        <is>
          <t>length</t>
        </is>
      </c>
      <c r="C17" s="2" t="inlineStr">
        <is>
          <t>browser firefox147</t>
        </is>
      </c>
      <c r="D17" s="2" t="n">
        <v>1901</v>
      </c>
      <c r="E17" s="2" t="n">
        <v>1901</v>
      </c>
      <c r="F17" s="2" t="n">
        <v>1</v>
      </c>
      <c r="G17" s="2" t="n">
        <v>0</v>
      </c>
      <c r="H17" s="2" t="n">
        <v>0</v>
      </c>
      <c r="I17" s="2" t="n">
        <v>0</v>
      </c>
    </row>
    <row r="18">
      <c r="A18" s="2" t="n">
        <v>16</v>
      </c>
      <c r="B18" s="2" t="inlineStr">
        <is>
          <t>insert</t>
        </is>
      </c>
      <c r="C18" s="2" t="inlineStr">
        <is>
          <t>browser chrome150</t>
        </is>
      </c>
      <c r="D18" s="2" t="n">
        <v>1776</v>
      </c>
      <c r="E18" s="2" t="n">
        <v>1776</v>
      </c>
      <c r="F18" s="2" t="n">
        <v>1</v>
      </c>
      <c r="G18" s="2" t="n">
        <v>1</v>
      </c>
      <c r="H18" s="2" t="n">
        <v>1</v>
      </c>
      <c r="I18" s="2" t="n">
        <v>0</v>
      </c>
    </row>
    <row r="19">
      <c r="A19" s="2" t="n">
        <v>17</v>
      </c>
      <c r="B19" s="2" t="inlineStr">
        <is>
          <t>flip</t>
        </is>
      </c>
      <c r="C19" s="2" t="inlineStr">
        <is>
          <t>openssl 3.5.8 default</t>
        </is>
      </c>
      <c r="D19" s="2" t="n">
        <v>1548</v>
      </c>
      <c r="E19" s="2" t="n">
        <v>1548</v>
      </c>
      <c r="F19" s="2" t="n">
        <v>1</v>
      </c>
      <c r="G19" s="2" t="n">
        <v>1</v>
      </c>
      <c r="H19" s="2" t="n">
        <v>1</v>
      </c>
      <c r="I19" s="2" t="n">
        <v>0</v>
      </c>
    </row>
    <row r="20">
      <c r="A20" s="2" t="n">
        <v>18</v>
      </c>
      <c r="B20" s="2" t="inlineStr">
        <is>
          <t>truncate</t>
        </is>
      </c>
      <c r="C20" s="2" t="inlineStr">
        <is>
          <t>browser firefox147</t>
        </is>
      </c>
      <c r="D20" s="2" t="n">
        <v>222</v>
      </c>
      <c r="E20" s="2" t="n">
        <v>222</v>
      </c>
      <c r="F20" s="2" t="n">
        <v>1</v>
      </c>
      <c r="G20" s="2" t="n">
        <v>1</v>
      </c>
      <c r="H20" s="2" t="n">
        <v>0</v>
      </c>
      <c r="I20" s="2" t="n">
        <v>0</v>
      </c>
    </row>
    <row r="21">
      <c r="A21" s="2" t="n">
        <v>19</v>
      </c>
      <c r="B21" s="2" t="inlineStr">
        <is>
          <t>length</t>
        </is>
      </c>
      <c r="C21" s="2" t="inlineStr">
        <is>
          <t>openssl 3.5.8 default</t>
        </is>
      </c>
      <c r="D21" s="2" t="n">
        <v>1548</v>
      </c>
      <c r="E21" s="2" t="n">
        <v>1548</v>
      </c>
      <c r="F21" s="2" t="n">
        <v>1</v>
      </c>
      <c r="G21" s="2" t="n">
        <v>1</v>
      </c>
      <c r="H21" s="2" t="n">
        <v>1</v>
      </c>
      <c r="I21" s="2" t="n">
        <v>0</v>
      </c>
    </row>
    <row r="22">
      <c r="A22" s="2" t="n">
        <v>20</v>
      </c>
      <c r="B22" s="2" t="inlineStr">
        <is>
          <t>insert</t>
        </is>
      </c>
      <c r="C22" s="2" t="inlineStr">
        <is>
          <t>openssl X25519 only (classical)</t>
        </is>
      </c>
      <c r="D22" s="2" t="n">
        <v>316</v>
      </c>
      <c r="E22" s="2" t="n">
        <v>316</v>
      </c>
      <c r="F22" s="2" t="n">
        <v>1</v>
      </c>
      <c r="G22" s="2" t="n">
        <v>1</v>
      </c>
      <c r="H22" s="2" t="n">
        <v>1</v>
      </c>
      <c r="I22" s="2" t="n">
        <v>0</v>
      </c>
    </row>
    <row r="23">
      <c r="A23" s="2" t="n">
        <v>21</v>
      </c>
      <c r="B23" s="2" t="inlineStr">
        <is>
          <t>flip</t>
        </is>
      </c>
      <c r="C23" s="2" t="inlineStr">
        <is>
          <t>browser firefox147</t>
        </is>
      </c>
      <c r="D23" s="2" t="n">
        <v>1901</v>
      </c>
      <c r="E23" s="2" t="n">
        <v>1901</v>
      </c>
      <c r="F23" s="2" t="n">
        <v>1</v>
      </c>
      <c r="G23" s="2" t="n">
        <v>1</v>
      </c>
      <c r="H23" s="2" t="n">
        <v>0</v>
      </c>
      <c r="I23" s="2" t="n">
        <v>0</v>
      </c>
    </row>
    <row r="24">
      <c r="A24" s="2" t="n">
        <v>22</v>
      </c>
      <c r="B24" s="2" t="inlineStr">
        <is>
          <t>truncate</t>
        </is>
      </c>
      <c r="C24" s="2" t="inlineStr">
        <is>
          <t>browser chrome150</t>
        </is>
      </c>
      <c r="D24" s="2" t="n">
        <v>1053</v>
      </c>
      <c r="E24" s="2" t="n">
        <v>1053</v>
      </c>
      <c r="F24" s="2" t="n">
        <v>1</v>
      </c>
      <c r="G24" s="2" t="n">
        <v>1</v>
      </c>
      <c r="H24" s="2" t="n">
        <v>1</v>
      </c>
      <c r="I24" s="2" t="n">
        <v>0</v>
      </c>
    </row>
    <row r="25">
      <c r="A25" s="2" t="n">
        <v>23</v>
      </c>
      <c r="B25" s="2" t="inlineStr">
        <is>
          <t>length</t>
        </is>
      </c>
      <c r="C25" s="2" t="inlineStr">
        <is>
          <t>openssl TLS 1.2 only</t>
        </is>
      </c>
      <c r="D25" s="2" t="n">
        <v>215</v>
      </c>
      <c r="E25" s="2" t="n">
        <v>215</v>
      </c>
      <c r="F25" s="2" t="n">
        <v>1</v>
      </c>
      <c r="G25" s="2" t="n">
        <v>0</v>
      </c>
      <c r="H25" s="2" t="n">
        <v>0</v>
      </c>
      <c r="I25" s="2" t="n">
        <v>0</v>
      </c>
    </row>
    <row r="26">
      <c r="A26" s="2" t="n">
        <v>24</v>
      </c>
      <c r="B26" s="2" t="inlineStr">
        <is>
          <t>insert</t>
        </is>
      </c>
      <c r="C26" s="2" t="inlineStr">
        <is>
          <t>browser firefox147</t>
        </is>
      </c>
      <c r="D26" s="2" t="n">
        <v>1902</v>
      </c>
      <c r="E26" s="2" t="n">
        <v>1902</v>
      </c>
      <c r="F26" s="2" t="n">
        <v>1</v>
      </c>
      <c r="G26" s="2" t="n">
        <v>1</v>
      </c>
      <c r="H26" s="2" t="n">
        <v>0</v>
      </c>
      <c r="I26" s="2" t="n">
        <v>0</v>
      </c>
    </row>
    <row r="27">
      <c r="A27" s="2" t="n">
        <v>25</v>
      </c>
      <c r="B27" s="2" t="inlineStr">
        <is>
          <t>flip</t>
        </is>
      </c>
      <c r="C27" s="2" t="inlineStr">
        <is>
          <t>browser firefox147</t>
        </is>
      </c>
      <c r="D27" s="2" t="n">
        <v>1901</v>
      </c>
      <c r="E27" s="2" t="n">
        <v>1901</v>
      </c>
      <c r="F27" s="2" t="n">
        <v>1</v>
      </c>
      <c r="G27" s="2" t="n">
        <v>1</v>
      </c>
      <c r="H27" s="2" t="n">
        <v>0</v>
      </c>
      <c r="I27" s="2" t="n">
        <v>0</v>
      </c>
    </row>
    <row r="28">
      <c r="A28" s="2" t="n">
        <v>26</v>
      </c>
      <c r="B28" s="2" t="inlineStr">
        <is>
          <t>truncate</t>
        </is>
      </c>
      <c r="C28" s="2" t="inlineStr">
        <is>
          <t>openssl X25519 only (classical)</t>
        </is>
      </c>
      <c r="D28" s="2" t="n">
        <v>247</v>
      </c>
      <c r="E28" s="2" t="n">
        <v>247</v>
      </c>
      <c r="F28" s="2" t="n">
        <v>1</v>
      </c>
      <c r="G28" s="2" t="n">
        <v>1</v>
      </c>
      <c r="H28" s="2" t="n">
        <v>0</v>
      </c>
      <c r="I28" s="2" t="n">
        <v>0</v>
      </c>
    </row>
    <row r="29">
      <c r="A29" s="2" t="n">
        <v>27</v>
      </c>
      <c r="B29" s="2" t="inlineStr">
        <is>
          <t>length</t>
        </is>
      </c>
      <c r="C29" s="2" t="inlineStr">
        <is>
          <t>openssl TLS 1.2 only</t>
        </is>
      </c>
      <c r="D29" s="2" t="n">
        <v>215</v>
      </c>
      <c r="E29" s="2" t="n">
        <v>215</v>
      </c>
      <c r="F29" s="2" t="n">
        <v>1</v>
      </c>
      <c r="G29" s="2" t="n">
        <v>1</v>
      </c>
      <c r="H29" s="2" t="n">
        <v>0</v>
      </c>
      <c r="I29" s="2" t="n">
        <v>0</v>
      </c>
    </row>
    <row r="30">
      <c r="A30" s="2" t="n">
        <v>28</v>
      </c>
      <c r="B30" s="2" t="inlineStr">
        <is>
          <t>insert</t>
        </is>
      </c>
      <c r="C30" s="2" t="inlineStr">
        <is>
          <t>openssl TLS 1.2 only</t>
        </is>
      </c>
      <c r="D30" s="2" t="n">
        <v>227</v>
      </c>
      <c r="E30" s="2" t="n">
        <v>227</v>
      </c>
      <c r="F30" s="2" t="n">
        <v>1</v>
      </c>
      <c r="G30" s="2" t="n">
        <v>1</v>
      </c>
      <c r="H30" s="2" t="n">
        <v>1</v>
      </c>
      <c r="I30" s="2" t="n">
        <v>0</v>
      </c>
    </row>
    <row r="31">
      <c r="A31" s="2" t="n">
        <v>29</v>
      </c>
      <c r="B31" s="2" t="inlineStr">
        <is>
          <t>flip</t>
        </is>
      </c>
      <c r="C31" s="2" t="inlineStr">
        <is>
          <t>browser firefox147</t>
        </is>
      </c>
      <c r="D31" s="2" t="n">
        <v>1901</v>
      </c>
      <c r="E31" s="2" t="n">
        <v>1901</v>
      </c>
      <c r="F31" s="2" t="n">
        <v>1</v>
      </c>
      <c r="G31" s="2" t="n">
        <v>1</v>
      </c>
      <c r="H31" s="2" t="n">
        <v>0</v>
      </c>
      <c r="I31" s="2" t="n">
        <v>0</v>
      </c>
    </row>
    <row r="32">
      <c r="A32" s="2" t="n">
        <v>30</v>
      </c>
      <c r="B32" s="2" t="inlineStr">
        <is>
          <t>truncate</t>
        </is>
      </c>
      <c r="C32" s="2" t="inlineStr">
        <is>
          <t>browser firefox147</t>
        </is>
      </c>
      <c r="D32" s="2" t="n">
        <v>1633</v>
      </c>
      <c r="E32" s="2" t="n">
        <v>1633</v>
      </c>
      <c r="F32" s="2" t="n">
        <v>1</v>
      </c>
      <c r="G32" s="2" t="n">
        <v>1</v>
      </c>
      <c r="H32" s="2" t="n">
        <v>0</v>
      </c>
      <c r="I32" s="2" t="n">
        <v>0</v>
      </c>
    </row>
    <row r="33">
      <c r="A33" s="2" t="n">
        <v>31</v>
      </c>
      <c r="B33" s="2" t="inlineStr">
        <is>
          <t>length</t>
        </is>
      </c>
      <c r="C33" s="2" t="inlineStr">
        <is>
          <t>openssl TLS 1.2 only</t>
        </is>
      </c>
      <c r="D33" s="2" t="n">
        <v>215</v>
      </c>
      <c r="E33" s="2" t="n">
        <v>215</v>
      </c>
      <c r="F33" s="2" t="n">
        <v>1</v>
      </c>
      <c r="G33" s="2" t="n">
        <v>1</v>
      </c>
      <c r="H33" s="2" t="n">
        <v>1</v>
      </c>
      <c r="I33" s="2" t="n">
        <v>0</v>
      </c>
    </row>
    <row r="34">
      <c r="A34" s="2" t="n">
        <v>32</v>
      </c>
      <c r="B34" s="2" t="inlineStr">
        <is>
          <t>insert</t>
        </is>
      </c>
      <c r="C34" s="2" t="inlineStr">
        <is>
          <t>openssl X25519 only (classical)</t>
        </is>
      </c>
      <c r="D34" s="2" t="n">
        <v>315</v>
      </c>
      <c r="E34" s="2" t="n">
        <v>315</v>
      </c>
      <c r="F34" s="2" t="n">
        <v>1</v>
      </c>
      <c r="G34" s="2" t="n">
        <v>1</v>
      </c>
      <c r="H34" s="2" t="n">
        <v>1</v>
      </c>
      <c r="I34" s="2" t="n">
        <v>0</v>
      </c>
    </row>
    <row r="35">
      <c r="A35" s="2" t="n">
        <v>33</v>
      </c>
      <c r="B35" s="2" t="inlineStr">
        <is>
          <t>flip</t>
        </is>
      </c>
      <c r="C35" s="2" t="inlineStr">
        <is>
          <t>openssl TLS 1.2 only</t>
        </is>
      </c>
      <c r="D35" s="2" t="n">
        <v>215</v>
      </c>
      <c r="E35" s="2" t="n">
        <v>215</v>
      </c>
      <c r="F35" s="2" t="n">
        <v>1</v>
      </c>
      <c r="G35" s="2" t="n">
        <v>1</v>
      </c>
      <c r="H35" s="2" t="n">
        <v>1</v>
      </c>
      <c r="I35" s="2" t="n">
        <v>0</v>
      </c>
    </row>
    <row r="36">
      <c r="A36" s="2" t="n">
        <v>34</v>
      </c>
      <c r="B36" s="2" t="inlineStr">
        <is>
          <t>truncate</t>
        </is>
      </c>
      <c r="C36" s="2" t="inlineStr">
        <is>
          <t>openssl 3.5.8 default</t>
        </is>
      </c>
      <c r="D36" s="2" t="n">
        <v>327</v>
      </c>
      <c r="E36" s="2" t="n">
        <v>327</v>
      </c>
      <c r="F36" s="2" t="n">
        <v>1</v>
      </c>
      <c r="G36" s="2" t="n">
        <v>1</v>
      </c>
      <c r="H36" s="2" t="n">
        <v>1</v>
      </c>
      <c r="I36" s="2" t="n">
        <v>0</v>
      </c>
    </row>
    <row r="37">
      <c r="A37" s="2" t="n">
        <v>35</v>
      </c>
      <c r="B37" s="2" t="inlineStr">
        <is>
          <t>length</t>
        </is>
      </c>
      <c r="C37" s="2" t="inlineStr">
        <is>
          <t>openssl TLS 1.2 only</t>
        </is>
      </c>
      <c r="D37" s="2" t="n">
        <v>215</v>
      </c>
      <c r="E37" s="2" t="n">
        <v>215</v>
      </c>
      <c r="F37" s="2" t="n">
        <v>1</v>
      </c>
      <c r="G37" s="2" t="n">
        <v>1</v>
      </c>
      <c r="H37" s="2" t="n">
        <v>1</v>
      </c>
      <c r="I37" s="2" t="n">
        <v>0</v>
      </c>
    </row>
    <row r="38">
      <c r="A38" s="2" t="n">
        <v>36</v>
      </c>
      <c r="B38" s="2" t="inlineStr">
        <is>
          <t>insert</t>
        </is>
      </c>
      <c r="C38" s="2" t="inlineStr">
        <is>
          <t>openssl TLS 1.2 only</t>
        </is>
      </c>
      <c r="D38" s="2" t="n">
        <v>226</v>
      </c>
      <c r="E38" s="2" t="n">
        <v>226</v>
      </c>
      <c r="F38" s="2" t="n">
        <v>1</v>
      </c>
      <c r="G38" s="2" t="n">
        <v>1</v>
      </c>
      <c r="H38" s="2" t="n">
        <v>1</v>
      </c>
      <c r="I38" s="2" t="n">
        <v>0</v>
      </c>
    </row>
    <row r="39">
      <c r="A39" s="2" t="n">
        <v>37</v>
      </c>
      <c r="B39" s="2" t="inlineStr">
        <is>
          <t>flip</t>
        </is>
      </c>
      <c r="C39" s="2" t="inlineStr">
        <is>
          <t>openssl X25519 only (classical)</t>
        </is>
      </c>
      <c r="D39" s="2" t="n">
        <v>314</v>
      </c>
      <c r="E39" s="2" t="n">
        <v>314</v>
      </c>
      <c r="F39" s="2" t="n">
        <v>1</v>
      </c>
      <c r="G39" s="2" t="n">
        <v>1</v>
      </c>
      <c r="H39" s="2" t="n">
        <v>1</v>
      </c>
      <c r="I39" s="2" t="n">
        <v>0</v>
      </c>
    </row>
    <row r="40">
      <c r="A40" s="2" t="n">
        <v>38</v>
      </c>
      <c r="B40" s="2" t="inlineStr">
        <is>
          <t>truncate</t>
        </is>
      </c>
      <c r="C40" s="2" t="inlineStr">
        <is>
          <t>openssl 3.5.8 default</t>
        </is>
      </c>
      <c r="D40" s="2" t="n">
        <v>1241</v>
      </c>
      <c r="E40" s="2" t="n">
        <v>1241</v>
      </c>
      <c r="F40" s="2" t="n">
        <v>1</v>
      </c>
      <c r="G40" s="2" t="n">
        <v>1</v>
      </c>
      <c r="H40" s="2" t="n">
        <v>1</v>
      </c>
      <c r="I40" s="2" t="n">
        <v>0</v>
      </c>
    </row>
    <row r="41">
      <c r="A41" s="2" t="n">
        <v>39</v>
      </c>
      <c r="B41" s="2" t="inlineStr">
        <is>
          <t>length</t>
        </is>
      </c>
      <c r="C41" s="2" t="inlineStr">
        <is>
          <t>browser chrome150</t>
        </is>
      </c>
      <c r="D41" s="2" t="n">
        <v>1763</v>
      </c>
      <c r="E41" s="2" t="n">
        <v>1763</v>
      </c>
      <c r="F41" s="2" t="n">
        <v>1</v>
      </c>
      <c r="G41" s="2" t="n">
        <v>1</v>
      </c>
      <c r="H41" s="2" t="n">
        <v>1</v>
      </c>
      <c r="I41" s="2" t="n">
        <v>0</v>
      </c>
    </row>
    <row r="42">
      <c r="A42" s="2" t="n">
        <v>40</v>
      </c>
      <c r="B42" s="2" t="inlineStr">
        <is>
          <t>insert</t>
        </is>
      </c>
      <c r="C42" s="2" t="inlineStr">
        <is>
          <t>openssl 3.5.8 default</t>
        </is>
      </c>
      <c r="D42" s="2" t="n">
        <v>1554</v>
      </c>
      <c r="E42" s="2" t="n">
        <v>1554</v>
      </c>
      <c r="F42" s="2" t="n">
        <v>1</v>
      </c>
      <c r="G42" s="2" t="n">
        <v>0</v>
      </c>
      <c r="H42" s="2" t="n">
        <v>0</v>
      </c>
      <c r="I42" s="2" t="n">
        <v>0</v>
      </c>
    </row>
    <row r="43">
      <c r="A43" s="2" t="n">
        <v>41</v>
      </c>
      <c r="B43" s="2" t="inlineStr">
        <is>
          <t>flip</t>
        </is>
      </c>
      <c r="C43" s="2" t="inlineStr">
        <is>
          <t>browser firefox147</t>
        </is>
      </c>
      <c r="D43" s="2" t="n">
        <v>1901</v>
      </c>
      <c r="E43" s="2" t="n">
        <v>1901</v>
      </c>
      <c r="F43" s="2" t="n">
        <v>1</v>
      </c>
      <c r="G43" s="2" t="n">
        <v>1</v>
      </c>
      <c r="H43" s="2" t="n">
        <v>0</v>
      </c>
      <c r="I43" s="2" t="n">
        <v>0</v>
      </c>
    </row>
    <row r="44">
      <c r="A44" s="2" t="n">
        <v>42</v>
      </c>
      <c r="B44" s="2" t="inlineStr">
        <is>
          <t>truncate</t>
        </is>
      </c>
      <c r="C44" s="2" t="inlineStr">
        <is>
          <t>browser firefox147</t>
        </is>
      </c>
      <c r="D44" s="2" t="n">
        <v>1646</v>
      </c>
      <c r="E44" s="2" t="n">
        <v>1646</v>
      </c>
      <c r="F44" s="2" t="n">
        <v>1</v>
      </c>
      <c r="G44" s="2" t="n">
        <v>1</v>
      </c>
      <c r="H44" s="2" t="n">
        <v>0</v>
      </c>
      <c r="I44" s="2" t="n">
        <v>0</v>
      </c>
    </row>
    <row r="45">
      <c r="A45" s="2" t="n">
        <v>43</v>
      </c>
      <c r="B45" s="2" t="inlineStr">
        <is>
          <t>length</t>
        </is>
      </c>
      <c r="C45" s="2" t="inlineStr">
        <is>
          <t>openssl TLS 1.2 only</t>
        </is>
      </c>
      <c r="D45" s="2" t="n">
        <v>215</v>
      </c>
      <c r="E45" s="2" t="n">
        <v>215</v>
      </c>
      <c r="F45" s="2" t="n">
        <v>1</v>
      </c>
      <c r="G45" s="2" t="n">
        <v>1</v>
      </c>
      <c r="H45" s="2" t="n">
        <v>0</v>
      </c>
      <c r="I45" s="2" t="n">
        <v>0</v>
      </c>
    </row>
    <row r="46">
      <c r="A46" s="2" t="n">
        <v>44</v>
      </c>
      <c r="B46" s="2" t="inlineStr">
        <is>
          <t>insert</t>
        </is>
      </c>
      <c r="C46" s="2" t="inlineStr">
        <is>
          <t>openssl 3.5.8 default</t>
        </is>
      </c>
      <c r="D46" s="2" t="n">
        <v>1558</v>
      </c>
      <c r="E46" s="2" t="n">
        <v>1558</v>
      </c>
      <c r="F46" s="2" t="n">
        <v>1</v>
      </c>
      <c r="G46" s="2" t="n">
        <v>1</v>
      </c>
      <c r="H46" s="2" t="n">
        <v>0</v>
      </c>
      <c r="I46" s="2" t="n">
        <v>0</v>
      </c>
    </row>
    <row r="47">
      <c r="A47" s="2" t="n">
        <v>45</v>
      </c>
      <c r="B47" s="2" t="inlineStr">
        <is>
          <t>flip</t>
        </is>
      </c>
      <c r="C47" s="2" t="inlineStr">
        <is>
          <t>openssl TLS 1.2 only</t>
        </is>
      </c>
      <c r="D47" s="2" t="n">
        <v>215</v>
      </c>
      <c r="E47" s="2" t="n">
        <v>215</v>
      </c>
      <c r="F47" s="2" t="n">
        <v>0</v>
      </c>
      <c r="G47" s="2" t="n">
        <v>0</v>
      </c>
      <c r="H47" s="2" t="n">
        <v>0</v>
      </c>
      <c r="I47" s="2" t="n">
        <v>0</v>
      </c>
    </row>
    <row r="48">
      <c r="A48" s="2" t="n">
        <v>46</v>
      </c>
      <c r="B48" s="2" t="inlineStr">
        <is>
          <t>truncate</t>
        </is>
      </c>
      <c r="C48" s="2" t="inlineStr">
        <is>
          <t>openssl 3.5.8 default</t>
        </is>
      </c>
      <c r="D48" s="2" t="n">
        <v>1168</v>
      </c>
      <c r="E48" s="2" t="n">
        <v>1168</v>
      </c>
      <c r="F48" s="2" t="n">
        <v>1</v>
      </c>
      <c r="G48" s="2" t="n">
        <v>1</v>
      </c>
      <c r="H48" s="2" t="n">
        <v>1</v>
      </c>
      <c r="I48" s="2" t="n">
        <v>0</v>
      </c>
    </row>
    <row r="49">
      <c r="A49" s="2" t="n">
        <v>47</v>
      </c>
      <c r="B49" s="2" t="inlineStr">
        <is>
          <t>length</t>
        </is>
      </c>
      <c r="C49" s="2" t="inlineStr">
        <is>
          <t>browser chrome150</t>
        </is>
      </c>
      <c r="D49" s="2" t="n">
        <v>1763</v>
      </c>
      <c r="E49" s="2" t="n">
        <v>1763</v>
      </c>
      <c r="F49" s="2" t="n">
        <v>1</v>
      </c>
      <c r="G49" s="2" t="n">
        <v>1</v>
      </c>
      <c r="H49" s="2" t="n">
        <v>1</v>
      </c>
      <c r="I49" s="2" t="n">
        <v>0</v>
      </c>
    </row>
    <row r="50">
      <c r="A50" s="2" t="n">
        <v>48</v>
      </c>
      <c r="B50" s="2" t="inlineStr">
        <is>
          <t>insert</t>
        </is>
      </c>
      <c r="C50" s="2" t="inlineStr">
        <is>
          <t>openssl 3.5.8 default</t>
        </is>
      </c>
      <c r="D50" s="2" t="n">
        <v>1552</v>
      </c>
      <c r="E50" s="2" t="n">
        <v>1552</v>
      </c>
      <c r="F50" s="2" t="n">
        <v>1</v>
      </c>
      <c r="G50" s="2" t="n">
        <v>1</v>
      </c>
      <c r="H50" s="2" t="n">
        <v>1</v>
      </c>
      <c r="I50" s="2" t="n">
        <v>0</v>
      </c>
    </row>
    <row r="51">
      <c r="A51" s="2" t="n">
        <v>49</v>
      </c>
      <c r="B51" s="2" t="inlineStr">
        <is>
          <t>flip</t>
        </is>
      </c>
      <c r="C51" s="2" t="inlineStr">
        <is>
          <t>browser firefox147</t>
        </is>
      </c>
      <c r="D51" s="2" t="n">
        <v>1901</v>
      </c>
      <c r="E51" s="2" t="n">
        <v>1901</v>
      </c>
      <c r="F51" s="2" t="n">
        <v>1</v>
      </c>
      <c r="G51" s="2" t="n">
        <v>1</v>
      </c>
      <c r="H51" s="2" t="n">
        <v>0</v>
      </c>
      <c r="I51" s="2" t="n">
        <v>0</v>
      </c>
    </row>
    <row r="52">
      <c r="A52" s="2" t="n">
        <v>50</v>
      </c>
      <c r="B52" s="2" t="inlineStr">
        <is>
          <t>truncate</t>
        </is>
      </c>
      <c r="C52" s="2" t="inlineStr">
        <is>
          <t>openssl TLS 1.2 only</t>
        </is>
      </c>
      <c r="D52" s="2" t="n">
        <v>5</v>
      </c>
      <c r="E52" s="2" t="n">
        <v>5</v>
      </c>
      <c r="F52" s="2" t="n">
        <v>0</v>
      </c>
      <c r="G52" s="2" t="n">
        <v>0</v>
      </c>
      <c r="H52" s="2" t="n">
        <v>0</v>
      </c>
      <c r="I52" s="2" t="n">
        <v>0</v>
      </c>
    </row>
    <row r="53">
      <c r="A53" s="2" t="n">
        <v>51</v>
      </c>
      <c r="B53" s="2" t="inlineStr">
        <is>
          <t>length</t>
        </is>
      </c>
      <c r="C53" s="2" t="inlineStr">
        <is>
          <t>openssl 3.5.8 default</t>
        </is>
      </c>
      <c r="D53" s="2" t="n">
        <v>1548</v>
      </c>
      <c r="E53" s="2" t="n">
        <v>1548</v>
      </c>
      <c r="F53" s="2" t="n">
        <v>1</v>
      </c>
      <c r="G53" s="2" t="n">
        <v>0</v>
      </c>
      <c r="H53" s="2" t="n">
        <v>0</v>
      </c>
      <c r="I53" s="2" t="n">
        <v>0</v>
      </c>
    </row>
    <row r="54">
      <c r="A54" s="2" t="n">
        <v>52</v>
      </c>
      <c r="B54" s="2" t="inlineStr">
        <is>
          <t>insert</t>
        </is>
      </c>
      <c r="C54" s="2" t="inlineStr">
        <is>
          <t>browser chrome150</t>
        </is>
      </c>
      <c r="D54" s="2" t="n">
        <v>1772</v>
      </c>
      <c r="E54" s="2" t="n">
        <v>1772</v>
      </c>
      <c r="F54" s="2" t="n">
        <v>1</v>
      </c>
      <c r="G54" s="2" t="n">
        <v>1</v>
      </c>
      <c r="H54" s="2" t="n">
        <v>1</v>
      </c>
      <c r="I54" s="2" t="n">
        <v>0</v>
      </c>
    </row>
    <row r="55">
      <c r="A55" s="2" t="n">
        <v>53</v>
      </c>
      <c r="B55" s="2" t="inlineStr">
        <is>
          <t>flip</t>
        </is>
      </c>
      <c r="C55" s="2" t="inlineStr">
        <is>
          <t>browser chrome150</t>
        </is>
      </c>
      <c r="D55" s="2" t="n">
        <v>1763</v>
      </c>
      <c r="E55" s="2" t="n">
        <v>1763</v>
      </c>
      <c r="F55" s="2" t="n">
        <v>1</v>
      </c>
      <c r="G55" s="2" t="n">
        <v>1</v>
      </c>
      <c r="H55" s="2" t="n">
        <v>1</v>
      </c>
      <c r="I55" s="2" t="n">
        <v>0</v>
      </c>
    </row>
    <row r="56">
      <c r="A56" s="2" t="n">
        <v>54</v>
      </c>
      <c r="B56" s="2" t="inlineStr">
        <is>
          <t>truncate</t>
        </is>
      </c>
      <c r="C56" s="2" t="inlineStr">
        <is>
          <t>openssl 3.5.8 default</t>
        </is>
      </c>
      <c r="D56" s="2" t="n">
        <v>348</v>
      </c>
      <c r="E56" s="2" t="n">
        <v>348</v>
      </c>
      <c r="F56" s="2" t="n">
        <v>1</v>
      </c>
      <c r="G56" s="2" t="n">
        <v>1</v>
      </c>
      <c r="H56" s="2" t="n">
        <v>1</v>
      </c>
      <c r="I56" s="2" t="n">
        <v>0</v>
      </c>
    </row>
    <row r="57">
      <c r="A57" s="2" t="n">
        <v>55</v>
      </c>
      <c r="B57" s="2" t="inlineStr">
        <is>
          <t>length</t>
        </is>
      </c>
      <c r="C57" s="2" t="inlineStr">
        <is>
          <t>openssl 3.5.8 default</t>
        </is>
      </c>
      <c r="D57" s="2" t="n">
        <v>1548</v>
      </c>
      <c r="E57" s="2" t="n">
        <v>1548</v>
      </c>
      <c r="F57" s="2" t="n">
        <v>1</v>
      </c>
      <c r="G57" s="2" t="n">
        <v>1</v>
      </c>
      <c r="H57" s="2" t="n">
        <v>1</v>
      </c>
      <c r="I57" s="2" t="n">
        <v>0</v>
      </c>
    </row>
    <row r="58">
      <c r="A58" s="2" t="n">
        <v>56</v>
      </c>
      <c r="B58" s="2" t="inlineStr">
        <is>
          <t>insert</t>
        </is>
      </c>
      <c r="C58" s="2" t="inlineStr">
        <is>
          <t>openssl TLS 1.2 only</t>
        </is>
      </c>
      <c r="D58" s="2" t="n">
        <v>224</v>
      </c>
      <c r="E58" s="2" t="n">
        <v>224</v>
      </c>
      <c r="F58" s="2" t="n">
        <v>1</v>
      </c>
      <c r="G58" s="2" t="n">
        <v>1</v>
      </c>
      <c r="H58" s="2" t="n">
        <v>1</v>
      </c>
      <c r="I58" s="2" t="n">
        <v>0</v>
      </c>
    </row>
    <row r="59">
      <c r="A59" s="2" t="n">
        <v>57</v>
      </c>
      <c r="B59" s="2" t="inlineStr">
        <is>
          <t>flip</t>
        </is>
      </c>
      <c r="C59" s="2" t="inlineStr">
        <is>
          <t>openssl X25519 only (classical)</t>
        </is>
      </c>
      <c r="D59" s="2" t="n">
        <v>314</v>
      </c>
      <c r="E59" s="2" t="n">
        <v>314</v>
      </c>
      <c r="F59" s="2" t="n">
        <v>1</v>
      </c>
      <c r="G59" s="2" t="n">
        <v>1</v>
      </c>
      <c r="H59" s="2" t="n">
        <v>1</v>
      </c>
      <c r="I59" s="2" t="n">
        <v>0</v>
      </c>
    </row>
    <row r="60">
      <c r="A60" s="2" t="n">
        <v>58</v>
      </c>
      <c r="B60" s="2" t="inlineStr">
        <is>
          <t>truncate</t>
        </is>
      </c>
      <c r="C60" s="2" t="inlineStr">
        <is>
          <t>openssl X25519 only (classical)</t>
        </is>
      </c>
      <c r="D60" s="2" t="n">
        <v>209</v>
      </c>
      <c r="E60" s="2" t="n">
        <v>209</v>
      </c>
      <c r="F60" s="2" t="n">
        <v>1</v>
      </c>
      <c r="G60" s="2" t="n">
        <v>1</v>
      </c>
      <c r="H60" s="2" t="n">
        <v>0</v>
      </c>
      <c r="I60" s="2" t="n">
        <v>0</v>
      </c>
    </row>
    <row r="61">
      <c r="A61" s="2" t="n">
        <v>59</v>
      </c>
      <c r="B61" s="2" t="inlineStr">
        <is>
          <t>length</t>
        </is>
      </c>
      <c r="C61" s="2" t="inlineStr">
        <is>
          <t>openssl X25519 only (classical)</t>
        </is>
      </c>
      <c r="D61" s="2" t="n">
        <v>314</v>
      </c>
      <c r="E61" s="2" t="n">
        <v>314</v>
      </c>
      <c r="F61" s="2" t="n">
        <v>0</v>
      </c>
      <c r="G61" s="2" t="n">
        <v>0</v>
      </c>
      <c r="H61" s="2" t="n">
        <v>0</v>
      </c>
      <c r="I61" s="2" t="n">
        <v>0</v>
      </c>
    </row>
    <row r="62">
      <c r="A62" s="2" t="n">
        <v>60</v>
      </c>
      <c r="B62" s="2" t="inlineStr">
        <is>
          <t>insert</t>
        </is>
      </c>
      <c r="C62" s="2" t="inlineStr">
        <is>
          <t>openssl X25519 only (classical)</t>
        </is>
      </c>
      <c r="D62" s="2" t="n">
        <v>327</v>
      </c>
      <c r="E62" s="2" t="n">
        <v>327</v>
      </c>
      <c r="F62" s="2" t="n">
        <v>1</v>
      </c>
      <c r="G62" s="2" t="n">
        <v>1</v>
      </c>
      <c r="H62" s="2" t="n">
        <v>1</v>
      </c>
      <c r="I62" s="2" t="n">
        <v>0</v>
      </c>
    </row>
    <row r="63">
      <c r="A63" s="2" t="n">
        <v>61</v>
      </c>
      <c r="B63" s="2" t="inlineStr">
        <is>
          <t>flip</t>
        </is>
      </c>
      <c r="C63" s="2" t="inlineStr">
        <is>
          <t>browser firefox147</t>
        </is>
      </c>
      <c r="D63" s="2" t="n">
        <v>1901</v>
      </c>
      <c r="E63" s="2" t="n">
        <v>1901</v>
      </c>
      <c r="F63" s="2" t="n">
        <v>1</v>
      </c>
      <c r="G63" s="2" t="n">
        <v>1</v>
      </c>
      <c r="H63" s="2" t="n">
        <v>0</v>
      </c>
      <c r="I63" s="2" t="n">
        <v>0</v>
      </c>
    </row>
    <row r="64">
      <c r="A64" s="2" t="n">
        <v>62</v>
      </c>
      <c r="B64" s="2" t="inlineStr">
        <is>
          <t>truncate</t>
        </is>
      </c>
      <c r="C64" s="2" t="inlineStr">
        <is>
          <t>browser firefox147</t>
        </is>
      </c>
      <c r="D64" s="2" t="n">
        <v>1095</v>
      </c>
      <c r="E64" s="2" t="n">
        <v>1095</v>
      </c>
      <c r="F64" s="2" t="n">
        <v>1</v>
      </c>
      <c r="G64" s="2" t="n">
        <v>1</v>
      </c>
      <c r="H64" s="2" t="n">
        <v>0</v>
      </c>
      <c r="I64" s="2" t="n">
        <v>0</v>
      </c>
    </row>
    <row r="65">
      <c r="A65" s="2" t="n">
        <v>63</v>
      </c>
      <c r="B65" s="2" t="inlineStr">
        <is>
          <t>length</t>
        </is>
      </c>
      <c r="C65" s="2" t="inlineStr">
        <is>
          <t>openssl X25519 only (classical)</t>
        </is>
      </c>
      <c r="D65" s="2" t="n">
        <v>314</v>
      </c>
      <c r="E65" s="2" t="n">
        <v>314</v>
      </c>
      <c r="F65" s="2" t="n">
        <v>1</v>
      </c>
      <c r="G65" s="2" t="n">
        <v>0</v>
      </c>
      <c r="H65" s="2" t="n">
        <v>0</v>
      </c>
      <c r="I65" s="2" t="n">
        <v>0</v>
      </c>
    </row>
    <row r="66">
      <c r="A66" s="2" t="n">
        <v>64</v>
      </c>
      <c r="B66" s="2" t="inlineStr">
        <is>
          <t>insert</t>
        </is>
      </c>
      <c r="C66" s="2" t="inlineStr">
        <is>
          <t>openssl X25519 only (classical)</t>
        </is>
      </c>
      <c r="D66" s="2" t="n">
        <v>315</v>
      </c>
      <c r="E66" s="2" t="n">
        <v>315</v>
      </c>
      <c r="F66" s="2" t="n">
        <v>1</v>
      </c>
      <c r="G66" s="2" t="n">
        <v>1</v>
      </c>
      <c r="H66" s="2" t="n">
        <v>1</v>
      </c>
      <c r="I66" s="2" t="n">
        <v>0</v>
      </c>
    </row>
    <row r="67">
      <c r="A67" s="2" t="n">
        <v>65</v>
      </c>
      <c r="B67" s="2" t="inlineStr">
        <is>
          <t>flip</t>
        </is>
      </c>
      <c r="C67" s="2" t="inlineStr">
        <is>
          <t>openssl X25519 only (classical)</t>
        </is>
      </c>
      <c r="D67" s="2" t="n">
        <v>314</v>
      </c>
      <c r="E67" s="2" t="n">
        <v>314</v>
      </c>
      <c r="F67" s="2" t="n">
        <v>1</v>
      </c>
      <c r="G67" s="2" t="n">
        <v>1</v>
      </c>
      <c r="H67" s="2" t="n">
        <v>1</v>
      </c>
      <c r="I67" s="2" t="n">
        <v>0</v>
      </c>
    </row>
    <row r="68">
      <c r="A68" s="2" t="n">
        <v>66</v>
      </c>
      <c r="B68" s="2" t="inlineStr">
        <is>
          <t>truncate</t>
        </is>
      </c>
      <c r="C68" s="2" t="inlineStr">
        <is>
          <t>openssl 3.5.8 default</t>
        </is>
      </c>
      <c r="D68" s="2" t="n">
        <v>1202</v>
      </c>
      <c r="E68" s="2" t="n">
        <v>1202</v>
      </c>
      <c r="F68" s="2" t="n">
        <v>1</v>
      </c>
      <c r="G68" s="2" t="n">
        <v>1</v>
      </c>
      <c r="H68" s="2" t="n">
        <v>1</v>
      </c>
      <c r="I68" s="2" t="n">
        <v>0</v>
      </c>
    </row>
    <row r="69">
      <c r="A69" s="2" t="n">
        <v>67</v>
      </c>
      <c r="B69" s="2" t="inlineStr">
        <is>
          <t>length</t>
        </is>
      </c>
      <c r="C69" s="2" t="inlineStr">
        <is>
          <t>browser chrome150</t>
        </is>
      </c>
      <c r="D69" s="2" t="n">
        <v>1763</v>
      </c>
      <c r="E69" s="2" t="n">
        <v>1763</v>
      </c>
      <c r="F69" s="2" t="n">
        <v>1</v>
      </c>
      <c r="G69" s="2" t="n">
        <v>1</v>
      </c>
      <c r="H69" s="2" t="n">
        <v>1</v>
      </c>
      <c r="I69" s="2" t="n">
        <v>0</v>
      </c>
    </row>
    <row r="70">
      <c r="A70" s="2" t="n">
        <v>68</v>
      </c>
      <c r="B70" s="2" t="inlineStr">
        <is>
          <t>insert</t>
        </is>
      </c>
      <c r="C70" s="2" t="inlineStr">
        <is>
          <t>openssl 3.5.8 default</t>
        </is>
      </c>
      <c r="D70" s="2" t="n">
        <v>1552</v>
      </c>
      <c r="E70" s="2" t="n">
        <v>1552</v>
      </c>
      <c r="F70" s="2" t="n">
        <v>1</v>
      </c>
      <c r="G70" s="2" t="n">
        <v>1</v>
      </c>
      <c r="H70" s="2" t="n">
        <v>1</v>
      </c>
      <c r="I70" s="2" t="n">
        <v>0</v>
      </c>
    </row>
    <row r="71">
      <c r="A71" s="2" t="n">
        <v>69</v>
      </c>
      <c r="B71" s="2" t="inlineStr">
        <is>
          <t>flip</t>
        </is>
      </c>
      <c r="C71" s="2" t="inlineStr">
        <is>
          <t>browser chrome150</t>
        </is>
      </c>
      <c r="D71" s="2" t="n">
        <v>1763</v>
      </c>
      <c r="E71" s="2" t="n">
        <v>1763</v>
      </c>
      <c r="F71" s="2" t="n">
        <v>1</v>
      </c>
      <c r="G71" s="2" t="n">
        <v>1</v>
      </c>
      <c r="H71" s="2" t="n">
        <v>1</v>
      </c>
      <c r="I71" s="2" t="n">
        <v>0</v>
      </c>
    </row>
    <row r="72">
      <c r="A72" s="2" t="n">
        <v>70</v>
      </c>
      <c r="B72" s="2" t="inlineStr">
        <is>
          <t>truncate</t>
        </is>
      </c>
      <c r="C72" s="2" t="inlineStr">
        <is>
          <t>openssl X25519 only (classical)</t>
        </is>
      </c>
      <c r="D72" s="2" t="n">
        <v>6</v>
      </c>
      <c r="E72" s="2" t="n">
        <v>6</v>
      </c>
      <c r="F72" s="2" t="n">
        <v>1</v>
      </c>
      <c r="G72" s="2" t="n">
        <v>0</v>
      </c>
      <c r="H72" s="2" t="n">
        <v>0</v>
      </c>
      <c r="I72" s="2" t="n">
        <v>0</v>
      </c>
    </row>
    <row r="73">
      <c r="A73" s="2" t="n">
        <v>71</v>
      </c>
      <c r="B73" s="2" t="inlineStr">
        <is>
          <t>length</t>
        </is>
      </c>
      <c r="C73" s="2" t="inlineStr">
        <is>
          <t>openssl TLS 1.2 only</t>
        </is>
      </c>
      <c r="D73" s="2" t="n">
        <v>215</v>
      </c>
      <c r="E73" s="2" t="n">
        <v>215</v>
      </c>
      <c r="F73" s="2" t="n">
        <v>1</v>
      </c>
      <c r="G73" s="2" t="n">
        <v>1</v>
      </c>
      <c r="H73" s="2" t="n">
        <v>0</v>
      </c>
      <c r="I73" s="2" t="n">
        <v>0</v>
      </c>
    </row>
    <row r="74">
      <c r="A74" s="2" t="n">
        <v>72</v>
      </c>
      <c r="B74" s="2" t="inlineStr">
        <is>
          <t>insert</t>
        </is>
      </c>
      <c r="C74" s="2" t="inlineStr">
        <is>
          <t>browser chrome150</t>
        </is>
      </c>
      <c r="D74" s="2" t="n">
        <v>1766</v>
      </c>
      <c r="E74" s="2" t="n">
        <v>1766</v>
      </c>
      <c r="F74" s="2" t="n">
        <v>1</v>
      </c>
      <c r="G74" s="2" t="n">
        <v>1</v>
      </c>
      <c r="H74" s="2" t="n">
        <v>1</v>
      </c>
      <c r="I74" s="2" t="n">
        <v>0</v>
      </c>
    </row>
    <row r="75">
      <c r="A75" s="2" t="n">
        <v>73</v>
      </c>
      <c r="B75" s="2" t="inlineStr">
        <is>
          <t>flip</t>
        </is>
      </c>
      <c r="C75" s="2" t="inlineStr">
        <is>
          <t>openssl TLS 1.2 only</t>
        </is>
      </c>
      <c r="D75" s="2" t="n">
        <v>215</v>
      </c>
      <c r="E75" s="2" t="n">
        <v>215</v>
      </c>
      <c r="F75" s="2" t="n">
        <v>1</v>
      </c>
      <c r="G75" s="2" t="n">
        <v>1</v>
      </c>
      <c r="H75" s="2" t="n">
        <v>1</v>
      </c>
      <c r="I75" s="2" t="n">
        <v>0</v>
      </c>
    </row>
    <row r="76">
      <c r="A76" s="2" t="n">
        <v>74</v>
      </c>
      <c r="B76" s="2" t="inlineStr">
        <is>
          <t>truncate</t>
        </is>
      </c>
      <c r="C76" s="2" t="inlineStr">
        <is>
          <t>openssl TLS 1.2 only</t>
        </is>
      </c>
      <c r="D76" s="2" t="n">
        <v>51</v>
      </c>
      <c r="E76" s="2" t="n">
        <v>51</v>
      </c>
      <c r="F76" s="2" t="n">
        <v>1</v>
      </c>
      <c r="G76" s="2" t="n">
        <v>0</v>
      </c>
      <c r="H76" s="2" t="n">
        <v>0</v>
      </c>
      <c r="I76" s="2" t="n">
        <v>0</v>
      </c>
    </row>
    <row r="77">
      <c r="A77" s="2" t="n">
        <v>75</v>
      </c>
      <c r="B77" s="2" t="inlineStr">
        <is>
          <t>length</t>
        </is>
      </c>
      <c r="C77" s="2" t="inlineStr">
        <is>
          <t>openssl 3.5.8 default</t>
        </is>
      </c>
      <c r="D77" s="2" t="n">
        <v>1548</v>
      </c>
      <c r="E77" s="2" t="n">
        <v>1548</v>
      </c>
      <c r="F77" s="2" t="n">
        <v>0</v>
      </c>
      <c r="G77" s="2" t="n">
        <v>0</v>
      </c>
      <c r="H77" s="2" t="n">
        <v>0</v>
      </c>
      <c r="I77" s="2" t="n">
        <v>0</v>
      </c>
    </row>
    <row r="78">
      <c r="A78" s="2" t="n">
        <v>76</v>
      </c>
      <c r="B78" s="2" t="inlineStr">
        <is>
          <t>insert</t>
        </is>
      </c>
      <c r="C78" s="2" t="inlineStr">
        <is>
          <t>browser chrome150</t>
        </is>
      </c>
      <c r="D78" s="2" t="n">
        <v>1774</v>
      </c>
      <c r="E78" s="2" t="n">
        <v>1774</v>
      </c>
      <c r="F78" s="2" t="n">
        <v>1</v>
      </c>
      <c r="G78" s="2" t="n">
        <v>1</v>
      </c>
      <c r="H78" s="2" t="n">
        <v>1</v>
      </c>
      <c r="I78" s="2" t="n">
        <v>0</v>
      </c>
    </row>
    <row r="79">
      <c r="A79" s="2" t="n">
        <v>77</v>
      </c>
      <c r="B79" s="2" t="inlineStr">
        <is>
          <t>flip</t>
        </is>
      </c>
      <c r="C79" s="2" t="inlineStr">
        <is>
          <t>openssl TLS 1.2 only</t>
        </is>
      </c>
      <c r="D79" s="2" t="n">
        <v>215</v>
      </c>
      <c r="E79" s="2" t="n">
        <v>215</v>
      </c>
      <c r="F79" s="2" t="n">
        <v>1</v>
      </c>
      <c r="G79" s="2" t="n">
        <v>1</v>
      </c>
      <c r="H79" s="2" t="n">
        <v>1</v>
      </c>
      <c r="I79" s="2" t="n">
        <v>0</v>
      </c>
    </row>
    <row r="80">
      <c r="A80" s="2" t="n">
        <v>78</v>
      </c>
      <c r="B80" s="2" t="inlineStr">
        <is>
          <t>truncate</t>
        </is>
      </c>
      <c r="C80" s="2" t="inlineStr">
        <is>
          <t>openssl TLS 1.2 only</t>
        </is>
      </c>
      <c r="D80" s="2" t="n">
        <v>203</v>
      </c>
      <c r="E80" s="2" t="n">
        <v>203</v>
      </c>
      <c r="F80" s="2" t="n">
        <v>1</v>
      </c>
      <c r="G80" s="2" t="n">
        <v>1</v>
      </c>
      <c r="H80" s="2" t="n">
        <v>1</v>
      </c>
      <c r="I80" s="2" t="n">
        <v>0</v>
      </c>
    </row>
    <row r="81">
      <c r="A81" s="2" t="n">
        <v>79</v>
      </c>
      <c r="B81" s="2" t="inlineStr">
        <is>
          <t>length</t>
        </is>
      </c>
      <c r="C81" s="2" t="inlineStr">
        <is>
          <t>browser firefox147</t>
        </is>
      </c>
      <c r="D81" s="2" t="n">
        <v>1901</v>
      </c>
      <c r="E81" s="2" t="n">
        <v>1901</v>
      </c>
      <c r="F81" s="2" t="n">
        <v>0</v>
      </c>
      <c r="G81" s="2" t="n">
        <v>0</v>
      </c>
      <c r="H81" s="2" t="n">
        <v>0</v>
      </c>
      <c r="I81" s="2" t="n">
        <v>0</v>
      </c>
    </row>
    <row r="82">
      <c r="A82" s="2" t="n">
        <v>80</v>
      </c>
      <c r="B82" s="2" t="inlineStr">
        <is>
          <t>insert</t>
        </is>
      </c>
      <c r="C82" s="2" t="inlineStr">
        <is>
          <t>browser firefox147</t>
        </is>
      </c>
      <c r="D82" s="2" t="n">
        <v>1904</v>
      </c>
      <c r="E82" s="2" t="n">
        <v>1904</v>
      </c>
      <c r="F82" s="2" t="n">
        <v>1</v>
      </c>
      <c r="G82" s="2" t="n">
        <v>1</v>
      </c>
      <c r="H82" s="2" t="n">
        <v>0</v>
      </c>
      <c r="I82" s="2" t="n">
        <v>0</v>
      </c>
    </row>
    <row r="83">
      <c r="A83" s="2" t="n">
        <v>81</v>
      </c>
      <c r="B83" s="2" t="inlineStr">
        <is>
          <t>flip</t>
        </is>
      </c>
      <c r="C83" s="2" t="inlineStr">
        <is>
          <t>openssl 3.5.8 default</t>
        </is>
      </c>
      <c r="D83" s="2" t="n">
        <v>1548</v>
      </c>
      <c r="E83" s="2" t="n">
        <v>1548</v>
      </c>
      <c r="F83" s="2" t="n">
        <v>1</v>
      </c>
      <c r="G83" s="2" t="n">
        <v>1</v>
      </c>
      <c r="H83" s="2" t="n">
        <v>1</v>
      </c>
      <c r="I83" s="2" t="n">
        <v>0</v>
      </c>
    </row>
    <row r="84">
      <c r="A84" s="2" t="n">
        <v>82</v>
      </c>
      <c r="B84" s="2" t="inlineStr">
        <is>
          <t>truncate</t>
        </is>
      </c>
      <c r="C84" s="2" t="inlineStr">
        <is>
          <t>openssl X25519 only (classical)</t>
        </is>
      </c>
      <c r="D84" s="2" t="n">
        <v>138</v>
      </c>
      <c r="E84" s="2" t="n">
        <v>138</v>
      </c>
      <c r="F84" s="2" t="n">
        <v>1</v>
      </c>
      <c r="G84" s="2" t="n">
        <v>1</v>
      </c>
      <c r="H84" s="2" t="n">
        <v>0</v>
      </c>
      <c r="I84" s="2" t="n">
        <v>0</v>
      </c>
    </row>
    <row r="85">
      <c r="A85" s="2" t="n">
        <v>83</v>
      </c>
      <c r="B85" s="2" t="inlineStr">
        <is>
          <t>length</t>
        </is>
      </c>
      <c r="C85" s="2" t="inlineStr">
        <is>
          <t>browser firefox147</t>
        </is>
      </c>
      <c r="D85" s="2" t="n">
        <v>1901</v>
      </c>
      <c r="E85" s="2" t="n">
        <v>1901</v>
      </c>
      <c r="F85" s="2" t="n">
        <v>1</v>
      </c>
      <c r="G85" s="2" t="n">
        <v>1</v>
      </c>
      <c r="H85" s="2" t="n">
        <v>1</v>
      </c>
      <c r="I85" s="2" t="n">
        <v>0</v>
      </c>
    </row>
    <row r="86">
      <c r="A86" s="2" t="n">
        <v>84</v>
      </c>
      <c r="B86" s="2" t="inlineStr">
        <is>
          <t>insert</t>
        </is>
      </c>
      <c r="C86" s="2" t="inlineStr">
        <is>
          <t>openssl X25519 only (classical)</t>
        </is>
      </c>
      <c r="D86" s="2" t="n">
        <v>326</v>
      </c>
      <c r="E86" s="2" t="n">
        <v>326</v>
      </c>
      <c r="F86" s="2" t="n">
        <v>1</v>
      </c>
      <c r="G86" s="2" t="n">
        <v>1</v>
      </c>
      <c r="H86" s="2" t="n">
        <v>1</v>
      </c>
      <c r="I86" s="2" t="n">
        <v>0</v>
      </c>
    </row>
    <row r="87">
      <c r="A87" s="2" t="n">
        <v>85</v>
      </c>
      <c r="B87" s="2" t="inlineStr">
        <is>
          <t>flip</t>
        </is>
      </c>
      <c r="C87" s="2" t="inlineStr">
        <is>
          <t>openssl 3.5.8 default</t>
        </is>
      </c>
      <c r="D87" s="2" t="n">
        <v>1548</v>
      </c>
      <c r="E87" s="2" t="n">
        <v>1548</v>
      </c>
      <c r="F87" s="2" t="n">
        <v>1</v>
      </c>
      <c r="G87" s="2" t="n">
        <v>1</v>
      </c>
      <c r="H87" s="2" t="n">
        <v>1</v>
      </c>
      <c r="I87" s="2" t="n">
        <v>0</v>
      </c>
    </row>
    <row r="88">
      <c r="A88" s="2" t="n">
        <v>86</v>
      </c>
      <c r="B88" s="2" t="inlineStr">
        <is>
          <t>truncate</t>
        </is>
      </c>
      <c r="C88" s="2" t="inlineStr">
        <is>
          <t>browser firefox147</t>
        </is>
      </c>
      <c r="D88" s="2" t="n">
        <v>1363</v>
      </c>
      <c r="E88" s="2" t="n">
        <v>1363</v>
      </c>
      <c r="F88" s="2" t="n">
        <v>1</v>
      </c>
      <c r="G88" s="2" t="n">
        <v>1</v>
      </c>
      <c r="H88" s="2" t="n">
        <v>0</v>
      </c>
      <c r="I88" s="2" t="n">
        <v>0</v>
      </c>
    </row>
    <row r="89">
      <c r="A89" s="2" t="n">
        <v>87</v>
      </c>
      <c r="B89" s="2" t="inlineStr">
        <is>
          <t>length</t>
        </is>
      </c>
      <c r="C89" s="2" t="inlineStr">
        <is>
          <t>openssl 3.5.8 default</t>
        </is>
      </c>
      <c r="D89" s="2" t="n">
        <v>1548</v>
      </c>
      <c r="E89" s="2" t="n">
        <v>1548</v>
      </c>
      <c r="F89" s="2" t="n">
        <v>1</v>
      </c>
      <c r="G89" s="2" t="n">
        <v>1</v>
      </c>
      <c r="H89" s="2" t="n">
        <v>1</v>
      </c>
      <c r="I89" s="2" t="n">
        <v>0</v>
      </c>
    </row>
    <row r="90">
      <c r="A90" s="2" t="n">
        <v>88</v>
      </c>
      <c r="B90" s="2" t="inlineStr">
        <is>
          <t>insert</t>
        </is>
      </c>
      <c r="C90" s="2" t="inlineStr">
        <is>
          <t>openssl TLS 1.2 only</t>
        </is>
      </c>
      <c r="D90" s="2" t="n">
        <v>219</v>
      </c>
      <c r="E90" s="2" t="n">
        <v>219</v>
      </c>
      <c r="F90" s="2" t="n">
        <v>1</v>
      </c>
      <c r="G90" s="2" t="n">
        <v>1</v>
      </c>
      <c r="H90" s="2" t="n">
        <v>0</v>
      </c>
      <c r="I90" s="2" t="n">
        <v>0</v>
      </c>
    </row>
    <row r="91">
      <c r="A91" s="2" t="n">
        <v>89</v>
      </c>
      <c r="B91" s="2" t="inlineStr">
        <is>
          <t>flip</t>
        </is>
      </c>
      <c r="C91" s="2" t="inlineStr">
        <is>
          <t>browser firefox147</t>
        </is>
      </c>
      <c r="D91" s="2" t="n">
        <v>1901</v>
      </c>
      <c r="E91" s="2" t="n">
        <v>1901</v>
      </c>
      <c r="F91" s="2" t="n">
        <v>1</v>
      </c>
      <c r="G91" s="2" t="n">
        <v>1</v>
      </c>
      <c r="H91" s="2" t="n">
        <v>0</v>
      </c>
      <c r="I91" s="2" t="n">
        <v>0</v>
      </c>
    </row>
    <row r="92">
      <c r="A92" s="2" t="n">
        <v>90</v>
      </c>
      <c r="B92" s="2" t="inlineStr">
        <is>
          <t>truncate</t>
        </is>
      </c>
      <c r="C92" s="2" t="inlineStr">
        <is>
          <t>browser firefox147</t>
        </is>
      </c>
      <c r="D92" s="2" t="n">
        <v>1647</v>
      </c>
      <c r="E92" s="2" t="n">
        <v>1647</v>
      </c>
      <c r="F92" s="2" t="n">
        <v>1</v>
      </c>
      <c r="G92" s="2" t="n">
        <v>1</v>
      </c>
      <c r="H92" s="2" t="n">
        <v>0</v>
      </c>
      <c r="I92" s="2" t="n">
        <v>0</v>
      </c>
    </row>
    <row r="93">
      <c r="A93" s="2" t="n">
        <v>91</v>
      </c>
      <c r="B93" s="2" t="inlineStr">
        <is>
          <t>length</t>
        </is>
      </c>
      <c r="C93" s="2" t="inlineStr">
        <is>
          <t>browser firefox147</t>
        </is>
      </c>
      <c r="D93" s="2" t="n">
        <v>1901</v>
      </c>
      <c r="E93" s="2" t="n">
        <v>1901</v>
      </c>
      <c r="F93" s="2" t="n">
        <v>1</v>
      </c>
      <c r="G93" s="2" t="n">
        <v>1</v>
      </c>
      <c r="H93" s="2" t="n">
        <v>0</v>
      </c>
      <c r="I93" s="2" t="n">
        <v>0</v>
      </c>
    </row>
    <row r="94">
      <c r="A94" s="2" t="n">
        <v>92</v>
      </c>
      <c r="B94" s="2" t="inlineStr">
        <is>
          <t>insert</t>
        </is>
      </c>
      <c r="C94" s="2" t="inlineStr">
        <is>
          <t>browser firefox147</t>
        </is>
      </c>
      <c r="D94" s="2" t="n">
        <v>1903</v>
      </c>
      <c r="E94" s="2" t="n">
        <v>1903</v>
      </c>
      <c r="F94" s="2" t="n">
        <v>1</v>
      </c>
      <c r="G94" s="2" t="n">
        <v>1</v>
      </c>
      <c r="H94" s="2" t="n">
        <v>0</v>
      </c>
      <c r="I94" s="2" t="n">
        <v>0</v>
      </c>
    </row>
    <row r="95">
      <c r="A95" s="2" t="n">
        <v>93</v>
      </c>
      <c r="B95" s="2" t="inlineStr">
        <is>
          <t>flip</t>
        </is>
      </c>
      <c r="C95" s="2" t="inlineStr">
        <is>
          <t>openssl 3.5.8 default</t>
        </is>
      </c>
      <c r="D95" s="2" t="n">
        <v>1548</v>
      </c>
      <c r="E95" s="2" t="n">
        <v>1548</v>
      </c>
      <c r="F95" s="2" t="n">
        <v>1</v>
      </c>
      <c r="G95" s="2" t="n">
        <v>1</v>
      </c>
      <c r="H95" s="2" t="n">
        <v>1</v>
      </c>
      <c r="I95" s="2" t="n">
        <v>0</v>
      </c>
    </row>
    <row r="96">
      <c r="A96" s="2" t="n">
        <v>94</v>
      </c>
      <c r="B96" s="2" t="inlineStr">
        <is>
          <t>truncate</t>
        </is>
      </c>
      <c r="C96" s="2" t="inlineStr">
        <is>
          <t>browser firefox147</t>
        </is>
      </c>
      <c r="D96" s="2" t="n">
        <v>929</v>
      </c>
      <c r="E96" s="2" t="n">
        <v>929</v>
      </c>
      <c r="F96" s="2" t="n">
        <v>1</v>
      </c>
      <c r="G96" s="2" t="n">
        <v>1</v>
      </c>
      <c r="H96" s="2" t="n">
        <v>0</v>
      </c>
      <c r="I96" s="2" t="n">
        <v>0</v>
      </c>
    </row>
    <row r="97">
      <c r="A97" s="2" t="n">
        <v>95</v>
      </c>
      <c r="B97" s="2" t="inlineStr">
        <is>
          <t>length</t>
        </is>
      </c>
      <c r="C97" s="2" t="inlineStr">
        <is>
          <t>openssl X25519 only (classical)</t>
        </is>
      </c>
      <c r="D97" s="2" t="n">
        <v>314</v>
      </c>
      <c r="E97" s="2" t="n">
        <v>314</v>
      </c>
      <c r="F97" s="2" t="n">
        <v>1</v>
      </c>
      <c r="G97" s="2" t="n">
        <v>0</v>
      </c>
      <c r="H97" s="2" t="n">
        <v>0</v>
      </c>
      <c r="I97" s="2" t="n">
        <v>0</v>
      </c>
    </row>
    <row r="98">
      <c r="A98" s="2" t="n">
        <v>96</v>
      </c>
      <c r="B98" s="2" t="inlineStr">
        <is>
          <t>insert</t>
        </is>
      </c>
      <c r="C98" s="2" t="inlineStr">
        <is>
          <t>browser chrome150</t>
        </is>
      </c>
      <c r="D98" s="2" t="n">
        <v>1777</v>
      </c>
      <c r="E98" s="2" t="n">
        <v>1777</v>
      </c>
      <c r="F98" s="2" t="n">
        <v>1</v>
      </c>
      <c r="G98" s="2" t="n">
        <v>0</v>
      </c>
      <c r="H98" s="2" t="n">
        <v>0</v>
      </c>
      <c r="I98" s="2" t="n">
        <v>0</v>
      </c>
    </row>
    <row r="99">
      <c r="A99" s="2" t="n">
        <v>97</v>
      </c>
      <c r="B99" s="2" t="inlineStr">
        <is>
          <t>flip</t>
        </is>
      </c>
      <c r="C99" s="2" t="inlineStr">
        <is>
          <t>openssl TLS 1.2 only</t>
        </is>
      </c>
      <c r="D99" s="2" t="n">
        <v>215</v>
      </c>
      <c r="E99" s="2" t="n">
        <v>215</v>
      </c>
      <c r="F99" s="2" t="n">
        <v>1</v>
      </c>
      <c r="G99" s="2" t="n">
        <v>1</v>
      </c>
      <c r="H99" s="2" t="n">
        <v>1</v>
      </c>
      <c r="I99" s="2" t="n">
        <v>0</v>
      </c>
    </row>
    <row r="100">
      <c r="A100" s="2" t="n">
        <v>98</v>
      </c>
      <c r="B100" s="2" t="inlineStr">
        <is>
          <t>truncate</t>
        </is>
      </c>
      <c r="C100" s="2" t="inlineStr">
        <is>
          <t>browser chrome150</t>
        </is>
      </c>
      <c r="D100" s="2" t="n">
        <v>1156</v>
      </c>
      <c r="E100" s="2" t="n">
        <v>1156</v>
      </c>
      <c r="F100" s="2" t="n">
        <v>1</v>
      </c>
      <c r="G100" s="2" t="n">
        <v>1</v>
      </c>
      <c r="H100" s="2" t="n">
        <v>1</v>
      </c>
      <c r="I100" s="2" t="n">
        <v>0</v>
      </c>
    </row>
    <row r="101">
      <c r="A101" s="2" t="n">
        <v>99</v>
      </c>
      <c r="B101" s="2" t="inlineStr">
        <is>
          <t>length</t>
        </is>
      </c>
      <c r="C101" s="2" t="inlineStr">
        <is>
          <t>browser chrome150</t>
        </is>
      </c>
      <c r="D101" s="2" t="n">
        <v>1763</v>
      </c>
      <c r="E101" s="2" t="n">
        <v>1763</v>
      </c>
      <c r="F101" s="2" t="n">
        <v>1</v>
      </c>
      <c r="G101" s="2" t="n">
        <v>1</v>
      </c>
      <c r="H101" s="2" t="n">
        <v>1</v>
      </c>
      <c r="I101" s="2" t="n">
        <v>0</v>
      </c>
    </row>
    <row r="102">
      <c r="A102" s="2" t="n">
        <v>100</v>
      </c>
      <c r="B102" s="2" t="inlineStr">
        <is>
          <t>insert</t>
        </is>
      </c>
      <c r="C102" s="2" t="inlineStr">
        <is>
          <t>browser chrome150</t>
        </is>
      </c>
      <c r="D102" s="2" t="n">
        <v>1769</v>
      </c>
      <c r="E102" s="2" t="n">
        <v>1769</v>
      </c>
      <c r="F102" s="2" t="n">
        <v>1</v>
      </c>
      <c r="G102" s="2" t="n">
        <v>0</v>
      </c>
      <c r="H102" s="2" t="n">
        <v>0</v>
      </c>
      <c r="I102" s="2" t="n">
        <v>0</v>
      </c>
    </row>
    <row r="103">
      <c r="A103" s="2" t="n">
        <v>101</v>
      </c>
      <c r="B103" s="2" t="inlineStr">
        <is>
          <t>flip</t>
        </is>
      </c>
      <c r="C103" s="2" t="inlineStr">
        <is>
          <t>browser firefox147</t>
        </is>
      </c>
      <c r="D103" s="2" t="n">
        <v>1901</v>
      </c>
      <c r="E103" s="2" t="n">
        <v>1901</v>
      </c>
      <c r="F103" s="2" t="n">
        <v>1</v>
      </c>
      <c r="G103" s="2" t="n">
        <v>1</v>
      </c>
      <c r="H103" s="2" t="n">
        <v>0</v>
      </c>
      <c r="I103" s="2" t="n">
        <v>0</v>
      </c>
    </row>
    <row r="104">
      <c r="A104" s="2" t="n">
        <v>102</v>
      </c>
      <c r="B104" s="2" t="inlineStr">
        <is>
          <t>truncate</t>
        </is>
      </c>
      <c r="C104" s="2" t="inlineStr">
        <is>
          <t>openssl TLS 1.2 only</t>
        </is>
      </c>
      <c r="D104" s="2" t="n">
        <v>166</v>
      </c>
      <c r="E104" s="2" t="n">
        <v>166</v>
      </c>
      <c r="F104" s="2" t="n">
        <v>1</v>
      </c>
      <c r="G104" s="2" t="n">
        <v>1</v>
      </c>
      <c r="H104" s="2" t="n">
        <v>0</v>
      </c>
      <c r="I104" s="2" t="n">
        <v>0</v>
      </c>
    </row>
    <row r="105">
      <c r="A105" s="2" t="n">
        <v>103</v>
      </c>
      <c r="B105" s="2" t="inlineStr">
        <is>
          <t>length</t>
        </is>
      </c>
      <c r="C105" s="2" t="inlineStr">
        <is>
          <t>openssl 3.5.8 default</t>
        </is>
      </c>
      <c r="D105" s="2" t="n">
        <v>1548</v>
      </c>
      <c r="E105" s="2" t="n">
        <v>1548</v>
      </c>
      <c r="F105" s="2" t="n">
        <v>1</v>
      </c>
      <c r="G105" s="2" t="n">
        <v>1</v>
      </c>
      <c r="H105" s="2" t="n">
        <v>1</v>
      </c>
      <c r="I105" s="2" t="n">
        <v>0</v>
      </c>
    </row>
    <row r="106">
      <c r="A106" s="2" t="n">
        <v>104</v>
      </c>
      <c r="B106" s="2" t="inlineStr">
        <is>
          <t>insert</t>
        </is>
      </c>
      <c r="C106" s="2" t="inlineStr">
        <is>
          <t>browser firefox147</t>
        </is>
      </c>
      <c r="D106" s="2" t="n">
        <v>1908</v>
      </c>
      <c r="E106" s="2" t="n">
        <v>1908</v>
      </c>
      <c r="F106" s="2" t="n">
        <v>1</v>
      </c>
      <c r="G106" s="2" t="n">
        <v>1</v>
      </c>
      <c r="H106" s="2" t="n">
        <v>0</v>
      </c>
      <c r="I106" s="2" t="n">
        <v>0</v>
      </c>
    </row>
    <row r="107">
      <c r="A107" s="2" t="n">
        <v>105</v>
      </c>
      <c r="B107" s="2" t="inlineStr">
        <is>
          <t>flip</t>
        </is>
      </c>
      <c r="C107" s="2" t="inlineStr">
        <is>
          <t>openssl TLS 1.2 only</t>
        </is>
      </c>
      <c r="D107" s="2" t="n">
        <v>215</v>
      </c>
      <c r="E107" s="2" t="n">
        <v>215</v>
      </c>
      <c r="F107" s="2" t="n">
        <v>1</v>
      </c>
      <c r="G107" s="2" t="n">
        <v>1</v>
      </c>
      <c r="H107" s="2" t="n">
        <v>1</v>
      </c>
      <c r="I107" s="2" t="n">
        <v>0</v>
      </c>
    </row>
    <row r="108">
      <c r="A108" s="2" t="n">
        <v>106</v>
      </c>
      <c r="B108" s="2" t="inlineStr">
        <is>
          <t>truncate</t>
        </is>
      </c>
      <c r="C108" s="2" t="inlineStr">
        <is>
          <t>browser firefox147</t>
        </is>
      </c>
      <c r="D108" s="2" t="n">
        <v>1170</v>
      </c>
      <c r="E108" s="2" t="n">
        <v>1170</v>
      </c>
      <c r="F108" s="2" t="n">
        <v>1</v>
      </c>
      <c r="G108" s="2" t="n">
        <v>1</v>
      </c>
      <c r="H108" s="2" t="n">
        <v>0</v>
      </c>
      <c r="I108" s="2" t="n">
        <v>0</v>
      </c>
    </row>
    <row r="109">
      <c r="A109" s="2" t="n">
        <v>107</v>
      </c>
      <c r="B109" s="2" t="inlineStr">
        <is>
          <t>length</t>
        </is>
      </c>
      <c r="C109" s="2" t="inlineStr">
        <is>
          <t>browser chrome150</t>
        </is>
      </c>
      <c r="D109" s="2" t="n">
        <v>1763</v>
      </c>
      <c r="E109" s="2" t="n">
        <v>1763</v>
      </c>
      <c r="F109" s="2" t="n">
        <v>1</v>
      </c>
      <c r="G109" s="2" t="n">
        <v>1</v>
      </c>
      <c r="H109" s="2" t="n">
        <v>1</v>
      </c>
      <c r="I109" s="2" t="n">
        <v>0</v>
      </c>
    </row>
    <row r="110">
      <c r="A110" s="2" t="n">
        <v>108</v>
      </c>
      <c r="B110" s="2" t="inlineStr">
        <is>
          <t>insert</t>
        </is>
      </c>
      <c r="C110" s="2" t="inlineStr">
        <is>
          <t>openssl 3.5.8 default</t>
        </is>
      </c>
      <c r="D110" s="2" t="n">
        <v>1550</v>
      </c>
      <c r="E110" s="2" t="n">
        <v>1550</v>
      </c>
      <c r="F110" s="2" t="n">
        <v>1</v>
      </c>
      <c r="G110" s="2" t="n">
        <v>1</v>
      </c>
      <c r="H110" s="2" t="n">
        <v>1</v>
      </c>
      <c r="I110" s="2" t="n">
        <v>0</v>
      </c>
    </row>
    <row r="111">
      <c r="A111" s="2" t="n">
        <v>109</v>
      </c>
      <c r="B111" s="2" t="inlineStr">
        <is>
          <t>flip</t>
        </is>
      </c>
      <c r="C111" s="2" t="inlineStr">
        <is>
          <t>browser chrome150</t>
        </is>
      </c>
      <c r="D111" s="2" t="n">
        <v>1763</v>
      </c>
      <c r="E111" s="2" t="n">
        <v>1763</v>
      </c>
      <c r="F111" s="2" t="n">
        <v>1</v>
      </c>
      <c r="G111" s="2" t="n">
        <v>1</v>
      </c>
      <c r="H111" s="2" t="n">
        <v>1</v>
      </c>
      <c r="I111" s="2" t="n">
        <v>0</v>
      </c>
    </row>
    <row r="112">
      <c r="A112" s="2" t="n">
        <v>110</v>
      </c>
      <c r="B112" s="2" t="inlineStr">
        <is>
          <t>truncate</t>
        </is>
      </c>
      <c r="C112" s="2" t="inlineStr">
        <is>
          <t>openssl X25519 only (classical)</t>
        </is>
      </c>
      <c r="D112" s="2" t="n">
        <v>137</v>
      </c>
      <c r="E112" s="2" t="n">
        <v>137</v>
      </c>
      <c r="F112" s="2" t="n">
        <v>1</v>
      </c>
      <c r="G112" s="2" t="n">
        <v>0</v>
      </c>
      <c r="H112" s="2" t="n">
        <v>0</v>
      </c>
      <c r="I112" s="2" t="n">
        <v>0</v>
      </c>
    </row>
    <row r="113">
      <c r="A113" s="2" t="n">
        <v>111</v>
      </c>
      <c r="B113" s="2" t="inlineStr">
        <is>
          <t>length</t>
        </is>
      </c>
      <c r="C113" s="2" t="inlineStr">
        <is>
          <t>openssl X25519 only (classical)</t>
        </is>
      </c>
      <c r="D113" s="2" t="n">
        <v>314</v>
      </c>
      <c r="E113" s="2" t="n">
        <v>314</v>
      </c>
      <c r="F113" s="2" t="n">
        <v>1</v>
      </c>
      <c r="G113" s="2" t="n">
        <v>1</v>
      </c>
      <c r="H113" s="2" t="n">
        <v>1</v>
      </c>
      <c r="I113" s="2" t="n">
        <v>0</v>
      </c>
    </row>
    <row r="114">
      <c r="A114" s="2" t="n">
        <v>112</v>
      </c>
      <c r="B114" s="2" t="inlineStr">
        <is>
          <t>insert</t>
        </is>
      </c>
      <c r="C114" s="2" t="inlineStr">
        <is>
          <t>openssl 3.5.8 default</t>
        </is>
      </c>
      <c r="D114" s="2" t="n">
        <v>1562</v>
      </c>
      <c r="E114" s="2" t="n">
        <v>1562</v>
      </c>
      <c r="F114" s="2" t="n">
        <v>1</v>
      </c>
      <c r="G114" s="2" t="n">
        <v>1</v>
      </c>
      <c r="H114" s="2" t="n">
        <v>1</v>
      </c>
      <c r="I114" s="2" t="n">
        <v>0</v>
      </c>
    </row>
    <row r="115">
      <c r="A115" s="2" t="n">
        <v>113</v>
      </c>
      <c r="B115" s="2" t="inlineStr">
        <is>
          <t>flip</t>
        </is>
      </c>
      <c r="C115" s="2" t="inlineStr">
        <is>
          <t>browser chrome150</t>
        </is>
      </c>
      <c r="D115" s="2" t="n">
        <v>1763</v>
      </c>
      <c r="E115" s="2" t="n">
        <v>1763</v>
      </c>
      <c r="F115" s="2" t="n">
        <v>1</v>
      </c>
      <c r="G115" s="2" t="n">
        <v>1</v>
      </c>
      <c r="H115" s="2" t="n">
        <v>1</v>
      </c>
      <c r="I115" s="2" t="n">
        <v>0</v>
      </c>
    </row>
    <row r="116">
      <c r="A116" s="2" t="n">
        <v>114</v>
      </c>
      <c r="B116" s="2" t="inlineStr">
        <is>
          <t>truncate</t>
        </is>
      </c>
      <c r="C116" s="2" t="inlineStr">
        <is>
          <t>browser chrome150</t>
        </is>
      </c>
      <c r="D116" s="2" t="n">
        <v>1231</v>
      </c>
      <c r="E116" s="2" t="n">
        <v>1231</v>
      </c>
      <c r="F116" s="2" t="n">
        <v>1</v>
      </c>
      <c r="G116" s="2" t="n">
        <v>1</v>
      </c>
      <c r="H116" s="2" t="n">
        <v>1</v>
      </c>
      <c r="I116" s="2" t="n">
        <v>0</v>
      </c>
    </row>
    <row r="117">
      <c r="A117" s="2" t="n">
        <v>115</v>
      </c>
      <c r="B117" s="2" t="inlineStr">
        <is>
          <t>length</t>
        </is>
      </c>
      <c r="C117" s="2" t="inlineStr">
        <is>
          <t>browser firefox147</t>
        </is>
      </c>
      <c r="D117" s="2" t="n">
        <v>1901</v>
      </c>
      <c r="E117" s="2" t="n">
        <v>1901</v>
      </c>
      <c r="F117" s="2" t="n">
        <v>1</v>
      </c>
      <c r="G117" s="2" t="n">
        <v>1</v>
      </c>
      <c r="H117" s="2" t="n">
        <v>0</v>
      </c>
      <c r="I117" s="2" t="n">
        <v>0</v>
      </c>
    </row>
    <row r="118">
      <c r="A118" s="2" t="n">
        <v>116</v>
      </c>
      <c r="B118" s="2" t="inlineStr">
        <is>
          <t>insert</t>
        </is>
      </c>
      <c r="C118" s="2" t="inlineStr">
        <is>
          <t>openssl 3.5.8 default</t>
        </is>
      </c>
      <c r="D118" s="2" t="n">
        <v>1549</v>
      </c>
      <c r="E118" s="2" t="n">
        <v>1549</v>
      </c>
      <c r="F118" s="2" t="n">
        <v>1</v>
      </c>
      <c r="G118" s="2" t="n">
        <v>1</v>
      </c>
      <c r="H118" s="2" t="n">
        <v>1</v>
      </c>
      <c r="I118" s="2" t="n">
        <v>0</v>
      </c>
    </row>
    <row r="119">
      <c r="A119" s="2" t="n">
        <v>117</v>
      </c>
      <c r="B119" s="2" t="inlineStr">
        <is>
          <t>flip</t>
        </is>
      </c>
      <c r="C119" s="2" t="inlineStr">
        <is>
          <t>openssl 3.5.8 default</t>
        </is>
      </c>
      <c r="D119" s="2" t="n">
        <v>1548</v>
      </c>
      <c r="E119" s="2" t="n">
        <v>1548</v>
      </c>
      <c r="F119" s="2" t="n">
        <v>1</v>
      </c>
      <c r="G119" s="2" t="n">
        <v>1</v>
      </c>
      <c r="H119" s="2" t="n">
        <v>1</v>
      </c>
      <c r="I119" s="2" t="n">
        <v>0</v>
      </c>
    </row>
    <row r="120">
      <c r="A120" s="2" t="n">
        <v>118</v>
      </c>
      <c r="B120" s="2" t="inlineStr">
        <is>
          <t>truncate</t>
        </is>
      </c>
      <c r="C120" s="2" t="inlineStr">
        <is>
          <t>openssl TLS 1.2 only</t>
        </is>
      </c>
      <c r="D120" s="2" t="n">
        <v>214</v>
      </c>
      <c r="E120" s="2" t="n">
        <v>214</v>
      </c>
      <c r="F120" s="2" t="n">
        <v>1</v>
      </c>
      <c r="G120" s="2" t="n">
        <v>1</v>
      </c>
      <c r="H120" s="2" t="n">
        <v>1</v>
      </c>
      <c r="I120" s="2" t="n">
        <v>0</v>
      </c>
    </row>
    <row r="121">
      <c r="A121" s="2" t="n">
        <v>119</v>
      </c>
      <c r="B121" s="2" t="inlineStr">
        <is>
          <t>length</t>
        </is>
      </c>
      <c r="C121" s="2" t="inlineStr">
        <is>
          <t>browser chrome150</t>
        </is>
      </c>
      <c r="D121" s="2" t="n">
        <v>1763</v>
      </c>
      <c r="E121" s="2" t="n">
        <v>1763</v>
      </c>
      <c r="F121" s="2" t="n">
        <v>1</v>
      </c>
      <c r="G121" s="2" t="n">
        <v>1</v>
      </c>
      <c r="H121" s="2" t="n">
        <v>1</v>
      </c>
      <c r="I121" s="2" t="n">
        <v>0</v>
      </c>
    </row>
    <row r="122">
      <c r="A122" s="2" t="n">
        <v>120</v>
      </c>
      <c r="B122" s="2" t="inlineStr">
        <is>
          <t>insert</t>
        </is>
      </c>
      <c r="C122" s="2" t="inlineStr">
        <is>
          <t>browser chrome150</t>
        </is>
      </c>
      <c r="D122" s="2" t="n">
        <v>1767</v>
      </c>
      <c r="E122" s="2" t="n">
        <v>1767</v>
      </c>
      <c r="F122" s="2" t="n">
        <v>1</v>
      </c>
      <c r="G122" s="2" t="n">
        <v>1</v>
      </c>
      <c r="H122" s="2" t="n">
        <v>1</v>
      </c>
      <c r="I122" s="2" t="n">
        <v>0</v>
      </c>
    </row>
    <row r="123">
      <c r="A123" s="2" t="n">
        <v>121</v>
      </c>
      <c r="B123" s="2" t="inlineStr">
        <is>
          <t>flip</t>
        </is>
      </c>
      <c r="C123" s="2" t="inlineStr">
        <is>
          <t>openssl 3.5.8 default</t>
        </is>
      </c>
      <c r="D123" s="2" t="n">
        <v>1548</v>
      </c>
      <c r="E123" s="2" t="n">
        <v>1548</v>
      </c>
      <c r="F123" s="2" t="n">
        <v>1</v>
      </c>
      <c r="G123" s="2" t="n">
        <v>1</v>
      </c>
      <c r="H123" s="2" t="n">
        <v>1</v>
      </c>
      <c r="I123" s="2" t="n">
        <v>0</v>
      </c>
    </row>
    <row r="124">
      <c r="A124" s="2" t="n">
        <v>122</v>
      </c>
      <c r="B124" s="2" t="inlineStr">
        <is>
          <t>truncate</t>
        </is>
      </c>
      <c r="C124" s="2" t="inlineStr">
        <is>
          <t>openssl 3.5.8 default</t>
        </is>
      </c>
      <c r="D124" s="2" t="n">
        <v>154</v>
      </c>
      <c r="E124" s="2" t="n">
        <v>154</v>
      </c>
      <c r="F124" s="2" t="n">
        <v>1</v>
      </c>
      <c r="G124" s="2" t="n">
        <v>1</v>
      </c>
      <c r="H124" s="2" t="n">
        <v>0</v>
      </c>
      <c r="I124" s="2" t="n">
        <v>0</v>
      </c>
    </row>
    <row r="125">
      <c r="A125" s="2" t="n">
        <v>123</v>
      </c>
      <c r="B125" s="2" t="inlineStr">
        <is>
          <t>length</t>
        </is>
      </c>
      <c r="C125" s="2" t="inlineStr">
        <is>
          <t>browser firefox147</t>
        </is>
      </c>
      <c r="D125" s="2" t="n">
        <v>1901</v>
      </c>
      <c r="E125" s="2" t="n">
        <v>1901</v>
      </c>
      <c r="F125" s="2" t="n">
        <v>1</v>
      </c>
      <c r="G125" s="2" t="n">
        <v>1</v>
      </c>
      <c r="H125" s="2" t="n">
        <v>0</v>
      </c>
      <c r="I125" s="2" t="n">
        <v>0</v>
      </c>
    </row>
    <row r="126">
      <c r="A126" s="2" t="n">
        <v>124</v>
      </c>
      <c r="B126" s="2" t="inlineStr">
        <is>
          <t>insert</t>
        </is>
      </c>
      <c r="C126" s="2" t="inlineStr">
        <is>
          <t>browser firefox147</t>
        </is>
      </c>
      <c r="D126" s="2" t="n">
        <v>1913</v>
      </c>
      <c r="E126" s="2" t="n">
        <v>1913</v>
      </c>
      <c r="F126" s="2" t="n">
        <v>1</v>
      </c>
      <c r="G126" s="2" t="n">
        <v>1</v>
      </c>
      <c r="H126" s="2" t="n">
        <v>0</v>
      </c>
      <c r="I126" s="2" t="n">
        <v>0</v>
      </c>
    </row>
    <row r="127">
      <c r="A127" s="2" t="n">
        <v>125</v>
      </c>
      <c r="B127" s="2" t="inlineStr">
        <is>
          <t>flip</t>
        </is>
      </c>
      <c r="C127" s="2" t="inlineStr">
        <is>
          <t>openssl X25519 only (classical)</t>
        </is>
      </c>
      <c r="D127" s="2" t="n">
        <v>314</v>
      </c>
      <c r="E127" s="2" t="n">
        <v>314</v>
      </c>
      <c r="F127" s="2" t="n">
        <v>1</v>
      </c>
      <c r="G127" s="2" t="n">
        <v>1</v>
      </c>
      <c r="H127" s="2" t="n">
        <v>1</v>
      </c>
      <c r="I127" s="2" t="n">
        <v>0</v>
      </c>
    </row>
    <row r="128">
      <c r="A128" s="2" t="n">
        <v>126</v>
      </c>
      <c r="B128" s="2" t="inlineStr">
        <is>
          <t>truncate</t>
        </is>
      </c>
      <c r="C128" s="2" t="inlineStr">
        <is>
          <t>openssl TLS 1.2 only</t>
        </is>
      </c>
      <c r="D128" s="2" t="n">
        <v>139</v>
      </c>
      <c r="E128" s="2" t="n">
        <v>139</v>
      </c>
      <c r="F128" s="2" t="n">
        <v>1</v>
      </c>
      <c r="G128" s="2" t="n">
        <v>1</v>
      </c>
      <c r="H128" s="2" t="n">
        <v>0</v>
      </c>
      <c r="I128" s="2" t="n">
        <v>0</v>
      </c>
    </row>
    <row r="129">
      <c r="A129" s="2" t="n">
        <v>127</v>
      </c>
      <c r="B129" s="2" t="inlineStr">
        <is>
          <t>length</t>
        </is>
      </c>
      <c r="C129" s="2" t="inlineStr">
        <is>
          <t>browser chrome150</t>
        </is>
      </c>
      <c r="D129" s="2" t="n">
        <v>1763</v>
      </c>
      <c r="E129" s="2" t="n">
        <v>1763</v>
      </c>
      <c r="F129" s="2" t="n">
        <v>1</v>
      </c>
      <c r="G129" s="2" t="n">
        <v>1</v>
      </c>
      <c r="H129" s="2" t="n">
        <v>1</v>
      </c>
      <c r="I129" s="2" t="n">
        <v>0</v>
      </c>
    </row>
    <row r="130">
      <c r="A130" s="2" t="n">
        <v>128</v>
      </c>
      <c r="B130" s="2" t="inlineStr">
        <is>
          <t>insert</t>
        </is>
      </c>
      <c r="C130" s="2" t="inlineStr">
        <is>
          <t>browser chrome150</t>
        </is>
      </c>
      <c r="D130" s="2" t="n">
        <v>1770</v>
      </c>
      <c r="E130" s="2" t="n">
        <v>1770</v>
      </c>
      <c r="F130" s="2" t="n">
        <v>1</v>
      </c>
      <c r="G130" s="2" t="n">
        <v>1</v>
      </c>
      <c r="H130" s="2" t="n">
        <v>1</v>
      </c>
      <c r="I130" s="2" t="n">
        <v>0</v>
      </c>
    </row>
    <row r="131">
      <c r="A131" s="2" t="n">
        <v>129</v>
      </c>
      <c r="B131" s="2" t="inlineStr">
        <is>
          <t>flip</t>
        </is>
      </c>
      <c r="C131" s="2" t="inlineStr">
        <is>
          <t>openssl TLS 1.2 only</t>
        </is>
      </c>
      <c r="D131" s="2" t="n">
        <v>215</v>
      </c>
      <c r="E131" s="2" t="n">
        <v>215</v>
      </c>
      <c r="F131" s="2" t="n">
        <v>1</v>
      </c>
      <c r="G131" s="2" t="n">
        <v>1</v>
      </c>
      <c r="H131" s="2" t="n">
        <v>1</v>
      </c>
      <c r="I131" s="2" t="n">
        <v>0</v>
      </c>
    </row>
    <row r="132">
      <c r="A132" s="2" t="n">
        <v>130</v>
      </c>
      <c r="B132" s="2" t="inlineStr">
        <is>
          <t>truncate</t>
        </is>
      </c>
      <c r="C132" s="2" t="inlineStr">
        <is>
          <t>openssl TLS 1.2 only</t>
        </is>
      </c>
      <c r="D132" s="2" t="n">
        <v>180</v>
      </c>
      <c r="E132" s="2" t="n">
        <v>180</v>
      </c>
      <c r="F132" s="2" t="n">
        <v>1</v>
      </c>
      <c r="G132" s="2" t="n">
        <v>1</v>
      </c>
      <c r="H132" s="2" t="n">
        <v>1</v>
      </c>
      <c r="I132" s="2" t="n">
        <v>0</v>
      </c>
    </row>
    <row r="133">
      <c r="A133" s="2" t="n">
        <v>131</v>
      </c>
      <c r="B133" s="2" t="inlineStr">
        <is>
          <t>length</t>
        </is>
      </c>
      <c r="C133" s="2" t="inlineStr">
        <is>
          <t>openssl 3.5.8 default</t>
        </is>
      </c>
      <c r="D133" s="2" t="n">
        <v>1548</v>
      </c>
      <c r="E133" s="2" t="n">
        <v>1548</v>
      </c>
      <c r="F133" s="2" t="n">
        <v>1</v>
      </c>
      <c r="G133" s="2" t="n">
        <v>1</v>
      </c>
      <c r="H133" s="2" t="n">
        <v>1</v>
      </c>
      <c r="I133" s="2" t="n">
        <v>0</v>
      </c>
    </row>
    <row r="134">
      <c r="A134" s="2" t="n">
        <v>132</v>
      </c>
      <c r="B134" s="2" t="inlineStr">
        <is>
          <t>insert</t>
        </is>
      </c>
      <c r="C134" s="2" t="inlineStr">
        <is>
          <t>browser firefox147</t>
        </is>
      </c>
      <c r="D134" s="2" t="n">
        <v>1914</v>
      </c>
      <c r="E134" s="2" t="n">
        <v>1914</v>
      </c>
      <c r="F134" s="2" t="n">
        <v>0</v>
      </c>
      <c r="G134" s="2" t="n">
        <v>0</v>
      </c>
      <c r="H134" s="2" t="n">
        <v>0</v>
      </c>
      <c r="I134" s="2" t="n">
        <v>0</v>
      </c>
    </row>
    <row r="135">
      <c r="A135" s="2" t="n">
        <v>133</v>
      </c>
      <c r="B135" s="2" t="inlineStr">
        <is>
          <t>flip</t>
        </is>
      </c>
      <c r="C135" s="2" t="inlineStr">
        <is>
          <t>openssl TLS 1.2 only</t>
        </is>
      </c>
      <c r="D135" s="2" t="n">
        <v>215</v>
      </c>
      <c r="E135" s="2" t="n">
        <v>215</v>
      </c>
      <c r="F135" s="2" t="n">
        <v>1</v>
      </c>
      <c r="G135" s="2" t="n">
        <v>1</v>
      </c>
      <c r="H135" s="2" t="n">
        <v>1</v>
      </c>
      <c r="I135" s="2" t="n">
        <v>0</v>
      </c>
    </row>
    <row r="136">
      <c r="A136" s="2" t="n">
        <v>134</v>
      </c>
      <c r="B136" s="2" t="inlineStr">
        <is>
          <t>truncate</t>
        </is>
      </c>
      <c r="C136" s="2" t="inlineStr">
        <is>
          <t>openssl TLS 1.2 only</t>
        </is>
      </c>
      <c r="D136" s="2" t="n">
        <v>162</v>
      </c>
      <c r="E136" s="2" t="n">
        <v>162</v>
      </c>
      <c r="F136" s="2" t="n">
        <v>1</v>
      </c>
      <c r="G136" s="2" t="n">
        <v>1</v>
      </c>
      <c r="H136" s="2" t="n">
        <v>0</v>
      </c>
      <c r="I136" s="2" t="n">
        <v>0</v>
      </c>
    </row>
    <row r="137">
      <c r="A137" s="2" t="n">
        <v>135</v>
      </c>
      <c r="B137" s="2" t="inlineStr">
        <is>
          <t>length</t>
        </is>
      </c>
      <c r="C137" s="2" t="inlineStr">
        <is>
          <t>openssl X25519 only (classical)</t>
        </is>
      </c>
      <c r="D137" s="2" t="n">
        <v>314</v>
      </c>
      <c r="E137" s="2" t="n">
        <v>314</v>
      </c>
      <c r="F137" s="2" t="n">
        <v>1</v>
      </c>
      <c r="G137" s="2" t="n">
        <v>1</v>
      </c>
      <c r="H137" s="2" t="n">
        <v>1</v>
      </c>
      <c r="I137" s="2" t="n">
        <v>0</v>
      </c>
    </row>
    <row r="138">
      <c r="A138" s="2" t="n">
        <v>136</v>
      </c>
      <c r="B138" s="2" t="inlineStr">
        <is>
          <t>insert</t>
        </is>
      </c>
      <c r="C138" s="2" t="inlineStr">
        <is>
          <t>browser chrome150</t>
        </is>
      </c>
      <c r="D138" s="2" t="n">
        <v>1772</v>
      </c>
      <c r="E138" s="2" t="n">
        <v>1772</v>
      </c>
      <c r="F138" s="2" t="n">
        <v>1</v>
      </c>
      <c r="G138" s="2" t="n">
        <v>1</v>
      </c>
      <c r="H138" s="2" t="n">
        <v>1</v>
      </c>
      <c r="I138" s="2" t="n">
        <v>0</v>
      </c>
    </row>
    <row r="139">
      <c r="A139" s="2" t="n">
        <v>137</v>
      </c>
      <c r="B139" s="2" t="inlineStr">
        <is>
          <t>flip</t>
        </is>
      </c>
      <c r="C139" s="2" t="inlineStr">
        <is>
          <t>openssl X25519 only (classical)</t>
        </is>
      </c>
      <c r="D139" s="2" t="n">
        <v>314</v>
      </c>
      <c r="E139" s="2" t="n">
        <v>314</v>
      </c>
      <c r="F139" s="2" t="n">
        <v>1</v>
      </c>
      <c r="G139" s="2" t="n">
        <v>1</v>
      </c>
      <c r="H139" s="2" t="n">
        <v>1</v>
      </c>
      <c r="I139" s="2" t="n">
        <v>0</v>
      </c>
    </row>
    <row r="140">
      <c r="A140" s="2" t="n">
        <v>138</v>
      </c>
      <c r="B140" s="2" t="inlineStr">
        <is>
          <t>truncate</t>
        </is>
      </c>
      <c r="C140" s="2" t="inlineStr">
        <is>
          <t>openssl TLS 1.2 only</t>
        </is>
      </c>
      <c r="D140" s="2" t="n">
        <v>205</v>
      </c>
      <c r="E140" s="2" t="n">
        <v>205</v>
      </c>
      <c r="F140" s="2" t="n">
        <v>1</v>
      </c>
      <c r="G140" s="2" t="n">
        <v>1</v>
      </c>
      <c r="H140" s="2" t="n">
        <v>1</v>
      </c>
      <c r="I140" s="2" t="n">
        <v>0</v>
      </c>
    </row>
    <row r="141">
      <c r="A141" s="2" t="n">
        <v>139</v>
      </c>
      <c r="B141" s="2" t="inlineStr">
        <is>
          <t>length</t>
        </is>
      </c>
      <c r="C141" s="2" t="inlineStr">
        <is>
          <t>browser chrome150</t>
        </is>
      </c>
      <c r="D141" s="2" t="n">
        <v>1763</v>
      </c>
      <c r="E141" s="2" t="n">
        <v>1763</v>
      </c>
      <c r="F141" s="2" t="n">
        <v>1</v>
      </c>
      <c r="G141" s="2" t="n">
        <v>0</v>
      </c>
      <c r="H141" s="2" t="n">
        <v>0</v>
      </c>
      <c r="I141" s="2" t="n">
        <v>0</v>
      </c>
    </row>
    <row r="142">
      <c r="A142" s="2" t="n">
        <v>140</v>
      </c>
      <c r="B142" s="2" t="inlineStr">
        <is>
          <t>insert</t>
        </is>
      </c>
      <c r="C142" s="2" t="inlineStr">
        <is>
          <t>openssl TLS 1.2 only</t>
        </is>
      </c>
      <c r="D142" s="2" t="n">
        <v>221</v>
      </c>
      <c r="E142" s="2" t="n">
        <v>221</v>
      </c>
      <c r="F142" s="2" t="n">
        <v>1</v>
      </c>
      <c r="G142" s="2" t="n">
        <v>1</v>
      </c>
      <c r="H142" s="2" t="n">
        <v>1</v>
      </c>
      <c r="I142" s="2" t="n">
        <v>0</v>
      </c>
    </row>
    <row r="143">
      <c r="A143" s="2" t="n">
        <v>141</v>
      </c>
      <c r="B143" s="2" t="inlineStr">
        <is>
          <t>flip</t>
        </is>
      </c>
      <c r="C143" s="2" t="inlineStr">
        <is>
          <t>openssl X25519 only (classical)</t>
        </is>
      </c>
      <c r="D143" s="2" t="n">
        <v>314</v>
      </c>
      <c r="E143" s="2" t="n">
        <v>314</v>
      </c>
      <c r="F143" s="2" t="n">
        <v>1</v>
      </c>
      <c r="G143" s="2" t="n">
        <v>1</v>
      </c>
      <c r="H143" s="2" t="n">
        <v>0</v>
      </c>
      <c r="I143" s="2" t="n">
        <v>0</v>
      </c>
    </row>
    <row r="144">
      <c r="A144" s="2" t="n">
        <v>142</v>
      </c>
      <c r="B144" s="2" t="inlineStr">
        <is>
          <t>truncate</t>
        </is>
      </c>
      <c r="C144" s="2" t="inlineStr">
        <is>
          <t>openssl 3.5.8 default</t>
        </is>
      </c>
      <c r="D144" s="2" t="n">
        <v>1039</v>
      </c>
      <c r="E144" s="2" t="n">
        <v>1039</v>
      </c>
      <c r="F144" s="2" t="n">
        <v>1</v>
      </c>
      <c r="G144" s="2" t="n">
        <v>1</v>
      </c>
      <c r="H144" s="2" t="n">
        <v>1</v>
      </c>
      <c r="I144" s="2" t="n">
        <v>0</v>
      </c>
    </row>
    <row r="145">
      <c r="A145" s="2" t="n">
        <v>143</v>
      </c>
      <c r="B145" s="2" t="inlineStr">
        <is>
          <t>length</t>
        </is>
      </c>
      <c r="C145" s="2" t="inlineStr">
        <is>
          <t>openssl 3.5.8 default</t>
        </is>
      </c>
      <c r="D145" s="2" t="n">
        <v>1548</v>
      </c>
      <c r="E145" s="2" t="n">
        <v>1548</v>
      </c>
      <c r="F145" s="2" t="n">
        <v>1</v>
      </c>
      <c r="G145" s="2" t="n">
        <v>1</v>
      </c>
      <c r="H145" s="2" t="n">
        <v>1</v>
      </c>
      <c r="I145" s="2" t="n">
        <v>0</v>
      </c>
    </row>
    <row r="146">
      <c r="A146" s="2" t="n">
        <v>144</v>
      </c>
      <c r="B146" s="2" t="inlineStr">
        <is>
          <t>insert</t>
        </is>
      </c>
      <c r="C146" s="2" t="inlineStr">
        <is>
          <t>openssl TLS 1.2 only</t>
        </is>
      </c>
      <c r="D146" s="2" t="n">
        <v>222</v>
      </c>
      <c r="E146" s="2" t="n">
        <v>222</v>
      </c>
      <c r="F146" s="2" t="n">
        <v>1</v>
      </c>
      <c r="G146" s="2" t="n">
        <v>1</v>
      </c>
      <c r="H146" s="2" t="n">
        <v>1</v>
      </c>
      <c r="I146" s="2" t="n">
        <v>0</v>
      </c>
    </row>
    <row r="147">
      <c r="A147" s="2" t="n">
        <v>145</v>
      </c>
      <c r="B147" s="2" t="inlineStr">
        <is>
          <t>flip</t>
        </is>
      </c>
      <c r="C147" s="2" t="inlineStr">
        <is>
          <t>openssl TLS 1.2 only</t>
        </is>
      </c>
      <c r="D147" s="2" t="n">
        <v>215</v>
      </c>
      <c r="E147" s="2" t="n">
        <v>215</v>
      </c>
      <c r="F147" s="2" t="n">
        <v>1</v>
      </c>
      <c r="G147" s="2" t="n">
        <v>1</v>
      </c>
      <c r="H147" s="2" t="n">
        <v>1</v>
      </c>
      <c r="I147" s="2" t="n">
        <v>0</v>
      </c>
    </row>
    <row r="148">
      <c r="A148" s="2" t="n">
        <v>146</v>
      </c>
      <c r="B148" s="2" t="inlineStr">
        <is>
          <t>truncate</t>
        </is>
      </c>
      <c r="C148" s="2" t="inlineStr">
        <is>
          <t>openssl X25519 only (classical)</t>
        </is>
      </c>
      <c r="D148" s="2" t="n">
        <v>87</v>
      </c>
      <c r="E148" s="2" t="n">
        <v>87</v>
      </c>
      <c r="F148" s="2" t="n">
        <v>1</v>
      </c>
      <c r="G148" s="2" t="n">
        <v>0</v>
      </c>
      <c r="H148" s="2" t="n">
        <v>0</v>
      </c>
      <c r="I148" s="2" t="n">
        <v>0</v>
      </c>
    </row>
    <row r="149">
      <c r="A149" s="2" t="n">
        <v>147</v>
      </c>
      <c r="B149" s="2" t="inlineStr">
        <is>
          <t>length</t>
        </is>
      </c>
      <c r="C149" s="2" t="inlineStr">
        <is>
          <t>openssl TLS 1.2 only</t>
        </is>
      </c>
      <c r="D149" s="2" t="n">
        <v>215</v>
      </c>
      <c r="E149" s="2" t="n">
        <v>215</v>
      </c>
      <c r="F149" s="2" t="n">
        <v>1</v>
      </c>
      <c r="G149" s="2" t="n">
        <v>0</v>
      </c>
      <c r="H149" s="2" t="n">
        <v>0</v>
      </c>
      <c r="I149" s="2" t="n">
        <v>0</v>
      </c>
    </row>
    <row r="150">
      <c r="A150" s="2" t="n">
        <v>148</v>
      </c>
      <c r="B150" s="2" t="inlineStr">
        <is>
          <t>insert</t>
        </is>
      </c>
      <c r="C150" s="2" t="inlineStr">
        <is>
          <t>browser firefox147</t>
        </is>
      </c>
      <c r="D150" s="2" t="n">
        <v>1907</v>
      </c>
      <c r="E150" s="2" t="n">
        <v>1907</v>
      </c>
      <c r="F150" s="2" t="n">
        <v>1</v>
      </c>
      <c r="G150" s="2" t="n">
        <v>1</v>
      </c>
      <c r="H150" s="2" t="n">
        <v>0</v>
      </c>
      <c r="I150" s="2" t="n">
        <v>0</v>
      </c>
    </row>
    <row r="151">
      <c r="A151" s="2" t="n">
        <v>149</v>
      </c>
      <c r="B151" s="2" t="inlineStr">
        <is>
          <t>flip</t>
        </is>
      </c>
      <c r="C151" s="2" t="inlineStr">
        <is>
          <t>openssl TLS 1.2 only</t>
        </is>
      </c>
      <c r="D151" s="2" t="n">
        <v>215</v>
      </c>
      <c r="E151" s="2" t="n">
        <v>215</v>
      </c>
      <c r="F151" s="2" t="n">
        <v>1</v>
      </c>
      <c r="G151" s="2" t="n">
        <v>1</v>
      </c>
      <c r="H151" s="2" t="n">
        <v>1</v>
      </c>
      <c r="I151" s="2" t="n">
        <v>0</v>
      </c>
    </row>
    <row r="152">
      <c r="A152" s="2" t="n">
        <v>150</v>
      </c>
      <c r="B152" s="2" t="inlineStr">
        <is>
          <t>truncate</t>
        </is>
      </c>
      <c r="C152" s="2" t="inlineStr">
        <is>
          <t>openssl TLS 1.2 only</t>
        </is>
      </c>
      <c r="D152" s="2" t="n">
        <v>111</v>
      </c>
      <c r="E152" s="2" t="n">
        <v>111</v>
      </c>
      <c r="F152" s="2" t="n">
        <v>1</v>
      </c>
      <c r="G152" s="2" t="n">
        <v>1</v>
      </c>
      <c r="H152" s="2" t="n">
        <v>0</v>
      </c>
      <c r="I152" s="2" t="n">
        <v>0</v>
      </c>
    </row>
    <row r="153">
      <c r="A153" s="2" t="n">
        <v>151</v>
      </c>
      <c r="B153" s="2" t="inlineStr">
        <is>
          <t>length</t>
        </is>
      </c>
      <c r="C153" s="2" t="inlineStr">
        <is>
          <t>openssl 3.5.8 default</t>
        </is>
      </c>
      <c r="D153" s="2" t="n">
        <v>1548</v>
      </c>
      <c r="E153" s="2" t="n">
        <v>1548</v>
      </c>
      <c r="F153" s="2" t="n">
        <v>1</v>
      </c>
      <c r="G153" s="2" t="n">
        <v>1</v>
      </c>
      <c r="H153" s="2" t="n">
        <v>1</v>
      </c>
      <c r="I153" s="2" t="n">
        <v>0</v>
      </c>
    </row>
    <row r="154">
      <c r="A154" s="2" t="n">
        <v>152</v>
      </c>
      <c r="B154" s="2" t="inlineStr">
        <is>
          <t>insert</t>
        </is>
      </c>
      <c r="C154" s="2" t="inlineStr">
        <is>
          <t>openssl 3.5.8 default</t>
        </is>
      </c>
      <c r="D154" s="2" t="n">
        <v>1563</v>
      </c>
      <c r="E154" s="2" t="n">
        <v>1563</v>
      </c>
      <c r="F154" s="2" t="n">
        <v>1</v>
      </c>
      <c r="G154" s="2" t="n">
        <v>1</v>
      </c>
      <c r="H154" s="2" t="n">
        <v>1</v>
      </c>
      <c r="I154" s="2" t="n">
        <v>0</v>
      </c>
    </row>
    <row r="155">
      <c r="A155" s="2" t="n">
        <v>153</v>
      </c>
      <c r="B155" s="2" t="inlineStr">
        <is>
          <t>flip</t>
        </is>
      </c>
      <c r="C155" s="2" t="inlineStr">
        <is>
          <t>openssl 3.5.8 default</t>
        </is>
      </c>
      <c r="D155" s="2" t="n">
        <v>1548</v>
      </c>
      <c r="E155" s="2" t="n">
        <v>1548</v>
      </c>
      <c r="F155" s="2" t="n">
        <v>1</v>
      </c>
      <c r="G155" s="2" t="n">
        <v>1</v>
      </c>
      <c r="H155" s="2" t="n">
        <v>1</v>
      </c>
      <c r="I155" s="2" t="n">
        <v>0</v>
      </c>
    </row>
    <row r="156">
      <c r="A156" s="2" t="n">
        <v>154</v>
      </c>
      <c r="B156" s="2" t="inlineStr">
        <is>
          <t>truncate</t>
        </is>
      </c>
      <c r="C156" s="2" t="inlineStr">
        <is>
          <t>browser chrome150</t>
        </is>
      </c>
      <c r="D156" s="2" t="n">
        <v>493</v>
      </c>
      <c r="E156" s="2" t="n">
        <v>493</v>
      </c>
      <c r="F156" s="2" t="n">
        <v>1</v>
      </c>
      <c r="G156" s="2" t="n">
        <v>1</v>
      </c>
      <c r="H156" s="2" t="n">
        <v>1</v>
      </c>
      <c r="I156" s="2" t="n">
        <v>0</v>
      </c>
    </row>
    <row r="157">
      <c r="A157" s="2" t="n">
        <v>155</v>
      </c>
      <c r="B157" s="2" t="inlineStr">
        <is>
          <t>length</t>
        </is>
      </c>
      <c r="C157" s="2" t="inlineStr">
        <is>
          <t>openssl X25519 only (classical)</t>
        </is>
      </c>
      <c r="D157" s="2" t="n">
        <v>314</v>
      </c>
      <c r="E157" s="2" t="n">
        <v>314</v>
      </c>
      <c r="F157" s="2" t="n">
        <v>1</v>
      </c>
      <c r="G157" s="2" t="n">
        <v>1</v>
      </c>
      <c r="H157" s="2" t="n">
        <v>1</v>
      </c>
      <c r="I157" s="2" t="n">
        <v>0</v>
      </c>
    </row>
    <row r="158">
      <c r="A158" s="2" t="n">
        <v>156</v>
      </c>
      <c r="B158" s="2" t="inlineStr">
        <is>
          <t>insert</t>
        </is>
      </c>
      <c r="C158" s="2" t="inlineStr">
        <is>
          <t>openssl X25519 only (classical)</t>
        </is>
      </c>
      <c r="D158" s="2" t="n">
        <v>327</v>
      </c>
      <c r="E158" s="2" t="n">
        <v>327</v>
      </c>
      <c r="F158" s="2" t="n">
        <v>1</v>
      </c>
      <c r="G158" s="2" t="n">
        <v>1</v>
      </c>
      <c r="H158" s="2" t="n">
        <v>1</v>
      </c>
      <c r="I158" s="2" t="n">
        <v>0</v>
      </c>
    </row>
    <row r="159">
      <c r="A159" s="2" t="n">
        <v>157</v>
      </c>
      <c r="B159" s="2" t="inlineStr">
        <is>
          <t>flip</t>
        </is>
      </c>
      <c r="C159" s="2" t="inlineStr">
        <is>
          <t>openssl 3.5.8 default</t>
        </is>
      </c>
      <c r="D159" s="2" t="n">
        <v>1548</v>
      </c>
      <c r="E159" s="2" t="n">
        <v>1548</v>
      </c>
      <c r="F159" s="2" t="n">
        <v>1</v>
      </c>
      <c r="G159" s="2" t="n">
        <v>1</v>
      </c>
      <c r="H159" s="2" t="n">
        <v>1</v>
      </c>
      <c r="I159" s="2" t="n">
        <v>0</v>
      </c>
    </row>
    <row r="160">
      <c r="A160" s="2" t="n">
        <v>158</v>
      </c>
      <c r="B160" s="2" t="inlineStr">
        <is>
          <t>truncate</t>
        </is>
      </c>
      <c r="C160" s="2" t="inlineStr">
        <is>
          <t>browser firefox147</t>
        </is>
      </c>
      <c r="D160" s="2" t="n">
        <v>48</v>
      </c>
      <c r="E160" s="2" t="n">
        <v>48</v>
      </c>
      <c r="F160" s="2" t="n">
        <v>1</v>
      </c>
      <c r="G160" s="2" t="n">
        <v>0</v>
      </c>
      <c r="H160" s="2" t="n">
        <v>0</v>
      </c>
      <c r="I160" s="2" t="n">
        <v>0</v>
      </c>
    </row>
    <row r="161">
      <c r="A161" s="2" t="n">
        <v>159</v>
      </c>
      <c r="B161" s="2" t="inlineStr">
        <is>
          <t>length</t>
        </is>
      </c>
      <c r="C161" s="2" t="inlineStr">
        <is>
          <t>openssl 3.5.8 default</t>
        </is>
      </c>
      <c r="D161" s="2" t="n">
        <v>1548</v>
      </c>
      <c r="E161" s="2" t="n">
        <v>1548</v>
      </c>
      <c r="F161" s="2" t="n">
        <v>0</v>
      </c>
      <c r="G161" s="2" t="n">
        <v>0</v>
      </c>
      <c r="H161" s="2" t="n">
        <v>0</v>
      </c>
      <c r="I161" s="2" t="n">
        <v>0</v>
      </c>
    </row>
    <row r="162">
      <c r="A162" s="2" t="n">
        <v>160</v>
      </c>
      <c r="B162" s="2" t="inlineStr">
        <is>
          <t>insert</t>
        </is>
      </c>
      <c r="C162" s="2" t="inlineStr">
        <is>
          <t>browser firefox147</t>
        </is>
      </c>
      <c r="D162" s="2" t="n">
        <v>1916</v>
      </c>
      <c r="E162" s="2" t="n">
        <v>1916</v>
      </c>
      <c r="F162" s="2" t="n">
        <v>1</v>
      </c>
      <c r="G162" s="2" t="n">
        <v>1</v>
      </c>
      <c r="H162" s="2" t="n">
        <v>0</v>
      </c>
      <c r="I162" s="2" t="n">
        <v>0</v>
      </c>
    </row>
    <row r="163">
      <c r="A163" s="2" t="n">
        <v>161</v>
      </c>
      <c r="B163" s="2" t="inlineStr">
        <is>
          <t>flip</t>
        </is>
      </c>
      <c r="C163" s="2" t="inlineStr">
        <is>
          <t>openssl X25519 only (classical)</t>
        </is>
      </c>
      <c r="D163" s="2" t="n">
        <v>314</v>
      </c>
      <c r="E163" s="2" t="n">
        <v>314</v>
      </c>
      <c r="F163" s="2" t="n">
        <v>1</v>
      </c>
      <c r="G163" s="2" t="n">
        <v>1</v>
      </c>
      <c r="H163" s="2" t="n">
        <v>1</v>
      </c>
      <c r="I163" s="2" t="n">
        <v>0</v>
      </c>
    </row>
    <row r="164">
      <c r="A164" s="2" t="n">
        <v>162</v>
      </c>
      <c r="B164" s="2" t="inlineStr">
        <is>
          <t>truncate</t>
        </is>
      </c>
      <c r="C164" s="2" t="inlineStr">
        <is>
          <t>browser chrome150</t>
        </is>
      </c>
      <c r="D164" s="2" t="n">
        <v>1538</v>
      </c>
      <c r="E164" s="2" t="n">
        <v>1538</v>
      </c>
      <c r="F164" s="2" t="n">
        <v>1</v>
      </c>
      <c r="G164" s="2" t="n">
        <v>1</v>
      </c>
      <c r="H164" s="2" t="n">
        <v>1</v>
      </c>
      <c r="I164" s="2" t="n">
        <v>0</v>
      </c>
    </row>
    <row r="165">
      <c r="A165" s="2" t="n">
        <v>163</v>
      </c>
      <c r="B165" s="2" t="inlineStr">
        <is>
          <t>length</t>
        </is>
      </c>
      <c r="C165" s="2" t="inlineStr">
        <is>
          <t>openssl 3.5.8 default</t>
        </is>
      </c>
      <c r="D165" s="2" t="n">
        <v>1548</v>
      </c>
      <c r="E165" s="2" t="n">
        <v>1548</v>
      </c>
      <c r="F165" s="2" t="n">
        <v>1</v>
      </c>
      <c r="G165" s="2" t="n">
        <v>1</v>
      </c>
      <c r="H165" s="2" t="n">
        <v>1</v>
      </c>
      <c r="I165" s="2" t="n">
        <v>0</v>
      </c>
    </row>
    <row r="166">
      <c r="A166" s="2" t="n">
        <v>164</v>
      </c>
      <c r="B166" s="2" t="inlineStr">
        <is>
          <t>insert</t>
        </is>
      </c>
      <c r="C166" s="2" t="inlineStr">
        <is>
          <t>browser firefox147</t>
        </is>
      </c>
      <c r="D166" s="2" t="n">
        <v>1914</v>
      </c>
      <c r="E166" s="2" t="n">
        <v>1914</v>
      </c>
      <c r="F166" s="2" t="n">
        <v>1</v>
      </c>
      <c r="G166" s="2" t="n">
        <v>1</v>
      </c>
      <c r="H166" s="2" t="n">
        <v>0</v>
      </c>
      <c r="I166" s="2" t="n">
        <v>0</v>
      </c>
    </row>
    <row r="167">
      <c r="A167" s="2" t="n">
        <v>165</v>
      </c>
      <c r="B167" s="2" t="inlineStr">
        <is>
          <t>flip</t>
        </is>
      </c>
      <c r="C167" s="2" t="inlineStr">
        <is>
          <t>openssl TLS 1.2 only</t>
        </is>
      </c>
      <c r="D167" s="2" t="n">
        <v>215</v>
      </c>
      <c r="E167" s="2" t="n">
        <v>215</v>
      </c>
      <c r="F167" s="2" t="n">
        <v>0</v>
      </c>
      <c r="G167" s="2" t="n">
        <v>0</v>
      </c>
      <c r="H167" s="2" t="n">
        <v>0</v>
      </c>
      <c r="I167" s="2" t="n">
        <v>0</v>
      </c>
    </row>
    <row r="168">
      <c r="A168" s="2" t="n">
        <v>166</v>
      </c>
      <c r="B168" s="2" t="inlineStr">
        <is>
          <t>truncate</t>
        </is>
      </c>
      <c r="C168" s="2" t="inlineStr">
        <is>
          <t>openssl 3.5.8 default</t>
        </is>
      </c>
      <c r="D168" s="2" t="n">
        <v>820</v>
      </c>
      <c r="E168" s="2" t="n">
        <v>820</v>
      </c>
      <c r="F168" s="2" t="n">
        <v>1</v>
      </c>
      <c r="G168" s="2" t="n">
        <v>1</v>
      </c>
      <c r="H168" s="2" t="n">
        <v>1</v>
      </c>
      <c r="I168" s="2" t="n">
        <v>0</v>
      </c>
    </row>
    <row r="169">
      <c r="A169" s="2" t="n">
        <v>167</v>
      </c>
      <c r="B169" s="2" t="inlineStr">
        <is>
          <t>length</t>
        </is>
      </c>
      <c r="C169" s="2" t="inlineStr">
        <is>
          <t>openssl 3.5.8 default</t>
        </is>
      </c>
      <c r="D169" s="2" t="n">
        <v>1548</v>
      </c>
      <c r="E169" s="2" t="n">
        <v>1548</v>
      </c>
      <c r="F169" s="2" t="n">
        <v>0</v>
      </c>
      <c r="G169" s="2" t="n">
        <v>0</v>
      </c>
      <c r="H169" s="2" t="n">
        <v>0</v>
      </c>
      <c r="I169" s="2" t="n">
        <v>0</v>
      </c>
    </row>
    <row r="170">
      <c r="A170" s="2" t="n">
        <v>168</v>
      </c>
      <c r="B170" s="2" t="inlineStr">
        <is>
          <t>insert</t>
        </is>
      </c>
      <c r="C170" s="2" t="inlineStr">
        <is>
          <t>browser chrome150</t>
        </is>
      </c>
      <c r="D170" s="2" t="n">
        <v>1765</v>
      </c>
      <c r="E170" s="2" t="n">
        <v>1765</v>
      </c>
      <c r="F170" s="2" t="n">
        <v>1</v>
      </c>
      <c r="G170" s="2" t="n">
        <v>1</v>
      </c>
      <c r="H170" s="2" t="n">
        <v>1</v>
      </c>
      <c r="I170" s="2" t="n">
        <v>0</v>
      </c>
    </row>
    <row r="171">
      <c r="A171" s="2" t="n">
        <v>169</v>
      </c>
      <c r="B171" s="2" t="inlineStr">
        <is>
          <t>flip</t>
        </is>
      </c>
      <c r="C171" s="2" t="inlineStr">
        <is>
          <t>browser chrome150</t>
        </is>
      </c>
      <c r="D171" s="2" t="n">
        <v>1763</v>
      </c>
      <c r="E171" s="2" t="n">
        <v>1763</v>
      </c>
      <c r="F171" s="2" t="n">
        <v>1</v>
      </c>
      <c r="G171" s="2" t="n">
        <v>1</v>
      </c>
      <c r="H171" s="2" t="n">
        <v>1</v>
      </c>
      <c r="I171" s="2" t="n">
        <v>0</v>
      </c>
    </row>
    <row r="172">
      <c r="A172" s="2" t="n">
        <v>170</v>
      </c>
      <c r="B172" s="2" t="inlineStr">
        <is>
          <t>truncate</t>
        </is>
      </c>
      <c r="C172" s="2" t="inlineStr">
        <is>
          <t>browser firefox147</t>
        </is>
      </c>
      <c r="D172" s="2" t="n">
        <v>1722</v>
      </c>
      <c r="E172" s="2" t="n">
        <v>1722</v>
      </c>
      <c r="F172" s="2" t="n">
        <v>1</v>
      </c>
      <c r="G172" s="2" t="n">
        <v>1</v>
      </c>
      <c r="H172" s="2" t="n">
        <v>0</v>
      </c>
      <c r="I172" s="2" t="n">
        <v>0</v>
      </c>
    </row>
    <row r="173">
      <c r="A173" s="2" t="n">
        <v>171</v>
      </c>
      <c r="B173" s="2" t="inlineStr">
        <is>
          <t>length</t>
        </is>
      </c>
      <c r="C173" s="2" t="inlineStr">
        <is>
          <t>openssl 3.5.8 default</t>
        </is>
      </c>
      <c r="D173" s="2" t="n">
        <v>1548</v>
      </c>
      <c r="E173" s="2" t="n">
        <v>1548</v>
      </c>
      <c r="F173" s="2" t="n">
        <v>1</v>
      </c>
      <c r="G173" s="2" t="n">
        <v>0</v>
      </c>
      <c r="H173" s="2" t="n">
        <v>0</v>
      </c>
      <c r="I173" s="2" t="n">
        <v>0</v>
      </c>
    </row>
    <row r="174">
      <c r="A174" s="2" t="n">
        <v>172</v>
      </c>
      <c r="B174" s="2" t="inlineStr">
        <is>
          <t>insert</t>
        </is>
      </c>
      <c r="C174" s="2" t="inlineStr">
        <is>
          <t>openssl X25519 only (classical)</t>
        </is>
      </c>
      <c r="D174" s="2" t="n">
        <v>315</v>
      </c>
      <c r="E174" s="2" t="n">
        <v>315</v>
      </c>
      <c r="F174" s="2" t="n">
        <v>1</v>
      </c>
      <c r="G174" s="2" t="n">
        <v>1</v>
      </c>
      <c r="H174" s="2" t="n">
        <v>1</v>
      </c>
      <c r="I174" s="2" t="n">
        <v>0</v>
      </c>
    </row>
    <row r="175">
      <c r="A175" s="2" t="n">
        <v>173</v>
      </c>
      <c r="B175" s="2" t="inlineStr">
        <is>
          <t>flip</t>
        </is>
      </c>
      <c r="C175" s="2" t="inlineStr">
        <is>
          <t>openssl 3.5.8 default</t>
        </is>
      </c>
      <c r="D175" s="2" t="n">
        <v>1548</v>
      </c>
      <c r="E175" s="2" t="n">
        <v>1548</v>
      </c>
      <c r="F175" s="2" t="n">
        <v>1</v>
      </c>
      <c r="G175" s="2" t="n">
        <v>1</v>
      </c>
      <c r="H175" s="2" t="n">
        <v>1</v>
      </c>
      <c r="I175" s="2" t="n">
        <v>0</v>
      </c>
    </row>
    <row r="176">
      <c r="A176" s="2" t="n">
        <v>174</v>
      </c>
      <c r="B176" s="2" t="inlineStr">
        <is>
          <t>truncate</t>
        </is>
      </c>
      <c r="C176" s="2" t="inlineStr">
        <is>
          <t>openssl TLS 1.2 only</t>
        </is>
      </c>
      <c r="D176" s="2" t="n">
        <v>165</v>
      </c>
      <c r="E176" s="2" t="n">
        <v>165</v>
      </c>
      <c r="F176" s="2" t="n">
        <v>1</v>
      </c>
      <c r="G176" s="2" t="n">
        <v>1</v>
      </c>
      <c r="H176" s="2" t="n">
        <v>0</v>
      </c>
      <c r="I176" s="2" t="n">
        <v>0</v>
      </c>
    </row>
    <row r="177">
      <c r="A177" s="2" t="n">
        <v>175</v>
      </c>
      <c r="B177" s="2" t="inlineStr">
        <is>
          <t>length</t>
        </is>
      </c>
      <c r="C177" s="2" t="inlineStr">
        <is>
          <t>openssl 3.5.8 default</t>
        </is>
      </c>
      <c r="D177" s="2" t="n">
        <v>1548</v>
      </c>
      <c r="E177" s="2" t="n">
        <v>1548</v>
      </c>
      <c r="F177" s="2" t="n">
        <v>1</v>
      </c>
      <c r="G177" s="2" t="n">
        <v>1</v>
      </c>
      <c r="H177" s="2" t="n">
        <v>1</v>
      </c>
      <c r="I177" s="2" t="n">
        <v>0</v>
      </c>
    </row>
    <row r="178">
      <c r="A178" s="2" t="n">
        <v>176</v>
      </c>
      <c r="B178" s="2" t="inlineStr">
        <is>
          <t>insert</t>
        </is>
      </c>
      <c r="C178" s="2" t="inlineStr">
        <is>
          <t>browser chrome150</t>
        </is>
      </c>
      <c r="D178" s="2" t="n">
        <v>1765</v>
      </c>
      <c r="E178" s="2" t="n">
        <v>1765</v>
      </c>
      <c r="F178" s="2" t="n">
        <v>1</v>
      </c>
      <c r="G178" s="2" t="n">
        <v>1</v>
      </c>
      <c r="H178" s="2" t="n">
        <v>1</v>
      </c>
      <c r="I178" s="2" t="n">
        <v>0</v>
      </c>
    </row>
    <row r="179">
      <c r="A179" s="2" t="n">
        <v>177</v>
      </c>
      <c r="B179" s="2" t="inlineStr">
        <is>
          <t>flip</t>
        </is>
      </c>
      <c r="C179" s="2" t="inlineStr">
        <is>
          <t>openssl TLS 1.2 only</t>
        </is>
      </c>
      <c r="D179" s="2" t="n">
        <v>215</v>
      </c>
      <c r="E179" s="2" t="n">
        <v>215</v>
      </c>
      <c r="F179" s="2" t="n">
        <v>1</v>
      </c>
      <c r="G179" s="2" t="n">
        <v>1</v>
      </c>
      <c r="H179" s="2" t="n">
        <v>1</v>
      </c>
      <c r="I179" s="2" t="n">
        <v>0</v>
      </c>
    </row>
    <row r="180">
      <c r="A180" s="2" t="n">
        <v>178</v>
      </c>
      <c r="B180" s="2" t="inlineStr">
        <is>
          <t>truncate</t>
        </is>
      </c>
      <c r="C180" s="2" t="inlineStr">
        <is>
          <t>openssl X25519 only (classical)</t>
        </is>
      </c>
      <c r="D180" s="2" t="n">
        <v>129</v>
      </c>
      <c r="E180" s="2" t="n">
        <v>129</v>
      </c>
      <c r="F180" s="2" t="n">
        <v>1</v>
      </c>
      <c r="G180" s="2" t="n">
        <v>0</v>
      </c>
      <c r="H180" s="2" t="n">
        <v>0</v>
      </c>
      <c r="I180" s="2" t="n">
        <v>0</v>
      </c>
    </row>
    <row r="181">
      <c r="A181" s="2" t="n">
        <v>179</v>
      </c>
      <c r="B181" s="2" t="inlineStr">
        <is>
          <t>length</t>
        </is>
      </c>
      <c r="C181" s="2" t="inlineStr">
        <is>
          <t>openssl 3.5.8 default</t>
        </is>
      </c>
      <c r="D181" s="2" t="n">
        <v>1548</v>
      </c>
      <c r="E181" s="2" t="n">
        <v>1548</v>
      </c>
      <c r="F181" s="2" t="n">
        <v>0</v>
      </c>
      <c r="G181" s="2" t="n">
        <v>0</v>
      </c>
      <c r="H181" s="2" t="n">
        <v>0</v>
      </c>
      <c r="I181" s="2" t="n">
        <v>0</v>
      </c>
    </row>
    <row r="182">
      <c r="A182" s="2" t="n">
        <v>180</v>
      </c>
      <c r="B182" s="2" t="inlineStr">
        <is>
          <t>insert</t>
        </is>
      </c>
      <c r="C182" s="2" t="inlineStr">
        <is>
          <t>browser chrome150</t>
        </is>
      </c>
      <c r="D182" s="2" t="n">
        <v>1765</v>
      </c>
      <c r="E182" s="2" t="n">
        <v>1765</v>
      </c>
      <c r="F182" s="2" t="n">
        <v>1</v>
      </c>
      <c r="G182" s="2" t="n">
        <v>1</v>
      </c>
      <c r="H182" s="2" t="n">
        <v>1</v>
      </c>
      <c r="I182" s="2" t="n">
        <v>0</v>
      </c>
    </row>
    <row r="183">
      <c r="A183" s="2" t="n">
        <v>181</v>
      </c>
      <c r="B183" s="2" t="inlineStr">
        <is>
          <t>flip</t>
        </is>
      </c>
      <c r="C183" s="2" t="inlineStr">
        <is>
          <t>openssl X25519 only (classical)</t>
        </is>
      </c>
      <c r="D183" s="2" t="n">
        <v>314</v>
      </c>
      <c r="E183" s="2" t="n">
        <v>314</v>
      </c>
      <c r="F183" s="2" t="n">
        <v>1</v>
      </c>
      <c r="G183" s="2" t="n">
        <v>1</v>
      </c>
      <c r="H183" s="2" t="n">
        <v>1</v>
      </c>
      <c r="I183" s="2" t="n">
        <v>0</v>
      </c>
    </row>
    <row r="184">
      <c r="A184" s="2" t="n">
        <v>182</v>
      </c>
      <c r="B184" s="2" t="inlineStr">
        <is>
          <t>truncate</t>
        </is>
      </c>
      <c r="C184" s="2" t="inlineStr">
        <is>
          <t>browser firefox147</t>
        </is>
      </c>
      <c r="D184" s="2" t="n">
        <v>553</v>
      </c>
      <c r="E184" s="2" t="n">
        <v>553</v>
      </c>
      <c r="F184" s="2" t="n">
        <v>1</v>
      </c>
      <c r="G184" s="2" t="n">
        <v>1</v>
      </c>
      <c r="H184" s="2" t="n">
        <v>0</v>
      </c>
      <c r="I184" s="2" t="n">
        <v>0</v>
      </c>
    </row>
    <row r="185">
      <c r="A185" s="2" t="n">
        <v>183</v>
      </c>
      <c r="B185" s="2" t="inlineStr">
        <is>
          <t>length</t>
        </is>
      </c>
      <c r="C185" s="2" t="inlineStr">
        <is>
          <t>openssl X25519 only (classical)</t>
        </is>
      </c>
      <c r="D185" s="2" t="n">
        <v>314</v>
      </c>
      <c r="E185" s="2" t="n">
        <v>314</v>
      </c>
      <c r="F185" s="2" t="n">
        <v>1</v>
      </c>
      <c r="G185" s="2" t="n">
        <v>0</v>
      </c>
      <c r="H185" s="2" t="n">
        <v>0</v>
      </c>
      <c r="I185" s="2" t="n">
        <v>0</v>
      </c>
    </row>
    <row r="186">
      <c r="A186" s="2" t="n">
        <v>184</v>
      </c>
      <c r="B186" s="2" t="inlineStr">
        <is>
          <t>insert</t>
        </is>
      </c>
      <c r="C186" s="2" t="inlineStr">
        <is>
          <t>openssl X25519 only (classical)</t>
        </is>
      </c>
      <c r="D186" s="2" t="n">
        <v>316</v>
      </c>
      <c r="E186" s="2" t="n">
        <v>316</v>
      </c>
      <c r="F186" s="2" t="n">
        <v>1</v>
      </c>
      <c r="G186" s="2" t="n">
        <v>1</v>
      </c>
      <c r="H186" s="2" t="n">
        <v>1</v>
      </c>
      <c r="I186" s="2" t="n">
        <v>0</v>
      </c>
    </row>
    <row r="187">
      <c r="A187" s="2" t="n">
        <v>185</v>
      </c>
      <c r="B187" s="2" t="inlineStr">
        <is>
          <t>flip</t>
        </is>
      </c>
      <c r="C187" s="2" t="inlineStr">
        <is>
          <t>openssl TLS 1.2 only</t>
        </is>
      </c>
      <c r="D187" s="2" t="n">
        <v>215</v>
      </c>
      <c r="E187" s="2" t="n">
        <v>215</v>
      </c>
      <c r="F187" s="2" t="n">
        <v>1</v>
      </c>
      <c r="G187" s="2" t="n">
        <v>1</v>
      </c>
      <c r="H187" s="2" t="n">
        <v>1</v>
      </c>
      <c r="I187" s="2" t="n">
        <v>0</v>
      </c>
    </row>
    <row r="188">
      <c r="A188" s="2" t="n">
        <v>186</v>
      </c>
      <c r="B188" s="2" t="inlineStr">
        <is>
          <t>truncate</t>
        </is>
      </c>
      <c r="C188" s="2" t="inlineStr">
        <is>
          <t>openssl 3.5.8 default</t>
        </is>
      </c>
      <c r="D188" s="2" t="n">
        <v>1030</v>
      </c>
      <c r="E188" s="2" t="n">
        <v>1030</v>
      </c>
      <c r="F188" s="2" t="n">
        <v>1</v>
      </c>
      <c r="G188" s="2" t="n">
        <v>1</v>
      </c>
      <c r="H188" s="2" t="n">
        <v>1</v>
      </c>
      <c r="I188" s="2" t="n">
        <v>0</v>
      </c>
    </row>
    <row r="189">
      <c r="A189" s="2" t="n">
        <v>187</v>
      </c>
      <c r="B189" s="2" t="inlineStr">
        <is>
          <t>length</t>
        </is>
      </c>
      <c r="C189" s="2" t="inlineStr">
        <is>
          <t>browser firefox147</t>
        </is>
      </c>
      <c r="D189" s="2" t="n">
        <v>1901</v>
      </c>
      <c r="E189" s="2" t="n">
        <v>1901</v>
      </c>
      <c r="F189" s="2" t="n">
        <v>1</v>
      </c>
      <c r="G189" s="2" t="n">
        <v>0</v>
      </c>
      <c r="H189" s="2" t="n">
        <v>0</v>
      </c>
      <c r="I189" s="2" t="n">
        <v>0</v>
      </c>
    </row>
    <row r="190">
      <c r="A190" s="2" t="n">
        <v>188</v>
      </c>
      <c r="B190" s="2" t="inlineStr">
        <is>
          <t>insert</t>
        </is>
      </c>
      <c r="C190" s="2" t="inlineStr">
        <is>
          <t>browser chrome150</t>
        </is>
      </c>
      <c r="D190" s="2" t="n">
        <v>1779</v>
      </c>
      <c r="E190" s="2" t="n">
        <v>1779</v>
      </c>
      <c r="F190" s="2" t="n">
        <v>1</v>
      </c>
      <c r="G190" s="2" t="n">
        <v>1</v>
      </c>
      <c r="H190" s="2" t="n">
        <v>1</v>
      </c>
      <c r="I190" s="2" t="n">
        <v>0</v>
      </c>
    </row>
    <row r="191">
      <c r="A191" s="2" t="n">
        <v>189</v>
      </c>
      <c r="B191" s="2" t="inlineStr">
        <is>
          <t>flip</t>
        </is>
      </c>
      <c r="C191" s="2" t="inlineStr">
        <is>
          <t>browser chrome150</t>
        </is>
      </c>
      <c r="D191" s="2" t="n">
        <v>1763</v>
      </c>
      <c r="E191" s="2" t="n">
        <v>1763</v>
      </c>
      <c r="F191" s="2" t="n">
        <v>1</v>
      </c>
      <c r="G191" s="2" t="n">
        <v>1</v>
      </c>
      <c r="H191" s="2" t="n">
        <v>1</v>
      </c>
      <c r="I191" s="2" t="n">
        <v>0</v>
      </c>
    </row>
    <row r="192">
      <c r="A192" s="2" t="n">
        <v>190</v>
      </c>
      <c r="B192" s="2" t="inlineStr">
        <is>
          <t>truncate</t>
        </is>
      </c>
      <c r="C192" s="2" t="inlineStr">
        <is>
          <t>openssl TLS 1.2 only</t>
        </is>
      </c>
      <c r="D192" s="2" t="n">
        <v>191</v>
      </c>
      <c r="E192" s="2" t="n">
        <v>191</v>
      </c>
      <c r="F192" s="2" t="n">
        <v>1</v>
      </c>
      <c r="G192" s="2" t="n">
        <v>1</v>
      </c>
      <c r="H192" s="2" t="n">
        <v>1</v>
      </c>
      <c r="I192" s="2" t="n">
        <v>0</v>
      </c>
    </row>
    <row r="193">
      <c r="A193" s="2" t="n">
        <v>191</v>
      </c>
      <c r="B193" s="2" t="inlineStr">
        <is>
          <t>length</t>
        </is>
      </c>
      <c r="C193" s="2" t="inlineStr">
        <is>
          <t>openssl 3.5.8 default</t>
        </is>
      </c>
      <c r="D193" s="2" t="n">
        <v>1548</v>
      </c>
      <c r="E193" s="2" t="n">
        <v>1548</v>
      </c>
      <c r="F193" s="2" t="n">
        <v>1</v>
      </c>
      <c r="G193" s="2" t="n">
        <v>0</v>
      </c>
      <c r="H193" s="2" t="n">
        <v>0</v>
      </c>
      <c r="I193" s="2" t="n">
        <v>0</v>
      </c>
    </row>
    <row r="194">
      <c r="A194" s="2" t="n">
        <v>192</v>
      </c>
      <c r="B194" s="2" t="inlineStr">
        <is>
          <t>insert</t>
        </is>
      </c>
      <c r="C194" s="2" t="inlineStr">
        <is>
          <t>openssl TLS 1.2 only</t>
        </is>
      </c>
      <c r="D194" s="2" t="n">
        <v>229</v>
      </c>
      <c r="E194" s="2" t="n">
        <v>229</v>
      </c>
      <c r="F194" s="2" t="n">
        <v>1</v>
      </c>
      <c r="G194" s="2" t="n">
        <v>0</v>
      </c>
      <c r="H194" s="2" t="n">
        <v>0</v>
      </c>
      <c r="I194" s="2" t="n">
        <v>0</v>
      </c>
    </row>
    <row r="195">
      <c r="A195" s="2" t="n">
        <v>193</v>
      </c>
      <c r="B195" s="2" t="inlineStr">
        <is>
          <t>flip</t>
        </is>
      </c>
      <c r="C195" s="2" t="inlineStr">
        <is>
          <t>openssl X25519 only (classical)</t>
        </is>
      </c>
      <c r="D195" s="2" t="n">
        <v>314</v>
      </c>
      <c r="E195" s="2" t="n">
        <v>314</v>
      </c>
      <c r="F195" s="2" t="n">
        <v>1</v>
      </c>
      <c r="G195" s="2" t="n">
        <v>1</v>
      </c>
      <c r="H195" s="2" t="n">
        <v>1</v>
      </c>
      <c r="I195" s="2" t="n">
        <v>0</v>
      </c>
    </row>
    <row r="196">
      <c r="A196" s="2" t="n">
        <v>194</v>
      </c>
      <c r="B196" s="2" t="inlineStr">
        <is>
          <t>truncate</t>
        </is>
      </c>
      <c r="C196" s="2" t="inlineStr">
        <is>
          <t>openssl X25519 only (classical)</t>
        </is>
      </c>
      <c r="D196" s="2" t="n">
        <v>270</v>
      </c>
      <c r="E196" s="2" t="n">
        <v>270</v>
      </c>
      <c r="F196" s="2" t="n">
        <v>1</v>
      </c>
      <c r="G196" s="2" t="n">
        <v>1</v>
      </c>
      <c r="H196" s="2" t="n">
        <v>1</v>
      </c>
      <c r="I196" s="2" t="n">
        <v>0</v>
      </c>
    </row>
    <row r="197">
      <c r="A197" s="2" t="n">
        <v>195</v>
      </c>
      <c r="B197" s="2" t="inlineStr">
        <is>
          <t>length</t>
        </is>
      </c>
      <c r="C197" s="2" t="inlineStr">
        <is>
          <t>openssl X25519 only (classical)</t>
        </is>
      </c>
      <c r="D197" s="2" t="n">
        <v>314</v>
      </c>
      <c r="E197" s="2" t="n">
        <v>314</v>
      </c>
      <c r="F197" s="2" t="n">
        <v>1</v>
      </c>
      <c r="G197" s="2" t="n">
        <v>0</v>
      </c>
      <c r="H197" s="2" t="n">
        <v>0</v>
      </c>
      <c r="I197" s="2" t="n">
        <v>0</v>
      </c>
    </row>
    <row r="198">
      <c r="A198" s="2" t="n">
        <v>196</v>
      </c>
      <c r="B198" s="2" t="inlineStr">
        <is>
          <t>insert</t>
        </is>
      </c>
      <c r="C198" s="2" t="inlineStr">
        <is>
          <t>openssl TLS 1.2 only</t>
        </is>
      </c>
      <c r="D198" s="2" t="n">
        <v>218</v>
      </c>
      <c r="E198" s="2" t="n">
        <v>218</v>
      </c>
      <c r="F198" s="2" t="n">
        <v>1</v>
      </c>
      <c r="G198" s="2" t="n">
        <v>1</v>
      </c>
      <c r="H198" s="2" t="n">
        <v>1</v>
      </c>
      <c r="I198" s="2" t="n">
        <v>0</v>
      </c>
    </row>
    <row r="199">
      <c r="A199" s="2" t="n">
        <v>197</v>
      </c>
      <c r="B199" s="2" t="inlineStr">
        <is>
          <t>flip</t>
        </is>
      </c>
      <c r="C199" s="2" t="inlineStr">
        <is>
          <t>openssl TLS 1.2 only</t>
        </is>
      </c>
      <c r="D199" s="2" t="n">
        <v>215</v>
      </c>
      <c r="E199" s="2" t="n">
        <v>215</v>
      </c>
      <c r="F199" s="2" t="n">
        <v>1</v>
      </c>
      <c r="G199" s="2" t="n">
        <v>1</v>
      </c>
      <c r="H199" s="2" t="n">
        <v>1</v>
      </c>
      <c r="I199" s="2" t="n">
        <v>0</v>
      </c>
    </row>
    <row r="200">
      <c r="A200" s="2" t="n">
        <v>198</v>
      </c>
      <c r="B200" s="2" t="inlineStr">
        <is>
          <t>truncate</t>
        </is>
      </c>
      <c r="C200" s="2" t="inlineStr">
        <is>
          <t>browser chrome150</t>
        </is>
      </c>
      <c r="D200" s="2" t="n">
        <v>1179</v>
      </c>
      <c r="E200" s="2" t="n">
        <v>1179</v>
      </c>
      <c r="F200" s="2" t="n">
        <v>1</v>
      </c>
      <c r="G200" s="2" t="n">
        <v>1</v>
      </c>
      <c r="H200" s="2" t="n">
        <v>1</v>
      </c>
      <c r="I200" s="2" t="n">
        <v>0</v>
      </c>
    </row>
    <row r="201">
      <c r="A201" s="2" t="n">
        <v>199</v>
      </c>
      <c r="B201" s="2" t="inlineStr">
        <is>
          <t>length</t>
        </is>
      </c>
      <c r="C201" s="2" t="inlineStr">
        <is>
          <t>openssl TLS 1.2 only</t>
        </is>
      </c>
      <c r="D201" s="2" t="n">
        <v>215</v>
      </c>
      <c r="E201" s="2" t="n">
        <v>215</v>
      </c>
      <c r="F201" s="2" t="n">
        <v>1</v>
      </c>
      <c r="G201" s="2" t="n">
        <v>1</v>
      </c>
      <c r="H201" s="2" t="n">
        <v>1</v>
      </c>
      <c r="I201" s="2" t="n">
        <v>0</v>
      </c>
    </row>
    <row r="202">
      <c r="A202" s="2" t="n">
        <v>200</v>
      </c>
      <c r="B202" s="2" t="inlineStr">
        <is>
          <t>insert</t>
        </is>
      </c>
      <c r="C202" s="2" t="inlineStr">
        <is>
          <t>openssl TLS 1.2 only</t>
        </is>
      </c>
      <c r="D202" s="2" t="n">
        <v>225</v>
      </c>
      <c r="E202" s="2" t="n">
        <v>225</v>
      </c>
      <c r="F202" s="2" t="n">
        <v>1</v>
      </c>
      <c r="G202" s="2" t="n">
        <v>1</v>
      </c>
      <c r="H202" s="2" t="n">
        <v>0</v>
      </c>
      <c r="I202" s="2" t="n">
        <v>0</v>
      </c>
    </row>
    <row r="203">
      <c r="A203" s="2" t="n">
        <v>201</v>
      </c>
      <c r="B203" s="2" t="inlineStr">
        <is>
          <t>flip</t>
        </is>
      </c>
      <c r="C203" s="2" t="inlineStr">
        <is>
          <t>openssl TLS 1.2 only</t>
        </is>
      </c>
      <c r="D203" s="2" t="n">
        <v>215</v>
      </c>
      <c r="E203" s="2" t="n">
        <v>215</v>
      </c>
      <c r="F203" s="2" t="n">
        <v>1</v>
      </c>
      <c r="G203" s="2" t="n">
        <v>1</v>
      </c>
      <c r="H203" s="2" t="n">
        <v>1</v>
      </c>
      <c r="I203" s="2" t="n">
        <v>0</v>
      </c>
    </row>
    <row r="204">
      <c r="A204" s="2" t="n">
        <v>202</v>
      </c>
      <c r="B204" s="2" t="inlineStr">
        <is>
          <t>truncate</t>
        </is>
      </c>
      <c r="C204" s="2" t="inlineStr">
        <is>
          <t>openssl 3.5.8 default</t>
        </is>
      </c>
      <c r="D204" s="2" t="n">
        <v>231</v>
      </c>
      <c r="E204" s="2" t="n">
        <v>231</v>
      </c>
      <c r="F204" s="2" t="n">
        <v>1</v>
      </c>
      <c r="G204" s="2" t="n">
        <v>1</v>
      </c>
      <c r="H204" s="2" t="n">
        <v>0</v>
      </c>
      <c r="I204" s="2" t="n">
        <v>0</v>
      </c>
    </row>
    <row r="205">
      <c r="A205" s="2" t="n">
        <v>203</v>
      </c>
      <c r="B205" s="2" t="inlineStr">
        <is>
          <t>length</t>
        </is>
      </c>
      <c r="C205" s="2" t="inlineStr">
        <is>
          <t>openssl 3.5.8 default</t>
        </is>
      </c>
      <c r="D205" s="2" t="n">
        <v>1548</v>
      </c>
      <c r="E205" s="2" t="n">
        <v>1548</v>
      </c>
      <c r="F205" s="2" t="n">
        <v>1</v>
      </c>
      <c r="G205" s="2" t="n">
        <v>1</v>
      </c>
      <c r="H205" s="2" t="n">
        <v>1</v>
      </c>
      <c r="I205" s="2" t="n">
        <v>0</v>
      </c>
    </row>
    <row r="206">
      <c r="A206" s="2" t="n">
        <v>204</v>
      </c>
      <c r="B206" s="2" t="inlineStr">
        <is>
          <t>insert</t>
        </is>
      </c>
      <c r="C206" s="2" t="inlineStr">
        <is>
          <t>browser firefox147</t>
        </is>
      </c>
      <c r="D206" s="2" t="n">
        <v>1910</v>
      </c>
      <c r="E206" s="2" t="n">
        <v>1910</v>
      </c>
      <c r="F206" s="2" t="n">
        <v>1</v>
      </c>
      <c r="G206" s="2" t="n">
        <v>1</v>
      </c>
      <c r="H206" s="2" t="n">
        <v>0</v>
      </c>
      <c r="I206" s="2" t="n">
        <v>0</v>
      </c>
    </row>
    <row r="207">
      <c r="A207" s="2" t="n">
        <v>205</v>
      </c>
      <c r="B207" s="2" t="inlineStr">
        <is>
          <t>flip</t>
        </is>
      </c>
      <c r="C207" s="2" t="inlineStr">
        <is>
          <t>openssl TLS 1.2 only</t>
        </is>
      </c>
      <c r="D207" s="2" t="n">
        <v>215</v>
      </c>
      <c r="E207" s="2" t="n">
        <v>215</v>
      </c>
      <c r="F207" s="2" t="n">
        <v>1</v>
      </c>
      <c r="G207" s="2" t="n">
        <v>1</v>
      </c>
      <c r="H207" s="2" t="n">
        <v>1</v>
      </c>
      <c r="I207" s="2" t="n">
        <v>0</v>
      </c>
    </row>
    <row r="208">
      <c r="A208" s="2" t="n">
        <v>206</v>
      </c>
      <c r="B208" s="2" t="inlineStr">
        <is>
          <t>truncate</t>
        </is>
      </c>
      <c r="C208" s="2" t="inlineStr">
        <is>
          <t>openssl X25519 only (classical)</t>
        </is>
      </c>
      <c r="D208" s="2" t="n">
        <v>38</v>
      </c>
      <c r="E208" s="2" t="n">
        <v>38</v>
      </c>
      <c r="F208" s="2" t="n">
        <v>1</v>
      </c>
      <c r="G208" s="2" t="n">
        <v>0</v>
      </c>
      <c r="H208" s="2" t="n">
        <v>0</v>
      </c>
      <c r="I208" s="2" t="n">
        <v>0</v>
      </c>
    </row>
    <row r="209">
      <c r="A209" s="2" t="n">
        <v>207</v>
      </c>
      <c r="B209" s="2" t="inlineStr">
        <is>
          <t>length</t>
        </is>
      </c>
      <c r="C209" s="2" t="inlineStr">
        <is>
          <t>openssl 3.5.8 default</t>
        </is>
      </c>
      <c r="D209" s="2" t="n">
        <v>1548</v>
      </c>
      <c r="E209" s="2" t="n">
        <v>1548</v>
      </c>
      <c r="F209" s="2" t="n">
        <v>0</v>
      </c>
      <c r="G209" s="2" t="n">
        <v>0</v>
      </c>
      <c r="H209" s="2" t="n">
        <v>0</v>
      </c>
      <c r="I209" s="2" t="n">
        <v>0</v>
      </c>
    </row>
    <row r="210">
      <c r="A210" s="2" t="n">
        <v>208</v>
      </c>
      <c r="B210" s="2" t="inlineStr">
        <is>
          <t>insert</t>
        </is>
      </c>
      <c r="C210" s="2" t="inlineStr">
        <is>
          <t>browser firefox147</t>
        </is>
      </c>
      <c r="D210" s="2" t="n">
        <v>1917</v>
      </c>
      <c r="E210" s="2" t="n">
        <v>1917</v>
      </c>
      <c r="F210" s="2" t="n">
        <v>1</v>
      </c>
      <c r="G210" s="2" t="n">
        <v>1</v>
      </c>
      <c r="H210" s="2" t="n">
        <v>0</v>
      </c>
      <c r="I210" s="2" t="n">
        <v>0</v>
      </c>
    </row>
    <row r="211">
      <c r="A211" s="2" t="n">
        <v>209</v>
      </c>
      <c r="B211" s="2" t="inlineStr">
        <is>
          <t>flip</t>
        </is>
      </c>
      <c r="C211" s="2" t="inlineStr">
        <is>
          <t>openssl 3.5.8 default</t>
        </is>
      </c>
      <c r="D211" s="2" t="n">
        <v>1548</v>
      </c>
      <c r="E211" s="2" t="n">
        <v>1548</v>
      </c>
      <c r="F211" s="2" t="n">
        <v>1</v>
      </c>
      <c r="G211" s="2" t="n">
        <v>1</v>
      </c>
      <c r="H211" s="2" t="n">
        <v>1</v>
      </c>
      <c r="I211" s="2" t="n">
        <v>0</v>
      </c>
    </row>
    <row r="212">
      <c r="A212" s="2" t="n">
        <v>210</v>
      </c>
      <c r="B212" s="2" t="inlineStr">
        <is>
          <t>truncate</t>
        </is>
      </c>
      <c r="C212" s="2" t="inlineStr">
        <is>
          <t>browser firefox147</t>
        </is>
      </c>
      <c r="D212" s="2" t="n">
        <v>1578</v>
      </c>
      <c r="E212" s="2" t="n">
        <v>1578</v>
      </c>
      <c r="F212" s="2" t="n">
        <v>1</v>
      </c>
      <c r="G212" s="2" t="n">
        <v>1</v>
      </c>
      <c r="H212" s="2" t="n">
        <v>0</v>
      </c>
      <c r="I212" s="2" t="n">
        <v>0</v>
      </c>
    </row>
    <row r="213">
      <c r="A213" s="2" t="n">
        <v>211</v>
      </c>
      <c r="B213" s="2" t="inlineStr">
        <is>
          <t>length</t>
        </is>
      </c>
      <c r="C213" s="2" t="inlineStr">
        <is>
          <t>browser chrome150</t>
        </is>
      </c>
      <c r="D213" s="2" t="n">
        <v>1763</v>
      </c>
      <c r="E213" s="2" t="n">
        <v>1763</v>
      </c>
      <c r="F213" s="2" t="n">
        <v>1</v>
      </c>
      <c r="G213" s="2" t="n">
        <v>1</v>
      </c>
      <c r="H213" s="2" t="n">
        <v>1</v>
      </c>
      <c r="I213" s="2" t="n">
        <v>0</v>
      </c>
    </row>
    <row r="214">
      <c r="A214" s="2" t="n">
        <v>212</v>
      </c>
      <c r="B214" s="2" t="inlineStr">
        <is>
          <t>insert</t>
        </is>
      </c>
      <c r="C214" s="2" t="inlineStr">
        <is>
          <t>browser firefox147</t>
        </is>
      </c>
      <c r="D214" s="2" t="n">
        <v>1915</v>
      </c>
      <c r="E214" s="2" t="n">
        <v>1915</v>
      </c>
      <c r="F214" s="2" t="n">
        <v>1</v>
      </c>
      <c r="G214" s="2" t="n">
        <v>1</v>
      </c>
      <c r="H214" s="2" t="n">
        <v>0</v>
      </c>
      <c r="I214" s="2" t="n">
        <v>0</v>
      </c>
    </row>
    <row r="215">
      <c r="A215" s="2" t="n">
        <v>213</v>
      </c>
      <c r="B215" s="2" t="inlineStr">
        <is>
          <t>flip</t>
        </is>
      </c>
      <c r="C215" s="2" t="inlineStr">
        <is>
          <t>browser chrome150</t>
        </is>
      </c>
      <c r="D215" s="2" t="n">
        <v>1763</v>
      </c>
      <c r="E215" s="2" t="n">
        <v>1763</v>
      </c>
      <c r="F215" s="2" t="n">
        <v>1</v>
      </c>
      <c r="G215" s="2" t="n">
        <v>1</v>
      </c>
      <c r="H215" s="2" t="n">
        <v>1</v>
      </c>
      <c r="I215" s="2" t="n">
        <v>0</v>
      </c>
    </row>
    <row r="216">
      <c r="A216" s="2" t="n">
        <v>214</v>
      </c>
      <c r="B216" s="2" t="inlineStr">
        <is>
          <t>truncate</t>
        </is>
      </c>
      <c r="C216" s="2" t="inlineStr">
        <is>
          <t>openssl TLS 1.2 only</t>
        </is>
      </c>
      <c r="D216" s="2" t="n">
        <v>179</v>
      </c>
      <c r="E216" s="2" t="n">
        <v>179</v>
      </c>
      <c r="F216" s="2" t="n">
        <v>1</v>
      </c>
      <c r="G216" s="2" t="n">
        <v>1</v>
      </c>
      <c r="H216" s="2" t="n">
        <v>1</v>
      </c>
      <c r="I216" s="2" t="n">
        <v>0</v>
      </c>
    </row>
    <row r="217">
      <c r="A217" s="2" t="n">
        <v>215</v>
      </c>
      <c r="B217" s="2" t="inlineStr">
        <is>
          <t>length</t>
        </is>
      </c>
      <c r="C217" s="2" t="inlineStr">
        <is>
          <t>openssl X25519 only (classical)</t>
        </is>
      </c>
      <c r="D217" s="2" t="n">
        <v>314</v>
      </c>
      <c r="E217" s="2" t="n">
        <v>314</v>
      </c>
      <c r="F217" s="2" t="n">
        <v>0</v>
      </c>
      <c r="G217" s="2" t="n">
        <v>0</v>
      </c>
      <c r="H217" s="2" t="n">
        <v>0</v>
      </c>
      <c r="I217" s="2" t="n">
        <v>0</v>
      </c>
    </row>
    <row r="218">
      <c r="A218" s="2" t="n">
        <v>216</v>
      </c>
      <c r="B218" s="2" t="inlineStr">
        <is>
          <t>insert</t>
        </is>
      </c>
      <c r="C218" s="2" t="inlineStr">
        <is>
          <t>openssl TLS 1.2 only</t>
        </is>
      </c>
      <c r="D218" s="2" t="n">
        <v>225</v>
      </c>
      <c r="E218" s="2" t="n">
        <v>225</v>
      </c>
      <c r="F218" s="2" t="n">
        <v>1</v>
      </c>
      <c r="G218" s="2" t="n">
        <v>1</v>
      </c>
      <c r="H218" s="2" t="n">
        <v>1</v>
      </c>
      <c r="I218" s="2" t="n">
        <v>0</v>
      </c>
    </row>
    <row r="219">
      <c r="A219" s="2" t="n">
        <v>217</v>
      </c>
      <c r="B219" s="2" t="inlineStr">
        <is>
          <t>flip</t>
        </is>
      </c>
      <c r="C219" s="2" t="inlineStr">
        <is>
          <t>browser firefox147</t>
        </is>
      </c>
      <c r="D219" s="2" t="n">
        <v>1901</v>
      </c>
      <c r="E219" s="2" t="n">
        <v>1901</v>
      </c>
      <c r="F219" s="2" t="n">
        <v>1</v>
      </c>
      <c r="G219" s="2" t="n">
        <v>1</v>
      </c>
      <c r="H219" s="2" t="n">
        <v>0</v>
      </c>
      <c r="I219" s="2" t="n">
        <v>0</v>
      </c>
    </row>
    <row r="220">
      <c r="A220" s="2" t="n">
        <v>218</v>
      </c>
      <c r="B220" s="2" t="inlineStr">
        <is>
          <t>truncate</t>
        </is>
      </c>
      <c r="C220" s="2" t="inlineStr">
        <is>
          <t>openssl 3.5.8 default</t>
        </is>
      </c>
      <c r="D220" s="2" t="n">
        <v>518</v>
      </c>
      <c r="E220" s="2" t="n">
        <v>518</v>
      </c>
      <c r="F220" s="2" t="n">
        <v>1</v>
      </c>
      <c r="G220" s="2" t="n">
        <v>1</v>
      </c>
      <c r="H220" s="2" t="n">
        <v>1</v>
      </c>
      <c r="I220" s="2" t="n">
        <v>0</v>
      </c>
    </row>
    <row r="221">
      <c r="A221" s="2" t="n">
        <v>219</v>
      </c>
      <c r="B221" s="2" t="inlineStr">
        <is>
          <t>length</t>
        </is>
      </c>
      <c r="C221" s="2" t="inlineStr">
        <is>
          <t>openssl X25519 only (classical)</t>
        </is>
      </c>
      <c r="D221" s="2" t="n">
        <v>314</v>
      </c>
      <c r="E221" s="2" t="n">
        <v>314</v>
      </c>
      <c r="F221" s="2" t="n">
        <v>1</v>
      </c>
      <c r="G221" s="2" t="n">
        <v>1</v>
      </c>
      <c r="H221" s="2" t="n">
        <v>1</v>
      </c>
      <c r="I221" s="2" t="n">
        <v>0</v>
      </c>
    </row>
    <row r="222">
      <c r="A222" s="2" t="n">
        <v>220</v>
      </c>
      <c r="B222" s="2" t="inlineStr">
        <is>
          <t>insert</t>
        </is>
      </c>
      <c r="C222" s="2" t="inlineStr">
        <is>
          <t>browser chrome150</t>
        </is>
      </c>
      <c r="D222" s="2" t="n">
        <v>1773</v>
      </c>
      <c r="E222" s="2" t="n">
        <v>1773</v>
      </c>
      <c r="F222" s="2" t="n">
        <v>1</v>
      </c>
      <c r="G222" s="2" t="n">
        <v>1</v>
      </c>
      <c r="H222" s="2" t="n">
        <v>1</v>
      </c>
      <c r="I222" s="2" t="n">
        <v>0</v>
      </c>
    </row>
    <row r="223">
      <c r="A223" s="2" t="n">
        <v>221</v>
      </c>
      <c r="B223" s="2" t="inlineStr">
        <is>
          <t>flip</t>
        </is>
      </c>
      <c r="C223" s="2" t="inlineStr">
        <is>
          <t>openssl X25519 only (classical)</t>
        </is>
      </c>
      <c r="D223" s="2" t="n">
        <v>314</v>
      </c>
      <c r="E223" s="2" t="n">
        <v>314</v>
      </c>
      <c r="F223" s="2" t="n">
        <v>1</v>
      </c>
      <c r="G223" s="2" t="n">
        <v>1</v>
      </c>
      <c r="H223" s="2" t="n">
        <v>1</v>
      </c>
      <c r="I223" s="2" t="n">
        <v>0</v>
      </c>
    </row>
    <row r="224">
      <c r="A224" s="2" t="n">
        <v>222</v>
      </c>
      <c r="B224" s="2" t="inlineStr">
        <is>
          <t>truncate</t>
        </is>
      </c>
      <c r="C224" s="2" t="inlineStr">
        <is>
          <t>openssl TLS 1.2 only</t>
        </is>
      </c>
      <c r="D224" s="2" t="n">
        <v>119</v>
      </c>
      <c r="E224" s="2" t="n">
        <v>119</v>
      </c>
      <c r="F224" s="2" t="n">
        <v>1</v>
      </c>
      <c r="G224" s="2" t="n">
        <v>1</v>
      </c>
      <c r="H224" s="2" t="n">
        <v>0</v>
      </c>
      <c r="I224" s="2" t="n">
        <v>0</v>
      </c>
    </row>
    <row r="225">
      <c r="A225" s="2" t="n">
        <v>223</v>
      </c>
      <c r="B225" s="2" t="inlineStr">
        <is>
          <t>length</t>
        </is>
      </c>
      <c r="C225" s="2" t="inlineStr">
        <is>
          <t>openssl TLS 1.2 only</t>
        </is>
      </c>
      <c r="D225" s="2" t="n">
        <v>215</v>
      </c>
      <c r="E225" s="2" t="n">
        <v>215</v>
      </c>
      <c r="F225" s="2" t="n">
        <v>1</v>
      </c>
      <c r="G225" s="2" t="n">
        <v>1</v>
      </c>
      <c r="H225" s="2" t="n">
        <v>1</v>
      </c>
      <c r="I225" s="2" t="n">
        <v>0</v>
      </c>
    </row>
    <row r="226">
      <c r="A226" s="2" t="n">
        <v>224</v>
      </c>
      <c r="B226" s="2" t="inlineStr">
        <is>
          <t>insert</t>
        </is>
      </c>
      <c r="C226" s="2" t="inlineStr">
        <is>
          <t>browser chrome150</t>
        </is>
      </c>
      <c r="D226" s="2" t="n">
        <v>1767</v>
      </c>
      <c r="E226" s="2" t="n">
        <v>1767</v>
      </c>
      <c r="F226" s="2" t="n">
        <v>1</v>
      </c>
      <c r="G226" s="2" t="n">
        <v>1</v>
      </c>
      <c r="H226" s="2" t="n">
        <v>1</v>
      </c>
      <c r="I226" s="2" t="n">
        <v>0</v>
      </c>
    </row>
    <row r="227">
      <c r="A227" s="2" t="n">
        <v>225</v>
      </c>
      <c r="B227" s="2" t="inlineStr">
        <is>
          <t>flip</t>
        </is>
      </c>
      <c r="C227" s="2" t="inlineStr">
        <is>
          <t>openssl TLS 1.2 only</t>
        </is>
      </c>
      <c r="D227" s="2" t="n">
        <v>215</v>
      </c>
      <c r="E227" s="2" t="n">
        <v>215</v>
      </c>
      <c r="F227" s="2" t="n">
        <v>1</v>
      </c>
      <c r="G227" s="2" t="n">
        <v>0</v>
      </c>
      <c r="H227" s="2" t="n">
        <v>0</v>
      </c>
      <c r="I227" s="2" t="n">
        <v>0</v>
      </c>
    </row>
    <row r="228">
      <c r="A228" s="2" t="n">
        <v>226</v>
      </c>
      <c r="B228" s="2" t="inlineStr">
        <is>
          <t>truncate</t>
        </is>
      </c>
      <c r="C228" s="2" t="inlineStr">
        <is>
          <t>openssl TLS 1.2 only</t>
        </is>
      </c>
      <c r="D228" s="2" t="n">
        <v>95</v>
      </c>
      <c r="E228" s="2" t="n">
        <v>95</v>
      </c>
      <c r="F228" s="2" t="n">
        <v>1</v>
      </c>
      <c r="G228" s="2" t="n">
        <v>0</v>
      </c>
      <c r="H228" s="2" t="n">
        <v>0</v>
      </c>
      <c r="I228" s="2" t="n">
        <v>0</v>
      </c>
    </row>
    <row r="229">
      <c r="A229" s="2" t="n">
        <v>227</v>
      </c>
      <c r="B229" s="2" t="inlineStr">
        <is>
          <t>length</t>
        </is>
      </c>
      <c r="C229" s="2" t="inlineStr">
        <is>
          <t>openssl 3.5.8 default</t>
        </is>
      </c>
      <c r="D229" s="2" t="n">
        <v>1548</v>
      </c>
      <c r="E229" s="2" t="n">
        <v>1548</v>
      </c>
      <c r="F229" s="2" t="n">
        <v>1</v>
      </c>
      <c r="G229" s="2" t="n">
        <v>0</v>
      </c>
      <c r="H229" s="2" t="n">
        <v>0</v>
      </c>
      <c r="I229" s="2" t="n">
        <v>0</v>
      </c>
    </row>
    <row r="230">
      <c r="A230" s="2" t="n">
        <v>228</v>
      </c>
      <c r="B230" s="2" t="inlineStr">
        <is>
          <t>insert</t>
        </is>
      </c>
      <c r="C230" s="2" t="inlineStr">
        <is>
          <t>browser firefox147</t>
        </is>
      </c>
      <c r="D230" s="2" t="n">
        <v>1915</v>
      </c>
      <c r="E230" s="2" t="n">
        <v>1915</v>
      </c>
      <c r="F230" s="2" t="n">
        <v>1</v>
      </c>
      <c r="G230" s="2" t="n">
        <v>1</v>
      </c>
      <c r="H230" s="2" t="n">
        <v>0</v>
      </c>
      <c r="I230" s="2" t="n">
        <v>0</v>
      </c>
    </row>
    <row r="231">
      <c r="A231" s="2" t="n">
        <v>229</v>
      </c>
      <c r="B231" s="2" t="inlineStr">
        <is>
          <t>flip</t>
        </is>
      </c>
      <c r="C231" s="2" t="inlineStr">
        <is>
          <t>browser chrome150</t>
        </is>
      </c>
      <c r="D231" s="2" t="n">
        <v>1763</v>
      </c>
      <c r="E231" s="2" t="n">
        <v>1763</v>
      </c>
      <c r="F231" s="2" t="n">
        <v>1</v>
      </c>
      <c r="G231" s="2" t="n">
        <v>1</v>
      </c>
      <c r="H231" s="2" t="n">
        <v>1</v>
      </c>
      <c r="I231" s="2" t="n">
        <v>0</v>
      </c>
    </row>
    <row r="232">
      <c r="A232" s="2" t="n">
        <v>230</v>
      </c>
      <c r="B232" s="2" t="inlineStr">
        <is>
          <t>truncate</t>
        </is>
      </c>
      <c r="C232" s="2" t="inlineStr">
        <is>
          <t>openssl X25519 only (classical)</t>
        </is>
      </c>
      <c r="D232" s="2" t="n">
        <v>67</v>
      </c>
      <c r="E232" s="2" t="n">
        <v>67</v>
      </c>
      <c r="F232" s="2" t="n">
        <v>1</v>
      </c>
      <c r="G232" s="2" t="n">
        <v>0</v>
      </c>
      <c r="H232" s="2" t="n">
        <v>0</v>
      </c>
      <c r="I232" s="2" t="n">
        <v>0</v>
      </c>
    </row>
    <row r="233">
      <c r="A233" s="2" t="n">
        <v>231</v>
      </c>
      <c r="B233" s="2" t="inlineStr">
        <is>
          <t>length</t>
        </is>
      </c>
      <c r="C233" s="2" t="inlineStr">
        <is>
          <t>openssl 3.5.8 default</t>
        </is>
      </c>
      <c r="D233" s="2" t="n">
        <v>1548</v>
      </c>
      <c r="E233" s="2" t="n">
        <v>1548</v>
      </c>
      <c r="F233" s="2" t="n">
        <v>0</v>
      </c>
      <c r="G233" s="2" t="n">
        <v>0</v>
      </c>
      <c r="H233" s="2" t="n">
        <v>0</v>
      </c>
      <c r="I233" s="2" t="n">
        <v>0</v>
      </c>
    </row>
    <row r="234">
      <c r="A234" s="2" t="n">
        <v>232</v>
      </c>
      <c r="B234" s="2" t="inlineStr">
        <is>
          <t>insert</t>
        </is>
      </c>
      <c r="C234" s="2" t="inlineStr">
        <is>
          <t>openssl TLS 1.2 only</t>
        </is>
      </c>
      <c r="D234" s="2" t="n">
        <v>231</v>
      </c>
      <c r="E234" s="2" t="n">
        <v>231</v>
      </c>
      <c r="F234" s="2" t="n">
        <v>1</v>
      </c>
      <c r="G234" s="2" t="n">
        <v>0</v>
      </c>
      <c r="H234" s="2" t="n">
        <v>0</v>
      </c>
      <c r="I234" s="2" t="n">
        <v>0</v>
      </c>
    </row>
    <row r="235">
      <c r="A235" s="2" t="n">
        <v>233</v>
      </c>
      <c r="B235" s="2" t="inlineStr">
        <is>
          <t>flip</t>
        </is>
      </c>
      <c r="C235" s="2" t="inlineStr">
        <is>
          <t>openssl 3.5.8 default</t>
        </is>
      </c>
      <c r="D235" s="2" t="n">
        <v>1548</v>
      </c>
      <c r="E235" s="2" t="n">
        <v>1548</v>
      </c>
      <c r="F235" s="2" t="n">
        <v>1</v>
      </c>
      <c r="G235" s="2" t="n">
        <v>1</v>
      </c>
      <c r="H235" s="2" t="n">
        <v>1</v>
      </c>
      <c r="I235" s="2" t="n">
        <v>0</v>
      </c>
    </row>
    <row r="236">
      <c r="A236" s="2" t="n">
        <v>234</v>
      </c>
      <c r="B236" s="2" t="inlineStr">
        <is>
          <t>truncate</t>
        </is>
      </c>
      <c r="C236" s="2" t="inlineStr">
        <is>
          <t>browser firefox147</t>
        </is>
      </c>
      <c r="D236" s="2" t="n">
        <v>105</v>
      </c>
      <c r="E236" s="2" t="n">
        <v>105</v>
      </c>
      <c r="F236" s="2" t="n">
        <v>1</v>
      </c>
      <c r="G236" s="2" t="n">
        <v>0</v>
      </c>
      <c r="H236" s="2" t="n">
        <v>0</v>
      </c>
      <c r="I236" s="2" t="n">
        <v>0</v>
      </c>
    </row>
    <row r="237">
      <c r="A237" s="2" t="n">
        <v>235</v>
      </c>
      <c r="B237" s="2" t="inlineStr">
        <is>
          <t>length</t>
        </is>
      </c>
      <c r="C237" s="2" t="inlineStr">
        <is>
          <t>browser firefox147</t>
        </is>
      </c>
      <c r="D237" s="2" t="n">
        <v>1901</v>
      </c>
      <c r="E237" s="2" t="n">
        <v>1901</v>
      </c>
      <c r="F237" s="2" t="n">
        <v>1</v>
      </c>
      <c r="G237" s="2" t="n">
        <v>1</v>
      </c>
      <c r="H237" s="2" t="n">
        <v>0</v>
      </c>
      <c r="I237" s="2" t="n">
        <v>0</v>
      </c>
    </row>
    <row r="238">
      <c r="A238" s="2" t="n">
        <v>236</v>
      </c>
      <c r="B238" s="2" t="inlineStr">
        <is>
          <t>insert</t>
        </is>
      </c>
      <c r="C238" s="2" t="inlineStr">
        <is>
          <t>openssl X25519 only (classical)</t>
        </is>
      </c>
      <c r="D238" s="2" t="n">
        <v>328</v>
      </c>
      <c r="E238" s="2" t="n">
        <v>328</v>
      </c>
      <c r="F238" s="2" t="n">
        <v>1</v>
      </c>
      <c r="G238" s="2" t="n">
        <v>0</v>
      </c>
      <c r="H238" s="2" t="n">
        <v>0</v>
      </c>
      <c r="I238" s="2" t="n">
        <v>0</v>
      </c>
    </row>
    <row r="239">
      <c r="A239" s="2" t="n">
        <v>237</v>
      </c>
      <c r="B239" s="2" t="inlineStr">
        <is>
          <t>flip</t>
        </is>
      </c>
      <c r="C239" s="2" t="inlineStr">
        <is>
          <t>openssl TLS 1.2 only</t>
        </is>
      </c>
      <c r="D239" s="2" t="n">
        <v>215</v>
      </c>
      <c r="E239" s="2" t="n">
        <v>215</v>
      </c>
      <c r="F239" s="2" t="n">
        <v>1</v>
      </c>
      <c r="G239" s="2" t="n">
        <v>1</v>
      </c>
      <c r="H239" s="2" t="n">
        <v>0</v>
      </c>
      <c r="I239" s="2" t="n">
        <v>0</v>
      </c>
    </row>
    <row r="240">
      <c r="A240" s="2" t="n">
        <v>238</v>
      </c>
      <c r="B240" s="2" t="inlineStr">
        <is>
          <t>truncate</t>
        </is>
      </c>
      <c r="C240" s="2" t="inlineStr">
        <is>
          <t>openssl X25519 only (classical)</t>
        </is>
      </c>
      <c r="D240" s="2" t="n">
        <v>200</v>
      </c>
      <c r="E240" s="2" t="n">
        <v>200</v>
      </c>
      <c r="F240" s="2" t="n">
        <v>1</v>
      </c>
      <c r="G240" s="2" t="n">
        <v>1</v>
      </c>
      <c r="H240" s="2" t="n">
        <v>0</v>
      </c>
      <c r="I240" s="2" t="n">
        <v>0</v>
      </c>
    </row>
    <row r="241">
      <c r="A241" s="2" t="n">
        <v>239</v>
      </c>
      <c r="B241" s="2" t="inlineStr">
        <is>
          <t>length</t>
        </is>
      </c>
      <c r="C241" s="2" t="inlineStr">
        <is>
          <t>openssl X25519 only (classical)</t>
        </is>
      </c>
      <c r="D241" s="2" t="n">
        <v>314</v>
      </c>
      <c r="E241" s="2" t="n">
        <v>314</v>
      </c>
      <c r="F241" s="2" t="n">
        <v>1</v>
      </c>
      <c r="G241" s="2" t="n">
        <v>0</v>
      </c>
      <c r="H241" s="2" t="n">
        <v>0</v>
      </c>
      <c r="I241" s="2" t="n">
        <v>0</v>
      </c>
    </row>
    <row r="242">
      <c r="A242" s="2" t="n">
        <v>240</v>
      </c>
      <c r="B242" s="2" t="inlineStr">
        <is>
          <t>insert</t>
        </is>
      </c>
      <c r="C242" s="2" t="inlineStr">
        <is>
          <t>browser firefox147</t>
        </is>
      </c>
      <c r="D242" s="2" t="n">
        <v>1914</v>
      </c>
      <c r="E242" s="2" t="n">
        <v>1914</v>
      </c>
      <c r="F242" s="2" t="n">
        <v>1</v>
      </c>
      <c r="G242" s="2" t="n">
        <v>1</v>
      </c>
      <c r="H242" s="2" t="n">
        <v>0</v>
      </c>
      <c r="I242" s="2" t="n">
        <v>0</v>
      </c>
    </row>
    <row r="243">
      <c r="A243" s="2" t="n">
        <v>241</v>
      </c>
      <c r="B243" s="2" t="inlineStr">
        <is>
          <t>flip</t>
        </is>
      </c>
      <c r="C243" s="2" t="inlineStr">
        <is>
          <t>openssl X25519 only (classical)</t>
        </is>
      </c>
      <c r="D243" s="2" t="n">
        <v>314</v>
      </c>
      <c r="E243" s="2" t="n">
        <v>314</v>
      </c>
      <c r="F243" s="2" t="n">
        <v>1</v>
      </c>
      <c r="G243" s="2" t="n">
        <v>1</v>
      </c>
      <c r="H243" s="2" t="n">
        <v>1</v>
      </c>
      <c r="I243" s="2" t="n">
        <v>0</v>
      </c>
    </row>
    <row r="244">
      <c r="A244" s="2" t="n">
        <v>242</v>
      </c>
      <c r="B244" s="2" t="inlineStr">
        <is>
          <t>truncate</t>
        </is>
      </c>
      <c r="C244" s="2" t="inlineStr">
        <is>
          <t>browser chrome150</t>
        </is>
      </c>
      <c r="D244" s="2" t="n">
        <v>1523</v>
      </c>
      <c r="E244" s="2" t="n">
        <v>1523</v>
      </c>
      <c r="F244" s="2" t="n">
        <v>1</v>
      </c>
      <c r="G244" s="2" t="n">
        <v>1</v>
      </c>
      <c r="H244" s="2" t="n">
        <v>1</v>
      </c>
      <c r="I244" s="2" t="n">
        <v>0</v>
      </c>
    </row>
    <row r="245">
      <c r="A245" s="2" t="n">
        <v>243</v>
      </c>
      <c r="B245" s="2" t="inlineStr">
        <is>
          <t>length</t>
        </is>
      </c>
      <c r="C245" s="2" t="inlineStr">
        <is>
          <t>browser firefox147</t>
        </is>
      </c>
      <c r="D245" s="2" t="n">
        <v>1901</v>
      </c>
      <c r="E245" s="2" t="n">
        <v>1901</v>
      </c>
      <c r="F245" s="2" t="n">
        <v>1</v>
      </c>
      <c r="G245" s="2" t="n">
        <v>0</v>
      </c>
      <c r="H245" s="2" t="n">
        <v>0</v>
      </c>
      <c r="I245" s="2" t="n">
        <v>0</v>
      </c>
    </row>
    <row r="246">
      <c r="A246" s="2" t="n">
        <v>244</v>
      </c>
      <c r="B246" s="2" t="inlineStr">
        <is>
          <t>insert</t>
        </is>
      </c>
      <c r="C246" s="2" t="inlineStr">
        <is>
          <t>browser firefox147</t>
        </is>
      </c>
      <c r="D246" s="2" t="n">
        <v>1917</v>
      </c>
      <c r="E246" s="2" t="n">
        <v>1917</v>
      </c>
      <c r="F246" s="2" t="n">
        <v>1</v>
      </c>
      <c r="G246" s="2" t="n">
        <v>1</v>
      </c>
      <c r="H246" s="2" t="n">
        <v>0</v>
      </c>
      <c r="I246" s="2" t="n">
        <v>0</v>
      </c>
    </row>
    <row r="247">
      <c r="A247" s="2" t="n">
        <v>245</v>
      </c>
      <c r="B247" s="2" t="inlineStr">
        <is>
          <t>flip</t>
        </is>
      </c>
      <c r="C247" s="2" t="inlineStr">
        <is>
          <t>openssl TLS 1.2 only</t>
        </is>
      </c>
      <c r="D247" s="2" t="n">
        <v>215</v>
      </c>
      <c r="E247" s="2" t="n">
        <v>215</v>
      </c>
      <c r="F247" s="2" t="n">
        <v>1</v>
      </c>
      <c r="G247" s="2" t="n">
        <v>1</v>
      </c>
      <c r="H247" s="2" t="n">
        <v>1</v>
      </c>
      <c r="I247" s="2" t="n">
        <v>0</v>
      </c>
    </row>
    <row r="248">
      <c r="A248" s="2" t="n">
        <v>246</v>
      </c>
      <c r="B248" s="2" t="inlineStr">
        <is>
          <t>truncate</t>
        </is>
      </c>
      <c r="C248" s="2" t="inlineStr">
        <is>
          <t>openssl TLS 1.2 only</t>
        </is>
      </c>
      <c r="D248" s="2" t="n">
        <v>181</v>
      </c>
      <c r="E248" s="2" t="n">
        <v>181</v>
      </c>
      <c r="F248" s="2" t="n">
        <v>1</v>
      </c>
      <c r="G248" s="2" t="n">
        <v>1</v>
      </c>
      <c r="H248" s="2" t="n">
        <v>1</v>
      </c>
      <c r="I248" s="2" t="n">
        <v>0</v>
      </c>
    </row>
    <row r="249">
      <c r="A249" s="2" t="n">
        <v>247</v>
      </c>
      <c r="B249" s="2" t="inlineStr">
        <is>
          <t>length</t>
        </is>
      </c>
      <c r="C249" s="2" t="inlineStr">
        <is>
          <t>openssl 3.5.8 default</t>
        </is>
      </c>
      <c r="D249" s="2" t="n">
        <v>1548</v>
      </c>
      <c r="E249" s="2" t="n">
        <v>1548</v>
      </c>
      <c r="F249" s="2" t="n">
        <v>0</v>
      </c>
      <c r="G249" s="2" t="n">
        <v>0</v>
      </c>
      <c r="H249" s="2" t="n">
        <v>0</v>
      </c>
      <c r="I249" s="2" t="n">
        <v>0</v>
      </c>
    </row>
    <row r="250">
      <c r="A250" s="2" t="n">
        <v>248</v>
      </c>
      <c r="B250" s="2" t="inlineStr">
        <is>
          <t>insert</t>
        </is>
      </c>
      <c r="C250" s="2" t="inlineStr">
        <is>
          <t>openssl 3.5.8 default</t>
        </is>
      </c>
      <c r="D250" s="2" t="n">
        <v>1550</v>
      </c>
      <c r="E250" s="2" t="n">
        <v>1550</v>
      </c>
      <c r="F250" s="2" t="n">
        <v>1</v>
      </c>
      <c r="G250" s="2" t="n">
        <v>1</v>
      </c>
      <c r="H250" s="2" t="n">
        <v>1</v>
      </c>
      <c r="I250" s="2" t="n">
        <v>0</v>
      </c>
    </row>
    <row r="251">
      <c r="A251" s="2" t="n">
        <v>249</v>
      </c>
      <c r="B251" s="2" t="inlineStr">
        <is>
          <t>flip</t>
        </is>
      </c>
      <c r="C251" s="2" t="inlineStr">
        <is>
          <t>browser firefox147</t>
        </is>
      </c>
      <c r="D251" s="2" t="n">
        <v>1901</v>
      </c>
      <c r="E251" s="2" t="n">
        <v>1901</v>
      </c>
      <c r="F251" s="2" t="n">
        <v>1</v>
      </c>
      <c r="G251" s="2" t="n">
        <v>1</v>
      </c>
      <c r="H251" s="2" t="n">
        <v>0</v>
      </c>
      <c r="I251" s="2" t="n">
        <v>0</v>
      </c>
    </row>
    <row r="252">
      <c r="A252" s="2" t="n">
        <v>250</v>
      </c>
      <c r="B252" s="2" t="inlineStr">
        <is>
          <t>truncate</t>
        </is>
      </c>
      <c r="C252" s="2" t="inlineStr">
        <is>
          <t>openssl TLS 1.2 only</t>
        </is>
      </c>
      <c r="D252" s="2" t="n">
        <v>126</v>
      </c>
      <c r="E252" s="2" t="n">
        <v>126</v>
      </c>
      <c r="F252" s="2" t="n">
        <v>1</v>
      </c>
      <c r="G252" s="2" t="n">
        <v>1</v>
      </c>
      <c r="H252" s="2" t="n">
        <v>0</v>
      </c>
      <c r="I252" s="2" t="n">
        <v>0</v>
      </c>
    </row>
    <row r="253">
      <c r="A253" s="2" t="n">
        <v>251</v>
      </c>
      <c r="B253" s="2" t="inlineStr">
        <is>
          <t>length</t>
        </is>
      </c>
      <c r="C253" s="2" t="inlineStr">
        <is>
          <t>openssl 3.5.8 default</t>
        </is>
      </c>
      <c r="D253" s="2" t="n">
        <v>1548</v>
      </c>
      <c r="E253" s="2" t="n">
        <v>1548</v>
      </c>
      <c r="F253" s="2" t="n">
        <v>1</v>
      </c>
      <c r="G253" s="2" t="n">
        <v>0</v>
      </c>
      <c r="H253" s="2" t="n">
        <v>0</v>
      </c>
      <c r="I253" s="2" t="n">
        <v>0</v>
      </c>
    </row>
    <row r="254">
      <c r="A254" s="2" t="n">
        <v>252</v>
      </c>
      <c r="B254" s="2" t="inlineStr">
        <is>
          <t>insert</t>
        </is>
      </c>
      <c r="C254" s="2" t="inlineStr">
        <is>
          <t>openssl TLS 1.2 only</t>
        </is>
      </c>
      <c r="D254" s="2" t="n">
        <v>221</v>
      </c>
      <c r="E254" s="2" t="n">
        <v>221</v>
      </c>
      <c r="F254" s="2" t="n">
        <v>1</v>
      </c>
      <c r="G254" s="2" t="n">
        <v>1</v>
      </c>
      <c r="H254" s="2" t="n">
        <v>0</v>
      </c>
      <c r="I254" s="2" t="n">
        <v>0</v>
      </c>
    </row>
    <row r="255">
      <c r="A255" s="2" t="n">
        <v>253</v>
      </c>
      <c r="B255" s="2" t="inlineStr">
        <is>
          <t>flip</t>
        </is>
      </c>
      <c r="C255" s="2" t="inlineStr">
        <is>
          <t>browser firefox147</t>
        </is>
      </c>
      <c r="D255" s="2" t="n">
        <v>1901</v>
      </c>
      <c r="E255" s="2" t="n">
        <v>1901</v>
      </c>
      <c r="F255" s="2" t="n">
        <v>1</v>
      </c>
      <c r="G255" s="2" t="n">
        <v>1</v>
      </c>
      <c r="H255" s="2" t="n">
        <v>1</v>
      </c>
      <c r="I255" s="2" t="n">
        <v>0</v>
      </c>
    </row>
    <row r="256">
      <c r="A256" s="2" t="n">
        <v>254</v>
      </c>
      <c r="B256" s="2" t="inlineStr">
        <is>
          <t>truncate</t>
        </is>
      </c>
      <c r="C256" s="2" t="inlineStr">
        <is>
          <t>browser chrome150</t>
        </is>
      </c>
      <c r="D256" s="2" t="n">
        <v>984</v>
      </c>
      <c r="E256" s="2" t="n">
        <v>984</v>
      </c>
      <c r="F256" s="2" t="n">
        <v>1</v>
      </c>
      <c r="G256" s="2" t="n">
        <v>1</v>
      </c>
      <c r="H256" s="2" t="n">
        <v>1</v>
      </c>
      <c r="I256" s="2" t="n">
        <v>0</v>
      </c>
    </row>
    <row r="257">
      <c r="A257" s="2" t="n">
        <v>255</v>
      </c>
      <c r="B257" s="2" t="inlineStr">
        <is>
          <t>length</t>
        </is>
      </c>
      <c r="C257" s="2" t="inlineStr">
        <is>
          <t>openssl TLS 1.2 only</t>
        </is>
      </c>
      <c r="D257" s="2" t="n">
        <v>215</v>
      </c>
      <c r="E257" s="2" t="n">
        <v>215</v>
      </c>
      <c r="F257" s="2" t="n">
        <v>1</v>
      </c>
      <c r="G257" s="2" t="n">
        <v>1</v>
      </c>
      <c r="H257" s="2" t="n">
        <v>1</v>
      </c>
      <c r="I257" s="2" t="n">
        <v>0</v>
      </c>
    </row>
    <row r="258">
      <c r="A258" s="2" t="n">
        <v>256</v>
      </c>
      <c r="B258" s="2" t="inlineStr">
        <is>
          <t>insert</t>
        </is>
      </c>
      <c r="C258" s="2" t="inlineStr">
        <is>
          <t>openssl TLS 1.2 only</t>
        </is>
      </c>
      <c r="D258" s="2" t="n">
        <v>218</v>
      </c>
      <c r="E258" s="2" t="n">
        <v>218</v>
      </c>
      <c r="F258" s="2" t="n">
        <v>1</v>
      </c>
      <c r="G258" s="2" t="n">
        <v>1</v>
      </c>
      <c r="H258" s="2" t="n">
        <v>1</v>
      </c>
      <c r="I258" s="2" t="n">
        <v>0</v>
      </c>
    </row>
    <row r="259">
      <c r="A259" s="2" t="n">
        <v>257</v>
      </c>
      <c r="B259" s="2" t="inlineStr">
        <is>
          <t>flip</t>
        </is>
      </c>
      <c r="C259" s="2" t="inlineStr">
        <is>
          <t>browser firefox147</t>
        </is>
      </c>
      <c r="D259" s="2" t="n">
        <v>1901</v>
      </c>
      <c r="E259" s="2" t="n">
        <v>1901</v>
      </c>
      <c r="F259" s="2" t="n">
        <v>1</v>
      </c>
      <c r="G259" s="2" t="n">
        <v>1</v>
      </c>
      <c r="H259" s="2" t="n">
        <v>0</v>
      </c>
      <c r="I259" s="2" t="n">
        <v>0</v>
      </c>
    </row>
    <row r="260">
      <c r="A260" s="2" t="n">
        <v>258</v>
      </c>
      <c r="B260" s="2" t="inlineStr">
        <is>
          <t>truncate</t>
        </is>
      </c>
      <c r="C260" s="2" t="inlineStr">
        <is>
          <t>openssl X25519 only (classical)</t>
        </is>
      </c>
      <c r="D260" s="2" t="n">
        <v>116</v>
      </c>
      <c r="E260" s="2" t="n">
        <v>116</v>
      </c>
      <c r="F260" s="2" t="n">
        <v>1</v>
      </c>
      <c r="G260" s="2" t="n">
        <v>0</v>
      </c>
      <c r="H260" s="2" t="n">
        <v>0</v>
      </c>
      <c r="I260" s="2" t="n">
        <v>0</v>
      </c>
    </row>
    <row r="261">
      <c r="A261" s="2" t="n">
        <v>259</v>
      </c>
      <c r="B261" s="2" t="inlineStr">
        <is>
          <t>length</t>
        </is>
      </c>
      <c r="C261" s="2" t="inlineStr">
        <is>
          <t>browser firefox147</t>
        </is>
      </c>
      <c r="D261" s="2" t="n">
        <v>1901</v>
      </c>
      <c r="E261" s="2" t="n">
        <v>1901</v>
      </c>
      <c r="F261" s="2" t="n">
        <v>1</v>
      </c>
      <c r="G261" s="2" t="n">
        <v>1</v>
      </c>
      <c r="H261" s="2" t="n">
        <v>0</v>
      </c>
      <c r="I261" s="2" t="n">
        <v>0</v>
      </c>
    </row>
    <row r="262">
      <c r="A262" s="2" t="n">
        <v>260</v>
      </c>
      <c r="B262" s="2" t="inlineStr">
        <is>
          <t>insert</t>
        </is>
      </c>
      <c r="C262" s="2" t="inlineStr">
        <is>
          <t>openssl TLS 1.2 only</t>
        </is>
      </c>
      <c r="D262" s="2" t="n">
        <v>216</v>
      </c>
      <c r="E262" s="2" t="n">
        <v>216</v>
      </c>
      <c r="F262" s="2" t="n">
        <v>0</v>
      </c>
      <c r="G262" s="2" t="n">
        <v>0</v>
      </c>
      <c r="H262" s="2" t="n">
        <v>0</v>
      </c>
      <c r="I262" s="2" t="n">
        <v>0</v>
      </c>
    </row>
    <row r="263">
      <c r="A263" s="2" t="n">
        <v>261</v>
      </c>
      <c r="B263" s="2" t="inlineStr">
        <is>
          <t>flip</t>
        </is>
      </c>
      <c r="C263" s="2" t="inlineStr">
        <is>
          <t>openssl TLS 1.2 only</t>
        </is>
      </c>
      <c r="D263" s="2" t="n">
        <v>215</v>
      </c>
      <c r="E263" s="2" t="n">
        <v>215</v>
      </c>
      <c r="F263" s="2" t="n">
        <v>1</v>
      </c>
      <c r="G263" s="2" t="n">
        <v>1</v>
      </c>
      <c r="H263" s="2" t="n">
        <v>1</v>
      </c>
      <c r="I263" s="2" t="n">
        <v>0</v>
      </c>
    </row>
    <row r="264">
      <c r="A264" s="2" t="n">
        <v>262</v>
      </c>
      <c r="B264" s="2" t="inlineStr">
        <is>
          <t>truncate</t>
        </is>
      </c>
      <c r="C264" s="2" t="inlineStr">
        <is>
          <t>browser firefox147</t>
        </is>
      </c>
      <c r="D264" s="2" t="n">
        <v>1473</v>
      </c>
      <c r="E264" s="2" t="n">
        <v>1473</v>
      </c>
      <c r="F264" s="2" t="n">
        <v>1</v>
      </c>
      <c r="G264" s="2" t="n">
        <v>1</v>
      </c>
      <c r="H264" s="2" t="n">
        <v>0</v>
      </c>
      <c r="I264" s="2" t="n">
        <v>0</v>
      </c>
    </row>
    <row r="265">
      <c r="A265" s="2" t="n">
        <v>263</v>
      </c>
      <c r="B265" s="2" t="inlineStr">
        <is>
          <t>length</t>
        </is>
      </c>
      <c r="C265" s="2" t="inlineStr">
        <is>
          <t>browser firefox147</t>
        </is>
      </c>
      <c r="D265" s="2" t="n">
        <v>1901</v>
      </c>
      <c r="E265" s="2" t="n">
        <v>1901</v>
      </c>
      <c r="F265" s="2" t="n">
        <v>1</v>
      </c>
      <c r="G265" s="2" t="n">
        <v>1</v>
      </c>
      <c r="H265" s="2" t="n">
        <v>0</v>
      </c>
      <c r="I265" s="2" t="n">
        <v>0</v>
      </c>
    </row>
    <row r="266">
      <c r="A266" s="2" t="n">
        <v>264</v>
      </c>
      <c r="B266" s="2" t="inlineStr">
        <is>
          <t>insert</t>
        </is>
      </c>
      <c r="C266" s="2" t="inlineStr">
        <is>
          <t>openssl TLS 1.2 only</t>
        </is>
      </c>
      <c r="D266" s="2" t="n">
        <v>219</v>
      </c>
      <c r="E266" s="2" t="n">
        <v>219</v>
      </c>
      <c r="F266" s="2" t="n">
        <v>1</v>
      </c>
      <c r="G266" s="2" t="n">
        <v>0</v>
      </c>
      <c r="H266" s="2" t="n">
        <v>0</v>
      </c>
      <c r="I266" s="2" t="n">
        <v>0</v>
      </c>
    </row>
    <row r="267">
      <c r="A267" s="2" t="n">
        <v>265</v>
      </c>
      <c r="B267" s="2" t="inlineStr">
        <is>
          <t>flip</t>
        </is>
      </c>
      <c r="C267" s="2" t="inlineStr">
        <is>
          <t>openssl 3.5.8 default</t>
        </is>
      </c>
      <c r="D267" s="2" t="n">
        <v>1548</v>
      </c>
      <c r="E267" s="2" t="n">
        <v>1548</v>
      </c>
      <c r="F267" s="2" t="n">
        <v>1</v>
      </c>
      <c r="G267" s="2" t="n">
        <v>1</v>
      </c>
      <c r="H267" s="2" t="n">
        <v>1</v>
      </c>
      <c r="I267" s="2" t="n">
        <v>0</v>
      </c>
    </row>
    <row r="268">
      <c r="A268" s="2" t="n">
        <v>266</v>
      </c>
      <c r="B268" s="2" t="inlineStr">
        <is>
          <t>truncate</t>
        </is>
      </c>
      <c r="C268" s="2" t="inlineStr">
        <is>
          <t>openssl X25519 only (classical)</t>
        </is>
      </c>
      <c r="D268" s="2" t="n">
        <v>53</v>
      </c>
      <c r="E268" s="2" t="n">
        <v>53</v>
      </c>
      <c r="F268" s="2" t="n">
        <v>1</v>
      </c>
      <c r="G268" s="2" t="n">
        <v>0</v>
      </c>
      <c r="H268" s="2" t="n">
        <v>0</v>
      </c>
      <c r="I268" s="2" t="n">
        <v>0</v>
      </c>
    </row>
    <row r="269">
      <c r="A269" s="2" t="n">
        <v>267</v>
      </c>
      <c r="B269" s="2" t="inlineStr">
        <is>
          <t>length</t>
        </is>
      </c>
      <c r="C269" s="2" t="inlineStr">
        <is>
          <t>openssl TLS 1.2 only</t>
        </is>
      </c>
      <c r="D269" s="2" t="n">
        <v>215</v>
      </c>
      <c r="E269" s="2" t="n">
        <v>215</v>
      </c>
      <c r="F269" s="2" t="n">
        <v>1</v>
      </c>
      <c r="G269" s="2" t="n">
        <v>1</v>
      </c>
      <c r="H269" s="2" t="n">
        <v>1</v>
      </c>
      <c r="I269" s="2" t="n">
        <v>0</v>
      </c>
    </row>
    <row r="270">
      <c r="A270" s="2" t="n">
        <v>268</v>
      </c>
      <c r="B270" s="2" t="inlineStr">
        <is>
          <t>insert</t>
        </is>
      </c>
      <c r="C270" s="2" t="inlineStr">
        <is>
          <t>openssl X25519 only (classical)</t>
        </is>
      </c>
      <c r="D270" s="2" t="n">
        <v>315</v>
      </c>
      <c r="E270" s="2" t="n">
        <v>315</v>
      </c>
      <c r="F270" s="2" t="n">
        <v>1</v>
      </c>
      <c r="G270" s="2" t="n">
        <v>1</v>
      </c>
      <c r="H270" s="2" t="n">
        <v>1</v>
      </c>
      <c r="I270" s="2" t="n">
        <v>0</v>
      </c>
    </row>
    <row r="271">
      <c r="A271" s="2" t="n">
        <v>269</v>
      </c>
      <c r="B271" s="2" t="inlineStr">
        <is>
          <t>flip</t>
        </is>
      </c>
      <c r="C271" s="2" t="inlineStr">
        <is>
          <t>openssl 3.5.8 default</t>
        </is>
      </c>
      <c r="D271" s="2" t="n">
        <v>1548</v>
      </c>
      <c r="E271" s="2" t="n">
        <v>1548</v>
      </c>
      <c r="F271" s="2" t="n">
        <v>1</v>
      </c>
      <c r="G271" s="2" t="n">
        <v>1</v>
      </c>
      <c r="H271" s="2" t="n">
        <v>1</v>
      </c>
      <c r="I271" s="2" t="n">
        <v>0</v>
      </c>
    </row>
    <row r="272">
      <c r="A272" s="2" t="n">
        <v>270</v>
      </c>
      <c r="B272" s="2" t="inlineStr">
        <is>
          <t>truncate</t>
        </is>
      </c>
      <c r="C272" s="2" t="inlineStr">
        <is>
          <t>openssl X25519 only (classical)</t>
        </is>
      </c>
      <c r="D272" s="2" t="n">
        <v>181</v>
      </c>
      <c r="E272" s="2" t="n">
        <v>181</v>
      </c>
      <c r="F272" s="2" t="n">
        <v>1</v>
      </c>
      <c r="G272" s="2" t="n">
        <v>1</v>
      </c>
      <c r="H272" s="2" t="n">
        <v>0</v>
      </c>
      <c r="I272" s="2" t="n">
        <v>0</v>
      </c>
    </row>
    <row r="273">
      <c r="A273" s="2" t="n">
        <v>271</v>
      </c>
      <c r="B273" s="2" t="inlineStr">
        <is>
          <t>length</t>
        </is>
      </c>
      <c r="C273" s="2" t="inlineStr">
        <is>
          <t>openssl 3.5.8 default</t>
        </is>
      </c>
      <c r="D273" s="2" t="n">
        <v>1548</v>
      </c>
      <c r="E273" s="2" t="n">
        <v>1548</v>
      </c>
      <c r="F273" s="2" t="n">
        <v>1</v>
      </c>
      <c r="G273" s="2" t="n">
        <v>0</v>
      </c>
      <c r="H273" s="2" t="n">
        <v>0</v>
      </c>
      <c r="I273" s="2" t="n">
        <v>0</v>
      </c>
    </row>
    <row r="274">
      <c r="A274" s="2" t="n">
        <v>272</v>
      </c>
      <c r="B274" s="2" t="inlineStr">
        <is>
          <t>insert</t>
        </is>
      </c>
      <c r="C274" s="2" t="inlineStr">
        <is>
          <t>browser firefox147</t>
        </is>
      </c>
      <c r="D274" s="2" t="n">
        <v>1917</v>
      </c>
      <c r="E274" s="2" t="n">
        <v>1917</v>
      </c>
      <c r="F274" s="2" t="n">
        <v>1</v>
      </c>
      <c r="G274" s="2" t="n">
        <v>1</v>
      </c>
      <c r="H274" s="2" t="n">
        <v>0</v>
      </c>
      <c r="I274" s="2" t="n">
        <v>0</v>
      </c>
    </row>
    <row r="275">
      <c r="A275" s="2" t="n">
        <v>273</v>
      </c>
      <c r="B275" s="2" t="inlineStr">
        <is>
          <t>flip</t>
        </is>
      </c>
      <c r="C275" s="2" t="inlineStr">
        <is>
          <t>browser chrome150</t>
        </is>
      </c>
      <c r="D275" s="2" t="n">
        <v>1763</v>
      </c>
      <c r="E275" s="2" t="n">
        <v>1763</v>
      </c>
      <c r="F275" s="2" t="n">
        <v>1</v>
      </c>
      <c r="G275" s="2" t="n">
        <v>1</v>
      </c>
      <c r="H275" s="2" t="n">
        <v>1</v>
      </c>
      <c r="I275" s="2" t="n">
        <v>0</v>
      </c>
    </row>
    <row r="276">
      <c r="A276" s="2" t="n">
        <v>274</v>
      </c>
      <c r="B276" s="2" t="inlineStr">
        <is>
          <t>truncate</t>
        </is>
      </c>
      <c r="C276" s="2" t="inlineStr">
        <is>
          <t>openssl 3.5.8 default</t>
        </is>
      </c>
      <c r="D276" s="2" t="n">
        <v>441</v>
      </c>
      <c r="E276" s="2" t="n">
        <v>441</v>
      </c>
      <c r="F276" s="2" t="n">
        <v>1</v>
      </c>
      <c r="G276" s="2" t="n">
        <v>1</v>
      </c>
      <c r="H276" s="2" t="n">
        <v>1</v>
      </c>
      <c r="I276" s="2" t="n">
        <v>0</v>
      </c>
    </row>
    <row r="277">
      <c r="A277" s="2" t="n">
        <v>275</v>
      </c>
      <c r="B277" s="2" t="inlineStr">
        <is>
          <t>length</t>
        </is>
      </c>
      <c r="C277" s="2" t="inlineStr">
        <is>
          <t>browser chrome150</t>
        </is>
      </c>
      <c r="D277" s="2" t="n">
        <v>1763</v>
      </c>
      <c r="E277" s="2" t="n">
        <v>1763</v>
      </c>
      <c r="F277" s="2" t="n">
        <v>1</v>
      </c>
      <c r="G277" s="2" t="n">
        <v>1</v>
      </c>
      <c r="H277" s="2" t="n">
        <v>1</v>
      </c>
      <c r="I277" s="2" t="n">
        <v>0</v>
      </c>
    </row>
    <row r="278">
      <c r="A278" s="2" t="n">
        <v>276</v>
      </c>
      <c r="B278" s="2" t="inlineStr">
        <is>
          <t>insert</t>
        </is>
      </c>
      <c r="C278" s="2" t="inlineStr">
        <is>
          <t>browser firefox147</t>
        </is>
      </c>
      <c r="D278" s="2" t="n">
        <v>1910</v>
      </c>
      <c r="E278" s="2" t="n">
        <v>1910</v>
      </c>
      <c r="F278" s="2" t="n">
        <v>1</v>
      </c>
      <c r="G278" s="2" t="n">
        <v>1</v>
      </c>
      <c r="H278" s="2" t="n">
        <v>0</v>
      </c>
      <c r="I278" s="2" t="n">
        <v>0</v>
      </c>
    </row>
    <row r="279">
      <c r="A279" s="2" t="n">
        <v>277</v>
      </c>
      <c r="B279" s="2" t="inlineStr">
        <is>
          <t>flip</t>
        </is>
      </c>
      <c r="C279" s="2" t="inlineStr">
        <is>
          <t>openssl X25519 only (classical)</t>
        </is>
      </c>
      <c r="D279" s="2" t="n">
        <v>314</v>
      </c>
      <c r="E279" s="2" t="n">
        <v>314</v>
      </c>
      <c r="F279" s="2" t="n">
        <v>1</v>
      </c>
      <c r="G279" s="2" t="n">
        <v>1</v>
      </c>
      <c r="H279" s="2" t="n">
        <v>1</v>
      </c>
      <c r="I279" s="2" t="n">
        <v>0</v>
      </c>
    </row>
    <row r="280">
      <c r="A280" s="2" t="n">
        <v>278</v>
      </c>
      <c r="B280" s="2" t="inlineStr">
        <is>
          <t>truncate</t>
        </is>
      </c>
      <c r="C280" s="2" t="inlineStr">
        <is>
          <t>openssl 3.5.8 default</t>
        </is>
      </c>
      <c r="D280" s="2" t="n">
        <v>320</v>
      </c>
      <c r="E280" s="2" t="n">
        <v>320</v>
      </c>
      <c r="F280" s="2" t="n">
        <v>1</v>
      </c>
      <c r="G280" s="2" t="n">
        <v>1</v>
      </c>
      <c r="H280" s="2" t="n">
        <v>1</v>
      </c>
      <c r="I280" s="2" t="n">
        <v>0</v>
      </c>
    </row>
    <row r="281">
      <c r="A281" s="2" t="n">
        <v>279</v>
      </c>
      <c r="B281" s="2" t="inlineStr">
        <is>
          <t>length</t>
        </is>
      </c>
      <c r="C281" s="2" t="inlineStr">
        <is>
          <t>openssl X25519 only (classical)</t>
        </is>
      </c>
      <c r="D281" s="2" t="n">
        <v>314</v>
      </c>
      <c r="E281" s="2" t="n">
        <v>314</v>
      </c>
      <c r="F281" s="2" t="n">
        <v>1</v>
      </c>
      <c r="G281" s="2" t="n">
        <v>1</v>
      </c>
      <c r="H281" s="2" t="n">
        <v>1</v>
      </c>
      <c r="I281" s="2" t="n">
        <v>0</v>
      </c>
    </row>
    <row r="282">
      <c r="A282" s="2" t="n">
        <v>280</v>
      </c>
      <c r="B282" s="2" t="inlineStr">
        <is>
          <t>insert</t>
        </is>
      </c>
      <c r="C282" s="2" t="inlineStr">
        <is>
          <t>openssl TLS 1.2 only</t>
        </is>
      </c>
      <c r="D282" s="2" t="n">
        <v>225</v>
      </c>
      <c r="E282" s="2" t="n">
        <v>225</v>
      </c>
      <c r="F282" s="2" t="n">
        <v>1</v>
      </c>
      <c r="G282" s="2" t="n">
        <v>1</v>
      </c>
      <c r="H282" s="2" t="n">
        <v>0</v>
      </c>
      <c r="I282" s="2" t="n">
        <v>0</v>
      </c>
    </row>
    <row r="283">
      <c r="A283" s="2" t="n">
        <v>281</v>
      </c>
      <c r="B283" s="2" t="inlineStr">
        <is>
          <t>flip</t>
        </is>
      </c>
      <c r="C283" s="2" t="inlineStr">
        <is>
          <t>browser chrome150</t>
        </is>
      </c>
      <c r="D283" s="2" t="n">
        <v>1763</v>
      </c>
      <c r="E283" s="2" t="n">
        <v>1763</v>
      </c>
      <c r="F283" s="2" t="n">
        <v>1</v>
      </c>
      <c r="G283" s="2" t="n">
        <v>1</v>
      </c>
      <c r="H283" s="2" t="n">
        <v>1</v>
      </c>
      <c r="I283" s="2" t="n">
        <v>0</v>
      </c>
    </row>
    <row r="284">
      <c r="A284" s="2" t="n">
        <v>282</v>
      </c>
      <c r="B284" s="2" t="inlineStr">
        <is>
          <t>truncate</t>
        </is>
      </c>
      <c r="C284" s="2" t="inlineStr">
        <is>
          <t>openssl 3.5.8 default</t>
        </is>
      </c>
      <c r="D284" s="2" t="n">
        <v>778</v>
      </c>
      <c r="E284" s="2" t="n">
        <v>778</v>
      </c>
      <c r="F284" s="2" t="n">
        <v>1</v>
      </c>
      <c r="G284" s="2" t="n">
        <v>1</v>
      </c>
      <c r="H284" s="2" t="n">
        <v>1</v>
      </c>
      <c r="I284" s="2" t="n">
        <v>0</v>
      </c>
    </row>
    <row r="285">
      <c r="A285" s="2" t="n">
        <v>283</v>
      </c>
      <c r="B285" s="2" t="inlineStr">
        <is>
          <t>length</t>
        </is>
      </c>
      <c r="C285" s="2" t="inlineStr">
        <is>
          <t>browser firefox147</t>
        </is>
      </c>
      <c r="D285" s="2" t="n">
        <v>1901</v>
      </c>
      <c r="E285" s="2" t="n">
        <v>1901</v>
      </c>
      <c r="F285" s="2" t="n">
        <v>1</v>
      </c>
      <c r="G285" s="2" t="n">
        <v>0</v>
      </c>
      <c r="H285" s="2" t="n">
        <v>0</v>
      </c>
      <c r="I285" s="2" t="n">
        <v>0</v>
      </c>
    </row>
    <row r="286">
      <c r="A286" s="2" t="n">
        <v>284</v>
      </c>
      <c r="B286" s="2" t="inlineStr">
        <is>
          <t>insert</t>
        </is>
      </c>
      <c r="C286" s="2" t="inlineStr">
        <is>
          <t>browser chrome150</t>
        </is>
      </c>
      <c r="D286" s="2" t="n">
        <v>1777</v>
      </c>
      <c r="E286" s="2" t="n">
        <v>1777</v>
      </c>
      <c r="F286" s="2" t="n">
        <v>1</v>
      </c>
      <c r="G286" s="2" t="n">
        <v>1</v>
      </c>
      <c r="H286" s="2" t="n">
        <v>1</v>
      </c>
      <c r="I286" s="2" t="n">
        <v>0</v>
      </c>
    </row>
    <row r="287">
      <c r="A287" s="2" t="n">
        <v>285</v>
      </c>
      <c r="B287" s="2" t="inlineStr">
        <is>
          <t>flip</t>
        </is>
      </c>
      <c r="C287" s="2" t="inlineStr">
        <is>
          <t>browser chrome150</t>
        </is>
      </c>
      <c r="D287" s="2" t="n">
        <v>1763</v>
      </c>
      <c r="E287" s="2" t="n">
        <v>1763</v>
      </c>
      <c r="F287" s="2" t="n">
        <v>0</v>
      </c>
      <c r="G287" s="2" t="n">
        <v>0</v>
      </c>
      <c r="H287" s="2" t="n">
        <v>0</v>
      </c>
      <c r="I287" s="2" t="n">
        <v>0</v>
      </c>
    </row>
    <row r="288">
      <c r="A288" s="2" t="n">
        <v>286</v>
      </c>
      <c r="B288" s="2" t="inlineStr">
        <is>
          <t>truncate</t>
        </is>
      </c>
      <c r="C288" s="2" t="inlineStr">
        <is>
          <t>browser firefox147</t>
        </is>
      </c>
      <c r="D288" s="2" t="n">
        <v>1564</v>
      </c>
      <c r="E288" s="2" t="n">
        <v>1564</v>
      </c>
      <c r="F288" s="2" t="n">
        <v>1</v>
      </c>
      <c r="G288" s="2" t="n">
        <v>1</v>
      </c>
      <c r="H288" s="2" t="n">
        <v>0</v>
      </c>
      <c r="I288" s="2" t="n">
        <v>0</v>
      </c>
    </row>
    <row r="289">
      <c r="A289" s="2" t="n">
        <v>287</v>
      </c>
      <c r="B289" s="2" t="inlineStr">
        <is>
          <t>length</t>
        </is>
      </c>
      <c r="C289" s="2" t="inlineStr">
        <is>
          <t>openssl TLS 1.2 only</t>
        </is>
      </c>
      <c r="D289" s="2" t="n">
        <v>215</v>
      </c>
      <c r="E289" s="2" t="n">
        <v>215</v>
      </c>
      <c r="F289" s="2" t="n">
        <v>1</v>
      </c>
      <c r="G289" s="2" t="n">
        <v>1</v>
      </c>
      <c r="H289" s="2" t="n">
        <v>0</v>
      </c>
      <c r="I289" s="2" t="n">
        <v>0</v>
      </c>
    </row>
    <row r="290">
      <c r="A290" s="2" t="n">
        <v>288</v>
      </c>
      <c r="B290" s="2" t="inlineStr">
        <is>
          <t>insert</t>
        </is>
      </c>
      <c r="C290" s="2" t="inlineStr">
        <is>
          <t>browser chrome150</t>
        </is>
      </c>
      <c r="D290" s="2" t="n">
        <v>1771</v>
      </c>
      <c r="E290" s="2" t="n">
        <v>1771</v>
      </c>
      <c r="F290" s="2" t="n">
        <v>1</v>
      </c>
      <c r="G290" s="2" t="n">
        <v>1</v>
      </c>
      <c r="H290" s="2" t="n">
        <v>1</v>
      </c>
      <c r="I290" s="2" t="n">
        <v>0</v>
      </c>
    </row>
    <row r="291">
      <c r="A291" s="2" t="n">
        <v>289</v>
      </c>
      <c r="B291" s="2" t="inlineStr">
        <is>
          <t>flip</t>
        </is>
      </c>
      <c r="C291" s="2" t="inlineStr">
        <is>
          <t>browser firefox147</t>
        </is>
      </c>
      <c r="D291" s="2" t="n">
        <v>1901</v>
      </c>
      <c r="E291" s="2" t="n">
        <v>1901</v>
      </c>
      <c r="F291" s="2" t="n">
        <v>1</v>
      </c>
      <c r="G291" s="2" t="n">
        <v>1</v>
      </c>
      <c r="H291" s="2" t="n">
        <v>0</v>
      </c>
      <c r="I291" s="2" t="n">
        <v>0</v>
      </c>
    </row>
    <row r="292">
      <c r="A292" s="2" t="n">
        <v>290</v>
      </c>
      <c r="B292" s="2" t="inlineStr">
        <is>
          <t>truncate</t>
        </is>
      </c>
      <c r="C292" s="2" t="inlineStr">
        <is>
          <t>openssl TLS 1.2 only</t>
        </is>
      </c>
      <c r="D292" s="2" t="n">
        <v>109</v>
      </c>
      <c r="E292" s="2" t="n">
        <v>109</v>
      </c>
      <c r="F292" s="2" t="n">
        <v>1</v>
      </c>
      <c r="G292" s="2" t="n">
        <v>1</v>
      </c>
      <c r="H292" s="2" t="n">
        <v>0</v>
      </c>
      <c r="I292" s="2" t="n">
        <v>0</v>
      </c>
    </row>
    <row r="293">
      <c r="A293" s="2" t="n">
        <v>291</v>
      </c>
      <c r="B293" s="2" t="inlineStr">
        <is>
          <t>length</t>
        </is>
      </c>
      <c r="C293" s="2" t="inlineStr">
        <is>
          <t>openssl TLS 1.2 only</t>
        </is>
      </c>
      <c r="D293" s="2" t="n">
        <v>215</v>
      </c>
      <c r="E293" s="2" t="n">
        <v>215</v>
      </c>
      <c r="F293" s="2" t="n">
        <v>1</v>
      </c>
      <c r="G293" s="2" t="n">
        <v>1</v>
      </c>
      <c r="H293" s="2" t="n">
        <v>1</v>
      </c>
      <c r="I293" s="2" t="n">
        <v>0</v>
      </c>
    </row>
    <row r="294">
      <c r="A294" s="2" t="n">
        <v>292</v>
      </c>
      <c r="B294" s="2" t="inlineStr">
        <is>
          <t>insert</t>
        </is>
      </c>
      <c r="C294" s="2" t="inlineStr">
        <is>
          <t>browser chrome150</t>
        </is>
      </c>
      <c r="D294" s="2" t="n">
        <v>1776</v>
      </c>
      <c r="E294" s="2" t="n">
        <v>1776</v>
      </c>
      <c r="F294" s="2" t="n">
        <v>1</v>
      </c>
      <c r="G294" s="2" t="n">
        <v>1</v>
      </c>
      <c r="H294" s="2" t="n">
        <v>1</v>
      </c>
      <c r="I294" s="2" t="n">
        <v>0</v>
      </c>
    </row>
    <row r="295">
      <c r="A295" s="2" t="n">
        <v>293</v>
      </c>
      <c r="B295" s="2" t="inlineStr">
        <is>
          <t>flip</t>
        </is>
      </c>
      <c r="C295" s="2" t="inlineStr">
        <is>
          <t>openssl TLS 1.2 only</t>
        </is>
      </c>
      <c r="D295" s="2" t="n">
        <v>215</v>
      </c>
      <c r="E295" s="2" t="n">
        <v>215</v>
      </c>
      <c r="F295" s="2" t="n">
        <v>1</v>
      </c>
      <c r="G295" s="2" t="n">
        <v>1</v>
      </c>
      <c r="H295" s="2" t="n">
        <v>1</v>
      </c>
      <c r="I295" s="2" t="n">
        <v>0</v>
      </c>
    </row>
    <row r="296">
      <c r="A296" s="2" t="n">
        <v>294</v>
      </c>
      <c r="B296" s="2" t="inlineStr">
        <is>
          <t>truncate</t>
        </is>
      </c>
      <c r="C296" s="2" t="inlineStr">
        <is>
          <t>browser chrome150</t>
        </is>
      </c>
      <c r="D296" s="2" t="n">
        <v>699</v>
      </c>
      <c r="E296" s="2" t="n">
        <v>699</v>
      </c>
      <c r="F296" s="2" t="n">
        <v>1</v>
      </c>
      <c r="G296" s="2" t="n">
        <v>1</v>
      </c>
      <c r="H296" s="2" t="n">
        <v>1</v>
      </c>
      <c r="I296" s="2" t="n">
        <v>0</v>
      </c>
    </row>
    <row r="297">
      <c r="A297" s="2" t="n">
        <v>295</v>
      </c>
      <c r="B297" s="2" t="inlineStr">
        <is>
          <t>length</t>
        </is>
      </c>
      <c r="C297" s="2" t="inlineStr">
        <is>
          <t>openssl X25519 only (classical)</t>
        </is>
      </c>
      <c r="D297" s="2" t="n">
        <v>314</v>
      </c>
      <c r="E297" s="2" t="n">
        <v>314</v>
      </c>
      <c r="F297" s="2" t="n">
        <v>1</v>
      </c>
      <c r="G297" s="2" t="n">
        <v>1</v>
      </c>
      <c r="H297" s="2" t="n">
        <v>0</v>
      </c>
      <c r="I297" s="2" t="n">
        <v>0</v>
      </c>
    </row>
    <row r="298">
      <c r="A298" s="2" t="n">
        <v>296</v>
      </c>
      <c r="B298" s="2" t="inlineStr">
        <is>
          <t>insert</t>
        </is>
      </c>
      <c r="C298" s="2" t="inlineStr">
        <is>
          <t>browser chrome150</t>
        </is>
      </c>
      <c r="D298" s="2" t="n">
        <v>1769</v>
      </c>
      <c r="E298" s="2" t="n">
        <v>1769</v>
      </c>
      <c r="F298" s="2" t="n">
        <v>1</v>
      </c>
      <c r="G298" s="2" t="n">
        <v>1</v>
      </c>
      <c r="H298" s="2" t="n">
        <v>1</v>
      </c>
      <c r="I298" s="2" t="n">
        <v>0</v>
      </c>
    </row>
    <row r="299">
      <c r="A299" s="2" t="n">
        <v>297</v>
      </c>
      <c r="B299" s="2" t="inlineStr">
        <is>
          <t>flip</t>
        </is>
      </c>
      <c r="C299" s="2" t="inlineStr">
        <is>
          <t>openssl 3.5.8 default</t>
        </is>
      </c>
      <c r="D299" s="2" t="n">
        <v>1548</v>
      </c>
      <c r="E299" s="2" t="n">
        <v>1548</v>
      </c>
      <c r="F299" s="2" t="n">
        <v>1</v>
      </c>
      <c r="G299" s="2" t="n">
        <v>1</v>
      </c>
      <c r="H299" s="2" t="n">
        <v>1</v>
      </c>
      <c r="I299" s="2" t="n">
        <v>0</v>
      </c>
    </row>
    <row r="300">
      <c r="A300" s="2" t="n">
        <v>298</v>
      </c>
      <c r="B300" s="2" t="inlineStr">
        <is>
          <t>truncate</t>
        </is>
      </c>
      <c r="C300" s="2" t="inlineStr">
        <is>
          <t>openssl 3.5.8 default</t>
        </is>
      </c>
      <c r="D300" s="2" t="n">
        <v>1387</v>
      </c>
      <c r="E300" s="2" t="n">
        <v>1387</v>
      </c>
      <c r="F300" s="2" t="n">
        <v>1</v>
      </c>
      <c r="G300" s="2" t="n">
        <v>1</v>
      </c>
      <c r="H300" s="2" t="n">
        <v>1</v>
      </c>
      <c r="I300" s="2" t="n">
        <v>0</v>
      </c>
    </row>
    <row r="301">
      <c r="A301" s="2" t="n">
        <v>299</v>
      </c>
      <c r="B301" s="2" t="inlineStr">
        <is>
          <t>length</t>
        </is>
      </c>
      <c r="C301" s="2" t="inlineStr">
        <is>
          <t>browser chrome150</t>
        </is>
      </c>
      <c r="D301" s="2" t="n">
        <v>1763</v>
      </c>
      <c r="E301" s="2" t="n">
        <v>1763</v>
      </c>
      <c r="F301" s="2" t="n">
        <v>1</v>
      </c>
      <c r="G301" s="2" t="n">
        <v>0</v>
      </c>
      <c r="H301" s="2" t="n">
        <v>0</v>
      </c>
      <c r="I301" s="2" t="n">
        <v>0</v>
      </c>
    </row>
    <row r="302">
      <c r="A302" s="2" t="n">
        <v>300</v>
      </c>
      <c r="B302" s="2" t="inlineStr">
        <is>
          <t>insert</t>
        </is>
      </c>
      <c r="C302" s="2" t="inlineStr">
        <is>
          <t>openssl 3.5.8 default</t>
        </is>
      </c>
      <c r="D302" s="2" t="n">
        <v>1563</v>
      </c>
      <c r="E302" s="2" t="n">
        <v>1563</v>
      </c>
      <c r="F302" s="2" t="n">
        <v>1</v>
      </c>
      <c r="G302" s="2" t="n">
        <v>1</v>
      </c>
      <c r="H302" s="2" t="n">
        <v>1</v>
      </c>
      <c r="I302" s="2" t="n">
        <v>0</v>
      </c>
    </row>
    <row r="303">
      <c r="A303" s="2" t="n">
        <v>301</v>
      </c>
      <c r="B303" s="2" t="inlineStr">
        <is>
          <t>flip</t>
        </is>
      </c>
      <c r="C303" s="2" t="inlineStr">
        <is>
          <t>browser chrome150</t>
        </is>
      </c>
      <c r="D303" s="2" t="n">
        <v>1763</v>
      </c>
      <c r="E303" s="2" t="n">
        <v>1763</v>
      </c>
      <c r="F303" s="2" t="n">
        <v>1</v>
      </c>
      <c r="G303" s="2" t="n">
        <v>1</v>
      </c>
      <c r="H303" s="2" t="n">
        <v>1</v>
      </c>
      <c r="I303" s="2" t="n">
        <v>0</v>
      </c>
    </row>
    <row r="304">
      <c r="A304" s="2" t="n">
        <v>302</v>
      </c>
      <c r="B304" s="2" t="inlineStr">
        <is>
          <t>truncate</t>
        </is>
      </c>
      <c r="C304" s="2" t="inlineStr">
        <is>
          <t>openssl X25519 only (classical)</t>
        </is>
      </c>
      <c r="D304" s="2" t="n">
        <v>94</v>
      </c>
      <c r="E304" s="2" t="n">
        <v>94</v>
      </c>
      <c r="F304" s="2" t="n">
        <v>1</v>
      </c>
      <c r="G304" s="2" t="n">
        <v>0</v>
      </c>
      <c r="H304" s="2" t="n">
        <v>0</v>
      </c>
      <c r="I304" s="2" t="n">
        <v>0</v>
      </c>
    </row>
    <row r="305">
      <c r="A305" s="2" t="n">
        <v>303</v>
      </c>
      <c r="B305" s="2" t="inlineStr">
        <is>
          <t>length</t>
        </is>
      </c>
      <c r="C305" s="2" t="inlineStr">
        <is>
          <t>browser chrome150</t>
        </is>
      </c>
      <c r="D305" s="2" t="n">
        <v>1763</v>
      </c>
      <c r="E305" s="2" t="n">
        <v>1763</v>
      </c>
      <c r="F305" s="2" t="n">
        <v>1</v>
      </c>
      <c r="G305" s="2" t="n">
        <v>1</v>
      </c>
      <c r="H305" s="2" t="n">
        <v>1</v>
      </c>
      <c r="I305" s="2" t="n">
        <v>0</v>
      </c>
    </row>
    <row r="306">
      <c r="A306" s="2" t="n">
        <v>304</v>
      </c>
      <c r="B306" s="2" t="inlineStr">
        <is>
          <t>insert</t>
        </is>
      </c>
      <c r="C306" s="2" t="inlineStr">
        <is>
          <t>openssl 3.5.8 default</t>
        </is>
      </c>
      <c r="D306" s="2" t="n">
        <v>1552</v>
      </c>
      <c r="E306" s="2" t="n">
        <v>1552</v>
      </c>
      <c r="F306" s="2" t="n">
        <v>1</v>
      </c>
      <c r="G306" s="2" t="n">
        <v>1</v>
      </c>
      <c r="H306" s="2" t="n">
        <v>1</v>
      </c>
      <c r="I306" s="2" t="n">
        <v>0</v>
      </c>
    </row>
    <row r="307">
      <c r="A307" s="2" t="n">
        <v>305</v>
      </c>
      <c r="B307" s="2" t="inlineStr">
        <is>
          <t>flip</t>
        </is>
      </c>
      <c r="C307" s="2" t="inlineStr">
        <is>
          <t>openssl TLS 1.2 only</t>
        </is>
      </c>
      <c r="D307" s="2" t="n">
        <v>215</v>
      </c>
      <c r="E307" s="2" t="n">
        <v>215</v>
      </c>
      <c r="F307" s="2" t="n">
        <v>1</v>
      </c>
      <c r="G307" s="2" t="n">
        <v>1</v>
      </c>
      <c r="H307" s="2" t="n">
        <v>1</v>
      </c>
      <c r="I307" s="2" t="n">
        <v>0</v>
      </c>
    </row>
    <row r="308">
      <c r="A308" s="2" t="n">
        <v>306</v>
      </c>
      <c r="B308" s="2" t="inlineStr">
        <is>
          <t>truncate</t>
        </is>
      </c>
      <c r="C308" s="2" t="inlineStr">
        <is>
          <t>openssl 3.5.8 default</t>
        </is>
      </c>
      <c r="D308" s="2" t="n">
        <v>1102</v>
      </c>
      <c r="E308" s="2" t="n">
        <v>1102</v>
      </c>
      <c r="F308" s="2" t="n">
        <v>1</v>
      </c>
      <c r="G308" s="2" t="n">
        <v>1</v>
      </c>
      <c r="H308" s="2" t="n">
        <v>1</v>
      </c>
      <c r="I308" s="2" t="n">
        <v>0</v>
      </c>
    </row>
    <row r="309">
      <c r="A309" s="2" t="n">
        <v>307</v>
      </c>
      <c r="B309" s="2" t="inlineStr">
        <is>
          <t>length</t>
        </is>
      </c>
      <c r="C309" s="2" t="inlineStr">
        <is>
          <t>browser chrome150</t>
        </is>
      </c>
      <c r="D309" s="2" t="n">
        <v>1763</v>
      </c>
      <c r="E309" s="2" t="n">
        <v>1763</v>
      </c>
      <c r="F309" s="2" t="n">
        <v>1</v>
      </c>
      <c r="G309" s="2" t="n">
        <v>1</v>
      </c>
      <c r="H309" s="2" t="n">
        <v>1</v>
      </c>
      <c r="I309" s="2" t="n">
        <v>0</v>
      </c>
    </row>
    <row r="310">
      <c r="A310" s="2" t="n">
        <v>308</v>
      </c>
      <c r="B310" s="2" t="inlineStr">
        <is>
          <t>insert</t>
        </is>
      </c>
      <c r="C310" s="2" t="inlineStr">
        <is>
          <t>openssl 3.5.8 default</t>
        </is>
      </c>
      <c r="D310" s="2" t="n">
        <v>1554</v>
      </c>
      <c r="E310" s="2" t="n">
        <v>1554</v>
      </c>
      <c r="F310" s="2" t="n">
        <v>1</v>
      </c>
      <c r="G310" s="2" t="n">
        <v>1</v>
      </c>
      <c r="H310" s="2" t="n">
        <v>1</v>
      </c>
      <c r="I310" s="2" t="n">
        <v>0</v>
      </c>
    </row>
    <row r="311">
      <c r="A311" s="2" t="n">
        <v>309</v>
      </c>
      <c r="B311" s="2" t="inlineStr">
        <is>
          <t>flip</t>
        </is>
      </c>
      <c r="C311" s="2" t="inlineStr">
        <is>
          <t>openssl 3.5.8 default</t>
        </is>
      </c>
      <c r="D311" s="2" t="n">
        <v>1548</v>
      </c>
      <c r="E311" s="2" t="n">
        <v>1548</v>
      </c>
      <c r="F311" s="2" t="n">
        <v>1</v>
      </c>
      <c r="G311" s="2" t="n">
        <v>1</v>
      </c>
      <c r="H311" s="2" t="n">
        <v>1</v>
      </c>
      <c r="I311" s="2" t="n">
        <v>0</v>
      </c>
    </row>
    <row r="312">
      <c r="A312" s="2" t="n">
        <v>310</v>
      </c>
      <c r="B312" s="2" t="inlineStr">
        <is>
          <t>truncate</t>
        </is>
      </c>
      <c r="C312" s="2" t="inlineStr">
        <is>
          <t>openssl 3.5.8 default</t>
        </is>
      </c>
      <c r="D312" s="2" t="n">
        <v>360</v>
      </c>
      <c r="E312" s="2" t="n">
        <v>360</v>
      </c>
      <c r="F312" s="2" t="n">
        <v>1</v>
      </c>
      <c r="G312" s="2" t="n">
        <v>1</v>
      </c>
      <c r="H312" s="2" t="n">
        <v>1</v>
      </c>
      <c r="I312" s="2" t="n">
        <v>0</v>
      </c>
    </row>
    <row r="313">
      <c r="A313" s="2" t="n">
        <v>311</v>
      </c>
      <c r="B313" s="2" t="inlineStr">
        <is>
          <t>length</t>
        </is>
      </c>
      <c r="C313" s="2" t="inlineStr">
        <is>
          <t>browser chrome150</t>
        </is>
      </c>
      <c r="D313" s="2" t="n">
        <v>1763</v>
      </c>
      <c r="E313" s="2" t="n">
        <v>1763</v>
      </c>
      <c r="F313" s="2" t="n">
        <v>1</v>
      </c>
      <c r="G313" s="2" t="n">
        <v>1</v>
      </c>
      <c r="H313" s="2" t="n">
        <v>1</v>
      </c>
      <c r="I313" s="2" t="n">
        <v>0</v>
      </c>
    </row>
    <row r="314">
      <c r="A314" s="2" t="n">
        <v>312</v>
      </c>
      <c r="B314" s="2" t="inlineStr">
        <is>
          <t>insert</t>
        </is>
      </c>
      <c r="C314" s="2" t="inlineStr">
        <is>
          <t>openssl 3.5.8 default</t>
        </is>
      </c>
      <c r="D314" s="2" t="n">
        <v>1555</v>
      </c>
      <c r="E314" s="2" t="n">
        <v>1555</v>
      </c>
      <c r="F314" s="2" t="n">
        <v>1</v>
      </c>
      <c r="G314" s="2" t="n">
        <v>1</v>
      </c>
      <c r="H314" s="2" t="n">
        <v>1</v>
      </c>
      <c r="I314" s="2" t="n">
        <v>0</v>
      </c>
    </row>
    <row r="315">
      <c r="A315" s="2" t="n">
        <v>313</v>
      </c>
      <c r="B315" s="2" t="inlineStr">
        <is>
          <t>flip</t>
        </is>
      </c>
      <c r="C315" s="2" t="inlineStr">
        <is>
          <t>browser firefox147</t>
        </is>
      </c>
      <c r="D315" s="2" t="n">
        <v>1901</v>
      </c>
      <c r="E315" s="2" t="n">
        <v>1901</v>
      </c>
      <c r="F315" s="2" t="n">
        <v>1</v>
      </c>
      <c r="G315" s="2" t="n">
        <v>1</v>
      </c>
      <c r="H315" s="2" t="n">
        <v>0</v>
      </c>
      <c r="I315" s="2" t="n">
        <v>0</v>
      </c>
    </row>
    <row r="316">
      <c r="A316" s="2" t="n">
        <v>314</v>
      </c>
      <c r="B316" s="2" t="inlineStr">
        <is>
          <t>truncate</t>
        </is>
      </c>
      <c r="C316" s="2" t="inlineStr">
        <is>
          <t>openssl X25519 only (classical)</t>
        </is>
      </c>
      <c r="D316" s="2" t="n">
        <v>291</v>
      </c>
      <c r="E316" s="2" t="n">
        <v>291</v>
      </c>
      <c r="F316" s="2" t="n">
        <v>1</v>
      </c>
      <c r="G316" s="2" t="n">
        <v>1</v>
      </c>
      <c r="H316" s="2" t="n">
        <v>1</v>
      </c>
      <c r="I316" s="2" t="n">
        <v>0</v>
      </c>
    </row>
    <row r="317">
      <c r="A317" s="2" t="n">
        <v>315</v>
      </c>
      <c r="B317" s="2" t="inlineStr">
        <is>
          <t>length</t>
        </is>
      </c>
      <c r="C317" s="2" t="inlineStr">
        <is>
          <t>openssl X25519 only (classical)</t>
        </is>
      </c>
      <c r="D317" s="2" t="n">
        <v>314</v>
      </c>
      <c r="E317" s="2" t="n">
        <v>314</v>
      </c>
      <c r="F317" s="2" t="n">
        <v>0</v>
      </c>
      <c r="G317" s="2" t="n">
        <v>0</v>
      </c>
      <c r="H317" s="2" t="n">
        <v>0</v>
      </c>
      <c r="I317" s="2" t="n">
        <v>0</v>
      </c>
    </row>
    <row r="318">
      <c r="A318" s="2" t="n">
        <v>316</v>
      </c>
      <c r="B318" s="2" t="inlineStr">
        <is>
          <t>insert</t>
        </is>
      </c>
      <c r="C318" s="2" t="inlineStr">
        <is>
          <t>browser chrome150</t>
        </is>
      </c>
      <c r="D318" s="2" t="n">
        <v>1771</v>
      </c>
      <c r="E318" s="2" t="n">
        <v>1771</v>
      </c>
      <c r="F318" s="2" t="n">
        <v>1</v>
      </c>
      <c r="G318" s="2" t="n">
        <v>1</v>
      </c>
      <c r="H318" s="2" t="n">
        <v>0</v>
      </c>
      <c r="I318" s="2" t="n">
        <v>0</v>
      </c>
    </row>
    <row r="319">
      <c r="A319" s="2" t="n">
        <v>317</v>
      </c>
      <c r="B319" s="2" t="inlineStr">
        <is>
          <t>flip</t>
        </is>
      </c>
      <c r="C319" s="2" t="inlineStr">
        <is>
          <t>openssl X25519 only (classical)</t>
        </is>
      </c>
      <c r="D319" s="2" t="n">
        <v>314</v>
      </c>
      <c r="E319" s="2" t="n">
        <v>314</v>
      </c>
      <c r="F319" s="2" t="n">
        <v>1</v>
      </c>
      <c r="G319" s="2" t="n">
        <v>1</v>
      </c>
      <c r="H319" s="2" t="n">
        <v>1</v>
      </c>
      <c r="I319" s="2" t="n">
        <v>0</v>
      </c>
    </row>
    <row r="320">
      <c r="A320" s="2" t="n">
        <v>318</v>
      </c>
      <c r="B320" s="2" t="inlineStr">
        <is>
          <t>truncate</t>
        </is>
      </c>
      <c r="C320" s="2" t="inlineStr">
        <is>
          <t>browser firefox147</t>
        </is>
      </c>
      <c r="D320" s="2" t="n">
        <v>1304</v>
      </c>
      <c r="E320" s="2" t="n">
        <v>1304</v>
      </c>
      <c r="F320" s="2" t="n">
        <v>1</v>
      </c>
      <c r="G320" s="2" t="n">
        <v>1</v>
      </c>
      <c r="H320" s="2" t="n">
        <v>0</v>
      </c>
      <c r="I320" s="2" t="n">
        <v>0</v>
      </c>
    </row>
    <row r="321">
      <c r="A321" s="2" t="n">
        <v>319</v>
      </c>
      <c r="B321" s="2" t="inlineStr">
        <is>
          <t>length</t>
        </is>
      </c>
      <c r="C321" s="2" t="inlineStr">
        <is>
          <t>browser chrome150</t>
        </is>
      </c>
      <c r="D321" s="2" t="n">
        <v>1763</v>
      </c>
      <c r="E321" s="2" t="n">
        <v>1763</v>
      </c>
      <c r="F321" s="2" t="n">
        <v>1</v>
      </c>
      <c r="G321" s="2" t="n">
        <v>0</v>
      </c>
      <c r="H321" s="2" t="n">
        <v>0</v>
      </c>
      <c r="I321" s="2" t="n">
        <v>0</v>
      </c>
    </row>
    <row r="322">
      <c r="A322" s="2" t="n">
        <v>320</v>
      </c>
      <c r="B322" s="2" t="inlineStr">
        <is>
          <t>insert</t>
        </is>
      </c>
      <c r="C322" s="2" t="inlineStr">
        <is>
          <t>browser chrome150</t>
        </is>
      </c>
      <c r="D322" s="2" t="n">
        <v>1776</v>
      </c>
      <c r="E322" s="2" t="n">
        <v>1776</v>
      </c>
      <c r="F322" s="2" t="n">
        <v>1</v>
      </c>
      <c r="G322" s="2" t="n">
        <v>1</v>
      </c>
      <c r="H322" s="2" t="n">
        <v>1</v>
      </c>
      <c r="I322" s="2" t="n">
        <v>0</v>
      </c>
    </row>
    <row r="323">
      <c r="A323" s="2" t="n">
        <v>321</v>
      </c>
      <c r="B323" s="2" t="inlineStr">
        <is>
          <t>flip</t>
        </is>
      </c>
      <c r="C323" s="2" t="inlineStr">
        <is>
          <t>openssl TLS 1.2 only</t>
        </is>
      </c>
      <c r="D323" s="2" t="n">
        <v>215</v>
      </c>
      <c r="E323" s="2" t="n">
        <v>215</v>
      </c>
      <c r="F323" s="2" t="n">
        <v>1</v>
      </c>
      <c r="G323" s="2" t="n">
        <v>0</v>
      </c>
      <c r="H323" s="2" t="n">
        <v>0</v>
      </c>
      <c r="I323" s="2" t="n">
        <v>0</v>
      </c>
    </row>
    <row r="324">
      <c r="A324" s="2" t="n">
        <v>322</v>
      </c>
      <c r="B324" s="2" t="inlineStr">
        <is>
          <t>truncate</t>
        </is>
      </c>
      <c r="C324" s="2" t="inlineStr">
        <is>
          <t>openssl 3.5.8 default</t>
        </is>
      </c>
      <c r="D324" s="2" t="n">
        <v>530</v>
      </c>
      <c r="E324" s="2" t="n">
        <v>530</v>
      </c>
      <c r="F324" s="2" t="n">
        <v>1</v>
      </c>
      <c r="G324" s="2" t="n">
        <v>1</v>
      </c>
      <c r="H324" s="2" t="n">
        <v>1</v>
      </c>
      <c r="I324" s="2" t="n">
        <v>0</v>
      </c>
    </row>
    <row r="325">
      <c r="A325" s="2" t="n">
        <v>323</v>
      </c>
      <c r="B325" s="2" t="inlineStr">
        <is>
          <t>length</t>
        </is>
      </c>
      <c r="C325" s="2" t="inlineStr">
        <is>
          <t>openssl TLS 1.2 only</t>
        </is>
      </c>
      <c r="D325" s="2" t="n">
        <v>215</v>
      </c>
      <c r="E325" s="2" t="n">
        <v>215</v>
      </c>
      <c r="F325" s="2" t="n">
        <v>1</v>
      </c>
      <c r="G325" s="2" t="n">
        <v>0</v>
      </c>
      <c r="H325" s="2" t="n">
        <v>0</v>
      </c>
      <c r="I325" s="2" t="n">
        <v>0</v>
      </c>
    </row>
    <row r="326">
      <c r="A326" s="2" t="n">
        <v>324</v>
      </c>
      <c r="B326" s="2" t="inlineStr">
        <is>
          <t>insert</t>
        </is>
      </c>
      <c r="C326" s="2" t="inlineStr">
        <is>
          <t>browser firefox147</t>
        </is>
      </c>
      <c r="D326" s="2" t="n">
        <v>1902</v>
      </c>
      <c r="E326" s="2" t="n">
        <v>1902</v>
      </c>
      <c r="F326" s="2" t="n">
        <v>1</v>
      </c>
      <c r="G326" s="2" t="n">
        <v>1</v>
      </c>
      <c r="H326" s="2" t="n">
        <v>0</v>
      </c>
      <c r="I326" s="2" t="n">
        <v>0</v>
      </c>
    </row>
    <row r="327">
      <c r="A327" s="2" t="n">
        <v>325</v>
      </c>
      <c r="B327" s="2" t="inlineStr">
        <is>
          <t>flip</t>
        </is>
      </c>
      <c r="C327" s="2" t="inlineStr">
        <is>
          <t>openssl 3.5.8 default</t>
        </is>
      </c>
      <c r="D327" s="2" t="n">
        <v>1548</v>
      </c>
      <c r="E327" s="2" t="n">
        <v>1548</v>
      </c>
      <c r="F327" s="2" t="n">
        <v>1</v>
      </c>
      <c r="G327" s="2" t="n">
        <v>1</v>
      </c>
      <c r="H327" s="2" t="n">
        <v>1</v>
      </c>
      <c r="I327" s="2" t="n">
        <v>0</v>
      </c>
    </row>
    <row r="328">
      <c r="A328" s="2" t="n">
        <v>326</v>
      </c>
      <c r="B328" s="2" t="inlineStr">
        <is>
          <t>truncate</t>
        </is>
      </c>
      <c r="C328" s="2" t="inlineStr">
        <is>
          <t>openssl 3.5.8 default</t>
        </is>
      </c>
      <c r="D328" s="2" t="n">
        <v>1183</v>
      </c>
      <c r="E328" s="2" t="n">
        <v>1183</v>
      </c>
      <c r="F328" s="2" t="n">
        <v>1</v>
      </c>
      <c r="G328" s="2" t="n">
        <v>1</v>
      </c>
      <c r="H328" s="2" t="n">
        <v>1</v>
      </c>
      <c r="I328" s="2" t="n">
        <v>0</v>
      </c>
    </row>
    <row r="329">
      <c r="A329" s="2" t="n">
        <v>327</v>
      </c>
      <c r="B329" s="2" t="inlineStr">
        <is>
          <t>length</t>
        </is>
      </c>
      <c r="C329" s="2" t="inlineStr">
        <is>
          <t>openssl 3.5.8 default</t>
        </is>
      </c>
      <c r="D329" s="2" t="n">
        <v>1548</v>
      </c>
      <c r="E329" s="2" t="n">
        <v>1548</v>
      </c>
      <c r="F329" s="2" t="n">
        <v>1</v>
      </c>
      <c r="G329" s="2" t="n">
        <v>0</v>
      </c>
      <c r="H329" s="2" t="n">
        <v>0</v>
      </c>
      <c r="I329" s="2" t="n">
        <v>0</v>
      </c>
    </row>
    <row r="330">
      <c r="A330" s="2" t="n">
        <v>328</v>
      </c>
      <c r="B330" s="2" t="inlineStr">
        <is>
          <t>insert</t>
        </is>
      </c>
      <c r="C330" s="2" t="inlineStr">
        <is>
          <t>openssl 3.5.8 default</t>
        </is>
      </c>
      <c r="D330" s="2" t="n">
        <v>1551</v>
      </c>
      <c r="E330" s="2" t="n">
        <v>1551</v>
      </c>
      <c r="F330" s="2" t="n">
        <v>1</v>
      </c>
      <c r="G330" s="2" t="n">
        <v>1</v>
      </c>
      <c r="H330" s="2" t="n">
        <v>1</v>
      </c>
      <c r="I330" s="2" t="n">
        <v>0</v>
      </c>
    </row>
    <row r="331">
      <c r="A331" s="2" t="n">
        <v>329</v>
      </c>
      <c r="B331" s="2" t="inlineStr">
        <is>
          <t>flip</t>
        </is>
      </c>
      <c r="C331" s="2" t="inlineStr">
        <is>
          <t>openssl X25519 only (classical)</t>
        </is>
      </c>
      <c r="D331" s="2" t="n">
        <v>314</v>
      </c>
      <c r="E331" s="2" t="n">
        <v>314</v>
      </c>
      <c r="F331" s="2" t="n">
        <v>1</v>
      </c>
      <c r="G331" s="2" t="n">
        <v>1</v>
      </c>
      <c r="H331" s="2" t="n">
        <v>1</v>
      </c>
      <c r="I331" s="2" t="n">
        <v>0</v>
      </c>
    </row>
    <row r="332">
      <c r="A332" s="2" t="n">
        <v>330</v>
      </c>
      <c r="B332" s="2" t="inlineStr">
        <is>
          <t>truncate</t>
        </is>
      </c>
      <c r="C332" s="2" t="inlineStr">
        <is>
          <t>browser chrome150</t>
        </is>
      </c>
      <c r="D332" s="2" t="n">
        <v>1398</v>
      </c>
      <c r="E332" s="2" t="n">
        <v>1398</v>
      </c>
      <c r="F332" s="2" t="n">
        <v>1</v>
      </c>
      <c r="G332" s="2" t="n">
        <v>1</v>
      </c>
      <c r="H332" s="2" t="n">
        <v>1</v>
      </c>
      <c r="I332" s="2" t="n">
        <v>0</v>
      </c>
    </row>
    <row r="333">
      <c r="A333" s="2" t="n">
        <v>331</v>
      </c>
      <c r="B333" s="2" t="inlineStr">
        <is>
          <t>length</t>
        </is>
      </c>
      <c r="C333" s="2" t="inlineStr">
        <is>
          <t>openssl 3.5.8 default</t>
        </is>
      </c>
      <c r="D333" s="2" t="n">
        <v>1548</v>
      </c>
      <c r="E333" s="2" t="n">
        <v>1548</v>
      </c>
      <c r="F333" s="2" t="n">
        <v>1</v>
      </c>
      <c r="G333" s="2" t="n">
        <v>1</v>
      </c>
      <c r="H333" s="2" t="n">
        <v>1</v>
      </c>
      <c r="I333" s="2" t="n">
        <v>0</v>
      </c>
    </row>
    <row r="334">
      <c r="A334" s="2" t="n">
        <v>332</v>
      </c>
      <c r="B334" s="2" t="inlineStr">
        <is>
          <t>insert</t>
        </is>
      </c>
      <c r="C334" s="2" t="inlineStr">
        <is>
          <t>browser firefox147</t>
        </is>
      </c>
      <c r="D334" s="2" t="n">
        <v>1904</v>
      </c>
      <c r="E334" s="2" t="n">
        <v>1904</v>
      </c>
      <c r="F334" s="2" t="n">
        <v>1</v>
      </c>
      <c r="G334" s="2" t="n">
        <v>1</v>
      </c>
      <c r="H334" s="2" t="n">
        <v>0</v>
      </c>
      <c r="I334" s="2" t="n">
        <v>0</v>
      </c>
    </row>
    <row r="335">
      <c r="A335" s="2" t="n">
        <v>333</v>
      </c>
      <c r="B335" s="2" t="inlineStr">
        <is>
          <t>flip</t>
        </is>
      </c>
      <c r="C335" s="2" t="inlineStr">
        <is>
          <t>openssl 3.5.8 default</t>
        </is>
      </c>
      <c r="D335" s="2" t="n">
        <v>1548</v>
      </c>
      <c r="E335" s="2" t="n">
        <v>1548</v>
      </c>
      <c r="F335" s="2" t="n">
        <v>1</v>
      </c>
      <c r="G335" s="2" t="n">
        <v>1</v>
      </c>
      <c r="H335" s="2" t="n">
        <v>1</v>
      </c>
      <c r="I335" s="2" t="n">
        <v>0</v>
      </c>
    </row>
    <row r="336">
      <c r="A336" s="2" t="n">
        <v>334</v>
      </c>
      <c r="B336" s="2" t="inlineStr">
        <is>
          <t>truncate</t>
        </is>
      </c>
      <c r="C336" s="2" t="inlineStr">
        <is>
          <t>openssl 3.5.8 default</t>
        </is>
      </c>
      <c r="D336" s="2" t="n">
        <v>713</v>
      </c>
      <c r="E336" s="2" t="n">
        <v>713</v>
      </c>
      <c r="F336" s="2" t="n">
        <v>1</v>
      </c>
      <c r="G336" s="2" t="n">
        <v>1</v>
      </c>
      <c r="H336" s="2" t="n">
        <v>1</v>
      </c>
      <c r="I336" s="2" t="n">
        <v>0</v>
      </c>
    </row>
    <row r="337">
      <c r="A337" s="2" t="n">
        <v>335</v>
      </c>
      <c r="B337" s="2" t="inlineStr">
        <is>
          <t>length</t>
        </is>
      </c>
      <c r="C337" s="2" t="inlineStr">
        <is>
          <t>browser chrome150</t>
        </is>
      </c>
      <c r="D337" s="2" t="n">
        <v>1763</v>
      </c>
      <c r="E337" s="2" t="n">
        <v>1763</v>
      </c>
      <c r="F337" s="2" t="n">
        <v>1</v>
      </c>
      <c r="G337" s="2" t="n">
        <v>0</v>
      </c>
      <c r="H337" s="2" t="n">
        <v>0</v>
      </c>
      <c r="I337" s="2" t="n">
        <v>0</v>
      </c>
    </row>
    <row r="338">
      <c r="A338" s="2" t="n">
        <v>336</v>
      </c>
      <c r="B338" s="2" t="inlineStr">
        <is>
          <t>insert</t>
        </is>
      </c>
      <c r="C338" s="2" t="inlineStr">
        <is>
          <t>openssl TLS 1.2 only</t>
        </is>
      </c>
      <c r="D338" s="2" t="n">
        <v>230</v>
      </c>
      <c r="E338" s="2" t="n">
        <v>230</v>
      </c>
      <c r="F338" s="2" t="n">
        <v>1</v>
      </c>
      <c r="G338" s="2" t="n">
        <v>1</v>
      </c>
      <c r="H338" s="2" t="n">
        <v>0</v>
      </c>
      <c r="I338" s="2" t="n">
        <v>0</v>
      </c>
    </row>
    <row r="339">
      <c r="A339" s="2" t="n">
        <v>337</v>
      </c>
      <c r="B339" s="2" t="inlineStr">
        <is>
          <t>flip</t>
        </is>
      </c>
      <c r="C339" s="2" t="inlineStr">
        <is>
          <t>browser firefox147</t>
        </is>
      </c>
      <c r="D339" s="2" t="n">
        <v>1901</v>
      </c>
      <c r="E339" s="2" t="n">
        <v>1901</v>
      </c>
      <c r="F339" s="2" t="n">
        <v>1</v>
      </c>
      <c r="G339" s="2" t="n">
        <v>1</v>
      </c>
      <c r="H339" s="2" t="n">
        <v>0</v>
      </c>
      <c r="I339" s="2" t="n">
        <v>0</v>
      </c>
    </row>
    <row r="340">
      <c r="A340" s="2" t="n">
        <v>338</v>
      </c>
      <c r="B340" s="2" t="inlineStr">
        <is>
          <t>truncate</t>
        </is>
      </c>
      <c r="C340" s="2" t="inlineStr">
        <is>
          <t>openssl TLS 1.2 only</t>
        </is>
      </c>
      <c r="D340" s="2" t="n">
        <v>159</v>
      </c>
      <c r="E340" s="2" t="n">
        <v>159</v>
      </c>
      <c r="F340" s="2" t="n">
        <v>1</v>
      </c>
      <c r="G340" s="2" t="n">
        <v>1</v>
      </c>
      <c r="H340" s="2" t="n">
        <v>0</v>
      </c>
      <c r="I340" s="2" t="n">
        <v>0</v>
      </c>
    </row>
    <row r="341">
      <c r="A341" s="2" t="n">
        <v>339</v>
      </c>
      <c r="B341" s="2" t="inlineStr">
        <is>
          <t>length</t>
        </is>
      </c>
      <c r="C341" s="2" t="inlineStr">
        <is>
          <t>openssl X25519 only (classical)</t>
        </is>
      </c>
      <c r="D341" s="2" t="n">
        <v>314</v>
      </c>
      <c r="E341" s="2" t="n">
        <v>314</v>
      </c>
      <c r="F341" s="2" t="n">
        <v>1</v>
      </c>
      <c r="G341" s="2" t="n">
        <v>0</v>
      </c>
      <c r="H341" s="2" t="n">
        <v>0</v>
      </c>
      <c r="I341" s="2" t="n">
        <v>0</v>
      </c>
    </row>
    <row r="342">
      <c r="A342" s="2" t="n">
        <v>340</v>
      </c>
      <c r="B342" s="2" t="inlineStr">
        <is>
          <t>insert</t>
        </is>
      </c>
      <c r="C342" s="2" t="inlineStr">
        <is>
          <t>openssl 3.5.8 default</t>
        </is>
      </c>
      <c r="D342" s="2" t="n">
        <v>1552</v>
      </c>
      <c r="E342" s="2" t="n">
        <v>1552</v>
      </c>
      <c r="F342" s="2" t="n">
        <v>1</v>
      </c>
      <c r="G342" s="2" t="n">
        <v>1</v>
      </c>
      <c r="H342" s="2" t="n">
        <v>1</v>
      </c>
      <c r="I342" s="2" t="n">
        <v>0</v>
      </c>
    </row>
    <row r="343">
      <c r="A343" s="2" t="n">
        <v>341</v>
      </c>
      <c r="B343" s="2" t="inlineStr">
        <is>
          <t>flip</t>
        </is>
      </c>
      <c r="C343" s="2" t="inlineStr">
        <is>
          <t>browser chrome150</t>
        </is>
      </c>
      <c r="D343" s="2" t="n">
        <v>1763</v>
      </c>
      <c r="E343" s="2" t="n">
        <v>1763</v>
      </c>
      <c r="F343" s="2" t="n">
        <v>1</v>
      </c>
      <c r="G343" s="2" t="n">
        <v>1</v>
      </c>
      <c r="H343" s="2" t="n">
        <v>1</v>
      </c>
      <c r="I343" s="2" t="n">
        <v>0</v>
      </c>
    </row>
    <row r="344">
      <c r="A344" s="2" t="n">
        <v>342</v>
      </c>
      <c r="B344" s="2" t="inlineStr">
        <is>
          <t>truncate</t>
        </is>
      </c>
      <c r="C344" s="2" t="inlineStr">
        <is>
          <t>browser chrome150</t>
        </is>
      </c>
      <c r="D344" s="2" t="n">
        <v>1354</v>
      </c>
      <c r="E344" s="2" t="n">
        <v>1354</v>
      </c>
      <c r="F344" s="2" t="n">
        <v>1</v>
      </c>
      <c r="G344" s="2" t="n">
        <v>1</v>
      </c>
      <c r="H344" s="2" t="n">
        <v>1</v>
      </c>
      <c r="I344" s="2" t="n">
        <v>0</v>
      </c>
    </row>
    <row r="345">
      <c r="A345" s="2" t="n">
        <v>343</v>
      </c>
      <c r="B345" s="2" t="inlineStr">
        <is>
          <t>length</t>
        </is>
      </c>
      <c r="C345" s="2" t="inlineStr">
        <is>
          <t>browser firefox147</t>
        </is>
      </c>
      <c r="D345" s="2" t="n">
        <v>1901</v>
      </c>
      <c r="E345" s="2" t="n">
        <v>1901</v>
      </c>
      <c r="F345" s="2" t="n">
        <v>1</v>
      </c>
      <c r="G345" s="2" t="n">
        <v>1</v>
      </c>
      <c r="H345" s="2" t="n">
        <v>1</v>
      </c>
      <c r="I345" s="2" t="n">
        <v>0</v>
      </c>
    </row>
    <row r="346">
      <c r="A346" s="2" t="n">
        <v>344</v>
      </c>
      <c r="B346" s="2" t="inlineStr">
        <is>
          <t>insert</t>
        </is>
      </c>
      <c r="C346" s="2" t="inlineStr">
        <is>
          <t>openssl X25519 only (classical)</t>
        </is>
      </c>
      <c r="D346" s="2" t="n">
        <v>321</v>
      </c>
      <c r="E346" s="2" t="n">
        <v>321</v>
      </c>
      <c r="F346" s="2" t="n">
        <v>1</v>
      </c>
      <c r="G346" s="2" t="n">
        <v>0</v>
      </c>
      <c r="H346" s="2" t="n">
        <v>0</v>
      </c>
      <c r="I346" s="2" t="n">
        <v>0</v>
      </c>
    </row>
    <row r="347">
      <c r="A347" s="2" t="n">
        <v>345</v>
      </c>
      <c r="B347" s="2" t="inlineStr">
        <is>
          <t>flip</t>
        </is>
      </c>
      <c r="C347" s="2" t="inlineStr">
        <is>
          <t>browser firefox147</t>
        </is>
      </c>
      <c r="D347" s="2" t="n">
        <v>1901</v>
      </c>
      <c r="E347" s="2" t="n">
        <v>1901</v>
      </c>
      <c r="F347" s="2" t="n">
        <v>1</v>
      </c>
      <c r="G347" s="2" t="n">
        <v>0</v>
      </c>
      <c r="H347" s="2" t="n">
        <v>1</v>
      </c>
      <c r="I347" s="2" t="n">
        <v>0</v>
      </c>
    </row>
    <row r="348">
      <c r="A348" s="2" t="n">
        <v>346</v>
      </c>
      <c r="B348" s="2" t="inlineStr">
        <is>
          <t>truncate</t>
        </is>
      </c>
      <c r="C348" s="2" t="inlineStr">
        <is>
          <t>openssl 3.5.8 default</t>
        </is>
      </c>
      <c r="D348" s="2" t="n">
        <v>841</v>
      </c>
      <c r="E348" s="2" t="n">
        <v>841</v>
      </c>
      <c r="F348" s="2" t="n">
        <v>1</v>
      </c>
      <c r="G348" s="2" t="n">
        <v>1</v>
      </c>
      <c r="H348" s="2" t="n">
        <v>1</v>
      </c>
      <c r="I348" s="2" t="n">
        <v>0</v>
      </c>
    </row>
    <row r="349">
      <c r="A349" s="2" t="n">
        <v>347</v>
      </c>
      <c r="B349" s="2" t="inlineStr">
        <is>
          <t>length</t>
        </is>
      </c>
      <c r="C349" s="2" t="inlineStr">
        <is>
          <t>openssl TLS 1.2 only</t>
        </is>
      </c>
      <c r="D349" s="2" t="n">
        <v>215</v>
      </c>
      <c r="E349" s="2" t="n">
        <v>215</v>
      </c>
      <c r="F349" s="2" t="n">
        <v>1</v>
      </c>
      <c r="G349" s="2" t="n">
        <v>1</v>
      </c>
      <c r="H349" s="2" t="n">
        <v>1</v>
      </c>
      <c r="I349" s="2" t="n">
        <v>0</v>
      </c>
    </row>
    <row r="350">
      <c r="A350" s="2" t="n">
        <v>348</v>
      </c>
      <c r="B350" s="2" t="inlineStr">
        <is>
          <t>insert</t>
        </is>
      </c>
      <c r="C350" s="2" t="inlineStr">
        <is>
          <t>openssl X25519 only (classical)</t>
        </is>
      </c>
      <c r="D350" s="2" t="n">
        <v>320</v>
      </c>
      <c r="E350" s="2" t="n">
        <v>320</v>
      </c>
      <c r="F350" s="2" t="n">
        <v>1</v>
      </c>
      <c r="G350" s="2" t="n">
        <v>0</v>
      </c>
      <c r="H350" s="2" t="n">
        <v>0</v>
      </c>
      <c r="I350" s="2" t="n">
        <v>0</v>
      </c>
    </row>
    <row r="351">
      <c r="A351" s="2" t="n">
        <v>349</v>
      </c>
      <c r="B351" s="2" t="inlineStr">
        <is>
          <t>flip</t>
        </is>
      </c>
      <c r="C351" s="2" t="inlineStr">
        <is>
          <t>browser chrome150</t>
        </is>
      </c>
      <c r="D351" s="2" t="n">
        <v>1763</v>
      </c>
      <c r="E351" s="2" t="n">
        <v>1763</v>
      </c>
      <c r="F351" s="2" t="n">
        <v>1</v>
      </c>
      <c r="G351" s="2" t="n">
        <v>1</v>
      </c>
      <c r="H351" s="2" t="n">
        <v>1</v>
      </c>
      <c r="I351" s="2" t="n">
        <v>0</v>
      </c>
    </row>
    <row r="352">
      <c r="A352" s="2" t="n">
        <v>350</v>
      </c>
      <c r="B352" s="2" t="inlineStr">
        <is>
          <t>truncate</t>
        </is>
      </c>
      <c r="C352" s="2" t="inlineStr">
        <is>
          <t>browser chrome150</t>
        </is>
      </c>
      <c r="D352" s="2" t="n">
        <v>1686</v>
      </c>
      <c r="E352" s="2" t="n">
        <v>1686</v>
      </c>
      <c r="F352" s="2" t="n">
        <v>1</v>
      </c>
      <c r="G352" s="2" t="n">
        <v>1</v>
      </c>
      <c r="H352" s="2" t="n">
        <v>1</v>
      </c>
      <c r="I352" s="2" t="n">
        <v>0</v>
      </c>
    </row>
    <row r="353">
      <c r="A353" s="2" t="n">
        <v>351</v>
      </c>
      <c r="B353" s="2" t="inlineStr">
        <is>
          <t>length</t>
        </is>
      </c>
      <c r="C353" s="2" t="inlineStr">
        <is>
          <t>browser firefox147</t>
        </is>
      </c>
      <c r="D353" s="2" t="n">
        <v>1901</v>
      </c>
      <c r="E353" s="2" t="n">
        <v>1901</v>
      </c>
      <c r="F353" s="2" t="n">
        <v>0</v>
      </c>
      <c r="G353" s="2" t="n">
        <v>0</v>
      </c>
      <c r="H353" s="2" t="n">
        <v>0</v>
      </c>
      <c r="I353" s="2" t="n">
        <v>0</v>
      </c>
    </row>
    <row r="354">
      <c r="A354" s="2" t="n">
        <v>352</v>
      </c>
      <c r="B354" s="2" t="inlineStr">
        <is>
          <t>insert</t>
        </is>
      </c>
      <c r="C354" s="2" t="inlineStr">
        <is>
          <t>openssl X25519 only (classical)</t>
        </is>
      </c>
      <c r="D354" s="2" t="n">
        <v>329</v>
      </c>
      <c r="E354" s="2" t="n">
        <v>329</v>
      </c>
      <c r="F354" s="2" t="n">
        <v>1</v>
      </c>
      <c r="G354" s="2" t="n">
        <v>1</v>
      </c>
      <c r="H354" s="2" t="n">
        <v>1</v>
      </c>
      <c r="I354" s="2" t="n">
        <v>0</v>
      </c>
    </row>
    <row r="355">
      <c r="A355" s="2" t="n">
        <v>353</v>
      </c>
      <c r="B355" s="2" t="inlineStr">
        <is>
          <t>flip</t>
        </is>
      </c>
      <c r="C355" s="2" t="inlineStr">
        <is>
          <t>browser firefox147</t>
        </is>
      </c>
      <c r="D355" s="2" t="n">
        <v>1901</v>
      </c>
      <c r="E355" s="2" t="n">
        <v>1901</v>
      </c>
      <c r="F355" s="2" t="n">
        <v>1</v>
      </c>
      <c r="G355" s="2" t="n">
        <v>1</v>
      </c>
      <c r="H355" s="2" t="n">
        <v>0</v>
      </c>
      <c r="I355" s="2" t="n">
        <v>0</v>
      </c>
    </row>
    <row r="356">
      <c r="A356" s="2" t="n">
        <v>354</v>
      </c>
      <c r="B356" s="2" t="inlineStr">
        <is>
          <t>truncate</t>
        </is>
      </c>
      <c r="C356" s="2" t="inlineStr">
        <is>
          <t>browser firefox147</t>
        </is>
      </c>
      <c r="D356" s="2" t="n">
        <v>1551</v>
      </c>
      <c r="E356" s="2" t="n">
        <v>1551</v>
      </c>
      <c r="F356" s="2" t="n">
        <v>1</v>
      </c>
      <c r="G356" s="2" t="n">
        <v>1</v>
      </c>
      <c r="H356" s="2" t="n">
        <v>0</v>
      </c>
      <c r="I356" s="2" t="n">
        <v>0</v>
      </c>
    </row>
    <row r="357">
      <c r="A357" s="2" t="n">
        <v>355</v>
      </c>
      <c r="B357" s="2" t="inlineStr">
        <is>
          <t>length</t>
        </is>
      </c>
      <c r="C357" s="2" t="inlineStr">
        <is>
          <t>openssl X25519 only (classical)</t>
        </is>
      </c>
      <c r="D357" s="2" t="n">
        <v>314</v>
      </c>
      <c r="E357" s="2" t="n">
        <v>314</v>
      </c>
      <c r="F357" s="2" t="n">
        <v>0</v>
      </c>
      <c r="G357" s="2" t="n">
        <v>0</v>
      </c>
      <c r="H357" s="2" t="n">
        <v>0</v>
      </c>
      <c r="I357" s="2" t="n">
        <v>0</v>
      </c>
    </row>
    <row r="358">
      <c r="A358" s="2" t="n">
        <v>356</v>
      </c>
      <c r="B358" s="2" t="inlineStr">
        <is>
          <t>insert</t>
        </is>
      </c>
      <c r="C358" s="2" t="inlineStr">
        <is>
          <t>browser firefox147</t>
        </is>
      </c>
      <c r="D358" s="2" t="n">
        <v>1906</v>
      </c>
      <c r="E358" s="2" t="n">
        <v>1906</v>
      </c>
      <c r="F358" s="2" t="n">
        <v>1</v>
      </c>
      <c r="G358" s="2" t="n">
        <v>1</v>
      </c>
      <c r="H358" s="2" t="n">
        <v>0</v>
      </c>
      <c r="I358" s="2" t="n">
        <v>0</v>
      </c>
    </row>
    <row r="359">
      <c r="A359" s="2" t="n">
        <v>357</v>
      </c>
      <c r="B359" s="2" t="inlineStr">
        <is>
          <t>flip</t>
        </is>
      </c>
      <c r="C359" s="2" t="inlineStr">
        <is>
          <t>openssl TLS 1.2 only</t>
        </is>
      </c>
      <c r="D359" s="2" t="n">
        <v>215</v>
      </c>
      <c r="E359" s="2" t="n">
        <v>215</v>
      </c>
      <c r="F359" s="2" t="n">
        <v>1</v>
      </c>
      <c r="G359" s="2" t="n">
        <v>1</v>
      </c>
      <c r="H359" s="2" t="n">
        <v>0</v>
      </c>
      <c r="I359" s="2" t="n">
        <v>0</v>
      </c>
    </row>
    <row r="360">
      <c r="A360" s="2" t="n">
        <v>358</v>
      </c>
      <c r="B360" s="2" t="inlineStr">
        <is>
          <t>truncate</t>
        </is>
      </c>
      <c r="C360" s="2" t="inlineStr">
        <is>
          <t>openssl TLS 1.2 only</t>
        </is>
      </c>
      <c r="D360" s="2" t="n">
        <v>91</v>
      </c>
      <c r="E360" s="2" t="n">
        <v>91</v>
      </c>
      <c r="F360" s="2" t="n">
        <v>1</v>
      </c>
      <c r="G360" s="2" t="n">
        <v>0</v>
      </c>
      <c r="H360" s="2" t="n">
        <v>0</v>
      </c>
      <c r="I360" s="2" t="n">
        <v>0</v>
      </c>
    </row>
    <row r="361">
      <c r="A361" s="2" t="n">
        <v>359</v>
      </c>
      <c r="B361" s="2" t="inlineStr">
        <is>
          <t>length</t>
        </is>
      </c>
      <c r="C361" s="2" t="inlineStr">
        <is>
          <t>browser chrome150</t>
        </is>
      </c>
      <c r="D361" s="2" t="n">
        <v>1763</v>
      </c>
      <c r="E361" s="2" t="n">
        <v>1763</v>
      </c>
      <c r="F361" s="2" t="n">
        <v>1</v>
      </c>
      <c r="G361" s="2" t="n">
        <v>1</v>
      </c>
      <c r="H361" s="2" t="n">
        <v>1</v>
      </c>
      <c r="I361" s="2" t="n">
        <v>0</v>
      </c>
    </row>
    <row r="362">
      <c r="A362" s="2" t="n">
        <v>360</v>
      </c>
      <c r="B362" s="2" t="inlineStr">
        <is>
          <t>insert</t>
        </is>
      </c>
      <c r="C362" s="2" t="inlineStr">
        <is>
          <t>browser chrome150</t>
        </is>
      </c>
      <c r="D362" s="2" t="n">
        <v>1774</v>
      </c>
      <c r="E362" s="2" t="n">
        <v>1774</v>
      </c>
      <c r="F362" s="2" t="n">
        <v>1</v>
      </c>
      <c r="G362" s="2" t="n">
        <v>1</v>
      </c>
      <c r="H362" s="2" t="n">
        <v>1</v>
      </c>
      <c r="I362" s="2" t="n">
        <v>0</v>
      </c>
    </row>
    <row r="363">
      <c r="A363" s="2" t="n">
        <v>361</v>
      </c>
      <c r="B363" s="2" t="inlineStr">
        <is>
          <t>flip</t>
        </is>
      </c>
      <c r="C363" s="2" t="inlineStr">
        <is>
          <t>browser firefox147</t>
        </is>
      </c>
      <c r="D363" s="2" t="n">
        <v>1901</v>
      </c>
      <c r="E363" s="2" t="n">
        <v>1901</v>
      </c>
      <c r="F363" s="2" t="n">
        <v>1</v>
      </c>
      <c r="G363" s="2" t="n">
        <v>1</v>
      </c>
      <c r="H363" s="2" t="n">
        <v>0</v>
      </c>
      <c r="I363" s="2" t="n">
        <v>0</v>
      </c>
    </row>
    <row r="364">
      <c r="A364" s="2" t="n">
        <v>362</v>
      </c>
      <c r="B364" s="2" t="inlineStr">
        <is>
          <t>truncate</t>
        </is>
      </c>
      <c r="C364" s="2" t="inlineStr">
        <is>
          <t>openssl X25519 only (classical)</t>
        </is>
      </c>
      <c r="D364" s="2" t="n">
        <v>295</v>
      </c>
      <c r="E364" s="2" t="n">
        <v>295</v>
      </c>
      <c r="F364" s="2" t="n">
        <v>1</v>
      </c>
      <c r="G364" s="2" t="n">
        <v>1</v>
      </c>
      <c r="H364" s="2" t="n">
        <v>1</v>
      </c>
      <c r="I364" s="2" t="n">
        <v>0</v>
      </c>
    </row>
    <row r="365">
      <c r="A365" s="2" t="n">
        <v>363</v>
      </c>
      <c r="B365" s="2" t="inlineStr">
        <is>
          <t>length</t>
        </is>
      </c>
      <c r="C365" s="2" t="inlineStr">
        <is>
          <t>browser firefox147</t>
        </is>
      </c>
      <c r="D365" s="2" t="n">
        <v>1901</v>
      </c>
      <c r="E365" s="2" t="n">
        <v>1901</v>
      </c>
      <c r="F365" s="2" t="n">
        <v>0</v>
      </c>
      <c r="G365" s="2" t="n">
        <v>0</v>
      </c>
      <c r="H365" s="2" t="n">
        <v>0</v>
      </c>
      <c r="I365" s="2" t="n">
        <v>0</v>
      </c>
    </row>
    <row r="366">
      <c r="A366" s="2" t="n">
        <v>364</v>
      </c>
      <c r="B366" s="2" t="inlineStr">
        <is>
          <t>insert</t>
        </is>
      </c>
      <c r="C366" s="2" t="inlineStr">
        <is>
          <t>openssl TLS 1.2 only</t>
        </is>
      </c>
      <c r="D366" s="2" t="n">
        <v>227</v>
      </c>
      <c r="E366" s="2" t="n">
        <v>227</v>
      </c>
      <c r="F366" s="2" t="n">
        <v>1</v>
      </c>
      <c r="G366" s="2" t="n">
        <v>1</v>
      </c>
      <c r="H366" s="2" t="n">
        <v>0</v>
      </c>
      <c r="I366" s="2" t="n">
        <v>0</v>
      </c>
    </row>
    <row r="367">
      <c r="A367" s="2" t="n">
        <v>365</v>
      </c>
      <c r="B367" s="2" t="inlineStr">
        <is>
          <t>flip</t>
        </is>
      </c>
      <c r="C367" s="2" t="inlineStr">
        <is>
          <t>openssl TLS 1.2 only</t>
        </is>
      </c>
      <c r="D367" s="2" t="n">
        <v>215</v>
      </c>
      <c r="E367" s="2" t="n">
        <v>215</v>
      </c>
      <c r="F367" s="2" t="n">
        <v>1</v>
      </c>
      <c r="G367" s="2" t="n">
        <v>1</v>
      </c>
      <c r="H367" s="2" t="n">
        <v>1</v>
      </c>
      <c r="I367" s="2" t="n">
        <v>0</v>
      </c>
    </row>
    <row r="368">
      <c r="A368" s="2" t="n">
        <v>366</v>
      </c>
      <c r="B368" s="2" t="inlineStr">
        <is>
          <t>truncate</t>
        </is>
      </c>
      <c r="C368" s="2" t="inlineStr">
        <is>
          <t>browser firefox147</t>
        </is>
      </c>
      <c r="D368" s="2" t="n">
        <v>914</v>
      </c>
      <c r="E368" s="2" t="n">
        <v>914</v>
      </c>
      <c r="F368" s="2" t="n">
        <v>1</v>
      </c>
      <c r="G368" s="2" t="n">
        <v>1</v>
      </c>
      <c r="H368" s="2" t="n">
        <v>0</v>
      </c>
      <c r="I368" s="2" t="n">
        <v>0</v>
      </c>
    </row>
    <row r="369">
      <c r="A369" s="2" t="n">
        <v>367</v>
      </c>
      <c r="B369" s="2" t="inlineStr">
        <is>
          <t>length</t>
        </is>
      </c>
      <c r="C369" s="2" t="inlineStr">
        <is>
          <t>openssl TLS 1.2 only</t>
        </is>
      </c>
      <c r="D369" s="2" t="n">
        <v>215</v>
      </c>
      <c r="E369" s="2" t="n">
        <v>215</v>
      </c>
      <c r="F369" s="2" t="n">
        <v>0</v>
      </c>
      <c r="G369" s="2" t="n">
        <v>0</v>
      </c>
      <c r="H369" s="2" t="n">
        <v>0</v>
      </c>
      <c r="I369" s="2" t="n">
        <v>0</v>
      </c>
    </row>
    <row r="370">
      <c r="A370" s="2" t="n">
        <v>368</v>
      </c>
      <c r="B370" s="2" t="inlineStr">
        <is>
          <t>insert</t>
        </is>
      </c>
      <c r="C370" s="2" t="inlineStr">
        <is>
          <t>openssl 3.5.8 default</t>
        </is>
      </c>
      <c r="D370" s="2" t="n">
        <v>1553</v>
      </c>
      <c r="E370" s="2" t="n">
        <v>1553</v>
      </c>
      <c r="F370" s="2" t="n">
        <v>1</v>
      </c>
      <c r="G370" s="2" t="n">
        <v>1</v>
      </c>
      <c r="H370" s="2" t="n">
        <v>1</v>
      </c>
      <c r="I370" s="2" t="n">
        <v>0</v>
      </c>
    </row>
    <row r="371">
      <c r="A371" s="2" t="n">
        <v>369</v>
      </c>
      <c r="B371" s="2" t="inlineStr">
        <is>
          <t>flip</t>
        </is>
      </c>
      <c r="C371" s="2" t="inlineStr">
        <is>
          <t>browser chrome150</t>
        </is>
      </c>
      <c r="D371" s="2" t="n">
        <v>1763</v>
      </c>
      <c r="E371" s="2" t="n">
        <v>1763</v>
      </c>
      <c r="F371" s="2" t="n">
        <v>1</v>
      </c>
      <c r="G371" s="2" t="n">
        <v>1</v>
      </c>
      <c r="H371" s="2" t="n">
        <v>1</v>
      </c>
      <c r="I371" s="2" t="n">
        <v>0</v>
      </c>
    </row>
    <row r="372">
      <c r="A372" s="2" t="n">
        <v>370</v>
      </c>
      <c r="B372" s="2" t="inlineStr">
        <is>
          <t>truncate</t>
        </is>
      </c>
      <c r="C372" s="2" t="inlineStr">
        <is>
          <t>openssl 3.5.8 default</t>
        </is>
      </c>
      <c r="D372" s="2" t="n">
        <v>544</v>
      </c>
      <c r="E372" s="2" t="n">
        <v>544</v>
      </c>
      <c r="F372" s="2" t="n">
        <v>1</v>
      </c>
      <c r="G372" s="2" t="n">
        <v>1</v>
      </c>
      <c r="H372" s="2" t="n">
        <v>1</v>
      </c>
      <c r="I372" s="2" t="n">
        <v>0</v>
      </c>
    </row>
    <row r="373">
      <c r="A373" s="2" t="n">
        <v>371</v>
      </c>
      <c r="B373" s="2" t="inlineStr">
        <is>
          <t>length</t>
        </is>
      </c>
      <c r="C373" s="2" t="inlineStr">
        <is>
          <t>browser chrome150</t>
        </is>
      </c>
      <c r="D373" s="2" t="n">
        <v>1763</v>
      </c>
      <c r="E373" s="2" t="n">
        <v>1763</v>
      </c>
      <c r="F373" s="2" t="n">
        <v>1</v>
      </c>
      <c r="G373" s="2" t="n">
        <v>0</v>
      </c>
      <c r="H373" s="2" t="n">
        <v>0</v>
      </c>
      <c r="I373" s="2" t="n">
        <v>0</v>
      </c>
    </row>
    <row r="374">
      <c r="A374" s="2" t="n">
        <v>372</v>
      </c>
      <c r="B374" s="2" t="inlineStr">
        <is>
          <t>insert</t>
        </is>
      </c>
      <c r="C374" s="2" t="inlineStr">
        <is>
          <t>openssl 3.5.8 default</t>
        </is>
      </c>
      <c r="D374" s="2" t="n">
        <v>1562</v>
      </c>
      <c r="E374" s="2" t="n">
        <v>1562</v>
      </c>
      <c r="F374" s="2" t="n">
        <v>1</v>
      </c>
      <c r="G374" s="2" t="n">
        <v>1</v>
      </c>
      <c r="H374" s="2" t="n">
        <v>1</v>
      </c>
      <c r="I374" s="2" t="n">
        <v>0</v>
      </c>
    </row>
    <row r="375">
      <c r="A375" s="2" t="n">
        <v>373</v>
      </c>
      <c r="B375" s="2" t="inlineStr">
        <is>
          <t>flip</t>
        </is>
      </c>
      <c r="C375" s="2" t="inlineStr">
        <is>
          <t>openssl TLS 1.2 only</t>
        </is>
      </c>
      <c r="D375" s="2" t="n">
        <v>215</v>
      </c>
      <c r="E375" s="2" t="n">
        <v>215</v>
      </c>
      <c r="F375" s="2" t="n">
        <v>1</v>
      </c>
      <c r="G375" s="2" t="n">
        <v>1</v>
      </c>
      <c r="H375" s="2" t="n">
        <v>1</v>
      </c>
      <c r="I375" s="2" t="n">
        <v>0</v>
      </c>
    </row>
    <row r="376">
      <c r="A376" s="2" t="n">
        <v>374</v>
      </c>
      <c r="B376" s="2" t="inlineStr">
        <is>
          <t>truncate</t>
        </is>
      </c>
      <c r="C376" s="2" t="inlineStr">
        <is>
          <t>openssl TLS 1.2 only</t>
        </is>
      </c>
      <c r="D376" s="2" t="n">
        <v>202</v>
      </c>
      <c r="E376" s="2" t="n">
        <v>202</v>
      </c>
      <c r="F376" s="2" t="n">
        <v>1</v>
      </c>
      <c r="G376" s="2" t="n">
        <v>1</v>
      </c>
      <c r="H376" s="2" t="n">
        <v>1</v>
      </c>
      <c r="I376" s="2" t="n">
        <v>0</v>
      </c>
    </row>
    <row r="377">
      <c r="A377" s="2" t="n">
        <v>375</v>
      </c>
      <c r="B377" s="2" t="inlineStr">
        <is>
          <t>length</t>
        </is>
      </c>
      <c r="C377" s="2" t="inlineStr">
        <is>
          <t>openssl 3.5.8 default</t>
        </is>
      </c>
      <c r="D377" s="2" t="n">
        <v>1548</v>
      </c>
      <c r="E377" s="2" t="n">
        <v>1548</v>
      </c>
      <c r="F377" s="2" t="n">
        <v>1</v>
      </c>
      <c r="G377" s="2" t="n">
        <v>1</v>
      </c>
      <c r="H377" s="2" t="n">
        <v>1</v>
      </c>
      <c r="I377" s="2" t="n">
        <v>0</v>
      </c>
    </row>
    <row r="378">
      <c r="A378" s="2" t="n">
        <v>376</v>
      </c>
      <c r="B378" s="2" t="inlineStr">
        <is>
          <t>insert</t>
        </is>
      </c>
      <c r="C378" s="2" t="inlineStr">
        <is>
          <t>openssl TLS 1.2 only</t>
        </is>
      </c>
      <c r="D378" s="2" t="n">
        <v>220</v>
      </c>
      <c r="E378" s="2" t="n">
        <v>220</v>
      </c>
      <c r="F378" s="2" t="n">
        <v>1</v>
      </c>
      <c r="G378" s="2" t="n">
        <v>1</v>
      </c>
      <c r="H378" s="2" t="n">
        <v>1</v>
      </c>
      <c r="I378" s="2" t="n">
        <v>0</v>
      </c>
    </row>
    <row r="379">
      <c r="A379" s="2" t="n">
        <v>377</v>
      </c>
      <c r="B379" s="2" t="inlineStr">
        <is>
          <t>flip</t>
        </is>
      </c>
      <c r="C379" s="2" t="inlineStr">
        <is>
          <t>openssl TLS 1.2 only</t>
        </is>
      </c>
      <c r="D379" s="2" t="n">
        <v>215</v>
      </c>
      <c r="E379" s="2" t="n">
        <v>215</v>
      </c>
      <c r="F379" s="2" t="n">
        <v>1</v>
      </c>
      <c r="G379" s="2" t="n">
        <v>1</v>
      </c>
      <c r="H379" s="2" t="n">
        <v>1</v>
      </c>
      <c r="I379" s="2" t="n">
        <v>0</v>
      </c>
    </row>
    <row r="380">
      <c r="A380" s="2" t="n">
        <v>378</v>
      </c>
      <c r="B380" s="2" t="inlineStr">
        <is>
          <t>truncate</t>
        </is>
      </c>
      <c r="C380" s="2" t="inlineStr">
        <is>
          <t>openssl TLS 1.2 only</t>
        </is>
      </c>
      <c r="D380" s="2" t="n">
        <v>107</v>
      </c>
      <c r="E380" s="2" t="n">
        <v>107</v>
      </c>
      <c r="F380" s="2" t="n">
        <v>1</v>
      </c>
      <c r="G380" s="2" t="n">
        <v>1</v>
      </c>
      <c r="H380" s="2" t="n">
        <v>0</v>
      </c>
      <c r="I380" s="2" t="n">
        <v>0</v>
      </c>
    </row>
    <row r="381">
      <c r="A381" s="2" t="n">
        <v>379</v>
      </c>
      <c r="B381" s="2" t="inlineStr">
        <is>
          <t>length</t>
        </is>
      </c>
      <c r="C381" s="2" t="inlineStr">
        <is>
          <t>openssl 3.5.8 default</t>
        </is>
      </c>
      <c r="D381" s="2" t="n">
        <v>1548</v>
      </c>
      <c r="E381" s="2" t="n">
        <v>1548</v>
      </c>
      <c r="F381" s="2" t="n">
        <v>1</v>
      </c>
      <c r="G381" s="2" t="n">
        <v>1</v>
      </c>
      <c r="H381" s="2" t="n">
        <v>1</v>
      </c>
      <c r="I381" s="2" t="n">
        <v>0</v>
      </c>
    </row>
    <row r="382">
      <c r="A382" s="2" t="n">
        <v>380</v>
      </c>
      <c r="B382" s="2" t="inlineStr">
        <is>
          <t>insert</t>
        </is>
      </c>
      <c r="C382" s="2" t="inlineStr">
        <is>
          <t>openssl 3.5.8 default</t>
        </is>
      </c>
      <c r="D382" s="2" t="n">
        <v>1552</v>
      </c>
      <c r="E382" s="2" t="n">
        <v>1552</v>
      </c>
      <c r="F382" s="2" t="n">
        <v>1</v>
      </c>
      <c r="G382" s="2" t="n">
        <v>1</v>
      </c>
      <c r="H382" s="2" t="n">
        <v>1</v>
      </c>
      <c r="I382" s="2" t="n">
        <v>0</v>
      </c>
    </row>
    <row r="383">
      <c r="A383" s="2" t="n">
        <v>381</v>
      </c>
      <c r="B383" s="2" t="inlineStr">
        <is>
          <t>flip</t>
        </is>
      </c>
      <c r="C383" s="2" t="inlineStr">
        <is>
          <t>openssl 3.5.8 default</t>
        </is>
      </c>
      <c r="D383" s="2" t="n">
        <v>1548</v>
      </c>
      <c r="E383" s="2" t="n">
        <v>1548</v>
      </c>
      <c r="F383" s="2" t="n">
        <v>1</v>
      </c>
      <c r="G383" s="2" t="n">
        <v>1</v>
      </c>
      <c r="H383" s="2" t="n">
        <v>1</v>
      </c>
      <c r="I383" s="2" t="n">
        <v>0</v>
      </c>
    </row>
    <row r="384">
      <c r="A384" s="2" t="n">
        <v>382</v>
      </c>
      <c r="B384" s="2" t="inlineStr">
        <is>
          <t>truncate</t>
        </is>
      </c>
      <c r="C384" s="2" t="inlineStr">
        <is>
          <t>openssl X25519 only (classical)</t>
        </is>
      </c>
      <c r="D384" s="2" t="n">
        <v>185</v>
      </c>
      <c r="E384" s="2" t="n">
        <v>185</v>
      </c>
      <c r="F384" s="2" t="n">
        <v>1</v>
      </c>
      <c r="G384" s="2" t="n">
        <v>1</v>
      </c>
      <c r="H384" s="2" t="n">
        <v>0</v>
      </c>
      <c r="I384" s="2" t="n">
        <v>0</v>
      </c>
    </row>
    <row r="385">
      <c r="A385" s="2" t="n">
        <v>383</v>
      </c>
      <c r="B385" s="2" t="inlineStr">
        <is>
          <t>length</t>
        </is>
      </c>
      <c r="C385" s="2" t="inlineStr">
        <is>
          <t>browser chrome150</t>
        </is>
      </c>
      <c r="D385" s="2" t="n">
        <v>1763</v>
      </c>
      <c r="E385" s="2" t="n">
        <v>1763</v>
      </c>
      <c r="F385" s="2" t="n">
        <v>1</v>
      </c>
      <c r="G385" s="2" t="n">
        <v>1</v>
      </c>
      <c r="H385" s="2" t="n">
        <v>1</v>
      </c>
      <c r="I385" s="2" t="n">
        <v>0</v>
      </c>
    </row>
    <row r="386">
      <c r="A386" s="2" t="n">
        <v>384</v>
      </c>
      <c r="B386" s="2" t="inlineStr">
        <is>
          <t>insert</t>
        </is>
      </c>
      <c r="C386" s="2" t="inlineStr">
        <is>
          <t>openssl X25519 only (classical)</t>
        </is>
      </c>
      <c r="D386" s="2" t="n">
        <v>330</v>
      </c>
      <c r="E386" s="2" t="n">
        <v>330</v>
      </c>
      <c r="F386" s="2" t="n">
        <v>0</v>
      </c>
      <c r="G386" s="2" t="n">
        <v>0</v>
      </c>
      <c r="H386" s="2" t="n">
        <v>0</v>
      </c>
      <c r="I386" s="2" t="n">
        <v>0</v>
      </c>
    </row>
    <row r="387">
      <c r="A387" s="2" t="n">
        <v>385</v>
      </c>
      <c r="B387" s="2" t="inlineStr">
        <is>
          <t>flip</t>
        </is>
      </c>
      <c r="C387" s="2" t="inlineStr">
        <is>
          <t>browser firefox147</t>
        </is>
      </c>
      <c r="D387" s="2" t="n">
        <v>1901</v>
      </c>
      <c r="E387" s="2" t="n">
        <v>1901</v>
      </c>
      <c r="F387" s="2" t="n">
        <v>1</v>
      </c>
      <c r="G387" s="2" t="n">
        <v>1</v>
      </c>
      <c r="H387" s="2" t="n">
        <v>0</v>
      </c>
      <c r="I387" s="2" t="n">
        <v>0</v>
      </c>
    </row>
    <row r="388">
      <c r="A388" s="2" t="n">
        <v>386</v>
      </c>
      <c r="B388" s="2" t="inlineStr">
        <is>
          <t>truncate</t>
        </is>
      </c>
      <c r="C388" s="2" t="inlineStr">
        <is>
          <t>openssl X25519 only (classical)</t>
        </is>
      </c>
      <c r="D388" s="2" t="n">
        <v>269</v>
      </c>
      <c r="E388" s="2" t="n">
        <v>269</v>
      </c>
      <c r="F388" s="2" t="n">
        <v>1</v>
      </c>
      <c r="G388" s="2" t="n">
        <v>1</v>
      </c>
      <c r="H388" s="2" t="n">
        <v>1</v>
      </c>
      <c r="I388" s="2" t="n">
        <v>0</v>
      </c>
    </row>
    <row r="389">
      <c r="A389" s="2" t="n">
        <v>387</v>
      </c>
      <c r="B389" s="2" t="inlineStr">
        <is>
          <t>length</t>
        </is>
      </c>
      <c r="C389" s="2" t="inlineStr">
        <is>
          <t>openssl 3.5.8 default</t>
        </is>
      </c>
      <c r="D389" s="2" t="n">
        <v>1548</v>
      </c>
      <c r="E389" s="2" t="n">
        <v>1548</v>
      </c>
      <c r="F389" s="2" t="n">
        <v>1</v>
      </c>
      <c r="G389" s="2" t="n">
        <v>1</v>
      </c>
      <c r="H389" s="2" t="n">
        <v>1</v>
      </c>
      <c r="I389" s="2" t="n">
        <v>0</v>
      </c>
    </row>
    <row r="390">
      <c r="A390" s="2" t="n">
        <v>388</v>
      </c>
      <c r="B390" s="2" t="inlineStr">
        <is>
          <t>insert</t>
        </is>
      </c>
      <c r="C390" s="2" t="inlineStr">
        <is>
          <t>browser chrome150</t>
        </is>
      </c>
      <c r="D390" s="2" t="n">
        <v>1771</v>
      </c>
      <c r="E390" s="2" t="n">
        <v>1771</v>
      </c>
      <c r="F390" s="2" t="n">
        <v>1</v>
      </c>
      <c r="G390" s="2" t="n">
        <v>1</v>
      </c>
      <c r="H390" s="2" t="n">
        <v>1</v>
      </c>
      <c r="I390" s="2" t="n">
        <v>0</v>
      </c>
    </row>
    <row r="391">
      <c r="A391" s="2" t="n">
        <v>389</v>
      </c>
      <c r="B391" s="2" t="inlineStr">
        <is>
          <t>flip</t>
        </is>
      </c>
      <c r="C391" s="2" t="inlineStr">
        <is>
          <t>openssl TLS 1.2 only</t>
        </is>
      </c>
      <c r="D391" s="2" t="n">
        <v>215</v>
      </c>
      <c r="E391" s="2" t="n">
        <v>215</v>
      </c>
      <c r="F391" s="2" t="n">
        <v>1</v>
      </c>
      <c r="G391" s="2" t="n">
        <v>1</v>
      </c>
      <c r="H391" s="2" t="n">
        <v>0</v>
      </c>
      <c r="I391" s="2" t="n">
        <v>0</v>
      </c>
    </row>
    <row r="392">
      <c r="A392" s="2" t="n">
        <v>390</v>
      </c>
      <c r="B392" s="2" t="inlineStr">
        <is>
          <t>truncate</t>
        </is>
      </c>
      <c r="C392" s="2" t="inlineStr">
        <is>
          <t>browser firefox147</t>
        </is>
      </c>
      <c r="D392" s="2" t="n">
        <v>873</v>
      </c>
      <c r="E392" s="2" t="n">
        <v>873</v>
      </c>
      <c r="F392" s="2" t="n">
        <v>1</v>
      </c>
      <c r="G392" s="2" t="n">
        <v>1</v>
      </c>
      <c r="H392" s="2" t="n">
        <v>0</v>
      </c>
      <c r="I392" s="2" t="n">
        <v>0</v>
      </c>
    </row>
    <row r="393">
      <c r="A393" s="2" t="n">
        <v>391</v>
      </c>
      <c r="B393" s="2" t="inlineStr">
        <is>
          <t>length</t>
        </is>
      </c>
      <c r="C393" s="2" t="inlineStr">
        <is>
          <t>browser firefox147</t>
        </is>
      </c>
      <c r="D393" s="2" t="n">
        <v>1901</v>
      </c>
      <c r="E393" s="2" t="n">
        <v>1901</v>
      </c>
      <c r="F393" s="2" t="n">
        <v>1</v>
      </c>
      <c r="G393" s="2" t="n">
        <v>0</v>
      </c>
      <c r="H393" s="2" t="n">
        <v>0</v>
      </c>
      <c r="I393" s="2" t="n">
        <v>0</v>
      </c>
    </row>
    <row r="394">
      <c r="A394" s="2" t="n">
        <v>392</v>
      </c>
      <c r="B394" s="2" t="inlineStr">
        <is>
          <t>insert</t>
        </is>
      </c>
      <c r="C394" s="2" t="inlineStr">
        <is>
          <t>openssl X25519 only (classical)</t>
        </is>
      </c>
      <c r="D394" s="2" t="n">
        <v>328</v>
      </c>
      <c r="E394" s="2" t="n">
        <v>328</v>
      </c>
      <c r="F394" s="2" t="n">
        <v>1</v>
      </c>
      <c r="G394" s="2" t="n">
        <v>0</v>
      </c>
      <c r="H394" s="2" t="n">
        <v>0</v>
      </c>
      <c r="I394" s="2" t="n">
        <v>0</v>
      </c>
    </row>
    <row r="395">
      <c r="A395" s="2" t="n">
        <v>393</v>
      </c>
      <c r="B395" s="2" t="inlineStr">
        <is>
          <t>flip</t>
        </is>
      </c>
      <c r="C395" s="2" t="inlineStr">
        <is>
          <t>openssl TLS 1.2 only</t>
        </is>
      </c>
      <c r="D395" s="2" t="n">
        <v>215</v>
      </c>
      <c r="E395" s="2" t="n">
        <v>215</v>
      </c>
      <c r="F395" s="2" t="n">
        <v>1</v>
      </c>
      <c r="G395" s="2" t="n">
        <v>1</v>
      </c>
      <c r="H395" s="2" t="n">
        <v>1</v>
      </c>
      <c r="I395" s="2" t="n">
        <v>0</v>
      </c>
    </row>
    <row r="396">
      <c r="A396" s="2" t="n">
        <v>394</v>
      </c>
      <c r="B396" s="2" t="inlineStr">
        <is>
          <t>truncate</t>
        </is>
      </c>
      <c r="C396" s="2" t="inlineStr">
        <is>
          <t>browser firefox147</t>
        </is>
      </c>
      <c r="D396" s="2" t="n">
        <v>1648</v>
      </c>
      <c r="E396" s="2" t="n">
        <v>1648</v>
      </c>
      <c r="F396" s="2" t="n">
        <v>1</v>
      </c>
      <c r="G396" s="2" t="n">
        <v>1</v>
      </c>
      <c r="H396" s="2" t="n">
        <v>0</v>
      </c>
      <c r="I396" s="2" t="n">
        <v>0</v>
      </c>
    </row>
    <row r="397">
      <c r="A397" s="2" t="n">
        <v>395</v>
      </c>
      <c r="B397" s="2" t="inlineStr">
        <is>
          <t>length</t>
        </is>
      </c>
      <c r="C397" s="2" t="inlineStr">
        <is>
          <t>browser chrome150</t>
        </is>
      </c>
      <c r="D397" s="2" t="n">
        <v>1763</v>
      </c>
      <c r="E397" s="2" t="n">
        <v>1763</v>
      </c>
      <c r="F397" s="2" t="n">
        <v>1</v>
      </c>
      <c r="G397" s="2" t="n">
        <v>1</v>
      </c>
      <c r="H397" s="2" t="n">
        <v>1</v>
      </c>
      <c r="I397" s="2" t="n">
        <v>0</v>
      </c>
    </row>
    <row r="398">
      <c r="A398" s="2" t="n">
        <v>396</v>
      </c>
      <c r="B398" s="2" t="inlineStr">
        <is>
          <t>insert</t>
        </is>
      </c>
      <c r="C398" s="2" t="inlineStr">
        <is>
          <t>browser firefox147</t>
        </is>
      </c>
      <c r="D398" s="2" t="n">
        <v>1916</v>
      </c>
      <c r="E398" s="2" t="n">
        <v>1916</v>
      </c>
      <c r="F398" s="2" t="n">
        <v>1</v>
      </c>
      <c r="G398" s="2" t="n">
        <v>1</v>
      </c>
      <c r="H398" s="2" t="n">
        <v>0</v>
      </c>
      <c r="I398" s="2" t="n">
        <v>0</v>
      </c>
    </row>
    <row r="399">
      <c r="A399" s="2" t="n">
        <v>397</v>
      </c>
      <c r="B399" s="2" t="inlineStr">
        <is>
          <t>flip</t>
        </is>
      </c>
      <c r="C399" s="2" t="inlineStr">
        <is>
          <t>openssl TLS 1.2 only</t>
        </is>
      </c>
      <c r="D399" s="2" t="n">
        <v>215</v>
      </c>
      <c r="E399" s="2" t="n">
        <v>215</v>
      </c>
      <c r="F399" s="2" t="n">
        <v>1</v>
      </c>
      <c r="G399" s="2" t="n">
        <v>1</v>
      </c>
      <c r="H399" s="2" t="n">
        <v>1</v>
      </c>
      <c r="I399" s="2" t="n">
        <v>0</v>
      </c>
    </row>
    <row r="400">
      <c r="A400" s="2" t="n">
        <v>398</v>
      </c>
      <c r="B400" s="2" t="inlineStr">
        <is>
          <t>truncate</t>
        </is>
      </c>
      <c r="C400" s="2" t="inlineStr">
        <is>
          <t>browser firefox147</t>
        </is>
      </c>
      <c r="D400" s="2" t="n">
        <v>1552</v>
      </c>
      <c r="E400" s="2" t="n">
        <v>1552</v>
      </c>
      <c r="F400" s="2" t="n">
        <v>1</v>
      </c>
      <c r="G400" s="2" t="n">
        <v>1</v>
      </c>
      <c r="H400" s="2" t="n">
        <v>0</v>
      </c>
      <c r="I400" s="2" t="n">
        <v>0</v>
      </c>
    </row>
    <row r="401">
      <c r="A401" s="2" t="n">
        <v>399</v>
      </c>
      <c r="B401" s="2" t="inlineStr">
        <is>
          <t>length</t>
        </is>
      </c>
      <c r="C401" s="2" t="inlineStr">
        <is>
          <t>openssl X25519 only (classical)</t>
        </is>
      </c>
      <c r="D401" s="2" t="n">
        <v>314</v>
      </c>
      <c r="E401" s="2" t="n">
        <v>314</v>
      </c>
      <c r="F401" s="2" t="n">
        <v>1</v>
      </c>
      <c r="G401" s="2" t="n">
        <v>1</v>
      </c>
      <c r="H401" s="2" t="n">
        <v>0</v>
      </c>
      <c r="I401" s="2" t="n">
        <v>0</v>
      </c>
    </row>
    <row r="402">
      <c r="A402" s="2" t="n">
        <v>400</v>
      </c>
      <c r="B402" s="2" t="inlineStr">
        <is>
          <t>insert</t>
        </is>
      </c>
      <c r="C402" s="2" t="inlineStr">
        <is>
          <t>browser firefox147</t>
        </is>
      </c>
      <c r="D402" s="2" t="n">
        <v>1908</v>
      </c>
      <c r="E402" s="2" t="n">
        <v>1908</v>
      </c>
      <c r="F402" s="2" t="n">
        <v>1</v>
      </c>
      <c r="G402" s="2" t="n">
        <v>1</v>
      </c>
      <c r="H402" s="2" t="n">
        <v>0</v>
      </c>
      <c r="I402" s="2" t="n">
        <v>0</v>
      </c>
    </row>
    <row r="403">
      <c r="A403" s="2" t="n">
        <v>401</v>
      </c>
      <c r="B403" s="2" t="inlineStr">
        <is>
          <t>flip</t>
        </is>
      </c>
      <c r="C403" s="2" t="inlineStr">
        <is>
          <t>openssl TLS 1.2 only</t>
        </is>
      </c>
      <c r="D403" s="2" t="n">
        <v>215</v>
      </c>
      <c r="E403" s="2" t="n">
        <v>215</v>
      </c>
      <c r="F403" s="2" t="n">
        <v>1</v>
      </c>
      <c r="G403" s="2" t="n">
        <v>1</v>
      </c>
      <c r="H403" s="2" t="n">
        <v>1</v>
      </c>
      <c r="I403" s="2" t="n">
        <v>0</v>
      </c>
    </row>
    <row r="404">
      <c r="A404" s="2" t="n">
        <v>402</v>
      </c>
      <c r="B404" s="2" t="inlineStr">
        <is>
          <t>truncate</t>
        </is>
      </c>
      <c r="C404" s="2" t="inlineStr">
        <is>
          <t>openssl TLS 1.2 only</t>
        </is>
      </c>
      <c r="D404" s="2" t="n">
        <v>201</v>
      </c>
      <c r="E404" s="2" t="n">
        <v>201</v>
      </c>
      <c r="F404" s="2" t="n">
        <v>1</v>
      </c>
      <c r="G404" s="2" t="n">
        <v>1</v>
      </c>
      <c r="H404" s="2" t="n">
        <v>1</v>
      </c>
      <c r="I404" s="2" t="n">
        <v>0</v>
      </c>
    </row>
    <row r="405">
      <c r="A405" s="2" t="n">
        <v>403</v>
      </c>
      <c r="B405" s="2" t="inlineStr">
        <is>
          <t>length</t>
        </is>
      </c>
      <c r="C405" s="2" t="inlineStr">
        <is>
          <t>openssl X25519 only (classical)</t>
        </is>
      </c>
      <c r="D405" s="2" t="n">
        <v>314</v>
      </c>
      <c r="E405" s="2" t="n">
        <v>314</v>
      </c>
      <c r="F405" s="2" t="n">
        <v>1</v>
      </c>
      <c r="G405" s="2" t="n">
        <v>1</v>
      </c>
      <c r="H405" s="2" t="n">
        <v>1</v>
      </c>
      <c r="I405" s="2" t="n">
        <v>0</v>
      </c>
    </row>
    <row r="406">
      <c r="A406" s="2" t="n">
        <v>404</v>
      </c>
      <c r="B406" s="2" t="inlineStr">
        <is>
          <t>insert</t>
        </is>
      </c>
      <c r="C406" s="2" t="inlineStr">
        <is>
          <t>browser chrome150</t>
        </is>
      </c>
      <c r="D406" s="2" t="n">
        <v>1774</v>
      </c>
      <c r="E406" s="2" t="n">
        <v>1774</v>
      </c>
      <c r="F406" s="2" t="n">
        <v>1</v>
      </c>
      <c r="G406" s="2" t="n">
        <v>0</v>
      </c>
      <c r="H406" s="2" t="n">
        <v>0</v>
      </c>
      <c r="I406" s="2" t="n">
        <v>0</v>
      </c>
    </row>
    <row r="407">
      <c r="A407" s="2" t="n">
        <v>405</v>
      </c>
      <c r="B407" s="2" t="inlineStr">
        <is>
          <t>flip</t>
        </is>
      </c>
      <c r="C407" s="2" t="inlineStr">
        <is>
          <t>openssl X25519 only (classical)</t>
        </is>
      </c>
      <c r="D407" s="2" t="n">
        <v>314</v>
      </c>
      <c r="E407" s="2" t="n">
        <v>314</v>
      </c>
      <c r="F407" s="2" t="n">
        <v>1</v>
      </c>
      <c r="G407" s="2" t="n">
        <v>1</v>
      </c>
      <c r="H407" s="2" t="n">
        <v>1</v>
      </c>
      <c r="I407" s="2" t="n">
        <v>0</v>
      </c>
    </row>
    <row r="408">
      <c r="A408" s="2" t="n">
        <v>406</v>
      </c>
      <c r="B408" s="2" t="inlineStr">
        <is>
          <t>truncate</t>
        </is>
      </c>
      <c r="C408" s="2" t="inlineStr">
        <is>
          <t>browser chrome150</t>
        </is>
      </c>
      <c r="D408" s="2" t="n">
        <v>1245</v>
      </c>
      <c r="E408" s="2" t="n">
        <v>1245</v>
      </c>
      <c r="F408" s="2" t="n">
        <v>1</v>
      </c>
      <c r="G408" s="2" t="n">
        <v>1</v>
      </c>
      <c r="H408" s="2" t="n">
        <v>1</v>
      </c>
      <c r="I408" s="2" t="n">
        <v>0</v>
      </c>
    </row>
    <row r="409">
      <c r="A409" s="2" t="n">
        <v>407</v>
      </c>
      <c r="B409" s="2" t="inlineStr">
        <is>
          <t>length</t>
        </is>
      </c>
      <c r="C409" s="2" t="inlineStr">
        <is>
          <t>openssl TLS 1.2 only</t>
        </is>
      </c>
      <c r="D409" s="2" t="n">
        <v>215</v>
      </c>
      <c r="E409" s="2" t="n">
        <v>215</v>
      </c>
      <c r="F409" s="2" t="n">
        <v>0</v>
      </c>
      <c r="G409" s="2" t="n">
        <v>0</v>
      </c>
      <c r="H409" s="2" t="n">
        <v>0</v>
      </c>
      <c r="I409" s="2" t="n">
        <v>0</v>
      </c>
    </row>
    <row r="410">
      <c r="A410" s="2" t="n">
        <v>408</v>
      </c>
      <c r="B410" s="2" t="inlineStr">
        <is>
          <t>insert</t>
        </is>
      </c>
      <c r="C410" s="2" t="inlineStr">
        <is>
          <t>browser firefox147</t>
        </is>
      </c>
      <c r="D410" s="2" t="n">
        <v>1913</v>
      </c>
      <c r="E410" s="2" t="n">
        <v>1913</v>
      </c>
      <c r="F410" s="2" t="n">
        <v>1</v>
      </c>
      <c r="G410" s="2" t="n">
        <v>1</v>
      </c>
      <c r="H410" s="2" t="n">
        <v>0</v>
      </c>
      <c r="I410" s="2" t="n">
        <v>0</v>
      </c>
    </row>
    <row r="411">
      <c r="A411" s="2" t="n">
        <v>409</v>
      </c>
      <c r="B411" s="2" t="inlineStr">
        <is>
          <t>flip</t>
        </is>
      </c>
      <c r="C411" s="2" t="inlineStr">
        <is>
          <t>browser chrome150</t>
        </is>
      </c>
      <c r="D411" s="2" t="n">
        <v>1763</v>
      </c>
      <c r="E411" s="2" t="n">
        <v>1763</v>
      </c>
      <c r="F411" s="2" t="n">
        <v>1</v>
      </c>
      <c r="G411" s="2" t="n">
        <v>1</v>
      </c>
      <c r="H411" s="2" t="n">
        <v>1</v>
      </c>
      <c r="I411" s="2" t="n">
        <v>0</v>
      </c>
    </row>
    <row r="412">
      <c r="A412" s="2" t="n">
        <v>410</v>
      </c>
      <c r="B412" s="2" t="inlineStr">
        <is>
          <t>truncate</t>
        </is>
      </c>
      <c r="C412" s="2" t="inlineStr">
        <is>
          <t>browser chrome150</t>
        </is>
      </c>
      <c r="D412" s="2" t="n">
        <v>431</v>
      </c>
      <c r="E412" s="2" t="n">
        <v>431</v>
      </c>
      <c r="F412" s="2" t="n">
        <v>1</v>
      </c>
      <c r="G412" s="2" t="n">
        <v>1</v>
      </c>
      <c r="H412" s="2" t="n">
        <v>1</v>
      </c>
      <c r="I412" s="2" t="n">
        <v>0</v>
      </c>
    </row>
    <row r="413">
      <c r="A413" s="2" t="n">
        <v>411</v>
      </c>
      <c r="B413" s="2" t="inlineStr">
        <is>
          <t>length</t>
        </is>
      </c>
      <c r="C413" s="2" t="inlineStr">
        <is>
          <t>browser firefox147</t>
        </is>
      </c>
      <c r="D413" s="2" t="n">
        <v>1901</v>
      </c>
      <c r="E413" s="2" t="n">
        <v>1901</v>
      </c>
      <c r="F413" s="2" t="n">
        <v>1</v>
      </c>
      <c r="G413" s="2" t="n">
        <v>1</v>
      </c>
      <c r="H413" s="2" t="n">
        <v>1</v>
      </c>
      <c r="I413" s="2" t="n">
        <v>0</v>
      </c>
    </row>
    <row r="414">
      <c r="A414" s="2" t="n">
        <v>412</v>
      </c>
      <c r="B414" s="2" t="inlineStr">
        <is>
          <t>insert</t>
        </is>
      </c>
      <c r="C414" s="2" t="inlineStr">
        <is>
          <t>openssl TLS 1.2 only</t>
        </is>
      </c>
      <c r="D414" s="2" t="n">
        <v>225</v>
      </c>
      <c r="E414" s="2" t="n">
        <v>225</v>
      </c>
      <c r="F414" s="2" t="n">
        <v>0</v>
      </c>
      <c r="G414" s="2" t="n">
        <v>0</v>
      </c>
      <c r="H414" s="2" t="n">
        <v>0</v>
      </c>
      <c r="I414" s="2" t="n">
        <v>0</v>
      </c>
    </row>
    <row r="415">
      <c r="A415" s="2" t="n">
        <v>413</v>
      </c>
      <c r="B415" s="2" t="inlineStr">
        <is>
          <t>flip</t>
        </is>
      </c>
      <c r="C415" s="2" t="inlineStr">
        <is>
          <t>openssl 3.5.8 default</t>
        </is>
      </c>
      <c r="D415" s="2" t="n">
        <v>1548</v>
      </c>
      <c r="E415" s="2" t="n">
        <v>1548</v>
      </c>
      <c r="F415" s="2" t="n">
        <v>1</v>
      </c>
      <c r="G415" s="2" t="n">
        <v>1</v>
      </c>
      <c r="H415" s="2" t="n">
        <v>1</v>
      </c>
      <c r="I415" s="2" t="n">
        <v>0</v>
      </c>
    </row>
    <row r="416">
      <c r="A416" s="2" t="n">
        <v>414</v>
      </c>
      <c r="B416" s="2" t="inlineStr">
        <is>
          <t>truncate</t>
        </is>
      </c>
      <c r="C416" s="2" t="inlineStr">
        <is>
          <t>browser firefox147</t>
        </is>
      </c>
      <c r="D416" s="2" t="n">
        <v>701</v>
      </c>
      <c r="E416" s="2" t="n">
        <v>701</v>
      </c>
      <c r="F416" s="2" t="n">
        <v>1</v>
      </c>
      <c r="G416" s="2" t="n">
        <v>1</v>
      </c>
      <c r="H416" s="2" t="n">
        <v>0</v>
      </c>
      <c r="I416" s="2" t="n">
        <v>0</v>
      </c>
    </row>
    <row r="417">
      <c r="A417" s="2" t="n">
        <v>415</v>
      </c>
      <c r="B417" s="2" t="inlineStr">
        <is>
          <t>length</t>
        </is>
      </c>
      <c r="C417" s="2" t="inlineStr">
        <is>
          <t>browser firefox147</t>
        </is>
      </c>
      <c r="D417" s="2" t="n">
        <v>1901</v>
      </c>
      <c r="E417" s="2" t="n">
        <v>1901</v>
      </c>
      <c r="F417" s="2" t="n">
        <v>1</v>
      </c>
      <c r="G417" s="2" t="n">
        <v>0</v>
      </c>
      <c r="H417" s="2" t="n">
        <v>0</v>
      </c>
      <c r="I417" s="2" t="n">
        <v>0</v>
      </c>
    </row>
    <row r="418">
      <c r="A418" s="2" t="n">
        <v>416</v>
      </c>
      <c r="B418" s="2" t="inlineStr">
        <is>
          <t>insert</t>
        </is>
      </c>
      <c r="C418" s="2" t="inlineStr">
        <is>
          <t>openssl TLS 1.2 only</t>
        </is>
      </c>
      <c r="D418" s="2" t="n">
        <v>224</v>
      </c>
      <c r="E418" s="2" t="n">
        <v>224</v>
      </c>
      <c r="F418" s="2" t="n">
        <v>1</v>
      </c>
      <c r="G418" s="2" t="n">
        <v>1</v>
      </c>
      <c r="H418" s="2" t="n">
        <v>1</v>
      </c>
      <c r="I418" s="2" t="n">
        <v>0</v>
      </c>
    </row>
    <row r="419">
      <c r="A419" s="2" t="n">
        <v>417</v>
      </c>
      <c r="B419" s="2" t="inlineStr">
        <is>
          <t>flip</t>
        </is>
      </c>
      <c r="C419" s="2" t="inlineStr">
        <is>
          <t>openssl TLS 1.2 only</t>
        </is>
      </c>
      <c r="D419" s="2" t="n">
        <v>215</v>
      </c>
      <c r="E419" s="2" t="n">
        <v>215</v>
      </c>
      <c r="F419" s="2" t="n">
        <v>1</v>
      </c>
      <c r="G419" s="2" t="n">
        <v>1</v>
      </c>
      <c r="H419" s="2" t="n">
        <v>1</v>
      </c>
      <c r="I419" s="2" t="n">
        <v>0</v>
      </c>
    </row>
    <row r="420">
      <c r="A420" s="2" t="n">
        <v>418</v>
      </c>
      <c r="B420" s="2" t="inlineStr">
        <is>
          <t>truncate</t>
        </is>
      </c>
      <c r="C420" s="2" t="inlineStr">
        <is>
          <t>openssl 3.5.8 default</t>
        </is>
      </c>
      <c r="D420" s="2" t="n">
        <v>1241</v>
      </c>
      <c r="E420" s="2" t="n">
        <v>1241</v>
      </c>
      <c r="F420" s="2" t="n">
        <v>1</v>
      </c>
      <c r="G420" s="2" t="n">
        <v>1</v>
      </c>
      <c r="H420" s="2" t="n">
        <v>1</v>
      </c>
      <c r="I420" s="2" t="n">
        <v>0</v>
      </c>
    </row>
    <row r="421">
      <c r="A421" s="2" t="n">
        <v>419</v>
      </c>
      <c r="B421" s="2" t="inlineStr">
        <is>
          <t>length</t>
        </is>
      </c>
      <c r="C421" s="2" t="inlineStr">
        <is>
          <t>openssl TLS 1.2 only</t>
        </is>
      </c>
      <c r="D421" s="2" t="n">
        <v>215</v>
      </c>
      <c r="E421" s="2" t="n">
        <v>215</v>
      </c>
      <c r="F421" s="2" t="n">
        <v>1</v>
      </c>
      <c r="G421" s="2" t="n">
        <v>0</v>
      </c>
      <c r="H421" s="2" t="n">
        <v>0</v>
      </c>
      <c r="I421" s="2" t="n">
        <v>0</v>
      </c>
    </row>
    <row r="422">
      <c r="A422" s="2" t="n">
        <v>420</v>
      </c>
      <c r="B422" s="2" t="inlineStr">
        <is>
          <t>insert</t>
        </is>
      </c>
      <c r="C422" s="2" t="inlineStr">
        <is>
          <t>openssl X25519 only (classical)</t>
        </is>
      </c>
      <c r="D422" s="2" t="n">
        <v>320</v>
      </c>
      <c r="E422" s="2" t="n">
        <v>320</v>
      </c>
      <c r="F422" s="2" t="n">
        <v>1</v>
      </c>
      <c r="G422" s="2" t="n">
        <v>1</v>
      </c>
      <c r="H422" s="2" t="n">
        <v>1</v>
      </c>
      <c r="I422" s="2" t="n">
        <v>0</v>
      </c>
    </row>
    <row r="423">
      <c r="A423" s="2" t="n">
        <v>421</v>
      </c>
      <c r="B423" s="2" t="inlineStr">
        <is>
          <t>flip</t>
        </is>
      </c>
      <c r="C423" s="2" t="inlineStr">
        <is>
          <t>openssl X25519 only (classical)</t>
        </is>
      </c>
      <c r="D423" s="2" t="n">
        <v>314</v>
      </c>
      <c r="E423" s="2" t="n">
        <v>314</v>
      </c>
      <c r="F423" s="2" t="n">
        <v>1</v>
      </c>
      <c r="G423" s="2" t="n">
        <v>1</v>
      </c>
      <c r="H423" s="2" t="n">
        <v>1</v>
      </c>
      <c r="I423" s="2" t="n">
        <v>0</v>
      </c>
    </row>
    <row r="424">
      <c r="A424" s="2" t="n">
        <v>422</v>
      </c>
      <c r="B424" s="2" t="inlineStr">
        <is>
          <t>truncate</t>
        </is>
      </c>
      <c r="C424" s="2" t="inlineStr">
        <is>
          <t>openssl X25519 only (classical)</t>
        </is>
      </c>
      <c r="D424" s="2" t="n">
        <v>34</v>
      </c>
      <c r="E424" s="2" t="n">
        <v>34</v>
      </c>
      <c r="F424" s="2" t="n">
        <v>1</v>
      </c>
      <c r="G424" s="2" t="n">
        <v>0</v>
      </c>
      <c r="H424" s="2" t="n">
        <v>0</v>
      </c>
      <c r="I424" s="2" t="n">
        <v>0</v>
      </c>
    </row>
    <row r="425">
      <c r="A425" s="2" t="n">
        <v>423</v>
      </c>
      <c r="B425" s="2" t="inlineStr">
        <is>
          <t>length</t>
        </is>
      </c>
      <c r="C425" s="2" t="inlineStr">
        <is>
          <t>openssl X25519 only (classical)</t>
        </is>
      </c>
      <c r="D425" s="2" t="n">
        <v>314</v>
      </c>
      <c r="E425" s="2" t="n">
        <v>314</v>
      </c>
      <c r="F425" s="2" t="n">
        <v>1</v>
      </c>
      <c r="G425" s="2" t="n">
        <v>1</v>
      </c>
      <c r="H425" s="2" t="n">
        <v>1</v>
      </c>
      <c r="I425" s="2" t="n">
        <v>0</v>
      </c>
    </row>
    <row r="426">
      <c r="A426" s="2" t="n">
        <v>424</v>
      </c>
      <c r="B426" s="2" t="inlineStr">
        <is>
          <t>insert</t>
        </is>
      </c>
      <c r="C426" s="2" t="inlineStr">
        <is>
          <t>openssl X25519 only (classical)</t>
        </is>
      </c>
      <c r="D426" s="2" t="n">
        <v>315</v>
      </c>
      <c r="E426" s="2" t="n">
        <v>315</v>
      </c>
      <c r="F426" s="2" t="n">
        <v>1</v>
      </c>
      <c r="G426" s="2" t="n">
        <v>1</v>
      </c>
      <c r="H426" s="2" t="n">
        <v>1</v>
      </c>
      <c r="I426" s="2" t="n">
        <v>0</v>
      </c>
    </row>
    <row r="427">
      <c r="A427" s="2" t="n">
        <v>425</v>
      </c>
      <c r="B427" s="2" t="inlineStr">
        <is>
          <t>flip</t>
        </is>
      </c>
      <c r="C427" s="2" t="inlineStr">
        <is>
          <t>openssl 3.5.8 default</t>
        </is>
      </c>
      <c r="D427" s="2" t="n">
        <v>1548</v>
      </c>
      <c r="E427" s="2" t="n">
        <v>1548</v>
      </c>
      <c r="F427" s="2" t="n">
        <v>1</v>
      </c>
      <c r="G427" s="2" t="n">
        <v>1</v>
      </c>
      <c r="H427" s="2" t="n">
        <v>1</v>
      </c>
      <c r="I427" s="2" t="n">
        <v>0</v>
      </c>
    </row>
    <row r="428">
      <c r="A428" s="2" t="n">
        <v>426</v>
      </c>
      <c r="B428" s="2" t="inlineStr">
        <is>
          <t>truncate</t>
        </is>
      </c>
      <c r="C428" s="2" t="inlineStr">
        <is>
          <t>browser chrome150</t>
        </is>
      </c>
      <c r="D428" s="2" t="n">
        <v>73</v>
      </c>
      <c r="E428" s="2" t="n">
        <v>73</v>
      </c>
      <c r="F428" s="2" t="n">
        <v>1</v>
      </c>
      <c r="G428" s="2" t="n">
        <v>0</v>
      </c>
      <c r="H428" s="2" t="n">
        <v>0</v>
      </c>
      <c r="I428" s="2" t="n">
        <v>0</v>
      </c>
    </row>
    <row r="429">
      <c r="A429" s="2" t="n">
        <v>427</v>
      </c>
      <c r="B429" s="2" t="inlineStr">
        <is>
          <t>length</t>
        </is>
      </c>
      <c r="C429" s="2" t="inlineStr">
        <is>
          <t>openssl TLS 1.2 only</t>
        </is>
      </c>
      <c r="D429" s="2" t="n">
        <v>215</v>
      </c>
      <c r="E429" s="2" t="n">
        <v>215</v>
      </c>
      <c r="F429" s="2" t="n">
        <v>1</v>
      </c>
      <c r="G429" s="2" t="n">
        <v>1</v>
      </c>
      <c r="H429" s="2" t="n">
        <v>0</v>
      </c>
      <c r="I429" s="2" t="n">
        <v>0</v>
      </c>
    </row>
    <row r="430">
      <c r="A430" s="2" t="n">
        <v>428</v>
      </c>
      <c r="B430" s="2" t="inlineStr">
        <is>
          <t>insert</t>
        </is>
      </c>
      <c r="C430" s="2" t="inlineStr">
        <is>
          <t>browser firefox147</t>
        </is>
      </c>
      <c r="D430" s="2" t="n">
        <v>1904</v>
      </c>
      <c r="E430" s="2" t="n">
        <v>1904</v>
      </c>
      <c r="F430" s="2" t="n">
        <v>1</v>
      </c>
      <c r="G430" s="2" t="n">
        <v>1</v>
      </c>
      <c r="H430" s="2" t="n">
        <v>0</v>
      </c>
      <c r="I430" s="2" t="n">
        <v>0</v>
      </c>
    </row>
    <row r="431">
      <c r="A431" s="2" t="n">
        <v>429</v>
      </c>
      <c r="B431" s="2" t="inlineStr">
        <is>
          <t>flip</t>
        </is>
      </c>
      <c r="C431" s="2" t="inlineStr">
        <is>
          <t>openssl 3.5.8 default</t>
        </is>
      </c>
      <c r="D431" s="2" t="n">
        <v>1548</v>
      </c>
      <c r="E431" s="2" t="n">
        <v>1548</v>
      </c>
      <c r="F431" s="2" t="n">
        <v>1</v>
      </c>
      <c r="G431" s="2" t="n">
        <v>1</v>
      </c>
      <c r="H431" s="2" t="n">
        <v>1</v>
      </c>
      <c r="I431" s="2" t="n">
        <v>0</v>
      </c>
    </row>
    <row r="432">
      <c r="A432" s="2" t="n">
        <v>430</v>
      </c>
      <c r="B432" s="2" t="inlineStr">
        <is>
          <t>truncate</t>
        </is>
      </c>
      <c r="C432" s="2" t="inlineStr">
        <is>
          <t>openssl 3.5.8 default</t>
        </is>
      </c>
      <c r="D432" s="2" t="n">
        <v>129</v>
      </c>
      <c r="E432" s="2" t="n">
        <v>129</v>
      </c>
      <c r="F432" s="2" t="n">
        <v>1</v>
      </c>
      <c r="G432" s="2" t="n">
        <v>0</v>
      </c>
      <c r="H432" s="2" t="n">
        <v>0</v>
      </c>
      <c r="I432" s="2" t="n">
        <v>0</v>
      </c>
    </row>
    <row r="433">
      <c r="A433" s="2" t="n">
        <v>431</v>
      </c>
      <c r="B433" s="2" t="inlineStr">
        <is>
          <t>length</t>
        </is>
      </c>
      <c r="C433" s="2" t="inlineStr">
        <is>
          <t>browser chrome150</t>
        </is>
      </c>
      <c r="D433" s="2" t="n">
        <v>1763</v>
      </c>
      <c r="E433" s="2" t="n">
        <v>1763</v>
      </c>
      <c r="F433" s="2" t="n">
        <v>1</v>
      </c>
      <c r="G433" s="2" t="n">
        <v>1</v>
      </c>
      <c r="H433" s="2" t="n">
        <v>1</v>
      </c>
      <c r="I433" s="2" t="n">
        <v>0</v>
      </c>
    </row>
    <row r="434">
      <c r="A434" s="2" t="n">
        <v>432</v>
      </c>
      <c r="B434" s="2" t="inlineStr">
        <is>
          <t>insert</t>
        </is>
      </c>
      <c r="C434" s="2" t="inlineStr">
        <is>
          <t>openssl TLS 1.2 only</t>
        </is>
      </c>
      <c r="D434" s="2" t="n">
        <v>217</v>
      </c>
      <c r="E434" s="2" t="n">
        <v>217</v>
      </c>
      <c r="F434" s="2" t="n">
        <v>1</v>
      </c>
      <c r="G434" s="2" t="n">
        <v>1</v>
      </c>
      <c r="H434" s="2" t="n">
        <v>0</v>
      </c>
      <c r="I434" s="2" t="n">
        <v>0</v>
      </c>
    </row>
    <row r="435">
      <c r="A435" s="2" t="n">
        <v>433</v>
      </c>
      <c r="B435" s="2" t="inlineStr">
        <is>
          <t>flip</t>
        </is>
      </c>
      <c r="C435" s="2" t="inlineStr">
        <is>
          <t>openssl X25519 only (classical)</t>
        </is>
      </c>
      <c r="D435" s="2" t="n">
        <v>314</v>
      </c>
      <c r="E435" s="2" t="n">
        <v>314</v>
      </c>
      <c r="F435" s="2" t="n">
        <v>1</v>
      </c>
      <c r="G435" s="2" t="n">
        <v>1</v>
      </c>
      <c r="H435" s="2" t="n">
        <v>1</v>
      </c>
      <c r="I435" s="2" t="n">
        <v>0</v>
      </c>
    </row>
    <row r="436">
      <c r="A436" s="2" t="n">
        <v>434</v>
      </c>
      <c r="B436" s="2" t="inlineStr">
        <is>
          <t>truncate</t>
        </is>
      </c>
      <c r="C436" s="2" t="inlineStr">
        <is>
          <t>openssl TLS 1.2 only</t>
        </is>
      </c>
      <c r="D436" s="2" t="n">
        <v>135</v>
      </c>
      <c r="E436" s="2" t="n">
        <v>135</v>
      </c>
      <c r="F436" s="2" t="n">
        <v>1</v>
      </c>
      <c r="G436" s="2" t="n">
        <v>1</v>
      </c>
      <c r="H436" s="2" t="n">
        <v>0</v>
      </c>
      <c r="I436" s="2" t="n">
        <v>0</v>
      </c>
    </row>
    <row r="437">
      <c r="A437" s="2" t="n">
        <v>435</v>
      </c>
      <c r="B437" s="2" t="inlineStr">
        <is>
          <t>length</t>
        </is>
      </c>
      <c r="C437" s="2" t="inlineStr">
        <is>
          <t>browser chrome150</t>
        </is>
      </c>
      <c r="D437" s="2" t="n">
        <v>1763</v>
      </c>
      <c r="E437" s="2" t="n">
        <v>1763</v>
      </c>
      <c r="F437" s="2" t="n">
        <v>1</v>
      </c>
      <c r="G437" s="2" t="n">
        <v>1</v>
      </c>
      <c r="H437" s="2" t="n">
        <v>1</v>
      </c>
      <c r="I437" s="2" t="n">
        <v>0</v>
      </c>
    </row>
    <row r="438">
      <c r="A438" s="2" t="n">
        <v>436</v>
      </c>
      <c r="B438" s="2" t="inlineStr">
        <is>
          <t>insert</t>
        </is>
      </c>
      <c r="C438" s="2" t="inlineStr">
        <is>
          <t>openssl TLS 1.2 only</t>
        </is>
      </c>
      <c r="D438" s="2" t="n">
        <v>222</v>
      </c>
      <c r="E438" s="2" t="n">
        <v>222</v>
      </c>
      <c r="F438" s="2" t="n">
        <v>1</v>
      </c>
      <c r="G438" s="2" t="n">
        <v>1</v>
      </c>
      <c r="H438" s="2" t="n">
        <v>1</v>
      </c>
      <c r="I438" s="2" t="n">
        <v>0</v>
      </c>
    </row>
    <row r="439">
      <c r="A439" s="2" t="n">
        <v>437</v>
      </c>
      <c r="B439" s="2" t="inlineStr">
        <is>
          <t>flip</t>
        </is>
      </c>
      <c r="C439" s="2" t="inlineStr">
        <is>
          <t>openssl TLS 1.2 only</t>
        </is>
      </c>
      <c r="D439" s="2" t="n">
        <v>215</v>
      </c>
      <c r="E439" s="2" t="n">
        <v>215</v>
      </c>
      <c r="F439" s="2" t="n">
        <v>1</v>
      </c>
      <c r="G439" s="2" t="n">
        <v>1</v>
      </c>
      <c r="H439" s="2" t="n">
        <v>1</v>
      </c>
      <c r="I439" s="2" t="n">
        <v>0</v>
      </c>
    </row>
    <row r="440">
      <c r="A440" s="2" t="n">
        <v>438</v>
      </c>
      <c r="B440" s="2" t="inlineStr">
        <is>
          <t>truncate</t>
        </is>
      </c>
      <c r="C440" s="2" t="inlineStr">
        <is>
          <t>openssl 3.5.8 default</t>
        </is>
      </c>
      <c r="D440" s="2" t="n">
        <v>1239</v>
      </c>
      <c r="E440" s="2" t="n">
        <v>1239</v>
      </c>
      <c r="F440" s="2" t="n">
        <v>1</v>
      </c>
      <c r="G440" s="2" t="n">
        <v>1</v>
      </c>
      <c r="H440" s="2" t="n">
        <v>1</v>
      </c>
      <c r="I440" s="2" t="n">
        <v>0</v>
      </c>
    </row>
    <row r="441">
      <c r="A441" s="2" t="n">
        <v>439</v>
      </c>
      <c r="B441" s="2" t="inlineStr">
        <is>
          <t>length</t>
        </is>
      </c>
      <c r="C441" s="2" t="inlineStr">
        <is>
          <t>openssl X25519 only (classical)</t>
        </is>
      </c>
      <c r="D441" s="2" t="n">
        <v>314</v>
      </c>
      <c r="E441" s="2" t="n">
        <v>314</v>
      </c>
      <c r="F441" s="2" t="n">
        <v>1</v>
      </c>
      <c r="G441" s="2" t="n">
        <v>1</v>
      </c>
      <c r="H441" s="2" t="n">
        <v>1</v>
      </c>
      <c r="I441" s="2" t="n">
        <v>0</v>
      </c>
    </row>
    <row r="442">
      <c r="A442" s="2" t="n">
        <v>440</v>
      </c>
      <c r="B442" s="2" t="inlineStr">
        <is>
          <t>insert</t>
        </is>
      </c>
      <c r="C442" s="2" t="inlineStr">
        <is>
          <t>browser firefox147</t>
        </is>
      </c>
      <c r="D442" s="2" t="n">
        <v>1912</v>
      </c>
      <c r="E442" s="2" t="n">
        <v>1912</v>
      </c>
      <c r="F442" s="2" t="n">
        <v>1</v>
      </c>
      <c r="G442" s="2" t="n">
        <v>1</v>
      </c>
      <c r="H442" s="2" t="n">
        <v>0</v>
      </c>
      <c r="I442" s="2" t="n">
        <v>0</v>
      </c>
    </row>
    <row r="443">
      <c r="A443" s="2" t="n">
        <v>441</v>
      </c>
      <c r="B443" s="2" t="inlineStr">
        <is>
          <t>flip</t>
        </is>
      </c>
      <c r="C443" s="2" t="inlineStr">
        <is>
          <t>browser chrome150</t>
        </is>
      </c>
      <c r="D443" s="2" t="n">
        <v>1763</v>
      </c>
      <c r="E443" s="2" t="n">
        <v>1763</v>
      </c>
      <c r="F443" s="2" t="n">
        <v>1</v>
      </c>
      <c r="G443" s="2" t="n">
        <v>1</v>
      </c>
      <c r="H443" s="2" t="n">
        <v>1</v>
      </c>
      <c r="I443" s="2" t="n">
        <v>0</v>
      </c>
    </row>
    <row r="444">
      <c r="A444" s="2" t="n">
        <v>442</v>
      </c>
      <c r="B444" s="2" t="inlineStr">
        <is>
          <t>truncate</t>
        </is>
      </c>
      <c r="C444" s="2" t="inlineStr">
        <is>
          <t>openssl 3.5.8 default</t>
        </is>
      </c>
      <c r="D444" s="2" t="n">
        <v>342</v>
      </c>
      <c r="E444" s="2" t="n">
        <v>342</v>
      </c>
      <c r="F444" s="2" t="n">
        <v>1</v>
      </c>
      <c r="G444" s="2" t="n">
        <v>1</v>
      </c>
      <c r="H444" s="2" t="n">
        <v>1</v>
      </c>
      <c r="I444" s="2" t="n">
        <v>0</v>
      </c>
    </row>
    <row r="445">
      <c r="A445" s="2" t="n">
        <v>443</v>
      </c>
      <c r="B445" s="2" t="inlineStr">
        <is>
          <t>length</t>
        </is>
      </c>
      <c r="C445" s="2" t="inlineStr">
        <is>
          <t>browser chrome150</t>
        </is>
      </c>
      <c r="D445" s="2" t="n">
        <v>1763</v>
      </c>
      <c r="E445" s="2" t="n">
        <v>1763</v>
      </c>
      <c r="F445" s="2" t="n">
        <v>0</v>
      </c>
      <c r="G445" s="2" t="n">
        <v>0</v>
      </c>
      <c r="H445" s="2" t="n">
        <v>0</v>
      </c>
      <c r="I445" s="2" t="n">
        <v>0</v>
      </c>
    </row>
    <row r="446">
      <c r="A446" s="2" t="n">
        <v>444</v>
      </c>
      <c r="B446" s="2" t="inlineStr">
        <is>
          <t>insert</t>
        </is>
      </c>
      <c r="C446" s="2" t="inlineStr">
        <is>
          <t>browser firefox147</t>
        </is>
      </c>
      <c r="D446" s="2" t="n">
        <v>1909</v>
      </c>
      <c r="E446" s="2" t="n">
        <v>1909</v>
      </c>
      <c r="F446" s="2" t="n">
        <v>1</v>
      </c>
      <c r="G446" s="2" t="n">
        <v>1</v>
      </c>
      <c r="H446" s="2" t="n">
        <v>0</v>
      </c>
      <c r="I446" s="2" t="n">
        <v>0</v>
      </c>
    </row>
    <row r="447">
      <c r="A447" s="2" t="n">
        <v>445</v>
      </c>
      <c r="B447" s="2" t="inlineStr">
        <is>
          <t>flip</t>
        </is>
      </c>
      <c r="C447" s="2" t="inlineStr">
        <is>
          <t>openssl TLS 1.2 only</t>
        </is>
      </c>
      <c r="D447" s="2" t="n">
        <v>215</v>
      </c>
      <c r="E447" s="2" t="n">
        <v>215</v>
      </c>
      <c r="F447" s="2" t="n">
        <v>1</v>
      </c>
      <c r="G447" s="2" t="n">
        <v>1</v>
      </c>
      <c r="H447" s="2" t="n">
        <v>1</v>
      </c>
      <c r="I447" s="2" t="n">
        <v>0</v>
      </c>
    </row>
    <row r="448">
      <c r="A448" s="2" t="n">
        <v>446</v>
      </c>
      <c r="B448" s="2" t="inlineStr">
        <is>
          <t>truncate</t>
        </is>
      </c>
      <c r="C448" s="2" t="inlineStr">
        <is>
          <t>openssl 3.5.8 default</t>
        </is>
      </c>
      <c r="D448" s="2" t="n">
        <v>1127</v>
      </c>
      <c r="E448" s="2" t="n">
        <v>1127</v>
      </c>
      <c r="F448" s="2" t="n">
        <v>1</v>
      </c>
      <c r="G448" s="2" t="n">
        <v>1</v>
      </c>
      <c r="H448" s="2" t="n">
        <v>1</v>
      </c>
      <c r="I448" s="2" t="n">
        <v>0</v>
      </c>
    </row>
    <row r="449">
      <c r="A449" s="2" t="n">
        <v>447</v>
      </c>
      <c r="B449" s="2" t="inlineStr">
        <is>
          <t>length</t>
        </is>
      </c>
      <c r="C449" s="2" t="inlineStr">
        <is>
          <t>openssl TLS 1.2 only</t>
        </is>
      </c>
      <c r="D449" s="2" t="n">
        <v>215</v>
      </c>
      <c r="E449" s="2" t="n">
        <v>215</v>
      </c>
      <c r="F449" s="2" t="n">
        <v>0</v>
      </c>
      <c r="G449" s="2" t="n">
        <v>0</v>
      </c>
      <c r="H449" s="2" t="n">
        <v>0</v>
      </c>
      <c r="I449" s="2" t="n">
        <v>0</v>
      </c>
    </row>
    <row r="450">
      <c r="A450" s="2" t="n">
        <v>448</v>
      </c>
      <c r="B450" s="2" t="inlineStr">
        <is>
          <t>insert</t>
        </is>
      </c>
      <c r="C450" s="2" t="inlineStr">
        <is>
          <t>openssl TLS 1.2 only</t>
        </is>
      </c>
      <c r="D450" s="2" t="n">
        <v>221</v>
      </c>
      <c r="E450" s="2" t="n">
        <v>221</v>
      </c>
      <c r="F450" s="2" t="n">
        <v>1</v>
      </c>
      <c r="G450" s="2" t="n">
        <v>0</v>
      </c>
      <c r="H450" s="2" t="n">
        <v>0</v>
      </c>
      <c r="I450" s="2" t="n">
        <v>0</v>
      </c>
    </row>
    <row r="451">
      <c r="A451" s="2" t="n">
        <v>449</v>
      </c>
      <c r="B451" s="2" t="inlineStr">
        <is>
          <t>flip</t>
        </is>
      </c>
      <c r="C451" s="2" t="inlineStr">
        <is>
          <t>openssl X25519 only (classical)</t>
        </is>
      </c>
      <c r="D451" s="2" t="n">
        <v>314</v>
      </c>
      <c r="E451" s="2" t="n">
        <v>314</v>
      </c>
      <c r="F451" s="2" t="n">
        <v>1</v>
      </c>
      <c r="G451" s="2" t="n">
        <v>1</v>
      </c>
      <c r="H451" s="2" t="n">
        <v>1</v>
      </c>
      <c r="I451" s="2" t="n">
        <v>0</v>
      </c>
    </row>
    <row r="452">
      <c r="A452" s="2" t="n">
        <v>450</v>
      </c>
      <c r="B452" s="2" t="inlineStr">
        <is>
          <t>truncate</t>
        </is>
      </c>
      <c r="C452" s="2" t="inlineStr">
        <is>
          <t>openssl TLS 1.2 only</t>
        </is>
      </c>
      <c r="D452" s="2" t="n">
        <v>189</v>
      </c>
      <c r="E452" s="2" t="n">
        <v>189</v>
      </c>
      <c r="F452" s="2" t="n">
        <v>1</v>
      </c>
      <c r="G452" s="2" t="n">
        <v>1</v>
      </c>
      <c r="H452" s="2" t="n">
        <v>1</v>
      </c>
      <c r="I452" s="2" t="n">
        <v>0</v>
      </c>
    </row>
    <row r="453">
      <c r="A453" s="2" t="n">
        <v>451</v>
      </c>
      <c r="B453" s="2" t="inlineStr">
        <is>
          <t>length</t>
        </is>
      </c>
      <c r="C453" s="2" t="inlineStr">
        <is>
          <t>openssl TLS 1.2 only</t>
        </is>
      </c>
      <c r="D453" s="2" t="n">
        <v>215</v>
      </c>
      <c r="E453" s="2" t="n">
        <v>215</v>
      </c>
      <c r="F453" s="2" t="n">
        <v>1</v>
      </c>
      <c r="G453" s="2" t="n">
        <v>1</v>
      </c>
      <c r="H453" s="2" t="n">
        <v>1</v>
      </c>
      <c r="I453" s="2" t="n">
        <v>0</v>
      </c>
    </row>
    <row r="454">
      <c r="A454" s="2" t="n">
        <v>452</v>
      </c>
      <c r="B454" s="2" t="inlineStr">
        <is>
          <t>insert</t>
        </is>
      </c>
      <c r="C454" s="2" t="inlineStr">
        <is>
          <t>openssl X25519 only (classical)</t>
        </is>
      </c>
      <c r="D454" s="2" t="n">
        <v>327</v>
      </c>
      <c r="E454" s="2" t="n">
        <v>327</v>
      </c>
      <c r="F454" s="2" t="n">
        <v>1</v>
      </c>
      <c r="G454" s="2" t="n">
        <v>1</v>
      </c>
      <c r="H454" s="2" t="n">
        <v>1</v>
      </c>
      <c r="I454" s="2" t="n">
        <v>0</v>
      </c>
    </row>
    <row r="455">
      <c r="A455" s="2" t="n">
        <v>453</v>
      </c>
      <c r="B455" s="2" t="inlineStr">
        <is>
          <t>flip</t>
        </is>
      </c>
      <c r="C455" s="2" t="inlineStr">
        <is>
          <t>browser firefox147</t>
        </is>
      </c>
      <c r="D455" s="2" t="n">
        <v>1901</v>
      </c>
      <c r="E455" s="2" t="n">
        <v>1901</v>
      </c>
      <c r="F455" s="2" t="n">
        <v>1</v>
      </c>
      <c r="G455" s="2" t="n">
        <v>1</v>
      </c>
      <c r="H455" s="2" t="n">
        <v>0</v>
      </c>
      <c r="I455" s="2" t="n">
        <v>0</v>
      </c>
    </row>
    <row r="456">
      <c r="A456" s="2" t="n">
        <v>454</v>
      </c>
      <c r="B456" s="2" t="inlineStr">
        <is>
          <t>truncate</t>
        </is>
      </c>
      <c r="C456" s="2" t="inlineStr">
        <is>
          <t>openssl 3.5.8 default</t>
        </is>
      </c>
      <c r="D456" s="2" t="n">
        <v>737</v>
      </c>
      <c r="E456" s="2" t="n">
        <v>737</v>
      </c>
      <c r="F456" s="2" t="n">
        <v>1</v>
      </c>
      <c r="G456" s="2" t="n">
        <v>1</v>
      </c>
      <c r="H456" s="2" t="n">
        <v>1</v>
      </c>
      <c r="I456" s="2" t="n">
        <v>0</v>
      </c>
    </row>
    <row r="457">
      <c r="A457" s="2" t="n">
        <v>455</v>
      </c>
      <c r="B457" s="2" t="inlineStr">
        <is>
          <t>length</t>
        </is>
      </c>
      <c r="C457" s="2" t="inlineStr">
        <is>
          <t>openssl X25519 only (classical)</t>
        </is>
      </c>
      <c r="D457" s="2" t="n">
        <v>314</v>
      </c>
      <c r="E457" s="2" t="n">
        <v>314</v>
      </c>
      <c r="F457" s="2" t="n">
        <v>1</v>
      </c>
      <c r="G457" s="2" t="n">
        <v>0</v>
      </c>
      <c r="H457" s="2" t="n">
        <v>0</v>
      </c>
      <c r="I457" s="2" t="n">
        <v>0</v>
      </c>
    </row>
    <row r="458">
      <c r="A458" s="2" t="n">
        <v>456</v>
      </c>
      <c r="B458" s="2" t="inlineStr">
        <is>
          <t>insert</t>
        </is>
      </c>
      <c r="C458" s="2" t="inlineStr">
        <is>
          <t>openssl X25519 only (classical)</t>
        </is>
      </c>
      <c r="D458" s="2" t="n">
        <v>322</v>
      </c>
      <c r="E458" s="2" t="n">
        <v>322</v>
      </c>
      <c r="F458" s="2" t="n">
        <v>1</v>
      </c>
      <c r="G458" s="2" t="n">
        <v>0</v>
      </c>
      <c r="H458" s="2" t="n">
        <v>0</v>
      </c>
      <c r="I458" s="2" t="n">
        <v>0</v>
      </c>
    </row>
    <row r="459">
      <c r="A459" s="2" t="n">
        <v>457</v>
      </c>
      <c r="B459" s="2" t="inlineStr">
        <is>
          <t>flip</t>
        </is>
      </c>
      <c r="C459" s="2" t="inlineStr">
        <is>
          <t>openssl TLS 1.2 only</t>
        </is>
      </c>
      <c r="D459" s="2" t="n">
        <v>215</v>
      </c>
      <c r="E459" s="2" t="n">
        <v>215</v>
      </c>
      <c r="F459" s="2" t="n">
        <v>1</v>
      </c>
      <c r="G459" s="2" t="n">
        <v>1</v>
      </c>
      <c r="H459" s="2" t="n">
        <v>1</v>
      </c>
      <c r="I459" s="2" t="n">
        <v>0</v>
      </c>
    </row>
    <row r="460">
      <c r="A460" s="2" t="n">
        <v>458</v>
      </c>
      <c r="B460" s="2" t="inlineStr">
        <is>
          <t>truncate</t>
        </is>
      </c>
      <c r="C460" s="2" t="inlineStr">
        <is>
          <t>browser firefox147</t>
        </is>
      </c>
      <c r="D460" s="2" t="n">
        <v>1846</v>
      </c>
      <c r="E460" s="2" t="n">
        <v>1846</v>
      </c>
      <c r="F460" s="2" t="n">
        <v>1</v>
      </c>
      <c r="G460" s="2" t="n">
        <v>1</v>
      </c>
      <c r="H460" s="2" t="n">
        <v>0</v>
      </c>
      <c r="I460" s="2" t="n">
        <v>0</v>
      </c>
    </row>
    <row r="461">
      <c r="A461" s="2" t="n">
        <v>459</v>
      </c>
      <c r="B461" s="2" t="inlineStr">
        <is>
          <t>length</t>
        </is>
      </c>
      <c r="C461" s="2" t="inlineStr">
        <is>
          <t>browser firefox147</t>
        </is>
      </c>
      <c r="D461" s="2" t="n">
        <v>1901</v>
      </c>
      <c r="E461" s="2" t="n">
        <v>1901</v>
      </c>
      <c r="F461" s="2" t="n">
        <v>1</v>
      </c>
      <c r="G461" s="2" t="n">
        <v>1</v>
      </c>
      <c r="H461" s="2" t="n">
        <v>0</v>
      </c>
      <c r="I461" s="2" t="n">
        <v>0</v>
      </c>
    </row>
    <row r="462">
      <c r="A462" s="2" t="n">
        <v>460</v>
      </c>
      <c r="B462" s="2" t="inlineStr">
        <is>
          <t>insert</t>
        </is>
      </c>
      <c r="C462" s="2" t="inlineStr">
        <is>
          <t>browser firefox147</t>
        </is>
      </c>
      <c r="D462" s="2" t="n">
        <v>1913</v>
      </c>
      <c r="E462" s="2" t="n">
        <v>1913</v>
      </c>
      <c r="F462" s="2" t="n">
        <v>1</v>
      </c>
      <c r="G462" s="2" t="n">
        <v>1</v>
      </c>
      <c r="H462" s="2" t="n">
        <v>0</v>
      </c>
      <c r="I462" s="2" t="n">
        <v>0</v>
      </c>
    </row>
    <row r="463">
      <c r="A463" s="2" t="n">
        <v>461</v>
      </c>
      <c r="B463" s="2" t="inlineStr">
        <is>
          <t>flip</t>
        </is>
      </c>
      <c r="C463" s="2" t="inlineStr">
        <is>
          <t>openssl X25519 only (classical)</t>
        </is>
      </c>
      <c r="D463" s="2" t="n">
        <v>314</v>
      </c>
      <c r="E463" s="2" t="n">
        <v>314</v>
      </c>
      <c r="F463" s="2" t="n">
        <v>1</v>
      </c>
      <c r="G463" s="2" t="n">
        <v>1</v>
      </c>
      <c r="H463" s="2" t="n">
        <v>1</v>
      </c>
      <c r="I463" s="2" t="n">
        <v>0</v>
      </c>
    </row>
    <row r="464">
      <c r="A464" s="2" t="n">
        <v>462</v>
      </c>
      <c r="B464" s="2" t="inlineStr">
        <is>
          <t>truncate</t>
        </is>
      </c>
      <c r="C464" s="2" t="inlineStr">
        <is>
          <t>openssl X25519 only (classical)</t>
        </is>
      </c>
      <c r="D464" s="2" t="n">
        <v>185</v>
      </c>
      <c r="E464" s="2" t="n">
        <v>185</v>
      </c>
      <c r="F464" s="2" t="n">
        <v>1</v>
      </c>
      <c r="G464" s="2" t="n">
        <v>1</v>
      </c>
      <c r="H464" s="2" t="n">
        <v>0</v>
      </c>
      <c r="I464" s="2" t="n">
        <v>0</v>
      </c>
    </row>
    <row r="465">
      <c r="A465" s="2" t="n">
        <v>463</v>
      </c>
      <c r="B465" s="2" t="inlineStr">
        <is>
          <t>length</t>
        </is>
      </c>
      <c r="C465" s="2" t="inlineStr">
        <is>
          <t>openssl X25519 only (classical)</t>
        </is>
      </c>
      <c r="D465" s="2" t="n">
        <v>314</v>
      </c>
      <c r="E465" s="2" t="n">
        <v>314</v>
      </c>
      <c r="F465" s="2" t="n">
        <v>0</v>
      </c>
      <c r="G465" s="2" t="n">
        <v>0</v>
      </c>
      <c r="H465" s="2" t="n">
        <v>0</v>
      </c>
      <c r="I465" s="2" t="n">
        <v>0</v>
      </c>
    </row>
    <row r="466">
      <c r="A466" s="2" t="n">
        <v>464</v>
      </c>
      <c r="B466" s="2" t="inlineStr">
        <is>
          <t>insert</t>
        </is>
      </c>
      <c r="C466" s="2" t="inlineStr">
        <is>
          <t>browser chrome150</t>
        </is>
      </c>
      <c r="D466" s="2" t="n">
        <v>1770</v>
      </c>
      <c r="E466" s="2" t="n">
        <v>1770</v>
      </c>
      <c r="F466" s="2" t="n">
        <v>1</v>
      </c>
      <c r="G466" s="2" t="n">
        <v>1</v>
      </c>
      <c r="H466" s="2" t="n">
        <v>1</v>
      </c>
      <c r="I466" s="2" t="n">
        <v>0</v>
      </c>
    </row>
    <row r="467">
      <c r="A467" s="2" t="n">
        <v>465</v>
      </c>
      <c r="B467" s="2" t="inlineStr">
        <is>
          <t>flip</t>
        </is>
      </c>
      <c r="C467" s="2" t="inlineStr">
        <is>
          <t>openssl 3.5.8 default</t>
        </is>
      </c>
      <c r="D467" s="2" t="n">
        <v>1548</v>
      </c>
      <c r="E467" s="2" t="n">
        <v>1548</v>
      </c>
      <c r="F467" s="2" t="n">
        <v>1</v>
      </c>
      <c r="G467" s="2" t="n">
        <v>1</v>
      </c>
      <c r="H467" s="2" t="n">
        <v>1</v>
      </c>
      <c r="I467" s="2" t="n">
        <v>0</v>
      </c>
    </row>
    <row r="468">
      <c r="A468" s="2" t="n">
        <v>466</v>
      </c>
      <c r="B468" s="2" t="inlineStr">
        <is>
          <t>truncate</t>
        </is>
      </c>
      <c r="C468" s="2" t="inlineStr">
        <is>
          <t>browser chrome150</t>
        </is>
      </c>
      <c r="D468" s="2" t="n">
        <v>1131</v>
      </c>
      <c r="E468" s="2" t="n">
        <v>1131</v>
      </c>
      <c r="F468" s="2" t="n">
        <v>1</v>
      </c>
      <c r="G468" s="2" t="n">
        <v>1</v>
      </c>
      <c r="H468" s="2" t="n">
        <v>1</v>
      </c>
      <c r="I468" s="2" t="n">
        <v>0</v>
      </c>
    </row>
    <row r="469">
      <c r="A469" s="2" t="n">
        <v>467</v>
      </c>
      <c r="B469" s="2" t="inlineStr">
        <is>
          <t>length</t>
        </is>
      </c>
      <c r="C469" s="2" t="inlineStr">
        <is>
          <t>openssl X25519 only (classical)</t>
        </is>
      </c>
      <c r="D469" s="2" t="n">
        <v>314</v>
      </c>
      <c r="E469" s="2" t="n">
        <v>314</v>
      </c>
      <c r="F469" s="2" t="n">
        <v>1</v>
      </c>
      <c r="G469" s="2" t="n">
        <v>0</v>
      </c>
      <c r="H469" s="2" t="n">
        <v>0</v>
      </c>
      <c r="I469" s="2" t="n">
        <v>0</v>
      </c>
    </row>
    <row r="470">
      <c r="A470" s="2" t="n">
        <v>468</v>
      </c>
      <c r="B470" s="2" t="inlineStr">
        <is>
          <t>insert</t>
        </is>
      </c>
      <c r="C470" s="2" t="inlineStr">
        <is>
          <t>openssl TLS 1.2 only</t>
        </is>
      </c>
      <c r="D470" s="2" t="n">
        <v>231</v>
      </c>
      <c r="E470" s="2" t="n">
        <v>231</v>
      </c>
      <c r="F470" s="2" t="n">
        <v>1</v>
      </c>
      <c r="G470" s="2" t="n">
        <v>0</v>
      </c>
      <c r="H470" s="2" t="n">
        <v>0</v>
      </c>
      <c r="I470" s="2" t="n">
        <v>0</v>
      </c>
    </row>
    <row r="471">
      <c r="A471" s="2" t="n">
        <v>469</v>
      </c>
      <c r="B471" s="2" t="inlineStr">
        <is>
          <t>flip</t>
        </is>
      </c>
      <c r="C471" s="2" t="inlineStr">
        <is>
          <t>browser firefox147</t>
        </is>
      </c>
      <c r="D471" s="2" t="n">
        <v>1901</v>
      </c>
      <c r="E471" s="2" t="n">
        <v>1901</v>
      </c>
      <c r="F471" s="2" t="n">
        <v>1</v>
      </c>
      <c r="G471" s="2" t="n">
        <v>1</v>
      </c>
      <c r="H471" s="2" t="n">
        <v>0</v>
      </c>
      <c r="I471" s="2" t="n">
        <v>0</v>
      </c>
    </row>
    <row r="472">
      <c r="A472" s="2" t="n">
        <v>470</v>
      </c>
      <c r="B472" s="2" t="inlineStr">
        <is>
          <t>truncate</t>
        </is>
      </c>
      <c r="C472" s="2" t="inlineStr">
        <is>
          <t>openssl X25519 only (classical)</t>
        </is>
      </c>
      <c r="D472" s="2" t="n">
        <v>135</v>
      </c>
      <c r="E472" s="2" t="n">
        <v>135</v>
      </c>
      <c r="F472" s="2" t="n">
        <v>1</v>
      </c>
      <c r="G472" s="2" t="n">
        <v>0</v>
      </c>
      <c r="H472" s="2" t="n">
        <v>0</v>
      </c>
      <c r="I472" s="2" t="n">
        <v>0</v>
      </c>
    </row>
    <row r="473">
      <c r="A473" s="2" t="n">
        <v>471</v>
      </c>
      <c r="B473" s="2" t="inlineStr">
        <is>
          <t>length</t>
        </is>
      </c>
      <c r="C473" s="2" t="inlineStr">
        <is>
          <t>openssl X25519 only (classical)</t>
        </is>
      </c>
      <c r="D473" s="2" t="n">
        <v>314</v>
      </c>
      <c r="E473" s="2" t="n">
        <v>314</v>
      </c>
      <c r="F473" s="2" t="n">
        <v>1</v>
      </c>
      <c r="G473" s="2" t="n">
        <v>1</v>
      </c>
      <c r="H473" s="2" t="n">
        <v>1</v>
      </c>
      <c r="I473" s="2" t="n">
        <v>0</v>
      </c>
    </row>
    <row r="474">
      <c r="A474" s="2" t="n">
        <v>472</v>
      </c>
      <c r="B474" s="2" t="inlineStr">
        <is>
          <t>insert</t>
        </is>
      </c>
      <c r="C474" s="2" t="inlineStr">
        <is>
          <t>openssl 3.5.8 default</t>
        </is>
      </c>
      <c r="D474" s="2" t="n">
        <v>1556</v>
      </c>
      <c r="E474" s="2" t="n">
        <v>1556</v>
      </c>
      <c r="F474" s="2" t="n">
        <v>1</v>
      </c>
      <c r="G474" s="2" t="n">
        <v>1</v>
      </c>
      <c r="H474" s="2" t="n">
        <v>1</v>
      </c>
      <c r="I474" s="2" t="n">
        <v>0</v>
      </c>
    </row>
    <row r="475">
      <c r="A475" s="2" t="n">
        <v>473</v>
      </c>
      <c r="B475" s="2" t="inlineStr">
        <is>
          <t>flip</t>
        </is>
      </c>
      <c r="C475" s="2" t="inlineStr">
        <is>
          <t>openssl TLS 1.2 only</t>
        </is>
      </c>
      <c r="D475" s="2" t="n">
        <v>215</v>
      </c>
      <c r="E475" s="2" t="n">
        <v>215</v>
      </c>
      <c r="F475" s="2" t="n">
        <v>0</v>
      </c>
      <c r="G475" s="2" t="n">
        <v>0</v>
      </c>
      <c r="H475" s="2" t="n">
        <v>0</v>
      </c>
      <c r="I475" s="2" t="n">
        <v>0</v>
      </c>
    </row>
    <row r="476">
      <c r="A476" s="2" t="n">
        <v>474</v>
      </c>
      <c r="B476" s="2" t="inlineStr">
        <is>
          <t>truncate</t>
        </is>
      </c>
      <c r="C476" s="2" t="inlineStr">
        <is>
          <t>browser chrome150</t>
        </is>
      </c>
      <c r="D476" s="2" t="n">
        <v>1256</v>
      </c>
      <c r="E476" s="2" t="n">
        <v>1256</v>
      </c>
      <c r="F476" s="2" t="n">
        <v>1</v>
      </c>
      <c r="G476" s="2" t="n">
        <v>1</v>
      </c>
      <c r="H476" s="2" t="n">
        <v>1</v>
      </c>
      <c r="I476" s="2" t="n">
        <v>0</v>
      </c>
    </row>
    <row r="477">
      <c r="A477" s="2" t="n">
        <v>475</v>
      </c>
      <c r="B477" s="2" t="inlineStr">
        <is>
          <t>length</t>
        </is>
      </c>
      <c r="C477" s="2" t="inlineStr">
        <is>
          <t>openssl 3.5.8 default</t>
        </is>
      </c>
      <c r="D477" s="2" t="n">
        <v>1548</v>
      </c>
      <c r="E477" s="2" t="n">
        <v>1548</v>
      </c>
      <c r="F477" s="2" t="n">
        <v>1</v>
      </c>
      <c r="G477" s="2" t="n">
        <v>0</v>
      </c>
      <c r="H477" s="2" t="n">
        <v>0</v>
      </c>
      <c r="I477" s="2" t="n">
        <v>0</v>
      </c>
    </row>
    <row r="478">
      <c r="A478" s="2" t="n">
        <v>476</v>
      </c>
      <c r="B478" s="2" t="inlineStr">
        <is>
          <t>insert</t>
        </is>
      </c>
      <c r="C478" s="2" t="inlineStr">
        <is>
          <t>openssl TLS 1.2 only</t>
        </is>
      </c>
      <c r="D478" s="2" t="n">
        <v>224</v>
      </c>
      <c r="E478" s="2" t="n">
        <v>224</v>
      </c>
      <c r="F478" s="2" t="n">
        <v>1</v>
      </c>
      <c r="G478" s="2" t="n">
        <v>1</v>
      </c>
      <c r="H478" s="2" t="n">
        <v>1</v>
      </c>
      <c r="I478" s="2" t="n">
        <v>0</v>
      </c>
    </row>
    <row r="479">
      <c r="A479" s="2" t="n">
        <v>477</v>
      </c>
      <c r="B479" s="2" t="inlineStr">
        <is>
          <t>flip</t>
        </is>
      </c>
      <c r="C479" s="2" t="inlineStr">
        <is>
          <t>openssl 3.5.8 default</t>
        </is>
      </c>
      <c r="D479" s="2" t="n">
        <v>1548</v>
      </c>
      <c r="E479" s="2" t="n">
        <v>1548</v>
      </c>
      <c r="F479" s="2" t="n">
        <v>1</v>
      </c>
      <c r="G479" s="2" t="n">
        <v>1</v>
      </c>
      <c r="H479" s="2" t="n">
        <v>1</v>
      </c>
      <c r="I479" s="2" t="n">
        <v>0</v>
      </c>
    </row>
    <row r="480">
      <c r="A480" s="2" t="n">
        <v>478</v>
      </c>
      <c r="B480" s="2" t="inlineStr">
        <is>
          <t>truncate</t>
        </is>
      </c>
      <c r="C480" s="2" t="inlineStr">
        <is>
          <t>browser chrome150</t>
        </is>
      </c>
      <c r="D480" s="2" t="n">
        <v>1430</v>
      </c>
      <c r="E480" s="2" t="n">
        <v>1430</v>
      </c>
      <c r="F480" s="2" t="n">
        <v>1</v>
      </c>
      <c r="G480" s="2" t="n">
        <v>1</v>
      </c>
      <c r="H480" s="2" t="n">
        <v>1</v>
      </c>
      <c r="I480" s="2" t="n">
        <v>0</v>
      </c>
    </row>
    <row r="481">
      <c r="A481" s="2" t="n">
        <v>479</v>
      </c>
      <c r="B481" s="2" t="inlineStr">
        <is>
          <t>length</t>
        </is>
      </c>
      <c r="C481" s="2" t="inlineStr">
        <is>
          <t>openssl 3.5.8 default</t>
        </is>
      </c>
      <c r="D481" s="2" t="n">
        <v>1548</v>
      </c>
      <c r="E481" s="2" t="n">
        <v>1548</v>
      </c>
      <c r="F481" s="2" t="n">
        <v>1</v>
      </c>
      <c r="G481" s="2" t="n">
        <v>1</v>
      </c>
      <c r="H481" s="2" t="n">
        <v>1</v>
      </c>
      <c r="I481" s="2" t="n">
        <v>0</v>
      </c>
    </row>
    <row r="482">
      <c r="A482" s="2" t="n">
        <v>480</v>
      </c>
      <c r="B482" s="2" t="inlineStr">
        <is>
          <t>insert</t>
        </is>
      </c>
      <c r="C482" s="2" t="inlineStr">
        <is>
          <t>openssl X25519 only (classical)</t>
        </is>
      </c>
      <c r="D482" s="2" t="n">
        <v>330</v>
      </c>
      <c r="E482" s="2" t="n">
        <v>330</v>
      </c>
      <c r="F482" s="2" t="n">
        <v>1</v>
      </c>
      <c r="G482" s="2" t="n">
        <v>0</v>
      </c>
      <c r="H482" s="2" t="n">
        <v>0</v>
      </c>
      <c r="I482" s="2" t="n">
        <v>0</v>
      </c>
    </row>
    <row r="483">
      <c r="A483" s="2" t="n">
        <v>481</v>
      </c>
      <c r="B483" s="2" t="inlineStr">
        <is>
          <t>flip</t>
        </is>
      </c>
      <c r="C483" s="2" t="inlineStr">
        <is>
          <t>browser firefox147</t>
        </is>
      </c>
      <c r="D483" s="2" t="n">
        <v>1901</v>
      </c>
      <c r="E483" s="2" t="n">
        <v>1901</v>
      </c>
      <c r="F483" s="2" t="n">
        <v>1</v>
      </c>
      <c r="G483" s="2" t="n">
        <v>1</v>
      </c>
      <c r="H483" s="2" t="n">
        <v>0</v>
      </c>
      <c r="I483" s="2" t="n">
        <v>0</v>
      </c>
    </row>
    <row r="484">
      <c r="A484" s="2" t="n">
        <v>482</v>
      </c>
      <c r="B484" s="2" t="inlineStr">
        <is>
          <t>truncate</t>
        </is>
      </c>
      <c r="C484" s="2" t="inlineStr">
        <is>
          <t>browser firefox147</t>
        </is>
      </c>
      <c r="D484" s="2" t="n">
        <v>1484</v>
      </c>
      <c r="E484" s="2" t="n">
        <v>1484</v>
      </c>
      <c r="F484" s="2" t="n">
        <v>1</v>
      </c>
      <c r="G484" s="2" t="n">
        <v>1</v>
      </c>
      <c r="H484" s="2" t="n">
        <v>0</v>
      </c>
      <c r="I484" s="2" t="n">
        <v>0</v>
      </c>
    </row>
    <row r="485">
      <c r="A485" s="2" t="n">
        <v>483</v>
      </c>
      <c r="B485" s="2" t="inlineStr">
        <is>
          <t>length</t>
        </is>
      </c>
      <c r="C485" s="2" t="inlineStr">
        <is>
          <t>browser firefox147</t>
        </is>
      </c>
      <c r="D485" s="2" t="n">
        <v>1901</v>
      </c>
      <c r="E485" s="2" t="n">
        <v>1901</v>
      </c>
      <c r="F485" s="2" t="n">
        <v>0</v>
      </c>
      <c r="G485" s="2" t="n">
        <v>0</v>
      </c>
      <c r="H485" s="2" t="n">
        <v>0</v>
      </c>
      <c r="I485" s="2" t="n">
        <v>0</v>
      </c>
    </row>
    <row r="486">
      <c r="A486" s="2" t="n">
        <v>484</v>
      </c>
      <c r="B486" s="2" t="inlineStr">
        <is>
          <t>insert</t>
        </is>
      </c>
      <c r="C486" s="2" t="inlineStr">
        <is>
          <t>openssl TLS 1.2 only</t>
        </is>
      </c>
      <c r="D486" s="2" t="n">
        <v>227</v>
      </c>
      <c r="E486" s="2" t="n">
        <v>227</v>
      </c>
      <c r="F486" s="2" t="n">
        <v>1</v>
      </c>
      <c r="G486" s="2" t="n">
        <v>1</v>
      </c>
      <c r="H486" s="2" t="n">
        <v>1</v>
      </c>
      <c r="I486" s="2" t="n">
        <v>0</v>
      </c>
    </row>
    <row r="487">
      <c r="A487" s="2" t="n">
        <v>485</v>
      </c>
      <c r="B487" s="2" t="inlineStr">
        <is>
          <t>flip</t>
        </is>
      </c>
      <c r="C487" s="2" t="inlineStr">
        <is>
          <t>browser firefox147</t>
        </is>
      </c>
      <c r="D487" s="2" t="n">
        <v>1901</v>
      </c>
      <c r="E487" s="2" t="n">
        <v>1901</v>
      </c>
      <c r="F487" s="2" t="n">
        <v>1</v>
      </c>
      <c r="G487" s="2" t="n">
        <v>1</v>
      </c>
      <c r="H487" s="2" t="n">
        <v>0</v>
      </c>
      <c r="I487" s="2" t="n">
        <v>0</v>
      </c>
    </row>
    <row r="488">
      <c r="A488" s="2" t="n">
        <v>486</v>
      </c>
      <c r="B488" s="2" t="inlineStr">
        <is>
          <t>truncate</t>
        </is>
      </c>
      <c r="C488" s="2" t="inlineStr">
        <is>
          <t>openssl X25519 only (classical)</t>
        </is>
      </c>
      <c r="D488" s="2" t="n">
        <v>187</v>
      </c>
      <c r="E488" s="2" t="n">
        <v>187</v>
      </c>
      <c r="F488" s="2" t="n">
        <v>1</v>
      </c>
      <c r="G488" s="2" t="n">
        <v>1</v>
      </c>
      <c r="H488" s="2" t="n">
        <v>0</v>
      </c>
      <c r="I488" s="2" t="n">
        <v>0</v>
      </c>
    </row>
    <row r="489">
      <c r="A489" s="2" t="n">
        <v>487</v>
      </c>
      <c r="B489" s="2" t="inlineStr">
        <is>
          <t>length</t>
        </is>
      </c>
      <c r="C489" s="2" t="inlineStr">
        <is>
          <t>browser firefox147</t>
        </is>
      </c>
      <c r="D489" s="2" t="n">
        <v>1901</v>
      </c>
      <c r="E489" s="2" t="n">
        <v>1901</v>
      </c>
      <c r="F489" s="2" t="n">
        <v>1</v>
      </c>
      <c r="G489" s="2" t="n">
        <v>1</v>
      </c>
      <c r="H489" s="2" t="n">
        <v>0</v>
      </c>
      <c r="I489" s="2" t="n">
        <v>0</v>
      </c>
    </row>
    <row r="490">
      <c r="A490" s="2" t="n">
        <v>488</v>
      </c>
      <c r="B490" s="2" t="inlineStr">
        <is>
          <t>insert</t>
        </is>
      </c>
      <c r="C490" s="2" t="inlineStr">
        <is>
          <t>openssl X25519 only (classical)</t>
        </is>
      </c>
      <c r="D490" s="2" t="n">
        <v>322</v>
      </c>
      <c r="E490" s="2" t="n">
        <v>322</v>
      </c>
      <c r="F490" s="2" t="n">
        <v>1</v>
      </c>
      <c r="G490" s="2" t="n">
        <v>1</v>
      </c>
      <c r="H490" s="2" t="n">
        <v>1</v>
      </c>
      <c r="I490" s="2" t="n">
        <v>0</v>
      </c>
    </row>
    <row r="491">
      <c r="A491" s="2" t="n">
        <v>489</v>
      </c>
      <c r="B491" s="2" t="inlineStr">
        <is>
          <t>flip</t>
        </is>
      </c>
      <c r="C491" s="2" t="inlineStr">
        <is>
          <t>browser firefox147</t>
        </is>
      </c>
      <c r="D491" s="2" t="n">
        <v>1901</v>
      </c>
      <c r="E491" s="2" t="n">
        <v>1901</v>
      </c>
      <c r="F491" s="2" t="n">
        <v>1</v>
      </c>
      <c r="G491" s="2" t="n">
        <v>1</v>
      </c>
      <c r="H491" s="2" t="n">
        <v>0</v>
      </c>
      <c r="I491" s="2" t="n">
        <v>0</v>
      </c>
    </row>
    <row r="492">
      <c r="A492" s="2" t="n">
        <v>490</v>
      </c>
      <c r="B492" s="2" t="inlineStr">
        <is>
          <t>truncate</t>
        </is>
      </c>
      <c r="C492" s="2" t="inlineStr">
        <is>
          <t>openssl 3.5.8 default</t>
        </is>
      </c>
      <c r="D492" s="2" t="n">
        <v>1044</v>
      </c>
      <c r="E492" s="2" t="n">
        <v>1044</v>
      </c>
      <c r="F492" s="2" t="n">
        <v>1</v>
      </c>
      <c r="G492" s="2" t="n">
        <v>1</v>
      </c>
      <c r="H492" s="2" t="n">
        <v>1</v>
      </c>
      <c r="I492" s="2" t="n">
        <v>0</v>
      </c>
    </row>
    <row r="493">
      <c r="A493" s="2" t="n">
        <v>491</v>
      </c>
      <c r="B493" s="2" t="inlineStr">
        <is>
          <t>length</t>
        </is>
      </c>
      <c r="C493" s="2" t="inlineStr">
        <is>
          <t>openssl 3.5.8 default</t>
        </is>
      </c>
      <c r="D493" s="2" t="n">
        <v>1548</v>
      </c>
      <c r="E493" s="2" t="n">
        <v>1548</v>
      </c>
      <c r="F493" s="2" t="n">
        <v>1</v>
      </c>
      <c r="G493" s="2" t="n">
        <v>1</v>
      </c>
      <c r="H493" s="2" t="n">
        <v>0</v>
      </c>
      <c r="I493" s="2" t="n">
        <v>0</v>
      </c>
    </row>
    <row r="494">
      <c r="A494" s="2" t="n">
        <v>492</v>
      </c>
      <c r="B494" s="2" t="inlineStr">
        <is>
          <t>insert</t>
        </is>
      </c>
      <c r="C494" s="2" t="inlineStr">
        <is>
          <t>openssl TLS 1.2 only</t>
        </is>
      </c>
      <c r="D494" s="2" t="n">
        <v>221</v>
      </c>
      <c r="E494" s="2" t="n">
        <v>221</v>
      </c>
      <c r="F494" s="2" t="n">
        <v>1</v>
      </c>
      <c r="G494" s="2" t="n">
        <v>0</v>
      </c>
      <c r="H494" s="2" t="n">
        <v>0</v>
      </c>
      <c r="I494" s="2" t="n">
        <v>0</v>
      </c>
    </row>
    <row r="495">
      <c r="A495" s="2" t="n">
        <v>493</v>
      </c>
      <c r="B495" s="2" t="inlineStr">
        <is>
          <t>flip</t>
        </is>
      </c>
      <c r="C495" s="2" t="inlineStr">
        <is>
          <t>openssl 3.5.8 default</t>
        </is>
      </c>
      <c r="D495" s="2" t="n">
        <v>1548</v>
      </c>
      <c r="E495" s="2" t="n">
        <v>1548</v>
      </c>
      <c r="F495" s="2" t="n">
        <v>1</v>
      </c>
      <c r="G495" s="2" t="n">
        <v>1</v>
      </c>
      <c r="H495" s="2" t="n">
        <v>1</v>
      </c>
      <c r="I495" s="2" t="n">
        <v>0</v>
      </c>
    </row>
    <row r="496">
      <c r="A496" s="2" t="n">
        <v>494</v>
      </c>
      <c r="B496" s="2" t="inlineStr">
        <is>
          <t>truncate</t>
        </is>
      </c>
      <c r="C496" s="2" t="inlineStr">
        <is>
          <t>browser firefox147</t>
        </is>
      </c>
      <c r="D496" s="2" t="n">
        <v>1261</v>
      </c>
      <c r="E496" s="2" t="n">
        <v>1261</v>
      </c>
      <c r="F496" s="2" t="n">
        <v>1</v>
      </c>
      <c r="G496" s="2" t="n">
        <v>1</v>
      </c>
      <c r="H496" s="2" t="n">
        <v>0</v>
      </c>
      <c r="I496" s="2" t="n">
        <v>0</v>
      </c>
    </row>
    <row r="497">
      <c r="A497" s="2" t="n">
        <v>495</v>
      </c>
      <c r="B497" s="2" t="inlineStr">
        <is>
          <t>length</t>
        </is>
      </c>
      <c r="C497" s="2" t="inlineStr">
        <is>
          <t>browser firefox147</t>
        </is>
      </c>
      <c r="D497" s="2" t="n">
        <v>1901</v>
      </c>
      <c r="E497" s="2" t="n">
        <v>1901</v>
      </c>
      <c r="F497" s="2" t="n">
        <v>1</v>
      </c>
      <c r="G497" s="2" t="n">
        <v>1</v>
      </c>
      <c r="H497" s="2" t="n">
        <v>0</v>
      </c>
      <c r="I497" s="2" t="n">
        <v>0</v>
      </c>
    </row>
    <row r="498">
      <c r="A498" s="2" t="n">
        <v>496</v>
      </c>
      <c r="B498" s="2" t="inlineStr">
        <is>
          <t>insert</t>
        </is>
      </c>
      <c r="C498" s="2" t="inlineStr">
        <is>
          <t>openssl 3.5.8 default</t>
        </is>
      </c>
      <c r="D498" s="2" t="n">
        <v>1549</v>
      </c>
      <c r="E498" s="2" t="n">
        <v>1549</v>
      </c>
      <c r="F498" s="2" t="n">
        <v>1</v>
      </c>
      <c r="G498" s="2" t="n">
        <v>1</v>
      </c>
      <c r="H498" s="2" t="n">
        <v>1</v>
      </c>
      <c r="I498" s="2" t="n">
        <v>0</v>
      </c>
    </row>
    <row r="499">
      <c r="A499" s="2" t="n">
        <v>497</v>
      </c>
      <c r="B499" s="2" t="inlineStr">
        <is>
          <t>flip</t>
        </is>
      </c>
      <c r="C499" s="2" t="inlineStr">
        <is>
          <t>openssl TLS 1.2 only</t>
        </is>
      </c>
      <c r="D499" s="2" t="n">
        <v>215</v>
      </c>
      <c r="E499" s="2" t="n">
        <v>215</v>
      </c>
      <c r="F499" s="2" t="n">
        <v>1</v>
      </c>
      <c r="G499" s="2" t="n">
        <v>1</v>
      </c>
      <c r="H499" s="2" t="n">
        <v>1</v>
      </c>
      <c r="I499" s="2" t="n">
        <v>0</v>
      </c>
    </row>
    <row r="500">
      <c r="A500" s="2" t="n">
        <v>498</v>
      </c>
      <c r="B500" s="2" t="inlineStr">
        <is>
          <t>truncate</t>
        </is>
      </c>
      <c r="C500" s="2" t="inlineStr">
        <is>
          <t>browser firefox147</t>
        </is>
      </c>
      <c r="D500" s="2" t="n">
        <v>1505</v>
      </c>
      <c r="E500" s="2" t="n">
        <v>1505</v>
      </c>
      <c r="F500" s="2" t="n">
        <v>1</v>
      </c>
      <c r="G500" s="2" t="n">
        <v>1</v>
      </c>
      <c r="H500" s="2" t="n">
        <v>0</v>
      </c>
      <c r="I500" s="2" t="n">
        <v>0</v>
      </c>
    </row>
    <row r="501">
      <c r="A501" s="2" t="n">
        <v>499</v>
      </c>
      <c r="B501" s="2" t="inlineStr">
        <is>
          <t>length</t>
        </is>
      </c>
      <c r="C501" s="2" t="inlineStr">
        <is>
          <t>openssl 3.5.8 default</t>
        </is>
      </c>
      <c r="D501" s="2" t="n">
        <v>1548</v>
      </c>
      <c r="E501" s="2" t="n">
        <v>1548</v>
      </c>
      <c r="F501" s="2" t="n">
        <v>1</v>
      </c>
      <c r="G501" s="2" t="n">
        <v>0</v>
      </c>
      <c r="H501" s="2" t="n">
        <v>0</v>
      </c>
      <c r="I501" s="2" t="n">
        <v>0</v>
      </c>
    </row>
    <row r="502">
      <c r="A502" s="2" t="n">
        <v>500</v>
      </c>
      <c r="B502" s="2" t="inlineStr">
        <is>
          <t>insert</t>
        </is>
      </c>
      <c r="C502" s="2" t="inlineStr">
        <is>
          <t>browser firefox147</t>
        </is>
      </c>
      <c r="D502" s="2" t="n">
        <v>1913</v>
      </c>
      <c r="E502" s="2" t="n">
        <v>1913</v>
      </c>
      <c r="F502" s="2" t="n">
        <v>1</v>
      </c>
      <c r="G502" s="2" t="n">
        <v>1</v>
      </c>
      <c r="H502" s="2" t="n">
        <v>0</v>
      </c>
      <c r="I502" s="2" t="n">
        <v>0</v>
      </c>
    </row>
    <row r="503">
      <c r="A503" s="2" t="n">
        <v>501</v>
      </c>
      <c r="B503" s="2" t="inlineStr">
        <is>
          <t>flip</t>
        </is>
      </c>
      <c r="C503" s="2" t="inlineStr">
        <is>
          <t>openssl X25519 only (classical)</t>
        </is>
      </c>
      <c r="D503" s="2" t="n">
        <v>314</v>
      </c>
      <c r="E503" s="2" t="n">
        <v>314</v>
      </c>
      <c r="F503" s="2" t="n">
        <v>1</v>
      </c>
      <c r="G503" s="2" t="n">
        <v>1</v>
      </c>
      <c r="H503" s="2" t="n">
        <v>1</v>
      </c>
      <c r="I503" s="2" t="n">
        <v>0</v>
      </c>
    </row>
    <row r="504">
      <c r="A504" s="2" t="n">
        <v>502</v>
      </c>
      <c r="B504" s="2" t="inlineStr">
        <is>
          <t>truncate</t>
        </is>
      </c>
      <c r="C504" s="2" t="inlineStr">
        <is>
          <t>browser chrome150</t>
        </is>
      </c>
      <c r="D504" s="2" t="n">
        <v>814</v>
      </c>
      <c r="E504" s="2" t="n">
        <v>814</v>
      </c>
      <c r="F504" s="2" t="n">
        <v>1</v>
      </c>
      <c r="G504" s="2" t="n">
        <v>1</v>
      </c>
      <c r="H504" s="2" t="n">
        <v>1</v>
      </c>
      <c r="I504" s="2" t="n">
        <v>0</v>
      </c>
    </row>
    <row r="505">
      <c r="A505" s="2" t="n">
        <v>503</v>
      </c>
      <c r="B505" s="2" t="inlineStr">
        <is>
          <t>length</t>
        </is>
      </c>
      <c r="C505" s="2" t="inlineStr">
        <is>
          <t>openssl 3.5.8 default</t>
        </is>
      </c>
      <c r="D505" s="2" t="n">
        <v>1548</v>
      </c>
      <c r="E505" s="2" t="n">
        <v>1548</v>
      </c>
      <c r="F505" s="2" t="n">
        <v>1</v>
      </c>
      <c r="G505" s="2" t="n">
        <v>1</v>
      </c>
      <c r="H505" s="2" t="n">
        <v>1</v>
      </c>
      <c r="I505" s="2" t="n">
        <v>0</v>
      </c>
    </row>
    <row r="506">
      <c r="A506" s="2" t="n">
        <v>504</v>
      </c>
      <c r="B506" s="2" t="inlineStr">
        <is>
          <t>insert</t>
        </is>
      </c>
      <c r="C506" s="2" t="inlineStr">
        <is>
          <t>openssl 3.5.8 default</t>
        </is>
      </c>
      <c r="D506" s="2" t="n">
        <v>1563</v>
      </c>
      <c r="E506" s="2" t="n">
        <v>1563</v>
      </c>
      <c r="F506" s="2" t="n">
        <v>1</v>
      </c>
      <c r="G506" s="2" t="n">
        <v>1</v>
      </c>
      <c r="H506" s="2" t="n">
        <v>1</v>
      </c>
      <c r="I506" s="2" t="n">
        <v>0</v>
      </c>
    </row>
    <row r="507">
      <c r="A507" s="2" t="n">
        <v>505</v>
      </c>
      <c r="B507" s="2" t="inlineStr">
        <is>
          <t>flip</t>
        </is>
      </c>
      <c r="C507" s="2" t="inlineStr">
        <is>
          <t>openssl TLS 1.2 only</t>
        </is>
      </c>
      <c r="D507" s="2" t="n">
        <v>215</v>
      </c>
      <c r="E507" s="2" t="n">
        <v>215</v>
      </c>
      <c r="F507" s="2" t="n">
        <v>1</v>
      </c>
      <c r="G507" s="2" t="n">
        <v>1</v>
      </c>
      <c r="H507" s="2" t="n">
        <v>1</v>
      </c>
      <c r="I507" s="2" t="n">
        <v>0</v>
      </c>
    </row>
    <row r="508">
      <c r="A508" s="2" t="n">
        <v>506</v>
      </c>
      <c r="B508" s="2" t="inlineStr">
        <is>
          <t>truncate</t>
        </is>
      </c>
      <c r="C508" s="2" t="inlineStr">
        <is>
          <t>browser firefox147</t>
        </is>
      </c>
      <c r="D508" s="2" t="n">
        <v>125</v>
      </c>
      <c r="E508" s="2" t="n">
        <v>125</v>
      </c>
      <c r="F508" s="2" t="n">
        <v>1</v>
      </c>
      <c r="G508" s="2" t="n">
        <v>1</v>
      </c>
      <c r="H508" s="2" t="n">
        <v>0</v>
      </c>
      <c r="I508" s="2" t="n">
        <v>0</v>
      </c>
    </row>
    <row r="509">
      <c r="A509" s="2" t="n">
        <v>507</v>
      </c>
      <c r="B509" s="2" t="inlineStr">
        <is>
          <t>length</t>
        </is>
      </c>
      <c r="C509" s="2" t="inlineStr">
        <is>
          <t>openssl X25519 only (classical)</t>
        </is>
      </c>
      <c r="D509" s="2" t="n">
        <v>314</v>
      </c>
      <c r="E509" s="2" t="n">
        <v>314</v>
      </c>
      <c r="F509" s="2" t="n">
        <v>1</v>
      </c>
      <c r="G509" s="2" t="n">
        <v>1</v>
      </c>
      <c r="H509" s="2" t="n">
        <v>1</v>
      </c>
      <c r="I509" s="2" t="n">
        <v>0</v>
      </c>
    </row>
    <row r="510">
      <c r="A510" s="2" t="n">
        <v>508</v>
      </c>
      <c r="B510" s="2" t="inlineStr">
        <is>
          <t>insert</t>
        </is>
      </c>
      <c r="C510" s="2" t="inlineStr">
        <is>
          <t>openssl TLS 1.2 only</t>
        </is>
      </c>
      <c r="D510" s="2" t="n">
        <v>226</v>
      </c>
      <c r="E510" s="2" t="n">
        <v>226</v>
      </c>
      <c r="F510" s="2" t="n">
        <v>1</v>
      </c>
      <c r="G510" s="2" t="n">
        <v>1</v>
      </c>
      <c r="H510" s="2" t="n">
        <v>1</v>
      </c>
      <c r="I510" s="2" t="n">
        <v>0</v>
      </c>
    </row>
    <row r="511">
      <c r="A511" s="2" t="n">
        <v>509</v>
      </c>
      <c r="B511" s="2" t="inlineStr">
        <is>
          <t>flip</t>
        </is>
      </c>
      <c r="C511" s="2" t="inlineStr">
        <is>
          <t>browser chrome150</t>
        </is>
      </c>
      <c r="D511" s="2" t="n">
        <v>1763</v>
      </c>
      <c r="E511" s="2" t="n">
        <v>1763</v>
      </c>
      <c r="F511" s="2" t="n">
        <v>1</v>
      </c>
      <c r="G511" s="2" t="n">
        <v>1</v>
      </c>
      <c r="H511" s="2" t="n">
        <v>1</v>
      </c>
      <c r="I511" s="2" t="n">
        <v>0</v>
      </c>
    </row>
    <row r="512">
      <c r="A512" s="2" t="n">
        <v>510</v>
      </c>
      <c r="B512" s="2" t="inlineStr">
        <is>
          <t>truncate</t>
        </is>
      </c>
      <c r="C512" s="2" t="inlineStr">
        <is>
          <t>openssl TLS 1.2 only</t>
        </is>
      </c>
      <c r="D512" s="2" t="n">
        <v>105</v>
      </c>
      <c r="E512" s="2" t="n">
        <v>105</v>
      </c>
      <c r="F512" s="2" t="n">
        <v>1</v>
      </c>
      <c r="G512" s="2" t="n">
        <v>1</v>
      </c>
      <c r="H512" s="2" t="n">
        <v>0</v>
      </c>
      <c r="I512" s="2" t="n">
        <v>0</v>
      </c>
    </row>
    <row r="513">
      <c r="A513" s="2" t="n">
        <v>511</v>
      </c>
      <c r="B513" s="2" t="inlineStr">
        <is>
          <t>length</t>
        </is>
      </c>
      <c r="C513" s="2" t="inlineStr">
        <is>
          <t>browser chrome150</t>
        </is>
      </c>
      <c r="D513" s="2" t="n">
        <v>1763</v>
      </c>
      <c r="E513" s="2" t="n">
        <v>1763</v>
      </c>
      <c r="F513" s="2" t="n">
        <v>1</v>
      </c>
      <c r="G513" s="2" t="n">
        <v>1</v>
      </c>
      <c r="H513" s="2" t="n">
        <v>1</v>
      </c>
      <c r="I513" s="2" t="n">
        <v>0</v>
      </c>
    </row>
    <row r="514">
      <c r="A514" s="2" t="n">
        <v>512</v>
      </c>
      <c r="B514" s="2" t="inlineStr">
        <is>
          <t>insert</t>
        </is>
      </c>
      <c r="C514" s="2" t="inlineStr">
        <is>
          <t>browser chrome150</t>
        </is>
      </c>
      <c r="D514" s="2" t="n">
        <v>1777</v>
      </c>
      <c r="E514" s="2" t="n">
        <v>1777</v>
      </c>
      <c r="F514" s="2" t="n">
        <v>1</v>
      </c>
      <c r="G514" s="2" t="n">
        <v>1</v>
      </c>
      <c r="H514" s="2" t="n">
        <v>1</v>
      </c>
      <c r="I514" s="2" t="n">
        <v>0</v>
      </c>
    </row>
    <row r="515">
      <c r="A515" s="2" t="n">
        <v>513</v>
      </c>
      <c r="B515" s="2" t="inlineStr">
        <is>
          <t>flip</t>
        </is>
      </c>
      <c r="C515" s="2" t="inlineStr">
        <is>
          <t>browser chrome150</t>
        </is>
      </c>
      <c r="D515" s="2" t="n">
        <v>1763</v>
      </c>
      <c r="E515" s="2" t="n">
        <v>1763</v>
      </c>
      <c r="F515" s="2" t="n">
        <v>1</v>
      </c>
      <c r="G515" s="2" t="n">
        <v>1</v>
      </c>
      <c r="H515" s="2" t="n">
        <v>1</v>
      </c>
      <c r="I515" s="2" t="n">
        <v>0</v>
      </c>
    </row>
    <row r="516">
      <c r="A516" s="2" t="n">
        <v>514</v>
      </c>
      <c r="B516" s="2" t="inlineStr">
        <is>
          <t>truncate</t>
        </is>
      </c>
      <c r="C516" s="2" t="inlineStr">
        <is>
          <t>openssl 3.5.8 default</t>
        </is>
      </c>
      <c r="D516" s="2" t="n">
        <v>461</v>
      </c>
      <c r="E516" s="2" t="n">
        <v>461</v>
      </c>
      <c r="F516" s="2" t="n">
        <v>1</v>
      </c>
      <c r="G516" s="2" t="n">
        <v>1</v>
      </c>
      <c r="H516" s="2" t="n">
        <v>1</v>
      </c>
      <c r="I516" s="2" t="n">
        <v>0</v>
      </c>
    </row>
    <row r="517">
      <c r="A517" s="2" t="n">
        <v>515</v>
      </c>
      <c r="B517" s="2" t="inlineStr">
        <is>
          <t>length</t>
        </is>
      </c>
      <c r="C517" s="2" t="inlineStr">
        <is>
          <t>openssl 3.5.8 default</t>
        </is>
      </c>
      <c r="D517" s="2" t="n">
        <v>1548</v>
      </c>
      <c r="E517" s="2" t="n">
        <v>1548</v>
      </c>
      <c r="F517" s="2" t="n">
        <v>1</v>
      </c>
      <c r="G517" s="2" t="n">
        <v>1</v>
      </c>
      <c r="H517" s="2" t="n">
        <v>1</v>
      </c>
      <c r="I517" s="2" t="n">
        <v>0</v>
      </c>
    </row>
    <row r="518">
      <c r="A518" s="2" t="n">
        <v>516</v>
      </c>
      <c r="B518" s="2" t="inlineStr">
        <is>
          <t>insert</t>
        </is>
      </c>
      <c r="C518" s="2" t="inlineStr">
        <is>
          <t>openssl X25519 only (classical)</t>
        </is>
      </c>
      <c r="D518" s="2" t="n">
        <v>316</v>
      </c>
      <c r="E518" s="2" t="n">
        <v>316</v>
      </c>
      <c r="F518" s="2" t="n">
        <v>1</v>
      </c>
      <c r="G518" s="2" t="n">
        <v>1</v>
      </c>
      <c r="H518" s="2" t="n">
        <v>1</v>
      </c>
      <c r="I518" s="2" t="n">
        <v>0</v>
      </c>
    </row>
    <row r="519">
      <c r="A519" s="2" t="n">
        <v>517</v>
      </c>
      <c r="B519" s="2" t="inlineStr">
        <is>
          <t>flip</t>
        </is>
      </c>
      <c r="C519" s="2" t="inlineStr">
        <is>
          <t>openssl 3.5.8 default</t>
        </is>
      </c>
      <c r="D519" s="2" t="n">
        <v>1548</v>
      </c>
      <c r="E519" s="2" t="n">
        <v>1548</v>
      </c>
      <c r="F519" s="2" t="n">
        <v>1</v>
      </c>
      <c r="G519" s="2" t="n">
        <v>1</v>
      </c>
      <c r="H519" s="2" t="n">
        <v>1</v>
      </c>
      <c r="I519" s="2" t="n">
        <v>0</v>
      </c>
    </row>
    <row r="520">
      <c r="A520" s="2" t="n">
        <v>518</v>
      </c>
      <c r="B520" s="2" t="inlineStr">
        <is>
          <t>truncate</t>
        </is>
      </c>
      <c r="C520" s="2" t="inlineStr">
        <is>
          <t>openssl TLS 1.2 only</t>
        </is>
      </c>
      <c r="D520" s="2" t="n">
        <v>165</v>
      </c>
      <c r="E520" s="2" t="n">
        <v>165</v>
      </c>
      <c r="F520" s="2" t="n">
        <v>1</v>
      </c>
      <c r="G520" s="2" t="n">
        <v>1</v>
      </c>
      <c r="H520" s="2" t="n">
        <v>0</v>
      </c>
      <c r="I520" s="2" t="n">
        <v>0</v>
      </c>
    </row>
    <row r="521">
      <c r="A521" s="2" t="n">
        <v>519</v>
      </c>
      <c r="B521" s="2" t="inlineStr">
        <is>
          <t>length</t>
        </is>
      </c>
      <c r="C521" s="2" t="inlineStr">
        <is>
          <t>browser firefox147</t>
        </is>
      </c>
      <c r="D521" s="2" t="n">
        <v>1901</v>
      </c>
      <c r="E521" s="2" t="n">
        <v>1901</v>
      </c>
      <c r="F521" s="2" t="n">
        <v>1</v>
      </c>
      <c r="G521" s="2" t="n">
        <v>0</v>
      </c>
      <c r="H521" s="2" t="n">
        <v>0</v>
      </c>
      <c r="I521" s="2" t="n">
        <v>0</v>
      </c>
    </row>
    <row r="522">
      <c r="A522" s="2" t="n">
        <v>520</v>
      </c>
      <c r="B522" s="2" t="inlineStr">
        <is>
          <t>insert</t>
        </is>
      </c>
      <c r="C522" s="2" t="inlineStr">
        <is>
          <t>openssl X25519 only (classical)</t>
        </is>
      </c>
      <c r="D522" s="2" t="n">
        <v>320</v>
      </c>
      <c r="E522" s="2" t="n">
        <v>320</v>
      </c>
      <c r="F522" s="2" t="n">
        <v>1</v>
      </c>
      <c r="G522" s="2" t="n">
        <v>1</v>
      </c>
      <c r="H522" s="2" t="n">
        <v>1</v>
      </c>
      <c r="I522" s="2" t="n">
        <v>0</v>
      </c>
    </row>
    <row r="523">
      <c r="A523" s="2" t="n">
        <v>521</v>
      </c>
      <c r="B523" s="2" t="inlineStr">
        <is>
          <t>flip</t>
        </is>
      </c>
      <c r="C523" s="2" t="inlineStr">
        <is>
          <t>browser chrome150</t>
        </is>
      </c>
      <c r="D523" s="2" t="n">
        <v>1763</v>
      </c>
      <c r="E523" s="2" t="n">
        <v>1763</v>
      </c>
      <c r="F523" s="2" t="n">
        <v>1</v>
      </c>
      <c r="G523" s="2" t="n">
        <v>1</v>
      </c>
      <c r="H523" s="2" t="n">
        <v>1</v>
      </c>
      <c r="I523" s="2" t="n">
        <v>0</v>
      </c>
    </row>
    <row r="524">
      <c r="A524" s="2" t="n">
        <v>522</v>
      </c>
      <c r="B524" s="2" t="inlineStr">
        <is>
          <t>truncate</t>
        </is>
      </c>
      <c r="C524" s="2" t="inlineStr">
        <is>
          <t>openssl TLS 1.2 only</t>
        </is>
      </c>
      <c r="D524" s="2" t="n">
        <v>211</v>
      </c>
      <c r="E524" s="2" t="n">
        <v>211</v>
      </c>
      <c r="F524" s="2" t="n">
        <v>1</v>
      </c>
      <c r="G524" s="2" t="n">
        <v>1</v>
      </c>
      <c r="H524" s="2" t="n">
        <v>1</v>
      </c>
      <c r="I524" s="2" t="n">
        <v>0</v>
      </c>
    </row>
    <row r="525">
      <c r="A525" s="2" t="n">
        <v>523</v>
      </c>
      <c r="B525" s="2" t="inlineStr">
        <is>
          <t>length</t>
        </is>
      </c>
      <c r="C525" s="2" t="inlineStr">
        <is>
          <t>browser chrome150</t>
        </is>
      </c>
      <c r="D525" s="2" t="n">
        <v>1763</v>
      </c>
      <c r="E525" s="2" t="n">
        <v>1763</v>
      </c>
      <c r="F525" s="2" t="n">
        <v>1</v>
      </c>
      <c r="G525" s="2" t="n">
        <v>1</v>
      </c>
      <c r="H525" s="2" t="n">
        <v>1</v>
      </c>
      <c r="I525" s="2" t="n">
        <v>0</v>
      </c>
    </row>
    <row r="526">
      <c r="A526" s="2" t="n">
        <v>524</v>
      </c>
      <c r="B526" s="2" t="inlineStr">
        <is>
          <t>insert</t>
        </is>
      </c>
      <c r="C526" s="2" t="inlineStr">
        <is>
          <t>browser firefox147</t>
        </is>
      </c>
      <c r="D526" s="2" t="n">
        <v>1916</v>
      </c>
      <c r="E526" s="2" t="n">
        <v>1916</v>
      </c>
      <c r="F526" s="2" t="n">
        <v>1</v>
      </c>
      <c r="G526" s="2" t="n">
        <v>1</v>
      </c>
      <c r="H526" s="2" t="n">
        <v>0</v>
      </c>
      <c r="I526" s="2" t="n">
        <v>0</v>
      </c>
    </row>
    <row r="527">
      <c r="A527" s="2" t="n">
        <v>525</v>
      </c>
      <c r="B527" s="2" t="inlineStr">
        <is>
          <t>flip</t>
        </is>
      </c>
      <c r="C527" s="2" t="inlineStr">
        <is>
          <t>browser firefox147</t>
        </is>
      </c>
      <c r="D527" s="2" t="n">
        <v>1901</v>
      </c>
      <c r="E527" s="2" t="n">
        <v>1901</v>
      </c>
      <c r="F527" s="2" t="n">
        <v>1</v>
      </c>
      <c r="G527" s="2" t="n">
        <v>1</v>
      </c>
      <c r="H527" s="2" t="n">
        <v>0</v>
      </c>
      <c r="I527" s="2" t="n">
        <v>0</v>
      </c>
    </row>
    <row r="528">
      <c r="A528" s="2" t="n">
        <v>526</v>
      </c>
      <c r="B528" s="2" t="inlineStr">
        <is>
          <t>truncate</t>
        </is>
      </c>
      <c r="C528" s="2" t="inlineStr">
        <is>
          <t>openssl TLS 1.2 only</t>
        </is>
      </c>
      <c r="D528" s="2" t="n">
        <v>159</v>
      </c>
      <c r="E528" s="2" t="n">
        <v>159</v>
      </c>
      <c r="F528" s="2" t="n">
        <v>1</v>
      </c>
      <c r="G528" s="2" t="n">
        <v>1</v>
      </c>
      <c r="H528" s="2" t="n">
        <v>0</v>
      </c>
      <c r="I528" s="2" t="n">
        <v>0</v>
      </c>
    </row>
    <row r="529">
      <c r="A529" s="2" t="n">
        <v>527</v>
      </c>
      <c r="B529" s="2" t="inlineStr">
        <is>
          <t>length</t>
        </is>
      </c>
      <c r="C529" s="2" t="inlineStr">
        <is>
          <t>openssl X25519 only (classical)</t>
        </is>
      </c>
      <c r="D529" s="2" t="n">
        <v>314</v>
      </c>
      <c r="E529" s="2" t="n">
        <v>314</v>
      </c>
      <c r="F529" s="2" t="n">
        <v>1</v>
      </c>
      <c r="G529" s="2" t="n">
        <v>1</v>
      </c>
      <c r="H529" s="2" t="n">
        <v>0</v>
      </c>
      <c r="I529" s="2" t="n">
        <v>0</v>
      </c>
    </row>
    <row r="530">
      <c r="A530" s="2" t="n">
        <v>528</v>
      </c>
      <c r="B530" s="2" t="inlineStr">
        <is>
          <t>insert</t>
        </is>
      </c>
      <c r="C530" s="2" t="inlineStr">
        <is>
          <t>openssl TLS 1.2 only</t>
        </is>
      </c>
      <c r="D530" s="2" t="n">
        <v>229</v>
      </c>
      <c r="E530" s="2" t="n">
        <v>229</v>
      </c>
      <c r="F530" s="2" t="n">
        <v>1</v>
      </c>
      <c r="G530" s="2" t="n">
        <v>1</v>
      </c>
      <c r="H530" s="2" t="n">
        <v>0</v>
      </c>
      <c r="I530" s="2" t="n">
        <v>0</v>
      </c>
    </row>
    <row r="531">
      <c r="A531" s="2" t="n">
        <v>529</v>
      </c>
      <c r="B531" s="2" t="inlineStr">
        <is>
          <t>flip</t>
        </is>
      </c>
      <c r="C531" s="2" t="inlineStr">
        <is>
          <t>openssl TLS 1.2 only</t>
        </is>
      </c>
      <c r="D531" s="2" t="n">
        <v>215</v>
      </c>
      <c r="E531" s="2" t="n">
        <v>215</v>
      </c>
      <c r="F531" s="2" t="n">
        <v>1</v>
      </c>
      <c r="G531" s="2" t="n">
        <v>0</v>
      </c>
      <c r="H531" s="2" t="n">
        <v>0</v>
      </c>
      <c r="I531" s="2" t="n">
        <v>0</v>
      </c>
    </row>
    <row r="532">
      <c r="A532" s="2" t="n">
        <v>530</v>
      </c>
      <c r="B532" s="2" t="inlineStr">
        <is>
          <t>truncate</t>
        </is>
      </c>
      <c r="C532" s="2" t="inlineStr">
        <is>
          <t>browser chrome150</t>
        </is>
      </c>
      <c r="D532" s="2" t="n">
        <v>1334</v>
      </c>
      <c r="E532" s="2" t="n">
        <v>1334</v>
      </c>
      <c r="F532" s="2" t="n">
        <v>1</v>
      </c>
      <c r="G532" s="2" t="n">
        <v>1</v>
      </c>
      <c r="H532" s="2" t="n">
        <v>1</v>
      </c>
      <c r="I532" s="2" t="n">
        <v>0</v>
      </c>
    </row>
    <row r="533">
      <c r="A533" s="2" t="n">
        <v>531</v>
      </c>
      <c r="B533" s="2" t="inlineStr">
        <is>
          <t>length</t>
        </is>
      </c>
      <c r="C533" s="2" t="inlineStr">
        <is>
          <t>openssl TLS 1.2 only</t>
        </is>
      </c>
      <c r="D533" s="2" t="n">
        <v>215</v>
      </c>
      <c r="E533" s="2" t="n">
        <v>215</v>
      </c>
      <c r="F533" s="2" t="n">
        <v>1</v>
      </c>
      <c r="G533" s="2" t="n">
        <v>1</v>
      </c>
      <c r="H533" s="2" t="n">
        <v>1</v>
      </c>
      <c r="I533" s="2" t="n">
        <v>0</v>
      </c>
    </row>
    <row r="534">
      <c r="A534" s="2" t="n">
        <v>532</v>
      </c>
      <c r="B534" s="2" t="inlineStr">
        <is>
          <t>insert</t>
        </is>
      </c>
      <c r="C534" s="2" t="inlineStr">
        <is>
          <t>browser firefox147</t>
        </is>
      </c>
      <c r="D534" s="2" t="n">
        <v>1914</v>
      </c>
      <c r="E534" s="2" t="n">
        <v>1914</v>
      </c>
      <c r="F534" s="2" t="n">
        <v>1</v>
      </c>
      <c r="G534" s="2" t="n">
        <v>1</v>
      </c>
      <c r="H534" s="2" t="n">
        <v>0</v>
      </c>
      <c r="I534" s="2" t="n">
        <v>0</v>
      </c>
    </row>
    <row r="535">
      <c r="A535" s="2" t="n">
        <v>533</v>
      </c>
      <c r="B535" s="2" t="inlineStr">
        <is>
          <t>flip</t>
        </is>
      </c>
      <c r="C535" s="2" t="inlineStr">
        <is>
          <t>openssl X25519 only (classical)</t>
        </is>
      </c>
      <c r="D535" s="2" t="n">
        <v>314</v>
      </c>
      <c r="E535" s="2" t="n">
        <v>314</v>
      </c>
      <c r="F535" s="2" t="n">
        <v>1</v>
      </c>
      <c r="G535" s="2" t="n">
        <v>1</v>
      </c>
      <c r="H535" s="2" t="n">
        <v>1</v>
      </c>
      <c r="I535" s="2" t="n">
        <v>0</v>
      </c>
    </row>
    <row r="536">
      <c r="A536" s="2" t="n">
        <v>534</v>
      </c>
      <c r="B536" s="2" t="inlineStr">
        <is>
          <t>truncate</t>
        </is>
      </c>
      <c r="C536" s="2" t="inlineStr">
        <is>
          <t>browser chrome150</t>
        </is>
      </c>
      <c r="D536" s="2" t="n">
        <v>895</v>
      </c>
      <c r="E536" s="2" t="n">
        <v>895</v>
      </c>
      <c r="F536" s="2" t="n">
        <v>1</v>
      </c>
      <c r="G536" s="2" t="n">
        <v>1</v>
      </c>
      <c r="H536" s="2" t="n">
        <v>1</v>
      </c>
      <c r="I536" s="2" t="n">
        <v>0</v>
      </c>
    </row>
    <row r="537">
      <c r="A537" s="2" t="n">
        <v>535</v>
      </c>
      <c r="B537" s="2" t="inlineStr">
        <is>
          <t>length</t>
        </is>
      </c>
      <c r="C537" s="2" t="inlineStr">
        <is>
          <t>openssl TLS 1.2 only</t>
        </is>
      </c>
      <c r="D537" s="2" t="n">
        <v>215</v>
      </c>
      <c r="E537" s="2" t="n">
        <v>215</v>
      </c>
      <c r="F537" s="2" t="n">
        <v>0</v>
      </c>
      <c r="G537" s="2" t="n">
        <v>0</v>
      </c>
      <c r="H537" s="2" t="n">
        <v>0</v>
      </c>
      <c r="I537" s="2" t="n">
        <v>0</v>
      </c>
    </row>
    <row r="538">
      <c r="A538" s="2" t="n">
        <v>536</v>
      </c>
      <c r="B538" s="2" t="inlineStr">
        <is>
          <t>insert</t>
        </is>
      </c>
      <c r="C538" s="2" t="inlineStr">
        <is>
          <t>openssl 3.5.8 default</t>
        </is>
      </c>
      <c r="D538" s="2" t="n">
        <v>1554</v>
      </c>
      <c r="E538" s="2" t="n">
        <v>1554</v>
      </c>
      <c r="F538" s="2" t="n">
        <v>1</v>
      </c>
      <c r="G538" s="2" t="n">
        <v>1</v>
      </c>
      <c r="H538" s="2" t="n">
        <v>1</v>
      </c>
      <c r="I538" s="2" t="n">
        <v>0</v>
      </c>
    </row>
    <row r="539">
      <c r="A539" s="2" t="n">
        <v>537</v>
      </c>
      <c r="B539" s="2" t="inlineStr">
        <is>
          <t>flip</t>
        </is>
      </c>
      <c r="C539" s="2" t="inlineStr">
        <is>
          <t>openssl 3.5.8 default</t>
        </is>
      </c>
      <c r="D539" s="2" t="n">
        <v>1548</v>
      </c>
      <c r="E539" s="2" t="n">
        <v>1548</v>
      </c>
      <c r="F539" s="2" t="n">
        <v>1</v>
      </c>
      <c r="G539" s="2" t="n">
        <v>1</v>
      </c>
      <c r="H539" s="2" t="n">
        <v>1</v>
      </c>
      <c r="I539" s="2" t="n">
        <v>0</v>
      </c>
    </row>
    <row r="540">
      <c r="A540" s="2" t="n">
        <v>538</v>
      </c>
      <c r="B540" s="2" t="inlineStr">
        <is>
          <t>truncate</t>
        </is>
      </c>
      <c r="C540" s="2" t="inlineStr">
        <is>
          <t>browser chrome150</t>
        </is>
      </c>
      <c r="D540" s="2" t="n">
        <v>275</v>
      </c>
      <c r="E540" s="2" t="n">
        <v>275</v>
      </c>
      <c r="F540" s="2" t="n">
        <v>1</v>
      </c>
      <c r="G540" s="2" t="n">
        <v>1</v>
      </c>
      <c r="H540" s="2" t="n">
        <v>1</v>
      </c>
      <c r="I540" s="2" t="n">
        <v>0</v>
      </c>
    </row>
    <row r="541">
      <c r="A541" s="2" t="n">
        <v>539</v>
      </c>
      <c r="B541" s="2" t="inlineStr">
        <is>
          <t>length</t>
        </is>
      </c>
      <c r="C541" s="2" t="inlineStr">
        <is>
          <t>openssl TLS 1.2 only</t>
        </is>
      </c>
      <c r="D541" s="2" t="n">
        <v>215</v>
      </c>
      <c r="E541" s="2" t="n">
        <v>215</v>
      </c>
      <c r="F541" s="2" t="n">
        <v>1</v>
      </c>
      <c r="G541" s="2" t="n">
        <v>1</v>
      </c>
      <c r="H541" s="2" t="n">
        <v>1</v>
      </c>
      <c r="I541" s="2" t="n">
        <v>0</v>
      </c>
    </row>
    <row r="542">
      <c r="A542" s="2" t="n">
        <v>540</v>
      </c>
      <c r="B542" s="2" t="inlineStr">
        <is>
          <t>insert</t>
        </is>
      </c>
      <c r="C542" s="2" t="inlineStr">
        <is>
          <t>openssl TLS 1.2 only</t>
        </is>
      </c>
      <c r="D542" s="2" t="n">
        <v>221</v>
      </c>
      <c r="E542" s="2" t="n">
        <v>221</v>
      </c>
      <c r="F542" s="2" t="n">
        <v>1</v>
      </c>
      <c r="G542" s="2" t="n">
        <v>1</v>
      </c>
      <c r="H542" s="2" t="n">
        <v>1</v>
      </c>
      <c r="I542" s="2" t="n">
        <v>0</v>
      </c>
    </row>
    <row r="543">
      <c r="A543" s="2" t="n">
        <v>541</v>
      </c>
      <c r="B543" s="2" t="inlineStr">
        <is>
          <t>flip</t>
        </is>
      </c>
      <c r="C543" s="2" t="inlineStr">
        <is>
          <t>browser chrome150</t>
        </is>
      </c>
      <c r="D543" s="2" t="n">
        <v>1763</v>
      </c>
      <c r="E543" s="2" t="n">
        <v>1763</v>
      </c>
      <c r="F543" s="2" t="n">
        <v>1</v>
      </c>
      <c r="G543" s="2" t="n">
        <v>1</v>
      </c>
      <c r="H543" s="2" t="n">
        <v>1</v>
      </c>
      <c r="I543" s="2" t="n">
        <v>0</v>
      </c>
    </row>
    <row r="544">
      <c r="A544" s="2" t="n">
        <v>542</v>
      </c>
      <c r="B544" s="2" t="inlineStr">
        <is>
          <t>truncate</t>
        </is>
      </c>
      <c r="C544" s="2" t="inlineStr">
        <is>
          <t>openssl X25519 only (classical)</t>
        </is>
      </c>
      <c r="D544" s="2" t="n">
        <v>197</v>
      </c>
      <c r="E544" s="2" t="n">
        <v>197</v>
      </c>
      <c r="F544" s="2" t="n">
        <v>1</v>
      </c>
      <c r="G544" s="2" t="n">
        <v>1</v>
      </c>
      <c r="H544" s="2" t="n">
        <v>0</v>
      </c>
      <c r="I544" s="2" t="n">
        <v>0</v>
      </c>
    </row>
    <row r="545">
      <c r="A545" s="2" t="n">
        <v>543</v>
      </c>
      <c r="B545" s="2" t="inlineStr">
        <is>
          <t>length</t>
        </is>
      </c>
      <c r="C545" s="2" t="inlineStr">
        <is>
          <t>browser chrome150</t>
        </is>
      </c>
      <c r="D545" s="2" t="n">
        <v>1763</v>
      </c>
      <c r="E545" s="2" t="n">
        <v>1763</v>
      </c>
      <c r="F545" s="2" t="n">
        <v>1</v>
      </c>
      <c r="G545" s="2" t="n">
        <v>1</v>
      </c>
      <c r="H545" s="2" t="n">
        <v>1</v>
      </c>
      <c r="I545" s="2" t="n">
        <v>0</v>
      </c>
    </row>
    <row r="546">
      <c r="A546" s="2" t="n">
        <v>544</v>
      </c>
      <c r="B546" s="2" t="inlineStr">
        <is>
          <t>insert</t>
        </is>
      </c>
      <c r="C546" s="2" t="inlineStr">
        <is>
          <t>openssl 3.5.8 default</t>
        </is>
      </c>
      <c r="D546" s="2" t="n">
        <v>1549</v>
      </c>
      <c r="E546" s="2" t="n">
        <v>1549</v>
      </c>
      <c r="F546" s="2" t="n">
        <v>1</v>
      </c>
      <c r="G546" s="2" t="n">
        <v>1</v>
      </c>
      <c r="H546" s="2" t="n">
        <v>1</v>
      </c>
      <c r="I546" s="2" t="n">
        <v>0</v>
      </c>
    </row>
    <row r="547">
      <c r="A547" s="2" t="n">
        <v>545</v>
      </c>
      <c r="B547" s="2" t="inlineStr">
        <is>
          <t>flip</t>
        </is>
      </c>
      <c r="C547" s="2" t="inlineStr">
        <is>
          <t>openssl TLS 1.2 only</t>
        </is>
      </c>
      <c r="D547" s="2" t="n">
        <v>215</v>
      </c>
      <c r="E547" s="2" t="n">
        <v>215</v>
      </c>
      <c r="F547" s="2" t="n">
        <v>1</v>
      </c>
      <c r="G547" s="2" t="n">
        <v>1</v>
      </c>
      <c r="H547" s="2" t="n">
        <v>1</v>
      </c>
      <c r="I547" s="2" t="n">
        <v>0</v>
      </c>
    </row>
    <row r="548">
      <c r="A548" s="2" t="n">
        <v>546</v>
      </c>
      <c r="B548" s="2" t="inlineStr">
        <is>
          <t>truncate</t>
        </is>
      </c>
      <c r="C548" s="2" t="inlineStr">
        <is>
          <t>browser firefox147</t>
        </is>
      </c>
      <c r="D548" s="2" t="n">
        <v>388</v>
      </c>
      <c r="E548" s="2" t="n">
        <v>388</v>
      </c>
      <c r="F548" s="2" t="n">
        <v>1</v>
      </c>
      <c r="G548" s="2" t="n">
        <v>1</v>
      </c>
      <c r="H548" s="2" t="n">
        <v>0</v>
      </c>
      <c r="I548" s="2" t="n">
        <v>0</v>
      </c>
    </row>
    <row r="549">
      <c r="A549" s="2" t="n">
        <v>547</v>
      </c>
      <c r="B549" s="2" t="inlineStr">
        <is>
          <t>length</t>
        </is>
      </c>
      <c r="C549" s="2" t="inlineStr">
        <is>
          <t>openssl X25519 only (classical)</t>
        </is>
      </c>
      <c r="D549" s="2" t="n">
        <v>314</v>
      </c>
      <c r="E549" s="2" t="n">
        <v>314</v>
      </c>
      <c r="F549" s="2" t="n">
        <v>1</v>
      </c>
      <c r="G549" s="2" t="n">
        <v>1</v>
      </c>
      <c r="H549" s="2" t="n">
        <v>1</v>
      </c>
      <c r="I549" s="2" t="n">
        <v>0</v>
      </c>
    </row>
    <row r="550">
      <c r="A550" s="2" t="n">
        <v>548</v>
      </c>
      <c r="B550" s="2" t="inlineStr">
        <is>
          <t>insert</t>
        </is>
      </c>
      <c r="C550" s="2" t="inlineStr">
        <is>
          <t>openssl X25519 only (classical)</t>
        </is>
      </c>
      <c r="D550" s="2" t="n">
        <v>330</v>
      </c>
      <c r="E550" s="2" t="n">
        <v>330</v>
      </c>
      <c r="F550" s="2" t="n">
        <v>1</v>
      </c>
      <c r="G550" s="2" t="n">
        <v>1</v>
      </c>
      <c r="H550" s="2" t="n">
        <v>1</v>
      </c>
      <c r="I550" s="2" t="n">
        <v>0</v>
      </c>
    </row>
    <row r="551">
      <c r="A551" s="2" t="n">
        <v>549</v>
      </c>
      <c r="B551" s="2" t="inlineStr">
        <is>
          <t>flip</t>
        </is>
      </c>
      <c r="C551" s="2" t="inlineStr">
        <is>
          <t>openssl TLS 1.2 only</t>
        </is>
      </c>
      <c r="D551" s="2" t="n">
        <v>215</v>
      </c>
      <c r="E551" s="2" t="n">
        <v>215</v>
      </c>
      <c r="F551" s="2" t="n">
        <v>1</v>
      </c>
      <c r="G551" s="2" t="n">
        <v>1</v>
      </c>
      <c r="H551" s="2" t="n">
        <v>1</v>
      </c>
      <c r="I551" s="2" t="n">
        <v>0</v>
      </c>
    </row>
    <row r="552">
      <c r="A552" s="2" t="n">
        <v>550</v>
      </c>
      <c r="B552" s="2" t="inlineStr">
        <is>
          <t>truncate</t>
        </is>
      </c>
      <c r="C552" s="2" t="inlineStr">
        <is>
          <t>openssl 3.5.8 default</t>
        </is>
      </c>
      <c r="D552" s="2" t="n">
        <v>492</v>
      </c>
      <c r="E552" s="2" t="n">
        <v>492</v>
      </c>
      <c r="F552" s="2" t="n">
        <v>1</v>
      </c>
      <c r="G552" s="2" t="n">
        <v>1</v>
      </c>
      <c r="H552" s="2" t="n">
        <v>1</v>
      </c>
      <c r="I552" s="2" t="n">
        <v>0</v>
      </c>
    </row>
    <row r="553">
      <c r="A553" s="2" t="n">
        <v>551</v>
      </c>
      <c r="B553" s="2" t="inlineStr">
        <is>
          <t>length</t>
        </is>
      </c>
      <c r="C553" s="2" t="inlineStr">
        <is>
          <t>openssl X25519 only (classical)</t>
        </is>
      </c>
      <c r="D553" s="2" t="n">
        <v>314</v>
      </c>
      <c r="E553" s="2" t="n">
        <v>314</v>
      </c>
      <c r="F553" s="2" t="n">
        <v>1</v>
      </c>
      <c r="G553" s="2" t="n">
        <v>1</v>
      </c>
      <c r="H553" s="2" t="n">
        <v>1</v>
      </c>
      <c r="I553" s="2" t="n">
        <v>0</v>
      </c>
    </row>
    <row r="554">
      <c r="A554" s="2" t="n">
        <v>552</v>
      </c>
      <c r="B554" s="2" t="inlineStr">
        <is>
          <t>insert</t>
        </is>
      </c>
      <c r="C554" s="2" t="inlineStr">
        <is>
          <t>browser firefox147</t>
        </is>
      </c>
      <c r="D554" s="2" t="n">
        <v>1905</v>
      </c>
      <c r="E554" s="2" t="n">
        <v>1905</v>
      </c>
      <c r="F554" s="2" t="n">
        <v>1</v>
      </c>
      <c r="G554" s="2" t="n">
        <v>1</v>
      </c>
      <c r="H554" s="2" t="n">
        <v>0</v>
      </c>
      <c r="I554" s="2" t="n">
        <v>0</v>
      </c>
    </row>
    <row r="555">
      <c r="A555" s="2" t="n">
        <v>553</v>
      </c>
      <c r="B555" s="2" t="inlineStr">
        <is>
          <t>flip</t>
        </is>
      </c>
      <c r="C555" s="2" t="inlineStr">
        <is>
          <t>openssl 3.5.8 default</t>
        </is>
      </c>
      <c r="D555" s="2" t="n">
        <v>1548</v>
      </c>
      <c r="E555" s="2" t="n">
        <v>1548</v>
      </c>
      <c r="F555" s="2" t="n">
        <v>1</v>
      </c>
      <c r="G555" s="2" t="n">
        <v>1</v>
      </c>
      <c r="H555" s="2" t="n">
        <v>1</v>
      </c>
      <c r="I555" s="2" t="n">
        <v>0</v>
      </c>
    </row>
    <row r="556">
      <c r="A556" s="2" t="n">
        <v>554</v>
      </c>
      <c r="B556" s="2" t="inlineStr">
        <is>
          <t>truncate</t>
        </is>
      </c>
      <c r="C556" s="2" t="inlineStr">
        <is>
          <t>openssl TLS 1.2 only</t>
        </is>
      </c>
      <c r="D556" s="2" t="n">
        <v>107</v>
      </c>
      <c r="E556" s="2" t="n">
        <v>107</v>
      </c>
      <c r="F556" s="2" t="n">
        <v>1</v>
      </c>
      <c r="G556" s="2" t="n">
        <v>1</v>
      </c>
      <c r="H556" s="2" t="n">
        <v>0</v>
      </c>
      <c r="I556" s="2" t="n">
        <v>0</v>
      </c>
    </row>
    <row r="557">
      <c r="A557" s="2" t="n">
        <v>555</v>
      </c>
      <c r="B557" s="2" t="inlineStr">
        <is>
          <t>length</t>
        </is>
      </c>
      <c r="C557" s="2" t="inlineStr">
        <is>
          <t>openssl 3.5.8 default</t>
        </is>
      </c>
      <c r="D557" s="2" t="n">
        <v>1548</v>
      </c>
      <c r="E557" s="2" t="n">
        <v>1548</v>
      </c>
      <c r="F557" s="2" t="n">
        <v>1</v>
      </c>
      <c r="G557" s="2" t="n">
        <v>1</v>
      </c>
      <c r="H557" s="2" t="n">
        <v>1</v>
      </c>
      <c r="I557" s="2" t="n">
        <v>0</v>
      </c>
    </row>
    <row r="558">
      <c r="A558" s="2" t="n">
        <v>556</v>
      </c>
      <c r="B558" s="2" t="inlineStr">
        <is>
          <t>insert</t>
        </is>
      </c>
      <c r="C558" s="2" t="inlineStr">
        <is>
          <t>openssl TLS 1.2 only</t>
        </is>
      </c>
      <c r="D558" s="2" t="n">
        <v>217</v>
      </c>
      <c r="E558" s="2" t="n">
        <v>217</v>
      </c>
      <c r="F558" s="2" t="n">
        <v>1</v>
      </c>
      <c r="G558" s="2" t="n">
        <v>1</v>
      </c>
      <c r="H558" s="2" t="n">
        <v>1</v>
      </c>
      <c r="I558" s="2" t="n">
        <v>0</v>
      </c>
    </row>
    <row r="559">
      <c r="A559" s="2" t="n">
        <v>557</v>
      </c>
      <c r="B559" s="2" t="inlineStr">
        <is>
          <t>flip</t>
        </is>
      </c>
      <c r="C559" s="2" t="inlineStr">
        <is>
          <t>browser chrome150</t>
        </is>
      </c>
      <c r="D559" s="2" t="n">
        <v>1763</v>
      </c>
      <c r="E559" s="2" t="n">
        <v>1763</v>
      </c>
      <c r="F559" s="2" t="n">
        <v>1</v>
      </c>
      <c r="G559" s="2" t="n">
        <v>1</v>
      </c>
      <c r="H559" s="2" t="n">
        <v>1</v>
      </c>
      <c r="I559" s="2" t="n">
        <v>0</v>
      </c>
    </row>
    <row r="560">
      <c r="A560" s="2" t="n">
        <v>558</v>
      </c>
      <c r="B560" s="2" t="inlineStr">
        <is>
          <t>truncate</t>
        </is>
      </c>
      <c r="C560" s="2" t="inlineStr">
        <is>
          <t>openssl TLS 1.2 only</t>
        </is>
      </c>
      <c r="D560" s="2" t="n">
        <v>31</v>
      </c>
      <c r="E560" s="2" t="n">
        <v>31</v>
      </c>
      <c r="F560" s="2" t="n">
        <v>1</v>
      </c>
      <c r="G560" s="2" t="n">
        <v>0</v>
      </c>
      <c r="H560" s="2" t="n">
        <v>0</v>
      </c>
      <c r="I560" s="2" t="n">
        <v>0</v>
      </c>
    </row>
    <row r="561">
      <c r="A561" s="2" t="n">
        <v>559</v>
      </c>
      <c r="B561" s="2" t="inlineStr">
        <is>
          <t>length</t>
        </is>
      </c>
      <c r="C561" s="2" t="inlineStr">
        <is>
          <t>openssl 3.5.8 default</t>
        </is>
      </c>
      <c r="D561" s="2" t="n">
        <v>1548</v>
      </c>
      <c r="E561" s="2" t="n">
        <v>1548</v>
      </c>
      <c r="F561" s="2" t="n">
        <v>1</v>
      </c>
      <c r="G561" s="2" t="n">
        <v>1</v>
      </c>
      <c r="H561" s="2" t="n">
        <v>1</v>
      </c>
      <c r="I561" s="2" t="n">
        <v>0</v>
      </c>
    </row>
    <row r="562">
      <c r="A562" s="2" t="n">
        <v>560</v>
      </c>
      <c r="B562" s="2" t="inlineStr">
        <is>
          <t>insert</t>
        </is>
      </c>
      <c r="C562" s="2" t="inlineStr">
        <is>
          <t>openssl 3.5.8 default</t>
        </is>
      </c>
      <c r="D562" s="2" t="n">
        <v>1560</v>
      </c>
      <c r="E562" s="2" t="n">
        <v>1560</v>
      </c>
      <c r="F562" s="2" t="n">
        <v>1</v>
      </c>
      <c r="G562" s="2" t="n">
        <v>0</v>
      </c>
      <c r="H562" s="2" t="n">
        <v>0</v>
      </c>
      <c r="I562" s="2" t="n">
        <v>0</v>
      </c>
    </row>
    <row r="563">
      <c r="A563" s="2" t="n">
        <v>561</v>
      </c>
      <c r="B563" s="2" t="inlineStr">
        <is>
          <t>flip</t>
        </is>
      </c>
      <c r="C563" s="2" t="inlineStr">
        <is>
          <t>openssl X25519 only (classical)</t>
        </is>
      </c>
      <c r="D563" s="2" t="n">
        <v>314</v>
      </c>
      <c r="E563" s="2" t="n">
        <v>314</v>
      </c>
      <c r="F563" s="2" t="n">
        <v>1</v>
      </c>
      <c r="G563" s="2" t="n">
        <v>1</v>
      </c>
      <c r="H563" s="2" t="n">
        <v>1</v>
      </c>
      <c r="I563" s="2" t="n">
        <v>0</v>
      </c>
    </row>
    <row r="564">
      <c r="A564" s="2" t="n">
        <v>562</v>
      </c>
      <c r="B564" s="2" t="inlineStr">
        <is>
          <t>truncate</t>
        </is>
      </c>
      <c r="C564" s="2" t="inlineStr">
        <is>
          <t>browser firefox147</t>
        </is>
      </c>
      <c r="D564" s="2" t="n">
        <v>1116</v>
      </c>
      <c r="E564" s="2" t="n">
        <v>1116</v>
      </c>
      <c r="F564" s="2" t="n">
        <v>1</v>
      </c>
      <c r="G564" s="2" t="n">
        <v>1</v>
      </c>
      <c r="H564" s="2" t="n">
        <v>0</v>
      </c>
      <c r="I564" s="2" t="n">
        <v>0</v>
      </c>
    </row>
    <row r="565">
      <c r="A565" s="2" t="n">
        <v>563</v>
      </c>
      <c r="B565" s="2" t="inlineStr">
        <is>
          <t>length</t>
        </is>
      </c>
      <c r="C565" s="2" t="inlineStr">
        <is>
          <t>browser chrome150</t>
        </is>
      </c>
      <c r="D565" s="2" t="n">
        <v>1763</v>
      </c>
      <c r="E565" s="2" t="n">
        <v>1763</v>
      </c>
      <c r="F565" s="2" t="n">
        <v>1</v>
      </c>
      <c r="G565" s="2" t="n">
        <v>1</v>
      </c>
      <c r="H565" s="2" t="n">
        <v>1</v>
      </c>
      <c r="I565" s="2" t="n">
        <v>0</v>
      </c>
    </row>
    <row r="566">
      <c r="A566" s="2" t="n">
        <v>564</v>
      </c>
      <c r="B566" s="2" t="inlineStr">
        <is>
          <t>insert</t>
        </is>
      </c>
      <c r="C566" s="2" t="inlineStr">
        <is>
          <t>openssl TLS 1.2 only</t>
        </is>
      </c>
      <c r="D566" s="2" t="n">
        <v>219</v>
      </c>
      <c r="E566" s="2" t="n">
        <v>219</v>
      </c>
      <c r="F566" s="2" t="n">
        <v>1</v>
      </c>
      <c r="G566" s="2" t="n">
        <v>1</v>
      </c>
      <c r="H566" s="2" t="n">
        <v>1</v>
      </c>
      <c r="I566" s="2" t="n">
        <v>0</v>
      </c>
    </row>
    <row r="567">
      <c r="A567" s="2" t="n">
        <v>565</v>
      </c>
      <c r="B567" s="2" t="inlineStr">
        <is>
          <t>flip</t>
        </is>
      </c>
      <c r="C567" s="2" t="inlineStr">
        <is>
          <t>openssl 3.5.8 default</t>
        </is>
      </c>
      <c r="D567" s="2" t="n">
        <v>1548</v>
      </c>
      <c r="E567" s="2" t="n">
        <v>1548</v>
      </c>
      <c r="F567" s="2" t="n">
        <v>1</v>
      </c>
      <c r="G567" s="2" t="n">
        <v>1</v>
      </c>
      <c r="H567" s="2" t="n">
        <v>1</v>
      </c>
      <c r="I567" s="2" t="n">
        <v>0</v>
      </c>
    </row>
    <row r="568">
      <c r="A568" s="2" t="n">
        <v>566</v>
      </c>
      <c r="B568" s="2" t="inlineStr">
        <is>
          <t>truncate</t>
        </is>
      </c>
      <c r="C568" s="2" t="inlineStr">
        <is>
          <t>browser chrome150</t>
        </is>
      </c>
      <c r="D568" s="2" t="n">
        <v>481</v>
      </c>
      <c r="E568" s="2" t="n">
        <v>481</v>
      </c>
      <c r="F568" s="2" t="n">
        <v>1</v>
      </c>
      <c r="G568" s="2" t="n">
        <v>1</v>
      </c>
      <c r="H568" s="2" t="n">
        <v>1</v>
      </c>
      <c r="I568" s="2" t="n">
        <v>0</v>
      </c>
    </row>
    <row r="569">
      <c r="A569" s="2" t="n">
        <v>567</v>
      </c>
      <c r="B569" s="2" t="inlineStr">
        <is>
          <t>length</t>
        </is>
      </c>
      <c r="C569" s="2" t="inlineStr">
        <is>
          <t>openssl X25519 only (classical)</t>
        </is>
      </c>
      <c r="D569" s="2" t="n">
        <v>314</v>
      </c>
      <c r="E569" s="2" t="n">
        <v>314</v>
      </c>
      <c r="F569" s="2" t="n">
        <v>1</v>
      </c>
      <c r="G569" s="2" t="n">
        <v>1</v>
      </c>
      <c r="H569" s="2" t="n">
        <v>1</v>
      </c>
      <c r="I569" s="2" t="n">
        <v>0</v>
      </c>
    </row>
    <row r="570">
      <c r="A570" s="2" t="n">
        <v>568</v>
      </c>
      <c r="B570" s="2" t="inlineStr">
        <is>
          <t>insert</t>
        </is>
      </c>
      <c r="C570" s="2" t="inlineStr">
        <is>
          <t>browser chrome150</t>
        </is>
      </c>
      <c r="D570" s="2" t="n">
        <v>1773</v>
      </c>
      <c r="E570" s="2" t="n">
        <v>1773</v>
      </c>
      <c r="F570" s="2" t="n">
        <v>1</v>
      </c>
      <c r="G570" s="2" t="n">
        <v>1</v>
      </c>
      <c r="H570" s="2" t="n">
        <v>1</v>
      </c>
      <c r="I570" s="2" t="n">
        <v>0</v>
      </c>
    </row>
    <row r="571">
      <c r="A571" s="2" t="n">
        <v>569</v>
      </c>
      <c r="B571" s="2" t="inlineStr">
        <is>
          <t>flip</t>
        </is>
      </c>
      <c r="C571" s="2" t="inlineStr">
        <is>
          <t>browser firefox147</t>
        </is>
      </c>
      <c r="D571" s="2" t="n">
        <v>1901</v>
      </c>
      <c r="E571" s="2" t="n">
        <v>1901</v>
      </c>
      <c r="F571" s="2" t="n">
        <v>1</v>
      </c>
      <c r="G571" s="2" t="n">
        <v>1</v>
      </c>
      <c r="H571" s="2" t="n">
        <v>0</v>
      </c>
      <c r="I571" s="2" t="n">
        <v>0</v>
      </c>
    </row>
    <row r="572">
      <c r="A572" s="2" t="n">
        <v>570</v>
      </c>
      <c r="B572" s="2" t="inlineStr">
        <is>
          <t>truncate</t>
        </is>
      </c>
      <c r="C572" s="2" t="inlineStr">
        <is>
          <t>browser firefox147</t>
        </is>
      </c>
      <c r="D572" s="2" t="n">
        <v>980</v>
      </c>
      <c r="E572" s="2" t="n">
        <v>980</v>
      </c>
      <c r="F572" s="2" t="n">
        <v>1</v>
      </c>
      <c r="G572" s="2" t="n">
        <v>1</v>
      </c>
      <c r="H572" s="2" t="n">
        <v>0</v>
      </c>
      <c r="I572" s="2" t="n">
        <v>0</v>
      </c>
    </row>
    <row r="573">
      <c r="A573" s="2" t="n">
        <v>571</v>
      </c>
      <c r="B573" s="2" t="inlineStr">
        <is>
          <t>length</t>
        </is>
      </c>
      <c r="C573" s="2" t="inlineStr">
        <is>
          <t>browser chrome150</t>
        </is>
      </c>
      <c r="D573" s="2" t="n">
        <v>1763</v>
      </c>
      <c r="E573" s="2" t="n">
        <v>1763</v>
      </c>
      <c r="F573" s="2" t="n">
        <v>1</v>
      </c>
      <c r="G573" s="2" t="n">
        <v>0</v>
      </c>
      <c r="H573" s="2" t="n">
        <v>0</v>
      </c>
      <c r="I573" s="2" t="n">
        <v>0</v>
      </c>
    </row>
    <row r="574">
      <c r="A574" s="2" t="n">
        <v>572</v>
      </c>
      <c r="B574" s="2" t="inlineStr">
        <is>
          <t>insert</t>
        </is>
      </c>
      <c r="C574" s="2" t="inlineStr">
        <is>
          <t>browser chrome150</t>
        </is>
      </c>
      <c r="D574" s="2" t="n">
        <v>1765</v>
      </c>
      <c r="E574" s="2" t="n">
        <v>1765</v>
      </c>
      <c r="F574" s="2" t="n">
        <v>1</v>
      </c>
      <c r="G574" s="2" t="n">
        <v>1</v>
      </c>
      <c r="H574" s="2" t="n">
        <v>1</v>
      </c>
      <c r="I574" s="2" t="n">
        <v>0</v>
      </c>
    </row>
    <row r="575">
      <c r="A575" s="2" t="n">
        <v>573</v>
      </c>
      <c r="B575" s="2" t="inlineStr">
        <is>
          <t>flip</t>
        </is>
      </c>
      <c r="C575" s="2" t="inlineStr">
        <is>
          <t>browser firefox147</t>
        </is>
      </c>
      <c r="D575" s="2" t="n">
        <v>1901</v>
      </c>
      <c r="E575" s="2" t="n">
        <v>1901</v>
      </c>
      <c r="F575" s="2" t="n">
        <v>1</v>
      </c>
      <c r="G575" s="2" t="n">
        <v>1</v>
      </c>
      <c r="H575" s="2" t="n">
        <v>0</v>
      </c>
      <c r="I575" s="2" t="n">
        <v>0</v>
      </c>
    </row>
    <row r="576">
      <c r="A576" s="2" t="n">
        <v>574</v>
      </c>
      <c r="B576" s="2" t="inlineStr">
        <is>
          <t>truncate</t>
        </is>
      </c>
      <c r="C576" s="2" t="inlineStr">
        <is>
          <t>browser firefox147</t>
        </is>
      </c>
      <c r="D576" s="2" t="n">
        <v>374</v>
      </c>
      <c r="E576" s="2" t="n">
        <v>374</v>
      </c>
      <c r="F576" s="2" t="n">
        <v>1</v>
      </c>
      <c r="G576" s="2" t="n">
        <v>1</v>
      </c>
      <c r="H576" s="2" t="n">
        <v>0</v>
      </c>
      <c r="I576" s="2" t="n">
        <v>0</v>
      </c>
    </row>
    <row r="577">
      <c r="A577" s="2" t="n">
        <v>575</v>
      </c>
      <c r="B577" s="2" t="inlineStr">
        <is>
          <t>length</t>
        </is>
      </c>
      <c r="C577" s="2" t="inlineStr">
        <is>
          <t>openssl TLS 1.2 only</t>
        </is>
      </c>
      <c r="D577" s="2" t="n">
        <v>215</v>
      </c>
      <c r="E577" s="2" t="n">
        <v>215</v>
      </c>
      <c r="F577" s="2" t="n">
        <v>1</v>
      </c>
      <c r="G577" s="2" t="n">
        <v>1</v>
      </c>
      <c r="H577" s="2" t="n">
        <v>1</v>
      </c>
      <c r="I577" s="2" t="n">
        <v>0</v>
      </c>
    </row>
    <row r="578">
      <c r="A578" s="2" t="n">
        <v>576</v>
      </c>
      <c r="B578" s="2" t="inlineStr">
        <is>
          <t>insert</t>
        </is>
      </c>
      <c r="C578" s="2" t="inlineStr">
        <is>
          <t>browser firefox147</t>
        </is>
      </c>
      <c r="D578" s="2" t="n">
        <v>1914</v>
      </c>
      <c r="E578" s="2" t="n">
        <v>1914</v>
      </c>
      <c r="F578" s="2" t="n">
        <v>1</v>
      </c>
      <c r="G578" s="2" t="n">
        <v>1</v>
      </c>
      <c r="H578" s="2" t="n">
        <v>0</v>
      </c>
      <c r="I578" s="2" t="n">
        <v>0</v>
      </c>
    </row>
    <row r="579">
      <c r="A579" s="2" t="n">
        <v>577</v>
      </c>
      <c r="B579" s="2" t="inlineStr">
        <is>
          <t>flip</t>
        </is>
      </c>
      <c r="C579" s="2" t="inlineStr">
        <is>
          <t>openssl TLS 1.2 only</t>
        </is>
      </c>
      <c r="D579" s="2" t="n">
        <v>215</v>
      </c>
      <c r="E579" s="2" t="n">
        <v>215</v>
      </c>
      <c r="F579" s="2" t="n">
        <v>1</v>
      </c>
      <c r="G579" s="2" t="n">
        <v>1</v>
      </c>
      <c r="H579" s="2" t="n">
        <v>1</v>
      </c>
      <c r="I579" s="2" t="n">
        <v>0</v>
      </c>
    </row>
    <row r="580">
      <c r="A580" s="2" t="n">
        <v>578</v>
      </c>
      <c r="B580" s="2" t="inlineStr">
        <is>
          <t>truncate</t>
        </is>
      </c>
      <c r="C580" s="2" t="inlineStr">
        <is>
          <t>openssl 3.5.8 default</t>
        </is>
      </c>
      <c r="D580" s="2" t="n">
        <v>1011</v>
      </c>
      <c r="E580" s="2" t="n">
        <v>1011</v>
      </c>
      <c r="F580" s="2" t="n">
        <v>1</v>
      </c>
      <c r="G580" s="2" t="n">
        <v>1</v>
      </c>
      <c r="H580" s="2" t="n">
        <v>1</v>
      </c>
      <c r="I580" s="2" t="n">
        <v>0</v>
      </c>
    </row>
    <row r="581">
      <c r="A581" s="2" t="n">
        <v>579</v>
      </c>
      <c r="B581" s="2" t="inlineStr">
        <is>
          <t>length</t>
        </is>
      </c>
      <c r="C581" s="2" t="inlineStr">
        <is>
          <t>openssl X25519 only (classical)</t>
        </is>
      </c>
      <c r="D581" s="2" t="n">
        <v>314</v>
      </c>
      <c r="E581" s="2" t="n">
        <v>314</v>
      </c>
      <c r="F581" s="2" t="n">
        <v>1</v>
      </c>
      <c r="G581" s="2" t="n">
        <v>0</v>
      </c>
      <c r="H581" s="2" t="n">
        <v>0</v>
      </c>
      <c r="I581" s="2" t="n">
        <v>0</v>
      </c>
    </row>
    <row r="582">
      <c r="A582" s="2" t="n">
        <v>580</v>
      </c>
      <c r="B582" s="2" t="inlineStr">
        <is>
          <t>insert</t>
        </is>
      </c>
      <c r="C582" s="2" t="inlineStr">
        <is>
          <t>browser firefox147</t>
        </is>
      </c>
      <c r="D582" s="2" t="n">
        <v>1911</v>
      </c>
      <c r="E582" s="2" t="n">
        <v>1911</v>
      </c>
      <c r="F582" s="2" t="n">
        <v>1</v>
      </c>
      <c r="G582" s="2" t="n">
        <v>1</v>
      </c>
      <c r="H582" s="2" t="n">
        <v>0</v>
      </c>
      <c r="I582" s="2" t="n">
        <v>0</v>
      </c>
    </row>
    <row r="583">
      <c r="A583" s="2" t="n">
        <v>581</v>
      </c>
      <c r="B583" s="2" t="inlineStr">
        <is>
          <t>flip</t>
        </is>
      </c>
      <c r="C583" s="2" t="inlineStr">
        <is>
          <t>openssl 3.5.8 default</t>
        </is>
      </c>
      <c r="D583" s="2" t="n">
        <v>1548</v>
      </c>
      <c r="E583" s="2" t="n">
        <v>1548</v>
      </c>
      <c r="F583" s="2" t="n">
        <v>1</v>
      </c>
      <c r="G583" s="2" t="n">
        <v>1</v>
      </c>
      <c r="H583" s="2" t="n">
        <v>1</v>
      </c>
      <c r="I583" s="2" t="n">
        <v>0</v>
      </c>
    </row>
    <row r="584">
      <c r="A584" s="2" t="n">
        <v>582</v>
      </c>
      <c r="B584" s="2" t="inlineStr">
        <is>
          <t>truncate</t>
        </is>
      </c>
      <c r="C584" s="2" t="inlineStr">
        <is>
          <t>openssl TLS 1.2 only</t>
        </is>
      </c>
      <c r="D584" s="2" t="n">
        <v>160</v>
      </c>
      <c r="E584" s="2" t="n">
        <v>160</v>
      </c>
      <c r="F584" s="2" t="n">
        <v>1</v>
      </c>
      <c r="G584" s="2" t="n">
        <v>1</v>
      </c>
      <c r="H584" s="2" t="n">
        <v>0</v>
      </c>
      <c r="I584" s="2" t="n">
        <v>0</v>
      </c>
    </row>
    <row r="585">
      <c r="A585" s="2" t="n">
        <v>583</v>
      </c>
      <c r="B585" s="2" t="inlineStr">
        <is>
          <t>length</t>
        </is>
      </c>
      <c r="C585" s="2" t="inlineStr">
        <is>
          <t>openssl X25519 only (classical)</t>
        </is>
      </c>
      <c r="D585" s="2" t="n">
        <v>314</v>
      </c>
      <c r="E585" s="2" t="n">
        <v>314</v>
      </c>
      <c r="F585" s="2" t="n">
        <v>1</v>
      </c>
      <c r="G585" s="2" t="n">
        <v>0</v>
      </c>
      <c r="H585" s="2" t="n">
        <v>0</v>
      </c>
      <c r="I585" s="2" t="n">
        <v>0</v>
      </c>
    </row>
    <row r="586">
      <c r="A586" s="2" t="n">
        <v>584</v>
      </c>
      <c r="B586" s="2" t="inlineStr">
        <is>
          <t>insert</t>
        </is>
      </c>
      <c r="C586" s="2" t="inlineStr">
        <is>
          <t>openssl TLS 1.2 only</t>
        </is>
      </c>
      <c r="D586" s="2" t="n">
        <v>216</v>
      </c>
      <c r="E586" s="2" t="n">
        <v>216</v>
      </c>
      <c r="F586" s="2" t="n">
        <v>1</v>
      </c>
      <c r="G586" s="2" t="n">
        <v>1</v>
      </c>
      <c r="H586" s="2" t="n">
        <v>1</v>
      </c>
      <c r="I586" s="2" t="n">
        <v>0</v>
      </c>
    </row>
    <row r="587">
      <c r="A587" s="2" t="n">
        <v>585</v>
      </c>
      <c r="B587" s="2" t="inlineStr">
        <is>
          <t>flip</t>
        </is>
      </c>
      <c r="C587" s="2" t="inlineStr">
        <is>
          <t>browser chrome150</t>
        </is>
      </c>
      <c r="D587" s="2" t="n">
        <v>1763</v>
      </c>
      <c r="E587" s="2" t="n">
        <v>1763</v>
      </c>
      <c r="F587" s="2" t="n">
        <v>1</v>
      </c>
      <c r="G587" s="2" t="n">
        <v>1</v>
      </c>
      <c r="H587" s="2" t="n">
        <v>1</v>
      </c>
      <c r="I587" s="2" t="n">
        <v>0</v>
      </c>
    </row>
    <row r="588">
      <c r="A588" s="2" t="n">
        <v>586</v>
      </c>
      <c r="B588" s="2" t="inlineStr">
        <is>
          <t>truncate</t>
        </is>
      </c>
      <c r="C588" s="2" t="inlineStr">
        <is>
          <t>browser firefox147</t>
        </is>
      </c>
      <c r="D588" s="2" t="n">
        <v>1306</v>
      </c>
      <c r="E588" s="2" t="n">
        <v>1306</v>
      </c>
      <c r="F588" s="2" t="n">
        <v>1</v>
      </c>
      <c r="G588" s="2" t="n">
        <v>1</v>
      </c>
      <c r="H588" s="2" t="n">
        <v>0</v>
      </c>
      <c r="I588" s="2" t="n">
        <v>0</v>
      </c>
    </row>
    <row r="589">
      <c r="A589" s="2" t="n">
        <v>587</v>
      </c>
      <c r="B589" s="2" t="inlineStr">
        <is>
          <t>length</t>
        </is>
      </c>
      <c r="C589" s="2" t="inlineStr">
        <is>
          <t>browser firefox147</t>
        </is>
      </c>
      <c r="D589" s="2" t="n">
        <v>1901</v>
      </c>
      <c r="E589" s="2" t="n">
        <v>1901</v>
      </c>
      <c r="F589" s="2" t="n">
        <v>0</v>
      </c>
      <c r="G589" s="2" t="n">
        <v>0</v>
      </c>
      <c r="H589" s="2" t="n">
        <v>0</v>
      </c>
      <c r="I589" s="2" t="n">
        <v>0</v>
      </c>
    </row>
    <row r="590">
      <c r="A590" s="2" t="n">
        <v>588</v>
      </c>
      <c r="B590" s="2" t="inlineStr">
        <is>
          <t>insert</t>
        </is>
      </c>
      <c r="C590" s="2" t="inlineStr">
        <is>
          <t>openssl TLS 1.2 only</t>
        </is>
      </c>
      <c r="D590" s="2" t="n">
        <v>217</v>
      </c>
      <c r="E590" s="2" t="n">
        <v>217</v>
      </c>
      <c r="F590" s="2" t="n">
        <v>1</v>
      </c>
      <c r="G590" s="2" t="n">
        <v>1</v>
      </c>
      <c r="H590" s="2" t="n">
        <v>1</v>
      </c>
      <c r="I590" s="2" t="n">
        <v>0</v>
      </c>
    </row>
    <row r="591">
      <c r="A591" s="2" t="n">
        <v>589</v>
      </c>
      <c r="B591" s="2" t="inlineStr">
        <is>
          <t>flip</t>
        </is>
      </c>
      <c r="C591" s="2" t="inlineStr">
        <is>
          <t>openssl 3.5.8 default</t>
        </is>
      </c>
      <c r="D591" s="2" t="n">
        <v>1548</v>
      </c>
      <c r="E591" s="2" t="n">
        <v>1548</v>
      </c>
      <c r="F591" s="2" t="n">
        <v>1</v>
      </c>
      <c r="G591" s="2" t="n">
        <v>1</v>
      </c>
      <c r="H591" s="2" t="n">
        <v>1</v>
      </c>
      <c r="I591" s="2" t="n">
        <v>0</v>
      </c>
    </row>
    <row r="592">
      <c r="A592" s="2" t="n">
        <v>590</v>
      </c>
      <c r="B592" s="2" t="inlineStr">
        <is>
          <t>truncate</t>
        </is>
      </c>
      <c r="C592" s="2" t="inlineStr">
        <is>
          <t>openssl X25519 only (classical)</t>
        </is>
      </c>
      <c r="D592" s="2" t="n">
        <v>61</v>
      </c>
      <c r="E592" s="2" t="n">
        <v>61</v>
      </c>
      <c r="F592" s="2" t="n">
        <v>1</v>
      </c>
      <c r="G592" s="2" t="n">
        <v>0</v>
      </c>
      <c r="H592" s="2" t="n">
        <v>0</v>
      </c>
      <c r="I592" s="2" t="n">
        <v>0</v>
      </c>
    </row>
    <row r="593">
      <c r="A593" s="2" t="n">
        <v>591</v>
      </c>
      <c r="B593" s="2" t="inlineStr">
        <is>
          <t>length</t>
        </is>
      </c>
      <c r="C593" s="2" t="inlineStr">
        <is>
          <t>browser firefox147</t>
        </is>
      </c>
      <c r="D593" s="2" t="n">
        <v>1901</v>
      </c>
      <c r="E593" s="2" t="n">
        <v>1901</v>
      </c>
      <c r="F593" s="2" t="n">
        <v>1</v>
      </c>
      <c r="G593" s="2" t="n">
        <v>0</v>
      </c>
      <c r="H593" s="2" t="n">
        <v>0</v>
      </c>
      <c r="I593" s="2" t="n">
        <v>0</v>
      </c>
    </row>
    <row r="594">
      <c r="A594" s="2" t="n">
        <v>592</v>
      </c>
      <c r="B594" s="2" t="inlineStr">
        <is>
          <t>insert</t>
        </is>
      </c>
      <c r="C594" s="2" t="inlineStr">
        <is>
          <t>browser firefox147</t>
        </is>
      </c>
      <c r="D594" s="2" t="n">
        <v>1909</v>
      </c>
      <c r="E594" s="2" t="n">
        <v>1909</v>
      </c>
      <c r="F594" s="2" t="n">
        <v>1</v>
      </c>
      <c r="G594" s="2" t="n">
        <v>1</v>
      </c>
      <c r="H594" s="2" t="n">
        <v>0</v>
      </c>
      <c r="I594" s="2" t="n">
        <v>0</v>
      </c>
    </row>
    <row r="595">
      <c r="A595" s="2" t="n">
        <v>593</v>
      </c>
      <c r="B595" s="2" t="inlineStr">
        <is>
          <t>flip</t>
        </is>
      </c>
      <c r="C595" s="2" t="inlineStr">
        <is>
          <t>openssl X25519 only (classical)</t>
        </is>
      </c>
      <c r="D595" s="2" t="n">
        <v>314</v>
      </c>
      <c r="E595" s="2" t="n">
        <v>314</v>
      </c>
      <c r="F595" s="2" t="n">
        <v>1</v>
      </c>
      <c r="G595" s="2" t="n">
        <v>1</v>
      </c>
      <c r="H595" s="2" t="n">
        <v>1</v>
      </c>
      <c r="I595" s="2" t="n">
        <v>0</v>
      </c>
    </row>
    <row r="596">
      <c r="A596" s="2" t="n">
        <v>594</v>
      </c>
      <c r="B596" s="2" t="inlineStr">
        <is>
          <t>truncate</t>
        </is>
      </c>
      <c r="C596" s="2" t="inlineStr">
        <is>
          <t>openssl X25519 only (classical)</t>
        </is>
      </c>
      <c r="D596" s="2" t="n">
        <v>12</v>
      </c>
      <c r="E596" s="2" t="n">
        <v>12</v>
      </c>
      <c r="F596" s="2" t="n">
        <v>1</v>
      </c>
      <c r="G596" s="2" t="n">
        <v>0</v>
      </c>
      <c r="H596" s="2" t="n">
        <v>0</v>
      </c>
      <c r="I596" s="2" t="n">
        <v>0</v>
      </c>
    </row>
    <row r="597">
      <c r="A597" s="2" t="n">
        <v>595</v>
      </c>
      <c r="B597" s="2" t="inlineStr">
        <is>
          <t>length</t>
        </is>
      </c>
      <c r="C597" s="2" t="inlineStr">
        <is>
          <t>browser chrome150</t>
        </is>
      </c>
      <c r="D597" s="2" t="n">
        <v>1763</v>
      </c>
      <c r="E597" s="2" t="n">
        <v>1763</v>
      </c>
      <c r="F597" s="2" t="n">
        <v>1</v>
      </c>
      <c r="G597" s="2" t="n">
        <v>1</v>
      </c>
      <c r="H597" s="2" t="n">
        <v>1</v>
      </c>
      <c r="I597" s="2" t="n">
        <v>0</v>
      </c>
    </row>
    <row r="598">
      <c r="A598" s="2" t="n">
        <v>596</v>
      </c>
      <c r="B598" s="2" t="inlineStr">
        <is>
          <t>insert</t>
        </is>
      </c>
      <c r="C598" s="2" t="inlineStr">
        <is>
          <t>openssl X25519 only (classical)</t>
        </is>
      </c>
      <c r="D598" s="2" t="n">
        <v>321</v>
      </c>
      <c r="E598" s="2" t="n">
        <v>321</v>
      </c>
      <c r="F598" s="2" t="n">
        <v>1</v>
      </c>
      <c r="G598" s="2" t="n">
        <v>1</v>
      </c>
      <c r="H598" s="2" t="n">
        <v>1</v>
      </c>
      <c r="I598" s="2" t="n">
        <v>0</v>
      </c>
    </row>
    <row r="599">
      <c r="A599" s="2" t="n">
        <v>597</v>
      </c>
      <c r="B599" s="2" t="inlineStr">
        <is>
          <t>flip</t>
        </is>
      </c>
      <c r="C599" s="2" t="inlineStr">
        <is>
          <t>openssl X25519 only (classical)</t>
        </is>
      </c>
      <c r="D599" s="2" t="n">
        <v>314</v>
      </c>
      <c r="E599" s="2" t="n">
        <v>314</v>
      </c>
      <c r="F599" s="2" t="n">
        <v>1</v>
      </c>
      <c r="G599" s="2" t="n">
        <v>1</v>
      </c>
      <c r="H599" s="2" t="n">
        <v>1</v>
      </c>
      <c r="I599" s="2" t="n">
        <v>0</v>
      </c>
    </row>
    <row r="600">
      <c r="A600" s="2" t="n">
        <v>598</v>
      </c>
      <c r="B600" s="2" t="inlineStr">
        <is>
          <t>truncate</t>
        </is>
      </c>
      <c r="C600" s="2" t="inlineStr">
        <is>
          <t>browser chrome150</t>
        </is>
      </c>
      <c r="D600" s="2" t="n">
        <v>660</v>
      </c>
      <c r="E600" s="2" t="n">
        <v>660</v>
      </c>
      <c r="F600" s="2" t="n">
        <v>1</v>
      </c>
      <c r="G600" s="2" t="n">
        <v>1</v>
      </c>
      <c r="H600" s="2" t="n">
        <v>1</v>
      </c>
      <c r="I600" s="2" t="n">
        <v>0</v>
      </c>
    </row>
    <row r="601">
      <c r="A601" s="2" t="n">
        <v>599</v>
      </c>
      <c r="B601" s="2" t="inlineStr">
        <is>
          <t>length</t>
        </is>
      </c>
      <c r="C601" s="2" t="inlineStr">
        <is>
          <t>openssl 3.5.8 default</t>
        </is>
      </c>
      <c r="D601" s="2" t="n">
        <v>1548</v>
      </c>
      <c r="E601" s="2" t="n">
        <v>1548</v>
      </c>
      <c r="F601" s="2" t="n">
        <v>1</v>
      </c>
      <c r="G601" s="2" t="n">
        <v>0</v>
      </c>
      <c r="H601" s="2" t="n">
        <v>0</v>
      </c>
      <c r="I601" s="2" t="n">
        <v>0</v>
      </c>
    </row>
    <row r="602">
      <c r="A602" s="2" t="n">
        <v>600</v>
      </c>
      <c r="B602" s="2" t="inlineStr">
        <is>
          <t>insert</t>
        </is>
      </c>
      <c r="C602" s="2" t="inlineStr">
        <is>
          <t>browser firefox147</t>
        </is>
      </c>
      <c r="D602" s="2" t="n">
        <v>1905</v>
      </c>
      <c r="E602" s="2" t="n">
        <v>1905</v>
      </c>
      <c r="F602" s="2" t="n">
        <v>1</v>
      </c>
      <c r="G602" s="2" t="n">
        <v>1</v>
      </c>
      <c r="H602" s="2" t="n">
        <v>0</v>
      </c>
      <c r="I602" s="2" t="n">
        <v>0</v>
      </c>
    </row>
    <row r="603">
      <c r="A603" s="2" t="n">
        <v>601</v>
      </c>
      <c r="B603" s="2" t="inlineStr">
        <is>
          <t>flip</t>
        </is>
      </c>
      <c r="C603" s="2" t="inlineStr">
        <is>
          <t>browser firefox147</t>
        </is>
      </c>
      <c r="D603" s="2" t="n">
        <v>1901</v>
      </c>
      <c r="E603" s="2" t="n">
        <v>1901</v>
      </c>
      <c r="F603" s="2" t="n">
        <v>1</v>
      </c>
      <c r="G603" s="2" t="n">
        <v>1</v>
      </c>
      <c r="H603" s="2" t="n">
        <v>0</v>
      </c>
      <c r="I603" s="2" t="n">
        <v>0</v>
      </c>
    </row>
    <row r="604">
      <c r="A604" s="2" t="n">
        <v>602</v>
      </c>
      <c r="B604" s="2" t="inlineStr">
        <is>
          <t>truncate</t>
        </is>
      </c>
      <c r="C604" s="2" t="inlineStr">
        <is>
          <t>openssl TLS 1.2 only</t>
        </is>
      </c>
      <c r="D604" s="2" t="n">
        <v>199</v>
      </c>
      <c r="E604" s="2" t="n">
        <v>199</v>
      </c>
      <c r="F604" s="2" t="n">
        <v>1</v>
      </c>
      <c r="G604" s="2" t="n">
        <v>1</v>
      </c>
      <c r="H604" s="2" t="n">
        <v>1</v>
      </c>
      <c r="I604" s="2" t="n">
        <v>0</v>
      </c>
    </row>
    <row r="605">
      <c r="A605" s="2" t="n">
        <v>603</v>
      </c>
      <c r="B605" s="2" t="inlineStr">
        <is>
          <t>length</t>
        </is>
      </c>
      <c r="C605" s="2" t="inlineStr">
        <is>
          <t>openssl TLS 1.2 only</t>
        </is>
      </c>
      <c r="D605" s="2" t="n">
        <v>215</v>
      </c>
      <c r="E605" s="2" t="n">
        <v>215</v>
      </c>
      <c r="F605" s="2" t="n">
        <v>1</v>
      </c>
      <c r="G605" s="2" t="n">
        <v>1</v>
      </c>
      <c r="H605" s="2" t="n">
        <v>1</v>
      </c>
      <c r="I605" s="2" t="n">
        <v>0</v>
      </c>
    </row>
    <row r="606">
      <c r="A606" s="2" t="n">
        <v>604</v>
      </c>
      <c r="B606" s="2" t="inlineStr">
        <is>
          <t>insert</t>
        </is>
      </c>
      <c r="C606" s="2" t="inlineStr">
        <is>
          <t>openssl X25519 only (classical)</t>
        </is>
      </c>
      <c r="D606" s="2" t="n">
        <v>329</v>
      </c>
      <c r="E606" s="2" t="n">
        <v>329</v>
      </c>
      <c r="F606" s="2" t="n">
        <v>1</v>
      </c>
      <c r="G606" s="2" t="n">
        <v>1</v>
      </c>
      <c r="H606" s="2" t="n">
        <v>1</v>
      </c>
      <c r="I606" s="2" t="n">
        <v>0</v>
      </c>
    </row>
    <row r="607">
      <c r="A607" s="2" t="n">
        <v>605</v>
      </c>
      <c r="B607" s="2" t="inlineStr">
        <is>
          <t>flip</t>
        </is>
      </c>
      <c r="C607" s="2" t="inlineStr">
        <is>
          <t>openssl 3.5.8 default</t>
        </is>
      </c>
      <c r="D607" s="2" t="n">
        <v>1548</v>
      </c>
      <c r="E607" s="2" t="n">
        <v>1548</v>
      </c>
      <c r="F607" s="2" t="n">
        <v>1</v>
      </c>
      <c r="G607" s="2" t="n">
        <v>1</v>
      </c>
      <c r="H607" s="2" t="n">
        <v>1</v>
      </c>
      <c r="I607" s="2" t="n">
        <v>0</v>
      </c>
    </row>
    <row r="608">
      <c r="A608" s="2" t="n">
        <v>606</v>
      </c>
      <c r="B608" s="2" t="inlineStr">
        <is>
          <t>truncate</t>
        </is>
      </c>
      <c r="C608" s="2" t="inlineStr">
        <is>
          <t>browser chrome150</t>
        </is>
      </c>
      <c r="D608" s="2" t="n">
        <v>735</v>
      </c>
      <c r="E608" s="2" t="n">
        <v>735</v>
      </c>
      <c r="F608" s="2" t="n">
        <v>1</v>
      </c>
      <c r="G608" s="2" t="n">
        <v>1</v>
      </c>
      <c r="H608" s="2" t="n">
        <v>1</v>
      </c>
      <c r="I608" s="2" t="n">
        <v>0</v>
      </c>
    </row>
    <row r="609">
      <c r="A609" s="2" t="n">
        <v>607</v>
      </c>
      <c r="B609" s="2" t="inlineStr">
        <is>
          <t>length</t>
        </is>
      </c>
      <c r="C609" s="2" t="inlineStr">
        <is>
          <t>browser firefox147</t>
        </is>
      </c>
      <c r="D609" s="2" t="n">
        <v>1901</v>
      </c>
      <c r="E609" s="2" t="n">
        <v>1901</v>
      </c>
      <c r="F609" s="2" t="n">
        <v>1</v>
      </c>
      <c r="G609" s="2" t="n">
        <v>0</v>
      </c>
      <c r="H609" s="2" t="n">
        <v>0</v>
      </c>
      <c r="I609" s="2" t="n">
        <v>0</v>
      </c>
    </row>
    <row r="610">
      <c r="A610" s="2" t="n">
        <v>608</v>
      </c>
      <c r="B610" s="2" t="inlineStr">
        <is>
          <t>insert</t>
        </is>
      </c>
      <c r="C610" s="2" t="inlineStr">
        <is>
          <t>openssl X25519 only (classical)</t>
        </is>
      </c>
      <c r="D610" s="2" t="n">
        <v>319</v>
      </c>
      <c r="E610" s="2" t="n">
        <v>319</v>
      </c>
      <c r="F610" s="2" t="n">
        <v>1</v>
      </c>
      <c r="G610" s="2" t="n">
        <v>1</v>
      </c>
      <c r="H610" s="2" t="n">
        <v>1</v>
      </c>
      <c r="I610" s="2" t="n">
        <v>0</v>
      </c>
    </row>
    <row r="611">
      <c r="A611" s="2" t="n">
        <v>609</v>
      </c>
      <c r="B611" s="2" t="inlineStr">
        <is>
          <t>flip</t>
        </is>
      </c>
      <c r="C611" s="2" t="inlineStr">
        <is>
          <t>openssl X25519 only (classical)</t>
        </is>
      </c>
      <c r="D611" s="2" t="n">
        <v>314</v>
      </c>
      <c r="E611" s="2" t="n">
        <v>314</v>
      </c>
      <c r="F611" s="2" t="n">
        <v>1</v>
      </c>
      <c r="G611" s="2" t="n">
        <v>1</v>
      </c>
      <c r="H611" s="2" t="n">
        <v>1</v>
      </c>
      <c r="I611" s="2" t="n">
        <v>0</v>
      </c>
    </row>
    <row r="612">
      <c r="A612" s="2" t="n">
        <v>610</v>
      </c>
      <c r="B612" s="2" t="inlineStr">
        <is>
          <t>truncate</t>
        </is>
      </c>
      <c r="C612" s="2" t="inlineStr">
        <is>
          <t>browser chrome150</t>
        </is>
      </c>
      <c r="D612" s="2" t="n">
        <v>542</v>
      </c>
      <c r="E612" s="2" t="n">
        <v>542</v>
      </c>
      <c r="F612" s="2" t="n">
        <v>1</v>
      </c>
      <c r="G612" s="2" t="n">
        <v>1</v>
      </c>
      <c r="H612" s="2" t="n">
        <v>1</v>
      </c>
      <c r="I612" s="2" t="n">
        <v>0</v>
      </c>
    </row>
    <row r="613">
      <c r="A613" s="2" t="n">
        <v>611</v>
      </c>
      <c r="B613" s="2" t="inlineStr">
        <is>
          <t>length</t>
        </is>
      </c>
      <c r="C613" s="2" t="inlineStr">
        <is>
          <t>browser firefox147</t>
        </is>
      </c>
      <c r="D613" s="2" t="n">
        <v>1901</v>
      </c>
      <c r="E613" s="2" t="n">
        <v>1901</v>
      </c>
      <c r="F613" s="2" t="n">
        <v>1</v>
      </c>
      <c r="G613" s="2" t="n">
        <v>0</v>
      </c>
      <c r="H613" s="2" t="n">
        <v>0</v>
      </c>
      <c r="I613" s="2" t="n">
        <v>0</v>
      </c>
    </row>
    <row r="614">
      <c r="A614" s="2" t="n">
        <v>612</v>
      </c>
      <c r="B614" s="2" t="inlineStr">
        <is>
          <t>insert</t>
        </is>
      </c>
      <c r="C614" s="2" t="inlineStr">
        <is>
          <t>browser firefox147</t>
        </is>
      </c>
      <c r="D614" s="2" t="n">
        <v>1910</v>
      </c>
      <c r="E614" s="2" t="n">
        <v>1910</v>
      </c>
      <c r="F614" s="2" t="n">
        <v>1</v>
      </c>
      <c r="G614" s="2" t="n">
        <v>1</v>
      </c>
      <c r="H614" s="2" t="n">
        <v>0</v>
      </c>
      <c r="I614" s="2" t="n">
        <v>0</v>
      </c>
    </row>
    <row r="615">
      <c r="A615" s="2" t="n">
        <v>613</v>
      </c>
      <c r="B615" s="2" t="inlineStr">
        <is>
          <t>flip</t>
        </is>
      </c>
      <c r="C615" s="2" t="inlineStr">
        <is>
          <t>openssl X25519 only (classical)</t>
        </is>
      </c>
      <c r="D615" s="2" t="n">
        <v>314</v>
      </c>
      <c r="E615" s="2" t="n">
        <v>314</v>
      </c>
      <c r="F615" s="2" t="n">
        <v>1</v>
      </c>
      <c r="G615" s="2" t="n">
        <v>1</v>
      </c>
      <c r="H615" s="2" t="n">
        <v>1</v>
      </c>
      <c r="I615" s="2" t="n">
        <v>0</v>
      </c>
    </row>
    <row r="616">
      <c r="A616" s="2" t="n">
        <v>614</v>
      </c>
      <c r="B616" s="2" t="inlineStr">
        <is>
          <t>truncate</t>
        </is>
      </c>
      <c r="C616" s="2" t="inlineStr">
        <is>
          <t>openssl X25519 only (classical)</t>
        </is>
      </c>
      <c r="D616" s="2" t="n">
        <v>146</v>
      </c>
      <c r="E616" s="2" t="n">
        <v>146</v>
      </c>
      <c r="F616" s="2" t="n">
        <v>1</v>
      </c>
      <c r="G616" s="2" t="n">
        <v>1</v>
      </c>
      <c r="H616" s="2" t="n">
        <v>0</v>
      </c>
      <c r="I616" s="2" t="n">
        <v>0</v>
      </c>
    </row>
    <row r="617">
      <c r="A617" s="2" t="n">
        <v>615</v>
      </c>
      <c r="B617" s="2" t="inlineStr">
        <is>
          <t>length</t>
        </is>
      </c>
      <c r="C617" s="2" t="inlineStr">
        <is>
          <t>openssl 3.5.8 default</t>
        </is>
      </c>
      <c r="D617" s="2" t="n">
        <v>1548</v>
      </c>
      <c r="E617" s="2" t="n">
        <v>1548</v>
      </c>
      <c r="F617" s="2" t="n">
        <v>1</v>
      </c>
      <c r="G617" s="2" t="n">
        <v>1</v>
      </c>
      <c r="H617" s="2" t="n">
        <v>0</v>
      </c>
      <c r="I617" s="2" t="n">
        <v>0</v>
      </c>
    </row>
    <row r="618">
      <c r="A618" s="2" t="n">
        <v>616</v>
      </c>
      <c r="B618" s="2" t="inlineStr">
        <is>
          <t>insert</t>
        </is>
      </c>
      <c r="C618" s="2" t="inlineStr">
        <is>
          <t>browser chrome150</t>
        </is>
      </c>
      <c r="D618" s="2" t="n">
        <v>1768</v>
      </c>
      <c r="E618" s="2" t="n">
        <v>1768</v>
      </c>
      <c r="F618" s="2" t="n">
        <v>1</v>
      </c>
      <c r="G618" s="2" t="n">
        <v>1</v>
      </c>
      <c r="H618" s="2" t="n">
        <v>1</v>
      </c>
      <c r="I618" s="2" t="n">
        <v>0</v>
      </c>
    </row>
    <row r="619">
      <c r="A619" s="2" t="n">
        <v>617</v>
      </c>
      <c r="B619" s="2" t="inlineStr">
        <is>
          <t>flip</t>
        </is>
      </c>
      <c r="C619" s="2" t="inlineStr">
        <is>
          <t>browser firefox147</t>
        </is>
      </c>
      <c r="D619" s="2" t="n">
        <v>1901</v>
      </c>
      <c r="E619" s="2" t="n">
        <v>1901</v>
      </c>
      <c r="F619" s="2" t="n">
        <v>1</v>
      </c>
      <c r="G619" s="2" t="n">
        <v>1</v>
      </c>
      <c r="H619" s="2" t="n">
        <v>1</v>
      </c>
      <c r="I619" s="2" t="n">
        <v>0</v>
      </c>
    </row>
    <row r="620">
      <c r="A620" s="2" t="n">
        <v>618</v>
      </c>
      <c r="B620" s="2" t="inlineStr">
        <is>
          <t>truncate</t>
        </is>
      </c>
      <c r="C620" s="2" t="inlineStr">
        <is>
          <t>openssl X25519 only (classical)</t>
        </is>
      </c>
      <c r="D620" s="2" t="n">
        <v>233</v>
      </c>
      <c r="E620" s="2" t="n">
        <v>233</v>
      </c>
      <c r="F620" s="2" t="n">
        <v>1</v>
      </c>
      <c r="G620" s="2" t="n">
        <v>1</v>
      </c>
      <c r="H620" s="2" t="n">
        <v>0</v>
      </c>
      <c r="I620" s="2" t="n">
        <v>0</v>
      </c>
    </row>
    <row r="621">
      <c r="A621" s="2" t="n">
        <v>619</v>
      </c>
      <c r="B621" s="2" t="inlineStr">
        <is>
          <t>length</t>
        </is>
      </c>
      <c r="C621" s="2" t="inlineStr">
        <is>
          <t>openssl X25519 only (classical)</t>
        </is>
      </c>
      <c r="D621" s="2" t="n">
        <v>314</v>
      </c>
      <c r="E621" s="2" t="n">
        <v>314</v>
      </c>
      <c r="F621" s="2" t="n">
        <v>1</v>
      </c>
      <c r="G621" s="2" t="n">
        <v>1</v>
      </c>
      <c r="H621" s="2" t="n">
        <v>1</v>
      </c>
      <c r="I621" s="2" t="n">
        <v>0</v>
      </c>
    </row>
    <row r="622">
      <c r="A622" s="2" t="n">
        <v>620</v>
      </c>
      <c r="B622" s="2" t="inlineStr">
        <is>
          <t>insert</t>
        </is>
      </c>
      <c r="C622" s="2" t="inlineStr">
        <is>
          <t>openssl X25519 only (classical)</t>
        </is>
      </c>
      <c r="D622" s="2" t="n">
        <v>317</v>
      </c>
      <c r="E622" s="2" t="n">
        <v>317</v>
      </c>
      <c r="F622" s="2" t="n">
        <v>1</v>
      </c>
      <c r="G622" s="2" t="n">
        <v>0</v>
      </c>
      <c r="H622" s="2" t="n">
        <v>0</v>
      </c>
      <c r="I622" s="2" t="n">
        <v>0</v>
      </c>
    </row>
    <row r="623">
      <c r="A623" s="2" t="n">
        <v>621</v>
      </c>
      <c r="B623" s="2" t="inlineStr">
        <is>
          <t>flip</t>
        </is>
      </c>
      <c r="C623" s="2" t="inlineStr">
        <is>
          <t>openssl X25519 only (classical)</t>
        </is>
      </c>
      <c r="D623" s="2" t="n">
        <v>314</v>
      </c>
      <c r="E623" s="2" t="n">
        <v>314</v>
      </c>
      <c r="F623" s="2" t="n">
        <v>1</v>
      </c>
      <c r="G623" s="2" t="n">
        <v>1</v>
      </c>
      <c r="H623" s="2" t="n">
        <v>1</v>
      </c>
      <c r="I623" s="2" t="n">
        <v>0</v>
      </c>
    </row>
    <row r="624">
      <c r="A624" s="2" t="n">
        <v>622</v>
      </c>
      <c r="B624" s="2" t="inlineStr">
        <is>
          <t>truncate</t>
        </is>
      </c>
      <c r="C624" s="2" t="inlineStr">
        <is>
          <t>openssl 3.5.8 default</t>
        </is>
      </c>
      <c r="D624" s="2" t="n">
        <v>1286</v>
      </c>
      <c r="E624" s="2" t="n">
        <v>1286</v>
      </c>
      <c r="F624" s="2" t="n">
        <v>1</v>
      </c>
      <c r="G624" s="2" t="n">
        <v>1</v>
      </c>
      <c r="H624" s="2" t="n">
        <v>1</v>
      </c>
      <c r="I624" s="2" t="n">
        <v>0</v>
      </c>
    </row>
    <row r="625">
      <c r="A625" s="2" t="n">
        <v>623</v>
      </c>
      <c r="B625" s="2" t="inlineStr">
        <is>
          <t>length</t>
        </is>
      </c>
      <c r="C625" s="2" t="inlineStr">
        <is>
          <t>openssl TLS 1.2 only</t>
        </is>
      </c>
      <c r="D625" s="2" t="n">
        <v>215</v>
      </c>
      <c r="E625" s="2" t="n">
        <v>215</v>
      </c>
      <c r="F625" s="2" t="n">
        <v>1</v>
      </c>
      <c r="G625" s="2" t="n">
        <v>0</v>
      </c>
      <c r="H625" s="2" t="n">
        <v>0</v>
      </c>
      <c r="I625" s="2" t="n">
        <v>0</v>
      </c>
    </row>
    <row r="626">
      <c r="A626" s="2" t="n">
        <v>624</v>
      </c>
      <c r="B626" s="2" t="inlineStr">
        <is>
          <t>insert</t>
        </is>
      </c>
      <c r="C626" s="2" t="inlineStr">
        <is>
          <t>openssl 3.5.8 default</t>
        </is>
      </c>
      <c r="D626" s="2" t="n">
        <v>1558</v>
      </c>
      <c r="E626" s="2" t="n">
        <v>1558</v>
      </c>
      <c r="F626" s="2" t="n">
        <v>1</v>
      </c>
      <c r="G626" s="2" t="n">
        <v>1</v>
      </c>
      <c r="H626" s="2" t="n">
        <v>1</v>
      </c>
      <c r="I626" s="2" t="n">
        <v>0</v>
      </c>
    </row>
    <row r="627">
      <c r="A627" s="2" t="n">
        <v>625</v>
      </c>
      <c r="B627" s="2" t="inlineStr">
        <is>
          <t>flip</t>
        </is>
      </c>
      <c r="C627" s="2" t="inlineStr">
        <is>
          <t>openssl TLS 1.2 only</t>
        </is>
      </c>
      <c r="D627" s="2" t="n">
        <v>215</v>
      </c>
      <c r="E627" s="2" t="n">
        <v>215</v>
      </c>
      <c r="F627" s="2" t="n">
        <v>1</v>
      </c>
      <c r="G627" s="2" t="n">
        <v>1</v>
      </c>
      <c r="H627" s="2" t="n">
        <v>1</v>
      </c>
      <c r="I627" s="2" t="n">
        <v>0</v>
      </c>
    </row>
    <row r="628">
      <c r="A628" s="2" t="n">
        <v>626</v>
      </c>
      <c r="B628" s="2" t="inlineStr">
        <is>
          <t>truncate</t>
        </is>
      </c>
      <c r="C628" s="2" t="inlineStr">
        <is>
          <t>openssl TLS 1.2 only</t>
        </is>
      </c>
      <c r="D628" s="2" t="n">
        <v>169</v>
      </c>
      <c r="E628" s="2" t="n">
        <v>169</v>
      </c>
      <c r="F628" s="2" t="n">
        <v>1</v>
      </c>
      <c r="G628" s="2" t="n">
        <v>1</v>
      </c>
      <c r="H628" s="2" t="n">
        <v>0</v>
      </c>
      <c r="I628" s="2" t="n">
        <v>0</v>
      </c>
    </row>
    <row r="629">
      <c r="A629" s="2" t="n">
        <v>627</v>
      </c>
      <c r="B629" s="2" t="inlineStr">
        <is>
          <t>length</t>
        </is>
      </c>
      <c r="C629" s="2" t="inlineStr">
        <is>
          <t>openssl 3.5.8 default</t>
        </is>
      </c>
      <c r="D629" s="2" t="n">
        <v>1548</v>
      </c>
      <c r="E629" s="2" t="n">
        <v>1548</v>
      </c>
      <c r="F629" s="2" t="n">
        <v>0</v>
      </c>
      <c r="G629" s="2" t="n">
        <v>0</v>
      </c>
      <c r="H629" s="2" t="n">
        <v>0</v>
      </c>
      <c r="I629" s="2" t="n">
        <v>0</v>
      </c>
    </row>
    <row r="630">
      <c r="A630" s="2" t="n">
        <v>628</v>
      </c>
      <c r="B630" s="2" t="inlineStr">
        <is>
          <t>insert</t>
        </is>
      </c>
      <c r="C630" s="2" t="inlineStr">
        <is>
          <t>openssl TLS 1.2 only</t>
        </is>
      </c>
      <c r="D630" s="2" t="n">
        <v>222</v>
      </c>
      <c r="E630" s="2" t="n">
        <v>222</v>
      </c>
      <c r="F630" s="2" t="n">
        <v>1</v>
      </c>
      <c r="G630" s="2" t="n">
        <v>1</v>
      </c>
      <c r="H630" s="2" t="n">
        <v>0</v>
      </c>
      <c r="I630" s="2" t="n">
        <v>0</v>
      </c>
    </row>
    <row r="631">
      <c r="A631" s="2" t="n">
        <v>629</v>
      </c>
      <c r="B631" s="2" t="inlineStr">
        <is>
          <t>flip</t>
        </is>
      </c>
      <c r="C631" s="2" t="inlineStr">
        <is>
          <t>browser firefox147</t>
        </is>
      </c>
      <c r="D631" s="2" t="n">
        <v>1901</v>
      </c>
      <c r="E631" s="2" t="n">
        <v>1901</v>
      </c>
      <c r="F631" s="2" t="n">
        <v>1</v>
      </c>
      <c r="G631" s="2" t="n">
        <v>1</v>
      </c>
      <c r="H631" s="2" t="n">
        <v>0</v>
      </c>
      <c r="I631" s="2" t="n">
        <v>0</v>
      </c>
    </row>
    <row r="632">
      <c r="A632" s="2" t="n">
        <v>630</v>
      </c>
      <c r="B632" s="2" t="inlineStr">
        <is>
          <t>truncate</t>
        </is>
      </c>
      <c r="C632" s="2" t="inlineStr">
        <is>
          <t>openssl 3.5.8 default</t>
        </is>
      </c>
      <c r="D632" s="2" t="n">
        <v>325</v>
      </c>
      <c r="E632" s="2" t="n">
        <v>325</v>
      </c>
      <c r="F632" s="2" t="n">
        <v>1</v>
      </c>
      <c r="G632" s="2" t="n">
        <v>1</v>
      </c>
      <c r="H632" s="2" t="n">
        <v>1</v>
      </c>
      <c r="I632" s="2" t="n">
        <v>0</v>
      </c>
    </row>
    <row r="633">
      <c r="A633" s="2" t="n">
        <v>631</v>
      </c>
      <c r="B633" s="2" t="inlineStr">
        <is>
          <t>length</t>
        </is>
      </c>
      <c r="C633" s="2" t="inlineStr">
        <is>
          <t>openssl X25519 only (classical)</t>
        </is>
      </c>
      <c r="D633" s="2" t="n">
        <v>314</v>
      </c>
      <c r="E633" s="2" t="n">
        <v>314</v>
      </c>
      <c r="F633" s="2" t="n">
        <v>1</v>
      </c>
      <c r="G633" s="2" t="n">
        <v>1</v>
      </c>
      <c r="H633" s="2" t="n">
        <v>1</v>
      </c>
      <c r="I633" s="2" t="n">
        <v>0</v>
      </c>
    </row>
    <row r="634">
      <c r="A634" s="2" t="n">
        <v>632</v>
      </c>
      <c r="B634" s="2" t="inlineStr">
        <is>
          <t>insert</t>
        </is>
      </c>
      <c r="C634" s="2" t="inlineStr">
        <is>
          <t>openssl X25519 only (classical)</t>
        </is>
      </c>
      <c r="D634" s="2" t="n">
        <v>322</v>
      </c>
      <c r="E634" s="2" t="n">
        <v>322</v>
      </c>
      <c r="F634" s="2" t="n">
        <v>1</v>
      </c>
      <c r="G634" s="2" t="n">
        <v>1</v>
      </c>
      <c r="H634" s="2" t="n">
        <v>1</v>
      </c>
      <c r="I634" s="2" t="n">
        <v>0</v>
      </c>
    </row>
    <row r="635">
      <c r="A635" s="2" t="n">
        <v>633</v>
      </c>
      <c r="B635" s="2" t="inlineStr">
        <is>
          <t>flip</t>
        </is>
      </c>
      <c r="C635" s="2" t="inlineStr">
        <is>
          <t>openssl TLS 1.2 only</t>
        </is>
      </c>
      <c r="D635" s="2" t="n">
        <v>215</v>
      </c>
      <c r="E635" s="2" t="n">
        <v>215</v>
      </c>
      <c r="F635" s="2" t="n">
        <v>1</v>
      </c>
      <c r="G635" s="2" t="n">
        <v>1</v>
      </c>
      <c r="H635" s="2" t="n">
        <v>1</v>
      </c>
      <c r="I635" s="2" t="n">
        <v>0</v>
      </c>
    </row>
    <row r="636">
      <c r="A636" s="2" t="n">
        <v>634</v>
      </c>
      <c r="B636" s="2" t="inlineStr">
        <is>
          <t>truncate</t>
        </is>
      </c>
      <c r="C636" s="2" t="inlineStr">
        <is>
          <t>openssl 3.5.8 default</t>
        </is>
      </c>
      <c r="D636" s="2" t="n">
        <v>939</v>
      </c>
      <c r="E636" s="2" t="n">
        <v>939</v>
      </c>
      <c r="F636" s="2" t="n">
        <v>1</v>
      </c>
      <c r="G636" s="2" t="n">
        <v>1</v>
      </c>
      <c r="H636" s="2" t="n">
        <v>1</v>
      </c>
      <c r="I636" s="2" t="n">
        <v>0</v>
      </c>
    </row>
    <row r="637">
      <c r="A637" s="2" t="n">
        <v>635</v>
      </c>
      <c r="B637" s="2" t="inlineStr">
        <is>
          <t>length</t>
        </is>
      </c>
      <c r="C637" s="2" t="inlineStr">
        <is>
          <t>browser chrome150</t>
        </is>
      </c>
      <c r="D637" s="2" t="n">
        <v>1763</v>
      </c>
      <c r="E637" s="2" t="n">
        <v>1763</v>
      </c>
      <c r="F637" s="2" t="n">
        <v>0</v>
      </c>
      <c r="G637" s="2" t="n">
        <v>0</v>
      </c>
      <c r="H637" s="2" t="n">
        <v>0</v>
      </c>
      <c r="I637" s="2" t="n">
        <v>0</v>
      </c>
    </row>
    <row r="638">
      <c r="A638" s="2" t="n">
        <v>636</v>
      </c>
      <c r="B638" s="2" t="inlineStr">
        <is>
          <t>insert</t>
        </is>
      </c>
      <c r="C638" s="2" t="inlineStr">
        <is>
          <t>openssl 3.5.8 default</t>
        </is>
      </c>
      <c r="D638" s="2" t="n">
        <v>1555</v>
      </c>
      <c r="E638" s="2" t="n">
        <v>1555</v>
      </c>
      <c r="F638" s="2" t="n">
        <v>1</v>
      </c>
      <c r="G638" s="2" t="n">
        <v>1</v>
      </c>
      <c r="H638" s="2" t="n">
        <v>1</v>
      </c>
      <c r="I638" s="2" t="n">
        <v>0</v>
      </c>
    </row>
    <row r="639">
      <c r="A639" s="2" t="n">
        <v>637</v>
      </c>
      <c r="B639" s="2" t="inlineStr">
        <is>
          <t>flip</t>
        </is>
      </c>
      <c r="C639" s="2" t="inlineStr">
        <is>
          <t>openssl TLS 1.2 only</t>
        </is>
      </c>
      <c r="D639" s="2" t="n">
        <v>215</v>
      </c>
      <c r="E639" s="2" t="n">
        <v>215</v>
      </c>
      <c r="F639" s="2" t="n">
        <v>1</v>
      </c>
      <c r="G639" s="2" t="n">
        <v>1</v>
      </c>
      <c r="H639" s="2" t="n">
        <v>1</v>
      </c>
      <c r="I639" s="2" t="n">
        <v>0</v>
      </c>
    </row>
    <row r="640">
      <c r="A640" s="2" t="n">
        <v>638</v>
      </c>
      <c r="B640" s="2" t="inlineStr">
        <is>
          <t>truncate</t>
        </is>
      </c>
      <c r="C640" s="2" t="inlineStr">
        <is>
          <t>browser chrome150</t>
        </is>
      </c>
      <c r="D640" s="2" t="n">
        <v>87</v>
      </c>
      <c r="E640" s="2" t="n">
        <v>87</v>
      </c>
      <c r="F640" s="2" t="n">
        <v>1</v>
      </c>
      <c r="G640" s="2" t="n">
        <v>0</v>
      </c>
      <c r="H640" s="2" t="n">
        <v>0</v>
      </c>
      <c r="I640" s="2" t="n">
        <v>0</v>
      </c>
    </row>
    <row r="641">
      <c r="A641" s="2" t="n">
        <v>639</v>
      </c>
      <c r="B641" s="2" t="inlineStr">
        <is>
          <t>length</t>
        </is>
      </c>
      <c r="C641" s="2" t="inlineStr">
        <is>
          <t>openssl 3.5.8 default</t>
        </is>
      </c>
      <c r="D641" s="2" t="n">
        <v>1548</v>
      </c>
      <c r="E641" s="2" t="n">
        <v>1548</v>
      </c>
      <c r="F641" s="2" t="n">
        <v>1</v>
      </c>
      <c r="G641" s="2" t="n">
        <v>0</v>
      </c>
      <c r="H641" s="2" t="n">
        <v>0</v>
      </c>
      <c r="I641" s="2" t="n">
        <v>0</v>
      </c>
    </row>
    <row r="642">
      <c r="A642" s="2" t="n">
        <v>640</v>
      </c>
      <c r="B642" s="2" t="inlineStr">
        <is>
          <t>insert</t>
        </is>
      </c>
      <c r="C642" s="2" t="inlineStr">
        <is>
          <t>openssl TLS 1.2 only</t>
        </is>
      </c>
      <c r="D642" s="2" t="n">
        <v>223</v>
      </c>
      <c r="E642" s="2" t="n">
        <v>223</v>
      </c>
      <c r="F642" s="2" t="n">
        <v>1</v>
      </c>
      <c r="G642" s="2" t="n">
        <v>0</v>
      </c>
      <c r="H642" s="2" t="n">
        <v>0</v>
      </c>
      <c r="I642" s="2" t="n">
        <v>0</v>
      </c>
    </row>
    <row r="643">
      <c r="A643" s="2" t="n">
        <v>641</v>
      </c>
      <c r="B643" s="2" t="inlineStr">
        <is>
          <t>flip</t>
        </is>
      </c>
      <c r="C643" s="2" t="inlineStr">
        <is>
          <t>openssl X25519 only (classical)</t>
        </is>
      </c>
      <c r="D643" s="2" t="n">
        <v>314</v>
      </c>
      <c r="E643" s="2" t="n">
        <v>314</v>
      </c>
      <c r="F643" s="2" t="n">
        <v>1</v>
      </c>
      <c r="G643" s="2" t="n">
        <v>1</v>
      </c>
      <c r="H643" s="2" t="n">
        <v>1</v>
      </c>
      <c r="I643" s="2" t="n">
        <v>0</v>
      </c>
    </row>
    <row r="644">
      <c r="A644" s="2" t="n">
        <v>642</v>
      </c>
      <c r="B644" s="2" t="inlineStr">
        <is>
          <t>truncate</t>
        </is>
      </c>
      <c r="C644" s="2" t="inlineStr">
        <is>
          <t>openssl X25519 only (classical)</t>
        </is>
      </c>
      <c r="D644" s="2" t="n">
        <v>287</v>
      </c>
      <c r="E644" s="2" t="n">
        <v>287</v>
      </c>
      <c r="F644" s="2" t="n">
        <v>1</v>
      </c>
      <c r="G644" s="2" t="n">
        <v>1</v>
      </c>
      <c r="H644" s="2" t="n">
        <v>1</v>
      </c>
      <c r="I644" s="2" t="n">
        <v>0</v>
      </c>
    </row>
    <row r="645">
      <c r="A645" s="2" t="n">
        <v>643</v>
      </c>
      <c r="B645" s="2" t="inlineStr">
        <is>
          <t>length</t>
        </is>
      </c>
      <c r="C645" s="2" t="inlineStr">
        <is>
          <t>openssl 3.5.8 default</t>
        </is>
      </c>
      <c r="D645" s="2" t="n">
        <v>1548</v>
      </c>
      <c r="E645" s="2" t="n">
        <v>1548</v>
      </c>
      <c r="F645" s="2" t="n">
        <v>0</v>
      </c>
      <c r="G645" s="2" t="n">
        <v>0</v>
      </c>
      <c r="H645" s="2" t="n">
        <v>0</v>
      </c>
      <c r="I645" s="2" t="n">
        <v>0</v>
      </c>
    </row>
    <row r="646">
      <c r="A646" s="2" t="n">
        <v>644</v>
      </c>
      <c r="B646" s="2" t="inlineStr">
        <is>
          <t>insert</t>
        </is>
      </c>
      <c r="C646" s="2" t="inlineStr">
        <is>
          <t>openssl 3.5.8 default</t>
        </is>
      </c>
      <c r="D646" s="2" t="n">
        <v>1549</v>
      </c>
      <c r="E646" s="2" t="n">
        <v>1549</v>
      </c>
      <c r="F646" s="2" t="n">
        <v>1</v>
      </c>
      <c r="G646" s="2" t="n">
        <v>1</v>
      </c>
      <c r="H646" s="2" t="n">
        <v>0</v>
      </c>
      <c r="I646" s="2" t="n">
        <v>0</v>
      </c>
    </row>
    <row r="647">
      <c r="A647" s="2" t="n">
        <v>645</v>
      </c>
      <c r="B647" s="2" t="inlineStr">
        <is>
          <t>flip</t>
        </is>
      </c>
      <c r="C647" s="2" t="inlineStr">
        <is>
          <t>openssl 3.5.8 default</t>
        </is>
      </c>
      <c r="D647" s="2" t="n">
        <v>1548</v>
      </c>
      <c r="E647" s="2" t="n">
        <v>1548</v>
      </c>
      <c r="F647" s="2" t="n">
        <v>1</v>
      </c>
      <c r="G647" s="2" t="n">
        <v>1</v>
      </c>
      <c r="H647" s="2" t="n">
        <v>1</v>
      </c>
      <c r="I647" s="2" t="n">
        <v>0</v>
      </c>
    </row>
    <row r="648">
      <c r="A648" s="2" t="n">
        <v>646</v>
      </c>
      <c r="B648" s="2" t="inlineStr">
        <is>
          <t>truncate</t>
        </is>
      </c>
      <c r="C648" s="2" t="inlineStr">
        <is>
          <t>browser firefox147</t>
        </is>
      </c>
      <c r="D648" s="2" t="n">
        <v>790</v>
      </c>
      <c r="E648" s="2" t="n">
        <v>790</v>
      </c>
      <c r="F648" s="2" t="n">
        <v>1</v>
      </c>
      <c r="G648" s="2" t="n">
        <v>1</v>
      </c>
      <c r="H648" s="2" t="n">
        <v>0</v>
      </c>
      <c r="I648" s="2" t="n">
        <v>0</v>
      </c>
    </row>
    <row r="649">
      <c r="A649" s="2" t="n">
        <v>647</v>
      </c>
      <c r="B649" s="2" t="inlineStr">
        <is>
          <t>length</t>
        </is>
      </c>
      <c r="C649" s="2" t="inlineStr">
        <is>
          <t>browser chrome150</t>
        </is>
      </c>
      <c r="D649" s="2" t="n">
        <v>1763</v>
      </c>
      <c r="E649" s="2" t="n">
        <v>1763</v>
      </c>
      <c r="F649" s="2" t="n">
        <v>1</v>
      </c>
      <c r="G649" s="2" t="n">
        <v>1</v>
      </c>
      <c r="H649" s="2" t="n">
        <v>1</v>
      </c>
      <c r="I649" s="2" t="n">
        <v>0</v>
      </c>
    </row>
    <row r="650">
      <c r="A650" s="2" t="n">
        <v>648</v>
      </c>
      <c r="B650" s="2" t="inlineStr">
        <is>
          <t>insert</t>
        </is>
      </c>
      <c r="C650" s="2" t="inlineStr">
        <is>
          <t>openssl X25519 only (classical)</t>
        </is>
      </c>
      <c r="D650" s="2" t="n">
        <v>330</v>
      </c>
      <c r="E650" s="2" t="n">
        <v>330</v>
      </c>
      <c r="F650" s="2" t="n">
        <v>1</v>
      </c>
      <c r="G650" s="2" t="n">
        <v>1</v>
      </c>
      <c r="H650" s="2" t="n">
        <v>0</v>
      </c>
      <c r="I650" s="2" t="n">
        <v>0</v>
      </c>
    </row>
    <row r="651">
      <c r="A651" s="2" t="n">
        <v>649</v>
      </c>
      <c r="B651" s="2" t="inlineStr">
        <is>
          <t>flip</t>
        </is>
      </c>
      <c r="C651" s="2" t="inlineStr">
        <is>
          <t>browser firefox147</t>
        </is>
      </c>
      <c r="D651" s="2" t="n">
        <v>1901</v>
      </c>
      <c r="E651" s="2" t="n">
        <v>1901</v>
      </c>
      <c r="F651" s="2" t="n">
        <v>1</v>
      </c>
      <c r="G651" s="2" t="n">
        <v>1</v>
      </c>
      <c r="H651" s="2" t="n">
        <v>0</v>
      </c>
      <c r="I651" s="2" t="n">
        <v>0</v>
      </c>
    </row>
    <row r="652">
      <c r="A652" s="2" t="n">
        <v>650</v>
      </c>
      <c r="B652" s="2" t="inlineStr">
        <is>
          <t>truncate</t>
        </is>
      </c>
      <c r="C652" s="2" t="inlineStr">
        <is>
          <t>openssl TLS 1.2 only</t>
        </is>
      </c>
      <c r="D652" s="2" t="n">
        <v>102</v>
      </c>
      <c r="E652" s="2" t="n">
        <v>102</v>
      </c>
      <c r="F652" s="2" t="n">
        <v>1</v>
      </c>
      <c r="G652" s="2" t="n">
        <v>1</v>
      </c>
      <c r="H652" s="2" t="n">
        <v>0</v>
      </c>
      <c r="I652" s="2" t="n">
        <v>0</v>
      </c>
    </row>
    <row r="653">
      <c r="A653" s="2" t="n">
        <v>651</v>
      </c>
      <c r="B653" s="2" t="inlineStr">
        <is>
          <t>length</t>
        </is>
      </c>
      <c r="C653" s="2" t="inlineStr">
        <is>
          <t>openssl X25519 only (classical)</t>
        </is>
      </c>
      <c r="D653" s="2" t="n">
        <v>314</v>
      </c>
      <c r="E653" s="2" t="n">
        <v>314</v>
      </c>
      <c r="F653" s="2" t="n">
        <v>1</v>
      </c>
      <c r="G653" s="2" t="n">
        <v>1</v>
      </c>
      <c r="H653" s="2" t="n">
        <v>1</v>
      </c>
      <c r="I653" s="2" t="n">
        <v>0</v>
      </c>
    </row>
    <row r="654">
      <c r="A654" s="2" t="n">
        <v>652</v>
      </c>
      <c r="B654" s="2" t="inlineStr">
        <is>
          <t>insert</t>
        </is>
      </c>
      <c r="C654" s="2" t="inlineStr">
        <is>
          <t>openssl X25519 only (classical)</t>
        </is>
      </c>
      <c r="D654" s="2" t="n">
        <v>319</v>
      </c>
      <c r="E654" s="2" t="n">
        <v>319</v>
      </c>
      <c r="F654" s="2" t="n">
        <v>1</v>
      </c>
      <c r="G654" s="2" t="n">
        <v>0</v>
      </c>
      <c r="H654" s="2" t="n">
        <v>0</v>
      </c>
      <c r="I654" s="2" t="n">
        <v>0</v>
      </c>
    </row>
    <row r="655">
      <c r="A655" s="2" t="n">
        <v>653</v>
      </c>
      <c r="B655" s="2" t="inlineStr">
        <is>
          <t>flip</t>
        </is>
      </c>
      <c r="C655" s="2" t="inlineStr">
        <is>
          <t>browser firefox147</t>
        </is>
      </c>
      <c r="D655" s="2" t="n">
        <v>1901</v>
      </c>
      <c r="E655" s="2" t="n">
        <v>1901</v>
      </c>
      <c r="F655" s="2" t="n">
        <v>1</v>
      </c>
      <c r="G655" s="2" t="n">
        <v>1</v>
      </c>
      <c r="H655" s="2" t="n">
        <v>0</v>
      </c>
      <c r="I655" s="2" t="n">
        <v>0</v>
      </c>
    </row>
    <row r="656">
      <c r="A656" s="2" t="n">
        <v>654</v>
      </c>
      <c r="B656" s="2" t="inlineStr">
        <is>
          <t>truncate</t>
        </is>
      </c>
      <c r="C656" s="2" t="inlineStr">
        <is>
          <t>browser firefox147</t>
        </is>
      </c>
      <c r="D656" s="2" t="n">
        <v>547</v>
      </c>
      <c r="E656" s="2" t="n">
        <v>547</v>
      </c>
      <c r="F656" s="2" t="n">
        <v>1</v>
      </c>
      <c r="G656" s="2" t="n">
        <v>1</v>
      </c>
      <c r="H656" s="2" t="n">
        <v>0</v>
      </c>
      <c r="I656" s="2" t="n">
        <v>0</v>
      </c>
    </row>
    <row r="657">
      <c r="A657" s="2" t="n">
        <v>655</v>
      </c>
      <c r="B657" s="2" t="inlineStr">
        <is>
          <t>length</t>
        </is>
      </c>
      <c r="C657" s="2" t="inlineStr">
        <is>
          <t>openssl 3.5.8 default</t>
        </is>
      </c>
      <c r="D657" s="2" t="n">
        <v>1548</v>
      </c>
      <c r="E657" s="2" t="n">
        <v>1548</v>
      </c>
      <c r="F657" s="2" t="n">
        <v>1</v>
      </c>
      <c r="G657" s="2" t="n">
        <v>1</v>
      </c>
      <c r="H657" s="2" t="n">
        <v>1</v>
      </c>
      <c r="I657" s="2" t="n">
        <v>0</v>
      </c>
    </row>
    <row r="658">
      <c r="A658" s="2" t="n">
        <v>656</v>
      </c>
      <c r="B658" s="2" t="inlineStr">
        <is>
          <t>insert</t>
        </is>
      </c>
      <c r="C658" s="2" t="inlineStr">
        <is>
          <t>openssl X25519 only (classical)</t>
        </is>
      </c>
      <c r="D658" s="2" t="n">
        <v>330</v>
      </c>
      <c r="E658" s="2" t="n">
        <v>330</v>
      </c>
      <c r="F658" s="2" t="n">
        <v>1</v>
      </c>
      <c r="G658" s="2" t="n">
        <v>1</v>
      </c>
      <c r="H658" s="2" t="n">
        <v>0</v>
      </c>
      <c r="I658" s="2" t="n">
        <v>0</v>
      </c>
    </row>
    <row r="659">
      <c r="A659" s="2" t="n">
        <v>657</v>
      </c>
      <c r="B659" s="2" t="inlineStr">
        <is>
          <t>flip</t>
        </is>
      </c>
      <c r="C659" s="2" t="inlineStr">
        <is>
          <t>browser chrome150</t>
        </is>
      </c>
      <c r="D659" s="2" t="n">
        <v>1763</v>
      </c>
      <c r="E659" s="2" t="n">
        <v>1763</v>
      </c>
      <c r="F659" s="2" t="n">
        <v>1</v>
      </c>
      <c r="G659" s="2" t="n">
        <v>1</v>
      </c>
      <c r="H659" s="2" t="n">
        <v>1</v>
      </c>
      <c r="I659" s="2" t="n">
        <v>0</v>
      </c>
    </row>
    <row r="660">
      <c r="A660" s="2" t="n">
        <v>658</v>
      </c>
      <c r="B660" s="2" t="inlineStr">
        <is>
          <t>truncate</t>
        </is>
      </c>
      <c r="C660" s="2" t="inlineStr">
        <is>
          <t>browser chrome150</t>
        </is>
      </c>
      <c r="D660" s="2" t="n">
        <v>359</v>
      </c>
      <c r="E660" s="2" t="n">
        <v>359</v>
      </c>
      <c r="F660" s="2" t="n">
        <v>1</v>
      </c>
      <c r="G660" s="2" t="n">
        <v>1</v>
      </c>
      <c r="H660" s="2" t="n">
        <v>1</v>
      </c>
      <c r="I660" s="2" t="n">
        <v>0</v>
      </c>
    </row>
    <row r="661">
      <c r="A661" s="2" t="n">
        <v>659</v>
      </c>
      <c r="B661" s="2" t="inlineStr">
        <is>
          <t>length</t>
        </is>
      </c>
      <c r="C661" s="2" t="inlineStr">
        <is>
          <t>openssl 3.5.8 default</t>
        </is>
      </c>
      <c r="D661" s="2" t="n">
        <v>1548</v>
      </c>
      <c r="E661" s="2" t="n">
        <v>1548</v>
      </c>
      <c r="F661" s="2" t="n">
        <v>1</v>
      </c>
      <c r="G661" s="2" t="n">
        <v>0</v>
      </c>
      <c r="H661" s="2" t="n">
        <v>0</v>
      </c>
      <c r="I661" s="2" t="n">
        <v>0</v>
      </c>
    </row>
    <row r="662">
      <c r="A662" s="2" t="n">
        <v>660</v>
      </c>
      <c r="B662" s="2" t="inlineStr">
        <is>
          <t>insert</t>
        </is>
      </c>
      <c r="C662" s="2" t="inlineStr">
        <is>
          <t>browser chrome150</t>
        </is>
      </c>
      <c r="D662" s="2" t="n">
        <v>1766</v>
      </c>
      <c r="E662" s="2" t="n">
        <v>1766</v>
      </c>
      <c r="F662" s="2" t="n">
        <v>1</v>
      </c>
      <c r="G662" s="2" t="n">
        <v>1</v>
      </c>
      <c r="H662" s="2" t="n">
        <v>1</v>
      </c>
      <c r="I662" s="2" t="n">
        <v>0</v>
      </c>
    </row>
    <row r="663">
      <c r="A663" s="2" t="n">
        <v>661</v>
      </c>
      <c r="B663" s="2" t="inlineStr">
        <is>
          <t>flip</t>
        </is>
      </c>
      <c r="C663" s="2" t="inlineStr">
        <is>
          <t>openssl TLS 1.2 only</t>
        </is>
      </c>
      <c r="D663" s="2" t="n">
        <v>215</v>
      </c>
      <c r="E663" s="2" t="n">
        <v>215</v>
      </c>
      <c r="F663" s="2" t="n">
        <v>1</v>
      </c>
      <c r="G663" s="2" t="n">
        <v>1</v>
      </c>
      <c r="H663" s="2" t="n">
        <v>1</v>
      </c>
      <c r="I663" s="2" t="n">
        <v>0</v>
      </c>
    </row>
    <row r="664">
      <c r="A664" s="2" t="n">
        <v>662</v>
      </c>
      <c r="B664" s="2" t="inlineStr">
        <is>
          <t>truncate</t>
        </is>
      </c>
      <c r="C664" s="2" t="inlineStr">
        <is>
          <t>openssl 3.5.8 default</t>
        </is>
      </c>
      <c r="D664" s="2" t="n">
        <v>773</v>
      </c>
      <c r="E664" s="2" t="n">
        <v>773</v>
      </c>
      <c r="F664" s="2" t="n">
        <v>1</v>
      </c>
      <c r="G664" s="2" t="n">
        <v>1</v>
      </c>
      <c r="H664" s="2" t="n">
        <v>1</v>
      </c>
      <c r="I664" s="2" t="n">
        <v>0</v>
      </c>
    </row>
    <row r="665">
      <c r="A665" s="2" t="n">
        <v>663</v>
      </c>
      <c r="B665" s="2" t="inlineStr">
        <is>
          <t>length</t>
        </is>
      </c>
      <c r="C665" s="2" t="inlineStr">
        <is>
          <t>browser firefox147</t>
        </is>
      </c>
      <c r="D665" s="2" t="n">
        <v>1901</v>
      </c>
      <c r="E665" s="2" t="n">
        <v>1901</v>
      </c>
      <c r="F665" s="2" t="n">
        <v>0</v>
      </c>
      <c r="G665" s="2" t="n">
        <v>0</v>
      </c>
      <c r="H665" s="2" t="n">
        <v>0</v>
      </c>
      <c r="I665" s="2" t="n">
        <v>0</v>
      </c>
    </row>
    <row r="666">
      <c r="A666" s="2" t="n">
        <v>664</v>
      </c>
      <c r="B666" s="2" t="inlineStr">
        <is>
          <t>insert</t>
        </is>
      </c>
      <c r="C666" s="2" t="inlineStr">
        <is>
          <t>openssl X25519 only (classical)</t>
        </is>
      </c>
      <c r="D666" s="2" t="n">
        <v>330</v>
      </c>
      <c r="E666" s="2" t="n">
        <v>330</v>
      </c>
      <c r="F666" s="2" t="n">
        <v>1</v>
      </c>
      <c r="G666" s="2" t="n">
        <v>1</v>
      </c>
      <c r="H666" s="2" t="n">
        <v>1</v>
      </c>
      <c r="I666" s="2" t="n">
        <v>0</v>
      </c>
    </row>
    <row r="667">
      <c r="A667" s="2" t="n">
        <v>665</v>
      </c>
      <c r="B667" s="2" t="inlineStr">
        <is>
          <t>flip</t>
        </is>
      </c>
      <c r="C667" s="2" t="inlineStr">
        <is>
          <t>openssl X25519 only (classical)</t>
        </is>
      </c>
      <c r="D667" s="2" t="n">
        <v>314</v>
      </c>
      <c r="E667" s="2" t="n">
        <v>314</v>
      </c>
      <c r="F667" s="2" t="n">
        <v>1</v>
      </c>
      <c r="G667" s="2" t="n">
        <v>1</v>
      </c>
      <c r="H667" s="2" t="n">
        <v>1</v>
      </c>
      <c r="I667" s="2" t="n">
        <v>0</v>
      </c>
    </row>
    <row r="668">
      <c r="A668" s="2" t="n">
        <v>666</v>
      </c>
      <c r="B668" s="2" t="inlineStr">
        <is>
          <t>truncate</t>
        </is>
      </c>
      <c r="C668" s="2" t="inlineStr">
        <is>
          <t>browser firefox147</t>
        </is>
      </c>
      <c r="D668" s="2" t="n">
        <v>1074</v>
      </c>
      <c r="E668" s="2" t="n">
        <v>1074</v>
      </c>
      <c r="F668" s="2" t="n">
        <v>1</v>
      </c>
      <c r="G668" s="2" t="n">
        <v>1</v>
      </c>
      <c r="H668" s="2" t="n">
        <v>0</v>
      </c>
      <c r="I668" s="2" t="n">
        <v>0</v>
      </c>
    </row>
    <row r="669">
      <c r="A669" s="2" t="n">
        <v>667</v>
      </c>
      <c r="B669" s="2" t="inlineStr">
        <is>
          <t>length</t>
        </is>
      </c>
      <c r="C669" s="2" t="inlineStr">
        <is>
          <t>browser firefox147</t>
        </is>
      </c>
      <c r="D669" s="2" t="n">
        <v>1901</v>
      </c>
      <c r="E669" s="2" t="n">
        <v>1901</v>
      </c>
      <c r="F669" s="2" t="n">
        <v>1</v>
      </c>
      <c r="G669" s="2" t="n">
        <v>1</v>
      </c>
      <c r="H669" s="2" t="n">
        <v>0</v>
      </c>
      <c r="I669" s="2" t="n">
        <v>0</v>
      </c>
    </row>
    <row r="670">
      <c r="A670" s="2" t="n">
        <v>668</v>
      </c>
      <c r="B670" s="2" t="inlineStr">
        <is>
          <t>insert</t>
        </is>
      </c>
      <c r="C670" s="2" t="inlineStr">
        <is>
          <t>openssl TLS 1.2 only</t>
        </is>
      </c>
      <c r="D670" s="2" t="n">
        <v>230</v>
      </c>
      <c r="E670" s="2" t="n">
        <v>230</v>
      </c>
      <c r="F670" s="2" t="n">
        <v>1</v>
      </c>
      <c r="G670" s="2" t="n">
        <v>1</v>
      </c>
      <c r="H670" s="2" t="n">
        <v>1</v>
      </c>
      <c r="I670" s="2" t="n">
        <v>0</v>
      </c>
    </row>
    <row r="671">
      <c r="A671" s="2" t="n">
        <v>669</v>
      </c>
      <c r="B671" s="2" t="inlineStr">
        <is>
          <t>flip</t>
        </is>
      </c>
      <c r="C671" s="2" t="inlineStr">
        <is>
          <t>browser chrome150</t>
        </is>
      </c>
      <c r="D671" s="2" t="n">
        <v>1763</v>
      </c>
      <c r="E671" s="2" t="n">
        <v>1763</v>
      </c>
      <c r="F671" s="2" t="n">
        <v>1</v>
      </c>
      <c r="G671" s="2" t="n">
        <v>1</v>
      </c>
      <c r="H671" s="2" t="n">
        <v>1</v>
      </c>
      <c r="I671" s="2" t="n">
        <v>0</v>
      </c>
    </row>
    <row r="672">
      <c r="A672" s="2" t="n">
        <v>670</v>
      </c>
      <c r="B672" s="2" t="inlineStr">
        <is>
          <t>truncate</t>
        </is>
      </c>
      <c r="C672" s="2" t="inlineStr">
        <is>
          <t>openssl X25519 only (classical)</t>
        </is>
      </c>
      <c r="D672" s="2" t="n">
        <v>147</v>
      </c>
      <c r="E672" s="2" t="n">
        <v>147</v>
      </c>
      <c r="F672" s="2" t="n">
        <v>1</v>
      </c>
      <c r="G672" s="2" t="n">
        <v>1</v>
      </c>
      <c r="H672" s="2" t="n">
        <v>0</v>
      </c>
      <c r="I672" s="2" t="n">
        <v>0</v>
      </c>
    </row>
    <row r="673">
      <c r="A673" s="2" t="n">
        <v>671</v>
      </c>
      <c r="B673" s="2" t="inlineStr">
        <is>
          <t>length</t>
        </is>
      </c>
      <c r="C673" s="2" t="inlineStr">
        <is>
          <t>openssl TLS 1.2 only</t>
        </is>
      </c>
      <c r="D673" s="2" t="n">
        <v>215</v>
      </c>
      <c r="E673" s="2" t="n">
        <v>215</v>
      </c>
      <c r="F673" s="2" t="n">
        <v>1</v>
      </c>
      <c r="G673" s="2" t="n">
        <v>1</v>
      </c>
      <c r="H673" s="2" t="n">
        <v>1</v>
      </c>
      <c r="I673" s="2" t="n">
        <v>0</v>
      </c>
    </row>
    <row r="674">
      <c r="A674" s="2" t="n">
        <v>672</v>
      </c>
      <c r="B674" s="2" t="inlineStr">
        <is>
          <t>insert</t>
        </is>
      </c>
      <c r="C674" s="2" t="inlineStr">
        <is>
          <t>browser firefox147</t>
        </is>
      </c>
      <c r="D674" s="2" t="n">
        <v>1907</v>
      </c>
      <c r="E674" s="2" t="n">
        <v>1907</v>
      </c>
      <c r="F674" s="2" t="n">
        <v>1</v>
      </c>
      <c r="G674" s="2" t="n">
        <v>1</v>
      </c>
      <c r="H674" s="2" t="n">
        <v>0</v>
      </c>
      <c r="I674" s="2" t="n">
        <v>0</v>
      </c>
    </row>
    <row r="675">
      <c r="A675" s="2" t="n">
        <v>673</v>
      </c>
      <c r="B675" s="2" t="inlineStr">
        <is>
          <t>flip</t>
        </is>
      </c>
      <c r="C675" s="2" t="inlineStr">
        <is>
          <t>openssl X25519 only (classical)</t>
        </is>
      </c>
      <c r="D675" s="2" t="n">
        <v>314</v>
      </c>
      <c r="E675" s="2" t="n">
        <v>314</v>
      </c>
      <c r="F675" s="2" t="n">
        <v>1</v>
      </c>
      <c r="G675" s="2" t="n">
        <v>1</v>
      </c>
      <c r="H675" s="2" t="n">
        <v>1</v>
      </c>
      <c r="I675" s="2" t="n">
        <v>0</v>
      </c>
    </row>
    <row r="676">
      <c r="A676" s="2" t="n">
        <v>674</v>
      </c>
      <c r="B676" s="2" t="inlineStr">
        <is>
          <t>truncate</t>
        </is>
      </c>
      <c r="C676" s="2" t="inlineStr">
        <is>
          <t>browser chrome150</t>
        </is>
      </c>
      <c r="D676" s="2" t="n">
        <v>1362</v>
      </c>
      <c r="E676" s="2" t="n">
        <v>1362</v>
      </c>
      <c r="F676" s="2" t="n">
        <v>1</v>
      </c>
      <c r="G676" s="2" t="n">
        <v>1</v>
      </c>
      <c r="H676" s="2" t="n">
        <v>1</v>
      </c>
      <c r="I676" s="2" t="n">
        <v>0</v>
      </c>
    </row>
    <row r="677">
      <c r="A677" s="2" t="n">
        <v>675</v>
      </c>
      <c r="B677" s="2" t="inlineStr">
        <is>
          <t>length</t>
        </is>
      </c>
      <c r="C677" s="2" t="inlineStr">
        <is>
          <t>openssl X25519 only (classical)</t>
        </is>
      </c>
      <c r="D677" s="2" t="n">
        <v>314</v>
      </c>
      <c r="E677" s="2" t="n">
        <v>314</v>
      </c>
      <c r="F677" s="2" t="n">
        <v>1</v>
      </c>
      <c r="G677" s="2" t="n">
        <v>0</v>
      </c>
      <c r="H677" s="2" t="n">
        <v>0</v>
      </c>
      <c r="I677" s="2" t="n">
        <v>0</v>
      </c>
    </row>
    <row r="678">
      <c r="A678" s="2" t="n">
        <v>676</v>
      </c>
      <c r="B678" s="2" t="inlineStr">
        <is>
          <t>insert</t>
        </is>
      </c>
      <c r="C678" s="2" t="inlineStr">
        <is>
          <t>openssl X25519 only (classical)</t>
        </is>
      </c>
      <c r="D678" s="2" t="n">
        <v>315</v>
      </c>
      <c r="E678" s="2" t="n">
        <v>315</v>
      </c>
      <c r="F678" s="2" t="n">
        <v>1</v>
      </c>
      <c r="G678" s="2" t="n">
        <v>0</v>
      </c>
      <c r="H678" s="2" t="n">
        <v>0</v>
      </c>
      <c r="I678" s="2" t="n">
        <v>0</v>
      </c>
    </row>
    <row r="679">
      <c r="A679" s="2" t="n">
        <v>677</v>
      </c>
      <c r="B679" s="2" t="inlineStr">
        <is>
          <t>flip</t>
        </is>
      </c>
      <c r="C679" s="2" t="inlineStr">
        <is>
          <t>openssl X25519 only (classical)</t>
        </is>
      </c>
      <c r="D679" s="2" t="n">
        <v>314</v>
      </c>
      <c r="E679" s="2" t="n">
        <v>314</v>
      </c>
      <c r="F679" s="2" t="n">
        <v>1</v>
      </c>
      <c r="G679" s="2" t="n">
        <v>1</v>
      </c>
      <c r="H679" s="2" t="n">
        <v>1</v>
      </c>
      <c r="I679" s="2" t="n">
        <v>0</v>
      </c>
    </row>
    <row r="680">
      <c r="A680" s="2" t="n">
        <v>678</v>
      </c>
      <c r="B680" s="2" t="inlineStr">
        <is>
          <t>truncate</t>
        </is>
      </c>
      <c r="C680" s="2" t="inlineStr">
        <is>
          <t>openssl 3.5.8 default</t>
        </is>
      </c>
      <c r="D680" s="2" t="n">
        <v>709</v>
      </c>
      <c r="E680" s="2" t="n">
        <v>709</v>
      </c>
      <c r="F680" s="2" t="n">
        <v>1</v>
      </c>
      <c r="G680" s="2" t="n">
        <v>1</v>
      </c>
      <c r="H680" s="2" t="n">
        <v>1</v>
      </c>
      <c r="I680" s="2" t="n">
        <v>0</v>
      </c>
    </row>
    <row r="681">
      <c r="A681" s="2" t="n">
        <v>679</v>
      </c>
      <c r="B681" s="2" t="inlineStr">
        <is>
          <t>length</t>
        </is>
      </c>
      <c r="C681" s="2" t="inlineStr">
        <is>
          <t>openssl X25519 only (classical)</t>
        </is>
      </c>
      <c r="D681" s="2" t="n">
        <v>314</v>
      </c>
      <c r="E681" s="2" t="n">
        <v>314</v>
      </c>
      <c r="F681" s="2" t="n">
        <v>1</v>
      </c>
      <c r="G681" s="2" t="n">
        <v>1</v>
      </c>
      <c r="H681" s="2" t="n">
        <v>1</v>
      </c>
      <c r="I681" s="2" t="n">
        <v>0</v>
      </c>
    </row>
    <row r="682">
      <c r="A682" s="2" t="n">
        <v>680</v>
      </c>
      <c r="B682" s="2" t="inlineStr">
        <is>
          <t>insert</t>
        </is>
      </c>
      <c r="C682" s="2" t="inlineStr">
        <is>
          <t>openssl 3.5.8 default</t>
        </is>
      </c>
      <c r="D682" s="2" t="n">
        <v>1556</v>
      </c>
      <c r="E682" s="2" t="n">
        <v>1556</v>
      </c>
      <c r="F682" s="2" t="n">
        <v>1</v>
      </c>
      <c r="G682" s="2" t="n">
        <v>1</v>
      </c>
      <c r="H682" s="2" t="n">
        <v>1</v>
      </c>
      <c r="I682" s="2" t="n">
        <v>0</v>
      </c>
    </row>
    <row r="683">
      <c r="A683" s="2" t="n">
        <v>681</v>
      </c>
      <c r="B683" s="2" t="inlineStr">
        <is>
          <t>flip</t>
        </is>
      </c>
      <c r="C683" s="2" t="inlineStr">
        <is>
          <t>openssl X25519 only (classical)</t>
        </is>
      </c>
      <c r="D683" s="2" t="n">
        <v>314</v>
      </c>
      <c r="E683" s="2" t="n">
        <v>314</v>
      </c>
      <c r="F683" s="2" t="n">
        <v>1</v>
      </c>
      <c r="G683" s="2" t="n">
        <v>1</v>
      </c>
      <c r="H683" s="2" t="n">
        <v>1</v>
      </c>
      <c r="I683" s="2" t="n">
        <v>0</v>
      </c>
    </row>
    <row r="684">
      <c r="A684" s="2" t="n">
        <v>682</v>
      </c>
      <c r="B684" s="2" t="inlineStr">
        <is>
          <t>truncate</t>
        </is>
      </c>
      <c r="C684" s="2" t="inlineStr">
        <is>
          <t>openssl X25519 only (classical)</t>
        </is>
      </c>
      <c r="D684" s="2" t="n">
        <v>217</v>
      </c>
      <c r="E684" s="2" t="n">
        <v>217</v>
      </c>
      <c r="F684" s="2" t="n">
        <v>1</v>
      </c>
      <c r="G684" s="2" t="n">
        <v>1</v>
      </c>
      <c r="H684" s="2" t="n">
        <v>0</v>
      </c>
      <c r="I684" s="2" t="n">
        <v>0</v>
      </c>
    </row>
    <row r="685">
      <c r="A685" s="2" t="n">
        <v>683</v>
      </c>
      <c r="B685" s="2" t="inlineStr">
        <is>
          <t>length</t>
        </is>
      </c>
      <c r="C685" s="2" t="inlineStr">
        <is>
          <t>openssl 3.5.8 default</t>
        </is>
      </c>
      <c r="D685" s="2" t="n">
        <v>1548</v>
      </c>
      <c r="E685" s="2" t="n">
        <v>1548</v>
      </c>
      <c r="F685" s="2" t="n">
        <v>1</v>
      </c>
      <c r="G685" s="2" t="n">
        <v>1</v>
      </c>
      <c r="H685" s="2" t="n">
        <v>1</v>
      </c>
      <c r="I685" s="2" t="n">
        <v>0</v>
      </c>
    </row>
    <row r="686">
      <c r="A686" s="2" t="n">
        <v>684</v>
      </c>
      <c r="B686" s="2" t="inlineStr">
        <is>
          <t>insert</t>
        </is>
      </c>
      <c r="C686" s="2" t="inlineStr">
        <is>
          <t>openssl X25519 only (classical)</t>
        </is>
      </c>
      <c r="D686" s="2" t="n">
        <v>327</v>
      </c>
      <c r="E686" s="2" t="n">
        <v>327</v>
      </c>
      <c r="F686" s="2" t="n">
        <v>1</v>
      </c>
      <c r="G686" s="2" t="n">
        <v>1</v>
      </c>
      <c r="H686" s="2" t="n">
        <v>1</v>
      </c>
      <c r="I686" s="2" t="n">
        <v>0</v>
      </c>
    </row>
    <row r="687">
      <c r="A687" s="2" t="n">
        <v>685</v>
      </c>
      <c r="B687" s="2" t="inlineStr">
        <is>
          <t>flip</t>
        </is>
      </c>
      <c r="C687" s="2" t="inlineStr">
        <is>
          <t>openssl TLS 1.2 only</t>
        </is>
      </c>
      <c r="D687" s="2" t="n">
        <v>215</v>
      </c>
      <c r="E687" s="2" t="n">
        <v>215</v>
      </c>
      <c r="F687" s="2" t="n">
        <v>1</v>
      </c>
      <c r="G687" s="2" t="n">
        <v>1</v>
      </c>
      <c r="H687" s="2" t="n">
        <v>1</v>
      </c>
      <c r="I687" s="2" t="n">
        <v>0</v>
      </c>
    </row>
    <row r="688">
      <c r="A688" s="2" t="n">
        <v>686</v>
      </c>
      <c r="B688" s="2" t="inlineStr">
        <is>
          <t>truncate</t>
        </is>
      </c>
      <c r="C688" s="2" t="inlineStr">
        <is>
          <t>browser firefox147</t>
        </is>
      </c>
      <c r="D688" s="2" t="n">
        <v>1493</v>
      </c>
      <c r="E688" s="2" t="n">
        <v>1493</v>
      </c>
      <c r="F688" s="2" t="n">
        <v>1</v>
      </c>
      <c r="G688" s="2" t="n">
        <v>1</v>
      </c>
      <c r="H688" s="2" t="n">
        <v>0</v>
      </c>
      <c r="I688" s="2" t="n">
        <v>0</v>
      </c>
    </row>
    <row r="689">
      <c r="A689" s="2" t="n">
        <v>687</v>
      </c>
      <c r="B689" s="2" t="inlineStr">
        <is>
          <t>length</t>
        </is>
      </c>
      <c r="C689" s="2" t="inlineStr">
        <is>
          <t>browser firefox147</t>
        </is>
      </c>
      <c r="D689" s="2" t="n">
        <v>1901</v>
      </c>
      <c r="E689" s="2" t="n">
        <v>1901</v>
      </c>
      <c r="F689" s="2" t="n">
        <v>1</v>
      </c>
      <c r="G689" s="2" t="n">
        <v>0</v>
      </c>
      <c r="H689" s="2" t="n">
        <v>0</v>
      </c>
      <c r="I689" s="2" t="n">
        <v>0</v>
      </c>
    </row>
    <row r="690">
      <c r="A690" s="2" t="n">
        <v>688</v>
      </c>
      <c r="B690" s="2" t="inlineStr">
        <is>
          <t>insert</t>
        </is>
      </c>
      <c r="C690" s="2" t="inlineStr">
        <is>
          <t>browser chrome150</t>
        </is>
      </c>
      <c r="D690" s="2" t="n">
        <v>1775</v>
      </c>
      <c r="E690" s="2" t="n">
        <v>1775</v>
      </c>
      <c r="F690" s="2" t="n">
        <v>1</v>
      </c>
      <c r="G690" s="2" t="n">
        <v>1</v>
      </c>
      <c r="H690" s="2" t="n">
        <v>1</v>
      </c>
      <c r="I690" s="2" t="n">
        <v>0</v>
      </c>
    </row>
    <row r="691">
      <c r="A691" s="2" t="n">
        <v>689</v>
      </c>
      <c r="B691" s="2" t="inlineStr">
        <is>
          <t>flip</t>
        </is>
      </c>
      <c r="C691" s="2" t="inlineStr">
        <is>
          <t>browser chrome150</t>
        </is>
      </c>
      <c r="D691" s="2" t="n">
        <v>1763</v>
      </c>
      <c r="E691" s="2" t="n">
        <v>1763</v>
      </c>
      <c r="F691" s="2" t="n">
        <v>1</v>
      </c>
      <c r="G691" s="2" t="n">
        <v>1</v>
      </c>
      <c r="H691" s="2" t="n">
        <v>1</v>
      </c>
      <c r="I691" s="2" t="n">
        <v>0</v>
      </c>
    </row>
    <row r="692">
      <c r="A692" s="2" t="n">
        <v>690</v>
      </c>
      <c r="B692" s="2" t="inlineStr">
        <is>
          <t>truncate</t>
        </is>
      </c>
      <c r="C692" s="2" t="inlineStr">
        <is>
          <t>openssl X25519 only (classical)</t>
        </is>
      </c>
      <c r="D692" s="2" t="n">
        <v>135</v>
      </c>
      <c r="E692" s="2" t="n">
        <v>135</v>
      </c>
      <c r="F692" s="2" t="n">
        <v>1</v>
      </c>
      <c r="G692" s="2" t="n">
        <v>0</v>
      </c>
      <c r="H692" s="2" t="n">
        <v>0</v>
      </c>
      <c r="I692" s="2" t="n">
        <v>0</v>
      </c>
    </row>
    <row r="693">
      <c r="A693" s="2" t="n">
        <v>691</v>
      </c>
      <c r="B693" s="2" t="inlineStr">
        <is>
          <t>length</t>
        </is>
      </c>
      <c r="C693" s="2" t="inlineStr">
        <is>
          <t>browser chrome150</t>
        </is>
      </c>
      <c r="D693" s="2" t="n">
        <v>1763</v>
      </c>
      <c r="E693" s="2" t="n">
        <v>1763</v>
      </c>
      <c r="F693" s="2" t="n">
        <v>1</v>
      </c>
      <c r="G693" s="2" t="n">
        <v>0</v>
      </c>
      <c r="H693" s="2" t="n">
        <v>0</v>
      </c>
      <c r="I693" s="2" t="n">
        <v>0</v>
      </c>
    </row>
    <row r="694">
      <c r="A694" s="2" t="n">
        <v>692</v>
      </c>
      <c r="B694" s="2" t="inlineStr">
        <is>
          <t>insert</t>
        </is>
      </c>
      <c r="C694" s="2" t="inlineStr">
        <is>
          <t>openssl X25519 only (classical)</t>
        </is>
      </c>
      <c r="D694" s="2" t="n">
        <v>330</v>
      </c>
      <c r="E694" s="2" t="n">
        <v>330</v>
      </c>
      <c r="F694" s="2" t="n">
        <v>1</v>
      </c>
      <c r="G694" s="2" t="n">
        <v>1</v>
      </c>
      <c r="H694" s="2" t="n">
        <v>0</v>
      </c>
      <c r="I694" s="2" t="n">
        <v>0</v>
      </c>
    </row>
    <row r="695">
      <c r="A695" s="2" t="n">
        <v>693</v>
      </c>
      <c r="B695" s="2" t="inlineStr">
        <is>
          <t>flip</t>
        </is>
      </c>
      <c r="C695" s="2" t="inlineStr">
        <is>
          <t>browser chrome150</t>
        </is>
      </c>
      <c r="D695" s="2" t="n">
        <v>1763</v>
      </c>
      <c r="E695" s="2" t="n">
        <v>1763</v>
      </c>
      <c r="F695" s="2" t="n">
        <v>1</v>
      </c>
      <c r="G695" s="2" t="n">
        <v>1</v>
      </c>
      <c r="H695" s="2" t="n">
        <v>1</v>
      </c>
      <c r="I695" s="2" t="n">
        <v>0</v>
      </c>
    </row>
    <row r="696">
      <c r="A696" s="2" t="n">
        <v>694</v>
      </c>
      <c r="B696" s="2" t="inlineStr">
        <is>
          <t>truncate</t>
        </is>
      </c>
      <c r="C696" s="2" t="inlineStr">
        <is>
          <t>openssl X25519 only (classical)</t>
        </is>
      </c>
      <c r="D696" s="2" t="n">
        <v>240</v>
      </c>
      <c r="E696" s="2" t="n">
        <v>240</v>
      </c>
      <c r="F696" s="2" t="n">
        <v>1</v>
      </c>
      <c r="G696" s="2" t="n">
        <v>1</v>
      </c>
      <c r="H696" s="2" t="n">
        <v>0</v>
      </c>
      <c r="I696" s="2" t="n">
        <v>0</v>
      </c>
    </row>
    <row r="697">
      <c r="A697" s="2" t="n">
        <v>695</v>
      </c>
      <c r="B697" s="2" t="inlineStr">
        <is>
          <t>length</t>
        </is>
      </c>
      <c r="C697" s="2" t="inlineStr">
        <is>
          <t>browser firefox147</t>
        </is>
      </c>
      <c r="D697" s="2" t="n">
        <v>1901</v>
      </c>
      <c r="E697" s="2" t="n">
        <v>1901</v>
      </c>
      <c r="F697" s="2" t="n">
        <v>1</v>
      </c>
      <c r="G697" s="2" t="n">
        <v>1</v>
      </c>
      <c r="H697" s="2" t="n">
        <v>0</v>
      </c>
      <c r="I697" s="2" t="n">
        <v>0</v>
      </c>
    </row>
    <row r="698">
      <c r="A698" s="2" t="n">
        <v>696</v>
      </c>
      <c r="B698" s="2" t="inlineStr">
        <is>
          <t>insert</t>
        </is>
      </c>
      <c r="C698" s="2" t="inlineStr">
        <is>
          <t>openssl X25519 only (classical)</t>
        </is>
      </c>
      <c r="D698" s="2" t="n">
        <v>330</v>
      </c>
      <c r="E698" s="2" t="n">
        <v>330</v>
      </c>
      <c r="F698" s="2" t="n">
        <v>1</v>
      </c>
      <c r="G698" s="2" t="n">
        <v>1</v>
      </c>
      <c r="H698" s="2" t="n">
        <v>1</v>
      </c>
      <c r="I698" s="2" t="n">
        <v>0</v>
      </c>
    </row>
    <row r="699">
      <c r="A699" s="2" t="n">
        <v>697</v>
      </c>
      <c r="B699" s="2" t="inlineStr">
        <is>
          <t>flip</t>
        </is>
      </c>
      <c r="C699" s="2" t="inlineStr">
        <is>
          <t>openssl TLS 1.2 only</t>
        </is>
      </c>
      <c r="D699" s="2" t="n">
        <v>215</v>
      </c>
      <c r="E699" s="2" t="n">
        <v>215</v>
      </c>
      <c r="F699" s="2" t="n">
        <v>1</v>
      </c>
      <c r="G699" s="2" t="n">
        <v>1</v>
      </c>
      <c r="H699" s="2" t="n">
        <v>1</v>
      </c>
      <c r="I699" s="2" t="n">
        <v>0</v>
      </c>
    </row>
    <row r="700">
      <c r="A700" s="2" t="n">
        <v>698</v>
      </c>
      <c r="B700" s="2" t="inlineStr">
        <is>
          <t>truncate</t>
        </is>
      </c>
      <c r="C700" s="2" t="inlineStr">
        <is>
          <t>browser chrome150</t>
        </is>
      </c>
      <c r="D700" s="2" t="n">
        <v>884</v>
      </c>
      <c r="E700" s="2" t="n">
        <v>884</v>
      </c>
      <c r="F700" s="2" t="n">
        <v>1</v>
      </c>
      <c r="G700" s="2" t="n">
        <v>1</v>
      </c>
      <c r="H700" s="2" t="n">
        <v>1</v>
      </c>
      <c r="I700" s="2" t="n">
        <v>0</v>
      </c>
    </row>
    <row r="701">
      <c r="A701" s="2" t="n">
        <v>699</v>
      </c>
      <c r="B701" s="2" t="inlineStr">
        <is>
          <t>length</t>
        </is>
      </c>
      <c r="C701" s="2" t="inlineStr">
        <is>
          <t>browser chrome150</t>
        </is>
      </c>
      <c r="D701" s="2" t="n">
        <v>1763</v>
      </c>
      <c r="E701" s="2" t="n">
        <v>1763</v>
      </c>
      <c r="F701" s="2" t="n">
        <v>1</v>
      </c>
      <c r="G701" s="2" t="n">
        <v>1</v>
      </c>
      <c r="H701" s="2" t="n">
        <v>1</v>
      </c>
      <c r="I701" s="2" t="n">
        <v>0</v>
      </c>
    </row>
    <row r="702">
      <c r="A702" s="2" t="n">
        <v>700</v>
      </c>
      <c r="B702" s="2" t="inlineStr">
        <is>
          <t>insert</t>
        </is>
      </c>
      <c r="C702" s="2" t="inlineStr">
        <is>
          <t>openssl X25519 only (classical)</t>
        </is>
      </c>
      <c r="D702" s="2" t="n">
        <v>326</v>
      </c>
      <c r="E702" s="2" t="n">
        <v>326</v>
      </c>
      <c r="F702" s="2" t="n">
        <v>1</v>
      </c>
      <c r="G702" s="2" t="n">
        <v>1</v>
      </c>
      <c r="H702" s="2" t="n">
        <v>1</v>
      </c>
      <c r="I702" s="2" t="n">
        <v>0</v>
      </c>
    </row>
    <row r="703">
      <c r="A703" s="2" t="n">
        <v>701</v>
      </c>
      <c r="B703" s="2" t="inlineStr">
        <is>
          <t>flip</t>
        </is>
      </c>
      <c r="C703" s="2" t="inlineStr">
        <is>
          <t>browser firefox147</t>
        </is>
      </c>
      <c r="D703" s="2" t="n">
        <v>1901</v>
      </c>
      <c r="E703" s="2" t="n">
        <v>1901</v>
      </c>
      <c r="F703" s="2" t="n">
        <v>1</v>
      </c>
      <c r="G703" s="2" t="n">
        <v>1</v>
      </c>
      <c r="H703" s="2" t="n">
        <v>0</v>
      </c>
      <c r="I703" s="2" t="n">
        <v>0</v>
      </c>
    </row>
    <row r="704">
      <c r="A704" s="2" t="n">
        <v>702</v>
      </c>
      <c r="B704" s="2" t="inlineStr">
        <is>
          <t>truncate</t>
        </is>
      </c>
      <c r="C704" s="2" t="inlineStr">
        <is>
          <t>browser chrome150</t>
        </is>
      </c>
      <c r="D704" s="2" t="n">
        <v>1443</v>
      </c>
      <c r="E704" s="2" t="n">
        <v>1443</v>
      </c>
      <c r="F704" s="2" t="n">
        <v>1</v>
      </c>
      <c r="G704" s="2" t="n">
        <v>1</v>
      </c>
      <c r="H704" s="2" t="n">
        <v>1</v>
      </c>
      <c r="I704" s="2" t="n">
        <v>0</v>
      </c>
    </row>
    <row r="705">
      <c r="A705" s="2" t="n">
        <v>703</v>
      </c>
      <c r="B705" s="2" t="inlineStr">
        <is>
          <t>length</t>
        </is>
      </c>
      <c r="C705" s="2" t="inlineStr">
        <is>
          <t>openssl 3.5.8 default</t>
        </is>
      </c>
      <c r="D705" s="2" t="n">
        <v>1548</v>
      </c>
      <c r="E705" s="2" t="n">
        <v>1548</v>
      </c>
      <c r="F705" s="2" t="n">
        <v>1</v>
      </c>
      <c r="G705" s="2" t="n">
        <v>1</v>
      </c>
      <c r="H705" s="2" t="n">
        <v>1</v>
      </c>
      <c r="I705" s="2" t="n">
        <v>0</v>
      </c>
    </row>
    <row r="706">
      <c r="A706" s="2" t="n">
        <v>704</v>
      </c>
      <c r="B706" s="2" t="inlineStr">
        <is>
          <t>insert</t>
        </is>
      </c>
      <c r="C706" s="2" t="inlineStr">
        <is>
          <t>openssl 3.5.8 default</t>
        </is>
      </c>
      <c r="D706" s="2" t="n">
        <v>1554</v>
      </c>
      <c r="E706" s="2" t="n">
        <v>1554</v>
      </c>
      <c r="F706" s="2" t="n">
        <v>1</v>
      </c>
      <c r="G706" s="2" t="n">
        <v>1</v>
      </c>
      <c r="H706" s="2" t="n">
        <v>1</v>
      </c>
      <c r="I706" s="2" t="n">
        <v>0</v>
      </c>
    </row>
    <row r="707">
      <c r="A707" s="2" t="n">
        <v>705</v>
      </c>
      <c r="B707" s="2" t="inlineStr">
        <is>
          <t>flip</t>
        </is>
      </c>
      <c r="C707" s="2" t="inlineStr">
        <is>
          <t>openssl 3.5.8 default</t>
        </is>
      </c>
      <c r="D707" s="2" t="n">
        <v>1548</v>
      </c>
      <c r="E707" s="2" t="n">
        <v>1548</v>
      </c>
      <c r="F707" s="2" t="n">
        <v>1</v>
      </c>
      <c r="G707" s="2" t="n">
        <v>1</v>
      </c>
      <c r="H707" s="2" t="n">
        <v>1</v>
      </c>
      <c r="I707" s="2" t="n">
        <v>0</v>
      </c>
    </row>
    <row r="708">
      <c r="A708" s="2" t="n">
        <v>706</v>
      </c>
      <c r="B708" s="2" t="inlineStr">
        <is>
          <t>truncate</t>
        </is>
      </c>
      <c r="C708" s="2" t="inlineStr">
        <is>
          <t>browser firefox147</t>
        </is>
      </c>
      <c r="D708" s="2" t="n">
        <v>1207</v>
      </c>
      <c r="E708" s="2" t="n">
        <v>1207</v>
      </c>
      <c r="F708" s="2" t="n">
        <v>1</v>
      </c>
      <c r="G708" s="2" t="n">
        <v>1</v>
      </c>
      <c r="H708" s="2" t="n">
        <v>0</v>
      </c>
      <c r="I708" s="2" t="n">
        <v>0</v>
      </c>
    </row>
    <row r="709">
      <c r="A709" s="2" t="n">
        <v>707</v>
      </c>
      <c r="B709" s="2" t="inlineStr">
        <is>
          <t>length</t>
        </is>
      </c>
      <c r="C709" s="2" t="inlineStr">
        <is>
          <t>openssl TLS 1.2 only</t>
        </is>
      </c>
      <c r="D709" s="2" t="n">
        <v>215</v>
      </c>
      <c r="E709" s="2" t="n">
        <v>215</v>
      </c>
      <c r="F709" s="2" t="n">
        <v>1</v>
      </c>
      <c r="G709" s="2" t="n">
        <v>1</v>
      </c>
      <c r="H709" s="2" t="n">
        <v>0</v>
      </c>
      <c r="I709" s="2" t="n">
        <v>0</v>
      </c>
    </row>
    <row r="710">
      <c r="A710" s="2" t="n">
        <v>708</v>
      </c>
      <c r="B710" s="2" t="inlineStr">
        <is>
          <t>insert</t>
        </is>
      </c>
      <c r="C710" s="2" t="inlineStr">
        <is>
          <t>openssl TLS 1.2 only</t>
        </is>
      </c>
      <c r="D710" s="2" t="n">
        <v>217</v>
      </c>
      <c r="E710" s="2" t="n">
        <v>217</v>
      </c>
      <c r="F710" s="2" t="n">
        <v>1</v>
      </c>
      <c r="G710" s="2" t="n">
        <v>0</v>
      </c>
      <c r="H710" s="2" t="n">
        <v>0</v>
      </c>
      <c r="I710" s="2" t="n">
        <v>0</v>
      </c>
    </row>
    <row r="711">
      <c r="A711" s="2" t="n">
        <v>709</v>
      </c>
      <c r="B711" s="2" t="inlineStr">
        <is>
          <t>flip</t>
        </is>
      </c>
      <c r="C711" s="2" t="inlineStr">
        <is>
          <t>openssl 3.5.8 default</t>
        </is>
      </c>
      <c r="D711" s="2" t="n">
        <v>1548</v>
      </c>
      <c r="E711" s="2" t="n">
        <v>1548</v>
      </c>
      <c r="F711" s="2" t="n">
        <v>1</v>
      </c>
      <c r="G711" s="2" t="n">
        <v>1</v>
      </c>
      <c r="H711" s="2" t="n">
        <v>1</v>
      </c>
      <c r="I711" s="2" t="n">
        <v>0</v>
      </c>
    </row>
    <row r="712">
      <c r="A712" s="2" t="n">
        <v>710</v>
      </c>
      <c r="B712" s="2" t="inlineStr">
        <is>
          <t>truncate</t>
        </is>
      </c>
      <c r="C712" s="2" t="inlineStr">
        <is>
          <t>openssl TLS 1.2 only</t>
        </is>
      </c>
      <c r="D712" s="2" t="n">
        <v>143</v>
      </c>
      <c r="E712" s="2" t="n">
        <v>143</v>
      </c>
      <c r="F712" s="2" t="n">
        <v>1</v>
      </c>
      <c r="G712" s="2" t="n">
        <v>1</v>
      </c>
      <c r="H712" s="2" t="n">
        <v>0</v>
      </c>
      <c r="I712" s="2" t="n">
        <v>0</v>
      </c>
    </row>
    <row r="713">
      <c r="A713" s="2" t="n">
        <v>711</v>
      </c>
      <c r="B713" s="2" t="inlineStr">
        <is>
          <t>length</t>
        </is>
      </c>
      <c r="C713" s="2" t="inlineStr">
        <is>
          <t>browser chrome150</t>
        </is>
      </c>
      <c r="D713" s="2" t="n">
        <v>1763</v>
      </c>
      <c r="E713" s="2" t="n">
        <v>1763</v>
      </c>
      <c r="F713" s="2" t="n">
        <v>1</v>
      </c>
      <c r="G713" s="2" t="n">
        <v>1</v>
      </c>
      <c r="H713" s="2" t="n">
        <v>1</v>
      </c>
      <c r="I713" s="2" t="n">
        <v>0</v>
      </c>
    </row>
    <row r="714">
      <c r="A714" s="2" t="n">
        <v>712</v>
      </c>
      <c r="B714" s="2" t="inlineStr">
        <is>
          <t>insert</t>
        </is>
      </c>
      <c r="C714" s="2" t="inlineStr">
        <is>
          <t>openssl 3.5.8 default</t>
        </is>
      </c>
      <c r="D714" s="2" t="n">
        <v>1559</v>
      </c>
      <c r="E714" s="2" t="n">
        <v>1559</v>
      </c>
      <c r="F714" s="2" t="n">
        <v>1</v>
      </c>
      <c r="G714" s="2" t="n">
        <v>1</v>
      </c>
      <c r="H714" s="2" t="n">
        <v>1</v>
      </c>
      <c r="I714" s="2" t="n">
        <v>0</v>
      </c>
    </row>
    <row r="715">
      <c r="A715" s="2" t="n">
        <v>713</v>
      </c>
      <c r="B715" s="2" t="inlineStr">
        <is>
          <t>flip</t>
        </is>
      </c>
      <c r="C715" s="2" t="inlineStr">
        <is>
          <t>openssl X25519 only (classical)</t>
        </is>
      </c>
      <c r="D715" s="2" t="n">
        <v>314</v>
      </c>
      <c r="E715" s="2" t="n">
        <v>314</v>
      </c>
      <c r="F715" s="2" t="n">
        <v>1</v>
      </c>
      <c r="G715" s="2" t="n">
        <v>1</v>
      </c>
      <c r="H715" s="2" t="n">
        <v>1</v>
      </c>
      <c r="I715" s="2" t="n">
        <v>0</v>
      </c>
    </row>
    <row r="716">
      <c r="A716" s="2" t="n">
        <v>714</v>
      </c>
      <c r="B716" s="2" t="inlineStr">
        <is>
          <t>truncate</t>
        </is>
      </c>
      <c r="C716" s="2" t="inlineStr">
        <is>
          <t>openssl X25519 only (classical)</t>
        </is>
      </c>
      <c r="D716" s="2" t="n">
        <v>299</v>
      </c>
      <c r="E716" s="2" t="n">
        <v>299</v>
      </c>
      <c r="F716" s="2" t="n">
        <v>1</v>
      </c>
      <c r="G716" s="2" t="n">
        <v>1</v>
      </c>
      <c r="H716" s="2" t="n">
        <v>1</v>
      </c>
      <c r="I716" s="2" t="n">
        <v>0</v>
      </c>
    </row>
    <row r="717">
      <c r="A717" s="2" t="n">
        <v>715</v>
      </c>
      <c r="B717" s="2" t="inlineStr">
        <is>
          <t>length</t>
        </is>
      </c>
      <c r="C717" s="2" t="inlineStr">
        <is>
          <t>browser chrome150</t>
        </is>
      </c>
      <c r="D717" s="2" t="n">
        <v>1763</v>
      </c>
      <c r="E717" s="2" t="n">
        <v>1763</v>
      </c>
      <c r="F717" s="2" t="n">
        <v>1</v>
      </c>
      <c r="G717" s="2" t="n">
        <v>0</v>
      </c>
      <c r="H717" s="2" t="n">
        <v>0</v>
      </c>
      <c r="I717" s="2" t="n">
        <v>0</v>
      </c>
    </row>
    <row r="718">
      <c r="A718" s="2" t="n">
        <v>716</v>
      </c>
      <c r="B718" s="2" t="inlineStr">
        <is>
          <t>insert</t>
        </is>
      </c>
      <c r="C718" s="2" t="inlineStr">
        <is>
          <t>openssl X25519 only (classical)</t>
        </is>
      </c>
      <c r="D718" s="2" t="n">
        <v>315</v>
      </c>
      <c r="E718" s="2" t="n">
        <v>315</v>
      </c>
      <c r="F718" s="2" t="n">
        <v>1</v>
      </c>
      <c r="G718" s="2" t="n">
        <v>1</v>
      </c>
      <c r="H718" s="2" t="n">
        <v>1</v>
      </c>
      <c r="I718" s="2" t="n">
        <v>0</v>
      </c>
    </row>
    <row r="719">
      <c r="A719" s="2" t="n">
        <v>717</v>
      </c>
      <c r="B719" s="2" t="inlineStr">
        <is>
          <t>flip</t>
        </is>
      </c>
      <c r="C719" s="2" t="inlineStr">
        <is>
          <t>browser firefox147</t>
        </is>
      </c>
      <c r="D719" s="2" t="n">
        <v>1901</v>
      </c>
      <c r="E719" s="2" t="n">
        <v>1901</v>
      </c>
      <c r="F719" s="2" t="n">
        <v>1</v>
      </c>
      <c r="G719" s="2" t="n">
        <v>1</v>
      </c>
      <c r="H719" s="2" t="n">
        <v>0</v>
      </c>
      <c r="I719" s="2" t="n">
        <v>0</v>
      </c>
    </row>
    <row r="720">
      <c r="A720" s="2" t="n">
        <v>718</v>
      </c>
      <c r="B720" s="2" t="inlineStr">
        <is>
          <t>truncate</t>
        </is>
      </c>
      <c r="C720" s="2" t="inlineStr">
        <is>
          <t>openssl 3.5.8 default</t>
        </is>
      </c>
      <c r="D720" s="2" t="n">
        <v>1168</v>
      </c>
      <c r="E720" s="2" t="n">
        <v>1168</v>
      </c>
      <c r="F720" s="2" t="n">
        <v>1</v>
      </c>
      <c r="G720" s="2" t="n">
        <v>1</v>
      </c>
      <c r="H720" s="2" t="n">
        <v>1</v>
      </c>
      <c r="I720" s="2" t="n">
        <v>0</v>
      </c>
    </row>
    <row r="721">
      <c r="A721" s="2" t="n">
        <v>719</v>
      </c>
      <c r="B721" s="2" t="inlineStr">
        <is>
          <t>length</t>
        </is>
      </c>
      <c r="C721" s="2" t="inlineStr">
        <is>
          <t>browser chrome150</t>
        </is>
      </c>
      <c r="D721" s="2" t="n">
        <v>1763</v>
      </c>
      <c r="E721" s="2" t="n">
        <v>1763</v>
      </c>
      <c r="F721" s="2" t="n">
        <v>1</v>
      </c>
      <c r="G721" s="2" t="n">
        <v>1</v>
      </c>
      <c r="H721" s="2" t="n">
        <v>1</v>
      </c>
      <c r="I721" s="2" t="n">
        <v>0</v>
      </c>
    </row>
    <row r="722">
      <c r="A722" s="2" t="n">
        <v>720</v>
      </c>
      <c r="B722" s="2" t="inlineStr">
        <is>
          <t>insert</t>
        </is>
      </c>
      <c r="C722" s="2" t="inlineStr">
        <is>
          <t>openssl X25519 only (classical)</t>
        </is>
      </c>
      <c r="D722" s="2" t="n">
        <v>328</v>
      </c>
      <c r="E722" s="2" t="n">
        <v>328</v>
      </c>
      <c r="F722" s="2" t="n">
        <v>1</v>
      </c>
      <c r="G722" s="2" t="n">
        <v>1</v>
      </c>
      <c r="H722" s="2" t="n">
        <v>1</v>
      </c>
      <c r="I722" s="2" t="n">
        <v>0</v>
      </c>
    </row>
    <row r="723">
      <c r="A723" s="2" t="n">
        <v>721</v>
      </c>
      <c r="B723" s="2" t="inlineStr">
        <is>
          <t>flip</t>
        </is>
      </c>
      <c r="C723" s="2" t="inlineStr">
        <is>
          <t>browser chrome150</t>
        </is>
      </c>
      <c r="D723" s="2" t="n">
        <v>1763</v>
      </c>
      <c r="E723" s="2" t="n">
        <v>1763</v>
      </c>
      <c r="F723" s="2" t="n">
        <v>1</v>
      </c>
      <c r="G723" s="2" t="n">
        <v>1</v>
      </c>
      <c r="H723" s="2" t="n">
        <v>1</v>
      </c>
      <c r="I723" s="2" t="n">
        <v>0</v>
      </c>
    </row>
    <row r="724">
      <c r="A724" s="2" t="n">
        <v>722</v>
      </c>
      <c r="B724" s="2" t="inlineStr">
        <is>
          <t>truncate</t>
        </is>
      </c>
      <c r="C724" s="2" t="inlineStr">
        <is>
          <t>openssl TLS 1.2 only</t>
        </is>
      </c>
      <c r="D724" s="2" t="n">
        <v>101</v>
      </c>
      <c r="E724" s="2" t="n">
        <v>101</v>
      </c>
      <c r="F724" s="2" t="n">
        <v>1</v>
      </c>
      <c r="G724" s="2" t="n">
        <v>1</v>
      </c>
      <c r="H724" s="2" t="n">
        <v>0</v>
      </c>
      <c r="I724" s="2" t="n">
        <v>0</v>
      </c>
    </row>
    <row r="725">
      <c r="A725" s="2" t="n">
        <v>723</v>
      </c>
      <c r="B725" s="2" t="inlineStr">
        <is>
          <t>length</t>
        </is>
      </c>
      <c r="C725" s="2" t="inlineStr">
        <is>
          <t>browser chrome150</t>
        </is>
      </c>
      <c r="D725" s="2" t="n">
        <v>1763</v>
      </c>
      <c r="E725" s="2" t="n">
        <v>1763</v>
      </c>
      <c r="F725" s="2" t="n">
        <v>1</v>
      </c>
      <c r="G725" s="2" t="n">
        <v>1</v>
      </c>
      <c r="H725" s="2" t="n">
        <v>1</v>
      </c>
      <c r="I725" s="2" t="n">
        <v>0</v>
      </c>
    </row>
    <row r="726">
      <c r="A726" s="2" t="n">
        <v>724</v>
      </c>
      <c r="B726" s="2" t="inlineStr">
        <is>
          <t>insert</t>
        </is>
      </c>
      <c r="C726" s="2" t="inlineStr">
        <is>
          <t>openssl TLS 1.2 only</t>
        </is>
      </c>
      <c r="D726" s="2" t="n">
        <v>224</v>
      </c>
      <c r="E726" s="2" t="n">
        <v>224</v>
      </c>
      <c r="F726" s="2" t="n">
        <v>1</v>
      </c>
      <c r="G726" s="2" t="n">
        <v>1</v>
      </c>
      <c r="H726" s="2" t="n">
        <v>0</v>
      </c>
      <c r="I726" s="2" t="n">
        <v>0</v>
      </c>
    </row>
    <row r="727">
      <c r="A727" s="2" t="n">
        <v>725</v>
      </c>
      <c r="B727" s="2" t="inlineStr">
        <is>
          <t>flip</t>
        </is>
      </c>
      <c r="C727" s="2" t="inlineStr">
        <is>
          <t>openssl X25519 only (classical)</t>
        </is>
      </c>
      <c r="D727" s="2" t="n">
        <v>314</v>
      </c>
      <c r="E727" s="2" t="n">
        <v>314</v>
      </c>
      <c r="F727" s="2" t="n">
        <v>1</v>
      </c>
      <c r="G727" s="2" t="n">
        <v>1</v>
      </c>
      <c r="H727" s="2" t="n">
        <v>1</v>
      </c>
      <c r="I727" s="2" t="n">
        <v>0</v>
      </c>
    </row>
    <row r="728">
      <c r="A728" s="2" t="n">
        <v>726</v>
      </c>
      <c r="B728" s="2" t="inlineStr">
        <is>
          <t>truncate</t>
        </is>
      </c>
      <c r="C728" s="2" t="inlineStr">
        <is>
          <t>openssl 3.5.8 default</t>
        </is>
      </c>
      <c r="D728" s="2" t="n">
        <v>487</v>
      </c>
      <c r="E728" s="2" t="n">
        <v>487</v>
      </c>
      <c r="F728" s="2" t="n">
        <v>1</v>
      </c>
      <c r="G728" s="2" t="n">
        <v>1</v>
      </c>
      <c r="H728" s="2" t="n">
        <v>1</v>
      </c>
      <c r="I728" s="2" t="n">
        <v>0</v>
      </c>
    </row>
    <row r="729">
      <c r="A729" s="2" t="n">
        <v>727</v>
      </c>
      <c r="B729" s="2" t="inlineStr">
        <is>
          <t>length</t>
        </is>
      </c>
      <c r="C729" s="2" t="inlineStr">
        <is>
          <t>openssl X25519 only (classical)</t>
        </is>
      </c>
      <c r="D729" s="2" t="n">
        <v>314</v>
      </c>
      <c r="E729" s="2" t="n">
        <v>314</v>
      </c>
      <c r="F729" s="2" t="n">
        <v>0</v>
      </c>
      <c r="G729" s="2" t="n">
        <v>0</v>
      </c>
      <c r="H729" s="2" t="n">
        <v>0</v>
      </c>
      <c r="I729" s="2" t="n">
        <v>0</v>
      </c>
    </row>
    <row r="730">
      <c r="A730" s="2" t="n">
        <v>728</v>
      </c>
      <c r="B730" s="2" t="inlineStr">
        <is>
          <t>insert</t>
        </is>
      </c>
      <c r="C730" s="2" t="inlineStr">
        <is>
          <t>openssl X25519 only (classical)</t>
        </is>
      </c>
      <c r="D730" s="2" t="n">
        <v>318</v>
      </c>
      <c r="E730" s="2" t="n">
        <v>318</v>
      </c>
      <c r="F730" s="2" t="n">
        <v>1</v>
      </c>
      <c r="G730" s="2" t="n">
        <v>0</v>
      </c>
      <c r="H730" s="2" t="n">
        <v>0</v>
      </c>
      <c r="I730" s="2" t="n">
        <v>0</v>
      </c>
    </row>
    <row r="731">
      <c r="A731" s="2" t="n">
        <v>729</v>
      </c>
      <c r="B731" s="2" t="inlineStr">
        <is>
          <t>flip</t>
        </is>
      </c>
      <c r="C731" s="2" t="inlineStr">
        <is>
          <t>openssl TLS 1.2 only</t>
        </is>
      </c>
      <c r="D731" s="2" t="n">
        <v>215</v>
      </c>
      <c r="E731" s="2" t="n">
        <v>215</v>
      </c>
      <c r="F731" s="2" t="n">
        <v>1</v>
      </c>
      <c r="G731" s="2" t="n">
        <v>1</v>
      </c>
      <c r="H731" s="2" t="n">
        <v>1</v>
      </c>
      <c r="I731" s="2" t="n">
        <v>0</v>
      </c>
    </row>
    <row r="732">
      <c r="A732" s="2" t="n">
        <v>730</v>
      </c>
      <c r="B732" s="2" t="inlineStr">
        <is>
          <t>truncate</t>
        </is>
      </c>
      <c r="C732" s="2" t="inlineStr">
        <is>
          <t>openssl 3.5.8 default</t>
        </is>
      </c>
      <c r="D732" s="2" t="n">
        <v>327</v>
      </c>
      <c r="E732" s="2" t="n">
        <v>327</v>
      </c>
      <c r="F732" s="2" t="n">
        <v>1</v>
      </c>
      <c r="G732" s="2" t="n">
        <v>1</v>
      </c>
      <c r="H732" s="2" t="n">
        <v>1</v>
      </c>
      <c r="I732" s="2" t="n">
        <v>0</v>
      </c>
    </row>
    <row r="733">
      <c r="A733" s="2" t="n">
        <v>731</v>
      </c>
      <c r="B733" s="2" t="inlineStr">
        <is>
          <t>length</t>
        </is>
      </c>
      <c r="C733" s="2" t="inlineStr">
        <is>
          <t>browser firefox147</t>
        </is>
      </c>
      <c r="D733" s="2" t="n">
        <v>1901</v>
      </c>
      <c r="E733" s="2" t="n">
        <v>1901</v>
      </c>
      <c r="F733" s="2" t="n">
        <v>1</v>
      </c>
      <c r="G733" s="2" t="n">
        <v>1</v>
      </c>
      <c r="H733" s="2" t="n">
        <v>0</v>
      </c>
      <c r="I733" s="2" t="n">
        <v>0</v>
      </c>
    </row>
    <row r="734">
      <c r="A734" s="2" t="n">
        <v>732</v>
      </c>
      <c r="B734" s="2" t="inlineStr">
        <is>
          <t>insert</t>
        </is>
      </c>
      <c r="C734" s="2" t="inlineStr">
        <is>
          <t>browser firefox147</t>
        </is>
      </c>
      <c r="D734" s="2" t="n">
        <v>1907</v>
      </c>
      <c r="E734" s="2" t="n">
        <v>1907</v>
      </c>
      <c r="F734" s="2" t="n">
        <v>1</v>
      </c>
      <c r="G734" s="2" t="n">
        <v>1</v>
      </c>
      <c r="H734" s="2" t="n">
        <v>0</v>
      </c>
      <c r="I734" s="2" t="n">
        <v>0</v>
      </c>
    </row>
    <row r="735">
      <c r="A735" s="2" t="n">
        <v>733</v>
      </c>
      <c r="B735" s="2" t="inlineStr">
        <is>
          <t>flip</t>
        </is>
      </c>
      <c r="C735" s="2" t="inlineStr">
        <is>
          <t>openssl X25519 only (classical)</t>
        </is>
      </c>
      <c r="D735" s="2" t="n">
        <v>314</v>
      </c>
      <c r="E735" s="2" t="n">
        <v>314</v>
      </c>
      <c r="F735" s="2" t="n">
        <v>1</v>
      </c>
      <c r="G735" s="2" t="n">
        <v>1</v>
      </c>
      <c r="H735" s="2" t="n">
        <v>1</v>
      </c>
      <c r="I735" s="2" t="n">
        <v>0</v>
      </c>
    </row>
    <row r="736">
      <c r="A736" s="2" t="n">
        <v>734</v>
      </c>
      <c r="B736" s="2" t="inlineStr">
        <is>
          <t>truncate</t>
        </is>
      </c>
      <c r="C736" s="2" t="inlineStr">
        <is>
          <t>browser firefox147</t>
        </is>
      </c>
      <c r="D736" s="2" t="n">
        <v>611</v>
      </c>
      <c r="E736" s="2" t="n">
        <v>611</v>
      </c>
      <c r="F736" s="2" t="n">
        <v>1</v>
      </c>
      <c r="G736" s="2" t="n">
        <v>1</v>
      </c>
      <c r="H736" s="2" t="n">
        <v>0</v>
      </c>
      <c r="I736" s="2" t="n">
        <v>0</v>
      </c>
    </row>
    <row r="737">
      <c r="A737" s="2" t="n">
        <v>735</v>
      </c>
      <c r="B737" s="2" t="inlineStr">
        <is>
          <t>length</t>
        </is>
      </c>
      <c r="C737" s="2" t="inlineStr">
        <is>
          <t>openssl X25519 only (classical)</t>
        </is>
      </c>
      <c r="D737" s="2" t="n">
        <v>314</v>
      </c>
      <c r="E737" s="2" t="n">
        <v>314</v>
      </c>
      <c r="F737" s="2" t="n">
        <v>0</v>
      </c>
      <c r="G737" s="2" t="n">
        <v>0</v>
      </c>
      <c r="H737" s="2" t="n">
        <v>0</v>
      </c>
      <c r="I737" s="2" t="n">
        <v>0</v>
      </c>
    </row>
    <row r="738">
      <c r="A738" s="2" t="n">
        <v>736</v>
      </c>
      <c r="B738" s="2" t="inlineStr">
        <is>
          <t>insert</t>
        </is>
      </c>
      <c r="C738" s="2" t="inlineStr">
        <is>
          <t>openssl X25519 only (classical)</t>
        </is>
      </c>
      <c r="D738" s="2" t="n">
        <v>324</v>
      </c>
      <c r="E738" s="2" t="n">
        <v>324</v>
      </c>
      <c r="F738" s="2" t="n">
        <v>1</v>
      </c>
      <c r="G738" s="2" t="n">
        <v>1</v>
      </c>
      <c r="H738" s="2" t="n">
        <v>1</v>
      </c>
      <c r="I738" s="2" t="n">
        <v>0</v>
      </c>
    </row>
    <row r="739">
      <c r="A739" s="2" t="n">
        <v>737</v>
      </c>
      <c r="B739" s="2" t="inlineStr">
        <is>
          <t>flip</t>
        </is>
      </c>
      <c r="C739" s="2" t="inlineStr">
        <is>
          <t>openssl TLS 1.2 only</t>
        </is>
      </c>
      <c r="D739" s="2" t="n">
        <v>215</v>
      </c>
      <c r="E739" s="2" t="n">
        <v>215</v>
      </c>
      <c r="F739" s="2" t="n">
        <v>1</v>
      </c>
      <c r="G739" s="2" t="n">
        <v>1</v>
      </c>
      <c r="H739" s="2" t="n">
        <v>1</v>
      </c>
      <c r="I739" s="2" t="n">
        <v>0</v>
      </c>
    </row>
    <row r="740">
      <c r="A740" s="2" t="n">
        <v>738</v>
      </c>
      <c r="B740" s="2" t="inlineStr">
        <is>
          <t>truncate</t>
        </is>
      </c>
      <c r="C740" s="2" t="inlineStr">
        <is>
          <t>openssl X25519 only (classical)</t>
        </is>
      </c>
      <c r="D740" s="2" t="n">
        <v>188</v>
      </c>
      <c r="E740" s="2" t="n">
        <v>188</v>
      </c>
      <c r="F740" s="2" t="n">
        <v>1</v>
      </c>
      <c r="G740" s="2" t="n">
        <v>1</v>
      </c>
      <c r="H740" s="2" t="n">
        <v>0</v>
      </c>
      <c r="I740" s="2" t="n">
        <v>0</v>
      </c>
    </row>
    <row r="741">
      <c r="A741" s="2" t="n">
        <v>739</v>
      </c>
      <c r="B741" s="2" t="inlineStr">
        <is>
          <t>length</t>
        </is>
      </c>
      <c r="C741" s="2" t="inlineStr">
        <is>
          <t>browser chrome150</t>
        </is>
      </c>
      <c r="D741" s="2" t="n">
        <v>1763</v>
      </c>
      <c r="E741" s="2" t="n">
        <v>1763</v>
      </c>
      <c r="F741" s="2" t="n">
        <v>1</v>
      </c>
      <c r="G741" s="2" t="n">
        <v>1</v>
      </c>
      <c r="H741" s="2" t="n">
        <v>0</v>
      </c>
      <c r="I741" s="2" t="n">
        <v>0</v>
      </c>
    </row>
    <row r="742">
      <c r="A742" s="2" t="n">
        <v>740</v>
      </c>
      <c r="B742" s="2" t="inlineStr">
        <is>
          <t>insert</t>
        </is>
      </c>
      <c r="C742" s="2" t="inlineStr">
        <is>
          <t>openssl X25519 only (classical)</t>
        </is>
      </c>
      <c r="D742" s="2" t="n">
        <v>323</v>
      </c>
      <c r="E742" s="2" t="n">
        <v>323</v>
      </c>
      <c r="F742" s="2" t="n">
        <v>1</v>
      </c>
      <c r="G742" s="2" t="n">
        <v>1</v>
      </c>
      <c r="H742" s="2" t="n">
        <v>1</v>
      </c>
      <c r="I742" s="2" t="n">
        <v>0</v>
      </c>
    </row>
    <row r="743">
      <c r="A743" s="2" t="n">
        <v>741</v>
      </c>
      <c r="B743" s="2" t="inlineStr">
        <is>
          <t>flip</t>
        </is>
      </c>
      <c r="C743" s="2" t="inlineStr">
        <is>
          <t>openssl TLS 1.2 only</t>
        </is>
      </c>
      <c r="D743" s="2" t="n">
        <v>215</v>
      </c>
      <c r="E743" s="2" t="n">
        <v>215</v>
      </c>
      <c r="F743" s="2" t="n">
        <v>1</v>
      </c>
      <c r="G743" s="2" t="n">
        <v>1</v>
      </c>
      <c r="H743" s="2" t="n">
        <v>1</v>
      </c>
      <c r="I743" s="2" t="n">
        <v>0</v>
      </c>
    </row>
    <row r="744">
      <c r="A744" s="2" t="n">
        <v>742</v>
      </c>
      <c r="B744" s="2" t="inlineStr">
        <is>
          <t>truncate</t>
        </is>
      </c>
      <c r="C744" s="2" t="inlineStr">
        <is>
          <t>browser chrome150</t>
        </is>
      </c>
      <c r="D744" s="2" t="n">
        <v>735</v>
      </c>
      <c r="E744" s="2" t="n">
        <v>735</v>
      </c>
      <c r="F744" s="2" t="n">
        <v>1</v>
      </c>
      <c r="G744" s="2" t="n">
        <v>1</v>
      </c>
      <c r="H744" s="2" t="n">
        <v>1</v>
      </c>
      <c r="I744" s="2" t="n">
        <v>0</v>
      </c>
    </row>
    <row r="745">
      <c r="A745" s="2" t="n">
        <v>743</v>
      </c>
      <c r="B745" s="2" t="inlineStr">
        <is>
          <t>length</t>
        </is>
      </c>
      <c r="C745" s="2" t="inlineStr">
        <is>
          <t>openssl 3.5.8 default</t>
        </is>
      </c>
      <c r="D745" s="2" t="n">
        <v>1548</v>
      </c>
      <c r="E745" s="2" t="n">
        <v>1548</v>
      </c>
      <c r="F745" s="2" t="n">
        <v>1</v>
      </c>
      <c r="G745" s="2" t="n">
        <v>1</v>
      </c>
      <c r="H745" s="2" t="n">
        <v>1</v>
      </c>
      <c r="I745" s="2" t="n">
        <v>0</v>
      </c>
    </row>
    <row r="746">
      <c r="A746" s="2" t="n">
        <v>744</v>
      </c>
      <c r="B746" s="2" t="inlineStr">
        <is>
          <t>insert</t>
        </is>
      </c>
      <c r="C746" s="2" t="inlineStr">
        <is>
          <t>browser firefox147</t>
        </is>
      </c>
      <c r="D746" s="2" t="n">
        <v>1905</v>
      </c>
      <c r="E746" s="2" t="n">
        <v>1905</v>
      </c>
      <c r="F746" s="2" t="n">
        <v>1</v>
      </c>
      <c r="G746" s="2" t="n">
        <v>1</v>
      </c>
      <c r="H746" s="2" t="n">
        <v>0</v>
      </c>
      <c r="I746" s="2" t="n">
        <v>0</v>
      </c>
    </row>
    <row r="747">
      <c r="A747" s="2" t="n">
        <v>745</v>
      </c>
      <c r="B747" s="2" t="inlineStr">
        <is>
          <t>flip</t>
        </is>
      </c>
      <c r="C747" s="2" t="inlineStr">
        <is>
          <t>openssl X25519 only (classical)</t>
        </is>
      </c>
      <c r="D747" s="2" t="n">
        <v>314</v>
      </c>
      <c r="E747" s="2" t="n">
        <v>314</v>
      </c>
      <c r="F747" s="2" t="n">
        <v>1</v>
      </c>
      <c r="G747" s="2" t="n">
        <v>1</v>
      </c>
      <c r="H747" s="2" t="n">
        <v>1</v>
      </c>
      <c r="I747" s="2" t="n">
        <v>0</v>
      </c>
    </row>
    <row r="748">
      <c r="A748" s="2" t="n">
        <v>746</v>
      </c>
      <c r="B748" s="2" t="inlineStr">
        <is>
          <t>truncate</t>
        </is>
      </c>
      <c r="C748" s="2" t="inlineStr">
        <is>
          <t>openssl X25519 only (classical)</t>
        </is>
      </c>
      <c r="D748" s="2" t="n">
        <v>252</v>
      </c>
      <c r="E748" s="2" t="n">
        <v>252</v>
      </c>
      <c r="F748" s="2" t="n">
        <v>1</v>
      </c>
      <c r="G748" s="2" t="n">
        <v>1</v>
      </c>
      <c r="H748" s="2" t="n">
        <v>0</v>
      </c>
      <c r="I748" s="2" t="n">
        <v>0</v>
      </c>
    </row>
    <row r="749">
      <c r="A749" s="2" t="n">
        <v>747</v>
      </c>
      <c r="B749" s="2" t="inlineStr">
        <is>
          <t>length</t>
        </is>
      </c>
      <c r="C749" s="2" t="inlineStr">
        <is>
          <t>browser firefox147</t>
        </is>
      </c>
      <c r="D749" s="2" t="n">
        <v>1901</v>
      </c>
      <c r="E749" s="2" t="n">
        <v>1901</v>
      </c>
      <c r="F749" s="2" t="n">
        <v>1</v>
      </c>
      <c r="G749" s="2" t="n">
        <v>1</v>
      </c>
      <c r="H749" s="2" t="n">
        <v>0</v>
      </c>
      <c r="I749" s="2" t="n">
        <v>0</v>
      </c>
    </row>
    <row r="750">
      <c r="A750" s="2" t="n">
        <v>748</v>
      </c>
      <c r="B750" s="2" t="inlineStr">
        <is>
          <t>insert</t>
        </is>
      </c>
      <c r="C750" s="2" t="inlineStr">
        <is>
          <t>browser firefox147</t>
        </is>
      </c>
      <c r="D750" s="2" t="n">
        <v>1910</v>
      </c>
      <c r="E750" s="2" t="n">
        <v>1910</v>
      </c>
      <c r="F750" s="2" t="n">
        <v>1</v>
      </c>
      <c r="G750" s="2" t="n">
        <v>1</v>
      </c>
      <c r="H750" s="2" t="n">
        <v>0</v>
      </c>
      <c r="I750" s="2" t="n">
        <v>0</v>
      </c>
    </row>
    <row r="751">
      <c r="A751" s="2" t="n">
        <v>749</v>
      </c>
      <c r="B751" s="2" t="inlineStr">
        <is>
          <t>flip</t>
        </is>
      </c>
      <c r="C751" s="2" t="inlineStr">
        <is>
          <t>browser chrome150</t>
        </is>
      </c>
      <c r="D751" s="2" t="n">
        <v>1763</v>
      </c>
      <c r="E751" s="2" t="n">
        <v>1763</v>
      </c>
      <c r="F751" s="2" t="n">
        <v>1</v>
      </c>
      <c r="G751" s="2" t="n">
        <v>1</v>
      </c>
      <c r="H751" s="2" t="n">
        <v>1</v>
      </c>
      <c r="I751" s="2" t="n">
        <v>0</v>
      </c>
    </row>
    <row r="752">
      <c r="A752" s="2" t="n">
        <v>750</v>
      </c>
      <c r="B752" s="2" t="inlineStr">
        <is>
          <t>truncate</t>
        </is>
      </c>
      <c r="C752" s="2" t="inlineStr">
        <is>
          <t>openssl TLS 1.2 only</t>
        </is>
      </c>
      <c r="D752" s="2" t="n">
        <v>89</v>
      </c>
      <c r="E752" s="2" t="n">
        <v>89</v>
      </c>
      <c r="F752" s="2" t="n">
        <v>1</v>
      </c>
      <c r="G752" s="2" t="n">
        <v>0</v>
      </c>
      <c r="H752" s="2" t="n">
        <v>0</v>
      </c>
      <c r="I752" s="2" t="n">
        <v>0</v>
      </c>
    </row>
    <row r="753">
      <c r="A753" s="2" t="n">
        <v>751</v>
      </c>
      <c r="B753" s="2" t="inlineStr">
        <is>
          <t>length</t>
        </is>
      </c>
      <c r="C753" s="2" t="inlineStr">
        <is>
          <t>openssl TLS 1.2 only</t>
        </is>
      </c>
      <c r="D753" s="2" t="n">
        <v>215</v>
      </c>
      <c r="E753" s="2" t="n">
        <v>215</v>
      </c>
      <c r="F753" s="2" t="n">
        <v>1</v>
      </c>
      <c r="G753" s="2" t="n">
        <v>1</v>
      </c>
      <c r="H753" s="2" t="n">
        <v>0</v>
      </c>
      <c r="I753" s="2" t="n">
        <v>0</v>
      </c>
    </row>
    <row r="754">
      <c r="A754" s="2" t="n">
        <v>752</v>
      </c>
      <c r="B754" s="2" t="inlineStr">
        <is>
          <t>insert</t>
        </is>
      </c>
      <c r="C754" s="2" t="inlineStr">
        <is>
          <t>browser chrome150</t>
        </is>
      </c>
      <c r="D754" s="2" t="n">
        <v>1764</v>
      </c>
      <c r="E754" s="2" t="n">
        <v>1764</v>
      </c>
      <c r="F754" s="2" t="n">
        <v>1</v>
      </c>
      <c r="G754" s="2" t="n">
        <v>1</v>
      </c>
      <c r="H754" s="2" t="n">
        <v>1</v>
      </c>
      <c r="I754" s="2" t="n">
        <v>0</v>
      </c>
    </row>
    <row r="755">
      <c r="A755" s="2" t="n">
        <v>753</v>
      </c>
      <c r="B755" s="2" t="inlineStr">
        <is>
          <t>flip</t>
        </is>
      </c>
      <c r="C755" s="2" t="inlineStr">
        <is>
          <t>openssl X25519 only (classical)</t>
        </is>
      </c>
      <c r="D755" s="2" t="n">
        <v>314</v>
      </c>
      <c r="E755" s="2" t="n">
        <v>314</v>
      </c>
      <c r="F755" s="2" t="n">
        <v>1</v>
      </c>
      <c r="G755" s="2" t="n">
        <v>1</v>
      </c>
      <c r="H755" s="2" t="n">
        <v>1</v>
      </c>
      <c r="I755" s="2" t="n">
        <v>0</v>
      </c>
    </row>
    <row r="756">
      <c r="A756" s="2" t="n">
        <v>754</v>
      </c>
      <c r="B756" s="2" t="inlineStr">
        <is>
          <t>truncate</t>
        </is>
      </c>
      <c r="C756" s="2" t="inlineStr">
        <is>
          <t>openssl TLS 1.2 only</t>
        </is>
      </c>
      <c r="D756" s="2" t="n">
        <v>177</v>
      </c>
      <c r="E756" s="2" t="n">
        <v>177</v>
      </c>
      <c r="F756" s="2" t="n">
        <v>1</v>
      </c>
      <c r="G756" s="2" t="n">
        <v>1</v>
      </c>
      <c r="H756" s="2" t="n">
        <v>1</v>
      </c>
      <c r="I756" s="2" t="n">
        <v>0</v>
      </c>
    </row>
    <row r="757">
      <c r="A757" s="2" t="n">
        <v>755</v>
      </c>
      <c r="B757" s="2" t="inlineStr">
        <is>
          <t>length</t>
        </is>
      </c>
      <c r="C757" s="2" t="inlineStr">
        <is>
          <t>openssl TLS 1.2 only</t>
        </is>
      </c>
      <c r="D757" s="2" t="n">
        <v>215</v>
      </c>
      <c r="E757" s="2" t="n">
        <v>215</v>
      </c>
      <c r="F757" s="2" t="n">
        <v>0</v>
      </c>
      <c r="G757" s="2" t="n">
        <v>0</v>
      </c>
      <c r="H757" s="2" t="n">
        <v>0</v>
      </c>
      <c r="I757" s="2" t="n">
        <v>0</v>
      </c>
    </row>
    <row r="758">
      <c r="A758" s="2" t="n">
        <v>756</v>
      </c>
      <c r="B758" s="2" t="inlineStr">
        <is>
          <t>insert</t>
        </is>
      </c>
      <c r="C758" s="2" t="inlineStr">
        <is>
          <t>openssl TLS 1.2 only</t>
        </is>
      </c>
      <c r="D758" s="2" t="n">
        <v>226</v>
      </c>
      <c r="E758" s="2" t="n">
        <v>226</v>
      </c>
      <c r="F758" s="2" t="n">
        <v>1</v>
      </c>
      <c r="G758" s="2" t="n">
        <v>1</v>
      </c>
      <c r="H758" s="2" t="n">
        <v>1</v>
      </c>
      <c r="I758" s="2" t="n">
        <v>0</v>
      </c>
    </row>
    <row r="759">
      <c r="A759" s="2" t="n">
        <v>757</v>
      </c>
      <c r="B759" s="2" t="inlineStr">
        <is>
          <t>flip</t>
        </is>
      </c>
      <c r="C759" s="2" t="inlineStr">
        <is>
          <t>openssl TLS 1.2 only</t>
        </is>
      </c>
      <c r="D759" s="2" t="n">
        <v>215</v>
      </c>
      <c r="E759" s="2" t="n">
        <v>215</v>
      </c>
      <c r="F759" s="2" t="n">
        <v>1</v>
      </c>
      <c r="G759" s="2" t="n">
        <v>1</v>
      </c>
      <c r="H759" s="2" t="n">
        <v>0</v>
      </c>
      <c r="I759" s="2" t="n">
        <v>0</v>
      </c>
    </row>
    <row r="760">
      <c r="A760" s="2" t="n">
        <v>758</v>
      </c>
      <c r="B760" s="2" t="inlineStr">
        <is>
          <t>truncate</t>
        </is>
      </c>
      <c r="C760" s="2" t="inlineStr">
        <is>
          <t>browser chrome150</t>
        </is>
      </c>
      <c r="D760" s="2" t="n">
        <v>457</v>
      </c>
      <c r="E760" s="2" t="n">
        <v>457</v>
      </c>
      <c r="F760" s="2" t="n">
        <v>1</v>
      </c>
      <c r="G760" s="2" t="n">
        <v>1</v>
      </c>
      <c r="H760" s="2" t="n">
        <v>1</v>
      </c>
      <c r="I760" s="2" t="n">
        <v>0</v>
      </c>
    </row>
    <row r="761">
      <c r="A761" s="2" t="n">
        <v>759</v>
      </c>
      <c r="B761" s="2" t="inlineStr">
        <is>
          <t>length</t>
        </is>
      </c>
      <c r="C761" s="2" t="inlineStr">
        <is>
          <t>browser firefox147</t>
        </is>
      </c>
      <c r="D761" s="2" t="n">
        <v>1901</v>
      </c>
      <c r="E761" s="2" t="n">
        <v>1901</v>
      </c>
      <c r="F761" s="2" t="n">
        <v>1</v>
      </c>
      <c r="G761" s="2" t="n">
        <v>0</v>
      </c>
      <c r="H761" s="2" t="n">
        <v>0</v>
      </c>
      <c r="I761" s="2" t="n">
        <v>0</v>
      </c>
    </row>
    <row r="762">
      <c r="A762" s="2" t="n">
        <v>760</v>
      </c>
      <c r="B762" s="2" t="inlineStr">
        <is>
          <t>insert</t>
        </is>
      </c>
      <c r="C762" s="2" t="inlineStr">
        <is>
          <t>openssl X25519 only (classical)</t>
        </is>
      </c>
      <c r="D762" s="2" t="n">
        <v>316</v>
      </c>
      <c r="E762" s="2" t="n">
        <v>316</v>
      </c>
      <c r="F762" s="2" t="n">
        <v>1</v>
      </c>
      <c r="G762" s="2" t="n">
        <v>0</v>
      </c>
      <c r="H762" s="2" t="n">
        <v>0</v>
      </c>
      <c r="I762" s="2" t="n">
        <v>0</v>
      </c>
    </row>
    <row r="763">
      <c r="A763" s="2" t="n">
        <v>761</v>
      </c>
      <c r="B763" s="2" t="inlineStr">
        <is>
          <t>flip</t>
        </is>
      </c>
      <c r="C763" s="2" t="inlineStr">
        <is>
          <t>browser firefox147</t>
        </is>
      </c>
      <c r="D763" s="2" t="n">
        <v>1901</v>
      </c>
      <c r="E763" s="2" t="n">
        <v>1901</v>
      </c>
      <c r="F763" s="2" t="n">
        <v>1</v>
      </c>
      <c r="G763" s="2" t="n">
        <v>1</v>
      </c>
      <c r="H763" s="2" t="n">
        <v>0</v>
      </c>
      <c r="I763" s="2" t="n">
        <v>0</v>
      </c>
    </row>
    <row r="764">
      <c r="A764" s="2" t="n">
        <v>762</v>
      </c>
      <c r="B764" s="2" t="inlineStr">
        <is>
          <t>truncate</t>
        </is>
      </c>
      <c r="C764" s="2" t="inlineStr">
        <is>
          <t>browser firefox147</t>
        </is>
      </c>
      <c r="D764" s="2" t="n">
        <v>10</v>
      </c>
      <c r="E764" s="2" t="n">
        <v>10</v>
      </c>
      <c r="F764" s="2" t="n">
        <v>1</v>
      </c>
      <c r="G764" s="2" t="n">
        <v>0</v>
      </c>
      <c r="H764" s="2" t="n">
        <v>0</v>
      </c>
      <c r="I764" s="2" t="n">
        <v>0</v>
      </c>
    </row>
    <row r="765">
      <c r="A765" s="2" t="n">
        <v>763</v>
      </c>
      <c r="B765" s="2" t="inlineStr">
        <is>
          <t>length</t>
        </is>
      </c>
      <c r="C765" s="2" t="inlineStr">
        <is>
          <t>openssl X25519 only (classical)</t>
        </is>
      </c>
      <c r="D765" s="2" t="n">
        <v>314</v>
      </c>
      <c r="E765" s="2" t="n">
        <v>314</v>
      </c>
      <c r="F765" s="2" t="n">
        <v>1</v>
      </c>
      <c r="G765" s="2" t="n">
        <v>1</v>
      </c>
      <c r="H765" s="2" t="n">
        <v>1</v>
      </c>
      <c r="I765" s="2" t="n">
        <v>0</v>
      </c>
    </row>
    <row r="766">
      <c r="A766" s="2" t="n">
        <v>764</v>
      </c>
      <c r="B766" s="2" t="inlineStr">
        <is>
          <t>insert</t>
        </is>
      </c>
      <c r="C766" s="2" t="inlineStr">
        <is>
          <t>browser chrome150</t>
        </is>
      </c>
      <c r="D766" s="2" t="n">
        <v>1776</v>
      </c>
      <c r="E766" s="2" t="n">
        <v>1776</v>
      </c>
      <c r="F766" s="2" t="n">
        <v>1</v>
      </c>
      <c r="G766" s="2" t="n">
        <v>1</v>
      </c>
      <c r="H766" s="2" t="n">
        <v>1</v>
      </c>
      <c r="I766" s="2" t="n">
        <v>0</v>
      </c>
    </row>
    <row r="767">
      <c r="A767" s="2" t="n">
        <v>765</v>
      </c>
      <c r="B767" s="2" t="inlineStr">
        <is>
          <t>flip</t>
        </is>
      </c>
      <c r="C767" s="2" t="inlineStr">
        <is>
          <t>openssl 3.5.8 default</t>
        </is>
      </c>
      <c r="D767" s="2" t="n">
        <v>1548</v>
      </c>
      <c r="E767" s="2" t="n">
        <v>1548</v>
      </c>
      <c r="F767" s="2" t="n">
        <v>1</v>
      </c>
      <c r="G767" s="2" t="n">
        <v>1</v>
      </c>
      <c r="H767" s="2" t="n">
        <v>1</v>
      </c>
      <c r="I767" s="2" t="n">
        <v>0</v>
      </c>
    </row>
    <row r="768">
      <c r="A768" s="2" t="n">
        <v>766</v>
      </c>
      <c r="B768" s="2" t="inlineStr">
        <is>
          <t>truncate</t>
        </is>
      </c>
      <c r="C768" s="2" t="inlineStr">
        <is>
          <t>openssl 3.5.8 default</t>
        </is>
      </c>
      <c r="D768" s="2" t="n">
        <v>894</v>
      </c>
      <c r="E768" s="2" t="n">
        <v>894</v>
      </c>
      <c r="F768" s="2" t="n">
        <v>1</v>
      </c>
      <c r="G768" s="2" t="n">
        <v>1</v>
      </c>
      <c r="H768" s="2" t="n">
        <v>1</v>
      </c>
      <c r="I768" s="2" t="n">
        <v>0</v>
      </c>
    </row>
    <row r="769">
      <c r="A769" s="2" t="n">
        <v>767</v>
      </c>
      <c r="B769" s="2" t="inlineStr">
        <is>
          <t>length</t>
        </is>
      </c>
      <c r="C769" s="2" t="inlineStr">
        <is>
          <t>openssl TLS 1.2 only</t>
        </is>
      </c>
      <c r="D769" s="2" t="n">
        <v>215</v>
      </c>
      <c r="E769" s="2" t="n">
        <v>215</v>
      </c>
      <c r="F769" s="2" t="n">
        <v>0</v>
      </c>
      <c r="G769" s="2" t="n">
        <v>0</v>
      </c>
      <c r="H769" s="2" t="n">
        <v>0</v>
      </c>
      <c r="I769" s="2" t="n">
        <v>0</v>
      </c>
    </row>
    <row r="770">
      <c r="A770" s="2" t="n">
        <v>768</v>
      </c>
      <c r="B770" s="2" t="inlineStr">
        <is>
          <t>insert</t>
        </is>
      </c>
      <c r="C770" s="2" t="inlineStr">
        <is>
          <t>openssl TLS 1.2 only</t>
        </is>
      </c>
      <c r="D770" s="2" t="n">
        <v>225</v>
      </c>
      <c r="E770" s="2" t="n">
        <v>225</v>
      </c>
      <c r="F770" s="2" t="n">
        <v>1</v>
      </c>
      <c r="G770" s="2" t="n">
        <v>1</v>
      </c>
      <c r="H770" s="2" t="n">
        <v>1</v>
      </c>
      <c r="I770" s="2" t="n">
        <v>0</v>
      </c>
    </row>
    <row r="771">
      <c r="A771" s="2" t="n">
        <v>769</v>
      </c>
      <c r="B771" s="2" t="inlineStr">
        <is>
          <t>flip</t>
        </is>
      </c>
      <c r="C771" s="2" t="inlineStr">
        <is>
          <t>openssl 3.5.8 default</t>
        </is>
      </c>
      <c r="D771" s="2" t="n">
        <v>1548</v>
      </c>
      <c r="E771" s="2" t="n">
        <v>1548</v>
      </c>
      <c r="F771" s="2" t="n">
        <v>1</v>
      </c>
      <c r="G771" s="2" t="n">
        <v>1</v>
      </c>
      <c r="H771" s="2" t="n">
        <v>1</v>
      </c>
      <c r="I771" s="2" t="n">
        <v>0</v>
      </c>
    </row>
    <row r="772">
      <c r="A772" s="2" t="n">
        <v>770</v>
      </c>
      <c r="B772" s="2" t="inlineStr">
        <is>
          <t>truncate</t>
        </is>
      </c>
      <c r="C772" s="2" t="inlineStr">
        <is>
          <t>browser chrome150</t>
        </is>
      </c>
      <c r="D772" s="2" t="n">
        <v>1477</v>
      </c>
      <c r="E772" s="2" t="n">
        <v>1477</v>
      </c>
      <c r="F772" s="2" t="n">
        <v>1</v>
      </c>
      <c r="G772" s="2" t="n">
        <v>1</v>
      </c>
      <c r="H772" s="2" t="n">
        <v>1</v>
      </c>
      <c r="I772" s="2" t="n">
        <v>0</v>
      </c>
    </row>
    <row r="773">
      <c r="A773" s="2" t="n">
        <v>771</v>
      </c>
      <c r="B773" s="2" t="inlineStr">
        <is>
          <t>length</t>
        </is>
      </c>
      <c r="C773" s="2" t="inlineStr">
        <is>
          <t>openssl 3.5.8 default</t>
        </is>
      </c>
      <c r="D773" s="2" t="n">
        <v>1548</v>
      </c>
      <c r="E773" s="2" t="n">
        <v>1548</v>
      </c>
      <c r="F773" s="2" t="n">
        <v>0</v>
      </c>
      <c r="G773" s="2" t="n">
        <v>0</v>
      </c>
      <c r="H773" s="2" t="n">
        <v>0</v>
      </c>
      <c r="I773" s="2" t="n">
        <v>0</v>
      </c>
    </row>
    <row r="774">
      <c r="A774" s="2" t="n">
        <v>772</v>
      </c>
      <c r="B774" s="2" t="inlineStr">
        <is>
          <t>insert</t>
        </is>
      </c>
      <c r="C774" s="2" t="inlineStr">
        <is>
          <t>openssl 3.5.8 default</t>
        </is>
      </c>
      <c r="D774" s="2" t="n">
        <v>1550</v>
      </c>
      <c r="E774" s="2" t="n">
        <v>1550</v>
      </c>
      <c r="F774" s="2" t="n">
        <v>1</v>
      </c>
      <c r="G774" s="2" t="n">
        <v>1</v>
      </c>
      <c r="H774" s="2" t="n">
        <v>1</v>
      </c>
      <c r="I774" s="2" t="n">
        <v>0</v>
      </c>
    </row>
    <row r="775">
      <c r="A775" s="2" t="n">
        <v>773</v>
      </c>
      <c r="B775" s="2" t="inlineStr">
        <is>
          <t>flip</t>
        </is>
      </c>
      <c r="C775" s="2" t="inlineStr">
        <is>
          <t>openssl TLS 1.2 only</t>
        </is>
      </c>
      <c r="D775" s="2" t="n">
        <v>215</v>
      </c>
      <c r="E775" s="2" t="n">
        <v>215</v>
      </c>
      <c r="F775" s="2" t="n">
        <v>1</v>
      </c>
      <c r="G775" s="2" t="n">
        <v>1</v>
      </c>
      <c r="H775" s="2" t="n">
        <v>1</v>
      </c>
      <c r="I775" s="2" t="n">
        <v>0</v>
      </c>
    </row>
    <row r="776">
      <c r="A776" s="2" t="n">
        <v>774</v>
      </c>
      <c r="B776" s="2" t="inlineStr">
        <is>
          <t>truncate</t>
        </is>
      </c>
      <c r="C776" s="2" t="inlineStr">
        <is>
          <t>openssl X25519 only (classical)</t>
        </is>
      </c>
      <c r="D776" s="2" t="n">
        <v>166</v>
      </c>
      <c r="E776" s="2" t="n">
        <v>166</v>
      </c>
      <c r="F776" s="2" t="n">
        <v>1</v>
      </c>
      <c r="G776" s="2" t="n">
        <v>1</v>
      </c>
      <c r="H776" s="2" t="n">
        <v>0</v>
      </c>
      <c r="I776" s="2" t="n">
        <v>0</v>
      </c>
    </row>
    <row r="777">
      <c r="A777" s="2" t="n">
        <v>775</v>
      </c>
      <c r="B777" s="2" t="inlineStr">
        <is>
          <t>length</t>
        </is>
      </c>
      <c r="C777" s="2" t="inlineStr">
        <is>
          <t>openssl 3.5.8 default</t>
        </is>
      </c>
      <c r="D777" s="2" t="n">
        <v>1548</v>
      </c>
      <c r="E777" s="2" t="n">
        <v>1548</v>
      </c>
      <c r="F777" s="2" t="n">
        <v>1</v>
      </c>
      <c r="G777" s="2" t="n">
        <v>0</v>
      </c>
      <c r="H777" s="2" t="n">
        <v>0</v>
      </c>
      <c r="I777" s="2" t="n">
        <v>0</v>
      </c>
    </row>
    <row r="778">
      <c r="A778" s="2" t="n">
        <v>776</v>
      </c>
      <c r="B778" s="2" t="inlineStr">
        <is>
          <t>insert</t>
        </is>
      </c>
      <c r="C778" s="2" t="inlineStr">
        <is>
          <t>openssl TLS 1.2 only</t>
        </is>
      </c>
      <c r="D778" s="2" t="n">
        <v>229</v>
      </c>
      <c r="E778" s="2" t="n">
        <v>229</v>
      </c>
      <c r="F778" s="2" t="n">
        <v>1</v>
      </c>
      <c r="G778" s="2" t="n">
        <v>1</v>
      </c>
      <c r="H778" s="2" t="n">
        <v>1</v>
      </c>
      <c r="I778" s="2" t="n">
        <v>0</v>
      </c>
    </row>
    <row r="779">
      <c r="A779" s="2" t="n">
        <v>777</v>
      </c>
      <c r="B779" s="2" t="inlineStr">
        <is>
          <t>flip</t>
        </is>
      </c>
      <c r="C779" s="2" t="inlineStr">
        <is>
          <t>openssl X25519 only (classical)</t>
        </is>
      </c>
      <c r="D779" s="2" t="n">
        <v>314</v>
      </c>
      <c r="E779" s="2" t="n">
        <v>314</v>
      </c>
      <c r="F779" s="2" t="n">
        <v>1</v>
      </c>
      <c r="G779" s="2" t="n">
        <v>1</v>
      </c>
      <c r="H779" s="2" t="n">
        <v>1</v>
      </c>
      <c r="I779" s="2" t="n">
        <v>0</v>
      </c>
    </row>
    <row r="780">
      <c r="A780" s="2" t="n">
        <v>778</v>
      </c>
      <c r="B780" s="2" t="inlineStr">
        <is>
          <t>truncate</t>
        </is>
      </c>
      <c r="C780" s="2" t="inlineStr">
        <is>
          <t>browser chrome150</t>
        </is>
      </c>
      <c r="D780" s="2" t="n">
        <v>54</v>
      </c>
      <c r="E780" s="2" t="n">
        <v>54</v>
      </c>
      <c r="F780" s="2" t="n">
        <v>1</v>
      </c>
      <c r="G780" s="2" t="n">
        <v>0</v>
      </c>
      <c r="H780" s="2" t="n">
        <v>0</v>
      </c>
      <c r="I780" s="2" t="n">
        <v>0</v>
      </c>
    </row>
    <row r="781">
      <c r="A781" s="2" t="n">
        <v>779</v>
      </c>
      <c r="B781" s="2" t="inlineStr">
        <is>
          <t>length</t>
        </is>
      </c>
      <c r="C781" s="2" t="inlineStr">
        <is>
          <t>openssl 3.5.8 default</t>
        </is>
      </c>
      <c r="D781" s="2" t="n">
        <v>1548</v>
      </c>
      <c r="E781" s="2" t="n">
        <v>1548</v>
      </c>
      <c r="F781" s="2" t="n">
        <v>1</v>
      </c>
      <c r="G781" s="2" t="n">
        <v>1</v>
      </c>
      <c r="H781" s="2" t="n">
        <v>1</v>
      </c>
      <c r="I781" s="2" t="n">
        <v>0</v>
      </c>
    </row>
    <row r="782">
      <c r="A782" s="2" t="n">
        <v>780</v>
      </c>
      <c r="B782" s="2" t="inlineStr">
        <is>
          <t>insert</t>
        </is>
      </c>
      <c r="C782" s="2" t="inlineStr">
        <is>
          <t>openssl TLS 1.2 only</t>
        </is>
      </c>
      <c r="D782" s="2" t="n">
        <v>221</v>
      </c>
      <c r="E782" s="2" t="n">
        <v>221</v>
      </c>
      <c r="F782" s="2" t="n">
        <v>1</v>
      </c>
      <c r="G782" s="2" t="n">
        <v>1</v>
      </c>
      <c r="H782" s="2" t="n">
        <v>1</v>
      </c>
      <c r="I782" s="2" t="n">
        <v>0</v>
      </c>
    </row>
    <row r="783">
      <c r="A783" s="2" t="n">
        <v>781</v>
      </c>
      <c r="B783" s="2" t="inlineStr">
        <is>
          <t>flip</t>
        </is>
      </c>
      <c r="C783" s="2" t="inlineStr">
        <is>
          <t>browser chrome150</t>
        </is>
      </c>
      <c r="D783" s="2" t="n">
        <v>1763</v>
      </c>
      <c r="E783" s="2" t="n">
        <v>1763</v>
      </c>
      <c r="F783" s="2" t="n">
        <v>1</v>
      </c>
      <c r="G783" s="2" t="n">
        <v>1</v>
      </c>
      <c r="H783" s="2" t="n">
        <v>1</v>
      </c>
      <c r="I783" s="2" t="n">
        <v>0</v>
      </c>
    </row>
    <row r="784">
      <c r="A784" s="2" t="n">
        <v>782</v>
      </c>
      <c r="B784" s="2" t="inlineStr">
        <is>
          <t>truncate</t>
        </is>
      </c>
      <c r="C784" s="2" t="inlineStr">
        <is>
          <t>browser chrome150</t>
        </is>
      </c>
      <c r="D784" s="2" t="n">
        <v>1229</v>
      </c>
      <c r="E784" s="2" t="n">
        <v>1229</v>
      </c>
      <c r="F784" s="2" t="n">
        <v>1</v>
      </c>
      <c r="G784" s="2" t="n">
        <v>1</v>
      </c>
      <c r="H784" s="2" t="n">
        <v>1</v>
      </c>
      <c r="I784" s="2" t="n">
        <v>0</v>
      </c>
    </row>
    <row r="785">
      <c r="A785" s="2" t="n">
        <v>783</v>
      </c>
      <c r="B785" s="2" t="inlineStr">
        <is>
          <t>length</t>
        </is>
      </c>
      <c r="C785" s="2" t="inlineStr">
        <is>
          <t>openssl 3.5.8 default</t>
        </is>
      </c>
      <c r="D785" s="2" t="n">
        <v>1548</v>
      </c>
      <c r="E785" s="2" t="n">
        <v>1548</v>
      </c>
      <c r="F785" s="2" t="n">
        <v>1</v>
      </c>
      <c r="G785" s="2" t="n">
        <v>1</v>
      </c>
      <c r="H785" s="2" t="n">
        <v>1</v>
      </c>
      <c r="I785" s="2" t="n">
        <v>0</v>
      </c>
    </row>
    <row r="786">
      <c r="A786" s="2" t="n">
        <v>784</v>
      </c>
      <c r="B786" s="2" t="inlineStr">
        <is>
          <t>insert</t>
        </is>
      </c>
      <c r="C786" s="2" t="inlineStr">
        <is>
          <t>browser chrome150</t>
        </is>
      </c>
      <c r="D786" s="2" t="n">
        <v>1769</v>
      </c>
      <c r="E786" s="2" t="n">
        <v>1769</v>
      </c>
      <c r="F786" s="2" t="n">
        <v>1</v>
      </c>
      <c r="G786" s="2" t="n">
        <v>1</v>
      </c>
      <c r="H786" s="2" t="n">
        <v>1</v>
      </c>
      <c r="I786" s="2" t="n">
        <v>0</v>
      </c>
    </row>
    <row r="787">
      <c r="A787" s="2" t="n">
        <v>785</v>
      </c>
      <c r="B787" s="2" t="inlineStr">
        <is>
          <t>flip</t>
        </is>
      </c>
      <c r="C787" s="2" t="inlineStr">
        <is>
          <t>openssl 3.5.8 default</t>
        </is>
      </c>
      <c r="D787" s="2" t="n">
        <v>1548</v>
      </c>
      <c r="E787" s="2" t="n">
        <v>1548</v>
      </c>
      <c r="F787" s="2" t="n">
        <v>0</v>
      </c>
      <c r="G787" s="2" t="n">
        <v>0</v>
      </c>
      <c r="H787" s="2" t="n">
        <v>0</v>
      </c>
      <c r="I787" s="2" t="n">
        <v>0</v>
      </c>
    </row>
    <row r="788">
      <c r="A788" s="2" t="n">
        <v>786</v>
      </c>
      <c r="B788" s="2" t="inlineStr">
        <is>
          <t>truncate</t>
        </is>
      </c>
      <c r="C788" s="2" t="inlineStr">
        <is>
          <t>browser chrome150</t>
        </is>
      </c>
      <c r="D788" s="2" t="n">
        <v>1422</v>
      </c>
      <c r="E788" s="2" t="n">
        <v>1422</v>
      </c>
      <c r="F788" s="2" t="n">
        <v>1</v>
      </c>
      <c r="G788" s="2" t="n">
        <v>1</v>
      </c>
      <c r="H788" s="2" t="n">
        <v>1</v>
      </c>
      <c r="I788" s="2" t="n">
        <v>0</v>
      </c>
    </row>
    <row r="789">
      <c r="A789" s="2" t="n">
        <v>787</v>
      </c>
      <c r="B789" s="2" t="inlineStr">
        <is>
          <t>length</t>
        </is>
      </c>
      <c r="C789" s="2" t="inlineStr">
        <is>
          <t>browser chrome150</t>
        </is>
      </c>
      <c r="D789" s="2" t="n">
        <v>1763</v>
      </c>
      <c r="E789" s="2" t="n">
        <v>1763</v>
      </c>
      <c r="F789" s="2" t="n">
        <v>0</v>
      </c>
      <c r="G789" s="2" t="n">
        <v>0</v>
      </c>
      <c r="H789" s="2" t="n">
        <v>0</v>
      </c>
      <c r="I789" s="2" t="n">
        <v>0</v>
      </c>
    </row>
    <row r="790">
      <c r="A790" s="2" t="n">
        <v>788</v>
      </c>
      <c r="B790" s="2" t="inlineStr">
        <is>
          <t>insert</t>
        </is>
      </c>
      <c r="C790" s="2" t="inlineStr">
        <is>
          <t>openssl X25519 only (classical)</t>
        </is>
      </c>
      <c r="D790" s="2" t="n">
        <v>320</v>
      </c>
      <c r="E790" s="2" t="n">
        <v>320</v>
      </c>
      <c r="F790" s="2" t="n">
        <v>1</v>
      </c>
      <c r="G790" s="2" t="n">
        <v>1</v>
      </c>
      <c r="H790" s="2" t="n">
        <v>1</v>
      </c>
      <c r="I790" s="2" t="n">
        <v>0</v>
      </c>
    </row>
    <row r="791">
      <c r="A791" s="2" t="n">
        <v>789</v>
      </c>
      <c r="B791" s="2" t="inlineStr">
        <is>
          <t>flip</t>
        </is>
      </c>
      <c r="C791" s="2" t="inlineStr">
        <is>
          <t>browser firefox147</t>
        </is>
      </c>
      <c r="D791" s="2" t="n">
        <v>1901</v>
      </c>
      <c r="E791" s="2" t="n">
        <v>1901</v>
      </c>
      <c r="F791" s="2" t="n">
        <v>1</v>
      </c>
      <c r="G791" s="2" t="n">
        <v>1</v>
      </c>
      <c r="H791" s="2" t="n">
        <v>0</v>
      </c>
      <c r="I791" s="2" t="n">
        <v>0</v>
      </c>
    </row>
    <row r="792">
      <c r="A792" s="2" t="n">
        <v>790</v>
      </c>
      <c r="B792" s="2" t="inlineStr">
        <is>
          <t>truncate</t>
        </is>
      </c>
      <c r="C792" s="2" t="inlineStr">
        <is>
          <t>openssl TLS 1.2 only</t>
        </is>
      </c>
      <c r="D792" s="2" t="n">
        <v>1</v>
      </c>
      <c r="E792" s="2" t="n">
        <v>1</v>
      </c>
      <c r="F792" s="2" t="n">
        <v>0</v>
      </c>
      <c r="G792" s="2" t="n">
        <v>0</v>
      </c>
      <c r="H792" s="2" t="n">
        <v>0</v>
      </c>
      <c r="I792" s="2" t="n">
        <v>0</v>
      </c>
    </row>
    <row r="793">
      <c r="A793" s="2" t="n">
        <v>791</v>
      </c>
      <c r="B793" s="2" t="inlineStr">
        <is>
          <t>length</t>
        </is>
      </c>
      <c r="C793" s="2" t="inlineStr">
        <is>
          <t>browser chrome150</t>
        </is>
      </c>
      <c r="D793" s="2" t="n">
        <v>1763</v>
      </c>
      <c r="E793" s="2" t="n">
        <v>1763</v>
      </c>
      <c r="F793" s="2" t="n">
        <v>1</v>
      </c>
      <c r="G793" s="2" t="n">
        <v>1</v>
      </c>
      <c r="H793" s="2" t="n">
        <v>1</v>
      </c>
      <c r="I793" s="2" t="n">
        <v>0</v>
      </c>
    </row>
    <row r="794">
      <c r="A794" s="2" t="n">
        <v>792</v>
      </c>
      <c r="B794" s="2" t="inlineStr">
        <is>
          <t>insert</t>
        </is>
      </c>
      <c r="C794" s="2" t="inlineStr">
        <is>
          <t>browser firefox147</t>
        </is>
      </c>
      <c r="D794" s="2" t="n">
        <v>1908</v>
      </c>
      <c r="E794" s="2" t="n">
        <v>1908</v>
      </c>
      <c r="F794" s="2" t="n">
        <v>1</v>
      </c>
      <c r="G794" s="2" t="n">
        <v>1</v>
      </c>
      <c r="H794" s="2" t="n">
        <v>0</v>
      </c>
      <c r="I794" s="2" t="n">
        <v>0</v>
      </c>
    </row>
    <row r="795">
      <c r="A795" s="2" t="n">
        <v>793</v>
      </c>
      <c r="B795" s="2" t="inlineStr">
        <is>
          <t>flip</t>
        </is>
      </c>
      <c r="C795" s="2" t="inlineStr">
        <is>
          <t>browser firefox147</t>
        </is>
      </c>
      <c r="D795" s="2" t="n">
        <v>1901</v>
      </c>
      <c r="E795" s="2" t="n">
        <v>1901</v>
      </c>
      <c r="F795" s="2" t="n">
        <v>1</v>
      </c>
      <c r="G795" s="2" t="n">
        <v>1</v>
      </c>
      <c r="H795" s="2" t="n">
        <v>0</v>
      </c>
      <c r="I795" s="2" t="n">
        <v>0</v>
      </c>
    </row>
    <row r="796">
      <c r="A796" s="2" t="n">
        <v>794</v>
      </c>
      <c r="B796" s="2" t="inlineStr">
        <is>
          <t>truncate</t>
        </is>
      </c>
      <c r="C796" s="2" t="inlineStr">
        <is>
          <t>browser firefox147</t>
        </is>
      </c>
      <c r="D796" s="2" t="n">
        <v>1635</v>
      </c>
      <c r="E796" s="2" t="n">
        <v>1635</v>
      </c>
      <c r="F796" s="2" t="n">
        <v>1</v>
      </c>
      <c r="G796" s="2" t="n">
        <v>1</v>
      </c>
      <c r="H796" s="2" t="n">
        <v>0</v>
      </c>
      <c r="I796" s="2" t="n">
        <v>0</v>
      </c>
    </row>
    <row r="797">
      <c r="A797" s="2" t="n">
        <v>795</v>
      </c>
      <c r="B797" s="2" t="inlineStr">
        <is>
          <t>length</t>
        </is>
      </c>
      <c r="C797" s="2" t="inlineStr">
        <is>
          <t>openssl 3.5.8 default</t>
        </is>
      </c>
      <c r="D797" s="2" t="n">
        <v>1548</v>
      </c>
      <c r="E797" s="2" t="n">
        <v>1548</v>
      </c>
      <c r="F797" s="2" t="n">
        <v>1</v>
      </c>
      <c r="G797" s="2" t="n">
        <v>1</v>
      </c>
      <c r="H797" s="2" t="n">
        <v>1</v>
      </c>
      <c r="I797" s="2" t="n">
        <v>0</v>
      </c>
    </row>
    <row r="798">
      <c r="A798" s="2" t="n">
        <v>796</v>
      </c>
      <c r="B798" s="2" t="inlineStr">
        <is>
          <t>insert</t>
        </is>
      </c>
      <c r="C798" s="2" t="inlineStr">
        <is>
          <t>openssl 3.5.8 default</t>
        </is>
      </c>
      <c r="D798" s="2" t="n">
        <v>1556</v>
      </c>
      <c r="E798" s="2" t="n">
        <v>1556</v>
      </c>
      <c r="F798" s="2" t="n">
        <v>1</v>
      </c>
      <c r="G798" s="2" t="n">
        <v>1</v>
      </c>
      <c r="H798" s="2" t="n">
        <v>1</v>
      </c>
      <c r="I798" s="2" t="n">
        <v>0</v>
      </c>
    </row>
    <row r="799">
      <c r="A799" s="2" t="n">
        <v>797</v>
      </c>
      <c r="B799" s="2" t="inlineStr">
        <is>
          <t>flip</t>
        </is>
      </c>
      <c r="C799" s="2" t="inlineStr">
        <is>
          <t>browser chrome150</t>
        </is>
      </c>
      <c r="D799" s="2" t="n">
        <v>1763</v>
      </c>
      <c r="E799" s="2" t="n">
        <v>1763</v>
      </c>
      <c r="F799" s="2" t="n">
        <v>1</v>
      </c>
      <c r="G799" s="2" t="n">
        <v>1</v>
      </c>
      <c r="H799" s="2" t="n">
        <v>1</v>
      </c>
      <c r="I799" s="2" t="n">
        <v>0</v>
      </c>
    </row>
    <row r="800">
      <c r="A800" s="2" t="n">
        <v>798</v>
      </c>
      <c r="B800" s="2" t="inlineStr">
        <is>
          <t>truncate</t>
        </is>
      </c>
      <c r="C800" s="2" t="inlineStr">
        <is>
          <t>openssl TLS 1.2 only</t>
        </is>
      </c>
      <c r="D800" s="2" t="n">
        <v>159</v>
      </c>
      <c r="E800" s="2" t="n">
        <v>159</v>
      </c>
      <c r="F800" s="2" t="n">
        <v>1</v>
      </c>
      <c r="G800" s="2" t="n">
        <v>1</v>
      </c>
      <c r="H800" s="2" t="n">
        <v>0</v>
      </c>
      <c r="I800" s="2" t="n">
        <v>0</v>
      </c>
    </row>
    <row r="801">
      <c r="A801" s="2" t="n">
        <v>799</v>
      </c>
      <c r="B801" s="2" t="inlineStr">
        <is>
          <t>length</t>
        </is>
      </c>
      <c r="C801" s="2" t="inlineStr">
        <is>
          <t>openssl TLS 1.2 only</t>
        </is>
      </c>
      <c r="D801" s="2" t="n">
        <v>215</v>
      </c>
      <c r="E801" s="2" t="n">
        <v>215</v>
      </c>
      <c r="F801" s="2" t="n">
        <v>1</v>
      </c>
      <c r="G801" s="2" t="n">
        <v>1</v>
      </c>
      <c r="H801" s="2" t="n">
        <v>1</v>
      </c>
      <c r="I801" s="2" t="n">
        <v>0</v>
      </c>
    </row>
    <row r="802">
      <c r="A802" s="2" t="n">
        <v>800</v>
      </c>
      <c r="B802" s="2" t="inlineStr">
        <is>
          <t>insert</t>
        </is>
      </c>
      <c r="C802" s="2" t="inlineStr">
        <is>
          <t>browser firefox147</t>
        </is>
      </c>
      <c r="D802" s="2" t="n">
        <v>1910</v>
      </c>
      <c r="E802" s="2" t="n">
        <v>1910</v>
      </c>
      <c r="F802" s="2" t="n">
        <v>1</v>
      </c>
      <c r="G802" s="2" t="n">
        <v>1</v>
      </c>
      <c r="H802" s="2" t="n">
        <v>0</v>
      </c>
      <c r="I802" s="2" t="n">
        <v>0</v>
      </c>
    </row>
    <row r="803">
      <c r="A803" s="2" t="n">
        <v>801</v>
      </c>
      <c r="B803" s="2" t="inlineStr">
        <is>
          <t>flip</t>
        </is>
      </c>
      <c r="C803" s="2" t="inlineStr">
        <is>
          <t>openssl 3.5.8 default</t>
        </is>
      </c>
      <c r="D803" s="2" t="n">
        <v>1548</v>
      </c>
      <c r="E803" s="2" t="n">
        <v>1548</v>
      </c>
      <c r="F803" s="2" t="n">
        <v>1</v>
      </c>
      <c r="G803" s="2" t="n">
        <v>1</v>
      </c>
      <c r="H803" s="2" t="n">
        <v>1</v>
      </c>
      <c r="I803" s="2" t="n">
        <v>0</v>
      </c>
    </row>
    <row r="804">
      <c r="A804" s="2" t="n">
        <v>802</v>
      </c>
      <c r="B804" s="2" t="inlineStr">
        <is>
          <t>truncate</t>
        </is>
      </c>
      <c r="C804" s="2" t="inlineStr">
        <is>
          <t>openssl TLS 1.2 only</t>
        </is>
      </c>
      <c r="D804" s="2" t="n">
        <v>44</v>
      </c>
      <c r="E804" s="2" t="n">
        <v>44</v>
      </c>
      <c r="F804" s="2" t="n">
        <v>1</v>
      </c>
      <c r="G804" s="2" t="n">
        <v>0</v>
      </c>
      <c r="H804" s="2" t="n">
        <v>0</v>
      </c>
      <c r="I804" s="2" t="n">
        <v>0</v>
      </c>
    </row>
    <row r="805">
      <c r="A805" s="2" t="n">
        <v>803</v>
      </c>
      <c r="B805" s="2" t="inlineStr">
        <is>
          <t>length</t>
        </is>
      </c>
      <c r="C805" s="2" t="inlineStr">
        <is>
          <t>openssl TLS 1.2 only</t>
        </is>
      </c>
      <c r="D805" s="2" t="n">
        <v>215</v>
      </c>
      <c r="E805" s="2" t="n">
        <v>215</v>
      </c>
      <c r="F805" s="2" t="n">
        <v>1</v>
      </c>
      <c r="G805" s="2" t="n">
        <v>1</v>
      </c>
      <c r="H805" s="2" t="n">
        <v>1</v>
      </c>
      <c r="I805" s="2" t="n">
        <v>0</v>
      </c>
    </row>
    <row r="806">
      <c r="A806" s="2" t="n">
        <v>804</v>
      </c>
      <c r="B806" s="2" t="inlineStr">
        <is>
          <t>insert</t>
        </is>
      </c>
      <c r="C806" s="2" t="inlineStr">
        <is>
          <t>openssl 3.5.8 default</t>
        </is>
      </c>
      <c r="D806" s="2" t="n">
        <v>1557</v>
      </c>
      <c r="E806" s="2" t="n">
        <v>1557</v>
      </c>
      <c r="F806" s="2" t="n">
        <v>1</v>
      </c>
      <c r="G806" s="2" t="n">
        <v>1</v>
      </c>
      <c r="H806" s="2" t="n">
        <v>1</v>
      </c>
      <c r="I806" s="2" t="n">
        <v>0</v>
      </c>
    </row>
    <row r="807">
      <c r="A807" s="2" t="n">
        <v>805</v>
      </c>
      <c r="B807" s="2" t="inlineStr">
        <is>
          <t>flip</t>
        </is>
      </c>
      <c r="C807" s="2" t="inlineStr">
        <is>
          <t>openssl TLS 1.2 only</t>
        </is>
      </c>
      <c r="D807" s="2" t="n">
        <v>215</v>
      </c>
      <c r="E807" s="2" t="n">
        <v>215</v>
      </c>
      <c r="F807" s="2" t="n">
        <v>0</v>
      </c>
      <c r="G807" s="2" t="n">
        <v>0</v>
      </c>
      <c r="H807" s="2" t="n">
        <v>0</v>
      </c>
      <c r="I807" s="2" t="n">
        <v>0</v>
      </c>
    </row>
    <row r="808">
      <c r="A808" s="2" t="n">
        <v>806</v>
      </c>
      <c r="B808" s="2" t="inlineStr">
        <is>
          <t>truncate</t>
        </is>
      </c>
      <c r="C808" s="2" t="inlineStr">
        <is>
          <t>openssl TLS 1.2 only</t>
        </is>
      </c>
      <c r="D808" s="2" t="n">
        <v>159</v>
      </c>
      <c r="E808" s="2" t="n">
        <v>159</v>
      </c>
      <c r="F808" s="2" t="n">
        <v>1</v>
      </c>
      <c r="G808" s="2" t="n">
        <v>1</v>
      </c>
      <c r="H808" s="2" t="n">
        <v>0</v>
      </c>
      <c r="I808" s="2" t="n">
        <v>0</v>
      </c>
    </row>
    <row r="809">
      <c r="A809" s="2" t="n">
        <v>807</v>
      </c>
      <c r="B809" s="2" t="inlineStr">
        <is>
          <t>length</t>
        </is>
      </c>
      <c r="C809" s="2" t="inlineStr">
        <is>
          <t>openssl 3.5.8 default</t>
        </is>
      </c>
      <c r="D809" s="2" t="n">
        <v>1548</v>
      </c>
      <c r="E809" s="2" t="n">
        <v>1548</v>
      </c>
      <c r="F809" s="2" t="n">
        <v>1</v>
      </c>
      <c r="G809" s="2" t="n">
        <v>0</v>
      </c>
      <c r="H809" s="2" t="n">
        <v>0</v>
      </c>
      <c r="I809" s="2" t="n">
        <v>0</v>
      </c>
    </row>
    <row r="810">
      <c r="A810" s="2" t="n">
        <v>808</v>
      </c>
      <c r="B810" s="2" t="inlineStr">
        <is>
          <t>insert</t>
        </is>
      </c>
      <c r="C810" s="2" t="inlineStr">
        <is>
          <t>browser firefox147</t>
        </is>
      </c>
      <c r="D810" s="2" t="n">
        <v>1913</v>
      </c>
      <c r="E810" s="2" t="n">
        <v>1913</v>
      </c>
      <c r="F810" s="2" t="n">
        <v>1</v>
      </c>
      <c r="G810" s="2" t="n">
        <v>1</v>
      </c>
      <c r="H810" s="2" t="n">
        <v>0</v>
      </c>
      <c r="I810" s="2" t="n">
        <v>0</v>
      </c>
    </row>
    <row r="811">
      <c r="A811" s="2" t="n">
        <v>809</v>
      </c>
      <c r="B811" s="2" t="inlineStr">
        <is>
          <t>flip</t>
        </is>
      </c>
      <c r="C811" s="2" t="inlineStr">
        <is>
          <t>openssl X25519 only (classical)</t>
        </is>
      </c>
      <c r="D811" s="2" t="n">
        <v>314</v>
      </c>
      <c r="E811" s="2" t="n">
        <v>314</v>
      </c>
      <c r="F811" s="2" t="n">
        <v>1</v>
      </c>
      <c r="G811" s="2" t="n">
        <v>1</v>
      </c>
      <c r="H811" s="2" t="n">
        <v>1</v>
      </c>
      <c r="I811" s="2" t="n">
        <v>0</v>
      </c>
    </row>
    <row r="812">
      <c r="A812" s="2" t="n">
        <v>810</v>
      </c>
      <c r="B812" s="2" t="inlineStr">
        <is>
          <t>truncate</t>
        </is>
      </c>
      <c r="C812" s="2" t="inlineStr">
        <is>
          <t>openssl X25519 only (classical)</t>
        </is>
      </c>
      <c r="D812" s="2" t="n">
        <v>254</v>
      </c>
      <c r="E812" s="2" t="n">
        <v>254</v>
      </c>
      <c r="F812" s="2" t="n">
        <v>1</v>
      </c>
      <c r="G812" s="2" t="n">
        <v>1</v>
      </c>
      <c r="H812" s="2" t="n">
        <v>0</v>
      </c>
      <c r="I812" s="2" t="n">
        <v>0</v>
      </c>
    </row>
    <row r="813">
      <c r="A813" s="2" t="n">
        <v>811</v>
      </c>
      <c r="B813" s="2" t="inlineStr">
        <is>
          <t>length</t>
        </is>
      </c>
      <c r="C813" s="2" t="inlineStr">
        <is>
          <t>browser chrome150</t>
        </is>
      </c>
      <c r="D813" s="2" t="n">
        <v>1763</v>
      </c>
      <c r="E813" s="2" t="n">
        <v>1763</v>
      </c>
      <c r="F813" s="2" t="n">
        <v>1</v>
      </c>
      <c r="G813" s="2" t="n">
        <v>1</v>
      </c>
      <c r="H813" s="2" t="n">
        <v>1</v>
      </c>
      <c r="I813" s="2" t="n">
        <v>0</v>
      </c>
    </row>
    <row r="814">
      <c r="A814" s="2" t="n">
        <v>812</v>
      </c>
      <c r="B814" s="2" t="inlineStr">
        <is>
          <t>insert</t>
        </is>
      </c>
      <c r="C814" s="2" t="inlineStr">
        <is>
          <t>browser chrome150</t>
        </is>
      </c>
      <c r="D814" s="2" t="n">
        <v>1770</v>
      </c>
      <c r="E814" s="2" t="n">
        <v>1770</v>
      </c>
      <c r="F814" s="2" t="n">
        <v>1</v>
      </c>
      <c r="G814" s="2" t="n">
        <v>1</v>
      </c>
      <c r="H814" s="2" t="n">
        <v>1</v>
      </c>
      <c r="I814" s="2" t="n">
        <v>0</v>
      </c>
    </row>
    <row r="815">
      <c r="A815" s="2" t="n">
        <v>813</v>
      </c>
      <c r="B815" s="2" t="inlineStr">
        <is>
          <t>flip</t>
        </is>
      </c>
      <c r="C815" s="2" t="inlineStr">
        <is>
          <t>browser chrome150</t>
        </is>
      </c>
      <c r="D815" s="2" t="n">
        <v>1763</v>
      </c>
      <c r="E815" s="2" t="n">
        <v>1763</v>
      </c>
      <c r="F815" s="2" t="n">
        <v>1</v>
      </c>
      <c r="G815" s="2" t="n">
        <v>1</v>
      </c>
      <c r="H815" s="2" t="n">
        <v>1</v>
      </c>
      <c r="I815" s="2" t="n">
        <v>0</v>
      </c>
    </row>
    <row r="816">
      <c r="A816" s="2" t="n">
        <v>814</v>
      </c>
      <c r="B816" s="2" t="inlineStr">
        <is>
          <t>truncate</t>
        </is>
      </c>
      <c r="C816" s="2" t="inlineStr">
        <is>
          <t>browser chrome150</t>
        </is>
      </c>
      <c r="D816" s="2" t="n">
        <v>253</v>
      </c>
      <c r="E816" s="2" t="n">
        <v>253</v>
      </c>
      <c r="F816" s="2" t="n">
        <v>1</v>
      </c>
      <c r="G816" s="2" t="n">
        <v>1</v>
      </c>
      <c r="H816" s="2" t="n">
        <v>1</v>
      </c>
      <c r="I816" s="2" t="n">
        <v>0</v>
      </c>
    </row>
    <row r="817">
      <c r="A817" s="2" t="n">
        <v>815</v>
      </c>
      <c r="B817" s="2" t="inlineStr">
        <is>
          <t>length</t>
        </is>
      </c>
      <c r="C817" s="2" t="inlineStr">
        <is>
          <t>browser chrome150</t>
        </is>
      </c>
      <c r="D817" s="2" t="n">
        <v>1763</v>
      </c>
      <c r="E817" s="2" t="n">
        <v>1763</v>
      </c>
      <c r="F817" s="2" t="n">
        <v>1</v>
      </c>
      <c r="G817" s="2" t="n">
        <v>1</v>
      </c>
      <c r="H817" s="2" t="n">
        <v>0</v>
      </c>
      <c r="I817" s="2" t="n">
        <v>0</v>
      </c>
    </row>
    <row r="818">
      <c r="A818" s="2" t="n">
        <v>816</v>
      </c>
      <c r="B818" s="2" t="inlineStr">
        <is>
          <t>insert</t>
        </is>
      </c>
      <c r="C818" s="2" t="inlineStr">
        <is>
          <t>openssl 3.5.8 default</t>
        </is>
      </c>
      <c r="D818" s="2" t="n">
        <v>1564</v>
      </c>
      <c r="E818" s="2" t="n">
        <v>1564</v>
      </c>
      <c r="F818" s="2" t="n">
        <v>1</v>
      </c>
      <c r="G818" s="2" t="n">
        <v>1</v>
      </c>
      <c r="H818" s="2" t="n">
        <v>1</v>
      </c>
      <c r="I818" s="2" t="n">
        <v>0</v>
      </c>
    </row>
    <row r="819">
      <c r="A819" s="2" t="n">
        <v>817</v>
      </c>
      <c r="B819" s="2" t="inlineStr">
        <is>
          <t>flip</t>
        </is>
      </c>
      <c r="C819" s="2" t="inlineStr">
        <is>
          <t>openssl 3.5.8 default</t>
        </is>
      </c>
      <c r="D819" s="2" t="n">
        <v>1548</v>
      </c>
      <c r="E819" s="2" t="n">
        <v>1548</v>
      </c>
      <c r="F819" s="2" t="n">
        <v>1</v>
      </c>
      <c r="G819" s="2" t="n">
        <v>1</v>
      </c>
      <c r="H819" s="2" t="n">
        <v>1</v>
      </c>
      <c r="I819" s="2" t="n">
        <v>0</v>
      </c>
    </row>
    <row r="820">
      <c r="A820" s="2" t="n">
        <v>818</v>
      </c>
      <c r="B820" s="2" t="inlineStr">
        <is>
          <t>truncate</t>
        </is>
      </c>
      <c r="C820" s="2" t="inlineStr">
        <is>
          <t>browser chrome150</t>
        </is>
      </c>
      <c r="D820" s="2" t="n">
        <v>1659</v>
      </c>
      <c r="E820" s="2" t="n">
        <v>1659</v>
      </c>
      <c r="F820" s="2" t="n">
        <v>1</v>
      </c>
      <c r="G820" s="2" t="n">
        <v>1</v>
      </c>
      <c r="H820" s="2" t="n">
        <v>1</v>
      </c>
      <c r="I820" s="2" t="n">
        <v>0</v>
      </c>
    </row>
    <row r="821">
      <c r="A821" s="2" t="n">
        <v>819</v>
      </c>
      <c r="B821" s="2" t="inlineStr">
        <is>
          <t>length</t>
        </is>
      </c>
      <c r="C821" s="2" t="inlineStr">
        <is>
          <t>openssl 3.5.8 default</t>
        </is>
      </c>
      <c r="D821" s="2" t="n">
        <v>1548</v>
      </c>
      <c r="E821" s="2" t="n">
        <v>1548</v>
      </c>
      <c r="F821" s="2" t="n">
        <v>1</v>
      </c>
      <c r="G821" s="2" t="n">
        <v>1</v>
      </c>
      <c r="H821" s="2" t="n">
        <v>1</v>
      </c>
      <c r="I821" s="2" t="n">
        <v>0</v>
      </c>
    </row>
    <row r="822">
      <c r="A822" s="2" t="n">
        <v>820</v>
      </c>
      <c r="B822" s="2" t="inlineStr">
        <is>
          <t>insert</t>
        </is>
      </c>
      <c r="C822" s="2" t="inlineStr">
        <is>
          <t>openssl 3.5.8 default</t>
        </is>
      </c>
      <c r="D822" s="2" t="n">
        <v>1555</v>
      </c>
      <c r="E822" s="2" t="n">
        <v>1555</v>
      </c>
      <c r="F822" s="2" t="n">
        <v>1</v>
      </c>
      <c r="G822" s="2" t="n">
        <v>0</v>
      </c>
      <c r="H822" s="2" t="n">
        <v>0</v>
      </c>
      <c r="I822" s="2" t="n">
        <v>0</v>
      </c>
    </row>
    <row r="823">
      <c r="A823" s="2" t="n">
        <v>821</v>
      </c>
      <c r="B823" s="2" t="inlineStr">
        <is>
          <t>flip</t>
        </is>
      </c>
      <c r="C823" s="2" t="inlineStr">
        <is>
          <t>openssl 3.5.8 default</t>
        </is>
      </c>
      <c r="D823" s="2" t="n">
        <v>1548</v>
      </c>
      <c r="E823" s="2" t="n">
        <v>1548</v>
      </c>
      <c r="F823" s="2" t="n">
        <v>1</v>
      </c>
      <c r="G823" s="2" t="n">
        <v>1</v>
      </c>
      <c r="H823" s="2" t="n">
        <v>1</v>
      </c>
      <c r="I823" s="2" t="n">
        <v>0</v>
      </c>
    </row>
    <row r="824">
      <c r="A824" s="2" t="n">
        <v>822</v>
      </c>
      <c r="B824" s="2" t="inlineStr">
        <is>
          <t>truncate</t>
        </is>
      </c>
      <c r="C824" s="2" t="inlineStr">
        <is>
          <t>openssl X25519 only (classical)</t>
        </is>
      </c>
      <c r="D824" s="2" t="n">
        <v>191</v>
      </c>
      <c r="E824" s="2" t="n">
        <v>191</v>
      </c>
      <c r="F824" s="2" t="n">
        <v>1</v>
      </c>
      <c r="G824" s="2" t="n">
        <v>1</v>
      </c>
      <c r="H824" s="2" t="n">
        <v>0</v>
      </c>
      <c r="I824" s="2" t="n">
        <v>0</v>
      </c>
    </row>
    <row r="825">
      <c r="A825" s="2" t="n">
        <v>823</v>
      </c>
      <c r="B825" s="2" t="inlineStr">
        <is>
          <t>length</t>
        </is>
      </c>
      <c r="C825" s="2" t="inlineStr">
        <is>
          <t>openssl TLS 1.2 only</t>
        </is>
      </c>
      <c r="D825" s="2" t="n">
        <v>215</v>
      </c>
      <c r="E825" s="2" t="n">
        <v>215</v>
      </c>
      <c r="F825" s="2" t="n">
        <v>0</v>
      </c>
      <c r="G825" s="2" t="n">
        <v>0</v>
      </c>
      <c r="H825" s="2" t="n">
        <v>0</v>
      </c>
      <c r="I825" s="2" t="n">
        <v>0</v>
      </c>
    </row>
    <row r="826">
      <c r="A826" s="2" t="n">
        <v>824</v>
      </c>
      <c r="B826" s="2" t="inlineStr">
        <is>
          <t>insert</t>
        </is>
      </c>
      <c r="C826" s="2" t="inlineStr">
        <is>
          <t>openssl 3.5.8 default</t>
        </is>
      </c>
      <c r="D826" s="2" t="n">
        <v>1551</v>
      </c>
      <c r="E826" s="2" t="n">
        <v>1551</v>
      </c>
      <c r="F826" s="2" t="n">
        <v>1</v>
      </c>
      <c r="G826" s="2" t="n">
        <v>1</v>
      </c>
      <c r="H826" s="2" t="n">
        <v>1</v>
      </c>
      <c r="I826" s="2" t="n">
        <v>0</v>
      </c>
    </row>
    <row r="827">
      <c r="A827" s="2" t="n">
        <v>825</v>
      </c>
      <c r="B827" s="2" t="inlineStr">
        <is>
          <t>flip</t>
        </is>
      </c>
      <c r="C827" s="2" t="inlineStr">
        <is>
          <t>openssl 3.5.8 default</t>
        </is>
      </c>
      <c r="D827" s="2" t="n">
        <v>1548</v>
      </c>
      <c r="E827" s="2" t="n">
        <v>1548</v>
      </c>
      <c r="F827" s="2" t="n">
        <v>1</v>
      </c>
      <c r="G827" s="2" t="n">
        <v>1</v>
      </c>
      <c r="H827" s="2" t="n">
        <v>1</v>
      </c>
      <c r="I827" s="2" t="n">
        <v>0</v>
      </c>
    </row>
    <row r="828">
      <c r="A828" s="2" t="n">
        <v>826</v>
      </c>
      <c r="B828" s="2" t="inlineStr">
        <is>
          <t>truncate</t>
        </is>
      </c>
      <c r="C828" s="2" t="inlineStr">
        <is>
          <t>browser firefox147</t>
        </is>
      </c>
      <c r="D828" s="2" t="n">
        <v>132</v>
      </c>
      <c r="E828" s="2" t="n">
        <v>132</v>
      </c>
      <c r="F828" s="2" t="n">
        <v>1</v>
      </c>
      <c r="G828" s="2" t="n">
        <v>1</v>
      </c>
      <c r="H828" s="2" t="n">
        <v>0</v>
      </c>
      <c r="I828" s="2" t="n">
        <v>0</v>
      </c>
    </row>
    <row r="829">
      <c r="A829" s="2" t="n">
        <v>827</v>
      </c>
      <c r="B829" s="2" t="inlineStr">
        <is>
          <t>length</t>
        </is>
      </c>
      <c r="C829" s="2" t="inlineStr">
        <is>
          <t>browser chrome150</t>
        </is>
      </c>
      <c r="D829" s="2" t="n">
        <v>1763</v>
      </c>
      <c r="E829" s="2" t="n">
        <v>1763</v>
      </c>
      <c r="F829" s="2" t="n">
        <v>1</v>
      </c>
      <c r="G829" s="2" t="n">
        <v>1</v>
      </c>
      <c r="H829" s="2" t="n">
        <v>1</v>
      </c>
      <c r="I829" s="2" t="n">
        <v>0</v>
      </c>
    </row>
    <row r="830">
      <c r="A830" s="2" t="n">
        <v>828</v>
      </c>
      <c r="B830" s="2" t="inlineStr">
        <is>
          <t>insert</t>
        </is>
      </c>
      <c r="C830" s="2" t="inlineStr">
        <is>
          <t>openssl 3.5.8 default</t>
        </is>
      </c>
      <c r="D830" s="2" t="n">
        <v>1555</v>
      </c>
      <c r="E830" s="2" t="n">
        <v>1555</v>
      </c>
      <c r="F830" s="2" t="n">
        <v>1</v>
      </c>
      <c r="G830" s="2" t="n">
        <v>1</v>
      </c>
      <c r="H830" s="2" t="n">
        <v>1</v>
      </c>
      <c r="I830" s="2" t="n">
        <v>0</v>
      </c>
    </row>
    <row r="831">
      <c r="A831" s="2" t="n">
        <v>829</v>
      </c>
      <c r="B831" s="2" t="inlineStr">
        <is>
          <t>flip</t>
        </is>
      </c>
      <c r="C831" s="2" t="inlineStr">
        <is>
          <t>openssl 3.5.8 default</t>
        </is>
      </c>
      <c r="D831" s="2" t="n">
        <v>1548</v>
      </c>
      <c r="E831" s="2" t="n">
        <v>1548</v>
      </c>
      <c r="F831" s="2" t="n">
        <v>1</v>
      </c>
      <c r="G831" s="2" t="n">
        <v>1</v>
      </c>
      <c r="H831" s="2" t="n">
        <v>1</v>
      </c>
      <c r="I831" s="2" t="n">
        <v>0</v>
      </c>
    </row>
    <row r="832">
      <c r="A832" s="2" t="n">
        <v>830</v>
      </c>
      <c r="B832" s="2" t="inlineStr">
        <is>
          <t>truncate</t>
        </is>
      </c>
      <c r="C832" s="2" t="inlineStr">
        <is>
          <t>browser firefox147</t>
        </is>
      </c>
      <c r="D832" s="2" t="n">
        <v>571</v>
      </c>
      <c r="E832" s="2" t="n">
        <v>571</v>
      </c>
      <c r="F832" s="2" t="n">
        <v>1</v>
      </c>
      <c r="G832" s="2" t="n">
        <v>1</v>
      </c>
      <c r="H832" s="2" t="n">
        <v>0</v>
      </c>
      <c r="I832" s="2" t="n">
        <v>0</v>
      </c>
    </row>
    <row r="833">
      <c r="A833" s="2" t="n">
        <v>831</v>
      </c>
      <c r="B833" s="2" t="inlineStr">
        <is>
          <t>length</t>
        </is>
      </c>
      <c r="C833" s="2" t="inlineStr">
        <is>
          <t>openssl 3.5.8 default</t>
        </is>
      </c>
      <c r="D833" s="2" t="n">
        <v>1548</v>
      </c>
      <c r="E833" s="2" t="n">
        <v>1548</v>
      </c>
      <c r="F833" s="2" t="n">
        <v>1</v>
      </c>
      <c r="G833" s="2" t="n">
        <v>1</v>
      </c>
      <c r="H833" s="2" t="n">
        <v>1</v>
      </c>
      <c r="I833" s="2" t="n">
        <v>0</v>
      </c>
    </row>
    <row r="834">
      <c r="A834" s="2" t="n">
        <v>832</v>
      </c>
      <c r="B834" s="2" t="inlineStr">
        <is>
          <t>insert</t>
        </is>
      </c>
      <c r="C834" s="2" t="inlineStr">
        <is>
          <t>browser firefox147</t>
        </is>
      </c>
      <c r="D834" s="2" t="n">
        <v>1909</v>
      </c>
      <c r="E834" s="2" t="n">
        <v>1909</v>
      </c>
      <c r="F834" s="2" t="n">
        <v>1</v>
      </c>
      <c r="G834" s="2" t="n">
        <v>1</v>
      </c>
      <c r="H834" s="2" t="n">
        <v>0</v>
      </c>
      <c r="I834" s="2" t="n">
        <v>0</v>
      </c>
    </row>
    <row r="835">
      <c r="A835" s="2" t="n">
        <v>833</v>
      </c>
      <c r="B835" s="2" t="inlineStr">
        <is>
          <t>flip</t>
        </is>
      </c>
      <c r="C835" s="2" t="inlineStr">
        <is>
          <t>browser firefox147</t>
        </is>
      </c>
      <c r="D835" s="2" t="n">
        <v>1901</v>
      </c>
      <c r="E835" s="2" t="n">
        <v>1901</v>
      </c>
      <c r="F835" s="2" t="n">
        <v>1</v>
      </c>
      <c r="G835" s="2" t="n">
        <v>1</v>
      </c>
      <c r="H835" s="2" t="n">
        <v>0</v>
      </c>
      <c r="I835" s="2" t="n">
        <v>0</v>
      </c>
    </row>
    <row r="836">
      <c r="A836" s="2" t="n">
        <v>834</v>
      </c>
      <c r="B836" s="2" t="inlineStr">
        <is>
          <t>truncate</t>
        </is>
      </c>
      <c r="C836" s="2" t="inlineStr">
        <is>
          <t>browser chrome150</t>
        </is>
      </c>
      <c r="D836" s="2" t="n">
        <v>754</v>
      </c>
      <c r="E836" s="2" t="n">
        <v>754</v>
      </c>
      <c r="F836" s="2" t="n">
        <v>1</v>
      </c>
      <c r="G836" s="2" t="n">
        <v>1</v>
      </c>
      <c r="H836" s="2" t="n">
        <v>1</v>
      </c>
      <c r="I836" s="2" t="n">
        <v>0</v>
      </c>
    </row>
    <row r="837">
      <c r="A837" s="2" t="n">
        <v>835</v>
      </c>
      <c r="B837" s="2" t="inlineStr">
        <is>
          <t>length</t>
        </is>
      </c>
      <c r="C837" s="2" t="inlineStr">
        <is>
          <t>openssl 3.5.8 default</t>
        </is>
      </c>
      <c r="D837" s="2" t="n">
        <v>1548</v>
      </c>
      <c r="E837" s="2" t="n">
        <v>1548</v>
      </c>
      <c r="F837" s="2" t="n">
        <v>1</v>
      </c>
      <c r="G837" s="2" t="n">
        <v>1</v>
      </c>
      <c r="H837" s="2" t="n">
        <v>1</v>
      </c>
      <c r="I837" s="2" t="n">
        <v>0</v>
      </c>
    </row>
    <row r="838">
      <c r="A838" s="2" t="n">
        <v>836</v>
      </c>
      <c r="B838" s="2" t="inlineStr">
        <is>
          <t>insert</t>
        </is>
      </c>
      <c r="C838" s="2" t="inlineStr">
        <is>
          <t>browser firefox147</t>
        </is>
      </c>
      <c r="D838" s="2" t="n">
        <v>1903</v>
      </c>
      <c r="E838" s="2" t="n">
        <v>1903</v>
      </c>
      <c r="F838" s="2" t="n">
        <v>1</v>
      </c>
      <c r="G838" s="2" t="n">
        <v>1</v>
      </c>
      <c r="H838" s="2" t="n">
        <v>0</v>
      </c>
      <c r="I838" s="2" t="n">
        <v>0</v>
      </c>
    </row>
    <row r="839">
      <c r="A839" s="2" t="n">
        <v>837</v>
      </c>
      <c r="B839" s="2" t="inlineStr">
        <is>
          <t>flip</t>
        </is>
      </c>
      <c r="C839" s="2" t="inlineStr">
        <is>
          <t>openssl X25519 only (classical)</t>
        </is>
      </c>
      <c r="D839" s="2" t="n">
        <v>314</v>
      </c>
      <c r="E839" s="2" t="n">
        <v>314</v>
      </c>
      <c r="F839" s="2" t="n">
        <v>1</v>
      </c>
      <c r="G839" s="2" t="n">
        <v>1</v>
      </c>
      <c r="H839" s="2" t="n">
        <v>1</v>
      </c>
      <c r="I839" s="2" t="n">
        <v>0</v>
      </c>
    </row>
    <row r="840">
      <c r="A840" s="2" t="n">
        <v>838</v>
      </c>
      <c r="B840" s="2" t="inlineStr">
        <is>
          <t>truncate</t>
        </is>
      </c>
      <c r="C840" s="2" t="inlineStr">
        <is>
          <t>openssl TLS 1.2 only</t>
        </is>
      </c>
      <c r="D840" s="2" t="n">
        <v>154</v>
      </c>
      <c r="E840" s="2" t="n">
        <v>154</v>
      </c>
      <c r="F840" s="2" t="n">
        <v>1</v>
      </c>
      <c r="G840" s="2" t="n">
        <v>1</v>
      </c>
      <c r="H840" s="2" t="n">
        <v>0</v>
      </c>
      <c r="I840" s="2" t="n">
        <v>0</v>
      </c>
    </row>
    <row r="841">
      <c r="A841" s="2" t="n">
        <v>839</v>
      </c>
      <c r="B841" s="2" t="inlineStr">
        <is>
          <t>length</t>
        </is>
      </c>
      <c r="C841" s="2" t="inlineStr">
        <is>
          <t>openssl 3.5.8 default</t>
        </is>
      </c>
      <c r="D841" s="2" t="n">
        <v>1548</v>
      </c>
      <c r="E841" s="2" t="n">
        <v>1548</v>
      </c>
      <c r="F841" s="2" t="n">
        <v>1</v>
      </c>
      <c r="G841" s="2" t="n">
        <v>1</v>
      </c>
      <c r="H841" s="2" t="n">
        <v>1</v>
      </c>
      <c r="I841" s="2" t="n">
        <v>0</v>
      </c>
    </row>
    <row r="842">
      <c r="A842" s="2" t="n">
        <v>840</v>
      </c>
      <c r="B842" s="2" t="inlineStr">
        <is>
          <t>insert</t>
        </is>
      </c>
      <c r="C842" s="2" t="inlineStr">
        <is>
          <t>openssl X25519 only (classical)</t>
        </is>
      </c>
      <c r="D842" s="2" t="n">
        <v>322</v>
      </c>
      <c r="E842" s="2" t="n">
        <v>322</v>
      </c>
      <c r="F842" s="2" t="n">
        <v>1</v>
      </c>
      <c r="G842" s="2" t="n">
        <v>0</v>
      </c>
      <c r="H842" s="2" t="n">
        <v>0</v>
      </c>
      <c r="I842" s="2" t="n">
        <v>0</v>
      </c>
    </row>
    <row r="843">
      <c r="A843" s="2" t="n">
        <v>841</v>
      </c>
      <c r="B843" s="2" t="inlineStr">
        <is>
          <t>flip</t>
        </is>
      </c>
      <c r="C843" s="2" t="inlineStr">
        <is>
          <t>browser firefox147</t>
        </is>
      </c>
      <c r="D843" s="2" t="n">
        <v>1901</v>
      </c>
      <c r="E843" s="2" t="n">
        <v>1901</v>
      </c>
      <c r="F843" s="2" t="n">
        <v>1</v>
      </c>
      <c r="G843" s="2" t="n">
        <v>1</v>
      </c>
      <c r="H843" s="2" t="n">
        <v>0</v>
      </c>
      <c r="I843" s="2" t="n">
        <v>0</v>
      </c>
    </row>
    <row r="844">
      <c r="A844" s="2" t="n">
        <v>842</v>
      </c>
      <c r="B844" s="2" t="inlineStr">
        <is>
          <t>truncate</t>
        </is>
      </c>
      <c r="C844" s="2" t="inlineStr">
        <is>
          <t>openssl X25519 only (classical)</t>
        </is>
      </c>
      <c r="D844" s="2" t="n">
        <v>159</v>
      </c>
      <c r="E844" s="2" t="n">
        <v>159</v>
      </c>
      <c r="F844" s="2" t="n">
        <v>1</v>
      </c>
      <c r="G844" s="2" t="n">
        <v>1</v>
      </c>
      <c r="H844" s="2" t="n">
        <v>0</v>
      </c>
      <c r="I844" s="2" t="n">
        <v>0</v>
      </c>
    </row>
    <row r="845">
      <c r="A845" s="2" t="n">
        <v>843</v>
      </c>
      <c r="B845" s="2" t="inlineStr">
        <is>
          <t>length</t>
        </is>
      </c>
      <c r="C845" s="2" t="inlineStr">
        <is>
          <t>openssl TLS 1.2 only</t>
        </is>
      </c>
      <c r="D845" s="2" t="n">
        <v>215</v>
      </c>
      <c r="E845" s="2" t="n">
        <v>215</v>
      </c>
      <c r="F845" s="2" t="n">
        <v>1</v>
      </c>
      <c r="G845" s="2" t="n">
        <v>0</v>
      </c>
      <c r="H845" s="2" t="n">
        <v>0</v>
      </c>
      <c r="I845" s="2" t="n">
        <v>0</v>
      </c>
    </row>
    <row r="846">
      <c r="A846" s="2" t="n">
        <v>844</v>
      </c>
      <c r="B846" s="2" t="inlineStr">
        <is>
          <t>insert</t>
        </is>
      </c>
      <c r="C846" s="2" t="inlineStr">
        <is>
          <t>browser chrome150</t>
        </is>
      </c>
      <c r="D846" s="2" t="n">
        <v>1777</v>
      </c>
      <c r="E846" s="2" t="n">
        <v>1777</v>
      </c>
      <c r="F846" s="2" t="n">
        <v>1</v>
      </c>
      <c r="G846" s="2" t="n">
        <v>1</v>
      </c>
      <c r="H846" s="2" t="n">
        <v>1</v>
      </c>
      <c r="I846" s="2" t="n">
        <v>0</v>
      </c>
    </row>
    <row r="847">
      <c r="A847" s="2" t="n">
        <v>845</v>
      </c>
      <c r="B847" s="2" t="inlineStr">
        <is>
          <t>flip</t>
        </is>
      </c>
      <c r="C847" s="2" t="inlineStr">
        <is>
          <t>browser firefox147</t>
        </is>
      </c>
      <c r="D847" s="2" t="n">
        <v>1901</v>
      </c>
      <c r="E847" s="2" t="n">
        <v>1901</v>
      </c>
      <c r="F847" s="2" t="n">
        <v>1</v>
      </c>
      <c r="G847" s="2" t="n">
        <v>1</v>
      </c>
      <c r="H847" s="2" t="n">
        <v>0</v>
      </c>
      <c r="I847" s="2" t="n">
        <v>0</v>
      </c>
    </row>
    <row r="848">
      <c r="A848" s="2" t="n">
        <v>846</v>
      </c>
      <c r="B848" s="2" t="inlineStr">
        <is>
          <t>truncate</t>
        </is>
      </c>
      <c r="C848" s="2" t="inlineStr">
        <is>
          <t>openssl 3.5.8 default</t>
        </is>
      </c>
      <c r="D848" s="2" t="n">
        <v>36</v>
      </c>
      <c r="E848" s="2" t="n">
        <v>36</v>
      </c>
      <c r="F848" s="2" t="n">
        <v>1</v>
      </c>
      <c r="G848" s="2" t="n">
        <v>0</v>
      </c>
      <c r="H848" s="2" t="n">
        <v>0</v>
      </c>
      <c r="I848" s="2" t="n">
        <v>0</v>
      </c>
    </row>
    <row r="849">
      <c r="A849" s="2" t="n">
        <v>847</v>
      </c>
      <c r="B849" s="2" t="inlineStr">
        <is>
          <t>length</t>
        </is>
      </c>
      <c r="C849" s="2" t="inlineStr">
        <is>
          <t>browser firefox147</t>
        </is>
      </c>
      <c r="D849" s="2" t="n">
        <v>1901</v>
      </c>
      <c r="E849" s="2" t="n">
        <v>1901</v>
      </c>
      <c r="F849" s="2" t="n">
        <v>1</v>
      </c>
      <c r="G849" s="2" t="n">
        <v>1</v>
      </c>
      <c r="H849" s="2" t="n">
        <v>1</v>
      </c>
      <c r="I849" s="2" t="n">
        <v>0</v>
      </c>
    </row>
    <row r="850">
      <c r="A850" s="2" t="n">
        <v>848</v>
      </c>
      <c r="B850" s="2" t="inlineStr">
        <is>
          <t>insert</t>
        </is>
      </c>
      <c r="C850" s="2" t="inlineStr">
        <is>
          <t>browser chrome150</t>
        </is>
      </c>
      <c r="D850" s="2" t="n">
        <v>1777</v>
      </c>
      <c r="E850" s="2" t="n">
        <v>1777</v>
      </c>
      <c r="F850" s="2" t="n">
        <v>1</v>
      </c>
      <c r="G850" s="2" t="n">
        <v>0</v>
      </c>
      <c r="H850" s="2" t="n">
        <v>0</v>
      </c>
      <c r="I850" s="2" t="n">
        <v>0</v>
      </c>
    </row>
    <row r="851">
      <c r="A851" s="2" t="n">
        <v>849</v>
      </c>
      <c r="B851" s="2" t="inlineStr">
        <is>
          <t>flip</t>
        </is>
      </c>
      <c r="C851" s="2" t="inlineStr">
        <is>
          <t>openssl X25519 only (classical)</t>
        </is>
      </c>
      <c r="D851" s="2" t="n">
        <v>314</v>
      </c>
      <c r="E851" s="2" t="n">
        <v>314</v>
      </c>
      <c r="F851" s="2" t="n">
        <v>1</v>
      </c>
      <c r="G851" s="2" t="n">
        <v>1</v>
      </c>
      <c r="H851" s="2" t="n">
        <v>1</v>
      </c>
      <c r="I851" s="2" t="n">
        <v>0</v>
      </c>
    </row>
    <row r="852">
      <c r="A852" s="2" t="n">
        <v>850</v>
      </c>
      <c r="B852" s="2" t="inlineStr">
        <is>
          <t>truncate</t>
        </is>
      </c>
      <c r="C852" s="2" t="inlineStr">
        <is>
          <t>openssl TLS 1.2 only</t>
        </is>
      </c>
      <c r="D852" s="2" t="n">
        <v>10</v>
      </c>
      <c r="E852" s="2" t="n">
        <v>10</v>
      </c>
      <c r="F852" s="2" t="n">
        <v>1</v>
      </c>
      <c r="G852" s="2" t="n">
        <v>0</v>
      </c>
      <c r="H852" s="2" t="n">
        <v>0</v>
      </c>
      <c r="I852" s="2" t="n">
        <v>0</v>
      </c>
    </row>
    <row r="853">
      <c r="A853" s="2" t="n">
        <v>851</v>
      </c>
      <c r="B853" s="2" t="inlineStr">
        <is>
          <t>length</t>
        </is>
      </c>
      <c r="C853" s="2" t="inlineStr">
        <is>
          <t>openssl 3.5.8 default</t>
        </is>
      </c>
      <c r="D853" s="2" t="n">
        <v>1548</v>
      </c>
      <c r="E853" s="2" t="n">
        <v>1548</v>
      </c>
      <c r="F853" s="2" t="n">
        <v>1</v>
      </c>
      <c r="G853" s="2" t="n">
        <v>1</v>
      </c>
      <c r="H853" s="2" t="n">
        <v>1</v>
      </c>
      <c r="I853" s="2" t="n">
        <v>0</v>
      </c>
    </row>
    <row r="854">
      <c r="A854" s="2" t="n">
        <v>852</v>
      </c>
      <c r="B854" s="2" t="inlineStr">
        <is>
          <t>insert</t>
        </is>
      </c>
      <c r="C854" s="2" t="inlineStr">
        <is>
          <t>openssl 3.5.8 default</t>
        </is>
      </c>
      <c r="D854" s="2" t="n">
        <v>1557</v>
      </c>
      <c r="E854" s="2" t="n">
        <v>1557</v>
      </c>
      <c r="F854" s="2" t="n">
        <v>1</v>
      </c>
      <c r="G854" s="2" t="n">
        <v>1</v>
      </c>
      <c r="H854" s="2" t="n">
        <v>1</v>
      </c>
      <c r="I854" s="2" t="n">
        <v>0</v>
      </c>
    </row>
    <row r="855">
      <c r="A855" s="2" t="n">
        <v>853</v>
      </c>
      <c r="B855" s="2" t="inlineStr">
        <is>
          <t>flip</t>
        </is>
      </c>
      <c r="C855" s="2" t="inlineStr">
        <is>
          <t>openssl X25519 only (classical)</t>
        </is>
      </c>
      <c r="D855" s="2" t="n">
        <v>314</v>
      </c>
      <c r="E855" s="2" t="n">
        <v>314</v>
      </c>
      <c r="F855" s="2" t="n">
        <v>1</v>
      </c>
      <c r="G855" s="2" t="n">
        <v>1</v>
      </c>
      <c r="H855" s="2" t="n">
        <v>1</v>
      </c>
      <c r="I855" s="2" t="n">
        <v>0</v>
      </c>
    </row>
    <row r="856">
      <c r="A856" s="2" t="n">
        <v>854</v>
      </c>
      <c r="B856" s="2" t="inlineStr">
        <is>
          <t>truncate</t>
        </is>
      </c>
      <c r="C856" s="2" t="inlineStr">
        <is>
          <t>browser chrome150</t>
        </is>
      </c>
      <c r="D856" s="2" t="n">
        <v>751</v>
      </c>
      <c r="E856" s="2" t="n">
        <v>751</v>
      </c>
      <c r="F856" s="2" t="n">
        <v>1</v>
      </c>
      <c r="G856" s="2" t="n">
        <v>1</v>
      </c>
      <c r="H856" s="2" t="n">
        <v>1</v>
      </c>
      <c r="I856" s="2" t="n">
        <v>0</v>
      </c>
    </row>
    <row r="857">
      <c r="A857" s="2" t="n">
        <v>855</v>
      </c>
      <c r="B857" s="2" t="inlineStr">
        <is>
          <t>length</t>
        </is>
      </c>
      <c r="C857" s="2" t="inlineStr">
        <is>
          <t>openssl 3.5.8 default</t>
        </is>
      </c>
      <c r="D857" s="2" t="n">
        <v>1548</v>
      </c>
      <c r="E857" s="2" t="n">
        <v>1548</v>
      </c>
      <c r="F857" s="2" t="n">
        <v>1</v>
      </c>
      <c r="G857" s="2" t="n">
        <v>1</v>
      </c>
      <c r="H857" s="2" t="n">
        <v>1</v>
      </c>
      <c r="I857" s="2" t="n">
        <v>0</v>
      </c>
    </row>
    <row r="858">
      <c r="A858" s="2" t="n">
        <v>856</v>
      </c>
      <c r="B858" s="2" t="inlineStr">
        <is>
          <t>insert</t>
        </is>
      </c>
      <c r="C858" s="2" t="inlineStr">
        <is>
          <t>browser chrome150</t>
        </is>
      </c>
      <c r="D858" s="2" t="n">
        <v>1769</v>
      </c>
      <c r="E858" s="2" t="n">
        <v>1769</v>
      </c>
      <c r="F858" s="2" t="n">
        <v>1</v>
      </c>
      <c r="G858" s="2" t="n">
        <v>1</v>
      </c>
      <c r="H858" s="2" t="n">
        <v>1</v>
      </c>
      <c r="I858" s="2" t="n">
        <v>0</v>
      </c>
    </row>
    <row r="859">
      <c r="A859" s="2" t="n">
        <v>857</v>
      </c>
      <c r="B859" s="2" t="inlineStr">
        <is>
          <t>flip</t>
        </is>
      </c>
      <c r="C859" s="2" t="inlineStr">
        <is>
          <t>browser firefox147</t>
        </is>
      </c>
      <c r="D859" s="2" t="n">
        <v>1901</v>
      </c>
      <c r="E859" s="2" t="n">
        <v>1901</v>
      </c>
      <c r="F859" s="2" t="n">
        <v>1</v>
      </c>
      <c r="G859" s="2" t="n">
        <v>1</v>
      </c>
      <c r="H859" s="2" t="n">
        <v>0</v>
      </c>
      <c r="I859" s="2" t="n">
        <v>0</v>
      </c>
    </row>
    <row r="860">
      <c r="A860" s="2" t="n">
        <v>858</v>
      </c>
      <c r="B860" s="2" t="inlineStr">
        <is>
          <t>truncate</t>
        </is>
      </c>
      <c r="C860" s="2" t="inlineStr">
        <is>
          <t>browser firefox147</t>
        </is>
      </c>
      <c r="D860" s="2" t="n">
        <v>482</v>
      </c>
      <c r="E860" s="2" t="n">
        <v>482</v>
      </c>
      <c r="F860" s="2" t="n">
        <v>1</v>
      </c>
      <c r="G860" s="2" t="n">
        <v>1</v>
      </c>
      <c r="H860" s="2" t="n">
        <v>0</v>
      </c>
      <c r="I860" s="2" t="n">
        <v>0</v>
      </c>
    </row>
    <row r="861">
      <c r="A861" s="2" t="n">
        <v>859</v>
      </c>
      <c r="B861" s="2" t="inlineStr">
        <is>
          <t>length</t>
        </is>
      </c>
      <c r="C861" s="2" t="inlineStr">
        <is>
          <t>openssl 3.5.8 default</t>
        </is>
      </c>
      <c r="D861" s="2" t="n">
        <v>1548</v>
      </c>
      <c r="E861" s="2" t="n">
        <v>1548</v>
      </c>
      <c r="F861" s="2" t="n">
        <v>0</v>
      </c>
      <c r="G861" s="2" t="n">
        <v>0</v>
      </c>
      <c r="H861" s="2" t="n">
        <v>0</v>
      </c>
      <c r="I861" s="2" t="n">
        <v>0</v>
      </c>
    </row>
    <row r="862">
      <c r="A862" s="2" t="n">
        <v>860</v>
      </c>
      <c r="B862" s="2" t="inlineStr">
        <is>
          <t>insert</t>
        </is>
      </c>
      <c r="C862" s="2" t="inlineStr">
        <is>
          <t>openssl X25519 only (classical)</t>
        </is>
      </c>
      <c r="D862" s="2" t="n">
        <v>317</v>
      </c>
      <c r="E862" s="2" t="n">
        <v>317</v>
      </c>
      <c r="F862" s="2" t="n">
        <v>1</v>
      </c>
      <c r="G862" s="2" t="n">
        <v>1</v>
      </c>
      <c r="H862" s="2" t="n">
        <v>1</v>
      </c>
      <c r="I862" s="2" t="n">
        <v>0</v>
      </c>
    </row>
    <row r="863">
      <c r="A863" s="2" t="n">
        <v>861</v>
      </c>
      <c r="B863" s="2" t="inlineStr">
        <is>
          <t>flip</t>
        </is>
      </c>
      <c r="C863" s="2" t="inlineStr">
        <is>
          <t>browser firefox147</t>
        </is>
      </c>
      <c r="D863" s="2" t="n">
        <v>1901</v>
      </c>
      <c r="E863" s="2" t="n">
        <v>1901</v>
      </c>
      <c r="F863" s="2" t="n">
        <v>1</v>
      </c>
      <c r="G863" s="2" t="n">
        <v>1</v>
      </c>
      <c r="H863" s="2" t="n">
        <v>0</v>
      </c>
      <c r="I863" s="2" t="n">
        <v>0</v>
      </c>
    </row>
    <row r="864">
      <c r="A864" s="2" t="n">
        <v>862</v>
      </c>
      <c r="B864" s="2" t="inlineStr">
        <is>
          <t>truncate</t>
        </is>
      </c>
      <c r="C864" s="2" t="inlineStr">
        <is>
          <t>browser firefox147</t>
        </is>
      </c>
      <c r="D864" s="2" t="n">
        <v>89</v>
      </c>
      <c r="E864" s="2" t="n">
        <v>89</v>
      </c>
      <c r="F864" s="2" t="n">
        <v>1</v>
      </c>
      <c r="G864" s="2" t="n">
        <v>0</v>
      </c>
      <c r="H864" s="2" t="n">
        <v>0</v>
      </c>
      <c r="I864" s="2" t="n">
        <v>0</v>
      </c>
    </row>
    <row r="865">
      <c r="A865" s="2" t="n">
        <v>863</v>
      </c>
      <c r="B865" s="2" t="inlineStr">
        <is>
          <t>length</t>
        </is>
      </c>
      <c r="C865" s="2" t="inlineStr">
        <is>
          <t>openssl 3.5.8 default</t>
        </is>
      </c>
      <c r="D865" s="2" t="n">
        <v>1548</v>
      </c>
      <c r="E865" s="2" t="n">
        <v>1548</v>
      </c>
      <c r="F865" s="2" t="n">
        <v>1</v>
      </c>
      <c r="G865" s="2" t="n">
        <v>1</v>
      </c>
      <c r="H865" s="2" t="n">
        <v>1</v>
      </c>
      <c r="I865" s="2" t="n">
        <v>0</v>
      </c>
    </row>
    <row r="866">
      <c r="A866" s="2" t="n">
        <v>864</v>
      </c>
      <c r="B866" s="2" t="inlineStr">
        <is>
          <t>insert</t>
        </is>
      </c>
      <c r="C866" s="2" t="inlineStr">
        <is>
          <t>openssl 3.5.8 default</t>
        </is>
      </c>
      <c r="D866" s="2" t="n">
        <v>1563</v>
      </c>
      <c r="E866" s="2" t="n">
        <v>1563</v>
      </c>
      <c r="F866" s="2" t="n">
        <v>1</v>
      </c>
      <c r="G866" s="2" t="n">
        <v>1</v>
      </c>
      <c r="H866" s="2" t="n">
        <v>1</v>
      </c>
      <c r="I866" s="2" t="n">
        <v>0</v>
      </c>
    </row>
    <row r="867">
      <c r="A867" s="2" t="n">
        <v>865</v>
      </c>
      <c r="B867" s="2" t="inlineStr">
        <is>
          <t>flip</t>
        </is>
      </c>
      <c r="C867" s="2" t="inlineStr">
        <is>
          <t>browser chrome150</t>
        </is>
      </c>
      <c r="D867" s="2" t="n">
        <v>1763</v>
      </c>
      <c r="E867" s="2" t="n">
        <v>1763</v>
      </c>
      <c r="F867" s="2" t="n">
        <v>1</v>
      </c>
      <c r="G867" s="2" t="n">
        <v>1</v>
      </c>
      <c r="H867" s="2" t="n">
        <v>1</v>
      </c>
      <c r="I867" s="2" t="n">
        <v>0</v>
      </c>
    </row>
    <row r="868">
      <c r="A868" s="2" t="n">
        <v>866</v>
      </c>
      <c r="B868" s="2" t="inlineStr">
        <is>
          <t>truncate</t>
        </is>
      </c>
      <c r="C868" s="2" t="inlineStr">
        <is>
          <t>browser chrome150</t>
        </is>
      </c>
      <c r="D868" s="2" t="n">
        <v>629</v>
      </c>
      <c r="E868" s="2" t="n">
        <v>629</v>
      </c>
      <c r="F868" s="2" t="n">
        <v>1</v>
      </c>
      <c r="G868" s="2" t="n">
        <v>1</v>
      </c>
      <c r="H868" s="2" t="n">
        <v>1</v>
      </c>
      <c r="I868" s="2" t="n">
        <v>0</v>
      </c>
    </row>
    <row r="869">
      <c r="A869" s="2" t="n">
        <v>867</v>
      </c>
      <c r="B869" s="2" t="inlineStr">
        <is>
          <t>length</t>
        </is>
      </c>
      <c r="C869" s="2" t="inlineStr">
        <is>
          <t>openssl 3.5.8 default</t>
        </is>
      </c>
      <c r="D869" s="2" t="n">
        <v>1548</v>
      </c>
      <c r="E869" s="2" t="n">
        <v>1548</v>
      </c>
      <c r="F869" s="2" t="n">
        <v>1</v>
      </c>
      <c r="G869" s="2" t="n">
        <v>1</v>
      </c>
      <c r="H869" s="2" t="n">
        <v>1</v>
      </c>
      <c r="I869" s="2" t="n">
        <v>0</v>
      </c>
    </row>
    <row r="870">
      <c r="A870" s="2" t="n">
        <v>868</v>
      </c>
      <c r="B870" s="2" t="inlineStr">
        <is>
          <t>insert</t>
        </is>
      </c>
      <c r="C870" s="2" t="inlineStr">
        <is>
          <t>openssl TLS 1.2 only</t>
        </is>
      </c>
      <c r="D870" s="2" t="n">
        <v>222</v>
      </c>
      <c r="E870" s="2" t="n">
        <v>222</v>
      </c>
      <c r="F870" s="2" t="n">
        <v>1</v>
      </c>
      <c r="G870" s="2" t="n">
        <v>1</v>
      </c>
      <c r="H870" s="2" t="n">
        <v>1</v>
      </c>
      <c r="I870" s="2" t="n">
        <v>0</v>
      </c>
    </row>
    <row r="871">
      <c r="A871" s="2" t="n">
        <v>869</v>
      </c>
      <c r="B871" s="2" t="inlineStr">
        <is>
          <t>flip</t>
        </is>
      </c>
      <c r="C871" s="2" t="inlineStr">
        <is>
          <t>openssl X25519 only (classical)</t>
        </is>
      </c>
      <c r="D871" s="2" t="n">
        <v>314</v>
      </c>
      <c r="E871" s="2" t="n">
        <v>314</v>
      </c>
      <c r="F871" s="2" t="n">
        <v>1</v>
      </c>
      <c r="G871" s="2" t="n">
        <v>1</v>
      </c>
      <c r="H871" s="2" t="n">
        <v>1</v>
      </c>
      <c r="I871" s="2" t="n">
        <v>0</v>
      </c>
    </row>
    <row r="872">
      <c r="A872" s="2" t="n">
        <v>870</v>
      </c>
      <c r="B872" s="2" t="inlineStr">
        <is>
          <t>truncate</t>
        </is>
      </c>
      <c r="C872" s="2" t="inlineStr">
        <is>
          <t>browser chrome150</t>
        </is>
      </c>
      <c r="D872" s="2" t="n">
        <v>665</v>
      </c>
      <c r="E872" s="2" t="n">
        <v>665</v>
      </c>
      <c r="F872" s="2" t="n">
        <v>1</v>
      </c>
      <c r="G872" s="2" t="n">
        <v>1</v>
      </c>
      <c r="H872" s="2" t="n">
        <v>1</v>
      </c>
      <c r="I872" s="2" t="n">
        <v>0</v>
      </c>
    </row>
    <row r="873">
      <c r="A873" s="2" t="n">
        <v>871</v>
      </c>
      <c r="B873" s="2" t="inlineStr">
        <is>
          <t>length</t>
        </is>
      </c>
      <c r="C873" s="2" t="inlineStr">
        <is>
          <t>openssl X25519 only (classical)</t>
        </is>
      </c>
      <c r="D873" s="2" t="n">
        <v>314</v>
      </c>
      <c r="E873" s="2" t="n">
        <v>314</v>
      </c>
      <c r="F873" s="2" t="n">
        <v>1</v>
      </c>
      <c r="G873" s="2" t="n">
        <v>1</v>
      </c>
      <c r="H873" s="2" t="n">
        <v>1</v>
      </c>
      <c r="I873" s="2" t="n">
        <v>0</v>
      </c>
    </row>
    <row r="874">
      <c r="A874" s="2" t="n">
        <v>872</v>
      </c>
      <c r="B874" s="2" t="inlineStr">
        <is>
          <t>insert</t>
        </is>
      </c>
      <c r="C874" s="2" t="inlineStr">
        <is>
          <t>openssl 3.5.8 default</t>
        </is>
      </c>
      <c r="D874" s="2" t="n">
        <v>1553</v>
      </c>
      <c r="E874" s="2" t="n">
        <v>1553</v>
      </c>
      <c r="F874" s="2" t="n">
        <v>1</v>
      </c>
      <c r="G874" s="2" t="n">
        <v>0</v>
      </c>
      <c r="H874" s="2" t="n">
        <v>0</v>
      </c>
      <c r="I874" s="2" t="n">
        <v>0</v>
      </c>
    </row>
    <row r="875">
      <c r="A875" s="2" t="n">
        <v>873</v>
      </c>
      <c r="B875" s="2" t="inlineStr">
        <is>
          <t>flip</t>
        </is>
      </c>
      <c r="C875" s="2" t="inlineStr">
        <is>
          <t>browser chrome150</t>
        </is>
      </c>
      <c r="D875" s="2" t="n">
        <v>1763</v>
      </c>
      <c r="E875" s="2" t="n">
        <v>1763</v>
      </c>
      <c r="F875" s="2" t="n">
        <v>1</v>
      </c>
      <c r="G875" s="2" t="n">
        <v>1</v>
      </c>
      <c r="H875" s="2" t="n">
        <v>1</v>
      </c>
      <c r="I875" s="2" t="n">
        <v>0</v>
      </c>
    </row>
    <row r="876">
      <c r="A876" s="2" t="n">
        <v>874</v>
      </c>
      <c r="B876" s="2" t="inlineStr">
        <is>
          <t>truncate</t>
        </is>
      </c>
      <c r="C876" s="2" t="inlineStr">
        <is>
          <t>openssl 3.5.8 default</t>
        </is>
      </c>
      <c r="D876" s="2" t="n">
        <v>1061</v>
      </c>
      <c r="E876" s="2" t="n">
        <v>1061</v>
      </c>
      <c r="F876" s="2" t="n">
        <v>1</v>
      </c>
      <c r="G876" s="2" t="n">
        <v>1</v>
      </c>
      <c r="H876" s="2" t="n">
        <v>1</v>
      </c>
      <c r="I876" s="2" t="n">
        <v>0</v>
      </c>
    </row>
    <row r="877">
      <c r="A877" s="2" t="n">
        <v>875</v>
      </c>
      <c r="B877" s="2" t="inlineStr">
        <is>
          <t>length</t>
        </is>
      </c>
      <c r="C877" s="2" t="inlineStr">
        <is>
          <t>browser firefox147</t>
        </is>
      </c>
      <c r="D877" s="2" t="n">
        <v>1901</v>
      </c>
      <c r="E877" s="2" t="n">
        <v>1901</v>
      </c>
      <c r="F877" s="2" t="n">
        <v>1</v>
      </c>
      <c r="G877" s="2" t="n">
        <v>1</v>
      </c>
      <c r="H877" s="2" t="n">
        <v>1</v>
      </c>
      <c r="I877" s="2" t="n">
        <v>0</v>
      </c>
    </row>
    <row r="878">
      <c r="A878" s="2" t="n">
        <v>876</v>
      </c>
      <c r="B878" s="2" t="inlineStr">
        <is>
          <t>insert</t>
        </is>
      </c>
      <c r="C878" s="2" t="inlineStr">
        <is>
          <t>openssl X25519 only (classical)</t>
        </is>
      </c>
      <c r="D878" s="2" t="n">
        <v>330</v>
      </c>
      <c r="E878" s="2" t="n">
        <v>330</v>
      </c>
      <c r="F878" s="2" t="n">
        <v>1</v>
      </c>
      <c r="G878" s="2" t="n">
        <v>1</v>
      </c>
      <c r="H878" s="2" t="n">
        <v>0</v>
      </c>
      <c r="I878" s="2" t="n">
        <v>0</v>
      </c>
    </row>
    <row r="879">
      <c r="A879" s="2" t="n">
        <v>877</v>
      </c>
      <c r="B879" s="2" t="inlineStr">
        <is>
          <t>flip</t>
        </is>
      </c>
      <c r="C879" s="2" t="inlineStr">
        <is>
          <t>openssl 3.5.8 default</t>
        </is>
      </c>
      <c r="D879" s="2" t="n">
        <v>1548</v>
      </c>
      <c r="E879" s="2" t="n">
        <v>1548</v>
      </c>
      <c r="F879" s="2" t="n">
        <v>1</v>
      </c>
      <c r="G879" s="2" t="n">
        <v>1</v>
      </c>
      <c r="H879" s="2" t="n">
        <v>1</v>
      </c>
      <c r="I879" s="2" t="n">
        <v>0</v>
      </c>
    </row>
    <row r="880">
      <c r="A880" s="2" t="n">
        <v>878</v>
      </c>
      <c r="B880" s="2" t="inlineStr">
        <is>
          <t>truncate</t>
        </is>
      </c>
      <c r="C880" s="2" t="inlineStr">
        <is>
          <t>openssl 3.5.8 default</t>
        </is>
      </c>
      <c r="D880" s="2" t="n">
        <v>1252</v>
      </c>
      <c r="E880" s="2" t="n">
        <v>1252</v>
      </c>
      <c r="F880" s="2" t="n">
        <v>1</v>
      </c>
      <c r="G880" s="2" t="n">
        <v>1</v>
      </c>
      <c r="H880" s="2" t="n">
        <v>1</v>
      </c>
      <c r="I880" s="2" t="n">
        <v>0</v>
      </c>
    </row>
    <row r="881">
      <c r="A881" s="2" t="n">
        <v>879</v>
      </c>
      <c r="B881" s="2" t="inlineStr">
        <is>
          <t>length</t>
        </is>
      </c>
      <c r="C881" s="2" t="inlineStr">
        <is>
          <t>openssl TLS 1.2 only</t>
        </is>
      </c>
      <c r="D881" s="2" t="n">
        <v>215</v>
      </c>
      <c r="E881" s="2" t="n">
        <v>215</v>
      </c>
      <c r="F881" s="2" t="n">
        <v>1</v>
      </c>
      <c r="G881" s="2" t="n">
        <v>1</v>
      </c>
      <c r="H881" s="2" t="n">
        <v>1</v>
      </c>
      <c r="I881" s="2" t="n">
        <v>0</v>
      </c>
    </row>
    <row r="882">
      <c r="A882" s="2" t="n">
        <v>880</v>
      </c>
      <c r="B882" s="2" t="inlineStr">
        <is>
          <t>insert</t>
        </is>
      </c>
      <c r="C882" s="2" t="inlineStr">
        <is>
          <t>openssl X25519 only (classical)</t>
        </is>
      </c>
      <c r="D882" s="2" t="n">
        <v>316</v>
      </c>
      <c r="E882" s="2" t="n">
        <v>316</v>
      </c>
      <c r="F882" s="2" t="n">
        <v>1</v>
      </c>
      <c r="G882" s="2" t="n">
        <v>0</v>
      </c>
      <c r="H882" s="2" t="n">
        <v>0</v>
      </c>
      <c r="I882" s="2" t="n">
        <v>0</v>
      </c>
    </row>
    <row r="883">
      <c r="A883" s="2" t="n">
        <v>881</v>
      </c>
      <c r="B883" s="2" t="inlineStr">
        <is>
          <t>flip</t>
        </is>
      </c>
      <c r="C883" s="2" t="inlineStr">
        <is>
          <t>openssl TLS 1.2 only</t>
        </is>
      </c>
      <c r="D883" s="2" t="n">
        <v>215</v>
      </c>
      <c r="E883" s="2" t="n">
        <v>215</v>
      </c>
      <c r="F883" s="2" t="n">
        <v>1</v>
      </c>
      <c r="G883" s="2" t="n">
        <v>1</v>
      </c>
      <c r="H883" s="2" t="n">
        <v>1</v>
      </c>
      <c r="I883" s="2" t="n">
        <v>0</v>
      </c>
    </row>
    <row r="884">
      <c r="A884" s="2" t="n">
        <v>882</v>
      </c>
      <c r="B884" s="2" t="inlineStr">
        <is>
          <t>truncate</t>
        </is>
      </c>
      <c r="C884" s="2" t="inlineStr">
        <is>
          <t>browser chrome150</t>
        </is>
      </c>
      <c r="D884" s="2" t="n">
        <v>1463</v>
      </c>
      <c r="E884" s="2" t="n">
        <v>1463</v>
      </c>
      <c r="F884" s="2" t="n">
        <v>1</v>
      </c>
      <c r="G884" s="2" t="n">
        <v>1</v>
      </c>
      <c r="H884" s="2" t="n">
        <v>1</v>
      </c>
      <c r="I884" s="2" t="n">
        <v>0</v>
      </c>
    </row>
    <row r="885">
      <c r="A885" s="2" t="n">
        <v>883</v>
      </c>
      <c r="B885" s="2" t="inlineStr">
        <is>
          <t>length</t>
        </is>
      </c>
      <c r="C885" s="2" t="inlineStr">
        <is>
          <t>browser chrome150</t>
        </is>
      </c>
      <c r="D885" s="2" t="n">
        <v>1763</v>
      </c>
      <c r="E885" s="2" t="n">
        <v>1763</v>
      </c>
      <c r="F885" s="2" t="n">
        <v>1</v>
      </c>
      <c r="G885" s="2" t="n">
        <v>1</v>
      </c>
      <c r="H885" s="2" t="n">
        <v>1</v>
      </c>
      <c r="I885" s="2" t="n">
        <v>0</v>
      </c>
    </row>
    <row r="886">
      <c r="A886" s="2" t="n">
        <v>884</v>
      </c>
      <c r="B886" s="2" t="inlineStr">
        <is>
          <t>insert</t>
        </is>
      </c>
      <c r="C886" s="2" t="inlineStr">
        <is>
          <t>browser chrome150</t>
        </is>
      </c>
      <c r="D886" s="2" t="n">
        <v>1775</v>
      </c>
      <c r="E886" s="2" t="n">
        <v>1775</v>
      </c>
      <c r="F886" s="2" t="n">
        <v>1</v>
      </c>
      <c r="G886" s="2" t="n">
        <v>1</v>
      </c>
      <c r="H886" s="2" t="n">
        <v>1</v>
      </c>
      <c r="I886" s="2" t="n">
        <v>0</v>
      </c>
    </row>
    <row r="887">
      <c r="A887" s="2" t="n">
        <v>885</v>
      </c>
      <c r="B887" s="2" t="inlineStr">
        <is>
          <t>flip</t>
        </is>
      </c>
      <c r="C887" s="2" t="inlineStr">
        <is>
          <t>openssl TLS 1.2 only</t>
        </is>
      </c>
      <c r="D887" s="2" t="n">
        <v>215</v>
      </c>
      <c r="E887" s="2" t="n">
        <v>215</v>
      </c>
      <c r="F887" s="2" t="n">
        <v>0</v>
      </c>
      <c r="G887" s="2" t="n">
        <v>0</v>
      </c>
      <c r="H887" s="2" t="n">
        <v>0</v>
      </c>
      <c r="I887" s="2" t="n">
        <v>0</v>
      </c>
    </row>
    <row r="888">
      <c r="A888" s="2" t="n">
        <v>886</v>
      </c>
      <c r="B888" s="2" t="inlineStr">
        <is>
          <t>truncate</t>
        </is>
      </c>
      <c r="C888" s="2" t="inlineStr">
        <is>
          <t>browser chrome150</t>
        </is>
      </c>
      <c r="D888" s="2" t="n">
        <v>6</v>
      </c>
      <c r="E888" s="2" t="n">
        <v>6</v>
      </c>
      <c r="F888" s="2" t="n">
        <v>1</v>
      </c>
      <c r="G888" s="2" t="n">
        <v>0</v>
      </c>
      <c r="H888" s="2" t="n">
        <v>0</v>
      </c>
      <c r="I888" s="2" t="n">
        <v>0</v>
      </c>
    </row>
    <row r="889">
      <c r="A889" s="2" t="n">
        <v>887</v>
      </c>
      <c r="B889" s="2" t="inlineStr">
        <is>
          <t>length</t>
        </is>
      </c>
      <c r="C889" s="2" t="inlineStr">
        <is>
          <t>openssl 3.5.8 default</t>
        </is>
      </c>
      <c r="D889" s="2" t="n">
        <v>1548</v>
      </c>
      <c r="E889" s="2" t="n">
        <v>1548</v>
      </c>
      <c r="F889" s="2" t="n">
        <v>1</v>
      </c>
      <c r="G889" s="2" t="n">
        <v>1</v>
      </c>
      <c r="H889" s="2" t="n">
        <v>1</v>
      </c>
      <c r="I889" s="2" t="n">
        <v>0</v>
      </c>
    </row>
    <row r="890">
      <c r="A890" s="2" t="n">
        <v>888</v>
      </c>
      <c r="B890" s="2" t="inlineStr">
        <is>
          <t>insert</t>
        </is>
      </c>
      <c r="C890" s="2" t="inlineStr">
        <is>
          <t>browser firefox147</t>
        </is>
      </c>
      <c r="D890" s="2" t="n">
        <v>1909</v>
      </c>
      <c r="E890" s="2" t="n">
        <v>1909</v>
      </c>
      <c r="F890" s="2" t="n">
        <v>1</v>
      </c>
      <c r="G890" s="2" t="n">
        <v>1</v>
      </c>
      <c r="H890" s="2" t="n">
        <v>0</v>
      </c>
      <c r="I890" s="2" t="n">
        <v>0</v>
      </c>
    </row>
    <row r="891">
      <c r="A891" s="2" t="n">
        <v>889</v>
      </c>
      <c r="B891" s="2" t="inlineStr">
        <is>
          <t>flip</t>
        </is>
      </c>
      <c r="C891" s="2" t="inlineStr">
        <is>
          <t>browser firefox147</t>
        </is>
      </c>
      <c r="D891" s="2" t="n">
        <v>1901</v>
      </c>
      <c r="E891" s="2" t="n">
        <v>1901</v>
      </c>
      <c r="F891" s="2" t="n">
        <v>1</v>
      </c>
      <c r="G891" s="2" t="n">
        <v>1</v>
      </c>
      <c r="H891" s="2" t="n">
        <v>0</v>
      </c>
      <c r="I891" s="2" t="n">
        <v>0</v>
      </c>
    </row>
    <row r="892">
      <c r="A892" s="2" t="n">
        <v>890</v>
      </c>
      <c r="B892" s="2" t="inlineStr">
        <is>
          <t>truncate</t>
        </is>
      </c>
      <c r="C892" s="2" t="inlineStr">
        <is>
          <t>openssl TLS 1.2 only</t>
        </is>
      </c>
      <c r="D892" s="2" t="n">
        <v>23</v>
      </c>
      <c r="E892" s="2" t="n">
        <v>23</v>
      </c>
      <c r="F892" s="2" t="n">
        <v>1</v>
      </c>
      <c r="G892" s="2" t="n">
        <v>0</v>
      </c>
      <c r="H892" s="2" t="n">
        <v>0</v>
      </c>
      <c r="I892" s="2" t="n">
        <v>0</v>
      </c>
    </row>
    <row r="893">
      <c r="A893" s="2" t="n">
        <v>891</v>
      </c>
      <c r="B893" s="2" t="inlineStr">
        <is>
          <t>length</t>
        </is>
      </c>
      <c r="C893" s="2" t="inlineStr">
        <is>
          <t>openssl X25519 only (classical)</t>
        </is>
      </c>
      <c r="D893" s="2" t="n">
        <v>314</v>
      </c>
      <c r="E893" s="2" t="n">
        <v>314</v>
      </c>
      <c r="F893" s="2" t="n">
        <v>0</v>
      </c>
      <c r="G893" s="2" t="n">
        <v>0</v>
      </c>
      <c r="H893" s="2" t="n">
        <v>0</v>
      </c>
      <c r="I893" s="2" t="n">
        <v>0</v>
      </c>
    </row>
    <row r="894">
      <c r="A894" s="2" t="n">
        <v>892</v>
      </c>
      <c r="B894" s="2" t="inlineStr">
        <is>
          <t>insert</t>
        </is>
      </c>
      <c r="C894" s="2" t="inlineStr">
        <is>
          <t>browser firefox147</t>
        </is>
      </c>
      <c r="D894" s="2" t="n">
        <v>1916</v>
      </c>
      <c r="E894" s="2" t="n">
        <v>1916</v>
      </c>
      <c r="F894" s="2" t="n">
        <v>1</v>
      </c>
      <c r="G894" s="2" t="n">
        <v>1</v>
      </c>
      <c r="H894" s="2" t="n">
        <v>0</v>
      </c>
      <c r="I894" s="2" t="n">
        <v>0</v>
      </c>
    </row>
    <row r="895">
      <c r="A895" s="2" t="n">
        <v>893</v>
      </c>
      <c r="B895" s="2" t="inlineStr">
        <is>
          <t>flip</t>
        </is>
      </c>
      <c r="C895" s="2" t="inlineStr">
        <is>
          <t>browser chrome150</t>
        </is>
      </c>
      <c r="D895" s="2" t="n">
        <v>1763</v>
      </c>
      <c r="E895" s="2" t="n">
        <v>1763</v>
      </c>
      <c r="F895" s="2" t="n">
        <v>1</v>
      </c>
      <c r="G895" s="2" t="n">
        <v>1</v>
      </c>
      <c r="H895" s="2" t="n">
        <v>1</v>
      </c>
      <c r="I895" s="2" t="n">
        <v>0</v>
      </c>
    </row>
    <row r="896">
      <c r="A896" s="2" t="n">
        <v>894</v>
      </c>
      <c r="B896" s="2" t="inlineStr">
        <is>
          <t>truncate</t>
        </is>
      </c>
      <c r="C896" s="2" t="inlineStr">
        <is>
          <t>browser chrome150</t>
        </is>
      </c>
      <c r="D896" s="2" t="n">
        <v>448</v>
      </c>
      <c r="E896" s="2" t="n">
        <v>448</v>
      </c>
      <c r="F896" s="2" t="n">
        <v>1</v>
      </c>
      <c r="G896" s="2" t="n">
        <v>1</v>
      </c>
      <c r="H896" s="2" t="n">
        <v>1</v>
      </c>
      <c r="I896" s="2" t="n">
        <v>0</v>
      </c>
    </row>
    <row r="897">
      <c r="A897" s="2" t="n">
        <v>895</v>
      </c>
      <c r="B897" s="2" t="inlineStr">
        <is>
          <t>length</t>
        </is>
      </c>
      <c r="C897" s="2" t="inlineStr">
        <is>
          <t>openssl X25519 only (classical)</t>
        </is>
      </c>
      <c r="D897" s="2" t="n">
        <v>314</v>
      </c>
      <c r="E897" s="2" t="n">
        <v>314</v>
      </c>
      <c r="F897" s="2" t="n">
        <v>1</v>
      </c>
      <c r="G897" s="2" t="n">
        <v>1</v>
      </c>
      <c r="H897" s="2" t="n">
        <v>1</v>
      </c>
      <c r="I897" s="2" t="n">
        <v>0</v>
      </c>
    </row>
    <row r="898">
      <c r="A898" s="2" t="n">
        <v>896</v>
      </c>
      <c r="B898" s="2" t="inlineStr">
        <is>
          <t>insert</t>
        </is>
      </c>
      <c r="C898" s="2" t="inlineStr">
        <is>
          <t>browser chrome150</t>
        </is>
      </c>
      <c r="D898" s="2" t="n">
        <v>1775</v>
      </c>
      <c r="E898" s="2" t="n">
        <v>1775</v>
      </c>
      <c r="F898" s="2" t="n">
        <v>1</v>
      </c>
      <c r="G898" s="2" t="n">
        <v>1</v>
      </c>
      <c r="H898" s="2" t="n">
        <v>1</v>
      </c>
      <c r="I898" s="2" t="n">
        <v>0</v>
      </c>
    </row>
    <row r="899">
      <c r="A899" s="2" t="n">
        <v>897</v>
      </c>
      <c r="B899" s="2" t="inlineStr">
        <is>
          <t>flip</t>
        </is>
      </c>
      <c r="C899" s="2" t="inlineStr">
        <is>
          <t>browser firefox147</t>
        </is>
      </c>
      <c r="D899" s="2" t="n">
        <v>1901</v>
      </c>
      <c r="E899" s="2" t="n">
        <v>1901</v>
      </c>
      <c r="F899" s="2" t="n">
        <v>1</v>
      </c>
      <c r="G899" s="2" t="n">
        <v>1</v>
      </c>
      <c r="H899" s="2" t="n">
        <v>0</v>
      </c>
      <c r="I899" s="2" t="n">
        <v>0</v>
      </c>
    </row>
    <row r="900">
      <c r="A900" s="2" t="n">
        <v>898</v>
      </c>
      <c r="B900" s="2" t="inlineStr">
        <is>
          <t>truncate</t>
        </is>
      </c>
      <c r="C900" s="2" t="inlineStr">
        <is>
          <t>browser firefox147</t>
        </is>
      </c>
      <c r="D900" s="2" t="n">
        <v>1510</v>
      </c>
      <c r="E900" s="2" t="n">
        <v>1510</v>
      </c>
      <c r="F900" s="2" t="n">
        <v>1</v>
      </c>
      <c r="G900" s="2" t="n">
        <v>1</v>
      </c>
      <c r="H900" s="2" t="n">
        <v>0</v>
      </c>
      <c r="I900" s="2" t="n">
        <v>0</v>
      </c>
    </row>
    <row r="901">
      <c r="A901" s="2" t="n">
        <v>899</v>
      </c>
      <c r="B901" s="2" t="inlineStr">
        <is>
          <t>length</t>
        </is>
      </c>
      <c r="C901" s="2" t="inlineStr">
        <is>
          <t>browser chrome150</t>
        </is>
      </c>
      <c r="D901" s="2" t="n">
        <v>1763</v>
      </c>
      <c r="E901" s="2" t="n">
        <v>1763</v>
      </c>
      <c r="F901" s="2" t="n">
        <v>1</v>
      </c>
      <c r="G901" s="2" t="n">
        <v>1</v>
      </c>
      <c r="H901" s="2" t="n">
        <v>1</v>
      </c>
      <c r="I901" s="2" t="n">
        <v>0</v>
      </c>
    </row>
    <row r="902">
      <c r="A902" s="2" t="n">
        <v>900</v>
      </c>
      <c r="B902" s="2" t="inlineStr">
        <is>
          <t>insert</t>
        </is>
      </c>
      <c r="C902" s="2" t="inlineStr">
        <is>
          <t>openssl TLS 1.2 only</t>
        </is>
      </c>
      <c r="D902" s="2" t="n">
        <v>223</v>
      </c>
      <c r="E902" s="2" t="n">
        <v>223</v>
      </c>
      <c r="F902" s="2" t="n">
        <v>0</v>
      </c>
      <c r="G902" s="2" t="n">
        <v>0</v>
      </c>
      <c r="H902" s="2" t="n">
        <v>0</v>
      </c>
      <c r="I902" s="2" t="n">
        <v>0</v>
      </c>
    </row>
    <row r="903">
      <c r="A903" s="2" t="n">
        <v>901</v>
      </c>
      <c r="B903" s="2" t="inlineStr">
        <is>
          <t>flip</t>
        </is>
      </c>
      <c r="C903" s="2" t="inlineStr">
        <is>
          <t>browser chrome150</t>
        </is>
      </c>
      <c r="D903" s="2" t="n">
        <v>1763</v>
      </c>
      <c r="E903" s="2" t="n">
        <v>1763</v>
      </c>
      <c r="F903" s="2" t="n">
        <v>1</v>
      </c>
      <c r="G903" s="2" t="n">
        <v>1</v>
      </c>
      <c r="H903" s="2" t="n">
        <v>1</v>
      </c>
      <c r="I903" s="2" t="n">
        <v>0</v>
      </c>
    </row>
    <row r="904">
      <c r="A904" s="2" t="n">
        <v>902</v>
      </c>
      <c r="B904" s="2" t="inlineStr">
        <is>
          <t>truncate</t>
        </is>
      </c>
      <c r="C904" s="2" t="inlineStr">
        <is>
          <t>openssl 3.5.8 default</t>
        </is>
      </c>
      <c r="D904" s="2" t="n">
        <v>1188</v>
      </c>
      <c r="E904" s="2" t="n">
        <v>1188</v>
      </c>
      <c r="F904" s="2" t="n">
        <v>1</v>
      </c>
      <c r="G904" s="2" t="n">
        <v>1</v>
      </c>
      <c r="H904" s="2" t="n">
        <v>1</v>
      </c>
      <c r="I904" s="2" t="n">
        <v>0</v>
      </c>
    </row>
    <row r="905">
      <c r="A905" s="2" t="n">
        <v>903</v>
      </c>
      <c r="B905" s="2" t="inlineStr">
        <is>
          <t>length</t>
        </is>
      </c>
      <c r="C905" s="2" t="inlineStr">
        <is>
          <t>openssl TLS 1.2 only</t>
        </is>
      </c>
      <c r="D905" s="2" t="n">
        <v>215</v>
      </c>
      <c r="E905" s="2" t="n">
        <v>215</v>
      </c>
      <c r="F905" s="2" t="n">
        <v>1</v>
      </c>
      <c r="G905" s="2" t="n">
        <v>1</v>
      </c>
      <c r="H905" s="2" t="n">
        <v>1</v>
      </c>
      <c r="I905" s="2" t="n">
        <v>0</v>
      </c>
    </row>
    <row r="906">
      <c r="A906" s="2" t="n">
        <v>904</v>
      </c>
      <c r="B906" s="2" t="inlineStr">
        <is>
          <t>insert</t>
        </is>
      </c>
      <c r="C906" s="2" t="inlineStr">
        <is>
          <t>browser firefox147</t>
        </is>
      </c>
      <c r="D906" s="2" t="n">
        <v>1907</v>
      </c>
      <c r="E906" s="2" t="n">
        <v>1907</v>
      </c>
      <c r="F906" s="2" t="n">
        <v>1</v>
      </c>
      <c r="G906" s="2" t="n">
        <v>1</v>
      </c>
      <c r="H906" s="2" t="n">
        <v>0</v>
      </c>
      <c r="I906" s="2" t="n">
        <v>0</v>
      </c>
    </row>
    <row r="907">
      <c r="A907" s="2" t="n">
        <v>905</v>
      </c>
      <c r="B907" s="2" t="inlineStr">
        <is>
          <t>flip</t>
        </is>
      </c>
      <c r="C907" s="2" t="inlineStr">
        <is>
          <t>browser firefox147</t>
        </is>
      </c>
      <c r="D907" s="2" t="n">
        <v>1901</v>
      </c>
      <c r="E907" s="2" t="n">
        <v>1901</v>
      </c>
      <c r="F907" s="2" t="n">
        <v>1</v>
      </c>
      <c r="G907" s="2" t="n">
        <v>1</v>
      </c>
      <c r="H907" s="2" t="n">
        <v>0</v>
      </c>
      <c r="I907" s="2" t="n">
        <v>0</v>
      </c>
    </row>
    <row r="908">
      <c r="A908" s="2" t="n">
        <v>906</v>
      </c>
      <c r="B908" s="2" t="inlineStr">
        <is>
          <t>truncate</t>
        </is>
      </c>
      <c r="C908" s="2" t="inlineStr">
        <is>
          <t>openssl X25519 only (classical)</t>
        </is>
      </c>
      <c r="D908" s="2" t="n">
        <v>290</v>
      </c>
      <c r="E908" s="2" t="n">
        <v>290</v>
      </c>
      <c r="F908" s="2" t="n">
        <v>1</v>
      </c>
      <c r="G908" s="2" t="n">
        <v>1</v>
      </c>
      <c r="H908" s="2" t="n">
        <v>1</v>
      </c>
      <c r="I908" s="2" t="n">
        <v>0</v>
      </c>
    </row>
    <row r="909">
      <c r="A909" s="2" t="n">
        <v>907</v>
      </c>
      <c r="B909" s="2" t="inlineStr">
        <is>
          <t>length</t>
        </is>
      </c>
      <c r="C909" s="2" t="inlineStr">
        <is>
          <t>browser chrome150</t>
        </is>
      </c>
      <c r="D909" s="2" t="n">
        <v>1763</v>
      </c>
      <c r="E909" s="2" t="n">
        <v>1763</v>
      </c>
      <c r="F909" s="2" t="n">
        <v>1</v>
      </c>
      <c r="G909" s="2" t="n">
        <v>1</v>
      </c>
      <c r="H909" s="2" t="n">
        <v>1</v>
      </c>
      <c r="I909" s="2" t="n">
        <v>0</v>
      </c>
    </row>
    <row r="910">
      <c r="A910" s="2" t="n">
        <v>908</v>
      </c>
      <c r="B910" s="2" t="inlineStr">
        <is>
          <t>insert</t>
        </is>
      </c>
      <c r="C910" s="2" t="inlineStr">
        <is>
          <t>browser chrome150</t>
        </is>
      </c>
      <c r="D910" s="2" t="n">
        <v>1775</v>
      </c>
      <c r="E910" s="2" t="n">
        <v>1775</v>
      </c>
      <c r="F910" s="2" t="n">
        <v>1</v>
      </c>
      <c r="G910" s="2" t="n">
        <v>1</v>
      </c>
      <c r="H910" s="2" t="n">
        <v>1</v>
      </c>
      <c r="I910" s="2" t="n">
        <v>0</v>
      </c>
    </row>
    <row r="911">
      <c r="A911" s="2" t="n">
        <v>909</v>
      </c>
      <c r="B911" s="2" t="inlineStr">
        <is>
          <t>flip</t>
        </is>
      </c>
      <c r="C911" s="2" t="inlineStr">
        <is>
          <t>openssl X25519 only (classical)</t>
        </is>
      </c>
      <c r="D911" s="2" t="n">
        <v>314</v>
      </c>
      <c r="E911" s="2" t="n">
        <v>314</v>
      </c>
      <c r="F911" s="2" t="n">
        <v>1</v>
      </c>
      <c r="G911" s="2" t="n">
        <v>1</v>
      </c>
      <c r="H911" s="2" t="n">
        <v>1</v>
      </c>
      <c r="I911" s="2" t="n">
        <v>0</v>
      </c>
    </row>
    <row r="912">
      <c r="A912" s="2" t="n">
        <v>910</v>
      </c>
      <c r="B912" s="2" t="inlineStr">
        <is>
          <t>truncate</t>
        </is>
      </c>
      <c r="C912" s="2" t="inlineStr">
        <is>
          <t>browser chrome150</t>
        </is>
      </c>
      <c r="D912" s="2" t="n">
        <v>1144</v>
      </c>
      <c r="E912" s="2" t="n">
        <v>1144</v>
      </c>
      <c r="F912" s="2" t="n">
        <v>1</v>
      </c>
      <c r="G912" s="2" t="n">
        <v>1</v>
      </c>
      <c r="H912" s="2" t="n">
        <v>1</v>
      </c>
      <c r="I912" s="2" t="n">
        <v>0</v>
      </c>
    </row>
    <row r="913">
      <c r="A913" s="2" t="n">
        <v>911</v>
      </c>
      <c r="B913" s="2" t="inlineStr">
        <is>
          <t>length</t>
        </is>
      </c>
      <c r="C913" s="2" t="inlineStr">
        <is>
          <t>browser chrome150</t>
        </is>
      </c>
      <c r="D913" s="2" t="n">
        <v>1763</v>
      </c>
      <c r="E913" s="2" t="n">
        <v>1763</v>
      </c>
      <c r="F913" s="2" t="n">
        <v>0</v>
      </c>
      <c r="G913" s="2" t="n">
        <v>0</v>
      </c>
      <c r="H913" s="2" t="n">
        <v>0</v>
      </c>
      <c r="I913" s="2" t="n">
        <v>0</v>
      </c>
    </row>
    <row r="914">
      <c r="A914" s="2" t="n">
        <v>912</v>
      </c>
      <c r="B914" s="2" t="inlineStr">
        <is>
          <t>insert</t>
        </is>
      </c>
      <c r="C914" s="2" t="inlineStr">
        <is>
          <t>browser firefox147</t>
        </is>
      </c>
      <c r="D914" s="2" t="n">
        <v>1903</v>
      </c>
      <c r="E914" s="2" t="n">
        <v>1903</v>
      </c>
      <c r="F914" s="2" t="n">
        <v>1</v>
      </c>
      <c r="G914" s="2" t="n">
        <v>1</v>
      </c>
      <c r="H914" s="2" t="n">
        <v>0</v>
      </c>
      <c r="I914" s="2" t="n">
        <v>0</v>
      </c>
    </row>
    <row r="915">
      <c r="A915" s="2" t="n">
        <v>913</v>
      </c>
      <c r="B915" s="2" t="inlineStr">
        <is>
          <t>flip</t>
        </is>
      </c>
      <c r="C915" s="2" t="inlineStr">
        <is>
          <t>openssl 3.5.8 default</t>
        </is>
      </c>
      <c r="D915" s="2" t="n">
        <v>1548</v>
      </c>
      <c r="E915" s="2" t="n">
        <v>1548</v>
      </c>
      <c r="F915" s="2" t="n">
        <v>1</v>
      </c>
      <c r="G915" s="2" t="n">
        <v>1</v>
      </c>
      <c r="H915" s="2" t="n">
        <v>1</v>
      </c>
      <c r="I915" s="2" t="n">
        <v>0</v>
      </c>
    </row>
    <row r="916">
      <c r="A916" s="2" t="n">
        <v>914</v>
      </c>
      <c r="B916" s="2" t="inlineStr">
        <is>
          <t>truncate</t>
        </is>
      </c>
      <c r="C916" s="2" t="inlineStr">
        <is>
          <t>openssl 3.5.8 default</t>
        </is>
      </c>
      <c r="D916" s="2" t="n">
        <v>739</v>
      </c>
      <c r="E916" s="2" t="n">
        <v>739</v>
      </c>
      <c r="F916" s="2" t="n">
        <v>1</v>
      </c>
      <c r="G916" s="2" t="n">
        <v>1</v>
      </c>
      <c r="H916" s="2" t="n">
        <v>1</v>
      </c>
      <c r="I916" s="2" t="n">
        <v>0</v>
      </c>
    </row>
    <row r="917">
      <c r="A917" s="2" t="n">
        <v>915</v>
      </c>
      <c r="B917" s="2" t="inlineStr">
        <is>
          <t>length</t>
        </is>
      </c>
      <c r="C917" s="2" t="inlineStr">
        <is>
          <t>openssl TLS 1.2 only</t>
        </is>
      </c>
      <c r="D917" s="2" t="n">
        <v>215</v>
      </c>
      <c r="E917" s="2" t="n">
        <v>215</v>
      </c>
      <c r="F917" s="2" t="n">
        <v>0</v>
      </c>
      <c r="G917" s="2" t="n">
        <v>0</v>
      </c>
      <c r="H917" s="2" t="n">
        <v>0</v>
      </c>
      <c r="I917" s="2" t="n">
        <v>0</v>
      </c>
    </row>
    <row r="918">
      <c r="A918" s="2" t="n">
        <v>916</v>
      </c>
      <c r="B918" s="2" t="inlineStr">
        <is>
          <t>insert</t>
        </is>
      </c>
      <c r="C918" s="2" t="inlineStr">
        <is>
          <t>openssl TLS 1.2 only</t>
        </is>
      </c>
      <c r="D918" s="2" t="n">
        <v>217</v>
      </c>
      <c r="E918" s="2" t="n">
        <v>217</v>
      </c>
      <c r="F918" s="2" t="n">
        <v>1</v>
      </c>
      <c r="G918" s="2" t="n">
        <v>1</v>
      </c>
      <c r="H918" s="2" t="n">
        <v>1</v>
      </c>
      <c r="I918" s="2" t="n">
        <v>0</v>
      </c>
    </row>
    <row r="919">
      <c r="A919" s="2" t="n">
        <v>917</v>
      </c>
      <c r="B919" s="2" t="inlineStr">
        <is>
          <t>flip</t>
        </is>
      </c>
      <c r="C919" s="2" t="inlineStr">
        <is>
          <t>openssl X25519 only (classical)</t>
        </is>
      </c>
      <c r="D919" s="2" t="n">
        <v>314</v>
      </c>
      <c r="E919" s="2" t="n">
        <v>314</v>
      </c>
      <c r="F919" s="2" t="n">
        <v>0</v>
      </c>
      <c r="G919" s="2" t="n">
        <v>0</v>
      </c>
      <c r="H919" s="2" t="n">
        <v>0</v>
      </c>
      <c r="I919" s="2" t="n">
        <v>0</v>
      </c>
    </row>
    <row r="920">
      <c r="A920" s="2" t="n">
        <v>918</v>
      </c>
      <c r="B920" s="2" t="inlineStr">
        <is>
          <t>truncate</t>
        </is>
      </c>
      <c r="C920" s="2" t="inlineStr">
        <is>
          <t>openssl X25519 only (classical)</t>
        </is>
      </c>
      <c r="D920" s="2" t="n">
        <v>218</v>
      </c>
      <c r="E920" s="2" t="n">
        <v>218</v>
      </c>
      <c r="F920" s="2" t="n">
        <v>1</v>
      </c>
      <c r="G920" s="2" t="n">
        <v>1</v>
      </c>
      <c r="H920" s="2" t="n">
        <v>0</v>
      </c>
      <c r="I920" s="2" t="n">
        <v>0</v>
      </c>
    </row>
    <row r="921">
      <c r="A921" s="2" t="n">
        <v>919</v>
      </c>
      <c r="B921" s="2" t="inlineStr">
        <is>
          <t>length</t>
        </is>
      </c>
      <c r="C921" s="2" t="inlineStr">
        <is>
          <t>openssl X25519 only (classical)</t>
        </is>
      </c>
      <c r="D921" s="2" t="n">
        <v>314</v>
      </c>
      <c r="E921" s="2" t="n">
        <v>314</v>
      </c>
      <c r="F921" s="2" t="n">
        <v>1</v>
      </c>
      <c r="G921" s="2" t="n">
        <v>1</v>
      </c>
      <c r="H921" s="2" t="n">
        <v>0</v>
      </c>
      <c r="I921" s="2" t="n">
        <v>0</v>
      </c>
    </row>
    <row r="922">
      <c r="A922" s="2" t="n">
        <v>920</v>
      </c>
      <c r="B922" s="2" t="inlineStr">
        <is>
          <t>insert</t>
        </is>
      </c>
      <c r="C922" s="2" t="inlineStr">
        <is>
          <t>browser chrome150</t>
        </is>
      </c>
      <c r="D922" s="2" t="n">
        <v>1770</v>
      </c>
      <c r="E922" s="2" t="n">
        <v>1770</v>
      </c>
      <c r="F922" s="2" t="n">
        <v>1</v>
      </c>
      <c r="G922" s="2" t="n">
        <v>1</v>
      </c>
      <c r="H922" s="2" t="n">
        <v>1</v>
      </c>
      <c r="I922" s="2" t="n">
        <v>0</v>
      </c>
    </row>
    <row r="923">
      <c r="A923" s="2" t="n">
        <v>921</v>
      </c>
      <c r="B923" s="2" t="inlineStr">
        <is>
          <t>flip</t>
        </is>
      </c>
      <c r="C923" s="2" t="inlineStr">
        <is>
          <t>openssl 3.5.8 default</t>
        </is>
      </c>
      <c r="D923" s="2" t="n">
        <v>1548</v>
      </c>
      <c r="E923" s="2" t="n">
        <v>1548</v>
      </c>
      <c r="F923" s="2" t="n">
        <v>1</v>
      </c>
      <c r="G923" s="2" t="n">
        <v>1</v>
      </c>
      <c r="H923" s="2" t="n">
        <v>1</v>
      </c>
      <c r="I923" s="2" t="n">
        <v>0</v>
      </c>
    </row>
    <row r="924">
      <c r="A924" s="2" t="n">
        <v>922</v>
      </c>
      <c r="B924" s="2" t="inlineStr">
        <is>
          <t>truncate</t>
        </is>
      </c>
      <c r="C924" s="2" t="inlineStr">
        <is>
          <t>browser chrome150</t>
        </is>
      </c>
      <c r="D924" s="2" t="n">
        <v>772</v>
      </c>
      <c r="E924" s="2" t="n">
        <v>772</v>
      </c>
      <c r="F924" s="2" t="n">
        <v>1</v>
      </c>
      <c r="G924" s="2" t="n">
        <v>1</v>
      </c>
      <c r="H924" s="2" t="n">
        <v>1</v>
      </c>
      <c r="I924" s="2" t="n">
        <v>0</v>
      </c>
    </row>
    <row r="925">
      <c r="A925" s="2" t="n">
        <v>923</v>
      </c>
      <c r="B925" s="2" t="inlineStr">
        <is>
          <t>length</t>
        </is>
      </c>
      <c r="C925" s="2" t="inlineStr">
        <is>
          <t>openssl X25519 only (classical)</t>
        </is>
      </c>
      <c r="D925" s="2" t="n">
        <v>314</v>
      </c>
      <c r="E925" s="2" t="n">
        <v>314</v>
      </c>
      <c r="F925" s="2" t="n">
        <v>0</v>
      </c>
      <c r="G925" s="2" t="n">
        <v>0</v>
      </c>
      <c r="H925" s="2" t="n">
        <v>0</v>
      </c>
      <c r="I925" s="2" t="n">
        <v>0</v>
      </c>
    </row>
    <row r="926">
      <c r="A926" s="2" t="n">
        <v>924</v>
      </c>
      <c r="B926" s="2" t="inlineStr">
        <is>
          <t>insert</t>
        </is>
      </c>
      <c r="C926" s="2" t="inlineStr">
        <is>
          <t>browser firefox147</t>
        </is>
      </c>
      <c r="D926" s="2" t="n">
        <v>1908</v>
      </c>
      <c r="E926" s="2" t="n">
        <v>1908</v>
      </c>
      <c r="F926" s="2" t="n">
        <v>1</v>
      </c>
      <c r="G926" s="2" t="n">
        <v>1</v>
      </c>
      <c r="H926" s="2" t="n">
        <v>0</v>
      </c>
      <c r="I926" s="2" t="n">
        <v>0</v>
      </c>
    </row>
    <row r="927">
      <c r="A927" s="2" t="n">
        <v>925</v>
      </c>
      <c r="B927" s="2" t="inlineStr">
        <is>
          <t>flip</t>
        </is>
      </c>
      <c r="C927" s="2" t="inlineStr">
        <is>
          <t>browser chrome150</t>
        </is>
      </c>
      <c r="D927" s="2" t="n">
        <v>1763</v>
      </c>
      <c r="E927" s="2" t="n">
        <v>1763</v>
      </c>
      <c r="F927" s="2" t="n">
        <v>1</v>
      </c>
      <c r="G927" s="2" t="n">
        <v>1</v>
      </c>
      <c r="H927" s="2" t="n">
        <v>1</v>
      </c>
      <c r="I927" s="2" t="n">
        <v>0</v>
      </c>
    </row>
    <row r="928">
      <c r="A928" s="2" t="n">
        <v>926</v>
      </c>
      <c r="B928" s="2" t="inlineStr">
        <is>
          <t>truncate</t>
        </is>
      </c>
      <c r="C928" s="2" t="inlineStr">
        <is>
          <t>browser chrome150</t>
        </is>
      </c>
      <c r="D928" s="2" t="n">
        <v>454</v>
      </c>
      <c r="E928" s="2" t="n">
        <v>454</v>
      </c>
      <c r="F928" s="2" t="n">
        <v>1</v>
      </c>
      <c r="G928" s="2" t="n">
        <v>1</v>
      </c>
      <c r="H928" s="2" t="n">
        <v>1</v>
      </c>
      <c r="I928" s="2" t="n">
        <v>0</v>
      </c>
    </row>
    <row r="929">
      <c r="A929" s="2" t="n">
        <v>927</v>
      </c>
      <c r="B929" s="2" t="inlineStr">
        <is>
          <t>length</t>
        </is>
      </c>
      <c r="C929" s="2" t="inlineStr">
        <is>
          <t>openssl 3.5.8 default</t>
        </is>
      </c>
      <c r="D929" s="2" t="n">
        <v>1548</v>
      </c>
      <c r="E929" s="2" t="n">
        <v>1548</v>
      </c>
      <c r="F929" s="2" t="n">
        <v>1</v>
      </c>
      <c r="G929" s="2" t="n">
        <v>1</v>
      </c>
      <c r="H929" s="2" t="n">
        <v>1</v>
      </c>
      <c r="I929" s="2" t="n">
        <v>0</v>
      </c>
    </row>
    <row r="930">
      <c r="A930" s="2" t="n">
        <v>928</v>
      </c>
      <c r="B930" s="2" t="inlineStr">
        <is>
          <t>insert</t>
        </is>
      </c>
      <c r="C930" s="2" t="inlineStr">
        <is>
          <t>browser chrome150</t>
        </is>
      </c>
      <c r="D930" s="2" t="n">
        <v>1775</v>
      </c>
      <c r="E930" s="2" t="n">
        <v>1775</v>
      </c>
      <c r="F930" s="2" t="n">
        <v>1</v>
      </c>
      <c r="G930" s="2" t="n">
        <v>1</v>
      </c>
      <c r="H930" s="2" t="n">
        <v>1</v>
      </c>
      <c r="I930" s="2" t="n">
        <v>0</v>
      </c>
    </row>
    <row r="931">
      <c r="A931" s="2" t="n">
        <v>929</v>
      </c>
      <c r="B931" s="2" t="inlineStr">
        <is>
          <t>flip</t>
        </is>
      </c>
      <c r="C931" s="2" t="inlineStr">
        <is>
          <t>openssl X25519 only (classical)</t>
        </is>
      </c>
      <c r="D931" s="2" t="n">
        <v>314</v>
      </c>
      <c r="E931" s="2" t="n">
        <v>314</v>
      </c>
      <c r="F931" s="2" t="n">
        <v>1</v>
      </c>
      <c r="G931" s="2" t="n">
        <v>1</v>
      </c>
      <c r="H931" s="2" t="n">
        <v>1</v>
      </c>
      <c r="I931" s="2" t="n">
        <v>0</v>
      </c>
    </row>
    <row r="932">
      <c r="A932" s="2" t="n">
        <v>930</v>
      </c>
      <c r="B932" s="2" t="inlineStr">
        <is>
          <t>truncate</t>
        </is>
      </c>
      <c r="C932" s="2" t="inlineStr">
        <is>
          <t>browser chrome150</t>
        </is>
      </c>
      <c r="D932" s="2" t="n">
        <v>871</v>
      </c>
      <c r="E932" s="2" t="n">
        <v>871</v>
      </c>
      <c r="F932" s="2" t="n">
        <v>1</v>
      </c>
      <c r="G932" s="2" t="n">
        <v>1</v>
      </c>
      <c r="H932" s="2" t="n">
        <v>1</v>
      </c>
      <c r="I932" s="2" t="n">
        <v>0</v>
      </c>
    </row>
    <row r="933">
      <c r="A933" s="2" t="n">
        <v>931</v>
      </c>
      <c r="B933" s="2" t="inlineStr">
        <is>
          <t>length</t>
        </is>
      </c>
      <c r="C933" s="2" t="inlineStr">
        <is>
          <t>openssl TLS 1.2 only</t>
        </is>
      </c>
      <c r="D933" s="2" t="n">
        <v>215</v>
      </c>
      <c r="E933" s="2" t="n">
        <v>215</v>
      </c>
      <c r="F933" s="2" t="n">
        <v>0</v>
      </c>
      <c r="G933" s="2" t="n">
        <v>0</v>
      </c>
      <c r="H933" s="2" t="n">
        <v>0</v>
      </c>
      <c r="I933" s="2" t="n">
        <v>0</v>
      </c>
    </row>
    <row r="934">
      <c r="A934" s="2" t="n">
        <v>932</v>
      </c>
      <c r="B934" s="2" t="inlineStr">
        <is>
          <t>insert</t>
        </is>
      </c>
      <c r="C934" s="2" t="inlineStr">
        <is>
          <t>browser firefox147</t>
        </is>
      </c>
      <c r="D934" s="2" t="n">
        <v>1908</v>
      </c>
      <c r="E934" s="2" t="n">
        <v>1908</v>
      </c>
      <c r="F934" s="2" t="n">
        <v>1</v>
      </c>
      <c r="G934" s="2" t="n">
        <v>1</v>
      </c>
      <c r="H934" s="2" t="n">
        <v>0</v>
      </c>
      <c r="I934" s="2" t="n">
        <v>0</v>
      </c>
    </row>
    <row r="935">
      <c r="A935" s="2" t="n">
        <v>933</v>
      </c>
      <c r="B935" s="2" t="inlineStr">
        <is>
          <t>flip</t>
        </is>
      </c>
      <c r="C935" s="2" t="inlineStr">
        <is>
          <t>browser firefox147</t>
        </is>
      </c>
      <c r="D935" s="2" t="n">
        <v>1901</v>
      </c>
      <c r="E935" s="2" t="n">
        <v>1901</v>
      </c>
      <c r="F935" s="2" t="n">
        <v>1</v>
      </c>
      <c r="G935" s="2" t="n">
        <v>0</v>
      </c>
      <c r="H935" s="2" t="n">
        <v>0</v>
      </c>
      <c r="I935" s="2" t="n">
        <v>0</v>
      </c>
    </row>
    <row r="936">
      <c r="A936" s="2" t="n">
        <v>934</v>
      </c>
      <c r="B936" s="2" t="inlineStr">
        <is>
          <t>truncate</t>
        </is>
      </c>
      <c r="C936" s="2" t="inlineStr">
        <is>
          <t>openssl TLS 1.2 only</t>
        </is>
      </c>
      <c r="D936" s="2" t="n">
        <v>56</v>
      </c>
      <c r="E936" s="2" t="n">
        <v>56</v>
      </c>
      <c r="F936" s="2" t="n">
        <v>1</v>
      </c>
      <c r="G936" s="2" t="n">
        <v>0</v>
      </c>
      <c r="H936" s="2" t="n">
        <v>0</v>
      </c>
      <c r="I936" s="2" t="n">
        <v>0</v>
      </c>
    </row>
    <row r="937">
      <c r="A937" s="2" t="n">
        <v>935</v>
      </c>
      <c r="B937" s="2" t="inlineStr">
        <is>
          <t>length</t>
        </is>
      </c>
      <c r="C937" s="2" t="inlineStr">
        <is>
          <t>openssl TLS 1.2 only</t>
        </is>
      </c>
      <c r="D937" s="2" t="n">
        <v>215</v>
      </c>
      <c r="E937" s="2" t="n">
        <v>215</v>
      </c>
      <c r="F937" s="2" t="n">
        <v>1</v>
      </c>
      <c r="G937" s="2" t="n">
        <v>1</v>
      </c>
      <c r="H937" s="2" t="n">
        <v>1</v>
      </c>
      <c r="I937" s="2" t="n">
        <v>0</v>
      </c>
    </row>
    <row r="938">
      <c r="A938" s="2" t="n">
        <v>936</v>
      </c>
      <c r="B938" s="2" t="inlineStr">
        <is>
          <t>insert</t>
        </is>
      </c>
      <c r="C938" s="2" t="inlineStr">
        <is>
          <t>browser chrome150</t>
        </is>
      </c>
      <c r="D938" s="2" t="n">
        <v>1772</v>
      </c>
      <c r="E938" s="2" t="n">
        <v>1772</v>
      </c>
      <c r="F938" s="2" t="n">
        <v>1</v>
      </c>
      <c r="G938" s="2" t="n">
        <v>1</v>
      </c>
      <c r="H938" s="2" t="n">
        <v>1</v>
      </c>
      <c r="I938" s="2" t="n">
        <v>0</v>
      </c>
    </row>
    <row r="939">
      <c r="A939" s="2" t="n">
        <v>937</v>
      </c>
      <c r="B939" s="2" t="inlineStr">
        <is>
          <t>flip</t>
        </is>
      </c>
      <c r="C939" s="2" t="inlineStr">
        <is>
          <t>browser chrome150</t>
        </is>
      </c>
      <c r="D939" s="2" t="n">
        <v>1763</v>
      </c>
      <c r="E939" s="2" t="n">
        <v>1763</v>
      </c>
      <c r="F939" s="2" t="n">
        <v>1</v>
      </c>
      <c r="G939" s="2" t="n">
        <v>1</v>
      </c>
      <c r="H939" s="2" t="n">
        <v>1</v>
      </c>
      <c r="I939" s="2" t="n">
        <v>0</v>
      </c>
    </row>
    <row r="940">
      <c r="A940" s="2" t="n">
        <v>938</v>
      </c>
      <c r="B940" s="2" t="inlineStr">
        <is>
          <t>truncate</t>
        </is>
      </c>
      <c r="C940" s="2" t="inlineStr">
        <is>
          <t>openssl TLS 1.2 only</t>
        </is>
      </c>
      <c r="D940" s="2" t="n">
        <v>133</v>
      </c>
      <c r="E940" s="2" t="n">
        <v>133</v>
      </c>
      <c r="F940" s="2" t="n">
        <v>1</v>
      </c>
      <c r="G940" s="2" t="n">
        <v>1</v>
      </c>
      <c r="H940" s="2" t="n">
        <v>0</v>
      </c>
      <c r="I940" s="2" t="n">
        <v>0</v>
      </c>
    </row>
    <row r="941">
      <c r="A941" s="2" t="n">
        <v>939</v>
      </c>
      <c r="B941" s="2" t="inlineStr">
        <is>
          <t>length</t>
        </is>
      </c>
      <c r="C941" s="2" t="inlineStr">
        <is>
          <t>openssl 3.5.8 default</t>
        </is>
      </c>
      <c r="D941" s="2" t="n">
        <v>1548</v>
      </c>
      <c r="E941" s="2" t="n">
        <v>1548</v>
      </c>
      <c r="F941" s="2" t="n">
        <v>1</v>
      </c>
      <c r="G941" s="2" t="n">
        <v>0</v>
      </c>
      <c r="H941" s="2" t="n">
        <v>0</v>
      </c>
      <c r="I941" s="2" t="n">
        <v>0</v>
      </c>
    </row>
    <row r="942">
      <c r="A942" s="2" t="n">
        <v>940</v>
      </c>
      <c r="B942" s="2" t="inlineStr">
        <is>
          <t>insert</t>
        </is>
      </c>
      <c r="C942" s="2" t="inlineStr">
        <is>
          <t>openssl 3.5.8 default</t>
        </is>
      </c>
      <c r="D942" s="2" t="n">
        <v>1556</v>
      </c>
      <c r="E942" s="2" t="n">
        <v>1556</v>
      </c>
      <c r="F942" s="2" t="n">
        <v>1</v>
      </c>
      <c r="G942" s="2" t="n">
        <v>1</v>
      </c>
      <c r="H942" s="2" t="n">
        <v>1</v>
      </c>
      <c r="I942" s="2" t="n">
        <v>0</v>
      </c>
    </row>
    <row r="943">
      <c r="A943" s="2" t="n">
        <v>941</v>
      </c>
      <c r="B943" s="2" t="inlineStr">
        <is>
          <t>flip</t>
        </is>
      </c>
      <c r="C943" s="2" t="inlineStr">
        <is>
          <t>openssl X25519 only (classical)</t>
        </is>
      </c>
      <c r="D943" s="2" t="n">
        <v>314</v>
      </c>
      <c r="E943" s="2" t="n">
        <v>314</v>
      </c>
      <c r="F943" s="2" t="n">
        <v>1</v>
      </c>
      <c r="G943" s="2" t="n">
        <v>0</v>
      </c>
      <c r="H943" s="2" t="n">
        <v>0</v>
      </c>
      <c r="I943" s="2" t="n">
        <v>0</v>
      </c>
    </row>
    <row r="944">
      <c r="A944" s="2" t="n">
        <v>942</v>
      </c>
      <c r="B944" s="2" t="inlineStr">
        <is>
          <t>truncate</t>
        </is>
      </c>
      <c r="C944" s="2" t="inlineStr">
        <is>
          <t>openssl TLS 1.2 only</t>
        </is>
      </c>
      <c r="D944" s="2" t="n">
        <v>3</v>
      </c>
      <c r="E944" s="2" t="n">
        <v>3</v>
      </c>
      <c r="F944" s="2" t="n">
        <v>0</v>
      </c>
      <c r="G944" s="2" t="n">
        <v>0</v>
      </c>
      <c r="H944" s="2" t="n">
        <v>0</v>
      </c>
      <c r="I944" s="2" t="n">
        <v>0</v>
      </c>
    </row>
    <row r="945">
      <c r="A945" s="2" t="n">
        <v>943</v>
      </c>
      <c r="B945" s="2" t="inlineStr">
        <is>
          <t>length</t>
        </is>
      </c>
      <c r="C945" s="2" t="inlineStr">
        <is>
          <t>openssl TLS 1.2 only</t>
        </is>
      </c>
      <c r="D945" s="2" t="n">
        <v>215</v>
      </c>
      <c r="E945" s="2" t="n">
        <v>215</v>
      </c>
      <c r="F945" s="2" t="n">
        <v>1</v>
      </c>
      <c r="G945" s="2" t="n">
        <v>1</v>
      </c>
      <c r="H945" s="2" t="n">
        <v>0</v>
      </c>
      <c r="I945" s="2" t="n">
        <v>0</v>
      </c>
    </row>
    <row r="946">
      <c r="A946" s="2" t="n">
        <v>944</v>
      </c>
      <c r="B946" s="2" t="inlineStr">
        <is>
          <t>insert</t>
        </is>
      </c>
      <c r="C946" s="2" t="inlineStr">
        <is>
          <t>openssl TLS 1.2 only</t>
        </is>
      </c>
      <c r="D946" s="2" t="n">
        <v>229</v>
      </c>
      <c r="E946" s="2" t="n">
        <v>229</v>
      </c>
      <c r="F946" s="2" t="n">
        <v>1</v>
      </c>
      <c r="G946" s="2" t="n">
        <v>1</v>
      </c>
      <c r="H946" s="2" t="n">
        <v>1</v>
      </c>
      <c r="I946" s="2" t="n">
        <v>0</v>
      </c>
    </row>
    <row r="947">
      <c r="A947" s="2" t="n">
        <v>945</v>
      </c>
      <c r="B947" s="2" t="inlineStr">
        <is>
          <t>flip</t>
        </is>
      </c>
      <c r="C947" s="2" t="inlineStr">
        <is>
          <t>openssl 3.5.8 default</t>
        </is>
      </c>
      <c r="D947" s="2" t="n">
        <v>1548</v>
      </c>
      <c r="E947" s="2" t="n">
        <v>1548</v>
      </c>
      <c r="F947" s="2" t="n">
        <v>1</v>
      </c>
      <c r="G947" s="2" t="n">
        <v>1</v>
      </c>
      <c r="H947" s="2" t="n">
        <v>1</v>
      </c>
      <c r="I947" s="2" t="n">
        <v>0</v>
      </c>
    </row>
    <row r="948">
      <c r="A948" s="2" t="n">
        <v>946</v>
      </c>
      <c r="B948" s="2" t="inlineStr">
        <is>
          <t>truncate</t>
        </is>
      </c>
      <c r="C948" s="2" t="inlineStr">
        <is>
          <t>browser chrome150</t>
        </is>
      </c>
      <c r="D948" s="2" t="n">
        <v>228</v>
      </c>
      <c r="E948" s="2" t="n">
        <v>228</v>
      </c>
      <c r="F948" s="2" t="n">
        <v>1</v>
      </c>
      <c r="G948" s="2" t="n">
        <v>1</v>
      </c>
      <c r="H948" s="2" t="n">
        <v>1</v>
      </c>
      <c r="I948" s="2" t="n">
        <v>0</v>
      </c>
    </row>
    <row r="949">
      <c r="A949" s="2" t="n">
        <v>947</v>
      </c>
      <c r="B949" s="2" t="inlineStr">
        <is>
          <t>length</t>
        </is>
      </c>
      <c r="C949" s="2" t="inlineStr">
        <is>
          <t>openssl X25519 only (classical)</t>
        </is>
      </c>
      <c r="D949" s="2" t="n">
        <v>314</v>
      </c>
      <c r="E949" s="2" t="n">
        <v>314</v>
      </c>
      <c r="F949" s="2" t="n">
        <v>1</v>
      </c>
      <c r="G949" s="2" t="n">
        <v>1</v>
      </c>
      <c r="H949" s="2" t="n">
        <v>1</v>
      </c>
      <c r="I949" s="2" t="n">
        <v>0</v>
      </c>
    </row>
    <row r="950">
      <c r="A950" s="2" t="n">
        <v>948</v>
      </c>
      <c r="B950" s="2" t="inlineStr">
        <is>
          <t>insert</t>
        </is>
      </c>
      <c r="C950" s="2" t="inlineStr">
        <is>
          <t>openssl X25519 only (classical)</t>
        </is>
      </c>
      <c r="D950" s="2" t="n">
        <v>329</v>
      </c>
      <c r="E950" s="2" t="n">
        <v>329</v>
      </c>
      <c r="F950" s="2" t="n">
        <v>1</v>
      </c>
      <c r="G950" s="2" t="n">
        <v>1</v>
      </c>
      <c r="H950" s="2" t="n">
        <v>1</v>
      </c>
      <c r="I950" s="2" t="n">
        <v>0</v>
      </c>
    </row>
    <row r="951">
      <c r="A951" s="2" t="n">
        <v>949</v>
      </c>
      <c r="B951" s="2" t="inlineStr">
        <is>
          <t>flip</t>
        </is>
      </c>
      <c r="C951" s="2" t="inlineStr">
        <is>
          <t>openssl 3.5.8 default</t>
        </is>
      </c>
      <c r="D951" s="2" t="n">
        <v>1548</v>
      </c>
      <c r="E951" s="2" t="n">
        <v>1548</v>
      </c>
      <c r="F951" s="2" t="n">
        <v>1</v>
      </c>
      <c r="G951" s="2" t="n">
        <v>1</v>
      </c>
      <c r="H951" s="2" t="n">
        <v>1</v>
      </c>
      <c r="I951" s="2" t="n">
        <v>0</v>
      </c>
    </row>
    <row r="952">
      <c r="A952" s="2" t="n">
        <v>950</v>
      </c>
      <c r="B952" s="2" t="inlineStr">
        <is>
          <t>truncate</t>
        </is>
      </c>
      <c r="C952" s="2" t="inlineStr">
        <is>
          <t>openssl X25519 only (classical)</t>
        </is>
      </c>
      <c r="D952" s="2" t="n">
        <v>19</v>
      </c>
      <c r="E952" s="2" t="n">
        <v>19</v>
      </c>
      <c r="F952" s="2" t="n">
        <v>1</v>
      </c>
      <c r="G952" s="2" t="n">
        <v>0</v>
      </c>
      <c r="H952" s="2" t="n">
        <v>0</v>
      </c>
      <c r="I952" s="2" t="n">
        <v>0</v>
      </c>
    </row>
    <row r="953">
      <c r="A953" s="2" t="n">
        <v>951</v>
      </c>
      <c r="B953" s="2" t="inlineStr">
        <is>
          <t>length</t>
        </is>
      </c>
      <c r="C953" s="2" t="inlineStr">
        <is>
          <t>openssl 3.5.8 default</t>
        </is>
      </c>
      <c r="D953" s="2" t="n">
        <v>1548</v>
      </c>
      <c r="E953" s="2" t="n">
        <v>1548</v>
      </c>
      <c r="F953" s="2" t="n">
        <v>1</v>
      </c>
      <c r="G953" s="2" t="n">
        <v>1</v>
      </c>
      <c r="H953" s="2" t="n">
        <v>0</v>
      </c>
      <c r="I953" s="2" t="n">
        <v>0</v>
      </c>
    </row>
    <row r="954">
      <c r="A954" s="2" t="n">
        <v>952</v>
      </c>
      <c r="B954" s="2" t="inlineStr">
        <is>
          <t>insert</t>
        </is>
      </c>
      <c r="C954" s="2" t="inlineStr">
        <is>
          <t>browser chrome150</t>
        </is>
      </c>
      <c r="D954" s="2" t="n">
        <v>1773</v>
      </c>
      <c r="E954" s="2" t="n">
        <v>1773</v>
      </c>
      <c r="F954" s="2" t="n">
        <v>1</v>
      </c>
      <c r="G954" s="2" t="n">
        <v>1</v>
      </c>
      <c r="H954" s="2" t="n">
        <v>1</v>
      </c>
      <c r="I954" s="2" t="n">
        <v>0</v>
      </c>
    </row>
    <row r="955">
      <c r="A955" s="2" t="n">
        <v>953</v>
      </c>
      <c r="B955" s="2" t="inlineStr">
        <is>
          <t>flip</t>
        </is>
      </c>
      <c r="C955" s="2" t="inlineStr">
        <is>
          <t>openssl TLS 1.2 only</t>
        </is>
      </c>
      <c r="D955" s="2" t="n">
        <v>215</v>
      </c>
      <c r="E955" s="2" t="n">
        <v>215</v>
      </c>
      <c r="F955" s="2" t="n">
        <v>1</v>
      </c>
      <c r="G955" s="2" t="n">
        <v>1</v>
      </c>
      <c r="H955" s="2" t="n">
        <v>1</v>
      </c>
      <c r="I955" s="2" t="n">
        <v>0</v>
      </c>
    </row>
    <row r="956">
      <c r="A956" s="2" t="n">
        <v>954</v>
      </c>
      <c r="B956" s="2" t="inlineStr">
        <is>
          <t>truncate</t>
        </is>
      </c>
      <c r="C956" s="2" t="inlineStr">
        <is>
          <t>browser firefox147</t>
        </is>
      </c>
      <c r="D956" s="2" t="n">
        <v>1166</v>
      </c>
      <c r="E956" s="2" t="n">
        <v>1166</v>
      </c>
      <c r="F956" s="2" t="n">
        <v>1</v>
      </c>
      <c r="G956" s="2" t="n">
        <v>1</v>
      </c>
      <c r="H956" s="2" t="n">
        <v>0</v>
      </c>
      <c r="I956" s="2" t="n">
        <v>0</v>
      </c>
    </row>
    <row r="957">
      <c r="A957" s="2" t="n">
        <v>955</v>
      </c>
      <c r="B957" s="2" t="inlineStr">
        <is>
          <t>length</t>
        </is>
      </c>
      <c r="C957" s="2" t="inlineStr">
        <is>
          <t>openssl X25519 only (classical)</t>
        </is>
      </c>
      <c r="D957" s="2" t="n">
        <v>314</v>
      </c>
      <c r="E957" s="2" t="n">
        <v>314</v>
      </c>
      <c r="F957" s="2" t="n">
        <v>1</v>
      </c>
      <c r="G957" s="2" t="n">
        <v>1</v>
      </c>
      <c r="H957" s="2" t="n">
        <v>1</v>
      </c>
      <c r="I957" s="2" t="n">
        <v>0</v>
      </c>
    </row>
    <row r="958">
      <c r="A958" s="2" t="n">
        <v>956</v>
      </c>
      <c r="B958" s="2" t="inlineStr">
        <is>
          <t>insert</t>
        </is>
      </c>
      <c r="C958" s="2" t="inlineStr">
        <is>
          <t>openssl X25519 only (classical)</t>
        </is>
      </c>
      <c r="D958" s="2" t="n">
        <v>327</v>
      </c>
      <c r="E958" s="2" t="n">
        <v>327</v>
      </c>
      <c r="F958" s="2" t="n">
        <v>1</v>
      </c>
      <c r="G958" s="2" t="n">
        <v>1</v>
      </c>
      <c r="H958" s="2" t="n">
        <v>0</v>
      </c>
      <c r="I958" s="2" t="n">
        <v>0</v>
      </c>
    </row>
    <row r="959">
      <c r="A959" s="2" t="n">
        <v>957</v>
      </c>
      <c r="B959" s="2" t="inlineStr">
        <is>
          <t>flip</t>
        </is>
      </c>
      <c r="C959" s="2" t="inlineStr">
        <is>
          <t>browser firefox147</t>
        </is>
      </c>
      <c r="D959" s="2" t="n">
        <v>1901</v>
      </c>
      <c r="E959" s="2" t="n">
        <v>1901</v>
      </c>
      <c r="F959" s="2" t="n">
        <v>1</v>
      </c>
      <c r="G959" s="2" t="n">
        <v>1</v>
      </c>
      <c r="H959" s="2" t="n">
        <v>0</v>
      </c>
      <c r="I959" s="2" t="n">
        <v>0</v>
      </c>
    </row>
    <row r="960">
      <c r="A960" s="2" t="n">
        <v>958</v>
      </c>
      <c r="B960" s="2" t="inlineStr">
        <is>
          <t>truncate</t>
        </is>
      </c>
      <c r="C960" s="2" t="inlineStr">
        <is>
          <t>openssl X25519 only (classical)</t>
        </is>
      </c>
      <c r="D960" s="2" t="n">
        <v>256</v>
      </c>
      <c r="E960" s="2" t="n">
        <v>256</v>
      </c>
      <c r="F960" s="2" t="n">
        <v>1</v>
      </c>
      <c r="G960" s="2" t="n">
        <v>1</v>
      </c>
      <c r="H960" s="2" t="n">
        <v>0</v>
      </c>
      <c r="I960" s="2" t="n">
        <v>0</v>
      </c>
    </row>
    <row r="961">
      <c r="A961" s="2" t="n">
        <v>959</v>
      </c>
      <c r="B961" s="2" t="inlineStr">
        <is>
          <t>length</t>
        </is>
      </c>
      <c r="C961" s="2" t="inlineStr">
        <is>
          <t>openssl 3.5.8 default</t>
        </is>
      </c>
      <c r="D961" s="2" t="n">
        <v>1548</v>
      </c>
      <c r="E961" s="2" t="n">
        <v>1548</v>
      </c>
      <c r="F961" s="2" t="n">
        <v>1</v>
      </c>
      <c r="G961" s="2" t="n">
        <v>1</v>
      </c>
      <c r="H961" s="2" t="n">
        <v>1</v>
      </c>
      <c r="I961" s="2" t="n">
        <v>0</v>
      </c>
    </row>
    <row r="962">
      <c r="A962" s="2" t="n">
        <v>960</v>
      </c>
      <c r="B962" s="2" t="inlineStr">
        <is>
          <t>insert</t>
        </is>
      </c>
      <c r="C962" s="2" t="inlineStr">
        <is>
          <t>browser chrome150</t>
        </is>
      </c>
      <c r="D962" s="2" t="n">
        <v>1774</v>
      </c>
      <c r="E962" s="2" t="n">
        <v>1774</v>
      </c>
      <c r="F962" s="2" t="n">
        <v>1</v>
      </c>
      <c r="G962" s="2" t="n">
        <v>1</v>
      </c>
      <c r="H962" s="2" t="n">
        <v>1</v>
      </c>
      <c r="I962" s="2" t="n">
        <v>0</v>
      </c>
    </row>
    <row r="963">
      <c r="A963" s="2" t="n">
        <v>961</v>
      </c>
      <c r="B963" s="2" t="inlineStr">
        <is>
          <t>flip</t>
        </is>
      </c>
      <c r="C963" s="2" t="inlineStr">
        <is>
          <t>openssl 3.5.8 default</t>
        </is>
      </c>
      <c r="D963" s="2" t="n">
        <v>1548</v>
      </c>
      <c r="E963" s="2" t="n">
        <v>1548</v>
      </c>
      <c r="F963" s="2" t="n">
        <v>1</v>
      </c>
      <c r="G963" s="2" t="n">
        <v>1</v>
      </c>
      <c r="H963" s="2" t="n">
        <v>1</v>
      </c>
      <c r="I963" s="2" t="n">
        <v>0</v>
      </c>
    </row>
    <row r="964">
      <c r="A964" s="2" t="n">
        <v>962</v>
      </c>
      <c r="B964" s="2" t="inlineStr">
        <is>
          <t>truncate</t>
        </is>
      </c>
      <c r="C964" s="2" t="inlineStr">
        <is>
          <t>openssl TLS 1.2 only</t>
        </is>
      </c>
      <c r="D964" s="2" t="n">
        <v>208</v>
      </c>
      <c r="E964" s="2" t="n">
        <v>208</v>
      </c>
      <c r="F964" s="2" t="n">
        <v>1</v>
      </c>
      <c r="G964" s="2" t="n">
        <v>1</v>
      </c>
      <c r="H964" s="2" t="n">
        <v>1</v>
      </c>
      <c r="I964" s="2" t="n">
        <v>0</v>
      </c>
    </row>
    <row r="965">
      <c r="A965" s="2" t="n">
        <v>963</v>
      </c>
      <c r="B965" s="2" t="inlineStr">
        <is>
          <t>length</t>
        </is>
      </c>
      <c r="C965" s="2" t="inlineStr">
        <is>
          <t>openssl 3.5.8 default</t>
        </is>
      </c>
      <c r="D965" s="2" t="n">
        <v>1548</v>
      </c>
      <c r="E965" s="2" t="n">
        <v>1548</v>
      </c>
      <c r="F965" s="2" t="n">
        <v>1</v>
      </c>
      <c r="G965" s="2" t="n">
        <v>1</v>
      </c>
      <c r="H965" s="2" t="n">
        <v>0</v>
      </c>
      <c r="I965" s="2" t="n">
        <v>0</v>
      </c>
    </row>
    <row r="966">
      <c r="A966" s="2" t="n">
        <v>964</v>
      </c>
      <c r="B966" s="2" t="inlineStr">
        <is>
          <t>insert</t>
        </is>
      </c>
      <c r="C966" s="2" t="inlineStr">
        <is>
          <t>browser firefox147</t>
        </is>
      </c>
      <c r="D966" s="2" t="n">
        <v>1912</v>
      </c>
      <c r="E966" s="2" t="n">
        <v>1912</v>
      </c>
      <c r="F966" s="2" t="n">
        <v>1</v>
      </c>
      <c r="G966" s="2" t="n">
        <v>1</v>
      </c>
      <c r="H966" s="2" t="n">
        <v>0</v>
      </c>
      <c r="I966" s="2" t="n">
        <v>0</v>
      </c>
    </row>
    <row r="967">
      <c r="A967" s="2" t="n">
        <v>965</v>
      </c>
      <c r="B967" s="2" t="inlineStr">
        <is>
          <t>flip</t>
        </is>
      </c>
      <c r="C967" s="2" t="inlineStr">
        <is>
          <t>openssl 3.5.8 default</t>
        </is>
      </c>
      <c r="D967" s="2" t="n">
        <v>1548</v>
      </c>
      <c r="E967" s="2" t="n">
        <v>1548</v>
      </c>
      <c r="F967" s="2" t="n">
        <v>1</v>
      </c>
      <c r="G967" s="2" t="n">
        <v>1</v>
      </c>
      <c r="H967" s="2" t="n">
        <v>1</v>
      </c>
      <c r="I967" s="2" t="n">
        <v>0</v>
      </c>
    </row>
    <row r="968">
      <c r="A968" s="2" t="n">
        <v>966</v>
      </c>
      <c r="B968" s="2" t="inlineStr">
        <is>
          <t>truncate</t>
        </is>
      </c>
      <c r="C968" s="2" t="inlineStr">
        <is>
          <t>openssl X25519 only (classical)</t>
        </is>
      </c>
      <c r="D968" s="2" t="n">
        <v>252</v>
      </c>
      <c r="E968" s="2" t="n">
        <v>252</v>
      </c>
      <c r="F968" s="2" t="n">
        <v>1</v>
      </c>
      <c r="G968" s="2" t="n">
        <v>1</v>
      </c>
      <c r="H968" s="2" t="n">
        <v>0</v>
      </c>
      <c r="I968" s="2" t="n">
        <v>0</v>
      </c>
    </row>
    <row r="969">
      <c r="A969" s="2" t="n">
        <v>967</v>
      </c>
      <c r="B969" s="2" t="inlineStr">
        <is>
          <t>length</t>
        </is>
      </c>
      <c r="C969" s="2" t="inlineStr">
        <is>
          <t>browser firefox147</t>
        </is>
      </c>
      <c r="D969" s="2" t="n">
        <v>1901</v>
      </c>
      <c r="E969" s="2" t="n">
        <v>1901</v>
      </c>
      <c r="F969" s="2" t="n">
        <v>1</v>
      </c>
      <c r="G969" s="2" t="n">
        <v>1</v>
      </c>
      <c r="H969" s="2" t="n">
        <v>0</v>
      </c>
      <c r="I969" s="2" t="n">
        <v>0</v>
      </c>
    </row>
    <row r="970">
      <c r="A970" s="2" t="n">
        <v>968</v>
      </c>
      <c r="B970" s="2" t="inlineStr">
        <is>
          <t>insert</t>
        </is>
      </c>
      <c r="C970" s="2" t="inlineStr">
        <is>
          <t>openssl TLS 1.2 only</t>
        </is>
      </c>
      <c r="D970" s="2" t="n">
        <v>231</v>
      </c>
      <c r="E970" s="2" t="n">
        <v>231</v>
      </c>
      <c r="F970" s="2" t="n">
        <v>1</v>
      </c>
      <c r="G970" s="2" t="n">
        <v>1</v>
      </c>
      <c r="H970" s="2" t="n">
        <v>1</v>
      </c>
      <c r="I970" s="2" t="n">
        <v>0</v>
      </c>
    </row>
    <row r="971">
      <c r="A971" s="2" t="n">
        <v>969</v>
      </c>
      <c r="B971" s="2" t="inlineStr">
        <is>
          <t>flip</t>
        </is>
      </c>
      <c r="C971" s="2" t="inlineStr">
        <is>
          <t>openssl 3.5.8 default</t>
        </is>
      </c>
      <c r="D971" s="2" t="n">
        <v>1548</v>
      </c>
      <c r="E971" s="2" t="n">
        <v>1548</v>
      </c>
      <c r="F971" s="2" t="n">
        <v>1</v>
      </c>
      <c r="G971" s="2" t="n">
        <v>1</v>
      </c>
      <c r="H971" s="2" t="n">
        <v>1</v>
      </c>
      <c r="I971" s="2" t="n">
        <v>0</v>
      </c>
    </row>
    <row r="972">
      <c r="A972" s="2" t="n">
        <v>970</v>
      </c>
      <c r="B972" s="2" t="inlineStr">
        <is>
          <t>truncate</t>
        </is>
      </c>
      <c r="C972" s="2" t="inlineStr">
        <is>
          <t>openssl 3.5.8 default</t>
        </is>
      </c>
      <c r="D972" s="2" t="n">
        <v>1335</v>
      </c>
      <c r="E972" s="2" t="n">
        <v>1335</v>
      </c>
      <c r="F972" s="2" t="n">
        <v>1</v>
      </c>
      <c r="G972" s="2" t="n">
        <v>1</v>
      </c>
      <c r="H972" s="2" t="n">
        <v>1</v>
      </c>
      <c r="I972" s="2" t="n">
        <v>0</v>
      </c>
    </row>
    <row r="973">
      <c r="A973" s="2" t="n">
        <v>971</v>
      </c>
      <c r="B973" s="2" t="inlineStr">
        <is>
          <t>length</t>
        </is>
      </c>
      <c r="C973" s="2" t="inlineStr">
        <is>
          <t>openssl 3.5.8 default</t>
        </is>
      </c>
      <c r="D973" s="2" t="n">
        <v>1548</v>
      </c>
      <c r="E973" s="2" t="n">
        <v>1548</v>
      </c>
      <c r="F973" s="2" t="n">
        <v>1</v>
      </c>
      <c r="G973" s="2" t="n">
        <v>1</v>
      </c>
      <c r="H973" s="2" t="n">
        <v>1</v>
      </c>
      <c r="I973" s="2" t="n">
        <v>0</v>
      </c>
    </row>
    <row r="974">
      <c r="A974" s="2" t="n">
        <v>972</v>
      </c>
      <c r="B974" s="2" t="inlineStr">
        <is>
          <t>insert</t>
        </is>
      </c>
      <c r="C974" s="2" t="inlineStr">
        <is>
          <t>openssl 3.5.8 default</t>
        </is>
      </c>
      <c r="D974" s="2" t="n">
        <v>1564</v>
      </c>
      <c r="E974" s="2" t="n">
        <v>1564</v>
      </c>
      <c r="F974" s="2" t="n">
        <v>1</v>
      </c>
      <c r="G974" s="2" t="n">
        <v>1</v>
      </c>
      <c r="H974" s="2" t="n">
        <v>1</v>
      </c>
      <c r="I974" s="2" t="n">
        <v>0</v>
      </c>
    </row>
    <row r="975">
      <c r="A975" s="2" t="n">
        <v>973</v>
      </c>
      <c r="B975" s="2" t="inlineStr">
        <is>
          <t>flip</t>
        </is>
      </c>
      <c r="C975" s="2" t="inlineStr">
        <is>
          <t>browser firefox147</t>
        </is>
      </c>
      <c r="D975" s="2" t="n">
        <v>1901</v>
      </c>
      <c r="E975" s="2" t="n">
        <v>1901</v>
      </c>
      <c r="F975" s="2" t="n">
        <v>1</v>
      </c>
      <c r="G975" s="2" t="n">
        <v>1</v>
      </c>
      <c r="H975" s="2" t="n">
        <v>0</v>
      </c>
      <c r="I975" s="2" t="n">
        <v>0</v>
      </c>
    </row>
    <row r="976">
      <c r="A976" s="2" t="n">
        <v>974</v>
      </c>
      <c r="B976" s="2" t="inlineStr">
        <is>
          <t>truncate</t>
        </is>
      </c>
      <c r="C976" s="2" t="inlineStr">
        <is>
          <t>browser chrome150</t>
        </is>
      </c>
      <c r="D976" s="2" t="n">
        <v>73</v>
      </c>
      <c r="E976" s="2" t="n">
        <v>73</v>
      </c>
      <c r="F976" s="2" t="n">
        <v>1</v>
      </c>
      <c r="G976" s="2" t="n">
        <v>0</v>
      </c>
      <c r="H976" s="2" t="n">
        <v>0</v>
      </c>
      <c r="I976" s="2" t="n">
        <v>0</v>
      </c>
    </row>
    <row r="977">
      <c r="A977" s="2" t="n">
        <v>975</v>
      </c>
      <c r="B977" s="2" t="inlineStr">
        <is>
          <t>length</t>
        </is>
      </c>
      <c r="C977" s="2" t="inlineStr">
        <is>
          <t>openssl TLS 1.2 only</t>
        </is>
      </c>
      <c r="D977" s="2" t="n">
        <v>215</v>
      </c>
      <c r="E977" s="2" t="n">
        <v>215</v>
      </c>
      <c r="F977" s="2" t="n">
        <v>1</v>
      </c>
      <c r="G977" s="2" t="n">
        <v>1</v>
      </c>
      <c r="H977" s="2" t="n">
        <v>0</v>
      </c>
      <c r="I977" s="2" t="n">
        <v>0</v>
      </c>
    </row>
    <row r="978">
      <c r="A978" s="2" t="n">
        <v>976</v>
      </c>
      <c r="B978" s="2" t="inlineStr">
        <is>
          <t>insert</t>
        </is>
      </c>
      <c r="C978" s="2" t="inlineStr">
        <is>
          <t>browser chrome150</t>
        </is>
      </c>
      <c r="D978" s="2" t="n">
        <v>1765</v>
      </c>
      <c r="E978" s="2" t="n">
        <v>1765</v>
      </c>
      <c r="F978" s="2" t="n">
        <v>1</v>
      </c>
      <c r="G978" s="2" t="n">
        <v>1</v>
      </c>
      <c r="H978" s="2" t="n">
        <v>1</v>
      </c>
      <c r="I978" s="2" t="n">
        <v>0</v>
      </c>
    </row>
    <row r="979">
      <c r="A979" s="2" t="n">
        <v>977</v>
      </c>
      <c r="B979" s="2" t="inlineStr">
        <is>
          <t>flip</t>
        </is>
      </c>
      <c r="C979" s="2" t="inlineStr">
        <is>
          <t>openssl 3.5.8 default</t>
        </is>
      </c>
      <c r="D979" s="2" t="n">
        <v>1548</v>
      </c>
      <c r="E979" s="2" t="n">
        <v>1548</v>
      </c>
      <c r="F979" s="2" t="n">
        <v>1</v>
      </c>
      <c r="G979" s="2" t="n">
        <v>1</v>
      </c>
      <c r="H979" s="2" t="n">
        <v>1</v>
      </c>
      <c r="I979" s="2" t="n">
        <v>0</v>
      </c>
    </row>
    <row r="980">
      <c r="A980" s="2" t="n">
        <v>978</v>
      </c>
      <c r="B980" s="2" t="inlineStr">
        <is>
          <t>truncate</t>
        </is>
      </c>
      <c r="C980" s="2" t="inlineStr">
        <is>
          <t>openssl TLS 1.2 only</t>
        </is>
      </c>
      <c r="D980" s="2" t="n">
        <v>40</v>
      </c>
      <c r="E980" s="2" t="n">
        <v>40</v>
      </c>
      <c r="F980" s="2" t="n">
        <v>1</v>
      </c>
      <c r="G980" s="2" t="n">
        <v>0</v>
      </c>
      <c r="H980" s="2" t="n">
        <v>0</v>
      </c>
      <c r="I980" s="2" t="n">
        <v>0</v>
      </c>
    </row>
    <row r="981">
      <c r="A981" s="2" t="n">
        <v>979</v>
      </c>
      <c r="B981" s="2" t="inlineStr">
        <is>
          <t>length</t>
        </is>
      </c>
      <c r="C981" s="2" t="inlineStr">
        <is>
          <t>browser firefox147</t>
        </is>
      </c>
      <c r="D981" s="2" t="n">
        <v>1901</v>
      </c>
      <c r="E981" s="2" t="n">
        <v>1901</v>
      </c>
      <c r="F981" s="2" t="n">
        <v>1</v>
      </c>
      <c r="G981" s="2" t="n">
        <v>1</v>
      </c>
      <c r="H981" s="2" t="n">
        <v>1</v>
      </c>
      <c r="I981" s="2" t="n">
        <v>0</v>
      </c>
    </row>
    <row r="982">
      <c r="A982" s="2" t="n">
        <v>980</v>
      </c>
      <c r="B982" s="2" t="inlineStr">
        <is>
          <t>insert</t>
        </is>
      </c>
      <c r="C982" s="2" t="inlineStr">
        <is>
          <t>openssl X25519 only (classical)</t>
        </is>
      </c>
      <c r="D982" s="2" t="n">
        <v>315</v>
      </c>
      <c r="E982" s="2" t="n">
        <v>315</v>
      </c>
      <c r="F982" s="2" t="n">
        <v>0</v>
      </c>
      <c r="G982" s="2" t="n">
        <v>0</v>
      </c>
      <c r="H982" s="2" t="n">
        <v>0</v>
      </c>
      <c r="I982" s="2" t="n">
        <v>0</v>
      </c>
    </row>
    <row r="983">
      <c r="A983" s="2" t="n">
        <v>981</v>
      </c>
      <c r="B983" s="2" t="inlineStr">
        <is>
          <t>flip</t>
        </is>
      </c>
      <c r="C983" s="2" t="inlineStr">
        <is>
          <t>openssl X25519 only (classical)</t>
        </is>
      </c>
      <c r="D983" s="2" t="n">
        <v>314</v>
      </c>
      <c r="E983" s="2" t="n">
        <v>314</v>
      </c>
      <c r="F983" s="2" t="n">
        <v>1</v>
      </c>
      <c r="G983" s="2" t="n">
        <v>1</v>
      </c>
      <c r="H983" s="2" t="n">
        <v>1</v>
      </c>
      <c r="I983" s="2" t="n">
        <v>0</v>
      </c>
    </row>
    <row r="984">
      <c r="A984" s="2" t="n">
        <v>982</v>
      </c>
      <c r="B984" s="2" t="inlineStr">
        <is>
          <t>truncate</t>
        </is>
      </c>
      <c r="C984" s="2" t="inlineStr">
        <is>
          <t>openssl 3.5.8 default</t>
        </is>
      </c>
      <c r="D984" s="2" t="n">
        <v>883</v>
      </c>
      <c r="E984" s="2" t="n">
        <v>883</v>
      </c>
      <c r="F984" s="2" t="n">
        <v>1</v>
      </c>
      <c r="G984" s="2" t="n">
        <v>1</v>
      </c>
      <c r="H984" s="2" t="n">
        <v>1</v>
      </c>
      <c r="I984" s="2" t="n">
        <v>0</v>
      </c>
    </row>
    <row r="985">
      <c r="A985" s="2" t="n">
        <v>983</v>
      </c>
      <c r="B985" s="2" t="inlineStr">
        <is>
          <t>length</t>
        </is>
      </c>
      <c r="C985" s="2" t="inlineStr">
        <is>
          <t>openssl TLS 1.2 only</t>
        </is>
      </c>
      <c r="D985" s="2" t="n">
        <v>215</v>
      </c>
      <c r="E985" s="2" t="n">
        <v>215</v>
      </c>
      <c r="F985" s="2" t="n">
        <v>1</v>
      </c>
      <c r="G985" s="2" t="n">
        <v>1</v>
      </c>
      <c r="H985" s="2" t="n">
        <v>1</v>
      </c>
      <c r="I985" s="2" t="n">
        <v>0</v>
      </c>
    </row>
    <row r="986">
      <c r="A986" s="2" t="n">
        <v>984</v>
      </c>
      <c r="B986" s="2" t="inlineStr">
        <is>
          <t>insert</t>
        </is>
      </c>
      <c r="C986" s="2" t="inlineStr">
        <is>
          <t>openssl 3.5.8 default</t>
        </is>
      </c>
      <c r="D986" s="2" t="n">
        <v>1551</v>
      </c>
      <c r="E986" s="2" t="n">
        <v>1551</v>
      </c>
      <c r="F986" s="2" t="n">
        <v>1</v>
      </c>
      <c r="G986" s="2" t="n">
        <v>1</v>
      </c>
      <c r="H986" s="2" t="n">
        <v>1</v>
      </c>
      <c r="I986" s="2" t="n">
        <v>0</v>
      </c>
    </row>
    <row r="987">
      <c r="A987" s="2" t="n">
        <v>985</v>
      </c>
      <c r="B987" s="2" t="inlineStr">
        <is>
          <t>flip</t>
        </is>
      </c>
      <c r="C987" s="2" t="inlineStr">
        <is>
          <t>openssl X25519 only (classical)</t>
        </is>
      </c>
      <c r="D987" s="2" t="n">
        <v>314</v>
      </c>
      <c r="E987" s="2" t="n">
        <v>314</v>
      </c>
      <c r="F987" s="2" t="n">
        <v>1</v>
      </c>
      <c r="G987" s="2" t="n">
        <v>1</v>
      </c>
      <c r="H987" s="2" t="n">
        <v>1</v>
      </c>
      <c r="I987" s="2" t="n">
        <v>0</v>
      </c>
    </row>
    <row r="988">
      <c r="A988" s="2" t="n">
        <v>986</v>
      </c>
      <c r="B988" s="2" t="inlineStr">
        <is>
          <t>truncate</t>
        </is>
      </c>
      <c r="C988" s="2" t="inlineStr">
        <is>
          <t>openssl X25519 only (classical)</t>
        </is>
      </c>
      <c r="D988" s="2" t="n">
        <v>83</v>
      </c>
      <c r="E988" s="2" t="n">
        <v>83</v>
      </c>
      <c r="F988" s="2" t="n">
        <v>1</v>
      </c>
      <c r="G988" s="2" t="n">
        <v>0</v>
      </c>
      <c r="H988" s="2" t="n">
        <v>0</v>
      </c>
      <c r="I988" s="2" t="n">
        <v>0</v>
      </c>
    </row>
    <row r="989">
      <c r="A989" s="2" t="n">
        <v>987</v>
      </c>
      <c r="B989" s="2" t="inlineStr">
        <is>
          <t>length</t>
        </is>
      </c>
      <c r="C989" s="2" t="inlineStr">
        <is>
          <t>browser chrome150</t>
        </is>
      </c>
      <c r="D989" s="2" t="n">
        <v>1763</v>
      </c>
      <c r="E989" s="2" t="n">
        <v>1763</v>
      </c>
      <c r="F989" s="2" t="n">
        <v>0</v>
      </c>
      <c r="G989" s="2" t="n">
        <v>0</v>
      </c>
      <c r="H989" s="2" t="n">
        <v>0</v>
      </c>
      <c r="I989" s="2" t="n">
        <v>0</v>
      </c>
    </row>
    <row r="990">
      <c r="A990" s="2" t="n">
        <v>988</v>
      </c>
      <c r="B990" s="2" t="inlineStr">
        <is>
          <t>insert</t>
        </is>
      </c>
      <c r="C990" s="2" t="inlineStr">
        <is>
          <t>browser firefox147</t>
        </is>
      </c>
      <c r="D990" s="2" t="n">
        <v>1911</v>
      </c>
      <c r="E990" s="2" t="n">
        <v>1911</v>
      </c>
      <c r="F990" s="2" t="n">
        <v>1</v>
      </c>
      <c r="G990" s="2" t="n">
        <v>1</v>
      </c>
      <c r="H990" s="2" t="n">
        <v>0</v>
      </c>
      <c r="I990" s="2" t="n">
        <v>0</v>
      </c>
    </row>
    <row r="991">
      <c r="A991" s="2" t="n">
        <v>989</v>
      </c>
      <c r="B991" s="2" t="inlineStr">
        <is>
          <t>flip</t>
        </is>
      </c>
      <c r="C991" s="2" t="inlineStr">
        <is>
          <t>openssl X25519 only (classical)</t>
        </is>
      </c>
      <c r="D991" s="2" t="n">
        <v>314</v>
      </c>
      <c r="E991" s="2" t="n">
        <v>314</v>
      </c>
      <c r="F991" s="2" t="n">
        <v>1</v>
      </c>
      <c r="G991" s="2" t="n">
        <v>1</v>
      </c>
      <c r="H991" s="2" t="n">
        <v>1</v>
      </c>
      <c r="I991" s="2" t="n">
        <v>0</v>
      </c>
    </row>
    <row r="992">
      <c r="A992" s="2" t="n">
        <v>990</v>
      </c>
      <c r="B992" s="2" t="inlineStr">
        <is>
          <t>truncate</t>
        </is>
      </c>
      <c r="C992" s="2" t="inlineStr">
        <is>
          <t>openssl X25519 only (classical)</t>
        </is>
      </c>
      <c r="D992" s="2" t="n">
        <v>162</v>
      </c>
      <c r="E992" s="2" t="n">
        <v>162</v>
      </c>
      <c r="F992" s="2" t="n">
        <v>1</v>
      </c>
      <c r="G992" s="2" t="n">
        <v>1</v>
      </c>
      <c r="H992" s="2" t="n">
        <v>0</v>
      </c>
      <c r="I992" s="2" t="n">
        <v>0</v>
      </c>
    </row>
    <row r="993">
      <c r="A993" s="2" t="n">
        <v>991</v>
      </c>
      <c r="B993" s="2" t="inlineStr">
        <is>
          <t>length</t>
        </is>
      </c>
      <c r="C993" s="2" t="inlineStr">
        <is>
          <t>openssl X25519 only (classical)</t>
        </is>
      </c>
      <c r="D993" s="2" t="n">
        <v>314</v>
      </c>
      <c r="E993" s="2" t="n">
        <v>314</v>
      </c>
      <c r="F993" s="2" t="n">
        <v>1</v>
      </c>
      <c r="G993" s="2" t="n">
        <v>0</v>
      </c>
      <c r="H993" s="2" t="n">
        <v>0</v>
      </c>
      <c r="I993" s="2" t="n">
        <v>0</v>
      </c>
    </row>
    <row r="994">
      <c r="A994" s="2" t="n">
        <v>992</v>
      </c>
      <c r="B994" s="2" t="inlineStr">
        <is>
          <t>insert</t>
        </is>
      </c>
      <c r="C994" s="2" t="inlineStr">
        <is>
          <t>openssl TLS 1.2 only</t>
        </is>
      </c>
      <c r="D994" s="2" t="n">
        <v>231</v>
      </c>
      <c r="E994" s="2" t="n">
        <v>231</v>
      </c>
      <c r="F994" s="2" t="n">
        <v>1</v>
      </c>
      <c r="G994" s="2" t="n">
        <v>1</v>
      </c>
      <c r="H994" s="2" t="n">
        <v>1</v>
      </c>
      <c r="I994" s="2" t="n">
        <v>0</v>
      </c>
    </row>
    <row r="995">
      <c r="A995" s="2" t="n">
        <v>993</v>
      </c>
      <c r="B995" s="2" t="inlineStr">
        <is>
          <t>flip</t>
        </is>
      </c>
      <c r="C995" s="2" t="inlineStr">
        <is>
          <t>openssl 3.5.8 default</t>
        </is>
      </c>
      <c r="D995" s="2" t="n">
        <v>1548</v>
      </c>
      <c r="E995" s="2" t="n">
        <v>1548</v>
      </c>
      <c r="F995" s="2" t="n">
        <v>1</v>
      </c>
      <c r="G995" s="2" t="n">
        <v>1</v>
      </c>
      <c r="H995" s="2" t="n">
        <v>1</v>
      </c>
      <c r="I995" s="2" t="n">
        <v>0</v>
      </c>
    </row>
    <row r="996">
      <c r="A996" s="2" t="n">
        <v>994</v>
      </c>
      <c r="B996" s="2" t="inlineStr">
        <is>
          <t>truncate</t>
        </is>
      </c>
      <c r="C996" s="2" t="inlineStr">
        <is>
          <t>openssl X25519 only (classical)</t>
        </is>
      </c>
      <c r="D996" s="2" t="n">
        <v>2</v>
      </c>
      <c r="E996" s="2" t="n">
        <v>2</v>
      </c>
      <c r="F996" s="2" t="n">
        <v>0</v>
      </c>
      <c r="G996" s="2" t="n">
        <v>0</v>
      </c>
      <c r="H996" s="2" t="n">
        <v>0</v>
      </c>
      <c r="I996" s="2" t="n">
        <v>0</v>
      </c>
    </row>
    <row r="997">
      <c r="A997" s="2" t="n">
        <v>995</v>
      </c>
      <c r="B997" s="2" t="inlineStr">
        <is>
          <t>length</t>
        </is>
      </c>
      <c r="C997" s="2" t="inlineStr">
        <is>
          <t>openssl 3.5.8 default</t>
        </is>
      </c>
      <c r="D997" s="2" t="n">
        <v>1548</v>
      </c>
      <c r="E997" s="2" t="n">
        <v>1548</v>
      </c>
      <c r="F997" s="2" t="n">
        <v>1</v>
      </c>
      <c r="G997" s="2" t="n">
        <v>0</v>
      </c>
      <c r="H997" s="2" t="n">
        <v>0</v>
      </c>
      <c r="I997" s="2" t="n">
        <v>0</v>
      </c>
    </row>
    <row r="998">
      <c r="A998" s="2" t="n">
        <v>996</v>
      </c>
      <c r="B998" s="2" t="inlineStr">
        <is>
          <t>insert</t>
        </is>
      </c>
      <c r="C998" s="2" t="inlineStr">
        <is>
          <t>openssl X25519 only (classical)</t>
        </is>
      </c>
      <c r="D998" s="2" t="n">
        <v>324</v>
      </c>
      <c r="E998" s="2" t="n">
        <v>324</v>
      </c>
      <c r="F998" s="2" t="n">
        <v>1</v>
      </c>
      <c r="G998" s="2" t="n">
        <v>0</v>
      </c>
      <c r="H998" s="2" t="n">
        <v>0</v>
      </c>
      <c r="I998" s="2" t="n">
        <v>0</v>
      </c>
    </row>
    <row r="999">
      <c r="A999" s="2" t="n">
        <v>997</v>
      </c>
      <c r="B999" s="2" t="inlineStr">
        <is>
          <t>flip</t>
        </is>
      </c>
      <c r="C999" s="2" t="inlineStr">
        <is>
          <t>openssl TLS 1.2 only</t>
        </is>
      </c>
      <c r="D999" s="2" t="n">
        <v>215</v>
      </c>
      <c r="E999" s="2" t="n">
        <v>215</v>
      </c>
      <c r="F999" s="2" t="n">
        <v>1</v>
      </c>
      <c r="G999" s="2" t="n">
        <v>1</v>
      </c>
      <c r="H999" s="2" t="n">
        <v>1</v>
      </c>
      <c r="I999" s="2" t="n">
        <v>0</v>
      </c>
    </row>
    <row r="1000">
      <c r="A1000" s="2" t="n">
        <v>998</v>
      </c>
      <c r="B1000" s="2" t="inlineStr">
        <is>
          <t>truncate</t>
        </is>
      </c>
      <c r="C1000" s="2" t="inlineStr">
        <is>
          <t>openssl X25519 only (classical)</t>
        </is>
      </c>
      <c r="D1000" s="2" t="n">
        <v>154</v>
      </c>
      <c r="E1000" s="2" t="n">
        <v>154</v>
      </c>
      <c r="F1000" s="2" t="n">
        <v>1</v>
      </c>
      <c r="G1000" s="2" t="n">
        <v>1</v>
      </c>
      <c r="H1000" s="2" t="n">
        <v>0</v>
      </c>
      <c r="I1000" s="2" t="n">
        <v>0</v>
      </c>
    </row>
    <row r="1001">
      <c r="A1001" s="2" t="n">
        <v>999</v>
      </c>
      <c r="B1001" s="2" t="inlineStr">
        <is>
          <t>length</t>
        </is>
      </c>
      <c r="C1001" s="2" t="inlineStr">
        <is>
          <t>browser firefox147</t>
        </is>
      </c>
      <c r="D1001" s="2" t="n">
        <v>1901</v>
      </c>
      <c r="E1001" s="2" t="n">
        <v>1901</v>
      </c>
      <c r="F1001" s="2" t="n">
        <v>1</v>
      </c>
      <c r="G1001" s="2" t="n">
        <v>1</v>
      </c>
      <c r="H1001" s="2" t="n">
        <v>0</v>
      </c>
      <c r="I1001" s="2" t="n">
        <v>0</v>
      </c>
    </row>
    <row r="1002">
      <c r="A1002" s="2" t="n">
        <v>1000</v>
      </c>
      <c r="B1002" s="2" t="inlineStr">
        <is>
          <t>insert</t>
        </is>
      </c>
      <c r="C1002" s="2" t="inlineStr">
        <is>
          <t>openssl X25519 only (classical)</t>
        </is>
      </c>
      <c r="D1002" s="2" t="n">
        <v>327</v>
      </c>
      <c r="E1002" s="2" t="n">
        <v>327</v>
      </c>
      <c r="F1002" s="2" t="n">
        <v>1</v>
      </c>
      <c r="G1002" s="2" t="n">
        <v>0</v>
      </c>
      <c r="H1002" s="2" t="n">
        <v>0</v>
      </c>
      <c r="I1002" s="2" t="n">
        <v>0</v>
      </c>
    </row>
    <row r="1003">
      <c r="A1003" s="2" t="n">
        <v>1001</v>
      </c>
      <c r="B1003" s="2" t="inlineStr">
        <is>
          <t>flip</t>
        </is>
      </c>
      <c r="C1003" s="2" t="inlineStr">
        <is>
          <t>openssl TLS 1.2 only</t>
        </is>
      </c>
      <c r="D1003" s="2" t="n">
        <v>215</v>
      </c>
      <c r="E1003" s="2" t="n">
        <v>215</v>
      </c>
      <c r="F1003" s="2" t="n">
        <v>1</v>
      </c>
      <c r="G1003" s="2" t="n">
        <v>1</v>
      </c>
      <c r="H1003" s="2" t="n">
        <v>1</v>
      </c>
      <c r="I1003" s="2" t="n">
        <v>0</v>
      </c>
    </row>
    <row r="1004">
      <c r="A1004" s="2" t="n">
        <v>1002</v>
      </c>
      <c r="B1004" s="2" t="inlineStr">
        <is>
          <t>truncate</t>
        </is>
      </c>
      <c r="C1004" s="2" t="inlineStr">
        <is>
          <t>browser chrome150</t>
        </is>
      </c>
      <c r="D1004" s="2" t="n">
        <v>1431</v>
      </c>
      <c r="E1004" s="2" t="n">
        <v>1431</v>
      </c>
      <c r="F1004" s="2" t="n">
        <v>1</v>
      </c>
      <c r="G1004" s="2" t="n">
        <v>1</v>
      </c>
      <c r="H1004" s="2" t="n">
        <v>1</v>
      </c>
      <c r="I1004" s="2" t="n">
        <v>0</v>
      </c>
    </row>
    <row r="1005">
      <c r="A1005" s="2" t="n">
        <v>1003</v>
      </c>
      <c r="B1005" s="2" t="inlineStr">
        <is>
          <t>length</t>
        </is>
      </c>
      <c r="C1005" s="2" t="inlineStr">
        <is>
          <t>openssl 3.5.8 default</t>
        </is>
      </c>
      <c r="D1005" s="2" t="n">
        <v>1548</v>
      </c>
      <c r="E1005" s="2" t="n">
        <v>1548</v>
      </c>
      <c r="F1005" s="2" t="n">
        <v>1</v>
      </c>
      <c r="G1005" s="2" t="n">
        <v>1</v>
      </c>
      <c r="H1005" s="2" t="n">
        <v>0</v>
      </c>
      <c r="I1005" s="2" t="n">
        <v>0</v>
      </c>
    </row>
    <row r="1006">
      <c r="A1006" s="2" t="n">
        <v>1004</v>
      </c>
      <c r="B1006" s="2" t="inlineStr">
        <is>
          <t>insert</t>
        </is>
      </c>
      <c r="C1006" s="2" t="inlineStr">
        <is>
          <t>openssl 3.5.8 default</t>
        </is>
      </c>
      <c r="D1006" s="2" t="n">
        <v>1560</v>
      </c>
      <c r="E1006" s="2" t="n">
        <v>1560</v>
      </c>
      <c r="F1006" s="2" t="n">
        <v>1</v>
      </c>
      <c r="G1006" s="2" t="n">
        <v>1</v>
      </c>
      <c r="H1006" s="2" t="n">
        <v>1</v>
      </c>
      <c r="I1006" s="2" t="n">
        <v>0</v>
      </c>
    </row>
    <row r="1007">
      <c r="A1007" s="2" t="n">
        <v>1005</v>
      </c>
      <c r="B1007" s="2" t="inlineStr">
        <is>
          <t>flip</t>
        </is>
      </c>
      <c r="C1007" s="2" t="inlineStr">
        <is>
          <t>openssl 3.5.8 default</t>
        </is>
      </c>
      <c r="D1007" s="2" t="n">
        <v>1548</v>
      </c>
      <c r="E1007" s="2" t="n">
        <v>1548</v>
      </c>
      <c r="F1007" s="2" t="n">
        <v>1</v>
      </c>
      <c r="G1007" s="2" t="n">
        <v>1</v>
      </c>
      <c r="H1007" s="2" t="n">
        <v>1</v>
      </c>
      <c r="I1007" s="2" t="n">
        <v>0</v>
      </c>
    </row>
    <row r="1008">
      <c r="A1008" s="2" t="n">
        <v>1006</v>
      </c>
      <c r="B1008" s="2" t="inlineStr">
        <is>
          <t>truncate</t>
        </is>
      </c>
      <c r="C1008" s="2" t="inlineStr">
        <is>
          <t>browser chrome150</t>
        </is>
      </c>
      <c r="D1008" s="2" t="n">
        <v>761</v>
      </c>
      <c r="E1008" s="2" t="n">
        <v>761</v>
      </c>
      <c r="F1008" s="2" t="n">
        <v>1</v>
      </c>
      <c r="G1008" s="2" t="n">
        <v>1</v>
      </c>
      <c r="H1008" s="2" t="n">
        <v>1</v>
      </c>
      <c r="I1008" s="2" t="n">
        <v>0</v>
      </c>
    </row>
    <row r="1009">
      <c r="A1009" s="2" t="n">
        <v>1007</v>
      </c>
      <c r="B1009" s="2" t="inlineStr">
        <is>
          <t>length</t>
        </is>
      </c>
      <c r="C1009" s="2" t="inlineStr">
        <is>
          <t>openssl X25519 only (classical)</t>
        </is>
      </c>
      <c r="D1009" s="2" t="n">
        <v>314</v>
      </c>
      <c r="E1009" s="2" t="n">
        <v>314</v>
      </c>
      <c r="F1009" s="2" t="n">
        <v>1</v>
      </c>
      <c r="G1009" s="2" t="n">
        <v>1</v>
      </c>
      <c r="H1009" s="2" t="n">
        <v>1</v>
      </c>
      <c r="I1009" s="2" t="n">
        <v>0</v>
      </c>
    </row>
    <row r="1010">
      <c r="A1010" s="2" t="n">
        <v>1008</v>
      </c>
      <c r="B1010" s="2" t="inlineStr">
        <is>
          <t>insert</t>
        </is>
      </c>
      <c r="C1010" s="2" t="inlineStr">
        <is>
          <t>browser firefox147</t>
        </is>
      </c>
      <c r="D1010" s="2" t="n">
        <v>1905</v>
      </c>
      <c r="E1010" s="2" t="n">
        <v>1905</v>
      </c>
      <c r="F1010" s="2" t="n">
        <v>1</v>
      </c>
      <c r="G1010" s="2" t="n">
        <v>1</v>
      </c>
      <c r="H1010" s="2" t="n">
        <v>0</v>
      </c>
      <c r="I1010" s="2" t="n">
        <v>0</v>
      </c>
    </row>
    <row r="1011">
      <c r="A1011" s="2" t="n">
        <v>1009</v>
      </c>
      <c r="B1011" s="2" t="inlineStr">
        <is>
          <t>flip</t>
        </is>
      </c>
      <c r="C1011" s="2" t="inlineStr">
        <is>
          <t>browser chrome150</t>
        </is>
      </c>
      <c r="D1011" s="2" t="n">
        <v>1763</v>
      </c>
      <c r="E1011" s="2" t="n">
        <v>1763</v>
      </c>
      <c r="F1011" s="2" t="n">
        <v>1</v>
      </c>
      <c r="G1011" s="2" t="n">
        <v>1</v>
      </c>
      <c r="H1011" s="2" t="n">
        <v>1</v>
      </c>
      <c r="I1011" s="2" t="n">
        <v>0</v>
      </c>
    </row>
    <row r="1012">
      <c r="A1012" s="2" t="n">
        <v>1010</v>
      </c>
      <c r="B1012" s="2" t="inlineStr">
        <is>
          <t>truncate</t>
        </is>
      </c>
      <c r="C1012" s="2" t="inlineStr">
        <is>
          <t>browser chrome150</t>
        </is>
      </c>
      <c r="D1012" s="2" t="n">
        <v>400</v>
      </c>
      <c r="E1012" s="2" t="n">
        <v>400</v>
      </c>
      <c r="F1012" s="2" t="n">
        <v>1</v>
      </c>
      <c r="G1012" s="2" t="n">
        <v>1</v>
      </c>
      <c r="H1012" s="2" t="n">
        <v>1</v>
      </c>
      <c r="I1012" s="2" t="n">
        <v>0</v>
      </c>
    </row>
    <row r="1013">
      <c r="A1013" s="2" t="n">
        <v>1011</v>
      </c>
      <c r="B1013" s="2" t="inlineStr">
        <is>
          <t>length</t>
        </is>
      </c>
      <c r="C1013" s="2" t="inlineStr">
        <is>
          <t>openssl TLS 1.2 only</t>
        </is>
      </c>
      <c r="D1013" s="2" t="n">
        <v>215</v>
      </c>
      <c r="E1013" s="2" t="n">
        <v>215</v>
      </c>
      <c r="F1013" s="2" t="n">
        <v>1</v>
      </c>
      <c r="G1013" s="2" t="n">
        <v>1</v>
      </c>
      <c r="H1013" s="2" t="n">
        <v>1</v>
      </c>
      <c r="I1013" s="2" t="n">
        <v>0</v>
      </c>
    </row>
    <row r="1014">
      <c r="A1014" s="2" t="n">
        <v>1012</v>
      </c>
      <c r="B1014" s="2" t="inlineStr">
        <is>
          <t>insert</t>
        </is>
      </c>
      <c r="C1014" s="2" t="inlineStr">
        <is>
          <t>openssl X25519 only (classical)</t>
        </is>
      </c>
      <c r="D1014" s="2" t="n">
        <v>323</v>
      </c>
      <c r="E1014" s="2" t="n">
        <v>323</v>
      </c>
      <c r="F1014" s="2" t="n">
        <v>1</v>
      </c>
      <c r="G1014" s="2" t="n">
        <v>1</v>
      </c>
      <c r="H1014" s="2" t="n">
        <v>0</v>
      </c>
      <c r="I1014" s="2" t="n">
        <v>0</v>
      </c>
    </row>
    <row r="1015">
      <c r="A1015" s="2" t="n">
        <v>1013</v>
      </c>
      <c r="B1015" s="2" t="inlineStr">
        <is>
          <t>flip</t>
        </is>
      </c>
      <c r="C1015" s="2" t="inlineStr">
        <is>
          <t>openssl X25519 only (classical)</t>
        </is>
      </c>
      <c r="D1015" s="2" t="n">
        <v>314</v>
      </c>
      <c r="E1015" s="2" t="n">
        <v>314</v>
      </c>
      <c r="F1015" s="2" t="n">
        <v>1</v>
      </c>
      <c r="G1015" s="2" t="n">
        <v>1</v>
      </c>
      <c r="H1015" s="2" t="n">
        <v>1</v>
      </c>
      <c r="I1015" s="2" t="n">
        <v>0</v>
      </c>
    </row>
    <row r="1016">
      <c r="A1016" s="2" t="n">
        <v>1014</v>
      </c>
      <c r="B1016" s="2" t="inlineStr">
        <is>
          <t>truncate</t>
        </is>
      </c>
      <c r="C1016" s="2" t="inlineStr">
        <is>
          <t>openssl 3.5.8 default</t>
        </is>
      </c>
      <c r="D1016" s="2" t="n">
        <v>1424</v>
      </c>
      <c r="E1016" s="2" t="n">
        <v>1424</v>
      </c>
      <c r="F1016" s="2" t="n">
        <v>1</v>
      </c>
      <c r="G1016" s="2" t="n">
        <v>1</v>
      </c>
      <c r="H1016" s="2" t="n">
        <v>1</v>
      </c>
      <c r="I1016" s="2" t="n">
        <v>0</v>
      </c>
    </row>
    <row r="1017">
      <c r="A1017" s="2" t="n">
        <v>1015</v>
      </c>
      <c r="B1017" s="2" t="inlineStr">
        <is>
          <t>length</t>
        </is>
      </c>
      <c r="C1017" s="2" t="inlineStr">
        <is>
          <t>browser firefox147</t>
        </is>
      </c>
      <c r="D1017" s="2" t="n">
        <v>1901</v>
      </c>
      <c r="E1017" s="2" t="n">
        <v>1901</v>
      </c>
      <c r="F1017" s="2" t="n">
        <v>1</v>
      </c>
      <c r="G1017" s="2" t="n">
        <v>0</v>
      </c>
      <c r="H1017" s="2" t="n">
        <v>0</v>
      </c>
      <c r="I1017" s="2" t="n">
        <v>0</v>
      </c>
    </row>
    <row r="1018">
      <c r="A1018" s="2" t="n">
        <v>1016</v>
      </c>
      <c r="B1018" s="2" t="inlineStr">
        <is>
          <t>insert</t>
        </is>
      </c>
      <c r="C1018" s="2" t="inlineStr">
        <is>
          <t>openssl X25519 only (classical)</t>
        </is>
      </c>
      <c r="D1018" s="2" t="n">
        <v>326</v>
      </c>
      <c r="E1018" s="2" t="n">
        <v>326</v>
      </c>
      <c r="F1018" s="2" t="n">
        <v>1</v>
      </c>
      <c r="G1018" s="2" t="n">
        <v>1</v>
      </c>
      <c r="H1018" s="2" t="n">
        <v>0</v>
      </c>
      <c r="I1018" s="2" t="n">
        <v>0</v>
      </c>
    </row>
    <row r="1019">
      <c r="A1019" s="2" t="n">
        <v>1017</v>
      </c>
      <c r="B1019" s="2" t="inlineStr">
        <is>
          <t>flip</t>
        </is>
      </c>
      <c r="C1019" s="2" t="inlineStr">
        <is>
          <t>openssl 3.5.8 default</t>
        </is>
      </c>
      <c r="D1019" s="2" t="n">
        <v>1548</v>
      </c>
      <c r="E1019" s="2" t="n">
        <v>1548</v>
      </c>
      <c r="F1019" s="2" t="n">
        <v>1</v>
      </c>
      <c r="G1019" s="2" t="n">
        <v>1</v>
      </c>
      <c r="H1019" s="2" t="n">
        <v>1</v>
      </c>
      <c r="I1019" s="2" t="n">
        <v>0</v>
      </c>
    </row>
    <row r="1020">
      <c r="A1020" s="2" t="n">
        <v>1018</v>
      </c>
      <c r="B1020" s="2" t="inlineStr">
        <is>
          <t>truncate</t>
        </is>
      </c>
      <c r="C1020" s="2" t="inlineStr">
        <is>
          <t>openssl X25519 only (classical)</t>
        </is>
      </c>
      <c r="D1020" s="2" t="n">
        <v>20</v>
      </c>
      <c r="E1020" s="2" t="n">
        <v>20</v>
      </c>
      <c r="F1020" s="2" t="n">
        <v>1</v>
      </c>
      <c r="G1020" s="2" t="n">
        <v>0</v>
      </c>
      <c r="H1020" s="2" t="n">
        <v>0</v>
      </c>
      <c r="I1020" s="2" t="n">
        <v>0</v>
      </c>
    </row>
    <row r="1021">
      <c r="A1021" s="2" t="n">
        <v>1019</v>
      </c>
      <c r="B1021" s="2" t="inlineStr">
        <is>
          <t>length</t>
        </is>
      </c>
      <c r="C1021" s="2" t="inlineStr">
        <is>
          <t>browser firefox147</t>
        </is>
      </c>
      <c r="D1021" s="2" t="n">
        <v>1901</v>
      </c>
      <c r="E1021" s="2" t="n">
        <v>1901</v>
      </c>
      <c r="F1021" s="2" t="n">
        <v>1</v>
      </c>
      <c r="G1021" s="2" t="n">
        <v>1</v>
      </c>
      <c r="H1021" s="2" t="n">
        <v>0</v>
      </c>
      <c r="I1021" s="2" t="n">
        <v>0</v>
      </c>
    </row>
    <row r="1022">
      <c r="A1022" s="2" t="n">
        <v>1020</v>
      </c>
      <c r="B1022" s="2" t="inlineStr">
        <is>
          <t>insert</t>
        </is>
      </c>
      <c r="C1022" s="2" t="inlineStr">
        <is>
          <t>openssl TLS 1.2 only</t>
        </is>
      </c>
      <c r="D1022" s="2" t="n">
        <v>226</v>
      </c>
      <c r="E1022" s="2" t="n">
        <v>226</v>
      </c>
      <c r="F1022" s="2" t="n">
        <v>1</v>
      </c>
      <c r="G1022" s="2" t="n">
        <v>1</v>
      </c>
      <c r="H1022" s="2" t="n">
        <v>1</v>
      </c>
      <c r="I1022" s="2" t="n">
        <v>0</v>
      </c>
    </row>
    <row r="1023">
      <c r="A1023" s="2" t="n">
        <v>1021</v>
      </c>
      <c r="B1023" s="2" t="inlineStr">
        <is>
          <t>flip</t>
        </is>
      </c>
      <c r="C1023" s="2" t="inlineStr">
        <is>
          <t>openssl X25519 only (classical)</t>
        </is>
      </c>
      <c r="D1023" s="2" t="n">
        <v>314</v>
      </c>
      <c r="E1023" s="2" t="n">
        <v>314</v>
      </c>
      <c r="F1023" s="2" t="n">
        <v>1</v>
      </c>
      <c r="G1023" s="2" t="n">
        <v>1</v>
      </c>
      <c r="H1023" s="2" t="n">
        <v>1</v>
      </c>
      <c r="I1023" s="2" t="n">
        <v>0</v>
      </c>
    </row>
    <row r="1024">
      <c r="A1024" s="2" t="n">
        <v>1022</v>
      </c>
      <c r="B1024" s="2" t="inlineStr">
        <is>
          <t>truncate</t>
        </is>
      </c>
      <c r="C1024" s="2" t="inlineStr">
        <is>
          <t>browser firefox147</t>
        </is>
      </c>
      <c r="D1024" s="2" t="n">
        <v>983</v>
      </c>
      <c r="E1024" s="2" t="n">
        <v>983</v>
      </c>
      <c r="F1024" s="2" t="n">
        <v>1</v>
      </c>
      <c r="G1024" s="2" t="n">
        <v>1</v>
      </c>
      <c r="H1024" s="2" t="n">
        <v>0</v>
      </c>
      <c r="I1024" s="2" t="n">
        <v>0</v>
      </c>
    </row>
    <row r="1025">
      <c r="A1025" s="2" t="n">
        <v>1023</v>
      </c>
      <c r="B1025" s="2" t="inlineStr">
        <is>
          <t>length</t>
        </is>
      </c>
      <c r="C1025" s="2" t="inlineStr">
        <is>
          <t>openssl TLS 1.2 only</t>
        </is>
      </c>
      <c r="D1025" s="2" t="n">
        <v>215</v>
      </c>
      <c r="E1025" s="2" t="n">
        <v>215</v>
      </c>
      <c r="F1025" s="2" t="n">
        <v>1</v>
      </c>
      <c r="G1025" s="2" t="n">
        <v>0</v>
      </c>
      <c r="H1025" s="2" t="n">
        <v>0</v>
      </c>
      <c r="I1025" s="2" t="n">
        <v>0</v>
      </c>
    </row>
    <row r="1026">
      <c r="A1026" s="2" t="n">
        <v>1024</v>
      </c>
      <c r="B1026" s="2" t="inlineStr">
        <is>
          <t>insert</t>
        </is>
      </c>
      <c r="C1026" s="2" t="inlineStr">
        <is>
          <t>browser chrome150</t>
        </is>
      </c>
      <c r="D1026" s="2" t="n">
        <v>1778</v>
      </c>
      <c r="E1026" s="2" t="n">
        <v>1778</v>
      </c>
      <c r="F1026" s="2" t="n">
        <v>1</v>
      </c>
      <c r="G1026" s="2" t="n">
        <v>1</v>
      </c>
      <c r="H1026" s="2" t="n">
        <v>1</v>
      </c>
      <c r="I1026" s="2" t="n">
        <v>0</v>
      </c>
    </row>
    <row r="1027">
      <c r="A1027" s="2" t="n">
        <v>1025</v>
      </c>
      <c r="B1027" s="2" t="inlineStr">
        <is>
          <t>flip</t>
        </is>
      </c>
      <c r="C1027" s="2" t="inlineStr">
        <is>
          <t>browser firefox147</t>
        </is>
      </c>
      <c r="D1027" s="2" t="n">
        <v>1901</v>
      </c>
      <c r="E1027" s="2" t="n">
        <v>1901</v>
      </c>
      <c r="F1027" s="2" t="n">
        <v>1</v>
      </c>
      <c r="G1027" s="2" t="n">
        <v>1</v>
      </c>
      <c r="H1027" s="2" t="n">
        <v>0</v>
      </c>
      <c r="I1027" s="2" t="n">
        <v>0</v>
      </c>
    </row>
    <row r="1028">
      <c r="A1028" s="2" t="n">
        <v>1026</v>
      </c>
      <c r="B1028" s="2" t="inlineStr">
        <is>
          <t>truncate</t>
        </is>
      </c>
      <c r="C1028" s="2" t="inlineStr">
        <is>
          <t>openssl X25519 only (classical)</t>
        </is>
      </c>
      <c r="D1028" s="2" t="n">
        <v>86</v>
      </c>
      <c r="E1028" s="2" t="n">
        <v>86</v>
      </c>
      <c r="F1028" s="2" t="n">
        <v>1</v>
      </c>
      <c r="G1028" s="2" t="n">
        <v>0</v>
      </c>
      <c r="H1028" s="2" t="n">
        <v>0</v>
      </c>
      <c r="I1028" s="2" t="n">
        <v>0</v>
      </c>
    </row>
    <row r="1029">
      <c r="A1029" s="2" t="n">
        <v>1027</v>
      </c>
      <c r="B1029" s="2" t="inlineStr">
        <is>
          <t>length</t>
        </is>
      </c>
      <c r="C1029" s="2" t="inlineStr">
        <is>
          <t>browser chrome150</t>
        </is>
      </c>
      <c r="D1029" s="2" t="n">
        <v>1763</v>
      </c>
      <c r="E1029" s="2" t="n">
        <v>1763</v>
      </c>
      <c r="F1029" s="2" t="n">
        <v>1</v>
      </c>
      <c r="G1029" s="2" t="n">
        <v>1</v>
      </c>
      <c r="H1029" s="2" t="n">
        <v>1</v>
      </c>
      <c r="I1029" s="2" t="n">
        <v>0</v>
      </c>
    </row>
    <row r="1030">
      <c r="A1030" s="2" t="n">
        <v>1028</v>
      </c>
      <c r="B1030" s="2" t="inlineStr">
        <is>
          <t>insert</t>
        </is>
      </c>
      <c r="C1030" s="2" t="inlineStr">
        <is>
          <t>openssl 3.5.8 default</t>
        </is>
      </c>
      <c r="D1030" s="2" t="n">
        <v>1557</v>
      </c>
      <c r="E1030" s="2" t="n">
        <v>1557</v>
      </c>
      <c r="F1030" s="2" t="n">
        <v>1</v>
      </c>
      <c r="G1030" s="2" t="n">
        <v>1</v>
      </c>
      <c r="H1030" s="2" t="n">
        <v>1</v>
      </c>
      <c r="I1030" s="2" t="n">
        <v>0</v>
      </c>
    </row>
    <row r="1031">
      <c r="A1031" s="2" t="n">
        <v>1029</v>
      </c>
      <c r="B1031" s="2" t="inlineStr">
        <is>
          <t>flip</t>
        </is>
      </c>
      <c r="C1031" s="2" t="inlineStr">
        <is>
          <t>openssl TLS 1.2 only</t>
        </is>
      </c>
      <c r="D1031" s="2" t="n">
        <v>215</v>
      </c>
      <c r="E1031" s="2" t="n">
        <v>215</v>
      </c>
      <c r="F1031" s="2" t="n">
        <v>1</v>
      </c>
      <c r="G1031" s="2" t="n">
        <v>1</v>
      </c>
      <c r="H1031" s="2" t="n">
        <v>1</v>
      </c>
      <c r="I1031" s="2" t="n">
        <v>0</v>
      </c>
    </row>
    <row r="1032">
      <c r="A1032" s="2" t="n">
        <v>1030</v>
      </c>
      <c r="B1032" s="2" t="inlineStr">
        <is>
          <t>truncate</t>
        </is>
      </c>
      <c r="C1032" s="2" t="inlineStr">
        <is>
          <t>browser firefox147</t>
        </is>
      </c>
      <c r="D1032" s="2" t="n">
        <v>284</v>
      </c>
      <c r="E1032" s="2" t="n">
        <v>284</v>
      </c>
      <c r="F1032" s="2" t="n">
        <v>1</v>
      </c>
      <c r="G1032" s="2" t="n">
        <v>1</v>
      </c>
      <c r="H1032" s="2" t="n">
        <v>0</v>
      </c>
      <c r="I1032" s="2" t="n">
        <v>0</v>
      </c>
    </row>
    <row r="1033">
      <c r="A1033" s="2" t="n">
        <v>1031</v>
      </c>
      <c r="B1033" s="2" t="inlineStr">
        <is>
          <t>length</t>
        </is>
      </c>
      <c r="C1033" s="2" t="inlineStr">
        <is>
          <t>openssl 3.5.8 default</t>
        </is>
      </c>
      <c r="D1033" s="2" t="n">
        <v>1548</v>
      </c>
      <c r="E1033" s="2" t="n">
        <v>1548</v>
      </c>
      <c r="F1033" s="2" t="n">
        <v>0</v>
      </c>
      <c r="G1033" s="2" t="n">
        <v>0</v>
      </c>
      <c r="H1033" s="2" t="n">
        <v>0</v>
      </c>
      <c r="I1033" s="2" t="n">
        <v>0</v>
      </c>
    </row>
    <row r="1034">
      <c r="A1034" s="2" t="n">
        <v>1032</v>
      </c>
      <c r="B1034" s="2" t="inlineStr">
        <is>
          <t>insert</t>
        </is>
      </c>
      <c r="C1034" s="2" t="inlineStr">
        <is>
          <t>browser chrome150</t>
        </is>
      </c>
      <c r="D1034" s="2" t="n">
        <v>1765</v>
      </c>
      <c r="E1034" s="2" t="n">
        <v>1765</v>
      </c>
      <c r="F1034" s="2" t="n">
        <v>1</v>
      </c>
      <c r="G1034" s="2" t="n">
        <v>1</v>
      </c>
      <c r="H1034" s="2" t="n">
        <v>1</v>
      </c>
      <c r="I1034" s="2" t="n">
        <v>0</v>
      </c>
    </row>
    <row r="1035">
      <c r="A1035" s="2" t="n">
        <v>1033</v>
      </c>
      <c r="B1035" s="2" t="inlineStr">
        <is>
          <t>flip</t>
        </is>
      </c>
      <c r="C1035" s="2" t="inlineStr">
        <is>
          <t>openssl X25519 only (classical)</t>
        </is>
      </c>
      <c r="D1035" s="2" t="n">
        <v>314</v>
      </c>
      <c r="E1035" s="2" t="n">
        <v>314</v>
      </c>
      <c r="F1035" s="2" t="n">
        <v>1</v>
      </c>
      <c r="G1035" s="2" t="n">
        <v>1</v>
      </c>
      <c r="H1035" s="2" t="n">
        <v>1</v>
      </c>
      <c r="I1035" s="2" t="n">
        <v>0</v>
      </c>
    </row>
    <row r="1036">
      <c r="A1036" s="2" t="n">
        <v>1034</v>
      </c>
      <c r="B1036" s="2" t="inlineStr">
        <is>
          <t>truncate</t>
        </is>
      </c>
      <c r="C1036" s="2" t="inlineStr">
        <is>
          <t>openssl X25519 only (classical)</t>
        </is>
      </c>
      <c r="D1036" s="2" t="n">
        <v>150</v>
      </c>
      <c r="E1036" s="2" t="n">
        <v>150</v>
      </c>
      <c r="F1036" s="2" t="n">
        <v>1</v>
      </c>
      <c r="G1036" s="2" t="n">
        <v>1</v>
      </c>
      <c r="H1036" s="2" t="n">
        <v>0</v>
      </c>
      <c r="I1036" s="2" t="n">
        <v>0</v>
      </c>
    </row>
    <row r="1037">
      <c r="A1037" s="2" t="n">
        <v>1035</v>
      </c>
      <c r="B1037" s="2" t="inlineStr">
        <is>
          <t>length</t>
        </is>
      </c>
      <c r="C1037" s="2" t="inlineStr">
        <is>
          <t>openssl TLS 1.2 only</t>
        </is>
      </c>
      <c r="D1037" s="2" t="n">
        <v>215</v>
      </c>
      <c r="E1037" s="2" t="n">
        <v>215</v>
      </c>
      <c r="F1037" s="2" t="n">
        <v>1</v>
      </c>
      <c r="G1037" s="2" t="n">
        <v>1</v>
      </c>
      <c r="H1037" s="2" t="n">
        <v>1</v>
      </c>
      <c r="I1037" s="2" t="n">
        <v>0</v>
      </c>
    </row>
    <row r="1038">
      <c r="A1038" s="2" t="n">
        <v>1036</v>
      </c>
      <c r="B1038" s="2" t="inlineStr">
        <is>
          <t>insert</t>
        </is>
      </c>
      <c r="C1038" s="2" t="inlineStr">
        <is>
          <t>browser firefox147</t>
        </is>
      </c>
      <c r="D1038" s="2" t="n">
        <v>1908</v>
      </c>
      <c r="E1038" s="2" t="n">
        <v>1908</v>
      </c>
      <c r="F1038" s="2" t="n">
        <v>1</v>
      </c>
      <c r="G1038" s="2" t="n">
        <v>1</v>
      </c>
      <c r="H1038" s="2" t="n">
        <v>0</v>
      </c>
      <c r="I1038" s="2" t="n">
        <v>0</v>
      </c>
    </row>
    <row r="1039">
      <c r="A1039" s="2" t="n">
        <v>1037</v>
      </c>
      <c r="B1039" s="2" t="inlineStr">
        <is>
          <t>flip</t>
        </is>
      </c>
      <c r="C1039" s="2" t="inlineStr">
        <is>
          <t>openssl X25519 only (classical)</t>
        </is>
      </c>
      <c r="D1039" s="2" t="n">
        <v>314</v>
      </c>
      <c r="E1039" s="2" t="n">
        <v>314</v>
      </c>
      <c r="F1039" s="2" t="n">
        <v>1</v>
      </c>
      <c r="G1039" s="2" t="n">
        <v>1</v>
      </c>
      <c r="H1039" s="2" t="n">
        <v>1</v>
      </c>
      <c r="I1039" s="2" t="n">
        <v>0</v>
      </c>
    </row>
    <row r="1040">
      <c r="A1040" s="2" t="n">
        <v>1038</v>
      </c>
      <c r="B1040" s="2" t="inlineStr">
        <is>
          <t>truncate</t>
        </is>
      </c>
      <c r="C1040" s="2" t="inlineStr">
        <is>
          <t>browser firefox147</t>
        </is>
      </c>
      <c r="D1040" s="2" t="n">
        <v>1016</v>
      </c>
      <c r="E1040" s="2" t="n">
        <v>1016</v>
      </c>
      <c r="F1040" s="2" t="n">
        <v>1</v>
      </c>
      <c r="G1040" s="2" t="n">
        <v>1</v>
      </c>
      <c r="H1040" s="2" t="n">
        <v>0</v>
      </c>
      <c r="I1040" s="2" t="n">
        <v>0</v>
      </c>
    </row>
    <row r="1041">
      <c r="A1041" s="2" t="n">
        <v>1039</v>
      </c>
      <c r="B1041" s="2" t="inlineStr">
        <is>
          <t>length</t>
        </is>
      </c>
      <c r="C1041" s="2" t="inlineStr">
        <is>
          <t>browser firefox147</t>
        </is>
      </c>
      <c r="D1041" s="2" t="n">
        <v>1901</v>
      </c>
      <c r="E1041" s="2" t="n">
        <v>1901</v>
      </c>
      <c r="F1041" s="2" t="n">
        <v>1</v>
      </c>
      <c r="G1041" s="2" t="n">
        <v>0</v>
      </c>
      <c r="H1041" s="2" t="n">
        <v>0</v>
      </c>
      <c r="I1041" s="2" t="n">
        <v>0</v>
      </c>
    </row>
    <row r="1042">
      <c r="A1042" s="2" t="n">
        <v>1040</v>
      </c>
      <c r="B1042" s="2" t="inlineStr">
        <is>
          <t>insert</t>
        </is>
      </c>
      <c r="C1042" s="2" t="inlineStr">
        <is>
          <t>openssl 3.5.8 default</t>
        </is>
      </c>
      <c r="D1042" s="2" t="n">
        <v>1561</v>
      </c>
      <c r="E1042" s="2" t="n">
        <v>1561</v>
      </c>
      <c r="F1042" s="2" t="n">
        <v>1</v>
      </c>
      <c r="G1042" s="2" t="n">
        <v>1</v>
      </c>
      <c r="H1042" s="2" t="n">
        <v>1</v>
      </c>
      <c r="I1042" s="2" t="n">
        <v>0</v>
      </c>
    </row>
    <row r="1043">
      <c r="A1043" s="2" t="n">
        <v>1041</v>
      </c>
      <c r="B1043" s="2" t="inlineStr">
        <is>
          <t>flip</t>
        </is>
      </c>
      <c r="C1043" s="2" t="inlineStr">
        <is>
          <t>browser chrome150</t>
        </is>
      </c>
      <c r="D1043" s="2" t="n">
        <v>1763</v>
      </c>
      <c r="E1043" s="2" t="n">
        <v>1763</v>
      </c>
      <c r="F1043" s="2" t="n">
        <v>1</v>
      </c>
      <c r="G1043" s="2" t="n">
        <v>1</v>
      </c>
      <c r="H1043" s="2" t="n">
        <v>1</v>
      </c>
      <c r="I1043" s="2" t="n">
        <v>0</v>
      </c>
    </row>
    <row r="1044">
      <c r="A1044" s="2" t="n">
        <v>1042</v>
      </c>
      <c r="B1044" s="2" t="inlineStr">
        <is>
          <t>truncate</t>
        </is>
      </c>
      <c r="C1044" s="2" t="inlineStr">
        <is>
          <t>openssl X25519 only (classical)</t>
        </is>
      </c>
      <c r="D1044" s="2" t="n">
        <v>106</v>
      </c>
      <c r="E1044" s="2" t="n">
        <v>106</v>
      </c>
      <c r="F1044" s="2" t="n">
        <v>1</v>
      </c>
      <c r="G1044" s="2" t="n">
        <v>0</v>
      </c>
      <c r="H1044" s="2" t="n">
        <v>0</v>
      </c>
      <c r="I1044" s="2" t="n">
        <v>0</v>
      </c>
    </row>
    <row r="1045">
      <c r="A1045" s="2" t="n">
        <v>1043</v>
      </c>
      <c r="B1045" s="2" t="inlineStr">
        <is>
          <t>length</t>
        </is>
      </c>
      <c r="C1045" s="2" t="inlineStr">
        <is>
          <t>browser firefox147</t>
        </is>
      </c>
      <c r="D1045" s="2" t="n">
        <v>1901</v>
      </c>
      <c r="E1045" s="2" t="n">
        <v>1901</v>
      </c>
      <c r="F1045" s="2" t="n">
        <v>1</v>
      </c>
      <c r="G1045" s="2" t="n">
        <v>0</v>
      </c>
      <c r="H1045" s="2" t="n">
        <v>0</v>
      </c>
      <c r="I1045" s="2" t="n">
        <v>0</v>
      </c>
    </row>
    <row r="1046">
      <c r="A1046" s="2" t="n">
        <v>1044</v>
      </c>
      <c r="B1046" s="2" t="inlineStr">
        <is>
          <t>insert</t>
        </is>
      </c>
      <c r="C1046" s="2" t="inlineStr">
        <is>
          <t>openssl 3.5.8 default</t>
        </is>
      </c>
      <c r="D1046" s="2" t="n">
        <v>1553</v>
      </c>
      <c r="E1046" s="2" t="n">
        <v>1553</v>
      </c>
      <c r="F1046" s="2" t="n">
        <v>1</v>
      </c>
      <c r="G1046" s="2" t="n">
        <v>1</v>
      </c>
      <c r="H1046" s="2" t="n">
        <v>1</v>
      </c>
      <c r="I1046" s="2" t="n">
        <v>0</v>
      </c>
    </row>
    <row r="1047">
      <c r="A1047" s="2" t="n">
        <v>1045</v>
      </c>
      <c r="B1047" s="2" t="inlineStr">
        <is>
          <t>flip</t>
        </is>
      </c>
      <c r="C1047" s="2" t="inlineStr">
        <is>
          <t>openssl X25519 only (classical)</t>
        </is>
      </c>
      <c r="D1047" s="2" t="n">
        <v>314</v>
      </c>
      <c r="E1047" s="2" t="n">
        <v>314</v>
      </c>
      <c r="F1047" s="2" t="n">
        <v>1</v>
      </c>
      <c r="G1047" s="2" t="n">
        <v>1</v>
      </c>
      <c r="H1047" s="2" t="n">
        <v>1</v>
      </c>
      <c r="I1047" s="2" t="n">
        <v>0</v>
      </c>
    </row>
    <row r="1048">
      <c r="A1048" s="2" t="n">
        <v>1046</v>
      </c>
      <c r="B1048" s="2" t="inlineStr">
        <is>
          <t>truncate</t>
        </is>
      </c>
      <c r="C1048" s="2" t="inlineStr">
        <is>
          <t>openssl TLS 1.2 only</t>
        </is>
      </c>
      <c r="D1048" s="2" t="n">
        <v>186</v>
      </c>
      <c r="E1048" s="2" t="n">
        <v>186</v>
      </c>
      <c r="F1048" s="2" t="n">
        <v>1</v>
      </c>
      <c r="G1048" s="2" t="n">
        <v>1</v>
      </c>
      <c r="H1048" s="2" t="n">
        <v>1</v>
      </c>
      <c r="I1048" s="2" t="n">
        <v>0</v>
      </c>
    </row>
    <row r="1049">
      <c r="A1049" s="2" t="n">
        <v>1047</v>
      </c>
      <c r="B1049" s="2" t="inlineStr">
        <is>
          <t>length</t>
        </is>
      </c>
      <c r="C1049" s="2" t="inlineStr">
        <is>
          <t>openssl TLS 1.2 only</t>
        </is>
      </c>
      <c r="D1049" s="2" t="n">
        <v>215</v>
      </c>
      <c r="E1049" s="2" t="n">
        <v>215</v>
      </c>
      <c r="F1049" s="2" t="n">
        <v>1</v>
      </c>
      <c r="G1049" s="2" t="n">
        <v>0</v>
      </c>
      <c r="H1049" s="2" t="n">
        <v>0</v>
      </c>
      <c r="I1049" s="2" t="n">
        <v>0</v>
      </c>
    </row>
    <row r="1050">
      <c r="A1050" s="2" t="n">
        <v>1048</v>
      </c>
      <c r="B1050" s="2" t="inlineStr">
        <is>
          <t>insert</t>
        </is>
      </c>
      <c r="C1050" s="2" t="inlineStr">
        <is>
          <t>browser chrome150</t>
        </is>
      </c>
      <c r="D1050" s="2" t="n">
        <v>1775</v>
      </c>
      <c r="E1050" s="2" t="n">
        <v>1775</v>
      </c>
      <c r="F1050" s="2" t="n">
        <v>1</v>
      </c>
      <c r="G1050" s="2" t="n">
        <v>1</v>
      </c>
      <c r="H1050" s="2" t="n">
        <v>1</v>
      </c>
      <c r="I1050" s="2" t="n">
        <v>0</v>
      </c>
    </row>
    <row r="1051">
      <c r="A1051" s="2" t="n">
        <v>1049</v>
      </c>
      <c r="B1051" s="2" t="inlineStr">
        <is>
          <t>flip</t>
        </is>
      </c>
      <c r="C1051" s="2" t="inlineStr">
        <is>
          <t>browser firefox147</t>
        </is>
      </c>
      <c r="D1051" s="2" t="n">
        <v>1901</v>
      </c>
      <c r="E1051" s="2" t="n">
        <v>1901</v>
      </c>
      <c r="F1051" s="2" t="n">
        <v>1</v>
      </c>
      <c r="G1051" s="2" t="n">
        <v>1</v>
      </c>
      <c r="H1051" s="2" t="n">
        <v>0</v>
      </c>
      <c r="I1051" s="2" t="n">
        <v>0</v>
      </c>
    </row>
    <row r="1052">
      <c r="A1052" s="2" t="n">
        <v>1050</v>
      </c>
      <c r="B1052" s="2" t="inlineStr">
        <is>
          <t>truncate</t>
        </is>
      </c>
      <c r="C1052" s="2" t="inlineStr">
        <is>
          <t>browser firefox147</t>
        </is>
      </c>
      <c r="D1052" s="2" t="n">
        <v>100</v>
      </c>
      <c r="E1052" s="2" t="n">
        <v>100</v>
      </c>
      <c r="F1052" s="2" t="n">
        <v>1</v>
      </c>
      <c r="G1052" s="2" t="n">
        <v>0</v>
      </c>
      <c r="H1052" s="2" t="n">
        <v>0</v>
      </c>
      <c r="I1052" s="2" t="n">
        <v>0</v>
      </c>
    </row>
    <row r="1053">
      <c r="A1053" s="2" t="n">
        <v>1051</v>
      </c>
      <c r="B1053" s="2" t="inlineStr">
        <is>
          <t>length</t>
        </is>
      </c>
      <c r="C1053" s="2" t="inlineStr">
        <is>
          <t>openssl TLS 1.2 only</t>
        </is>
      </c>
      <c r="D1053" s="2" t="n">
        <v>215</v>
      </c>
      <c r="E1053" s="2" t="n">
        <v>215</v>
      </c>
      <c r="F1053" s="2" t="n">
        <v>1</v>
      </c>
      <c r="G1053" s="2" t="n">
        <v>0</v>
      </c>
      <c r="H1053" s="2" t="n">
        <v>0</v>
      </c>
      <c r="I1053" s="2" t="n">
        <v>0</v>
      </c>
    </row>
    <row r="1054">
      <c r="A1054" s="2" t="n">
        <v>1052</v>
      </c>
      <c r="B1054" s="2" t="inlineStr">
        <is>
          <t>insert</t>
        </is>
      </c>
      <c r="C1054" s="2" t="inlineStr">
        <is>
          <t>browser chrome150</t>
        </is>
      </c>
      <c r="D1054" s="2" t="n">
        <v>1779</v>
      </c>
      <c r="E1054" s="2" t="n">
        <v>1779</v>
      </c>
      <c r="F1054" s="2" t="n">
        <v>1</v>
      </c>
      <c r="G1054" s="2" t="n">
        <v>1</v>
      </c>
      <c r="H1054" s="2" t="n">
        <v>1</v>
      </c>
      <c r="I1054" s="2" t="n">
        <v>0</v>
      </c>
    </row>
    <row r="1055">
      <c r="A1055" s="2" t="n">
        <v>1053</v>
      </c>
      <c r="B1055" s="2" t="inlineStr">
        <is>
          <t>flip</t>
        </is>
      </c>
      <c r="C1055" s="2" t="inlineStr">
        <is>
          <t>openssl 3.5.8 default</t>
        </is>
      </c>
      <c r="D1055" s="2" t="n">
        <v>1548</v>
      </c>
      <c r="E1055" s="2" t="n">
        <v>1548</v>
      </c>
      <c r="F1055" s="2" t="n">
        <v>1</v>
      </c>
      <c r="G1055" s="2" t="n">
        <v>1</v>
      </c>
      <c r="H1055" s="2" t="n">
        <v>1</v>
      </c>
      <c r="I1055" s="2" t="n">
        <v>0</v>
      </c>
    </row>
    <row r="1056">
      <c r="A1056" s="2" t="n">
        <v>1054</v>
      </c>
      <c r="B1056" s="2" t="inlineStr">
        <is>
          <t>truncate</t>
        </is>
      </c>
      <c r="C1056" s="2" t="inlineStr">
        <is>
          <t>openssl TLS 1.2 only</t>
        </is>
      </c>
      <c r="D1056" s="2" t="n">
        <v>57</v>
      </c>
      <c r="E1056" s="2" t="n">
        <v>57</v>
      </c>
      <c r="F1056" s="2" t="n">
        <v>1</v>
      </c>
      <c r="G1056" s="2" t="n">
        <v>0</v>
      </c>
      <c r="H1056" s="2" t="n">
        <v>0</v>
      </c>
      <c r="I1056" s="2" t="n">
        <v>0</v>
      </c>
    </row>
    <row r="1057">
      <c r="A1057" s="2" t="n">
        <v>1055</v>
      </c>
      <c r="B1057" s="2" t="inlineStr">
        <is>
          <t>length</t>
        </is>
      </c>
      <c r="C1057" s="2" t="inlineStr">
        <is>
          <t>browser firefox147</t>
        </is>
      </c>
      <c r="D1057" s="2" t="n">
        <v>1901</v>
      </c>
      <c r="E1057" s="2" t="n">
        <v>1901</v>
      </c>
      <c r="F1057" s="2" t="n">
        <v>1</v>
      </c>
      <c r="G1057" s="2" t="n">
        <v>1</v>
      </c>
      <c r="H1057" s="2" t="n">
        <v>1</v>
      </c>
      <c r="I1057" s="2" t="n">
        <v>0</v>
      </c>
    </row>
    <row r="1058">
      <c r="A1058" s="2" t="n">
        <v>1056</v>
      </c>
      <c r="B1058" s="2" t="inlineStr">
        <is>
          <t>insert</t>
        </is>
      </c>
      <c r="C1058" s="2" t="inlineStr">
        <is>
          <t>openssl X25519 only (classical)</t>
        </is>
      </c>
      <c r="D1058" s="2" t="n">
        <v>330</v>
      </c>
      <c r="E1058" s="2" t="n">
        <v>330</v>
      </c>
      <c r="F1058" s="2" t="n">
        <v>1</v>
      </c>
      <c r="G1058" s="2" t="n">
        <v>1</v>
      </c>
      <c r="H1058" s="2" t="n">
        <v>0</v>
      </c>
      <c r="I1058" s="2" t="n">
        <v>0</v>
      </c>
    </row>
    <row r="1059">
      <c r="A1059" s="2" t="n">
        <v>1057</v>
      </c>
      <c r="B1059" s="2" t="inlineStr">
        <is>
          <t>flip</t>
        </is>
      </c>
      <c r="C1059" s="2" t="inlineStr">
        <is>
          <t>openssl X25519 only (classical)</t>
        </is>
      </c>
      <c r="D1059" s="2" t="n">
        <v>314</v>
      </c>
      <c r="E1059" s="2" t="n">
        <v>314</v>
      </c>
      <c r="F1059" s="2" t="n">
        <v>1</v>
      </c>
      <c r="G1059" s="2" t="n">
        <v>1</v>
      </c>
      <c r="H1059" s="2" t="n">
        <v>1</v>
      </c>
      <c r="I1059" s="2" t="n">
        <v>0</v>
      </c>
    </row>
    <row r="1060">
      <c r="A1060" s="2" t="n">
        <v>1058</v>
      </c>
      <c r="B1060" s="2" t="inlineStr">
        <is>
          <t>truncate</t>
        </is>
      </c>
      <c r="C1060" s="2" t="inlineStr">
        <is>
          <t>browser chrome150</t>
        </is>
      </c>
      <c r="D1060" s="2" t="n">
        <v>1287</v>
      </c>
      <c r="E1060" s="2" t="n">
        <v>1287</v>
      </c>
      <c r="F1060" s="2" t="n">
        <v>1</v>
      </c>
      <c r="G1060" s="2" t="n">
        <v>1</v>
      </c>
      <c r="H1060" s="2" t="n">
        <v>1</v>
      </c>
      <c r="I1060" s="2" t="n">
        <v>0</v>
      </c>
    </row>
    <row r="1061">
      <c r="A1061" s="2" t="n">
        <v>1059</v>
      </c>
      <c r="B1061" s="2" t="inlineStr">
        <is>
          <t>length</t>
        </is>
      </c>
      <c r="C1061" s="2" t="inlineStr">
        <is>
          <t>browser firefox147</t>
        </is>
      </c>
      <c r="D1061" s="2" t="n">
        <v>1901</v>
      </c>
      <c r="E1061" s="2" t="n">
        <v>1901</v>
      </c>
      <c r="F1061" s="2" t="n">
        <v>1</v>
      </c>
      <c r="G1061" s="2" t="n">
        <v>1</v>
      </c>
      <c r="H1061" s="2" t="n">
        <v>0</v>
      </c>
      <c r="I1061" s="2" t="n">
        <v>0</v>
      </c>
    </row>
    <row r="1062">
      <c r="A1062" s="2" t="n">
        <v>1060</v>
      </c>
      <c r="B1062" s="2" t="inlineStr">
        <is>
          <t>insert</t>
        </is>
      </c>
      <c r="C1062" s="2" t="inlineStr">
        <is>
          <t>openssl 3.5.8 default</t>
        </is>
      </c>
      <c r="D1062" s="2" t="n">
        <v>1555</v>
      </c>
      <c r="E1062" s="2" t="n">
        <v>1555</v>
      </c>
      <c r="F1062" s="2" t="n">
        <v>1</v>
      </c>
      <c r="G1062" s="2" t="n">
        <v>1</v>
      </c>
      <c r="H1062" s="2" t="n">
        <v>1</v>
      </c>
      <c r="I1062" s="2" t="n">
        <v>0</v>
      </c>
    </row>
    <row r="1063">
      <c r="A1063" s="2" t="n">
        <v>1061</v>
      </c>
      <c r="B1063" s="2" t="inlineStr">
        <is>
          <t>flip</t>
        </is>
      </c>
      <c r="C1063" s="2" t="inlineStr">
        <is>
          <t>openssl TLS 1.2 only</t>
        </is>
      </c>
      <c r="D1063" s="2" t="n">
        <v>215</v>
      </c>
      <c r="E1063" s="2" t="n">
        <v>215</v>
      </c>
      <c r="F1063" s="2" t="n">
        <v>0</v>
      </c>
      <c r="G1063" s="2" t="n">
        <v>0</v>
      </c>
      <c r="H1063" s="2" t="n">
        <v>0</v>
      </c>
      <c r="I1063" s="2" t="n">
        <v>0</v>
      </c>
    </row>
    <row r="1064">
      <c r="A1064" s="2" t="n">
        <v>1062</v>
      </c>
      <c r="B1064" s="2" t="inlineStr">
        <is>
          <t>truncate</t>
        </is>
      </c>
      <c r="C1064" s="2" t="inlineStr">
        <is>
          <t>browser chrome150</t>
        </is>
      </c>
      <c r="D1064" s="2" t="n">
        <v>1663</v>
      </c>
      <c r="E1064" s="2" t="n">
        <v>1663</v>
      </c>
      <c r="F1064" s="2" t="n">
        <v>1</v>
      </c>
      <c r="G1064" s="2" t="n">
        <v>1</v>
      </c>
      <c r="H1064" s="2" t="n">
        <v>1</v>
      </c>
      <c r="I1064" s="2" t="n">
        <v>0</v>
      </c>
    </row>
    <row r="1065">
      <c r="A1065" s="2" t="n">
        <v>1063</v>
      </c>
      <c r="B1065" s="2" t="inlineStr">
        <is>
          <t>length</t>
        </is>
      </c>
      <c r="C1065" s="2" t="inlineStr">
        <is>
          <t>openssl TLS 1.2 only</t>
        </is>
      </c>
      <c r="D1065" s="2" t="n">
        <v>215</v>
      </c>
      <c r="E1065" s="2" t="n">
        <v>215</v>
      </c>
      <c r="F1065" s="2" t="n">
        <v>1</v>
      </c>
      <c r="G1065" s="2" t="n">
        <v>0</v>
      </c>
      <c r="H1065" s="2" t="n">
        <v>0</v>
      </c>
      <c r="I1065" s="2" t="n">
        <v>0</v>
      </c>
    </row>
    <row r="1066">
      <c r="A1066" s="2" t="n">
        <v>1064</v>
      </c>
      <c r="B1066" s="2" t="inlineStr">
        <is>
          <t>insert</t>
        </is>
      </c>
      <c r="C1066" s="2" t="inlineStr">
        <is>
          <t>browser chrome150</t>
        </is>
      </c>
      <c r="D1066" s="2" t="n">
        <v>1772</v>
      </c>
      <c r="E1066" s="2" t="n">
        <v>1772</v>
      </c>
      <c r="F1066" s="2" t="n">
        <v>1</v>
      </c>
      <c r="G1066" s="2" t="n">
        <v>1</v>
      </c>
      <c r="H1066" s="2" t="n">
        <v>1</v>
      </c>
      <c r="I1066" s="2" t="n">
        <v>0</v>
      </c>
    </row>
    <row r="1067">
      <c r="A1067" s="2" t="n">
        <v>1065</v>
      </c>
      <c r="B1067" s="2" t="inlineStr">
        <is>
          <t>flip</t>
        </is>
      </c>
      <c r="C1067" s="2" t="inlineStr">
        <is>
          <t>openssl X25519 only (classical)</t>
        </is>
      </c>
      <c r="D1067" s="2" t="n">
        <v>314</v>
      </c>
      <c r="E1067" s="2" t="n">
        <v>314</v>
      </c>
      <c r="F1067" s="2" t="n">
        <v>1</v>
      </c>
      <c r="G1067" s="2" t="n">
        <v>1</v>
      </c>
      <c r="H1067" s="2" t="n">
        <v>1</v>
      </c>
      <c r="I1067" s="2" t="n">
        <v>0</v>
      </c>
    </row>
    <row r="1068">
      <c r="A1068" s="2" t="n">
        <v>1066</v>
      </c>
      <c r="B1068" s="2" t="inlineStr">
        <is>
          <t>truncate</t>
        </is>
      </c>
      <c r="C1068" s="2" t="inlineStr">
        <is>
          <t>openssl TLS 1.2 only</t>
        </is>
      </c>
      <c r="D1068" s="2" t="n">
        <v>29</v>
      </c>
      <c r="E1068" s="2" t="n">
        <v>29</v>
      </c>
      <c r="F1068" s="2" t="n">
        <v>1</v>
      </c>
      <c r="G1068" s="2" t="n">
        <v>0</v>
      </c>
      <c r="H1068" s="2" t="n">
        <v>0</v>
      </c>
      <c r="I1068" s="2" t="n">
        <v>0</v>
      </c>
    </row>
    <row r="1069">
      <c r="A1069" s="2" t="n">
        <v>1067</v>
      </c>
      <c r="B1069" s="2" t="inlineStr">
        <is>
          <t>length</t>
        </is>
      </c>
      <c r="C1069" s="2" t="inlineStr">
        <is>
          <t>browser chrome150</t>
        </is>
      </c>
      <c r="D1069" s="2" t="n">
        <v>1763</v>
      </c>
      <c r="E1069" s="2" t="n">
        <v>1763</v>
      </c>
      <c r="F1069" s="2" t="n">
        <v>1</v>
      </c>
      <c r="G1069" s="2" t="n">
        <v>0</v>
      </c>
      <c r="H1069" s="2" t="n">
        <v>0</v>
      </c>
      <c r="I1069" s="2" t="n">
        <v>0</v>
      </c>
    </row>
    <row r="1070">
      <c r="A1070" s="2" t="n">
        <v>1068</v>
      </c>
      <c r="B1070" s="2" t="inlineStr">
        <is>
          <t>insert</t>
        </is>
      </c>
      <c r="C1070" s="2" t="inlineStr">
        <is>
          <t>openssl 3.5.8 default</t>
        </is>
      </c>
      <c r="D1070" s="2" t="n">
        <v>1550</v>
      </c>
      <c r="E1070" s="2" t="n">
        <v>1550</v>
      </c>
      <c r="F1070" s="2" t="n">
        <v>1</v>
      </c>
      <c r="G1070" s="2" t="n">
        <v>1</v>
      </c>
      <c r="H1070" s="2" t="n">
        <v>1</v>
      </c>
      <c r="I1070" s="2" t="n">
        <v>0</v>
      </c>
    </row>
    <row r="1071">
      <c r="A1071" s="2" t="n">
        <v>1069</v>
      </c>
      <c r="B1071" s="2" t="inlineStr">
        <is>
          <t>flip</t>
        </is>
      </c>
      <c r="C1071" s="2" t="inlineStr">
        <is>
          <t>browser chrome150</t>
        </is>
      </c>
      <c r="D1071" s="2" t="n">
        <v>1763</v>
      </c>
      <c r="E1071" s="2" t="n">
        <v>1763</v>
      </c>
      <c r="F1071" s="2" t="n">
        <v>1</v>
      </c>
      <c r="G1071" s="2" t="n">
        <v>1</v>
      </c>
      <c r="H1071" s="2" t="n">
        <v>1</v>
      </c>
      <c r="I1071" s="2" t="n">
        <v>0</v>
      </c>
    </row>
    <row r="1072">
      <c r="A1072" s="2" t="n">
        <v>1070</v>
      </c>
      <c r="B1072" s="2" t="inlineStr">
        <is>
          <t>truncate</t>
        </is>
      </c>
      <c r="C1072" s="2" t="inlineStr">
        <is>
          <t>openssl TLS 1.2 only</t>
        </is>
      </c>
      <c r="D1072" s="2" t="n">
        <v>89</v>
      </c>
      <c r="E1072" s="2" t="n">
        <v>89</v>
      </c>
      <c r="F1072" s="2" t="n">
        <v>1</v>
      </c>
      <c r="G1072" s="2" t="n">
        <v>0</v>
      </c>
      <c r="H1072" s="2" t="n">
        <v>0</v>
      </c>
      <c r="I1072" s="2" t="n">
        <v>0</v>
      </c>
    </row>
    <row r="1073">
      <c r="A1073" s="2" t="n">
        <v>1071</v>
      </c>
      <c r="B1073" s="2" t="inlineStr">
        <is>
          <t>length</t>
        </is>
      </c>
      <c r="C1073" s="2" t="inlineStr">
        <is>
          <t>openssl 3.5.8 default</t>
        </is>
      </c>
      <c r="D1073" s="2" t="n">
        <v>1548</v>
      </c>
      <c r="E1073" s="2" t="n">
        <v>1548</v>
      </c>
      <c r="F1073" s="2" t="n">
        <v>1</v>
      </c>
      <c r="G1073" s="2" t="n">
        <v>1</v>
      </c>
      <c r="H1073" s="2" t="n">
        <v>1</v>
      </c>
      <c r="I1073" s="2" t="n">
        <v>0</v>
      </c>
    </row>
    <row r="1074">
      <c r="A1074" s="2" t="n">
        <v>1072</v>
      </c>
      <c r="B1074" s="2" t="inlineStr">
        <is>
          <t>insert</t>
        </is>
      </c>
      <c r="C1074" s="2" t="inlineStr">
        <is>
          <t>openssl X25519 only (classical)</t>
        </is>
      </c>
      <c r="D1074" s="2" t="n">
        <v>329</v>
      </c>
      <c r="E1074" s="2" t="n">
        <v>329</v>
      </c>
      <c r="F1074" s="2" t="n">
        <v>1</v>
      </c>
      <c r="G1074" s="2" t="n">
        <v>1</v>
      </c>
      <c r="H1074" s="2" t="n">
        <v>1</v>
      </c>
      <c r="I1074" s="2" t="n">
        <v>0</v>
      </c>
    </row>
    <row r="1075">
      <c r="A1075" s="2" t="n">
        <v>1073</v>
      </c>
      <c r="B1075" s="2" t="inlineStr">
        <is>
          <t>flip</t>
        </is>
      </c>
      <c r="C1075" s="2" t="inlineStr">
        <is>
          <t>browser chrome150</t>
        </is>
      </c>
      <c r="D1075" s="2" t="n">
        <v>1763</v>
      </c>
      <c r="E1075" s="2" t="n">
        <v>1763</v>
      </c>
      <c r="F1075" s="2" t="n">
        <v>1</v>
      </c>
      <c r="G1075" s="2" t="n">
        <v>1</v>
      </c>
      <c r="H1075" s="2" t="n">
        <v>1</v>
      </c>
      <c r="I1075" s="2" t="n">
        <v>0</v>
      </c>
    </row>
    <row r="1076">
      <c r="A1076" s="2" t="n">
        <v>1074</v>
      </c>
      <c r="B1076" s="2" t="inlineStr">
        <is>
          <t>truncate</t>
        </is>
      </c>
      <c r="C1076" s="2" t="inlineStr">
        <is>
          <t>browser chrome150</t>
        </is>
      </c>
      <c r="D1076" s="2" t="n">
        <v>678</v>
      </c>
      <c r="E1076" s="2" t="n">
        <v>678</v>
      </c>
      <c r="F1076" s="2" t="n">
        <v>1</v>
      </c>
      <c r="G1076" s="2" t="n">
        <v>1</v>
      </c>
      <c r="H1076" s="2" t="n">
        <v>1</v>
      </c>
      <c r="I1076" s="2" t="n">
        <v>0</v>
      </c>
    </row>
    <row r="1077">
      <c r="A1077" s="2" t="n">
        <v>1075</v>
      </c>
      <c r="B1077" s="2" t="inlineStr">
        <is>
          <t>length</t>
        </is>
      </c>
      <c r="C1077" s="2" t="inlineStr">
        <is>
          <t>openssl 3.5.8 default</t>
        </is>
      </c>
      <c r="D1077" s="2" t="n">
        <v>1548</v>
      </c>
      <c r="E1077" s="2" t="n">
        <v>1548</v>
      </c>
      <c r="F1077" s="2" t="n">
        <v>0</v>
      </c>
      <c r="G1077" s="2" t="n">
        <v>0</v>
      </c>
      <c r="H1077" s="2" t="n">
        <v>0</v>
      </c>
      <c r="I1077" s="2" t="n">
        <v>0</v>
      </c>
    </row>
    <row r="1078">
      <c r="A1078" s="2" t="n">
        <v>1076</v>
      </c>
      <c r="B1078" s="2" t="inlineStr">
        <is>
          <t>insert</t>
        </is>
      </c>
      <c r="C1078" s="2" t="inlineStr">
        <is>
          <t>browser chrome150</t>
        </is>
      </c>
      <c r="D1078" s="2" t="n">
        <v>1774</v>
      </c>
      <c r="E1078" s="2" t="n">
        <v>1774</v>
      </c>
      <c r="F1078" s="2" t="n">
        <v>1</v>
      </c>
      <c r="G1078" s="2" t="n">
        <v>1</v>
      </c>
      <c r="H1078" s="2" t="n">
        <v>1</v>
      </c>
      <c r="I1078" s="2" t="n">
        <v>0</v>
      </c>
    </row>
    <row r="1079">
      <c r="A1079" s="2" t="n">
        <v>1077</v>
      </c>
      <c r="B1079" s="2" t="inlineStr">
        <is>
          <t>flip</t>
        </is>
      </c>
      <c r="C1079" s="2" t="inlineStr">
        <is>
          <t>browser chrome150</t>
        </is>
      </c>
      <c r="D1079" s="2" t="n">
        <v>1763</v>
      </c>
      <c r="E1079" s="2" t="n">
        <v>1763</v>
      </c>
      <c r="F1079" s="2" t="n">
        <v>1</v>
      </c>
      <c r="G1079" s="2" t="n">
        <v>1</v>
      </c>
      <c r="H1079" s="2" t="n">
        <v>1</v>
      </c>
      <c r="I1079" s="2" t="n">
        <v>0</v>
      </c>
    </row>
    <row r="1080">
      <c r="A1080" s="2" t="n">
        <v>1078</v>
      </c>
      <c r="B1080" s="2" t="inlineStr">
        <is>
          <t>truncate</t>
        </is>
      </c>
      <c r="C1080" s="2" t="inlineStr">
        <is>
          <t>browser chrome150</t>
        </is>
      </c>
      <c r="D1080" s="2" t="n">
        <v>191</v>
      </c>
      <c r="E1080" s="2" t="n">
        <v>191</v>
      </c>
      <c r="F1080" s="2" t="n">
        <v>1</v>
      </c>
      <c r="G1080" s="2" t="n">
        <v>1</v>
      </c>
      <c r="H1080" s="2" t="n">
        <v>1</v>
      </c>
      <c r="I1080" s="2" t="n">
        <v>0</v>
      </c>
    </row>
    <row r="1081">
      <c r="A1081" s="2" t="n">
        <v>1079</v>
      </c>
      <c r="B1081" s="2" t="inlineStr">
        <is>
          <t>length</t>
        </is>
      </c>
      <c r="C1081" s="2" t="inlineStr">
        <is>
          <t>openssl 3.5.8 default</t>
        </is>
      </c>
      <c r="D1081" s="2" t="n">
        <v>1548</v>
      </c>
      <c r="E1081" s="2" t="n">
        <v>1548</v>
      </c>
      <c r="F1081" s="2" t="n">
        <v>0</v>
      </c>
      <c r="G1081" s="2" t="n">
        <v>0</v>
      </c>
      <c r="H1081" s="2" t="n">
        <v>0</v>
      </c>
      <c r="I1081" s="2" t="n">
        <v>0</v>
      </c>
    </row>
    <row r="1082">
      <c r="A1082" s="2" t="n">
        <v>1080</v>
      </c>
      <c r="B1082" s="2" t="inlineStr">
        <is>
          <t>insert</t>
        </is>
      </c>
      <c r="C1082" s="2" t="inlineStr">
        <is>
          <t>browser firefox147</t>
        </is>
      </c>
      <c r="D1082" s="2" t="n">
        <v>1906</v>
      </c>
      <c r="E1082" s="2" t="n">
        <v>1906</v>
      </c>
      <c r="F1082" s="2" t="n">
        <v>1</v>
      </c>
      <c r="G1082" s="2" t="n">
        <v>1</v>
      </c>
      <c r="H1082" s="2" t="n">
        <v>0</v>
      </c>
      <c r="I1082" s="2" t="n">
        <v>0</v>
      </c>
    </row>
    <row r="1083">
      <c r="A1083" s="2" t="n">
        <v>1081</v>
      </c>
      <c r="B1083" s="2" t="inlineStr">
        <is>
          <t>flip</t>
        </is>
      </c>
      <c r="C1083" s="2" t="inlineStr">
        <is>
          <t>browser firefox147</t>
        </is>
      </c>
      <c r="D1083" s="2" t="n">
        <v>1901</v>
      </c>
      <c r="E1083" s="2" t="n">
        <v>1901</v>
      </c>
      <c r="F1083" s="2" t="n">
        <v>1</v>
      </c>
      <c r="G1083" s="2" t="n">
        <v>1</v>
      </c>
      <c r="H1083" s="2" t="n">
        <v>0</v>
      </c>
      <c r="I1083" s="2" t="n">
        <v>0</v>
      </c>
    </row>
    <row r="1084">
      <c r="A1084" s="2" t="n">
        <v>1082</v>
      </c>
      <c r="B1084" s="2" t="inlineStr">
        <is>
          <t>truncate</t>
        </is>
      </c>
      <c r="C1084" s="2" t="inlineStr">
        <is>
          <t>openssl TLS 1.2 only</t>
        </is>
      </c>
      <c r="D1084" s="2" t="n">
        <v>32</v>
      </c>
      <c r="E1084" s="2" t="n">
        <v>32</v>
      </c>
      <c r="F1084" s="2" t="n">
        <v>1</v>
      </c>
      <c r="G1084" s="2" t="n">
        <v>0</v>
      </c>
      <c r="H1084" s="2" t="n">
        <v>0</v>
      </c>
      <c r="I1084" s="2" t="n">
        <v>0</v>
      </c>
    </row>
    <row r="1085">
      <c r="A1085" s="2" t="n">
        <v>1083</v>
      </c>
      <c r="B1085" s="2" t="inlineStr">
        <is>
          <t>length</t>
        </is>
      </c>
      <c r="C1085" s="2" t="inlineStr">
        <is>
          <t>browser firefox147</t>
        </is>
      </c>
      <c r="D1085" s="2" t="n">
        <v>1901</v>
      </c>
      <c r="E1085" s="2" t="n">
        <v>1901</v>
      </c>
      <c r="F1085" s="2" t="n">
        <v>1</v>
      </c>
      <c r="G1085" s="2" t="n">
        <v>1</v>
      </c>
      <c r="H1085" s="2" t="n">
        <v>0</v>
      </c>
      <c r="I1085" s="2" t="n">
        <v>0</v>
      </c>
    </row>
    <row r="1086">
      <c r="A1086" s="2" t="n">
        <v>1084</v>
      </c>
      <c r="B1086" s="2" t="inlineStr">
        <is>
          <t>insert</t>
        </is>
      </c>
      <c r="C1086" s="2" t="inlineStr">
        <is>
          <t>browser chrome150</t>
        </is>
      </c>
      <c r="D1086" s="2" t="n">
        <v>1778</v>
      </c>
      <c r="E1086" s="2" t="n">
        <v>1778</v>
      </c>
      <c r="F1086" s="2" t="n">
        <v>1</v>
      </c>
      <c r="G1086" s="2" t="n">
        <v>1</v>
      </c>
      <c r="H1086" s="2" t="n">
        <v>1</v>
      </c>
      <c r="I1086" s="2" t="n">
        <v>0</v>
      </c>
    </row>
    <row r="1087">
      <c r="A1087" s="2" t="n">
        <v>1085</v>
      </c>
      <c r="B1087" s="2" t="inlineStr">
        <is>
          <t>flip</t>
        </is>
      </c>
      <c r="C1087" s="2" t="inlineStr">
        <is>
          <t>browser chrome150</t>
        </is>
      </c>
      <c r="D1087" s="2" t="n">
        <v>1763</v>
      </c>
      <c r="E1087" s="2" t="n">
        <v>1763</v>
      </c>
      <c r="F1087" s="2" t="n">
        <v>1</v>
      </c>
      <c r="G1087" s="2" t="n">
        <v>1</v>
      </c>
      <c r="H1087" s="2" t="n">
        <v>1</v>
      </c>
      <c r="I1087" s="2" t="n">
        <v>0</v>
      </c>
    </row>
    <row r="1088">
      <c r="A1088" s="2" t="n">
        <v>1086</v>
      </c>
      <c r="B1088" s="2" t="inlineStr">
        <is>
          <t>truncate</t>
        </is>
      </c>
      <c r="C1088" s="2" t="inlineStr">
        <is>
          <t>openssl TLS 1.2 only</t>
        </is>
      </c>
      <c r="D1088" s="2" t="n">
        <v>169</v>
      </c>
      <c r="E1088" s="2" t="n">
        <v>169</v>
      </c>
      <c r="F1088" s="2" t="n">
        <v>1</v>
      </c>
      <c r="G1088" s="2" t="n">
        <v>1</v>
      </c>
      <c r="H1088" s="2" t="n">
        <v>0</v>
      </c>
      <c r="I1088" s="2" t="n">
        <v>0</v>
      </c>
    </row>
    <row r="1089">
      <c r="A1089" s="2" t="n">
        <v>1087</v>
      </c>
      <c r="B1089" s="2" t="inlineStr">
        <is>
          <t>length</t>
        </is>
      </c>
      <c r="C1089" s="2" t="inlineStr">
        <is>
          <t>openssl X25519 only (classical)</t>
        </is>
      </c>
      <c r="D1089" s="2" t="n">
        <v>314</v>
      </c>
      <c r="E1089" s="2" t="n">
        <v>314</v>
      </c>
      <c r="F1089" s="2" t="n">
        <v>0</v>
      </c>
      <c r="G1089" s="2" t="n">
        <v>0</v>
      </c>
      <c r="H1089" s="2" t="n">
        <v>0</v>
      </c>
      <c r="I1089" s="2" t="n">
        <v>0</v>
      </c>
    </row>
    <row r="1090">
      <c r="A1090" s="2" t="n">
        <v>1088</v>
      </c>
      <c r="B1090" s="2" t="inlineStr">
        <is>
          <t>insert</t>
        </is>
      </c>
      <c r="C1090" s="2" t="inlineStr">
        <is>
          <t>openssl TLS 1.2 only</t>
        </is>
      </c>
      <c r="D1090" s="2" t="n">
        <v>217</v>
      </c>
      <c r="E1090" s="2" t="n">
        <v>217</v>
      </c>
      <c r="F1090" s="2" t="n">
        <v>1</v>
      </c>
      <c r="G1090" s="2" t="n">
        <v>1</v>
      </c>
      <c r="H1090" s="2" t="n">
        <v>0</v>
      </c>
      <c r="I1090" s="2" t="n">
        <v>0</v>
      </c>
    </row>
    <row r="1091">
      <c r="A1091" s="2" t="n">
        <v>1089</v>
      </c>
      <c r="B1091" s="2" t="inlineStr">
        <is>
          <t>flip</t>
        </is>
      </c>
      <c r="C1091" s="2" t="inlineStr">
        <is>
          <t>browser chrome150</t>
        </is>
      </c>
      <c r="D1091" s="2" t="n">
        <v>1763</v>
      </c>
      <c r="E1091" s="2" t="n">
        <v>1763</v>
      </c>
      <c r="F1091" s="2" t="n">
        <v>1</v>
      </c>
      <c r="G1091" s="2" t="n">
        <v>1</v>
      </c>
      <c r="H1091" s="2" t="n">
        <v>1</v>
      </c>
      <c r="I1091" s="2" t="n">
        <v>0</v>
      </c>
    </row>
    <row r="1092">
      <c r="A1092" s="2" t="n">
        <v>1090</v>
      </c>
      <c r="B1092" s="2" t="inlineStr">
        <is>
          <t>truncate</t>
        </is>
      </c>
      <c r="C1092" s="2" t="inlineStr">
        <is>
          <t>browser chrome150</t>
        </is>
      </c>
      <c r="D1092" s="2" t="n">
        <v>643</v>
      </c>
      <c r="E1092" s="2" t="n">
        <v>643</v>
      </c>
      <c r="F1092" s="2" t="n">
        <v>1</v>
      </c>
      <c r="G1092" s="2" t="n">
        <v>1</v>
      </c>
      <c r="H1092" s="2" t="n">
        <v>1</v>
      </c>
      <c r="I1092" s="2" t="n">
        <v>0</v>
      </c>
    </row>
    <row r="1093">
      <c r="A1093" s="2" t="n">
        <v>1091</v>
      </c>
      <c r="B1093" s="2" t="inlineStr">
        <is>
          <t>length</t>
        </is>
      </c>
      <c r="C1093" s="2" t="inlineStr">
        <is>
          <t>openssl 3.5.8 default</t>
        </is>
      </c>
      <c r="D1093" s="2" t="n">
        <v>1548</v>
      </c>
      <c r="E1093" s="2" t="n">
        <v>1548</v>
      </c>
      <c r="F1093" s="2" t="n">
        <v>1</v>
      </c>
      <c r="G1093" s="2" t="n">
        <v>1</v>
      </c>
      <c r="H1093" s="2" t="n">
        <v>1</v>
      </c>
      <c r="I1093" s="2" t="n">
        <v>0</v>
      </c>
    </row>
    <row r="1094">
      <c r="A1094" s="2" t="n">
        <v>1092</v>
      </c>
      <c r="B1094" s="2" t="inlineStr">
        <is>
          <t>insert</t>
        </is>
      </c>
      <c r="C1094" s="2" t="inlineStr">
        <is>
          <t>browser firefox147</t>
        </is>
      </c>
      <c r="D1094" s="2" t="n">
        <v>1906</v>
      </c>
      <c r="E1094" s="2" t="n">
        <v>1906</v>
      </c>
      <c r="F1094" s="2" t="n">
        <v>1</v>
      </c>
      <c r="G1094" s="2" t="n">
        <v>1</v>
      </c>
      <c r="H1094" s="2" t="n">
        <v>0</v>
      </c>
      <c r="I1094" s="2" t="n">
        <v>0</v>
      </c>
    </row>
    <row r="1095">
      <c r="A1095" s="2" t="n">
        <v>1093</v>
      </c>
      <c r="B1095" s="2" t="inlineStr">
        <is>
          <t>flip</t>
        </is>
      </c>
      <c r="C1095" s="2" t="inlineStr">
        <is>
          <t>openssl 3.5.8 default</t>
        </is>
      </c>
      <c r="D1095" s="2" t="n">
        <v>1548</v>
      </c>
      <c r="E1095" s="2" t="n">
        <v>1548</v>
      </c>
      <c r="F1095" s="2" t="n">
        <v>1</v>
      </c>
      <c r="G1095" s="2" t="n">
        <v>1</v>
      </c>
      <c r="H1095" s="2" t="n">
        <v>1</v>
      </c>
      <c r="I1095" s="2" t="n">
        <v>0</v>
      </c>
    </row>
    <row r="1096">
      <c r="A1096" s="2" t="n">
        <v>1094</v>
      </c>
      <c r="B1096" s="2" t="inlineStr">
        <is>
          <t>truncate</t>
        </is>
      </c>
      <c r="C1096" s="2" t="inlineStr">
        <is>
          <t>browser firefox147</t>
        </is>
      </c>
      <c r="D1096" s="2" t="n">
        <v>938</v>
      </c>
      <c r="E1096" s="2" t="n">
        <v>938</v>
      </c>
      <c r="F1096" s="2" t="n">
        <v>1</v>
      </c>
      <c r="G1096" s="2" t="n">
        <v>1</v>
      </c>
      <c r="H1096" s="2" t="n">
        <v>0</v>
      </c>
      <c r="I1096" s="2" t="n">
        <v>0</v>
      </c>
    </row>
    <row r="1097">
      <c r="A1097" s="2" t="n">
        <v>1095</v>
      </c>
      <c r="B1097" s="2" t="inlineStr">
        <is>
          <t>length</t>
        </is>
      </c>
      <c r="C1097" s="2" t="inlineStr">
        <is>
          <t>openssl TLS 1.2 only</t>
        </is>
      </c>
      <c r="D1097" s="2" t="n">
        <v>215</v>
      </c>
      <c r="E1097" s="2" t="n">
        <v>215</v>
      </c>
      <c r="F1097" s="2" t="n">
        <v>1</v>
      </c>
      <c r="G1097" s="2" t="n">
        <v>1</v>
      </c>
      <c r="H1097" s="2" t="n">
        <v>1</v>
      </c>
      <c r="I1097" s="2" t="n">
        <v>0</v>
      </c>
    </row>
    <row r="1098">
      <c r="A1098" s="2" t="n">
        <v>1096</v>
      </c>
      <c r="B1098" s="2" t="inlineStr">
        <is>
          <t>insert</t>
        </is>
      </c>
      <c r="C1098" s="2" t="inlineStr">
        <is>
          <t>openssl X25519 only (classical)</t>
        </is>
      </c>
      <c r="D1098" s="2" t="n">
        <v>322</v>
      </c>
      <c r="E1098" s="2" t="n">
        <v>322</v>
      </c>
      <c r="F1098" s="2" t="n">
        <v>1</v>
      </c>
      <c r="G1098" s="2" t="n">
        <v>1</v>
      </c>
      <c r="H1098" s="2" t="n">
        <v>1</v>
      </c>
      <c r="I1098" s="2" t="n">
        <v>0</v>
      </c>
    </row>
    <row r="1099">
      <c r="A1099" s="2" t="n">
        <v>1097</v>
      </c>
      <c r="B1099" s="2" t="inlineStr">
        <is>
          <t>flip</t>
        </is>
      </c>
      <c r="C1099" s="2" t="inlineStr">
        <is>
          <t>openssl TLS 1.2 only</t>
        </is>
      </c>
      <c r="D1099" s="2" t="n">
        <v>215</v>
      </c>
      <c r="E1099" s="2" t="n">
        <v>215</v>
      </c>
      <c r="F1099" s="2" t="n">
        <v>1</v>
      </c>
      <c r="G1099" s="2" t="n">
        <v>1</v>
      </c>
      <c r="H1099" s="2" t="n">
        <v>1</v>
      </c>
      <c r="I1099" s="2" t="n">
        <v>0</v>
      </c>
    </row>
    <row r="1100">
      <c r="A1100" s="2" t="n">
        <v>1098</v>
      </c>
      <c r="B1100" s="2" t="inlineStr">
        <is>
          <t>truncate</t>
        </is>
      </c>
      <c r="C1100" s="2" t="inlineStr">
        <is>
          <t>openssl TLS 1.2 only</t>
        </is>
      </c>
      <c r="D1100" s="2" t="n">
        <v>28</v>
      </c>
      <c r="E1100" s="2" t="n">
        <v>28</v>
      </c>
      <c r="F1100" s="2" t="n">
        <v>1</v>
      </c>
      <c r="G1100" s="2" t="n">
        <v>0</v>
      </c>
      <c r="H1100" s="2" t="n">
        <v>0</v>
      </c>
      <c r="I1100" s="2" t="n">
        <v>0</v>
      </c>
    </row>
    <row r="1101">
      <c r="A1101" s="2" t="n">
        <v>1099</v>
      </c>
      <c r="B1101" s="2" t="inlineStr">
        <is>
          <t>length</t>
        </is>
      </c>
      <c r="C1101" s="2" t="inlineStr">
        <is>
          <t>browser firefox147</t>
        </is>
      </c>
      <c r="D1101" s="2" t="n">
        <v>1901</v>
      </c>
      <c r="E1101" s="2" t="n">
        <v>1901</v>
      </c>
      <c r="F1101" s="2" t="n">
        <v>1</v>
      </c>
      <c r="G1101" s="2" t="n">
        <v>1</v>
      </c>
      <c r="H1101" s="2" t="n">
        <v>0</v>
      </c>
      <c r="I1101" s="2" t="n">
        <v>0</v>
      </c>
    </row>
    <row r="1102">
      <c r="A1102" s="2" t="n">
        <v>1100</v>
      </c>
      <c r="B1102" s="2" t="inlineStr">
        <is>
          <t>insert</t>
        </is>
      </c>
      <c r="C1102" s="2" t="inlineStr">
        <is>
          <t>browser firefox147</t>
        </is>
      </c>
      <c r="D1102" s="2" t="n">
        <v>1913</v>
      </c>
      <c r="E1102" s="2" t="n">
        <v>1913</v>
      </c>
      <c r="F1102" s="2" t="n">
        <v>1</v>
      </c>
      <c r="G1102" s="2" t="n">
        <v>1</v>
      </c>
      <c r="H1102" s="2" t="n">
        <v>0</v>
      </c>
      <c r="I1102" s="2" t="n">
        <v>0</v>
      </c>
    </row>
    <row r="1103">
      <c r="A1103" s="2" t="n">
        <v>1101</v>
      </c>
      <c r="B1103" s="2" t="inlineStr">
        <is>
          <t>flip</t>
        </is>
      </c>
      <c r="C1103" s="2" t="inlineStr">
        <is>
          <t>openssl X25519 only (classical)</t>
        </is>
      </c>
      <c r="D1103" s="2" t="n">
        <v>314</v>
      </c>
      <c r="E1103" s="2" t="n">
        <v>314</v>
      </c>
      <c r="F1103" s="2" t="n">
        <v>1</v>
      </c>
      <c r="G1103" s="2" t="n">
        <v>1</v>
      </c>
      <c r="H1103" s="2" t="n">
        <v>1</v>
      </c>
      <c r="I1103" s="2" t="n">
        <v>0</v>
      </c>
    </row>
    <row r="1104">
      <c r="A1104" s="2" t="n">
        <v>1102</v>
      </c>
      <c r="B1104" s="2" t="inlineStr">
        <is>
          <t>truncate</t>
        </is>
      </c>
      <c r="C1104" s="2" t="inlineStr">
        <is>
          <t>browser chrome150</t>
        </is>
      </c>
      <c r="D1104" s="2" t="n">
        <v>1740</v>
      </c>
      <c r="E1104" s="2" t="n">
        <v>1740</v>
      </c>
      <c r="F1104" s="2" t="n">
        <v>1</v>
      </c>
      <c r="G1104" s="2" t="n">
        <v>1</v>
      </c>
      <c r="H1104" s="2" t="n">
        <v>1</v>
      </c>
      <c r="I1104" s="2" t="n">
        <v>0</v>
      </c>
    </row>
    <row r="1105">
      <c r="A1105" s="2" t="n">
        <v>1103</v>
      </c>
      <c r="B1105" s="2" t="inlineStr">
        <is>
          <t>length</t>
        </is>
      </c>
      <c r="C1105" s="2" t="inlineStr">
        <is>
          <t>openssl TLS 1.2 only</t>
        </is>
      </c>
      <c r="D1105" s="2" t="n">
        <v>215</v>
      </c>
      <c r="E1105" s="2" t="n">
        <v>215</v>
      </c>
      <c r="F1105" s="2" t="n">
        <v>1</v>
      </c>
      <c r="G1105" s="2" t="n">
        <v>1</v>
      </c>
      <c r="H1105" s="2" t="n">
        <v>0</v>
      </c>
      <c r="I1105" s="2" t="n">
        <v>0</v>
      </c>
    </row>
    <row r="1106">
      <c r="A1106" s="2" t="n">
        <v>1104</v>
      </c>
      <c r="B1106" s="2" t="inlineStr">
        <is>
          <t>insert</t>
        </is>
      </c>
      <c r="C1106" s="2" t="inlineStr">
        <is>
          <t>openssl X25519 only (classical)</t>
        </is>
      </c>
      <c r="D1106" s="2" t="n">
        <v>330</v>
      </c>
      <c r="E1106" s="2" t="n">
        <v>330</v>
      </c>
      <c r="F1106" s="2" t="n">
        <v>1</v>
      </c>
      <c r="G1106" s="2" t="n">
        <v>1</v>
      </c>
      <c r="H1106" s="2" t="n">
        <v>0</v>
      </c>
      <c r="I1106" s="2" t="n">
        <v>0</v>
      </c>
    </row>
    <row r="1107">
      <c r="A1107" s="2" t="n">
        <v>1105</v>
      </c>
      <c r="B1107" s="2" t="inlineStr">
        <is>
          <t>flip</t>
        </is>
      </c>
      <c r="C1107" s="2" t="inlineStr">
        <is>
          <t>openssl X25519 only (classical)</t>
        </is>
      </c>
      <c r="D1107" s="2" t="n">
        <v>314</v>
      </c>
      <c r="E1107" s="2" t="n">
        <v>314</v>
      </c>
      <c r="F1107" s="2" t="n">
        <v>1</v>
      </c>
      <c r="G1107" s="2" t="n">
        <v>1</v>
      </c>
      <c r="H1107" s="2" t="n">
        <v>1</v>
      </c>
      <c r="I1107" s="2" t="n">
        <v>0</v>
      </c>
    </row>
    <row r="1108">
      <c r="A1108" s="2" t="n">
        <v>1106</v>
      </c>
      <c r="B1108" s="2" t="inlineStr">
        <is>
          <t>truncate</t>
        </is>
      </c>
      <c r="C1108" s="2" t="inlineStr">
        <is>
          <t>openssl 3.5.8 default</t>
        </is>
      </c>
      <c r="D1108" s="2" t="n">
        <v>90</v>
      </c>
      <c r="E1108" s="2" t="n">
        <v>90</v>
      </c>
      <c r="F1108" s="2" t="n">
        <v>1</v>
      </c>
      <c r="G1108" s="2" t="n">
        <v>0</v>
      </c>
      <c r="H1108" s="2" t="n">
        <v>0</v>
      </c>
      <c r="I1108" s="2" t="n">
        <v>0</v>
      </c>
    </row>
    <row r="1109">
      <c r="A1109" s="2" t="n">
        <v>1107</v>
      </c>
      <c r="B1109" s="2" t="inlineStr">
        <is>
          <t>length</t>
        </is>
      </c>
      <c r="C1109" s="2" t="inlineStr">
        <is>
          <t>openssl TLS 1.2 only</t>
        </is>
      </c>
      <c r="D1109" s="2" t="n">
        <v>215</v>
      </c>
      <c r="E1109" s="2" t="n">
        <v>215</v>
      </c>
      <c r="F1109" s="2" t="n">
        <v>1</v>
      </c>
      <c r="G1109" s="2" t="n">
        <v>1</v>
      </c>
      <c r="H1109" s="2" t="n">
        <v>0</v>
      </c>
      <c r="I1109" s="2" t="n">
        <v>0</v>
      </c>
    </row>
    <row r="1110">
      <c r="A1110" s="2" t="n">
        <v>1108</v>
      </c>
      <c r="B1110" s="2" t="inlineStr">
        <is>
          <t>insert</t>
        </is>
      </c>
      <c r="C1110" s="2" t="inlineStr">
        <is>
          <t>openssl TLS 1.2 only</t>
        </is>
      </c>
      <c r="D1110" s="2" t="n">
        <v>223</v>
      </c>
      <c r="E1110" s="2" t="n">
        <v>223</v>
      </c>
      <c r="F1110" s="2" t="n">
        <v>1</v>
      </c>
      <c r="G1110" s="2" t="n">
        <v>1</v>
      </c>
      <c r="H1110" s="2" t="n">
        <v>1</v>
      </c>
      <c r="I1110" s="2" t="n">
        <v>0</v>
      </c>
    </row>
    <row r="1111">
      <c r="A1111" s="2" t="n">
        <v>1109</v>
      </c>
      <c r="B1111" s="2" t="inlineStr">
        <is>
          <t>flip</t>
        </is>
      </c>
      <c r="C1111" s="2" t="inlineStr">
        <is>
          <t>browser chrome150</t>
        </is>
      </c>
      <c r="D1111" s="2" t="n">
        <v>1763</v>
      </c>
      <c r="E1111" s="2" t="n">
        <v>1763</v>
      </c>
      <c r="F1111" s="2" t="n">
        <v>1</v>
      </c>
      <c r="G1111" s="2" t="n">
        <v>1</v>
      </c>
      <c r="H1111" s="2" t="n">
        <v>1</v>
      </c>
      <c r="I1111" s="2" t="n">
        <v>0</v>
      </c>
    </row>
    <row r="1112">
      <c r="A1112" s="2" t="n">
        <v>1110</v>
      </c>
      <c r="B1112" s="2" t="inlineStr">
        <is>
          <t>truncate</t>
        </is>
      </c>
      <c r="C1112" s="2" t="inlineStr">
        <is>
          <t>openssl 3.5.8 default</t>
        </is>
      </c>
      <c r="D1112" s="2" t="n">
        <v>803</v>
      </c>
      <c r="E1112" s="2" t="n">
        <v>803</v>
      </c>
      <c r="F1112" s="2" t="n">
        <v>1</v>
      </c>
      <c r="G1112" s="2" t="n">
        <v>1</v>
      </c>
      <c r="H1112" s="2" t="n">
        <v>1</v>
      </c>
      <c r="I1112" s="2" t="n">
        <v>0</v>
      </c>
    </row>
    <row r="1113">
      <c r="A1113" s="2" t="n">
        <v>1111</v>
      </c>
      <c r="B1113" s="2" t="inlineStr">
        <is>
          <t>length</t>
        </is>
      </c>
      <c r="C1113" s="2" t="inlineStr">
        <is>
          <t>browser firefox147</t>
        </is>
      </c>
      <c r="D1113" s="2" t="n">
        <v>1901</v>
      </c>
      <c r="E1113" s="2" t="n">
        <v>1901</v>
      </c>
      <c r="F1113" s="2" t="n">
        <v>1</v>
      </c>
      <c r="G1113" s="2" t="n">
        <v>1</v>
      </c>
      <c r="H1113" s="2" t="n">
        <v>1</v>
      </c>
      <c r="I1113" s="2" t="n">
        <v>0</v>
      </c>
    </row>
    <row r="1114">
      <c r="A1114" s="2" t="n">
        <v>1112</v>
      </c>
      <c r="B1114" s="2" t="inlineStr">
        <is>
          <t>insert</t>
        </is>
      </c>
      <c r="C1114" s="2" t="inlineStr">
        <is>
          <t>browser chrome150</t>
        </is>
      </c>
      <c r="D1114" s="2" t="n">
        <v>1766</v>
      </c>
      <c r="E1114" s="2" t="n">
        <v>1766</v>
      </c>
      <c r="F1114" s="2" t="n">
        <v>1</v>
      </c>
      <c r="G1114" s="2" t="n">
        <v>1</v>
      </c>
      <c r="H1114" s="2" t="n">
        <v>1</v>
      </c>
      <c r="I1114" s="2" t="n">
        <v>0</v>
      </c>
    </row>
    <row r="1115">
      <c r="A1115" s="2" t="n">
        <v>1113</v>
      </c>
      <c r="B1115" s="2" t="inlineStr">
        <is>
          <t>flip</t>
        </is>
      </c>
      <c r="C1115" s="2" t="inlineStr">
        <is>
          <t>openssl TLS 1.2 only</t>
        </is>
      </c>
      <c r="D1115" s="2" t="n">
        <v>215</v>
      </c>
      <c r="E1115" s="2" t="n">
        <v>215</v>
      </c>
      <c r="F1115" s="2" t="n">
        <v>1</v>
      </c>
      <c r="G1115" s="2" t="n">
        <v>1</v>
      </c>
      <c r="H1115" s="2" t="n">
        <v>1</v>
      </c>
      <c r="I1115" s="2" t="n">
        <v>0</v>
      </c>
    </row>
    <row r="1116">
      <c r="A1116" s="2" t="n">
        <v>1114</v>
      </c>
      <c r="B1116" s="2" t="inlineStr">
        <is>
          <t>truncate</t>
        </is>
      </c>
      <c r="C1116" s="2" t="inlineStr">
        <is>
          <t>browser chrome150</t>
        </is>
      </c>
      <c r="D1116" s="2" t="n">
        <v>305</v>
      </c>
      <c r="E1116" s="2" t="n">
        <v>305</v>
      </c>
      <c r="F1116" s="2" t="n">
        <v>1</v>
      </c>
      <c r="G1116" s="2" t="n">
        <v>1</v>
      </c>
      <c r="H1116" s="2" t="n">
        <v>1</v>
      </c>
      <c r="I1116" s="2" t="n">
        <v>0</v>
      </c>
    </row>
    <row r="1117">
      <c r="A1117" s="2" t="n">
        <v>1115</v>
      </c>
      <c r="B1117" s="2" t="inlineStr">
        <is>
          <t>length</t>
        </is>
      </c>
      <c r="C1117" s="2" t="inlineStr">
        <is>
          <t>openssl TLS 1.2 only</t>
        </is>
      </c>
      <c r="D1117" s="2" t="n">
        <v>215</v>
      </c>
      <c r="E1117" s="2" t="n">
        <v>215</v>
      </c>
      <c r="F1117" s="2" t="n">
        <v>1</v>
      </c>
      <c r="G1117" s="2" t="n">
        <v>0</v>
      </c>
      <c r="H1117" s="2" t="n">
        <v>0</v>
      </c>
      <c r="I1117" s="2" t="n">
        <v>0</v>
      </c>
    </row>
    <row r="1118">
      <c r="A1118" s="2" t="n">
        <v>1116</v>
      </c>
      <c r="B1118" s="2" t="inlineStr">
        <is>
          <t>insert</t>
        </is>
      </c>
      <c r="C1118" s="2" t="inlineStr">
        <is>
          <t>openssl 3.5.8 default</t>
        </is>
      </c>
      <c r="D1118" s="2" t="n">
        <v>1555</v>
      </c>
      <c r="E1118" s="2" t="n">
        <v>1555</v>
      </c>
      <c r="F1118" s="2" t="n">
        <v>1</v>
      </c>
      <c r="G1118" s="2" t="n">
        <v>1</v>
      </c>
      <c r="H1118" s="2" t="n">
        <v>1</v>
      </c>
      <c r="I1118" s="2" t="n">
        <v>0</v>
      </c>
    </row>
    <row r="1119">
      <c r="A1119" s="2" t="n">
        <v>1117</v>
      </c>
      <c r="B1119" s="2" t="inlineStr">
        <is>
          <t>flip</t>
        </is>
      </c>
      <c r="C1119" s="2" t="inlineStr">
        <is>
          <t>openssl X25519 only (classical)</t>
        </is>
      </c>
      <c r="D1119" s="2" t="n">
        <v>314</v>
      </c>
      <c r="E1119" s="2" t="n">
        <v>314</v>
      </c>
      <c r="F1119" s="2" t="n">
        <v>1</v>
      </c>
      <c r="G1119" s="2" t="n">
        <v>1</v>
      </c>
      <c r="H1119" s="2" t="n">
        <v>1</v>
      </c>
      <c r="I1119" s="2" t="n">
        <v>0</v>
      </c>
    </row>
    <row r="1120">
      <c r="A1120" s="2" t="n">
        <v>1118</v>
      </c>
      <c r="B1120" s="2" t="inlineStr">
        <is>
          <t>truncate</t>
        </is>
      </c>
      <c r="C1120" s="2" t="inlineStr">
        <is>
          <t>browser chrome150</t>
        </is>
      </c>
      <c r="D1120" s="2" t="n">
        <v>583</v>
      </c>
      <c r="E1120" s="2" t="n">
        <v>583</v>
      </c>
      <c r="F1120" s="2" t="n">
        <v>1</v>
      </c>
      <c r="G1120" s="2" t="n">
        <v>1</v>
      </c>
      <c r="H1120" s="2" t="n">
        <v>1</v>
      </c>
      <c r="I1120" s="2" t="n">
        <v>0</v>
      </c>
    </row>
    <row r="1121">
      <c r="A1121" s="2" t="n">
        <v>1119</v>
      </c>
      <c r="B1121" s="2" t="inlineStr">
        <is>
          <t>length</t>
        </is>
      </c>
      <c r="C1121" s="2" t="inlineStr">
        <is>
          <t>openssl 3.5.8 default</t>
        </is>
      </c>
      <c r="D1121" s="2" t="n">
        <v>1548</v>
      </c>
      <c r="E1121" s="2" t="n">
        <v>1548</v>
      </c>
      <c r="F1121" s="2" t="n">
        <v>1</v>
      </c>
      <c r="G1121" s="2" t="n">
        <v>1</v>
      </c>
      <c r="H1121" s="2" t="n">
        <v>1</v>
      </c>
      <c r="I1121" s="2" t="n">
        <v>0</v>
      </c>
    </row>
    <row r="1122">
      <c r="A1122" s="2" t="n">
        <v>1120</v>
      </c>
      <c r="B1122" s="2" t="inlineStr">
        <is>
          <t>insert</t>
        </is>
      </c>
      <c r="C1122" s="2" t="inlineStr">
        <is>
          <t>openssl X25519 only (classical)</t>
        </is>
      </c>
      <c r="D1122" s="2" t="n">
        <v>319</v>
      </c>
      <c r="E1122" s="2" t="n">
        <v>319</v>
      </c>
      <c r="F1122" s="2" t="n">
        <v>1</v>
      </c>
      <c r="G1122" s="2" t="n">
        <v>1</v>
      </c>
      <c r="H1122" s="2" t="n">
        <v>1</v>
      </c>
      <c r="I1122" s="2" t="n">
        <v>0</v>
      </c>
    </row>
    <row r="1123">
      <c r="A1123" s="2" t="n">
        <v>1121</v>
      </c>
      <c r="B1123" s="2" t="inlineStr">
        <is>
          <t>flip</t>
        </is>
      </c>
      <c r="C1123" s="2" t="inlineStr">
        <is>
          <t>openssl 3.5.8 default</t>
        </is>
      </c>
      <c r="D1123" s="2" t="n">
        <v>1548</v>
      </c>
      <c r="E1123" s="2" t="n">
        <v>1548</v>
      </c>
      <c r="F1123" s="2" t="n">
        <v>1</v>
      </c>
      <c r="G1123" s="2" t="n">
        <v>1</v>
      </c>
      <c r="H1123" s="2" t="n">
        <v>1</v>
      </c>
      <c r="I1123" s="2" t="n">
        <v>0</v>
      </c>
    </row>
    <row r="1124">
      <c r="A1124" s="2" t="n">
        <v>1122</v>
      </c>
      <c r="B1124" s="2" t="inlineStr">
        <is>
          <t>truncate</t>
        </is>
      </c>
      <c r="C1124" s="2" t="inlineStr">
        <is>
          <t>openssl 3.5.8 default</t>
        </is>
      </c>
      <c r="D1124" s="2" t="n">
        <v>902</v>
      </c>
      <c r="E1124" s="2" t="n">
        <v>902</v>
      </c>
      <c r="F1124" s="2" t="n">
        <v>1</v>
      </c>
      <c r="G1124" s="2" t="n">
        <v>1</v>
      </c>
      <c r="H1124" s="2" t="n">
        <v>1</v>
      </c>
      <c r="I1124" s="2" t="n">
        <v>0</v>
      </c>
    </row>
    <row r="1125">
      <c r="A1125" s="2" t="n">
        <v>1123</v>
      </c>
      <c r="B1125" s="2" t="inlineStr">
        <is>
          <t>length</t>
        </is>
      </c>
      <c r="C1125" s="2" t="inlineStr">
        <is>
          <t>openssl TLS 1.2 only</t>
        </is>
      </c>
      <c r="D1125" s="2" t="n">
        <v>215</v>
      </c>
      <c r="E1125" s="2" t="n">
        <v>215</v>
      </c>
      <c r="F1125" s="2" t="n">
        <v>1</v>
      </c>
      <c r="G1125" s="2" t="n">
        <v>0</v>
      </c>
      <c r="H1125" s="2" t="n">
        <v>0</v>
      </c>
      <c r="I1125" s="2" t="n">
        <v>0</v>
      </c>
    </row>
    <row r="1126">
      <c r="A1126" s="2" t="n">
        <v>1124</v>
      </c>
      <c r="B1126" s="2" t="inlineStr">
        <is>
          <t>insert</t>
        </is>
      </c>
      <c r="C1126" s="2" t="inlineStr">
        <is>
          <t>openssl TLS 1.2 only</t>
        </is>
      </c>
      <c r="D1126" s="2" t="n">
        <v>220</v>
      </c>
      <c r="E1126" s="2" t="n">
        <v>220</v>
      </c>
      <c r="F1126" s="2" t="n">
        <v>1</v>
      </c>
      <c r="G1126" s="2" t="n">
        <v>1</v>
      </c>
      <c r="H1126" s="2" t="n">
        <v>1</v>
      </c>
      <c r="I1126" s="2" t="n">
        <v>0</v>
      </c>
    </row>
    <row r="1127">
      <c r="A1127" s="2" t="n">
        <v>1125</v>
      </c>
      <c r="B1127" s="2" t="inlineStr">
        <is>
          <t>flip</t>
        </is>
      </c>
      <c r="C1127" s="2" t="inlineStr">
        <is>
          <t>browser firefox147</t>
        </is>
      </c>
      <c r="D1127" s="2" t="n">
        <v>1901</v>
      </c>
      <c r="E1127" s="2" t="n">
        <v>1901</v>
      </c>
      <c r="F1127" s="2" t="n">
        <v>1</v>
      </c>
      <c r="G1127" s="2" t="n">
        <v>1</v>
      </c>
      <c r="H1127" s="2" t="n">
        <v>0</v>
      </c>
      <c r="I1127" s="2" t="n">
        <v>0</v>
      </c>
    </row>
    <row r="1128">
      <c r="A1128" s="2" t="n">
        <v>1126</v>
      </c>
      <c r="B1128" s="2" t="inlineStr">
        <is>
          <t>truncate</t>
        </is>
      </c>
      <c r="C1128" s="2" t="inlineStr">
        <is>
          <t>browser chrome150</t>
        </is>
      </c>
      <c r="D1128" s="2" t="n">
        <v>1007</v>
      </c>
      <c r="E1128" s="2" t="n">
        <v>1007</v>
      </c>
      <c r="F1128" s="2" t="n">
        <v>1</v>
      </c>
      <c r="G1128" s="2" t="n">
        <v>1</v>
      </c>
      <c r="H1128" s="2" t="n">
        <v>1</v>
      </c>
      <c r="I1128" s="2" t="n">
        <v>0</v>
      </c>
    </row>
    <row r="1129">
      <c r="A1129" s="2" t="n">
        <v>1127</v>
      </c>
      <c r="B1129" s="2" t="inlineStr">
        <is>
          <t>length</t>
        </is>
      </c>
      <c r="C1129" s="2" t="inlineStr">
        <is>
          <t>openssl 3.5.8 default</t>
        </is>
      </c>
      <c r="D1129" s="2" t="n">
        <v>1548</v>
      </c>
      <c r="E1129" s="2" t="n">
        <v>1548</v>
      </c>
      <c r="F1129" s="2" t="n">
        <v>1</v>
      </c>
      <c r="G1129" s="2" t="n">
        <v>0</v>
      </c>
      <c r="H1129" s="2" t="n">
        <v>0</v>
      </c>
      <c r="I1129" s="2" t="n">
        <v>0</v>
      </c>
    </row>
    <row r="1130">
      <c r="A1130" s="2" t="n">
        <v>1128</v>
      </c>
      <c r="B1130" s="2" t="inlineStr">
        <is>
          <t>insert</t>
        </is>
      </c>
      <c r="C1130" s="2" t="inlineStr">
        <is>
          <t>openssl TLS 1.2 only</t>
        </is>
      </c>
      <c r="D1130" s="2" t="n">
        <v>220</v>
      </c>
      <c r="E1130" s="2" t="n">
        <v>220</v>
      </c>
      <c r="F1130" s="2" t="n">
        <v>1</v>
      </c>
      <c r="G1130" s="2" t="n">
        <v>1</v>
      </c>
      <c r="H1130" s="2" t="n">
        <v>1</v>
      </c>
      <c r="I1130" s="2" t="n">
        <v>0</v>
      </c>
    </row>
    <row r="1131">
      <c r="A1131" s="2" t="n">
        <v>1129</v>
      </c>
      <c r="B1131" s="2" t="inlineStr">
        <is>
          <t>flip</t>
        </is>
      </c>
      <c r="C1131" s="2" t="inlineStr">
        <is>
          <t>browser chrome150</t>
        </is>
      </c>
      <c r="D1131" s="2" t="n">
        <v>1763</v>
      </c>
      <c r="E1131" s="2" t="n">
        <v>1763</v>
      </c>
      <c r="F1131" s="2" t="n">
        <v>0</v>
      </c>
      <c r="G1131" s="2" t="n">
        <v>0</v>
      </c>
      <c r="H1131" s="2" t="n">
        <v>0</v>
      </c>
      <c r="I1131" s="2" t="n">
        <v>0</v>
      </c>
    </row>
    <row r="1132">
      <c r="A1132" s="2" t="n">
        <v>1130</v>
      </c>
      <c r="B1132" s="2" t="inlineStr">
        <is>
          <t>truncate</t>
        </is>
      </c>
      <c r="C1132" s="2" t="inlineStr">
        <is>
          <t>openssl X25519 only (classical)</t>
        </is>
      </c>
      <c r="D1132" s="2" t="n">
        <v>18</v>
      </c>
      <c r="E1132" s="2" t="n">
        <v>18</v>
      </c>
      <c r="F1132" s="2" t="n">
        <v>1</v>
      </c>
      <c r="G1132" s="2" t="n">
        <v>0</v>
      </c>
      <c r="H1132" s="2" t="n">
        <v>0</v>
      </c>
      <c r="I1132" s="2" t="n">
        <v>0</v>
      </c>
    </row>
    <row r="1133">
      <c r="A1133" s="2" t="n">
        <v>1131</v>
      </c>
      <c r="B1133" s="2" t="inlineStr">
        <is>
          <t>length</t>
        </is>
      </c>
      <c r="C1133" s="2" t="inlineStr">
        <is>
          <t>openssl X25519 only (classical)</t>
        </is>
      </c>
      <c r="D1133" s="2" t="n">
        <v>314</v>
      </c>
      <c r="E1133" s="2" t="n">
        <v>314</v>
      </c>
      <c r="F1133" s="2" t="n">
        <v>1</v>
      </c>
      <c r="G1133" s="2" t="n">
        <v>1</v>
      </c>
      <c r="H1133" s="2" t="n">
        <v>1</v>
      </c>
      <c r="I1133" s="2" t="n">
        <v>0</v>
      </c>
    </row>
    <row r="1134">
      <c r="A1134" s="2" t="n">
        <v>1132</v>
      </c>
      <c r="B1134" s="2" t="inlineStr">
        <is>
          <t>insert</t>
        </is>
      </c>
      <c r="C1134" s="2" t="inlineStr">
        <is>
          <t>openssl TLS 1.2 only</t>
        </is>
      </c>
      <c r="D1134" s="2" t="n">
        <v>231</v>
      </c>
      <c r="E1134" s="2" t="n">
        <v>231</v>
      </c>
      <c r="F1134" s="2" t="n">
        <v>1</v>
      </c>
      <c r="G1134" s="2" t="n">
        <v>1</v>
      </c>
      <c r="H1134" s="2" t="n">
        <v>1</v>
      </c>
      <c r="I1134" s="2" t="n">
        <v>0</v>
      </c>
    </row>
    <row r="1135">
      <c r="A1135" s="2" t="n">
        <v>1133</v>
      </c>
      <c r="B1135" s="2" t="inlineStr">
        <is>
          <t>flip</t>
        </is>
      </c>
      <c r="C1135" s="2" t="inlineStr">
        <is>
          <t>openssl 3.5.8 default</t>
        </is>
      </c>
      <c r="D1135" s="2" t="n">
        <v>1548</v>
      </c>
      <c r="E1135" s="2" t="n">
        <v>1548</v>
      </c>
      <c r="F1135" s="2" t="n">
        <v>1</v>
      </c>
      <c r="G1135" s="2" t="n">
        <v>1</v>
      </c>
      <c r="H1135" s="2" t="n">
        <v>1</v>
      </c>
      <c r="I1135" s="2" t="n">
        <v>0</v>
      </c>
    </row>
    <row r="1136">
      <c r="A1136" s="2" t="n">
        <v>1134</v>
      </c>
      <c r="B1136" s="2" t="inlineStr">
        <is>
          <t>truncate</t>
        </is>
      </c>
      <c r="C1136" s="2" t="inlineStr">
        <is>
          <t>browser firefox147</t>
        </is>
      </c>
      <c r="D1136" s="2" t="n">
        <v>1203</v>
      </c>
      <c r="E1136" s="2" t="n">
        <v>1203</v>
      </c>
      <c r="F1136" s="2" t="n">
        <v>1</v>
      </c>
      <c r="G1136" s="2" t="n">
        <v>1</v>
      </c>
      <c r="H1136" s="2" t="n">
        <v>0</v>
      </c>
      <c r="I1136" s="2" t="n">
        <v>0</v>
      </c>
    </row>
    <row r="1137">
      <c r="A1137" s="2" t="n">
        <v>1135</v>
      </c>
      <c r="B1137" s="2" t="inlineStr">
        <is>
          <t>length</t>
        </is>
      </c>
      <c r="C1137" s="2" t="inlineStr">
        <is>
          <t>openssl X25519 only (classical)</t>
        </is>
      </c>
      <c r="D1137" s="2" t="n">
        <v>314</v>
      </c>
      <c r="E1137" s="2" t="n">
        <v>314</v>
      </c>
      <c r="F1137" s="2" t="n">
        <v>0</v>
      </c>
      <c r="G1137" s="2" t="n">
        <v>0</v>
      </c>
      <c r="H1137" s="2" t="n">
        <v>0</v>
      </c>
      <c r="I1137" s="2" t="n">
        <v>0</v>
      </c>
    </row>
    <row r="1138">
      <c r="A1138" s="2" t="n">
        <v>1136</v>
      </c>
      <c r="B1138" s="2" t="inlineStr">
        <is>
          <t>insert</t>
        </is>
      </c>
      <c r="C1138" s="2" t="inlineStr">
        <is>
          <t>openssl X25519 only (classical)</t>
        </is>
      </c>
      <c r="D1138" s="2" t="n">
        <v>326</v>
      </c>
      <c r="E1138" s="2" t="n">
        <v>326</v>
      </c>
      <c r="F1138" s="2" t="n">
        <v>1</v>
      </c>
      <c r="G1138" s="2" t="n">
        <v>1</v>
      </c>
      <c r="H1138" s="2" t="n">
        <v>1</v>
      </c>
      <c r="I1138" s="2" t="n">
        <v>0</v>
      </c>
    </row>
    <row r="1139">
      <c r="A1139" s="2" t="n">
        <v>1137</v>
      </c>
      <c r="B1139" s="2" t="inlineStr">
        <is>
          <t>flip</t>
        </is>
      </c>
      <c r="C1139" s="2" t="inlineStr">
        <is>
          <t>browser firefox147</t>
        </is>
      </c>
      <c r="D1139" s="2" t="n">
        <v>1901</v>
      </c>
      <c r="E1139" s="2" t="n">
        <v>1901</v>
      </c>
      <c r="F1139" s="2" t="n">
        <v>1</v>
      </c>
      <c r="G1139" s="2" t="n">
        <v>1</v>
      </c>
      <c r="H1139" s="2" t="n">
        <v>0</v>
      </c>
      <c r="I1139" s="2" t="n">
        <v>0</v>
      </c>
    </row>
    <row r="1140">
      <c r="A1140" s="2" t="n">
        <v>1138</v>
      </c>
      <c r="B1140" s="2" t="inlineStr">
        <is>
          <t>truncate</t>
        </is>
      </c>
      <c r="C1140" s="2" t="inlineStr">
        <is>
          <t>openssl 3.5.8 default</t>
        </is>
      </c>
      <c r="D1140" s="2" t="n">
        <v>1466</v>
      </c>
      <c r="E1140" s="2" t="n">
        <v>1466</v>
      </c>
      <c r="F1140" s="2" t="n">
        <v>1</v>
      </c>
      <c r="G1140" s="2" t="n">
        <v>1</v>
      </c>
      <c r="H1140" s="2" t="n">
        <v>1</v>
      </c>
      <c r="I1140" s="2" t="n">
        <v>0</v>
      </c>
    </row>
    <row r="1141">
      <c r="A1141" s="2" t="n">
        <v>1139</v>
      </c>
      <c r="B1141" s="2" t="inlineStr">
        <is>
          <t>length</t>
        </is>
      </c>
      <c r="C1141" s="2" t="inlineStr">
        <is>
          <t>browser chrome150</t>
        </is>
      </c>
      <c r="D1141" s="2" t="n">
        <v>1763</v>
      </c>
      <c r="E1141" s="2" t="n">
        <v>1763</v>
      </c>
      <c r="F1141" s="2" t="n">
        <v>1</v>
      </c>
      <c r="G1141" s="2" t="n">
        <v>0</v>
      </c>
      <c r="H1141" s="2" t="n">
        <v>0</v>
      </c>
      <c r="I1141" s="2" t="n">
        <v>0</v>
      </c>
    </row>
    <row r="1142">
      <c r="A1142" s="2" t="n">
        <v>1140</v>
      </c>
      <c r="B1142" s="2" t="inlineStr">
        <is>
          <t>insert</t>
        </is>
      </c>
      <c r="C1142" s="2" t="inlineStr">
        <is>
          <t>openssl 3.5.8 default</t>
        </is>
      </c>
      <c r="D1142" s="2" t="n">
        <v>1562</v>
      </c>
      <c r="E1142" s="2" t="n">
        <v>1562</v>
      </c>
      <c r="F1142" s="2" t="n">
        <v>1</v>
      </c>
      <c r="G1142" s="2" t="n">
        <v>1</v>
      </c>
      <c r="H1142" s="2" t="n">
        <v>1</v>
      </c>
      <c r="I1142" s="2" t="n">
        <v>0</v>
      </c>
    </row>
    <row r="1143">
      <c r="A1143" s="2" t="n">
        <v>1141</v>
      </c>
      <c r="B1143" s="2" t="inlineStr">
        <is>
          <t>flip</t>
        </is>
      </c>
      <c r="C1143" s="2" t="inlineStr">
        <is>
          <t>openssl 3.5.8 default</t>
        </is>
      </c>
      <c r="D1143" s="2" t="n">
        <v>1548</v>
      </c>
      <c r="E1143" s="2" t="n">
        <v>1548</v>
      </c>
      <c r="F1143" s="2" t="n">
        <v>1</v>
      </c>
      <c r="G1143" s="2" t="n">
        <v>1</v>
      </c>
      <c r="H1143" s="2" t="n">
        <v>1</v>
      </c>
      <c r="I1143" s="2" t="n">
        <v>0</v>
      </c>
    </row>
    <row r="1144">
      <c r="A1144" s="2" t="n">
        <v>1142</v>
      </c>
      <c r="B1144" s="2" t="inlineStr">
        <is>
          <t>truncate</t>
        </is>
      </c>
      <c r="C1144" s="2" t="inlineStr">
        <is>
          <t>openssl X25519 only (classical)</t>
        </is>
      </c>
      <c r="D1144" s="2" t="n">
        <v>185</v>
      </c>
      <c r="E1144" s="2" t="n">
        <v>185</v>
      </c>
      <c r="F1144" s="2" t="n">
        <v>1</v>
      </c>
      <c r="G1144" s="2" t="n">
        <v>1</v>
      </c>
      <c r="H1144" s="2" t="n">
        <v>0</v>
      </c>
      <c r="I1144" s="2" t="n">
        <v>0</v>
      </c>
    </row>
    <row r="1145">
      <c r="A1145" s="2" t="n">
        <v>1143</v>
      </c>
      <c r="B1145" s="2" t="inlineStr">
        <is>
          <t>length</t>
        </is>
      </c>
      <c r="C1145" s="2" t="inlineStr">
        <is>
          <t>browser chrome150</t>
        </is>
      </c>
      <c r="D1145" s="2" t="n">
        <v>1763</v>
      </c>
      <c r="E1145" s="2" t="n">
        <v>1763</v>
      </c>
      <c r="F1145" s="2" t="n">
        <v>1</v>
      </c>
      <c r="G1145" s="2" t="n">
        <v>1</v>
      </c>
      <c r="H1145" s="2" t="n">
        <v>1</v>
      </c>
      <c r="I1145" s="2" t="n">
        <v>0</v>
      </c>
    </row>
    <row r="1146">
      <c r="A1146" s="2" t="n">
        <v>1144</v>
      </c>
      <c r="B1146" s="2" t="inlineStr">
        <is>
          <t>insert</t>
        </is>
      </c>
      <c r="C1146" s="2" t="inlineStr">
        <is>
          <t>browser firefox147</t>
        </is>
      </c>
      <c r="D1146" s="2" t="n">
        <v>1906</v>
      </c>
      <c r="E1146" s="2" t="n">
        <v>1906</v>
      </c>
      <c r="F1146" s="2" t="n">
        <v>1</v>
      </c>
      <c r="G1146" s="2" t="n">
        <v>1</v>
      </c>
      <c r="H1146" s="2" t="n">
        <v>0</v>
      </c>
      <c r="I1146" s="2" t="n">
        <v>0</v>
      </c>
    </row>
    <row r="1147">
      <c r="A1147" s="2" t="n">
        <v>1145</v>
      </c>
      <c r="B1147" s="2" t="inlineStr">
        <is>
          <t>flip</t>
        </is>
      </c>
      <c r="C1147" s="2" t="inlineStr">
        <is>
          <t>openssl TLS 1.2 only</t>
        </is>
      </c>
      <c r="D1147" s="2" t="n">
        <v>215</v>
      </c>
      <c r="E1147" s="2" t="n">
        <v>215</v>
      </c>
      <c r="F1147" s="2" t="n">
        <v>1</v>
      </c>
      <c r="G1147" s="2" t="n">
        <v>1</v>
      </c>
      <c r="H1147" s="2" t="n">
        <v>1</v>
      </c>
      <c r="I1147" s="2" t="n">
        <v>0</v>
      </c>
    </row>
    <row r="1148">
      <c r="A1148" s="2" t="n">
        <v>1146</v>
      </c>
      <c r="B1148" s="2" t="inlineStr">
        <is>
          <t>truncate</t>
        </is>
      </c>
      <c r="C1148" s="2" t="inlineStr">
        <is>
          <t>openssl 3.5.8 default</t>
        </is>
      </c>
      <c r="D1148" s="2" t="n">
        <v>418</v>
      </c>
      <c r="E1148" s="2" t="n">
        <v>418</v>
      </c>
      <c r="F1148" s="2" t="n">
        <v>1</v>
      </c>
      <c r="G1148" s="2" t="n">
        <v>1</v>
      </c>
      <c r="H1148" s="2" t="n">
        <v>1</v>
      </c>
      <c r="I1148" s="2" t="n">
        <v>0</v>
      </c>
    </row>
    <row r="1149">
      <c r="A1149" s="2" t="n">
        <v>1147</v>
      </c>
      <c r="B1149" s="2" t="inlineStr">
        <is>
          <t>length</t>
        </is>
      </c>
      <c r="C1149" s="2" t="inlineStr">
        <is>
          <t>openssl TLS 1.2 only</t>
        </is>
      </c>
      <c r="D1149" s="2" t="n">
        <v>215</v>
      </c>
      <c r="E1149" s="2" t="n">
        <v>215</v>
      </c>
      <c r="F1149" s="2" t="n">
        <v>1</v>
      </c>
      <c r="G1149" s="2" t="n">
        <v>1</v>
      </c>
      <c r="H1149" s="2" t="n">
        <v>1</v>
      </c>
      <c r="I1149" s="2" t="n">
        <v>0</v>
      </c>
    </row>
    <row r="1150">
      <c r="A1150" s="2" t="n">
        <v>1148</v>
      </c>
      <c r="B1150" s="2" t="inlineStr">
        <is>
          <t>insert</t>
        </is>
      </c>
      <c r="C1150" s="2" t="inlineStr">
        <is>
          <t>openssl X25519 only (classical)</t>
        </is>
      </c>
      <c r="D1150" s="2" t="n">
        <v>329</v>
      </c>
      <c r="E1150" s="2" t="n">
        <v>329</v>
      </c>
      <c r="F1150" s="2" t="n">
        <v>1</v>
      </c>
      <c r="G1150" s="2" t="n">
        <v>0</v>
      </c>
      <c r="H1150" s="2" t="n">
        <v>0</v>
      </c>
      <c r="I1150" s="2" t="n">
        <v>0</v>
      </c>
    </row>
    <row r="1151">
      <c r="A1151" s="2" t="n">
        <v>1149</v>
      </c>
      <c r="B1151" s="2" t="inlineStr">
        <is>
          <t>flip</t>
        </is>
      </c>
      <c r="C1151" s="2" t="inlineStr">
        <is>
          <t>openssl 3.5.8 default</t>
        </is>
      </c>
      <c r="D1151" s="2" t="n">
        <v>1548</v>
      </c>
      <c r="E1151" s="2" t="n">
        <v>1548</v>
      </c>
      <c r="F1151" s="2" t="n">
        <v>1</v>
      </c>
      <c r="G1151" s="2" t="n">
        <v>1</v>
      </c>
      <c r="H1151" s="2" t="n">
        <v>1</v>
      </c>
      <c r="I1151" s="2" t="n">
        <v>0</v>
      </c>
    </row>
    <row r="1152">
      <c r="A1152" s="2" t="n">
        <v>1150</v>
      </c>
      <c r="B1152" s="2" t="inlineStr">
        <is>
          <t>truncate</t>
        </is>
      </c>
      <c r="C1152" s="2" t="inlineStr">
        <is>
          <t>openssl 3.5.8 default</t>
        </is>
      </c>
      <c r="D1152" s="2" t="n">
        <v>249</v>
      </c>
      <c r="E1152" s="2" t="n">
        <v>249</v>
      </c>
      <c r="F1152" s="2" t="n">
        <v>1</v>
      </c>
      <c r="G1152" s="2" t="n">
        <v>1</v>
      </c>
      <c r="H1152" s="2" t="n">
        <v>0</v>
      </c>
      <c r="I1152" s="2" t="n">
        <v>0</v>
      </c>
    </row>
    <row r="1153">
      <c r="A1153" s="2" t="n">
        <v>1151</v>
      </c>
      <c r="B1153" s="2" t="inlineStr">
        <is>
          <t>length</t>
        </is>
      </c>
      <c r="C1153" s="2" t="inlineStr">
        <is>
          <t>browser chrome150</t>
        </is>
      </c>
      <c r="D1153" s="2" t="n">
        <v>1763</v>
      </c>
      <c r="E1153" s="2" t="n">
        <v>1763</v>
      </c>
      <c r="F1153" s="2" t="n">
        <v>1</v>
      </c>
      <c r="G1153" s="2" t="n">
        <v>1</v>
      </c>
      <c r="H1153" s="2" t="n">
        <v>1</v>
      </c>
      <c r="I1153" s="2" t="n">
        <v>0</v>
      </c>
    </row>
    <row r="1154">
      <c r="A1154" s="2" t="n">
        <v>1152</v>
      </c>
      <c r="B1154" s="2" t="inlineStr">
        <is>
          <t>insert</t>
        </is>
      </c>
      <c r="C1154" s="2" t="inlineStr">
        <is>
          <t>browser firefox147</t>
        </is>
      </c>
      <c r="D1154" s="2" t="n">
        <v>1914</v>
      </c>
      <c r="E1154" s="2" t="n">
        <v>1914</v>
      </c>
      <c r="F1154" s="2" t="n">
        <v>1</v>
      </c>
      <c r="G1154" s="2" t="n">
        <v>1</v>
      </c>
      <c r="H1154" s="2" t="n">
        <v>1</v>
      </c>
      <c r="I1154" s="2" t="n">
        <v>0</v>
      </c>
    </row>
    <row r="1155">
      <c r="A1155" s="2" t="n">
        <v>1153</v>
      </c>
      <c r="B1155" s="2" t="inlineStr">
        <is>
          <t>flip</t>
        </is>
      </c>
      <c r="C1155" s="2" t="inlineStr">
        <is>
          <t>openssl TLS 1.2 only</t>
        </is>
      </c>
      <c r="D1155" s="2" t="n">
        <v>215</v>
      </c>
      <c r="E1155" s="2" t="n">
        <v>215</v>
      </c>
      <c r="F1155" s="2" t="n">
        <v>1</v>
      </c>
      <c r="G1155" s="2" t="n">
        <v>1</v>
      </c>
      <c r="H1155" s="2" t="n">
        <v>1</v>
      </c>
      <c r="I1155" s="2" t="n">
        <v>0</v>
      </c>
    </row>
    <row r="1156">
      <c r="A1156" s="2" t="n">
        <v>1154</v>
      </c>
      <c r="B1156" s="2" t="inlineStr">
        <is>
          <t>truncate</t>
        </is>
      </c>
      <c r="C1156" s="2" t="inlineStr">
        <is>
          <t>openssl TLS 1.2 only</t>
        </is>
      </c>
      <c r="D1156" s="2" t="n">
        <v>65</v>
      </c>
      <c r="E1156" s="2" t="n">
        <v>65</v>
      </c>
      <c r="F1156" s="2" t="n">
        <v>1</v>
      </c>
      <c r="G1156" s="2" t="n">
        <v>0</v>
      </c>
      <c r="H1156" s="2" t="n">
        <v>0</v>
      </c>
      <c r="I1156" s="2" t="n">
        <v>0</v>
      </c>
    </row>
    <row r="1157">
      <c r="A1157" s="2" t="n">
        <v>1155</v>
      </c>
      <c r="B1157" s="2" t="inlineStr">
        <is>
          <t>length</t>
        </is>
      </c>
      <c r="C1157" s="2" t="inlineStr">
        <is>
          <t>browser firefox147</t>
        </is>
      </c>
      <c r="D1157" s="2" t="n">
        <v>1901</v>
      </c>
      <c r="E1157" s="2" t="n">
        <v>1901</v>
      </c>
      <c r="F1157" s="2" t="n">
        <v>1</v>
      </c>
      <c r="G1157" s="2" t="n">
        <v>1</v>
      </c>
      <c r="H1157" s="2" t="n">
        <v>1</v>
      </c>
      <c r="I1157" s="2" t="n">
        <v>0</v>
      </c>
    </row>
    <row r="1158">
      <c r="A1158" s="2" t="n">
        <v>1156</v>
      </c>
      <c r="B1158" s="2" t="inlineStr">
        <is>
          <t>insert</t>
        </is>
      </c>
      <c r="C1158" s="2" t="inlineStr">
        <is>
          <t>browser chrome150</t>
        </is>
      </c>
      <c r="D1158" s="2" t="n">
        <v>1776</v>
      </c>
      <c r="E1158" s="2" t="n">
        <v>1776</v>
      </c>
      <c r="F1158" s="2" t="n">
        <v>1</v>
      </c>
      <c r="G1158" s="2" t="n">
        <v>1</v>
      </c>
      <c r="H1158" s="2" t="n">
        <v>1</v>
      </c>
      <c r="I1158" s="2" t="n">
        <v>0</v>
      </c>
    </row>
    <row r="1159">
      <c r="A1159" s="2" t="n">
        <v>1157</v>
      </c>
      <c r="B1159" s="2" t="inlineStr">
        <is>
          <t>flip</t>
        </is>
      </c>
      <c r="C1159" s="2" t="inlineStr">
        <is>
          <t>openssl X25519 only (classical)</t>
        </is>
      </c>
      <c r="D1159" s="2" t="n">
        <v>314</v>
      </c>
      <c r="E1159" s="2" t="n">
        <v>314</v>
      </c>
      <c r="F1159" s="2" t="n">
        <v>1</v>
      </c>
      <c r="G1159" s="2" t="n">
        <v>1</v>
      </c>
      <c r="H1159" s="2" t="n">
        <v>1</v>
      </c>
      <c r="I1159" s="2" t="n">
        <v>0</v>
      </c>
    </row>
    <row r="1160">
      <c r="A1160" s="2" t="n">
        <v>1158</v>
      </c>
      <c r="B1160" s="2" t="inlineStr">
        <is>
          <t>truncate</t>
        </is>
      </c>
      <c r="C1160" s="2" t="inlineStr">
        <is>
          <t>browser chrome150</t>
        </is>
      </c>
      <c r="D1160" s="2" t="n">
        <v>1252</v>
      </c>
      <c r="E1160" s="2" t="n">
        <v>1252</v>
      </c>
      <c r="F1160" s="2" t="n">
        <v>1</v>
      </c>
      <c r="G1160" s="2" t="n">
        <v>1</v>
      </c>
      <c r="H1160" s="2" t="n">
        <v>1</v>
      </c>
      <c r="I1160" s="2" t="n">
        <v>0</v>
      </c>
    </row>
    <row r="1161">
      <c r="A1161" s="2" t="n">
        <v>1159</v>
      </c>
      <c r="B1161" s="2" t="inlineStr">
        <is>
          <t>length</t>
        </is>
      </c>
      <c r="C1161" s="2" t="inlineStr">
        <is>
          <t>openssl TLS 1.2 only</t>
        </is>
      </c>
      <c r="D1161" s="2" t="n">
        <v>215</v>
      </c>
      <c r="E1161" s="2" t="n">
        <v>215</v>
      </c>
      <c r="F1161" s="2" t="n">
        <v>1</v>
      </c>
      <c r="G1161" s="2" t="n">
        <v>1</v>
      </c>
      <c r="H1161" s="2" t="n">
        <v>1</v>
      </c>
      <c r="I1161" s="2" t="n">
        <v>0</v>
      </c>
    </row>
    <row r="1162">
      <c r="A1162" s="2" t="n">
        <v>1160</v>
      </c>
      <c r="B1162" s="2" t="inlineStr">
        <is>
          <t>insert</t>
        </is>
      </c>
      <c r="C1162" s="2" t="inlineStr">
        <is>
          <t>browser chrome150</t>
        </is>
      </c>
      <c r="D1162" s="2" t="n">
        <v>1771</v>
      </c>
      <c r="E1162" s="2" t="n">
        <v>1771</v>
      </c>
      <c r="F1162" s="2" t="n">
        <v>1</v>
      </c>
      <c r="G1162" s="2" t="n">
        <v>1</v>
      </c>
      <c r="H1162" s="2" t="n">
        <v>1</v>
      </c>
      <c r="I1162" s="2" t="n">
        <v>0</v>
      </c>
    </row>
    <row r="1163">
      <c r="A1163" s="2" t="n">
        <v>1161</v>
      </c>
      <c r="B1163" s="2" t="inlineStr">
        <is>
          <t>flip</t>
        </is>
      </c>
      <c r="C1163" s="2" t="inlineStr">
        <is>
          <t>browser chrome150</t>
        </is>
      </c>
      <c r="D1163" s="2" t="n">
        <v>1763</v>
      </c>
      <c r="E1163" s="2" t="n">
        <v>1763</v>
      </c>
      <c r="F1163" s="2" t="n">
        <v>1</v>
      </c>
      <c r="G1163" s="2" t="n">
        <v>1</v>
      </c>
      <c r="H1163" s="2" t="n">
        <v>1</v>
      </c>
      <c r="I1163" s="2" t="n">
        <v>0</v>
      </c>
    </row>
    <row r="1164">
      <c r="A1164" s="2" t="n">
        <v>1162</v>
      </c>
      <c r="B1164" s="2" t="inlineStr">
        <is>
          <t>truncate</t>
        </is>
      </c>
      <c r="C1164" s="2" t="inlineStr">
        <is>
          <t>browser firefox147</t>
        </is>
      </c>
      <c r="D1164" s="2" t="n">
        <v>303</v>
      </c>
      <c r="E1164" s="2" t="n">
        <v>303</v>
      </c>
      <c r="F1164" s="2" t="n">
        <v>1</v>
      </c>
      <c r="G1164" s="2" t="n">
        <v>1</v>
      </c>
      <c r="H1164" s="2" t="n">
        <v>0</v>
      </c>
      <c r="I1164" s="2" t="n">
        <v>0</v>
      </c>
    </row>
    <row r="1165">
      <c r="A1165" s="2" t="n">
        <v>1163</v>
      </c>
      <c r="B1165" s="2" t="inlineStr">
        <is>
          <t>length</t>
        </is>
      </c>
      <c r="C1165" s="2" t="inlineStr">
        <is>
          <t>browser firefox147</t>
        </is>
      </c>
      <c r="D1165" s="2" t="n">
        <v>1901</v>
      </c>
      <c r="E1165" s="2" t="n">
        <v>1901</v>
      </c>
      <c r="F1165" s="2" t="n">
        <v>1</v>
      </c>
      <c r="G1165" s="2" t="n">
        <v>1</v>
      </c>
      <c r="H1165" s="2" t="n">
        <v>0</v>
      </c>
      <c r="I1165" s="2" t="n">
        <v>0</v>
      </c>
    </row>
    <row r="1166">
      <c r="A1166" s="2" t="n">
        <v>1164</v>
      </c>
      <c r="B1166" s="2" t="inlineStr">
        <is>
          <t>insert</t>
        </is>
      </c>
      <c r="C1166" s="2" t="inlineStr">
        <is>
          <t>openssl 3.5.8 default</t>
        </is>
      </c>
      <c r="D1166" s="2" t="n">
        <v>1550</v>
      </c>
      <c r="E1166" s="2" t="n">
        <v>1550</v>
      </c>
      <c r="F1166" s="2" t="n">
        <v>1</v>
      </c>
      <c r="G1166" s="2" t="n">
        <v>1</v>
      </c>
      <c r="H1166" s="2" t="n">
        <v>1</v>
      </c>
      <c r="I1166" s="2" t="n">
        <v>0</v>
      </c>
    </row>
    <row r="1167">
      <c r="A1167" s="2" t="n">
        <v>1165</v>
      </c>
      <c r="B1167" s="2" t="inlineStr">
        <is>
          <t>flip</t>
        </is>
      </c>
      <c r="C1167" s="2" t="inlineStr">
        <is>
          <t>browser firefox147</t>
        </is>
      </c>
      <c r="D1167" s="2" t="n">
        <v>1901</v>
      </c>
      <c r="E1167" s="2" t="n">
        <v>1901</v>
      </c>
      <c r="F1167" s="2" t="n">
        <v>1</v>
      </c>
      <c r="G1167" s="2" t="n">
        <v>1</v>
      </c>
      <c r="H1167" s="2" t="n">
        <v>0</v>
      </c>
      <c r="I1167" s="2" t="n">
        <v>0</v>
      </c>
    </row>
    <row r="1168">
      <c r="A1168" s="2" t="n">
        <v>1166</v>
      </c>
      <c r="B1168" s="2" t="inlineStr">
        <is>
          <t>truncate</t>
        </is>
      </c>
      <c r="C1168" s="2" t="inlineStr">
        <is>
          <t>browser chrome150</t>
        </is>
      </c>
      <c r="D1168" s="2" t="n">
        <v>147</v>
      </c>
      <c r="E1168" s="2" t="n">
        <v>147</v>
      </c>
      <c r="F1168" s="2" t="n">
        <v>1</v>
      </c>
      <c r="G1168" s="2" t="n">
        <v>1</v>
      </c>
      <c r="H1168" s="2" t="n">
        <v>0</v>
      </c>
      <c r="I1168" s="2" t="n">
        <v>0</v>
      </c>
    </row>
    <row r="1169">
      <c r="A1169" s="2" t="n">
        <v>1167</v>
      </c>
      <c r="B1169" s="2" t="inlineStr">
        <is>
          <t>length</t>
        </is>
      </c>
      <c r="C1169" s="2" t="inlineStr">
        <is>
          <t>openssl 3.5.8 default</t>
        </is>
      </c>
      <c r="D1169" s="2" t="n">
        <v>1548</v>
      </c>
      <c r="E1169" s="2" t="n">
        <v>1548</v>
      </c>
      <c r="F1169" s="2" t="n">
        <v>1</v>
      </c>
      <c r="G1169" s="2" t="n">
        <v>1</v>
      </c>
      <c r="H1169" s="2" t="n">
        <v>1</v>
      </c>
      <c r="I1169" s="2" t="n">
        <v>0</v>
      </c>
    </row>
    <row r="1170">
      <c r="A1170" s="2" t="n">
        <v>1168</v>
      </c>
      <c r="B1170" s="2" t="inlineStr">
        <is>
          <t>insert</t>
        </is>
      </c>
      <c r="C1170" s="2" t="inlineStr">
        <is>
          <t>openssl TLS 1.2 only</t>
        </is>
      </c>
      <c r="D1170" s="2" t="n">
        <v>230</v>
      </c>
      <c r="E1170" s="2" t="n">
        <v>230</v>
      </c>
      <c r="F1170" s="2" t="n">
        <v>1</v>
      </c>
      <c r="G1170" s="2" t="n">
        <v>0</v>
      </c>
      <c r="H1170" s="2" t="n">
        <v>0</v>
      </c>
      <c r="I1170" s="2" t="n">
        <v>0</v>
      </c>
    </row>
    <row r="1171">
      <c r="A1171" s="2" t="n">
        <v>1169</v>
      </c>
      <c r="B1171" s="2" t="inlineStr">
        <is>
          <t>flip</t>
        </is>
      </c>
      <c r="C1171" s="2" t="inlineStr">
        <is>
          <t>browser chrome150</t>
        </is>
      </c>
      <c r="D1171" s="2" t="n">
        <v>1763</v>
      </c>
      <c r="E1171" s="2" t="n">
        <v>1763</v>
      </c>
      <c r="F1171" s="2" t="n">
        <v>1</v>
      </c>
      <c r="G1171" s="2" t="n">
        <v>1</v>
      </c>
      <c r="H1171" s="2" t="n">
        <v>1</v>
      </c>
      <c r="I1171" s="2" t="n">
        <v>0</v>
      </c>
    </row>
    <row r="1172">
      <c r="A1172" s="2" t="n">
        <v>1170</v>
      </c>
      <c r="B1172" s="2" t="inlineStr">
        <is>
          <t>truncate</t>
        </is>
      </c>
      <c r="C1172" s="2" t="inlineStr">
        <is>
          <t>openssl X25519 only (classical)</t>
        </is>
      </c>
      <c r="D1172" s="2" t="n">
        <v>271</v>
      </c>
      <c r="E1172" s="2" t="n">
        <v>271</v>
      </c>
      <c r="F1172" s="2" t="n">
        <v>1</v>
      </c>
      <c r="G1172" s="2" t="n">
        <v>1</v>
      </c>
      <c r="H1172" s="2" t="n">
        <v>1</v>
      </c>
      <c r="I1172" s="2" t="n">
        <v>0</v>
      </c>
    </row>
    <row r="1173">
      <c r="A1173" s="2" t="n">
        <v>1171</v>
      </c>
      <c r="B1173" s="2" t="inlineStr">
        <is>
          <t>length</t>
        </is>
      </c>
      <c r="C1173" s="2" t="inlineStr">
        <is>
          <t>openssl TLS 1.2 only</t>
        </is>
      </c>
      <c r="D1173" s="2" t="n">
        <v>215</v>
      </c>
      <c r="E1173" s="2" t="n">
        <v>215</v>
      </c>
      <c r="F1173" s="2" t="n">
        <v>1</v>
      </c>
      <c r="G1173" s="2" t="n">
        <v>1</v>
      </c>
      <c r="H1173" s="2" t="n">
        <v>1</v>
      </c>
      <c r="I1173" s="2" t="n">
        <v>0</v>
      </c>
    </row>
    <row r="1174">
      <c r="A1174" s="2" t="n">
        <v>1172</v>
      </c>
      <c r="B1174" s="2" t="inlineStr">
        <is>
          <t>insert</t>
        </is>
      </c>
      <c r="C1174" s="2" t="inlineStr">
        <is>
          <t>browser chrome150</t>
        </is>
      </c>
      <c r="D1174" s="2" t="n">
        <v>1774</v>
      </c>
      <c r="E1174" s="2" t="n">
        <v>1774</v>
      </c>
      <c r="F1174" s="2" t="n">
        <v>1</v>
      </c>
      <c r="G1174" s="2" t="n">
        <v>1</v>
      </c>
      <c r="H1174" s="2" t="n">
        <v>1</v>
      </c>
      <c r="I1174" s="2" t="n">
        <v>0</v>
      </c>
    </row>
    <row r="1175">
      <c r="A1175" s="2" t="n">
        <v>1173</v>
      </c>
      <c r="B1175" s="2" t="inlineStr">
        <is>
          <t>flip</t>
        </is>
      </c>
      <c r="C1175" s="2" t="inlineStr">
        <is>
          <t>openssl X25519 only (classical)</t>
        </is>
      </c>
      <c r="D1175" s="2" t="n">
        <v>314</v>
      </c>
      <c r="E1175" s="2" t="n">
        <v>314</v>
      </c>
      <c r="F1175" s="2" t="n">
        <v>1</v>
      </c>
      <c r="G1175" s="2" t="n">
        <v>1</v>
      </c>
      <c r="H1175" s="2" t="n">
        <v>1</v>
      </c>
      <c r="I1175" s="2" t="n">
        <v>0</v>
      </c>
    </row>
    <row r="1176">
      <c r="A1176" s="2" t="n">
        <v>1174</v>
      </c>
      <c r="B1176" s="2" t="inlineStr">
        <is>
          <t>truncate</t>
        </is>
      </c>
      <c r="C1176" s="2" t="inlineStr">
        <is>
          <t>openssl 3.5.8 default</t>
        </is>
      </c>
      <c r="D1176" s="2" t="n">
        <v>1157</v>
      </c>
      <c r="E1176" s="2" t="n">
        <v>1157</v>
      </c>
      <c r="F1176" s="2" t="n">
        <v>1</v>
      </c>
      <c r="G1176" s="2" t="n">
        <v>1</v>
      </c>
      <c r="H1176" s="2" t="n">
        <v>1</v>
      </c>
      <c r="I1176" s="2" t="n">
        <v>0</v>
      </c>
    </row>
    <row r="1177">
      <c r="A1177" s="2" t="n">
        <v>1175</v>
      </c>
      <c r="B1177" s="2" t="inlineStr">
        <is>
          <t>length</t>
        </is>
      </c>
      <c r="C1177" s="2" t="inlineStr">
        <is>
          <t>openssl 3.5.8 default</t>
        </is>
      </c>
      <c r="D1177" s="2" t="n">
        <v>1548</v>
      </c>
      <c r="E1177" s="2" t="n">
        <v>1548</v>
      </c>
      <c r="F1177" s="2" t="n">
        <v>1</v>
      </c>
      <c r="G1177" s="2" t="n">
        <v>0</v>
      </c>
      <c r="H1177" s="2" t="n">
        <v>0</v>
      </c>
      <c r="I1177" s="2" t="n">
        <v>0</v>
      </c>
    </row>
    <row r="1178">
      <c r="A1178" s="2" t="n">
        <v>1176</v>
      </c>
      <c r="B1178" s="2" t="inlineStr">
        <is>
          <t>insert</t>
        </is>
      </c>
      <c r="C1178" s="2" t="inlineStr">
        <is>
          <t>openssl X25519 only (classical)</t>
        </is>
      </c>
      <c r="D1178" s="2" t="n">
        <v>327</v>
      </c>
      <c r="E1178" s="2" t="n">
        <v>327</v>
      </c>
      <c r="F1178" s="2" t="n">
        <v>1</v>
      </c>
      <c r="G1178" s="2" t="n">
        <v>1</v>
      </c>
      <c r="H1178" s="2" t="n">
        <v>1</v>
      </c>
      <c r="I1178" s="2" t="n">
        <v>0</v>
      </c>
    </row>
    <row r="1179">
      <c r="A1179" s="2" t="n">
        <v>1177</v>
      </c>
      <c r="B1179" s="2" t="inlineStr">
        <is>
          <t>flip</t>
        </is>
      </c>
      <c r="C1179" s="2" t="inlineStr">
        <is>
          <t>browser firefox147</t>
        </is>
      </c>
      <c r="D1179" s="2" t="n">
        <v>1901</v>
      </c>
      <c r="E1179" s="2" t="n">
        <v>1901</v>
      </c>
      <c r="F1179" s="2" t="n">
        <v>1</v>
      </c>
      <c r="G1179" s="2" t="n">
        <v>1</v>
      </c>
      <c r="H1179" s="2" t="n">
        <v>0</v>
      </c>
      <c r="I1179" s="2" t="n">
        <v>0</v>
      </c>
    </row>
    <row r="1180">
      <c r="A1180" s="2" t="n">
        <v>1178</v>
      </c>
      <c r="B1180" s="2" t="inlineStr">
        <is>
          <t>truncate</t>
        </is>
      </c>
      <c r="C1180" s="2" t="inlineStr">
        <is>
          <t>browser chrome150</t>
        </is>
      </c>
      <c r="D1180" s="2" t="n">
        <v>1142</v>
      </c>
      <c r="E1180" s="2" t="n">
        <v>1142</v>
      </c>
      <c r="F1180" s="2" t="n">
        <v>1</v>
      </c>
      <c r="G1180" s="2" t="n">
        <v>1</v>
      </c>
      <c r="H1180" s="2" t="n">
        <v>1</v>
      </c>
      <c r="I1180" s="2" t="n">
        <v>0</v>
      </c>
    </row>
    <row r="1181">
      <c r="A1181" s="2" t="n">
        <v>1179</v>
      </c>
      <c r="B1181" s="2" t="inlineStr">
        <is>
          <t>length</t>
        </is>
      </c>
      <c r="C1181" s="2" t="inlineStr">
        <is>
          <t>browser firefox147</t>
        </is>
      </c>
      <c r="D1181" s="2" t="n">
        <v>1901</v>
      </c>
      <c r="E1181" s="2" t="n">
        <v>1901</v>
      </c>
      <c r="F1181" s="2" t="n">
        <v>0</v>
      </c>
      <c r="G1181" s="2" t="n">
        <v>0</v>
      </c>
      <c r="H1181" s="2" t="n">
        <v>0</v>
      </c>
      <c r="I1181" s="2" t="n">
        <v>0</v>
      </c>
    </row>
    <row r="1182">
      <c r="A1182" s="2" t="n">
        <v>1180</v>
      </c>
      <c r="B1182" s="2" t="inlineStr">
        <is>
          <t>insert</t>
        </is>
      </c>
      <c r="C1182" s="2" t="inlineStr">
        <is>
          <t>browser chrome150</t>
        </is>
      </c>
      <c r="D1182" s="2" t="n">
        <v>1773</v>
      </c>
      <c r="E1182" s="2" t="n">
        <v>1773</v>
      </c>
      <c r="F1182" s="2" t="n">
        <v>1</v>
      </c>
      <c r="G1182" s="2" t="n">
        <v>1</v>
      </c>
      <c r="H1182" s="2" t="n">
        <v>1</v>
      </c>
      <c r="I1182" s="2" t="n">
        <v>0</v>
      </c>
    </row>
    <row r="1183">
      <c r="A1183" s="2" t="n">
        <v>1181</v>
      </c>
      <c r="B1183" s="2" t="inlineStr">
        <is>
          <t>flip</t>
        </is>
      </c>
      <c r="C1183" s="2" t="inlineStr">
        <is>
          <t>browser chrome150</t>
        </is>
      </c>
      <c r="D1183" s="2" t="n">
        <v>1763</v>
      </c>
      <c r="E1183" s="2" t="n">
        <v>1763</v>
      </c>
      <c r="F1183" s="2" t="n">
        <v>1</v>
      </c>
      <c r="G1183" s="2" t="n">
        <v>1</v>
      </c>
      <c r="H1183" s="2" t="n">
        <v>1</v>
      </c>
      <c r="I1183" s="2" t="n">
        <v>0</v>
      </c>
    </row>
    <row r="1184">
      <c r="A1184" s="2" t="n">
        <v>1182</v>
      </c>
      <c r="B1184" s="2" t="inlineStr">
        <is>
          <t>truncate</t>
        </is>
      </c>
      <c r="C1184" s="2" t="inlineStr">
        <is>
          <t>browser chrome150</t>
        </is>
      </c>
      <c r="D1184" s="2" t="n">
        <v>249</v>
      </c>
      <c r="E1184" s="2" t="n">
        <v>249</v>
      </c>
      <c r="F1184" s="2" t="n">
        <v>1</v>
      </c>
      <c r="G1184" s="2" t="n">
        <v>1</v>
      </c>
      <c r="H1184" s="2" t="n">
        <v>1</v>
      </c>
      <c r="I1184" s="2" t="n">
        <v>0</v>
      </c>
    </row>
    <row r="1185">
      <c r="A1185" s="2" t="n">
        <v>1183</v>
      </c>
      <c r="B1185" s="2" t="inlineStr">
        <is>
          <t>length</t>
        </is>
      </c>
      <c r="C1185" s="2" t="inlineStr">
        <is>
          <t>browser firefox147</t>
        </is>
      </c>
      <c r="D1185" s="2" t="n">
        <v>1901</v>
      </c>
      <c r="E1185" s="2" t="n">
        <v>1901</v>
      </c>
      <c r="F1185" s="2" t="n">
        <v>1</v>
      </c>
      <c r="G1185" s="2" t="n">
        <v>1</v>
      </c>
      <c r="H1185" s="2" t="n">
        <v>1</v>
      </c>
      <c r="I1185" s="2" t="n">
        <v>0</v>
      </c>
    </row>
    <row r="1186">
      <c r="A1186" s="2" t="n">
        <v>1184</v>
      </c>
      <c r="B1186" s="2" t="inlineStr">
        <is>
          <t>insert</t>
        </is>
      </c>
      <c r="C1186" s="2" t="inlineStr">
        <is>
          <t>openssl X25519 only (classical)</t>
        </is>
      </c>
      <c r="D1186" s="2" t="n">
        <v>322</v>
      </c>
      <c r="E1186" s="2" t="n">
        <v>322</v>
      </c>
      <c r="F1186" s="2" t="n">
        <v>1</v>
      </c>
      <c r="G1186" s="2" t="n">
        <v>1</v>
      </c>
      <c r="H1186" s="2" t="n">
        <v>1</v>
      </c>
      <c r="I1186" s="2" t="n">
        <v>0</v>
      </c>
    </row>
    <row r="1187">
      <c r="A1187" s="2" t="n">
        <v>1185</v>
      </c>
      <c r="B1187" s="2" t="inlineStr">
        <is>
          <t>flip</t>
        </is>
      </c>
      <c r="C1187" s="2" t="inlineStr">
        <is>
          <t>openssl X25519 only (classical)</t>
        </is>
      </c>
      <c r="D1187" s="2" t="n">
        <v>314</v>
      </c>
      <c r="E1187" s="2" t="n">
        <v>314</v>
      </c>
      <c r="F1187" s="2" t="n">
        <v>1</v>
      </c>
      <c r="G1187" s="2" t="n">
        <v>1</v>
      </c>
      <c r="H1187" s="2" t="n">
        <v>1</v>
      </c>
      <c r="I1187" s="2" t="n">
        <v>0</v>
      </c>
    </row>
    <row r="1188">
      <c r="A1188" s="2" t="n">
        <v>1186</v>
      </c>
      <c r="B1188" s="2" t="inlineStr">
        <is>
          <t>truncate</t>
        </is>
      </c>
      <c r="C1188" s="2" t="inlineStr">
        <is>
          <t>browser chrome150</t>
        </is>
      </c>
      <c r="D1188" s="2" t="n">
        <v>257</v>
      </c>
      <c r="E1188" s="2" t="n">
        <v>257</v>
      </c>
      <c r="F1188" s="2" t="n">
        <v>1</v>
      </c>
      <c r="G1188" s="2" t="n">
        <v>1</v>
      </c>
      <c r="H1188" s="2" t="n">
        <v>1</v>
      </c>
      <c r="I1188" s="2" t="n">
        <v>0</v>
      </c>
    </row>
    <row r="1189">
      <c r="A1189" s="2" t="n">
        <v>1187</v>
      </c>
      <c r="B1189" s="2" t="inlineStr">
        <is>
          <t>length</t>
        </is>
      </c>
      <c r="C1189" s="2" t="inlineStr">
        <is>
          <t>browser chrome150</t>
        </is>
      </c>
      <c r="D1189" s="2" t="n">
        <v>1763</v>
      </c>
      <c r="E1189" s="2" t="n">
        <v>1763</v>
      </c>
      <c r="F1189" s="2" t="n">
        <v>1</v>
      </c>
      <c r="G1189" s="2" t="n">
        <v>1</v>
      </c>
      <c r="H1189" s="2" t="n">
        <v>0</v>
      </c>
      <c r="I1189" s="2" t="n">
        <v>0</v>
      </c>
    </row>
    <row r="1190">
      <c r="A1190" s="2" t="n">
        <v>1188</v>
      </c>
      <c r="B1190" s="2" t="inlineStr">
        <is>
          <t>insert</t>
        </is>
      </c>
      <c r="C1190" s="2" t="inlineStr">
        <is>
          <t>browser firefox147</t>
        </is>
      </c>
      <c r="D1190" s="2" t="n">
        <v>1905</v>
      </c>
      <c r="E1190" s="2" t="n">
        <v>1905</v>
      </c>
      <c r="F1190" s="2" t="n">
        <v>1</v>
      </c>
      <c r="G1190" s="2" t="n">
        <v>1</v>
      </c>
      <c r="H1190" s="2" t="n">
        <v>0</v>
      </c>
      <c r="I1190" s="2" t="n">
        <v>0</v>
      </c>
    </row>
    <row r="1191">
      <c r="A1191" s="2" t="n">
        <v>1189</v>
      </c>
      <c r="B1191" s="2" t="inlineStr">
        <is>
          <t>flip</t>
        </is>
      </c>
      <c r="C1191" s="2" t="inlineStr">
        <is>
          <t>openssl X25519 only (classical)</t>
        </is>
      </c>
      <c r="D1191" s="2" t="n">
        <v>314</v>
      </c>
      <c r="E1191" s="2" t="n">
        <v>314</v>
      </c>
      <c r="F1191" s="2" t="n">
        <v>1</v>
      </c>
      <c r="G1191" s="2" t="n">
        <v>1</v>
      </c>
      <c r="H1191" s="2" t="n">
        <v>1</v>
      </c>
      <c r="I1191" s="2" t="n">
        <v>0</v>
      </c>
    </row>
    <row r="1192">
      <c r="A1192" s="2" t="n">
        <v>1190</v>
      </c>
      <c r="B1192" s="2" t="inlineStr">
        <is>
          <t>truncate</t>
        </is>
      </c>
      <c r="C1192" s="2" t="inlineStr">
        <is>
          <t>browser chrome150</t>
        </is>
      </c>
      <c r="D1192" s="2" t="n">
        <v>1137</v>
      </c>
      <c r="E1192" s="2" t="n">
        <v>1137</v>
      </c>
      <c r="F1192" s="2" t="n">
        <v>1</v>
      </c>
      <c r="G1192" s="2" t="n">
        <v>1</v>
      </c>
      <c r="H1192" s="2" t="n">
        <v>1</v>
      </c>
      <c r="I1192" s="2" t="n">
        <v>0</v>
      </c>
    </row>
    <row r="1193">
      <c r="A1193" s="2" t="n">
        <v>1191</v>
      </c>
      <c r="B1193" s="2" t="inlineStr">
        <is>
          <t>length</t>
        </is>
      </c>
      <c r="C1193" s="2" t="inlineStr">
        <is>
          <t>openssl X25519 only (classical)</t>
        </is>
      </c>
      <c r="D1193" s="2" t="n">
        <v>314</v>
      </c>
      <c r="E1193" s="2" t="n">
        <v>314</v>
      </c>
      <c r="F1193" s="2" t="n">
        <v>1</v>
      </c>
      <c r="G1193" s="2" t="n">
        <v>1</v>
      </c>
      <c r="H1193" s="2" t="n">
        <v>0</v>
      </c>
      <c r="I1193" s="2" t="n">
        <v>0</v>
      </c>
    </row>
    <row r="1194">
      <c r="A1194" s="2" t="n">
        <v>1192</v>
      </c>
      <c r="B1194" s="2" t="inlineStr">
        <is>
          <t>insert</t>
        </is>
      </c>
      <c r="C1194" s="2" t="inlineStr">
        <is>
          <t>openssl 3.5.8 default</t>
        </is>
      </c>
      <c r="D1194" s="2" t="n">
        <v>1564</v>
      </c>
      <c r="E1194" s="2" t="n">
        <v>1564</v>
      </c>
      <c r="F1194" s="2" t="n">
        <v>1</v>
      </c>
      <c r="G1194" s="2" t="n">
        <v>1</v>
      </c>
      <c r="H1194" s="2" t="n">
        <v>1</v>
      </c>
      <c r="I1194" s="2" t="n">
        <v>0</v>
      </c>
    </row>
    <row r="1195">
      <c r="A1195" s="2" t="n">
        <v>1193</v>
      </c>
      <c r="B1195" s="2" t="inlineStr">
        <is>
          <t>flip</t>
        </is>
      </c>
      <c r="C1195" s="2" t="inlineStr">
        <is>
          <t>openssl TLS 1.2 only</t>
        </is>
      </c>
      <c r="D1195" s="2" t="n">
        <v>215</v>
      </c>
      <c r="E1195" s="2" t="n">
        <v>215</v>
      </c>
      <c r="F1195" s="2" t="n">
        <v>1</v>
      </c>
      <c r="G1195" s="2" t="n">
        <v>1</v>
      </c>
      <c r="H1195" s="2" t="n">
        <v>1</v>
      </c>
      <c r="I1195" s="2" t="n">
        <v>0</v>
      </c>
    </row>
    <row r="1196">
      <c r="A1196" s="2" t="n">
        <v>1194</v>
      </c>
      <c r="B1196" s="2" t="inlineStr">
        <is>
          <t>truncate</t>
        </is>
      </c>
      <c r="C1196" s="2" t="inlineStr">
        <is>
          <t>openssl X25519 only (classical)</t>
        </is>
      </c>
      <c r="D1196" s="2" t="n">
        <v>155</v>
      </c>
      <c r="E1196" s="2" t="n">
        <v>155</v>
      </c>
      <c r="F1196" s="2" t="n">
        <v>1</v>
      </c>
      <c r="G1196" s="2" t="n">
        <v>1</v>
      </c>
      <c r="H1196" s="2" t="n">
        <v>0</v>
      </c>
      <c r="I1196" s="2" t="n">
        <v>0</v>
      </c>
    </row>
    <row r="1197">
      <c r="A1197" s="2" t="n">
        <v>1195</v>
      </c>
      <c r="B1197" s="2" t="inlineStr">
        <is>
          <t>length</t>
        </is>
      </c>
      <c r="C1197" s="2" t="inlineStr">
        <is>
          <t>openssl 3.5.8 default</t>
        </is>
      </c>
      <c r="D1197" s="2" t="n">
        <v>1548</v>
      </c>
      <c r="E1197" s="2" t="n">
        <v>1548</v>
      </c>
      <c r="F1197" s="2" t="n">
        <v>1</v>
      </c>
      <c r="G1197" s="2" t="n">
        <v>1</v>
      </c>
      <c r="H1197" s="2" t="n">
        <v>1</v>
      </c>
      <c r="I1197" s="2" t="n">
        <v>0</v>
      </c>
    </row>
    <row r="1198">
      <c r="A1198" s="2" t="n">
        <v>1196</v>
      </c>
      <c r="B1198" s="2" t="inlineStr">
        <is>
          <t>insert</t>
        </is>
      </c>
      <c r="C1198" s="2" t="inlineStr">
        <is>
          <t>browser chrome150</t>
        </is>
      </c>
      <c r="D1198" s="2" t="n">
        <v>1766</v>
      </c>
      <c r="E1198" s="2" t="n">
        <v>1766</v>
      </c>
      <c r="F1198" s="2" t="n">
        <v>1</v>
      </c>
      <c r="G1198" s="2" t="n">
        <v>1</v>
      </c>
      <c r="H1198" s="2" t="n">
        <v>0</v>
      </c>
      <c r="I1198" s="2" t="n">
        <v>0</v>
      </c>
    </row>
    <row r="1199">
      <c r="A1199" s="2" t="n">
        <v>1197</v>
      </c>
      <c r="B1199" s="2" t="inlineStr">
        <is>
          <t>flip</t>
        </is>
      </c>
      <c r="C1199" s="2" t="inlineStr">
        <is>
          <t>openssl 3.5.8 default</t>
        </is>
      </c>
      <c r="D1199" s="2" t="n">
        <v>1548</v>
      </c>
      <c r="E1199" s="2" t="n">
        <v>1548</v>
      </c>
      <c r="F1199" s="2" t="n">
        <v>1</v>
      </c>
      <c r="G1199" s="2" t="n">
        <v>1</v>
      </c>
      <c r="H1199" s="2" t="n">
        <v>1</v>
      </c>
      <c r="I1199" s="2" t="n">
        <v>0</v>
      </c>
    </row>
    <row r="1200">
      <c r="A1200" s="2" t="n">
        <v>1198</v>
      </c>
      <c r="B1200" s="2" t="inlineStr">
        <is>
          <t>truncate</t>
        </is>
      </c>
      <c r="C1200" s="2" t="inlineStr">
        <is>
          <t>browser firefox147</t>
        </is>
      </c>
      <c r="D1200" s="2" t="n">
        <v>1745</v>
      </c>
      <c r="E1200" s="2" t="n">
        <v>1745</v>
      </c>
      <c r="F1200" s="2" t="n">
        <v>1</v>
      </c>
      <c r="G1200" s="2" t="n">
        <v>1</v>
      </c>
      <c r="H1200" s="2" t="n">
        <v>0</v>
      </c>
      <c r="I1200" s="2" t="n">
        <v>0</v>
      </c>
    </row>
    <row r="1201">
      <c r="A1201" s="2" t="n">
        <v>1199</v>
      </c>
      <c r="B1201" s="2" t="inlineStr">
        <is>
          <t>length</t>
        </is>
      </c>
      <c r="C1201" s="2" t="inlineStr">
        <is>
          <t>openssl TLS 1.2 only</t>
        </is>
      </c>
      <c r="D1201" s="2" t="n">
        <v>215</v>
      </c>
      <c r="E1201" s="2" t="n">
        <v>215</v>
      </c>
      <c r="F1201" s="2" t="n">
        <v>1</v>
      </c>
      <c r="G1201" s="2" t="n">
        <v>1</v>
      </c>
      <c r="H1201" s="2" t="n">
        <v>1</v>
      </c>
      <c r="I1201" s="2" t="n">
        <v>0</v>
      </c>
    </row>
    <row r="1202">
      <c r="A1202" s="2" t="n">
        <v>1200</v>
      </c>
      <c r="B1202" s="2" t="inlineStr">
        <is>
          <t>insert</t>
        </is>
      </c>
      <c r="C1202" s="2" t="inlineStr">
        <is>
          <t>browser firefox147</t>
        </is>
      </c>
      <c r="D1202" s="2" t="n">
        <v>1906</v>
      </c>
      <c r="E1202" s="2" t="n">
        <v>1906</v>
      </c>
      <c r="F1202" s="2" t="n">
        <v>1</v>
      </c>
      <c r="G1202" s="2" t="n">
        <v>1</v>
      </c>
      <c r="H1202" s="2" t="n">
        <v>0</v>
      </c>
      <c r="I1202" s="2" t="n">
        <v>0</v>
      </c>
    </row>
    <row r="1203">
      <c r="A1203" s="2" t="n">
        <v>1201</v>
      </c>
      <c r="B1203" s="2" t="inlineStr">
        <is>
          <t>flip</t>
        </is>
      </c>
      <c r="C1203" s="2" t="inlineStr">
        <is>
          <t>openssl 3.5.8 default</t>
        </is>
      </c>
      <c r="D1203" s="2" t="n">
        <v>1548</v>
      </c>
      <c r="E1203" s="2" t="n">
        <v>1548</v>
      </c>
      <c r="F1203" s="2" t="n">
        <v>1</v>
      </c>
      <c r="G1203" s="2" t="n">
        <v>1</v>
      </c>
      <c r="H1203" s="2" t="n">
        <v>1</v>
      </c>
      <c r="I1203" s="2" t="n">
        <v>0</v>
      </c>
    </row>
    <row r="1204">
      <c r="A1204" s="2" t="n">
        <v>1202</v>
      </c>
      <c r="B1204" s="2" t="inlineStr">
        <is>
          <t>truncate</t>
        </is>
      </c>
      <c r="C1204" s="2" t="inlineStr">
        <is>
          <t>openssl TLS 1.2 only</t>
        </is>
      </c>
      <c r="D1204" s="2" t="n">
        <v>103</v>
      </c>
      <c r="E1204" s="2" t="n">
        <v>103</v>
      </c>
      <c r="F1204" s="2" t="n">
        <v>1</v>
      </c>
      <c r="G1204" s="2" t="n">
        <v>1</v>
      </c>
      <c r="H1204" s="2" t="n">
        <v>0</v>
      </c>
      <c r="I1204" s="2" t="n">
        <v>0</v>
      </c>
    </row>
    <row r="1205">
      <c r="A1205" s="2" t="n">
        <v>1203</v>
      </c>
      <c r="B1205" s="2" t="inlineStr">
        <is>
          <t>length</t>
        </is>
      </c>
      <c r="C1205" s="2" t="inlineStr">
        <is>
          <t>browser chrome150</t>
        </is>
      </c>
      <c r="D1205" s="2" t="n">
        <v>1763</v>
      </c>
      <c r="E1205" s="2" t="n">
        <v>1763</v>
      </c>
      <c r="F1205" s="2" t="n">
        <v>1</v>
      </c>
      <c r="G1205" s="2" t="n">
        <v>1</v>
      </c>
      <c r="H1205" s="2" t="n">
        <v>1</v>
      </c>
      <c r="I1205" s="2" t="n">
        <v>0</v>
      </c>
    </row>
    <row r="1206">
      <c r="A1206" s="2" t="n">
        <v>1204</v>
      </c>
      <c r="B1206" s="2" t="inlineStr">
        <is>
          <t>insert</t>
        </is>
      </c>
      <c r="C1206" s="2" t="inlineStr">
        <is>
          <t>openssl TLS 1.2 only</t>
        </is>
      </c>
      <c r="D1206" s="2" t="n">
        <v>228</v>
      </c>
      <c r="E1206" s="2" t="n">
        <v>228</v>
      </c>
      <c r="F1206" s="2" t="n">
        <v>1</v>
      </c>
      <c r="G1206" s="2" t="n">
        <v>1</v>
      </c>
      <c r="H1206" s="2" t="n">
        <v>1</v>
      </c>
      <c r="I1206" s="2" t="n">
        <v>0</v>
      </c>
    </row>
    <row r="1207">
      <c r="A1207" s="2" t="n">
        <v>1205</v>
      </c>
      <c r="B1207" s="2" t="inlineStr">
        <is>
          <t>flip</t>
        </is>
      </c>
      <c r="C1207" s="2" t="inlineStr">
        <is>
          <t>browser firefox147</t>
        </is>
      </c>
      <c r="D1207" s="2" t="n">
        <v>1901</v>
      </c>
      <c r="E1207" s="2" t="n">
        <v>1901</v>
      </c>
      <c r="F1207" s="2" t="n">
        <v>1</v>
      </c>
      <c r="G1207" s="2" t="n">
        <v>1</v>
      </c>
      <c r="H1207" s="2" t="n">
        <v>0</v>
      </c>
      <c r="I1207" s="2" t="n">
        <v>0</v>
      </c>
    </row>
    <row r="1208">
      <c r="A1208" s="2" t="n">
        <v>1206</v>
      </c>
      <c r="B1208" s="2" t="inlineStr">
        <is>
          <t>truncate</t>
        </is>
      </c>
      <c r="C1208" s="2" t="inlineStr">
        <is>
          <t>openssl 3.5.8 default</t>
        </is>
      </c>
      <c r="D1208" s="2" t="n">
        <v>1249</v>
      </c>
      <c r="E1208" s="2" t="n">
        <v>1249</v>
      </c>
      <c r="F1208" s="2" t="n">
        <v>1</v>
      </c>
      <c r="G1208" s="2" t="n">
        <v>1</v>
      </c>
      <c r="H1208" s="2" t="n">
        <v>1</v>
      </c>
      <c r="I1208" s="2" t="n">
        <v>0</v>
      </c>
    </row>
    <row r="1209">
      <c r="A1209" s="2" t="n">
        <v>1207</v>
      </c>
      <c r="B1209" s="2" t="inlineStr">
        <is>
          <t>length</t>
        </is>
      </c>
      <c r="C1209" s="2" t="inlineStr">
        <is>
          <t>openssl TLS 1.2 only</t>
        </is>
      </c>
      <c r="D1209" s="2" t="n">
        <v>215</v>
      </c>
      <c r="E1209" s="2" t="n">
        <v>215</v>
      </c>
      <c r="F1209" s="2" t="n">
        <v>1</v>
      </c>
      <c r="G1209" s="2" t="n">
        <v>1</v>
      </c>
      <c r="H1209" s="2" t="n">
        <v>1</v>
      </c>
      <c r="I1209" s="2" t="n">
        <v>0</v>
      </c>
    </row>
    <row r="1210">
      <c r="A1210" s="2" t="n">
        <v>1208</v>
      </c>
      <c r="B1210" s="2" t="inlineStr">
        <is>
          <t>insert</t>
        </is>
      </c>
      <c r="C1210" s="2" t="inlineStr">
        <is>
          <t>openssl X25519 only (classical)</t>
        </is>
      </c>
      <c r="D1210" s="2" t="n">
        <v>325</v>
      </c>
      <c r="E1210" s="2" t="n">
        <v>325</v>
      </c>
      <c r="F1210" s="2" t="n">
        <v>1</v>
      </c>
      <c r="G1210" s="2" t="n">
        <v>1</v>
      </c>
      <c r="H1210" s="2" t="n">
        <v>0</v>
      </c>
      <c r="I1210" s="2" t="n">
        <v>0</v>
      </c>
    </row>
    <row r="1211">
      <c r="A1211" s="2" t="n">
        <v>1209</v>
      </c>
      <c r="B1211" s="2" t="inlineStr">
        <is>
          <t>flip</t>
        </is>
      </c>
      <c r="C1211" s="2" t="inlineStr">
        <is>
          <t>openssl 3.5.8 default</t>
        </is>
      </c>
      <c r="D1211" s="2" t="n">
        <v>1548</v>
      </c>
      <c r="E1211" s="2" t="n">
        <v>1548</v>
      </c>
      <c r="F1211" s="2" t="n">
        <v>1</v>
      </c>
      <c r="G1211" s="2" t="n">
        <v>1</v>
      </c>
      <c r="H1211" s="2" t="n">
        <v>1</v>
      </c>
      <c r="I1211" s="2" t="n">
        <v>0</v>
      </c>
    </row>
    <row r="1212">
      <c r="A1212" s="2" t="n">
        <v>1210</v>
      </c>
      <c r="B1212" s="2" t="inlineStr">
        <is>
          <t>truncate</t>
        </is>
      </c>
      <c r="C1212" s="2" t="inlineStr">
        <is>
          <t>openssl TLS 1.2 only</t>
        </is>
      </c>
      <c r="D1212" s="2" t="n">
        <v>151</v>
      </c>
      <c r="E1212" s="2" t="n">
        <v>151</v>
      </c>
      <c r="F1212" s="2" t="n">
        <v>1</v>
      </c>
      <c r="G1212" s="2" t="n">
        <v>1</v>
      </c>
      <c r="H1212" s="2" t="n">
        <v>0</v>
      </c>
      <c r="I1212" s="2" t="n">
        <v>0</v>
      </c>
    </row>
    <row r="1213">
      <c r="A1213" s="2" t="n">
        <v>1211</v>
      </c>
      <c r="B1213" s="2" t="inlineStr">
        <is>
          <t>length</t>
        </is>
      </c>
      <c r="C1213" s="2" t="inlineStr">
        <is>
          <t>openssl TLS 1.2 only</t>
        </is>
      </c>
      <c r="D1213" s="2" t="n">
        <v>215</v>
      </c>
      <c r="E1213" s="2" t="n">
        <v>215</v>
      </c>
      <c r="F1213" s="2" t="n">
        <v>1</v>
      </c>
      <c r="G1213" s="2" t="n">
        <v>0</v>
      </c>
      <c r="H1213" s="2" t="n">
        <v>0</v>
      </c>
      <c r="I1213" s="2" t="n">
        <v>0</v>
      </c>
    </row>
    <row r="1214">
      <c r="A1214" s="2" t="n">
        <v>1212</v>
      </c>
      <c r="B1214" s="2" t="inlineStr">
        <is>
          <t>insert</t>
        </is>
      </c>
      <c r="C1214" s="2" t="inlineStr">
        <is>
          <t>openssl 3.5.8 default</t>
        </is>
      </c>
      <c r="D1214" s="2" t="n">
        <v>1564</v>
      </c>
      <c r="E1214" s="2" t="n">
        <v>1564</v>
      </c>
      <c r="F1214" s="2" t="n">
        <v>0</v>
      </c>
      <c r="G1214" s="2" t="n">
        <v>0</v>
      </c>
      <c r="H1214" s="2" t="n">
        <v>0</v>
      </c>
      <c r="I1214" s="2" t="n">
        <v>0</v>
      </c>
    </row>
    <row r="1215">
      <c r="A1215" s="2" t="n">
        <v>1213</v>
      </c>
      <c r="B1215" s="2" t="inlineStr">
        <is>
          <t>flip</t>
        </is>
      </c>
      <c r="C1215" s="2" t="inlineStr">
        <is>
          <t>openssl X25519 only (classical)</t>
        </is>
      </c>
      <c r="D1215" s="2" t="n">
        <v>314</v>
      </c>
      <c r="E1215" s="2" t="n">
        <v>314</v>
      </c>
      <c r="F1215" s="2" t="n">
        <v>1</v>
      </c>
      <c r="G1215" s="2" t="n">
        <v>1</v>
      </c>
      <c r="H1215" s="2" t="n">
        <v>1</v>
      </c>
      <c r="I1215" s="2" t="n">
        <v>0</v>
      </c>
    </row>
    <row r="1216">
      <c r="A1216" s="2" t="n">
        <v>1214</v>
      </c>
      <c r="B1216" s="2" t="inlineStr">
        <is>
          <t>truncate</t>
        </is>
      </c>
      <c r="C1216" s="2" t="inlineStr">
        <is>
          <t>openssl 3.5.8 default</t>
        </is>
      </c>
      <c r="D1216" s="2" t="n">
        <v>499</v>
      </c>
      <c r="E1216" s="2" t="n">
        <v>499</v>
      </c>
      <c r="F1216" s="2" t="n">
        <v>1</v>
      </c>
      <c r="G1216" s="2" t="n">
        <v>1</v>
      </c>
      <c r="H1216" s="2" t="n">
        <v>1</v>
      </c>
      <c r="I1216" s="2" t="n">
        <v>0</v>
      </c>
    </row>
    <row r="1217">
      <c r="A1217" s="2" t="n">
        <v>1215</v>
      </c>
      <c r="B1217" s="2" t="inlineStr">
        <is>
          <t>length</t>
        </is>
      </c>
      <c r="C1217" s="2" t="inlineStr">
        <is>
          <t>browser chrome150</t>
        </is>
      </c>
      <c r="D1217" s="2" t="n">
        <v>1763</v>
      </c>
      <c r="E1217" s="2" t="n">
        <v>1763</v>
      </c>
      <c r="F1217" s="2" t="n">
        <v>1</v>
      </c>
      <c r="G1217" s="2" t="n">
        <v>1</v>
      </c>
      <c r="H1217" s="2" t="n">
        <v>0</v>
      </c>
      <c r="I1217" s="2" t="n">
        <v>0</v>
      </c>
    </row>
    <row r="1218">
      <c r="A1218" s="2" t="n">
        <v>1216</v>
      </c>
      <c r="B1218" s="2" t="inlineStr">
        <is>
          <t>insert</t>
        </is>
      </c>
      <c r="C1218" s="2" t="inlineStr">
        <is>
          <t>openssl 3.5.8 default</t>
        </is>
      </c>
      <c r="D1218" s="2" t="n">
        <v>1549</v>
      </c>
      <c r="E1218" s="2" t="n">
        <v>1549</v>
      </c>
      <c r="F1218" s="2" t="n">
        <v>1</v>
      </c>
      <c r="G1218" s="2" t="n">
        <v>1</v>
      </c>
      <c r="H1218" s="2" t="n">
        <v>1</v>
      </c>
      <c r="I1218" s="2" t="n">
        <v>0</v>
      </c>
    </row>
    <row r="1219">
      <c r="A1219" s="2" t="n">
        <v>1217</v>
      </c>
      <c r="B1219" s="2" t="inlineStr">
        <is>
          <t>flip</t>
        </is>
      </c>
      <c r="C1219" s="2" t="inlineStr">
        <is>
          <t>openssl 3.5.8 default</t>
        </is>
      </c>
      <c r="D1219" s="2" t="n">
        <v>1548</v>
      </c>
      <c r="E1219" s="2" t="n">
        <v>1548</v>
      </c>
      <c r="F1219" s="2" t="n">
        <v>1</v>
      </c>
      <c r="G1219" s="2" t="n">
        <v>1</v>
      </c>
      <c r="H1219" s="2" t="n">
        <v>1</v>
      </c>
      <c r="I1219" s="2" t="n">
        <v>0</v>
      </c>
    </row>
    <row r="1220">
      <c r="A1220" s="2" t="n">
        <v>1218</v>
      </c>
      <c r="B1220" s="2" t="inlineStr">
        <is>
          <t>truncate</t>
        </is>
      </c>
      <c r="C1220" s="2" t="inlineStr">
        <is>
          <t>browser chrome150</t>
        </is>
      </c>
      <c r="D1220" s="2" t="n">
        <v>1250</v>
      </c>
      <c r="E1220" s="2" t="n">
        <v>1250</v>
      </c>
      <c r="F1220" s="2" t="n">
        <v>1</v>
      </c>
      <c r="G1220" s="2" t="n">
        <v>1</v>
      </c>
      <c r="H1220" s="2" t="n">
        <v>1</v>
      </c>
      <c r="I1220" s="2" t="n">
        <v>0</v>
      </c>
    </row>
    <row r="1221">
      <c r="A1221" s="2" t="n">
        <v>1219</v>
      </c>
      <c r="B1221" s="2" t="inlineStr">
        <is>
          <t>length</t>
        </is>
      </c>
      <c r="C1221" s="2" t="inlineStr">
        <is>
          <t>openssl TLS 1.2 only</t>
        </is>
      </c>
      <c r="D1221" s="2" t="n">
        <v>215</v>
      </c>
      <c r="E1221" s="2" t="n">
        <v>215</v>
      </c>
      <c r="F1221" s="2" t="n">
        <v>1</v>
      </c>
      <c r="G1221" s="2" t="n">
        <v>1</v>
      </c>
      <c r="H1221" s="2" t="n">
        <v>1</v>
      </c>
      <c r="I1221" s="2" t="n">
        <v>0</v>
      </c>
    </row>
    <row r="1222">
      <c r="A1222" s="2" t="n">
        <v>1220</v>
      </c>
      <c r="B1222" s="2" t="inlineStr">
        <is>
          <t>insert</t>
        </is>
      </c>
      <c r="C1222" s="2" t="inlineStr">
        <is>
          <t>browser firefox147</t>
        </is>
      </c>
      <c r="D1222" s="2" t="n">
        <v>1906</v>
      </c>
      <c r="E1222" s="2" t="n">
        <v>1906</v>
      </c>
      <c r="F1222" s="2" t="n">
        <v>1</v>
      </c>
      <c r="G1222" s="2" t="n">
        <v>1</v>
      </c>
      <c r="H1222" s="2" t="n">
        <v>0</v>
      </c>
      <c r="I1222" s="2" t="n">
        <v>0</v>
      </c>
    </row>
    <row r="1223">
      <c r="A1223" s="2" t="n">
        <v>1221</v>
      </c>
      <c r="B1223" s="2" t="inlineStr">
        <is>
          <t>flip</t>
        </is>
      </c>
      <c r="C1223" s="2" t="inlineStr">
        <is>
          <t>openssl X25519 only (classical)</t>
        </is>
      </c>
      <c r="D1223" s="2" t="n">
        <v>314</v>
      </c>
      <c r="E1223" s="2" t="n">
        <v>314</v>
      </c>
      <c r="F1223" s="2" t="n">
        <v>1</v>
      </c>
      <c r="G1223" s="2" t="n">
        <v>1</v>
      </c>
      <c r="H1223" s="2" t="n">
        <v>1</v>
      </c>
      <c r="I1223" s="2" t="n">
        <v>0</v>
      </c>
    </row>
    <row r="1224">
      <c r="A1224" s="2" t="n">
        <v>1222</v>
      </c>
      <c r="B1224" s="2" t="inlineStr">
        <is>
          <t>truncate</t>
        </is>
      </c>
      <c r="C1224" s="2" t="inlineStr">
        <is>
          <t>browser chrome150</t>
        </is>
      </c>
      <c r="D1224" s="2" t="n">
        <v>1697</v>
      </c>
      <c r="E1224" s="2" t="n">
        <v>1697</v>
      </c>
      <c r="F1224" s="2" t="n">
        <v>1</v>
      </c>
      <c r="G1224" s="2" t="n">
        <v>1</v>
      </c>
      <c r="H1224" s="2" t="n">
        <v>1</v>
      </c>
      <c r="I1224" s="2" t="n">
        <v>0</v>
      </c>
    </row>
    <row r="1225">
      <c r="A1225" s="2" t="n">
        <v>1223</v>
      </c>
      <c r="B1225" s="2" t="inlineStr">
        <is>
          <t>length</t>
        </is>
      </c>
      <c r="C1225" s="2" t="inlineStr">
        <is>
          <t>openssl TLS 1.2 only</t>
        </is>
      </c>
      <c r="D1225" s="2" t="n">
        <v>215</v>
      </c>
      <c r="E1225" s="2" t="n">
        <v>215</v>
      </c>
      <c r="F1225" s="2" t="n">
        <v>1</v>
      </c>
      <c r="G1225" s="2" t="n">
        <v>0</v>
      </c>
      <c r="H1225" s="2" t="n">
        <v>0</v>
      </c>
      <c r="I1225" s="2" t="n">
        <v>0</v>
      </c>
    </row>
    <row r="1226">
      <c r="A1226" s="2" t="n">
        <v>1224</v>
      </c>
      <c r="B1226" s="2" t="inlineStr">
        <is>
          <t>insert</t>
        </is>
      </c>
      <c r="C1226" s="2" t="inlineStr">
        <is>
          <t>openssl 3.5.8 default</t>
        </is>
      </c>
      <c r="D1226" s="2" t="n">
        <v>1559</v>
      </c>
      <c r="E1226" s="2" t="n">
        <v>1559</v>
      </c>
      <c r="F1226" s="2" t="n">
        <v>1</v>
      </c>
      <c r="G1226" s="2" t="n">
        <v>1</v>
      </c>
      <c r="H1226" s="2" t="n">
        <v>1</v>
      </c>
      <c r="I1226" s="2" t="n">
        <v>0</v>
      </c>
    </row>
    <row r="1227">
      <c r="A1227" s="2" t="n">
        <v>1225</v>
      </c>
      <c r="B1227" s="2" t="inlineStr">
        <is>
          <t>flip</t>
        </is>
      </c>
      <c r="C1227" s="2" t="inlineStr">
        <is>
          <t>browser firefox147</t>
        </is>
      </c>
      <c r="D1227" s="2" t="n">
        <v>1901</v>
      </c>
      <c r="E1227" s="2" t="n">
        <v>1901</v>
      </c>
      <c r="F1227" s="2" t="n">
        <v>1</v>
      </c>
      <c r="G1227" s="2" t="n">
        <v>1</v>
      </c>
      <c r="H1227" s="2" t="n">
        <v>0</v>
      </c>
      <c r="I1227" s="2" t="n">
        <v>0</v>
      </c>
    </row>
    <row r="1228">
      <c r="A1228" s="2" t="n">
        <v>1226</v>
      </c>
      <c r="B1228" s="2" t="inlineStr">
        <is>
          <t>truncate</t>
        </is>
      </c>
      <c r="C1228" s="2" t="inlineStr">
        <is>
          <t>browser chrome150</t>
        </is>
      </c>
      <c r="D1228" s="2" t="n">
        <v>1050</v>
      </c>
      <c r="E1228" s="2" t="n">
        <v>1050</v>
      </c>
      <c r="F1228" s="2" t="n">
        <v>1</v>
      </c>
      <c r="G1228" s="2" t="n">
        <v>1</v>
      </c>
      <c r="H1228" s="2" t="n">
        <v>1</v>
      </c>
      <c r="I1228" s="2" t="n">
        <v>0</v>
      </c>
    </row>
    <row r="1229">
      <c r="A1229" s="2" t="n">
        <v>1227</v>
      </c>
      <c r="B1229" s="2" t="inlineStr">
        <is>
          <t>length</t>
        </is>
      </c>
      <c r="C1229" s="2" t="inlineStr">
        <is>
          <t>browser chrome150</t>
        </is>
      </c>
      <c r="D1229" s="2" t="n">
        <v>1763</v>
      </c>
      <c r="E1229" s="2" t="n">
        <v>1763</v>
      </c>
      <c r="F1229" s="2" t="n">
        <v>0</v>
      </c>
      <c r="G1229" s="2" t="n">
        <v>0</v>
      </c>
      <c r="H1229" s="2" t="n">
        <v>0</v>
      </c>
      <c r="I1229" s="2" t="n">
        <v>0</v>
      </c>
    </row>
    <row r="1230">
      <c r="A1230" s="2" t="n">
        <v>1228</v>
      </c>
      <c r="B1230" s="2" t="inlineStr">
        <is>
          <t>insert</t>
        </is>
      </c>
      <c r="C1230" s="2" t="inlineStr">
        <is>
          <t>browser chrome150</t>
        </is>
      </c>
      <c r="D1230" s="2" t="n">
        <v>1770</v>
      </c>
      <c r="E1230" s="2" t="n">
        <v>1770</v>
      </c>
      <c r="F1230" s="2" t="n">
        <v>1</v>
      </c>
      <c r="G1230" s="2" t="n">
        <v>1</v>
      </c>
      <c r="H1230" s="2" t="n">
        <v>1</v>
      </c>
      <c r="I1230" s="2" t="n">
        <v>0</v>
      </c>
    </row>
    <row r="1231">
      <c r="A1231" s="2" t="n">
        <v>1229</v>
      </c>
      <c r="B1231" s="2" t="inlineStr">
        <is>
          <t>flip</t>
        </is>
      </c>
      <c r="C1231" s="2" t="inlineStr">
        <is>
          <t>browser firefox147</t>
        </is>
      </c>
      <c r="D1231" s="2" t="n">
        <v>1901</v>
      </c>
      <c r="E1231" s="2" t="n">
        <v>1901</v>
      </c>
      <c r="F1231" s="2" t="n">
        <v>1</v>
      </c>
      <c r="G1231" s="2" t="n">
        <v>1</v>
      </c>
      <c r="H1231" s="2" t="n">
        <v>0</v>
      </c>
      <c r="I1231" s="2" t="n">
        <v>0</v>
      </c>
    </row>
    <row r="1232">
      <c r="A1232" s="2" t="n">
        <v>1230</v>
      </c>
      <c r="B1232" s="2" t="inlineStr">
        <is>
          <t>truncate</t>
        </is>
      </c>
      <c r="C1232" s="2" t="inlineStr">
        <is>
          <t>openssl 3.5.8 default</t>
        </is>
      </c>
      <c r="D1232" s="2" t="n">
        <v>864</v>
      </c>
      <c r="E1232" s="2" t="n">
        <v>864</v>
      </c>
      <c r="F1232" s="2" t="n">
        <v>1</v>
      </c>
      <c r="G1232" s="2" t="n">
        <v>1</v>
      </c>
      <c r="H1232" s="2" t="n">
        <v>1</v>
      </c>
      <c r="I1232" s="2" t="n">
        <v>0</v>
      </c>
    </row>
    <row r="1233">
      <c r="A1233" s="2" t="n">
        <v>1231</v>
      </c>
      <c r="B1233" s="2" t="inlineStr">
        <is>
          <t>length</t>
        </is>
      </c>
      <c r="C1233" s="2" t="inlineStr">
        <is>
          <t>browser firefox147</t>
        </is>
      </c>
      <c r="D1233" s="2" t="n">
        <v>1901</v>
      </c>
      <c r="E1233" s="2" t="n">
        <v>1901</v>
      </c>
      <c r="F1233" s="2" t="n">
        <v>1</v>
      </c>
      <c r="G1233" s="2" t="n">
        <v>1</v>
      </c>
      <c r="H1233" s="2" t="n">
        <v>0</v>
      </c>
      <c r="I1233" s="2" t="n">
        <v>0</v>
      </c>
    </row>
    <row r="1234">
      <c r="A1234" s="2" t="n">
        <v>1232</v>
      </c>
      <c r="B1234" s="2" t="inlineStr">
        <is>
          <t>insert</t>
        </is>
      </c>
      <c r="C1234" s="2" t="inlineStr">
        <is>
          <t>openssl 3.5.8 default</t>
        </is>
      </c>
      <c r="D1234" s="2" t="n">
        <v>1557</v>
      </c>
      <c r="E1234" s="2" t="n">
        <v>1557</v>
      </c>
      <c r="F1234" s="2" t="n">
        <v>1</v>
      </c>
      <c r="G1234" s="2" t="n">
        <v>1</v>
      </c>
      <c r="H1234" s="2" t="n">
        <v>1</v>
      </c>
      <c r="I1234" s="2" t="n">
        <v>0</v>
      </c>
    </row>
    <row r="1235">
      <c r="A1235" s="2" t="n">
        <v>1233</v>
      </c>
      <c r="B1235" s="2" t="inlineStr">
        <is>
          <t>flip</t>
        </is>
      </c>
      <c r="C1235" s="2" t="inlineStr">
        <is>
          <t>openssl 3.5.8 default</t>
        </is>
      </c>
      <c r="D1235" s="2" t="n">
        <v>1548</v>
      </c>
      <c r="E1235" s="2" t="n">
        <v>1548</v>
      </c>
      <c r="F1235" s="2" t="n">
        <v>1</v>
      </c>
      <c r="G1235" s="2" t="n">
        <v>1</v>
      </c>
      <c r="H1235" s="2" t="n">
        <v>1</v>
      </c>
      <c r="I1235" s="2" t="n">
        <v>0</v>
      </c>
    </row>
    <row r="1236">
      <c r="A1236" s="2" t="n">
        <v>1234</v>
      </c>
      <c r="B1236" s="2" t="inlineStr">
        <is>
          <t>truncate</t>
        </is>
      </c>
      <c r="C1236" s="2" t="inlineStr">
        <is>
          <t>openssl 3.5.8 default</t>
        </is>
      </c>
      <c r="D1236" s="2" t="n">
        <v>690</v>
      </c>
      <c r="E1236" s="2" t="n">
        <v>690</v>
      </c>
      <c r="F1236" s="2" t="n">
        <v>1</v>
      </c>
      <c r="G1236" s="2" t="n">
        <v>1</v>
      </c>
      <c r="H1236" s="2" t="n">
        <v>1</v>
      </c>
      <c r="I1236" s="2" t="n">
        <v>0</v>
      </c>
    </row>
    <row r="1237">
      <c r="A1237" s="2" t="n">
        <v>1235</v>
      </c>
      <c r="B1237" s="2" t="inlineStr">
        <is>
          <t>length</t>
        </is>
      </c>
      <c r="C1237" s="2" t="inlineStr">
        <is>
          <t>browser firefox147</t>
        </is>
      </c>
      <c r="D1237" s="2" t="n">
        <v>1901</v>
      </c>
      <c r="E1237" s="2" t="n">
        <v>1901</v>
      </c>
      <c r="F1237" s="2" t="n">
        <v>1</v>
      </c>
      <c r="G1237" s="2" t="n">
        <v>1</v>
      </c>
      <c r="H1237" s="2" t="n">
        <v>0</v>
      </c>
      <c r="I1237" s="2" t="n">
        <v>0</v>
      </c>
    </row>
    <row r="1238">
      <c r="A1238" s="2" t="n">
        <v>1236</v>
      </c>
      <c r="B1238" s="2" t="inlineStr">
        <is>
          <t>insert</t>
        </is>
      </c>
      <c r="C1238" s="2" t="inlineStr">
        <is>
          <t>openssl TLS 1.2 only</t>
        </is>
      </c>
      <c r="D1238" s="2" t="n">
        <v>226</v>
      </c>
      <c r="E1238" s="2" t="n">
        <v>226</v>
      </c>
      <c r="F1238" s="2" t="n">
        <v>1</v>
      </c>
      <c r="G1238" s="2" t="n">
        <v>1</v>
      </c>
      <c r="H1238" s="2" t="n">
        <v>0</v>
      </c>
      <c r="I1238" s="2" t="n">
        <v>0</v>
      </c>
    </row>
    <row r="1239">
      <c r="A1239" s="2" t="n">
        <v>1237</v>
      </c>
      <c r="B1239" s="2" t="inlineStr">
        <is>
          <t>flip</t>
        </is>
      </c>
      <c r="C1239" s="2" t="inlineStr">
        <is>
          <t>browser chrome150</t>
        </is>
      </c>
      <c r="D1239" s="2" t="n">
        <v>1763</v>
      </c>
      <c r="E1239" s="2" t="n">
        <v>1763</v>
      </c>
      <c r="F1239" s="2" t="n">
        <v>1</v>
      </c>
      <c r="G1239" s="2" t="n">
        <v>1</v>
      </c>
      <c r="H1239" s="2" t="n">
        <v>1</v>
      </c>
      <c r="I1239" s="2" t="n">
        <v>0</v>
      </c>
    </row>
    <row r="1240">
      <c r="A1240" s="2" t="n">
        <v>1238</v>
      </c>
      <c r="B1240" s="2" t="inlineStr">
        <is>
          <t>truncate</t>
        </is>
      </c>
      <c r="C1240" s="2" t="inlineStr">
        <is>
          <t>openssl TLS 1.2 only</t>
        </is>
      </c>
      <c r="D1240" s="2" t="n">
        <v>37</v>
      </c>
      <c r="E1240" s="2" t="n">
        <v>37</v>
      </c>
      <c r="F1240" s="2" t="n">
        <v>1</v>
      </c>
      <c r="G1240" s="2" t="n">
        <v>0</v>
      </c>
      <c r="H1240" s="2" t="n">
        <v>0</v>
      </c>
      <c r="I1240" s="2" t="n">
        <v>0</v>
      </c>
    </row>
    <row r="1241">
      <c r="A1241" s="2" t="n">
        <v>1239</v>
      </c>
      <c r="B1241" s="2" t="inlineStr">
        <is>
          <t>length</t>
        </is>
      </c>
      <c r="C1241" s="2" t="inlineStr">
        <is>
          <t>browser firefox147</t>
        </is>
      </c>
      <c r="D1241" s="2" t="n">
        <v>1901</v>
      </c>
      <c r="E1241" s="2" t="n">
        <v>1901</v>
      </c>
      <c r="F1241" s="2" t="n">
        <v>1</v>
      </c>
      <c r="G1241" s="2" t="n">
        <v>1</v>
      </c>
      <c r="H1241" s="2" t="n">
        <v>0</v>
      </c>
      <c r="I1241" s="2" t="n">
        <v>0</v>
      </c>
    </row>
    <row r="1242">
      <c r="A1242" s="2" t="n">
        <v>1240</v>
      </c>
      <c r="B1242" s="2" t="inlineStr">
        <is>
          <t>insert</t>
        </is>
      </c>
      <c r="C1242" s="2" t="inlineStr">
        <is>
          <t>browser chrome150</t>
        </is>
      </c>
      <c r="D1242" s="2" t="n">
        <v>1768</v>
      </c>
      <c r="E1242" s="2" t="n">
        <v>1768</v>
      </c>
      <c r="F1242" s="2" t="n">
        <v>1</v>
      </c>
      <c r="G1242" s="2" t="n">
        <v>1</v>
      </c>
      <c r="H1242" s="2" t="n">
        <v>1</v>
      </c>
      <c r="I1242" s="2" t="n">
        <v>0</v>
      </c>
    </row>
    <row r="1243">
      <c r="A1243" s="2" t="n">
        <v>1241</v>
      </c>
      <c r="B1243" s="2" t="inlineStr">
        <is>
          <t>flip</t>
        </is>
      </c>
      <c r="C1243" s="2" t="inlineStr">
        <is>
          <t>openssl 3.5.8 default</t>
        </is>
      </c>
      <c r="D1243" s="2" t="n">
        <v>1548</v>
      </c>
      <c r="E1243" s="2" t="n">
        <v>1548</v>
      </c>
      <c r="F1243" s="2" t="n">
        <v>1</v>
      </c>
      <c r="G1243" s="2" t="n">
        <v>1</v>
      </c>
      <c r="H1243" s="2" t="n">
        <v>1</v>
      </c>
      <c r="I1243" s="2" t="n">
        <v>0</v>
      </c>
    </row>
    <row r="1244">
      <c r="A1244" s="2" t="n">
        <v>1242</v>
      </c>
      <c r="B1244" s="2" t="inlineStr">
        <is>
          <t>truncate</t>
        </is>
      </c>
      <c r="C1244" s="2" t="inlineStr">
        <is>
          <t>browser chrome150</t>
        </is>
      </c>
      <c r="D1244" s="2" t="n">
        <v>229</v>
      </c>
      <c r="E1244" s="2" t="n">
        <v>229</v>
      </c>
      <c r="F1244" s="2" t="n">
        <v>1</v>
      </c>
      <c r="G1244" s="2" t="n">
        <v>1</v>
      </c>
      <c r="H1244" s="2" t="n">
        <v>1</v>
      </c>
      <c r="I1244" s="2" t="n">
        <v>0</v>
      </c>
    </row>
    <row r="1245">
      <c r="A1245" s="2" t="n">
        <v>1243</v>
      </c>
      <c r="B1245" s="2" t="inlineStr">
        <is>
          <t>length</t>
        </is>
      </c>
      <c r="C1245" s="2" t="inlineStr">
        <is>
          <t>browser chrome150</t>
        </is>
      </c>
      <c r="D1245" s="2" t="n">
        <v>1763</v>
      </c>
      <c r="E1245" s="2" t="n">
        <v>1763</v>
      </c>
      <c r="F1245" s="2" t="n">
        <v>1</v>
      </c>
      <c r="G1245" s="2" t="n">
        <v>1</v>
      </c>
      <c r="H1245" s="2" t="n">
        <v>1</v>
      </c>
      <c r="I1245" s="2" t="n">
        <v>0</v>
      </c>
    </row>
    <row r="1246">
      <c r="A1246" s="2" t="n">
        <v>1244</v>
      </c>
      <c r="B1246" s="2" t="inlineStr">
        <is>
          <t>insert</t>
        </is>
      </c>
      <c r="C1246" s="2" t="inlineStr">
        <is>
          <t>browser chrome150</t>
        </is>
      </c>
      <c r="D1246" s="2" t="n">
        <v>1766</v>
      </c>
      <c r="E1246" s="2" t="n">
        <v>1766</v>
      </c>
      <c r="F1246" s="2" t="n">
        <v>1</v>
      </c>
      <c r="G1246" s="2" t="n">
        <v>1</v>
      </c>
      <c r="H1246" s="2" t="n">
        <v>1</v>
      </c>
      <c r="I1246" s="2" t="n">
        <v>0</v>
      </c>
    </row>
    <row r="1247">
      <c r="A1247" s="2" t="n">
        <v>1245</v>
      </c>
      <c r="B1247" s="2" t="inlineStr">
        <is>
          <t>flip</t>
        </is>
      </c>
      <c r="C1247" s="2" t="inlineStr">
        <is>
          <t>openssl X25519 only (classical)</t>
        </is>
      </c>
      <c r="D1247" s="2" t="n">
        <v>314</v>
      </c>
      <c r="E1247" s="2" t="n">
        <v>314</v>
      </c>
      <c r="F1247" s="2" t="n">
        <v>1</v>
      </c>
      <c r="G1247" s="2" t="n">
        <v>1</v>
      </c>
      <c r="H1247" s="2" t="n">
        <v>1</v>
      </c>
      <c r="I1247" s="2" t="n">
        <v>0</v>
      </c>
    </row>
    <row r="1248">
      <c r="A1248" s="2" t="n">
        <v>1246</v>
      </c>
      <c r="B1248" s="2" t="inlineStr">
        <is>
          <t>truncate</t>
        </is>
      </c>
      <c r="C1248" s="2" t="inlineStr">
        <is>
          <t>openssl X25519 only (classical)</t>
        </is>
      </c>
      <c r="D1248" s="2" t="n">
        <v>175</v>
      </c>
      <c r="E1248" s="2" t="n">
        <v>175</v>
      </c>
      <c r="F1248" s="2" t="n">
        <v>1</v>
      </c>
      <c r="G1248" s="2" t="n">
        <v>1</v>
      </c>
      <c r="H1248" s="2" t="n">
        <v>0</v>
      </c>
      <c r="I1248" s="2" t="n">
        <v>0</v>
      </c>
    </row>
    <row r="1249">
      <c r="A1249" s="2" t="n">
        <v>1247</v>
      </c>
      <c r="B1249" s="2" t="inlineStr">
        <is>
          <t>length</t>
        </is>
      </c>
      <c r="C1249" s="2" t="inlineStr">
        <is>
          <t>openssl 3.5.8 default</t>
        </is>
      </c>
      <c r="D1249" s="2" t="n">
        <v>1548</v>
      </c>
      <c r="E1249" s="2" t="n">
        <v>1548</v>
      </c>
      <c r="F1249" s="2" t="n">
        <v>1</v>
      </c>
      <c r="G1249" s="2" t="n">
        <v>0</v>
      </c>
      <c r="H1249" s="2" t="n">
        <v>0</v>
      </c>
      <c r="I1249" s="2" t="n">
        <v>0</v>
      </c>
    </row>
    <row r="1250">
      <c r="A1250" s="2" t="n">
        <v>1248</v>
      </c>
      <c r="B1250" s="2" t="inlineStr">
        <is>
          <t>insert</t>
        </is>
      </c>
      <c r="C1250" s="2" t="inlineStr">
        <is>
          <t>browser chrome150</t>
        </is>
      </c>
      <c r="D1250" s="2" t="n">
        <v>1777</v>
      </c>
      <c r="E1250" s="2" t="n">
        <v>1777</v>
      </c>
      <c r="F1250" s="2" t="n">
        <v>1</v>
      </c>
      <c r="G1250" s="2" t="n">
        <v>1</v>
      </c>
      <c r="H1250" s="2" t="n">
        <v>1</v>
      </c>
      <c r="I1250" s="2" t="n">
        <v>0</v>
      </c>
    </row>
    <row r="1251">
      <c r="A1251" s="2" t="n">
        <v>1249</v>
      </c>
      <c r="B1251" s="2" t="inlineStr">
        <is>
          <t>flip</t>
        </is>
      </c>
      <c r="C1251" s="2" t="inlineStr">
        <is>
          <t>openssl X25519 only (classical)</t>
        </is>
      </c>
      <c r="D1251" s="2" t="n">
        <v>314</v>
      </c>
      <c r="E1251" s="2" t="n">
        <v>314</v>
      </c>
      <c r="F1251" s="2" t="n">
        <v>1</v>
      </c>
      <c r="G1251" s="2" t="n">
        <v>1</v>
      </c>
      <c r="H1251" s="2" t="n">
        <v>1</v>
      </c>
      <c r="I1251" s="2" t="n">
        <v>0</v>
      </c>
    </row>
    <row r="1252">
      <c r="A1252" s="2" t="n">
        <v>1250</v>
      </c>
      <c r="B1252" s="2" t="inlineStr">
        <is>
          <t>truncate</t>
        </is>
      </c>
      <c r="C1252" s="2" t="inlineStr">
        <is>
          <t>openssl 3.5.8 default</t>
        </is>
      </c>
      <c r="D1252" s="2" t="n">
        <v>350</v>
      </c>
      <c r="E1252" s="2" t="n">
        <v>350</v>
      </c>
      <c r="F1252" s="2" t="n">
        <v>1</v>
      </c>
      <c r="G1252" s="2" t="n">
        <v>1</v>
      </c>
      <c r="H1252" s="2" t="n">
        <v>1</v>
      </c>
      <c r="I1252" s="2" t="n">
        <v>0</v>
      </c>
    </row>
    <row r="1253">
      <c r="A1253" s="2" t="n">
        <v>1251</v>
      </c>
      <c r="B1253" s="2" t="inlineStr">
        <is>
          <t>length</t>
        </is>
      </c>
      <c r="C1253" s="2" t="inlineStr">
        <is>
          <t>openssl TLS 1.2 only</t>
        </is>
      </c>
      <c r="D1253" s="2" t="n">
        <v>215</v>
      </c>
      <c r="E1253" s="2" t="n">
        <v>215</v>
      </c>
      <c r="F1253" s="2" t="n">
        <v>1</v>
      </c>
      <c r="G1253" s="2" t="n">
        <v>1</v>
      </c>
      <c r="H1253" s="2" t="n">
        <v>1</v>
      </c>
      <c r="I1253" s="2" t="n">
        <v>0</v>
      </c>
    </row>
    <row r="1254">
      <c r="A1254" s="2" t="n">
        <v>1252</v>
      </c>
      <c r="B1254" s="2" t="inlineStr">
        <is>
          <t>insert</t>
        </is>
      </c>
      <c r="C1254" s="2" t="inlineStr">
        <is>
          <t>browser chrome150</t>
        </is>
      </c>
      <c r="D1254" s="2" t="n">
        <v>1770</v>
      </c>
      <c r="E1254" s="2" t="n">
        <v>1770</v>
      </c>
      <c r="F1254" s="2" t="n">
        <v>1</v>
      </c>
      <c r="G1254" s="2" t="n">
        <v>1</v>
      </c>
      <c r="H1254" s="2" t="n">
        <v>1</v>
      </c>
      <c r="I1254" s="2" t="n">
        <v>0</v>
      </c>
    </row>
    <row r="1255">
      <c r="A1255" s="2" t="n">
        <v>1253</v>
      </c>
      <c r="B1255" s="2" t="inlineStr">
        <is>
          <t>flip</t>
        </is>
      </c>
      <c r="C1255" s="2" t="inlineStr">
        <is>
          <t>openssl X25519 only (classical)</t>
        </is>
      </c>
      <c r="D1255" s="2" t="n">
        <v>314</v>
      </c>
      <c r="E1255" s="2" t="n">
        <v>314</v>
      </c>
      <c r="F1255" s="2" t="n">
        <v>1</v>
      </c>
      <c r="G1255" s="2" t="n">
        <v>1</v>
      </c>
      <c r="H1255" s="2" t="n">
        <v>1</v>
      </c>
      <c r="I1255" s="2" t="n">
        <v>0</v>
      </c>
    </row>
    <row r="1256">
      <c r="A1256" s="2" t="n">
        <v>1254</v>
      </c>
      <c r="B1256" s="2" t="inlineStr">
        <is>
          <t>truncate</t>
        </is>
      </c>
      <c r="C1256" s="2" t="inlineStr">
        <is>
          <t>openssl X25519 only (classical)</t>
        </is>
      </c>
      <c r="D1256" s="2" t="n">
        <v>203</v>
      </c>
      <c r="E1256" s="2" t="n">
        <v>203</v>
      </c>
      <c r="F1256" s="2" t="n">
        <v>1</v>
      </c>
      <c r="G1256" s="2" t="n">
        <v>1</v>
      </c>
      <c r="H1256" s="2" t="n">
        <v>0</v>
      </c>
      <c r="I1256" s="2" t="n">
        <v>0</v>
      </c>
    </row>
    <row r="1257">
      <c r="A1257" s="2" t="n">
        <v>1255</v>
      </c>
      <c r="B1257" s="2" t="inlineStr">
        <is>
          <t>length</t>
        </is>
      </c>
      <c r="C1257" s="2" t="inlineStr">
        <is>
          <t>openssl X25519 only (classical)</t>
        </is>
      </c>
      <c r="D1257" s="2" t="n">
        <v>314</v>
      </c>
      <c r="E1257" s="2" t="n">
        <v>314</v>
      </c>
      <c r="F1257" s="2" t="n">
        <v>1</v>
      </c>
      <c r="G1257" s="2" t="n">
        <v>1</v>
      </c>
      <c r="H1257" s="2" t="n">
        <v>0</v>
      </c>
      <c r="I1257" s="2" t="n">
        <v>0</v>
      </c>
    </row>
    <row r="1258">
      <c r="A1258" s="2" t="n">
        <v>1256</v>
      </c>
      <c r="B1258" s="2" t="inlineStr">
        <is>
          <t>insert</t>
        </is>
      </c>
      <c r="C1258" s="2" t="inlineStr">
        <is>
          <t>openssl TLS 1.2 only</t>
        </is>
      </c>
      <c r="D1258" s="2" t="n">
        <v>217</v>
      </c>
      <c r="E1258" s="2" t="n">
        <v>217</v>
      </c>
      <c r="F1258" s="2" t="n">
        <v>1</v>
      </c>
      <c r="G1258" s="2" t="n">
        <v>1</v>
      </c>
      <c r="H1258" s="2" t="n">
        <v>0</v>
      </c>
      <c r="I1258" s="2" t="n">
        <v>0</v>
      </c>
    </row>
    <row r="1259">
      <c r="A1259" s="2" t="n">
        <v>1257</v>
      </c>
      <c r="B1259" s="2" t="inlineStr">
        <is>
          <t>flip</t>
        </is>
      </c>
      <c r="C1259" s="2" t="inlineStr">
        <is>
          <t>browser chrome150</t>
        </is>
      </c>
      <c r="D1259" s="2" t="n">
        <v>1763</v>
      </c>
      <c r="E1259" s="2" t="n">
        <v>1763</v>
      </c>
      <c r="F1259" s="2" t="n">
        <v>1</v>
      </c>
      <c r="G1259" s="2" t="n">
        <v>1</v>
      </c>
      <c r="H1259" s="2" t="n">
        <v>1</v>
      </c>
      <c r="I1259" s="2" t="n">
        <v>0</v>
      </c>
    </row>
    <row r="1260">
      <c r="A1260" s="2" t="n">
        <v>1258</v>
      </c>
      <c r="B1260" s="2" t="inlineStr">
        <is>
          <t>truncate</t>
        </is>
      </c>
      <c r="C1260" s="2" t="inlineStr">
        <is>
          <t>openssl X25519 only (classical)</t>
        </is>
      </c>
      <c r="D1260" s="2" t="n">
        <v>123</v>
      </c>
      <c r="E1260" s="2" t="n">
        <v>123</v>
      </c>
      <c r="F1260" s="2" t="n">
        <v>1</v>
      </c>
      <c r="G1260" s="2" t="n">
        <v>0</v>
      </c>
      <c r="H1260" s="2" t="n">
        <v>0</v>
      </c>
      <c r="I1260" s="2" t="n">
        <v>0</v>
      </c>
    </row>
    <row r="1261">
      <c r="A1261" s="2" t="n">
        <v>1259</v>
      </c>
      <c r="B1261" s="2" t="inlineStr">
        <is>
          <t>length</t>
        </is>
      </c>
      <c r="C1261" s="2" t="inlineStr">
        <is>
          <t>openssl TLS 1.2 only</t>
        </is>
      </c>
      <c r="D1261" s="2" t="n">
        <v>215</v>
      </c>
      <c r="E1261" s="2" t="n">
        <v>215</v>
      </c>
      <c r="F1261" s="2" t="n">
        <v>1</v>
      </c>
      <c r="G1261" s="2" t="n">
        <v>1</v>
      </c>
      <c r="H1261" s="2" t="n">
        <v>1</v>
      </c>
      <c r="I1261" s="2" t="n">
        <v>0</v>
      </c>
    </row>
    <row r="1262">
      <c r="A1262" s="2" t="n">
        <v>1260</v>
      </c>
      <c r="B1262" s="2" t="inlineStr">
        <is>
          <t>insert</t>
        </is>
      </c>
      <c r="C1262" s="2" t="inlineStr">
        <is>
          <t>browser chrome150</t>
        </is>
      </c>
      <c r="D1262" s="2" t="n">
        <v>1779</v>
      </c>
      <c r="E1262" s="2" t="n">
        <v>1779</v>
      </c>
      <c r="F1262" s="2" t="n">
        <v>1</v>
      </c>
      <c r="G1262" s="2" t="n">
        <v>0</v>
      </c>
      <c r="H1262" s="2" t="n">
        <v>0</v>
      </c>
      <c r="I1262" s="2" t="n">
        <v>0</v>
      </c>
    </row>
    <row r="1263">
      <c r="A1263" s="2" t="n">
        <v>1261</v>
      </c>
      <c r="B1263" s="2" t="inlineStr">
        <is>
          <t>flip</t>
        </is>
      </c>
      <c r="C1263" s="2" t="inlineStr">
        <is>
          <t>openssl X25519 only (classical)</t>
        </is>
      </c>
      <c r="D1263" s="2" t="n">
        <v>314</v>
      </c>
      <c r="E1263" s="2" t="n">
        <v>314</v>
      </c>
      <c r="F1263" s="2" t="n">
        <v>1</v>
      </c>
      <c r="G1263" s="2" t="n">
        <v>1</v>
      </c>
      <c r="H1263" s="2" t="n">
        <v>1</v>
      </c>
      <c r="I1263" s="2" t="n">
        <v>0</v>
      </c>
    </row>
    <row r="1264">
      <c r="A1264" s="2" t="n">
        <v>1262</v>
      </c>
      <c r="B1264" s="2" t="inlineStr">
        <is>
          <t>truncate</t>
        </is>
      </c>
      <c r="C1264" s="2" t="inlineStr">
        <is>
          <t>openssl TLS 1.2 only</t>
        </is>
      </c>
      <c r="D1264" s="2" t="n">
        <v>93</v>
      </c>
      <c r="E1264" s="2" t="n">
        <v>93</v>
      </c>
      <c r="F1264" s="2" t="n">
        <v>1</v>
      </c>
      <c r="G1264" s="2" t="n">
        <v>0</v>
      </c>
      <c r="H1264" s="2" t="n">
        <v>0</v>
      </c>
      <c r="I1264" s="2" t="n">
        <v>0</v>
      </c>
    </row>
    <row r="1265">
      <c r="A1265" s="2" t="n">
        <v>1263</v>
      </c>
      <c r="B1265" s="2" t="inlineStr">
        <is>
          <t>length</t>
        </is>
      </c>
      <c r="C1265" s="2" t="inlineStr">
        <is>
          <t>browser chrome150</t>
        </is>
      </c>
      <c r="D1265" s="2" t="n">
        <v>1763</v>
      </c>
      <c r="E1265" s="2" t="n">
        <v>1763</v>
      </c>
      <c r="F1265" s="2" t="n">
        <v>0</v>
      </c>
      <c r="G1265" s="2" t="n">
        <v>0</v>
      </c>
      <c r="H1265" s="2" t="n">
        <v>0</v>
      </c>
      <c r="I1265" s="2" t="n">
        <v>0</v>
      </c>
    </row>
    <row r="1266">
      <c r="A1266" s="2" t="n">
        <v>1264</v>
      </c>
      <c r="B1266" s="2" t="inlineStr">
        <is>
          <t>insert</t>
        </is>
      </c>
      <c r="C1266" s="2" t="inlineStr">
        <is>
          <t>openssl TLS 1.2 only</t>
        </is>
      </c>
      <c r="D1266" s="2" t="n">
        <v>220</v>
      </c>
      <c r="E1266" s="2" t="n">
        <v>220</v>
      </c>
      <c r="F1266" s="2" t="n">
        <v>1</v>
      </c>
      <c r="G1266" s="2" t="n">
        <v>0</v>
      </c>
      <c r="H1266" s="2" t="n">
        <v>0</v>
      </c>
      <c r="I1266" s="2" t="n">
        <v>0</v>
      </c>
    </row>
    <row r="1267">
      <c r="A1267" s="2" t="n">
        <v>1265</v>
      </c>
      <c r="B1267" s="2" t="inlineStr">
        <is>
          <t>flip</t>
        </is>
      </c>
      <c r="C1267" s="2" t="inlineStr">
        <is>
          <t>browser chrome150</t>
        </is>
      </c>
      <c r="D1267" s="2" t="n">
        <v>1763</v>
      </c>
      <c r="E1267" s="2" t="n">
        <v>1763</v>
      </c>
      <c r="F1267" s="2" t="n">
        <v>1</v>
      </c>
      <c r="G1267" s="2" t="n">
        <v>1</v>
      </c>
      <c r="H1267" s="2" t="n">
        <v>1</v>
      </c>
      <c r="I1267" s="2" t="n">
        <v>0</v>
      </c>
    </row>
    <row r="1268">
      <c r="A1268" s="2" t="n">
        <v>1266</v>
      </c>
      <c r="B1268" s="2" t="inlineStr">
        <is>
          <t>truncate</t>
        </is>
      </c>
      <c r="C1268" s="2" t="inlineStr">
        <is>
          <t>openssl X25519 only (classical)</t>
        </is>
      </c>
      <c r="D1268" s="2" t="n">
        <v>8</v>
      </c>
      <c r="E1268" s="2" t="n">
        <v>8</v>
      </c>
      <c r="F1268" s="2" t="n">
        <v>1</v>
      </c>
      <c r="G1268" s="2" t="n">
        <v>0</v>
      </c>
      <c r="H1268" s="2" t="n">
        <v>0</v>
      </c>
      <c r="I1268" s="2" t="n">
        <v>0</v>
      </c>
    </row>
    <row r="1269">
      <c r="A1269" s="2" t="n">
        <v>1267</v>
      </c>
      <c r="B1269" s="2" t="inlineStr">
        <is>
          <t>length</t>
        </is>
      </c>
      <c r="C1269" s="2" t="inlineStr">
        <is>
          <t>browser chrome150</t>
        </is>
      </c>
      <c r="D1269" s="2" t="n">
        <v>1763</v>
      </c>
      <c r="E1269" s="2" t="n">
        <v>1763</v>
      </c>
      <c r="F1269" s="2" t="n">
        <v>1</v>
      </c>
      <c r="G1269" s="2" t="n">
        <v>1</v>
      </c>
      <c r="H1269" s="2" t="n">
        <v>0</v>
      </c>
      <c r="I1269" s="2" t="n">
        <v>0</v>
      </c>
    </row>
    <row r="1270">
      <c r="A1270" s="2" t="n">
        <v>1268</v>
      </c>
      <c r="B1270" s="2" t="inlineStr">
        <is>
          <t>insert</t>
        </is>
      </c>
      <c r="C1270" s="2" t="inlineStr">
        <is>
          <t>browser chrome150</t>
        </is>
      </c>
      <c r="D1270" s="2" t="n">
        <v>1767</v>
      </c>
      <c r="E1270" s="2" t="n">
        <v>1767</v>
      </c>
      <c r="F1270" s="2" t="n">
        <v>1</v>
      </c>
      <c r="G1270" s="2" t="n">
        <v>1</v>
      </c>
      <c r="H1270" s="2" t="n">
        <v>1</v>
      </c>
      <c r="I1270" s="2" t="n">
        <v>0</v>
      </c>
    </row>
    <row r="1271">
      <c r="A1271" s="2" t="n">
        <v>1269</v>
      </c>
      <c r="B1271" s="2" t="inlineStr">
        <is>
          <t>flip</t>
        </is>
      </c>
      <c r="C1271" s="2" t="inlineStr">
        <is>
          <t>openssl TLS 1.2 only</t>
        </is>
      </c>
      <c r="D1271" s="2" t="n">
        <v>215</v>
      </c>
      <c r="E1271" s="2" t="n">
        <v>215</v>
      </c>
      <c r="F1271" s="2" t="n">
        <v>1</v>
      </c>
      <c r="G1271" s="2" t="n">
        <v>1</v>
      </c>
      <c r="H1271" s="2" t="n">
        <v>1</v>
      </c>
      <c r="I1271" s="2" t="n">
        <v>0</v>
      </c>
    </row>
    <row r="1272">
      <c r="A1272" s="2" t="n">
        <v>1270</v>
      </c>
      <c r="B1272" s="2" t="inlineStr">
        <is>
          <t>truncate</t>
        </is>
      </c>
      <c r="C1272" s="2" t="inlineStr">
        <is>
          <t>openssl TLS 1.2 only</t>
        </is>
      </c>
      <c r="D1272" s="2" t="n">
        <v>204</v>
      </c>
      <c r="E1272" s="2" t="n">
        <v>204</v>
      </c>
      <c r="F1272" s="2" t="n">
        <v>1</v>
      </c>
      <c r="G1272" s="2" t="n">
        <v>1</v>
      </c>
      <c r="H1272" s="2" t="n">
        <v>1</v>
      </c>
      <c r="I1272" s="2" t="n">
        <v>0</v>
      </c>
    </row>
    <row r="1273">
      <c r="A1273" s="2" t="n">
        <v>1271</v>
      </c>
      <c r="B1273" s="2" t="inlineStr">
        <is>
          <t>length</t>
        </is>
      </c>
      <c r="C1273" s="2" t="inlineStr">
        <is>
          <t>openssl TLS 1.2 only</t>
        </is>
      </c>
      <c r="D1273" s="2" t="n">
        <v>215</v>
      </c>
      <c r="E1273" s="2" t="n">
        <v>215</v>
      </c>
      <c r="F1273" s="2" t="n">
        <v>1</v>
      </c>
      <c r="G1273" s="2" t="n">
        <v>1</v>
      </c>
      <c r="H1273" s="2" t="n">
        <v>1</v>
      </c>
      <c r="I1273" s="2" t="n">
        <v>0</v>
      </c>
    </row>
    <row r="1274">
      <c r="A1274" s="2" t="n">
        <v>1272</v>
      </c>
      <c r="B1274" s="2" t="inlineStr">
        <is>
          <t>insert</t>
        </is>
      </c>
      <c r="C1274" s="2" t="inlineStr">
        <is>
          <t>openssl TLS 1.2 only</t>
        </is>
      </c>
      <c r="D1274" s="2" t="n">
        <v>225</v>
      </c>
      <c r="E1274" s="2" t="n">
        <v>225</v>
      </c>
      <c r="F1274" s="2" t="n">
        <v>1</v>
      </c>
      <c r="G1274" s="2" t="n">
        <v>1</v>
      </c>
      <c r="H1274" s="2" t="n">
        <v>0</v>
      </c>
      <c r="I1274" s="2" t="n">
        <v>0</v>
      </c>
    </row>
    <row r="1275">
      <c r="A1275" s="2" t="n">
        <v>1273</v>
      </c>
      <c r="B1275" s="2" t="inlineStr">
        <is>
          <t>flip</t>
        </is>
      </c>
      <c r="C1275" s="2" t="inlineStr">
        <is>
          <t>openssl TLS 1.2 only</t>
        </is>
      </c>
      <c r="D1275" s="2" t="n">
        <v>215</v>
      </c>
      <c r="E1275" s="2" t="n">
        <v>215</v>
      </c>
      <c r="F1275" s="2" t="n">
        <v>1</v>
      </c>
      <c r="G1275" s="2" t="n">
        <v>1</v>
      </c>
      <c r="H1275" s="2" t="n">
        <v>1</v>
      </c>
      <c r="I1275" s="2" t="n">
        <v>0</v>
      </c>
    </row>
    <row r="1276">
      <c r="A1276" s="2" t="n">
        <v>1274</v>
      </c>
      <c r="B1276" s="2" t="inlineStr">
        <is>
          <t>truncate</t>
        </is>
      </c>
      <c r="C1276" s="2" t="inlineStr">
        <is>
          <t>openssl TLS 1.2 only</t>
        </is>
      </c>
      <c r="D1276" s="2" t="n">
        <v>119</v>
      </c>
      <c r="E1276" s="2" t="n">
        <v>119</v>
      </c>
      <c r="F1276" s="2" t="n">
        <v>1</v>
      </c>
      <c r="G1276" s="2" t="n">
        <v>1</v>
      </c>
      <c r="H1276" s="2" t="n">
        <v>0</v>
      </c>
      <c r="I1276" s="2" t="n">
        <v>0</v>
      </c>
    </row>
    <row r="1277">
      <c r="A1277" s="2" t="n">
        <v>1275</v>
      </c>
      <c r="B1277" s="2" t="inlineStr">
        <is>
          <t>length</t>
        </is>
      </c>
      <c r="C1277" s="2" t="inlineStr">
        <is>
          <t>browser firefox147</t>
        </is>
      </c>
      <c r="D1277" s="2" t="n">
        <v>1901</v>
      </c>
      <c r="E1277" s="2" t="n">
        <v>1901</v>
      </c>
      <c r="F1277" s="2" t="n">
        <v>0</v>
      </c>
      <c r="G1277" s="2" t="n">
        <v>0</v>
      </c>
      <c r="H1277" s="2" t="n">
        <v>0</v>
      </c>
      <c r="I1277" s="2" t="n">
        <v>0</v>
      </c>
    </row>
    <row r="1278">
      <c r="A1278" s="2" t="n">
        <v>1276</v>
      </c>
      <c r="B1278" s="2" t="inlineStr">
        <is>
          <t>insert</t>
        </is>
      </c>
      <c r="C1278" s="2" t="inlineStr">
        <is>
          <t>browser chrome150</t>
        </is>
      </c>
      <c r="D1278" s="2" t="n">
        <v>1766</v>
      </c>
      <c r="E1278" s="2" t="n">
        <v>1766</v>
      </c>
      <c r="F1278" s="2" t="n">
        <v>1</v>
      </c>
      <c r="G1278" s="2" t="n">
        <v>1</v>
      </c>
      <c r="H1278" s="2" t="n">
        <v>1</v>
      </c>
      <c r="I1278" s="2" t="n">
        <v>0</v>
      </c>
    </row>
    <row r="1279">
      <c r="A1279" s="2" t="n">
        <v>1277</v>
      </c>
      <c r="B1279" s="2" t="inlineStr">
        <is>
          <t>flip</t>
        </is>
      </c>
      <c r="C1279" s="2" t="inlineStr">
        <is>
          <t>openssl TLS 1.2 only</t>
        </is>
      </c>
      <c r="D1279" s="2" t="n">
        <v>215</v>
      </c>
      <c r="E1279" s="2" t="n">
        <v>215</v>
      </c>
      <c r="F1279" s="2" t="n">
        <v>1</v>
      </c>
      <c r="G1279" s="2" t="n">
        <v>1</v>
      </c>
      <c r="H1279" s="2" t="n">
        <v>1</v>
      </c>
      <c r="I1279" s="2" t="n">
        <v>0</v>
      </c>
    </row>
    <row r="1280">
      <c r="A1280" s="2" t="n">
        <v>1278</v>
      </c>
      <c r="B1280" s="2" t="inlineStr">
        <is>
          <t>truncate</t>
        </is>
      </c>
      <c r="C1280" s="2" t="inlineStr">
        <is>
          <t>browser chrome150</t>
        </is>
      </c>
      <c r="D1280" s="2" t="n">
        <v>367</v>
      </c>
      <c r="E1280" s="2" t="n">
        <v>367</v>
      </c>
      <c r="F1280" s="2" t="n">
        <v>1</v>
      </c>
      <c r="G1280" s="2" t="n">
        <v>1</v>
      </c>
      <c r="H1280" s="2" t="n">
        <v>1</v>
      </c>
      <c r="I1280" s="2" t="n">
        <v>0</v>
      </c>
    </row>
    <row r="1281">
      <c r="A1281" s="2" t="n">
        <v>1279</v>
      </c>
      <c r="B1281" s="2" t="inlineStr">
        <is>
          <t>length</t>
        </is>
      </c>
      <c r="C1281" s="2" t="inlineStr">
        <is>
          <t>openssl X25519 only (classical)</t>
        </is>
      </c>
      <c r="D1281" s="2" t="n">
        <v>314</v>
      </c>
      <c r="E1281" s="2" t="n">
        <v>314</v>
      </c>
      <c r="F1281" s="2" t="n">
        <v>1</v>
      </c>
      <c r="G1281" s="2" t="n">
        <v>0</v>
      </c>
      <c r="H1281" s="2" t="n">
        <v>0</v>
      </c>
      <c r="I1281" s="2" t="n">
        <v>0</v>
      </c>
    </row>
    <row r="1282">
      <c r="A1282" s="2" t="n">
        <v>1280</v>
      </c>
      <c r="B1282" s="2" t="inlineStr">
        <is>
          <t>insert</t>
        </is>
      </c>
      <c r="C1282" s="2" t="inlineStr">
        <is>
          <t>openssl 3.5.8 default</t>
        </is>
      </c>
      <c r="D1282" s="2" t="n">
        <v>1554</v>
      </c>
      <c r="E1282" s="2" t="n">
        <v>1554</v>
      </c>
      <c r="F1282" s="2" t="n">
        <v>1</v>
      </c>
      <c r="G1282" s="2" t="n">
        <v>1</v>
      </c>
      <c r="H1282" s="2" t="n">
        <v>1</v>
      </c>
      <c r="I1282" s="2" t="n">
        <v>0</v>
      </c>
    </row>
    <row r="1283">
      <c r="A1283" s="2" t="n">
        <v>1281</v>
      </c>
      <c r="B1283" s="2" t="inlineStr">
        <is>
          <t>flip</t>
        </is>
      </c>
      <c r="C1283" s="2" t="inlineStr">
        <is>
          <t>browser firefox147</t>
        </is>
      </c>
      <c r="D1283" s="2" t="n">
        <v>1901</v>
      </c>
      <c r="E1283" s="2" t="n">
        <v>1901</v>
      </c>
      <c r="F1283" s="2" t="n">
        <v>1</v>
      </c>
      <c r="G1283" s="2" t="n">
        <v>1</v>
      </c>
      <c r="H1283" s="2" t="n">
        <v>0</v>
      </c>
      <c r="I1283" s="2" t="n">
        <v>0</v>
      </c>
    </row>
    <row r="1284">
      <c r="A1284" s="2" t="n">
        <v>1282</v>
      </c>
      <c r="B1284" s="2" t="inlineStr">
        <is>
          <t>truncate</t>
        </is>
      </c>
      <c r="C1284" s="2" t="inlineStr">
        <is>
          <t>openssl 3.5.8 default</t>
        </is>
      </c>
      <c r="D1284" s="2" t="n">
        <v>1519</v>
      </c>
      <c r="E1284" s="2" t="n">
        <v>1519</v>
      </c>
      <c r="F1284" s="2" t="n">
        <v>1</v>
      </c>
      <c r="G1284" s="2" t="n">
        <v>1</v>
      </c>
      <c r="H1284" s="2" t="n">
        <v>1</v>
      </c>
      <c r="I1284" s="2" t="n">
        <v>0</v>
      </c>
    </row>
    <row r="1285">
      <c r="A1285" s="2" t="n">
        <v>1283</v>
      </c>
      <c r="B1285" s="2" t="inlineStr">
        <is>
          <t>length</t>
        </is>
      </c>
      <c r="C1285" s="2" t="inlineStr">
        <is>
          <t>openssl X25519 only (classical)</t>
        </is>
      </c>
      <c r="D1285" s="2" t="n">
        <v>314</v>
      </c>
      <c r="E1285" s="2" t="n">
        <v>314</v>
      </c>
      <c r="F1285" s="2" t="n">
        <v>1</v>
      </c>
      <c r="G1285" s="2" t="n">
        <v>1</v>
      </c>
      <c r="H1285" s="2" t="n">
        <v>1</v>
      </c>
      <c r="I1285" s="2" t="n">
        <v>0</v>
      </c>
    </row>
    <row r="1286">
      <c r="A1286" s="2" t="n">
        <v>1284</v>
      </c>
      <c r="B1286" s="2" t="inlineStr">
        <is>
          <t>insert</t>
        </is>
      </c>
      <c r="C1286" s="2" t="inlineStr">
        <is>
          <t>browser firefox147</t>
        </is>
      </c>
      <c r="D1286" s="2" t="n">
        <v>1906</v>
      </c>
      <c r="E1286" s="2" t="n">
        <v>1906</v>
      </c>
      <c r="F1286" s="2" t="n">
        <v>1</v>
      </c>
      <c r="G1286" s="2" t="n">
        <v>1</v>
      </c>
      <c r="H1286" s="2" t="n">
        <v>0</v>
      </c>
      <c r="I1286" s="2" t="n">
        <v>0</v>
      </c>
    </row>
    <row r="1287">
      <c r="A1287" s="2" t="n">
        <v>1285</v>
      </c>
      <c r="B1287" s="2" t="inlineStr">
        <is>
          <t>flip</t>
        </is>
      </c>
      <c r="C1287" s="2" t="inlineStr">
        <is>
          <t>browser firefox147</t>
        </is>
      </c>
      <c r="D1287" s="2" t="n">
        <v>1901</v>
      </c>
      <c r="E1287" s="2" t="n">
        <v>1901</v>
      </c>
      <c r="F1287" s="2" t="n">
        <v>1</v>
      </c>
      <c r="G1287" s="2" t="n">
        <v>1</v>
      </c>
      <c r="H1287" s="2" t="n">
        <v>0</v>
      </c>
      <c r="I1287" s="2" t="n">
        <v>0</v>
      </c>
    </row>
    <row r="1288">
      <c r="A1288" s="2" t="n">
        <v>1286</v>
      </c>
      <c r="B1288" s="2" t="inlineStr">
        <is>
          <t>truncate</t>
        </is>
      </c>
      <c r="C1288" s="2" t="inlineStr">
        <is>
          <t>openssl TLS 1.2 only</t>
        </is>
      </c>
      <c r="D1288" s="2" t="n">
        <v>142</v>
      </c>
      <c r="E1288" s="2" t="n">
        <v>142</v>
      </c>
      <c r="F1288" s="2" t="n">
        <v>1</v>
      </c>
      <c r="G1288" s="2" t="n">
        <v>1</v>
      </c>
      <c r="H1288" s="2" t="n">
        <v>0</v>
      </c>
      <c r="I1288" s="2" t="n">
        <v>0</v>
      </c>
    </row>
    <row r="1289">
      <c r="A1289" s="2" t="n">
        <v>1287</v>
      </c>
      <c r="B1289" s="2" t="inlineStr">
        <is>
          <t>length</t>
        </is>
      </c>
      <c r="C1289" s="2" t="inlineStr">
        <is>
          <t>openssl TLS 1.2 only</t>
        </is>
      </c>
      <c r="D1289" s="2" t="n">
        <v>215</v>
      </c>
      <c r="E1289" s="2" t="n">
        <v>215</v>
      </c>
      <c r="F1289" s="2" t="n">
        <v>1</v>
      </c>
      <c r="G1289" s="2" t="n">
        <v>1</v>
      </c>
      <c r="H1289" s="2" t="n">
        <v>1</v>
      </c>
      <c r="I1289" s="2" t="n">
        <v>0</v>
      </c>
    </row>
    <row r="1290">
      <c r="A1290" s="2" t="n">
        <v>1288</v>
      </c>
      <c r="B1290" s="2" t="inlineStr">
        <is>
          <t>insert</t>
        </is>
      </c>
      <c r="C1290" s="2" t="inlineStr">
        <is>
          <t>browser chrome150</t>
        </is>
      </c>
      <c r="D1290" s="2" t="n">
        <v>1779</v>
      </c>
      <c r="E1290" s="2" t="n">
        <v>1779</v>
      </c>
      <c r="F1290" s="2" t="n">
        <v>1</v>
      </c>
      <c r="G1290" s="2" t="n">
        <v>1</v>
      </c>
      <c r="H1290" s="2" t="n">
        <v>1</v>
      </c>
      <c r="I1290" s="2" t="n">
        <v>0</v>
      </c>
    </row>
    <row r="1291">
      <c r="A1291" s="2" t="n">
        <v>1289</v>
      </c>
      <c r="B1291" s="2" t="inlineStr">
        <is>
          <t>flip</t>
        </is>
      </c>
      <c r="C1291" s="2" t="inlineStr">
        <is>
          <t>openssl TLS 1.2 only</t>
        </is>
      </c>
      <c r="D1291" s="2" t="n">
        <v>215</v>
      </c>
      <c r="E1291" s="2" t="n">
        <v>215</v>
      </c>
      <c r="F1291" s="2" t="n">
        <v>1</v>
      </c>
      <c r="G1291" s="2" t="n">
        <v>1</v>
      </c>
      <c r="H1291" s="2" t="n">
        <v>1</v>
      </c>
      <c r="I1291" s="2" t="n">
        <v>0</v>
      </c>
    </row>
    <row r="1292">
      <c r="A1292" s="2" t="n">
        <v>1290</v>
      </c>
      <c r="B1292" s="2" t="inlineStr">
        <is>
          <t>truncate</t>
        </is>
      </c>
      <c r="C1292" s="2" t="inlineStr">
        <is>
          <t>openssl TLS 1.2 only</t>
        </is>
      </c>
      <c r="D1292" s="2" t="n">
        <v>123</v>
      </c>
      <c r="E1292" s="2" t="n">
        <v>123</v>
      </c>
      <c r="F1292" s="2" t="n">
        <v>1</v>
      </c>
      <c r="G1292" s="2" t="n">
        <v>1</v>
      </c>
      <c r="H1292" s="2" t="n">
        <v>0</v>
      </c>
      <c r="I1292" s="2" t="n">
        <v>0</v>
      </c>
    </row>
    <row r="1293">
      <c r="A1293" s="2" t="n">
        <v>1291</v>
      </c>
      <c r="B1293" s="2" t="inlineStr">
        <is>
          <t>length</t>
        </is>
      </c>
      <c r="C1293" s="2" t="inlineStr">
        <is>
          <t>browser chrome150</t>
        </is>
      </c>
      <c r="D1293" s="2" t="n">
        <v>1763</v>
      </c>
      <c r="E1293" s="2" t="n">
        <v>1763</v>
      </c>
      <c r="F1293" s="2" t="n">
        <v>0</v>
      </c>
      <c r="G1293" s="2" t="n">
        <v>0</v>
      </c>
      <c r="H1293" s="2" t="n">
        <v>0</v>
      </c>
      <c r="I1293" s="2" t="n">
        <v>0</v>
      </c>
    </row>
    <row r="1294">
      <c r="A1294" s="2" t="n">
        <v>1292</v>
      </c>
      <c r="B1294" s="2" t="inlineStr">
        <is>
          <t>insert</t>
        </is>
      </c>
      <c r="C1294" s="2" t="inlineStr">
        <is>
          <t>browser firefox147</t>
        </is>
      </c>
      <c r="D1294" s="2" t="n">
        <v>1912</v>
      </c>
      <c r="E1294" s="2" t="n">
        <v>1912</v>
      </c>
      <c r="F1294" s="2" t="n">
        <v>1</v>
      </c>
      <c r="G1294" s="2" t="n">
        <v>1</v>
      </c>
      <c r="H1294" s="2" t="n">
        <v>0</v>
      </c>
      <c r="I1294" s="2" t="n">
        <v>0</v>
      </c>
    </row>
    <row r="1295">
      <c r="A1295" s="2" t="n">
        <v>1293</v>
      </c>
      <c r="B1295" s="2" t="inlineStr">
        <is>
          <t>flip</t>
        </is>
      </c>
      <c r="C1295" s="2" t="inlineStr">
        <is>
          <t>browser firefox147</t>
        </is>
      </c>
      <c r="D1295" s="2" t="n">
        <v>1901</v>
      </c>
      <c r="E1295" s="2" t="n">
        <v>1901</v>
      </c>
      <c r="F1295" s="2" t="n">
        <v>1</v>
      </c>
      <c r="G1295" s="2" t="n">
        <v>1</v>
      </c>
      <c r="H1295" s="2" t="n">
        <v>0</v>
      </c>
      <c r="I1295" s="2" t="n">
        <v>0</v>
      </c>
    </row>
    <row r="1296">
      <c r="A1296" s="2" t="n">
        <v>1294</v>
      </c>
      <c r="B1296" s="2" t="inlineStr">
        <is>
          <t>truncate</t>
        </is>
      </c>
      <c r="C1296" s="2" t="inlineStr">
        <is>
          <t>browser firefox147</t>
        </is>
      </c>
      <c r="D1296" s="2" t="n">
        <v>643</v>
      </c>
      <c r="E1296" s="2" t="n">
        <v>643</v>
      </c>
      <c r="F1296" s="2" t="n">
        <v>1</v>
      </c>
      <c r="G1296" s="2" t="n">
        <v>1</v>
      </c>
      <c r="H1296" s="2" t="n">
        <v>0</v>
      </c>
      <c r="I1296" s="2" t="n">
        <v>0</v>
      </c>
    </row>
    <row r="1297">
      <c r="A1297" s="2" t="n">
        <v>1295</v>
      </c>
      <c r="B1297" s="2" t="inlineStr">
        <is>
          <t>length</t>
        </is>
      </c>
      <c r="C1297" s="2" t="inlineStr">
        <is>
          <t>openssl 3.5.8 default</t>
        </is>
      </c>
      <c r="D1297" s="2" t="n">
        <v>1548</v>
      </c>
      <c r="E1297" s="2" t="n">
        <v>1548</v>
      </c>
      <c r="F1297" s="2" t="n">
        <v>1</v>
      </c>
      <c r="G1297" s="2" t="n">
        <v>1</v>
      </c>
      <c r="H1297" s="2" t="n">
        <v>0</v>
      </c>
      <c r="I1297" s="2" t="n">
        <v>0</v>
      </c>
    </row>
    <row r="1298">
      <c r="A1298" s="2" t="n">
        <v>1296</v>
      </c>
      <c r="B1298" s="2" t="inlineStr">
        <is>
          <t>insert</t>
        </is>
      </c>
      <c r="C1298" s="2" t="inlineStr">
        <is>
          <t>openssl 3.5.8 default</t>
        </is>
      </c>
      <c r="D1298" s="2" t="n">
        <v>1549</v>
      </c>
      <c r="E1298" s="2" t="n">
        <v>1549</v>
      </c>
      <c r="F1298" s="2" t="n">
        <v>1</v>
      </c>
      <c r="G1298" s="2" t="n">
        <v>1</v>
      </c>
      <c r="H1298" s="2" t="n">
        <v>0</v>
      </c>
      <c r="I1298" s="2" t="n">
        <v>0</v>
      </c>
    </row>
    <row r="1299">
      <c r="A1299" s="2" t="n">
        <v>1297</v>
      </c>
      <c r="B1299" s="2" t="inlineStr">
        <is>
          <t>flip</t>
        </is>
      </c>
      <c r="C1299" s="2" t="inlineStr">
        <is>
          <t>browser chrome150</t>
        </is>
      </c>
      <c r="D1299" s="2" t="n">
        <v>1763</v>
      </c>
      <c r="E1299" s="2" t="n">
        <v>1763</v>
      </c>
      <c r="F1299" s="2" t="n">
        <v>1</v>
      </c>
      <c r="G1299" s="2" t="n">
        <v>1</v>
      </c>
      <c r="H1299" s="2" t="n">
        <v>1</v>
      </c>
      <c r="I1299" s="2" t="n">
        <v>0</v>
      </c>
    </row>
    <row r="1300">
      <c r="A1300" s="2" t="n">
        <v>1298</v>
      </c>
      <c r="B1300" s="2" t="inlineStr">
        <is>
          <t>truncate</t>
        </is>
      </c>
      <c r="C1300" s="2" t="inlineStr">
        <is>
          <t>openssl TLS 1.2 only</t>
        </is>
      </c>
      <c r="D1300" s="2" t="n">
        <v>96</v>
      </c>
      <c r="E1300" s="2" t="n">
        <v>96</v>
      </c>
      <c r="F1300" s="2" t="n">
        <v>1</v>
      </c>
      <c r="G1300" s="2" t="n">
        <v>0</v>
      </c>
      <c r="H1300" s="2" t="n">
        <v>0</v>
      </c>
      <c r="I1300" s="2" t="n">
        <v>0</v>
      </c>
    </row>
    <row r="1301">
      <c r="A1301" s="2" t="n">
        <v>1299</v>
      </c>
      <c r="B1301" s="2" t="inlineStr">
        <is>
          <t>length</t>
        </is>
      </c>
      <c r="C1301" s="2" t="inlineStr">
        <is>
          <t>browser firefox147</t>
        </is>
      </c>
      <c r="D1301" s="2" t="n">
        <v>1901</v>
      </c>
      <c r="E1301" s="2" t="n">
        <v>1901</v>
      </c>
      <c r="F1301" s="2" t="n">
        <v>1</v>
      </c>
      <c r="G1301" s="2" t="n">
        <v>0</v>
      </c>
      <c r="H1301" s="2" t="n">
        <v>0</v>
      </c>
      <c r="I1301" s="2" t="n">
        <v>0</v>
      </c>
    </row>
    <row r="1302">
      <c r="A1302" s="2" t="n">
        <v>1300</v>
      </c>
      <c r="B1302" s="2" t="inlineStr">
        <is>
          <t>insert</t>
        </is>
      </c>
      <c r="C1302" s="2" t="inlineStr">
        <is>
          <t>openssl TLS 1.2 only</t>
        </is>
      </c>
      <c r="D1302" s="2" t="n">
        <v>216</v>
      </c>
      <c r="E1302" s="2" t="n">
        <v>216</v>
      </c>
      <c r="F1302" s="2" t="n">
        <v>1</v>
      </c>
      <c r="G1302" s="2" t="n">
        <v>1</v>
      </c>
      <c r="H1302" s="2" t="n">
        <v>1</v>
      </c>
      <c r="I1302" s="2" t="n">
        <v>0</v>
      </c>
    </row>
    <row r="1303">
      <c r="A1303" s="2" t="n">
        <v>1301</v>
      </c>
      <c r="B1303" s="2" t="inlineStr">
        <is>
          <t>flip</t>
        </is>
      </c>
      <c r="C1303" s="2" t="inlineStr">
        <is>
          <t>openssl 3.5.8 default</t>
        </is>
      </c>
      <c r="D1303" s="2" t="n">
        <v>1548</v>
      </c>
      <c r="E1303" s="2" t="n">
        <v>1548</v>
      </c>
      <c r="F1303" s="2" t="n">
        <v>1</v>
      </c>
      <c r="G1303" s="2" t="n">
        <v>1</v>
      </c>
      <c r="H1303" s="2" t="n">
        <v>1</v>
      </c>
      <c r="I1303" s="2" t="n">
        <v>0</v>
      </c>
    </row>
    <row r="1304">
      <c r="A1304" s="2" t="n">
        <v>1302</v>
      </c>
      <c r="B1304" s="2" t="inlineStr">
        <is>
          <t>truncate</t>
        </is>
      </c>
      <c r="C1304" s="2" t="inlineStr">
        <is>
          <t>browser chrome150</t>
        </is>
      </c>
      <c r="D1304" s="2" t="n">
        <v>757</v>
      </c>
      <c r="E1304" s="2" t="n">
        <v>757</v>
      </c>
      <c r="F1304" s="2" t="n">
        <v>1</v>
      </c>
      <c r="G1304" s="2" t="n">
        <v>1</v>
      </c>
      <c r="H1304" s="2" t="n">
        <v>1</v>
      </c>
      <c r="I1304" s="2" t="n">
        <v>0</v>
      </c>
    </row>
    <row r="1305">
      <c r="A1305" s="2" t="n">
        <v>1303</v>
      </c>
      <c r="B1305" s="2" t="inlineStr">
        <is>
          <t>length</t>
        </is>
      </c>
      <c r="C1305" s="2" t="inlineStr">
        <is>
          <t>openssl X25519 only (classical)</t>
        </is>
      </c>
      <c r="D1305" s="2" t="n">
        <v>314</v>
      </c>
      <c r="E1305" s="2" t="n">
        <v>314</v>
      </c>
      <c r="F1305" s="2" t="n">
        <v>1</v>
      </c>
      <c r="G1305" s="2" t="n">
        <v>1</v>
      </c>
      <c r="H1305" s="2" t="n">
        <v>1</v>
      </c>
      <c r="I1305" s="2" t="n">
        <v>0</v>
      </c>
    </row>
    <row r="1306">
      <c r="A1306" s="2" t="n">
        <v>1304</v>
      </c>
      <c r="B1306" s="2" t="inlineStr">
        <is>
          <t>insert</t>
        </is>
      </c>
      <c r="C1306" s="2" t="inlineStr">
        <is>
          <t>openssl 3.5.8 default</t>
        </is>
      </c>
      <c r="D1306" s="2" t="n">
        <v>1553</v>
      </c>
      <c r="E1306" s="2" t="n">
        <v>1553</v>
      </c>
      <c r="F1306" s="2" t="n">
        <v>1</v>
      </c>
      <c r="G1306" s="2" t="n">
        <v>1</v>
      </c>
      <c r="H1306" s="2" t="n">
        <v>1</v>
      </c>
      <c r="I1306" s="2" t="n">
        <v>0</v>
      </c>
    </row>
    <row r="1307">
      <c r="A1307" s="2" t="n">
        <v>1305</v>
      </c>
      <c r="B1307" s="2" t="inlineStr">
        <is>
          <t>flip</t>
        </is>
      </c>
      <c r="C1307" s="2" t="inlineStr">
        <is>
          <t>openssl 3.5.8 default</t>
        </is>
      </c>
      <c r="D1307" s="2" t="n">
        <v>1548</v>
      </c>
      <c r="E1307" s="2" t="n">
        <v>1548</v>
      </c>
      <c r="F1307" s="2" t="n">
        <v>1</v>
      </c>
      <c r="G1307" s="2" t="n">
        <v>1</v>
      </c>
      <c r="H1307" s="2" t="n">
        <v>1</v>
      </c>
      <c r="I1307" s="2" t="n">
        <v>0</v>
      </c>
    </row>
    <row r="1308">
      <c r="A1308" s="2" t="n">
        <v>1306</v>
      </c>
      <c r="B1308" s="2" t="inlineStr">
        <is>
          <t>truncate</t>
        </is>
      </c>
      <c r="C1308" s="2" t="inlineStr">
        <is>
          <t>openssl X25519 only (classical)</t>
        </is>
      </c>
      <c r="D1308" s="2" t="n">
        <v>73</v>
      </c>
      <c r="E1308" s="2" t="n">
        <v>73</v>
      </c>
      <c r="F1308" s="2" t="n">
        <v>1</v>
      </c>
      <c r="G1308" s="2" t="n">
        <v>0</v>
      </c>
      <c r="H1308" s="2" t="n">
        <v>0</v>
      </c>
      <c r="I1308" s="2" t="n">
        <v>0</v>
      </c>
    </row>
    <row r="1309">
      <c r="A1309" s="2" t="n">
        <v>1307</v>
      </c>
      <c r="B1309" s="2" t="inlineStr">
        <is>
          <t>length</t>
        </is>
      </c>
      <c r="C1309" s="2" t="inlineStr">
        <is>
          <t>openssl X25519 only (classical)</t>
        </is>
      </c>
      <c r="D1309" s="2" t="n">
        <v>314</v>
      </c>
      <c r="E1309" s="2" t="n">
        <v>314</v>
      </c>
      <c r="F1309" s="2" t="n">
        <v>1</v>
      </c>
      <c r="G1309" s="2" t="n">
        <v>0</v>
      </c>
      <c r="H1309" s="2" t="n">
        <v>0</v>
      </c>
      <c r="I1309" s="2" t="n">
        <v>0</v>
      </c>
    </row>
    <row r="1310">
      <c r="A1310" s="2" t="n">
        <v>1308</v>
      </c>
      <c r="B1310" s="2" t="inlineStr">
        <is>
          <t>insert</t>
        </is>
      </c>
      <c r="C1310" s="2" t="inlineStr">
        <is>
          <t>openssl X25519 only (classical)</t>
        </is>
      </c>
      <c r="D1310" s="2" t="n">
        <v>319</v>
      </c>
      <c r="E1310" s="2" t="n">
        <v>319</v>
      </c>
      <c r="F1310" s="2" t="n">
        <v>1</v>
      </c>
      <c r="G1310" s="2" t="n">
        <v>0</v>
      </c>
      <c r="H1310" s="2" t="n">
        <v>0</v>
      </c>
      <c r="I1310" s="2" t="n">
        <v>0</v>
      </c>
    </row>
    <row r="1311">
      <c r="A1311" s="2" t="n">
        <v>1309</v>
      </c>
      <c r="B1311" s="2" t="inlineStr">
        <is>
          <t>flip</t>
        </is>
      </c>
      <c r="C1311" s="2" t="inlineStr">
        <is>
          <t>openssl 3.5.8 default</t>
        </is>
      </c>
      <c r="D1311" s="2" t="n">
        <v>1548</v>
      </c>
      <c r="E1311" s="2" t="n">
        <v>1548</v>
      </c>
      <c r="F1311" s="2" t="n">
        <v>1</v>
      </c>
      <c r="G1311" s="2" t="n">
        <v>1</v>
      </c>
      <c r="H1311" s="2" t="n">
        <v>1</v>
      </c>
      <c r="I1311" s="2" t="n">
        <v>0</v>
      </c>
    </row>
    <row r="1312">
      <c r="A1312" s="2" t="n">
        <v>1310</v>
      </c>
      <c r="B1312" s="2" t="inlineStr">
        <is>
          <t>truncate</t>
        </is>
      </c>
      <c r="C1312" s="2" t="inlineStr">
        <is>
          <t>browser firefox147</t>
        </is>
      </c>
      <c r="D1312" s="2" t="n">
        <v>376</v>
      </c>
      <c r="E1312" s="2" t="n">
        <v>376</v>
      </c>
      <c r="F1312" s="2" t="n">
        <v>1</v>
      </c>
      <c r="G1312" s="2" t="n">
        <v>1</v>
      </c>
      <c r="H1312" s="2" t="n">
        <v>0</v>
      </c>
      <c r="I1312" s="2" t="n">
        <v>0</v>
      </c>
    </row>
    <row r="1313">
      <c r="A1313" s="2" t="n">
        <v>1311</v>
      </c>
      <c r="B1313" s="2" t="inlineStr">
        <is>
          <t>length</t>
        </is>
      </c>
      <c r="C1313" s="2" t="inlineStr">
        <is>
          <t>browser chrome150</t>
        </is>
      </c>
      <c r="D1313" s="2" t="n">
        <v>1763</v>
      </c>
      <c r="E1313" s="2" t="n">
        <v>1763</v>
      </c>
      <c r="F1313" s="2" t="n">
        <v>1</v>
      </c>
      <c r="G1313" s="2" t="n">
        <v>1</v>
      </c>
      <c r="H1313" s="2" t="n">
        <v>1</v>
      </c>
      <c r="I1313" s="2" t="n">
        <v>0</v>
      </c>
    </row>
    <row r="1314">
      <c r="A1314" s="2" t="n">
        <v>1312</v>
      </c>
      <c r="B1314" s="2" t="inlineStr">
        <is>
          <t>insert</t>
        </is>
      </c>
      <c r="C1314" s="2" t="inlineStr">
        <is>
          <t>openssl X25519 only (classical)</t>
        </is>
      </c>
      <c r="D1314" s="2" t="n">
        <v>319</v>
      </c>
      <c r="E1314" s="2" t="n">
        <v>319</v>
      </c>
      <c r="F1314" s="2" t="n">
        <v>1</v>
      </c>
      <c r="G1314" s="2" t="n">
        <v>0</v>
      </c>
      <c r="H1314" s="2" t="n">
        <v>0</v>
      </c>
      <c r="I1314" s="2" t="n">
        <v>0</v>
      </c>
    </row>
    <row r="1315">
      <c r="A1315" s="2" t="n">
        <v>1313</v>
      </c>
      <c r="B1315" s="2" t="inlineStr">
        <is>
          <t>flip</t>
        </is>
      </c>
      <c r="C1315" s="2" t="inlineStr">
        <is>
          <t>openssl TLS 1.2 only</t>
        </is>
      </c>
      <c r="D1315" s="2" t="n">
        <v>215</v>
      </c>
      <c r="E1315" s="2" t="n">
        <v>215</v>
      </c>
      <c r="F1315" s="2" t="n">
        <v>1</v>
      </c>
      <c r="G1315" s="2" t="n">
        <v>1</v>
      </c>
      <c r="H1315" s="2" t="n">
        <v>1</v>
      </c>
      <c r="I1315" s="2" t="n">
        <v>0</v>
      </c>
    </row>
    <row r="1316">
      <c r="A1316" s="2" t="n">
        <v>1314</v>
      </c>
      <c r="B1316" s="2" t="inlineStr">
        <is>
          <t>truncate</t>
        </is>
      </c>
      <c r="C1316" s="2" t="inlineStr">
        <is>
          <t>browser chrome150</t>
        </is>
      </c>
      <c r="D1316" s="2" t="n">
        <v>1500</v>
      </c>
      <c r="E1316" s="2" t="n">
        <v>1500</v>
      </c>
      <c r="F1316" s="2" t="n">
        <v>1</v>
      </c>
      <c r="G1316" s="2" t="n">
        <v>1</v>
      </c>
      <c r="H1316" s="2" t="n">
        <v>1</v>
      </c>
      <c r="I1316" s="2" t="n">
        <v>0</v>
      </c>
    </row>
    <row r="1317">
      <c r="A1317" s="2" t="n">
        <v>1315</v>
      </c>
      <c r="B1317" s="2" t="inlineStr">
        <is>
          <t>length</t>
        </is>
      </c>
      <c r="C1317" s="2" t="inlineStr">
        <is>
          <t>openssl TLS 1.2 only</t>
        </is>
      </c>
      <c r="D1317" s="2" t="n">
        <v>215</v>
      </c>
      <c r="E1317" s="2" t="n">
        <v>215</v>
      </c>
      <c r="F1317" s="2" t="n">
        <v>1</v>
      </c>
      <c r="G1317" s="2" t="n">
        <v>1</v>
      </c>
      <c r="H1317" s="2" t="n">
        <v>0</v>
      </c>
      <c r="I1317" s="2" t="n">
        <v>0</v>
      </c>
    </row>
    <row r="1318">
      <c r="A1318" s="2" t="n">
        <v>1316</v>
      </c>
      <c r="B1318" s="2" t="inlineStr">
        <is>
          <t>insert</t>
        </is>
      </c>
      <c r="C1318" s="2" t="inlineStr">
        <is>
          <t>browser firefox147</t>
        </is>
      </c>
      <c r="D1318" s="2" t="n">
        <v>1904</v>
      </c>
      <c r="E1318" s="2" t="n">
        <v>1904</v>
      </c>
      <c r="F1318" s="2" t="n">
        <v>1</v>
      </c>
      <c r="G1318" s="2" t="n">
        <v>1</v>
      </c>
      <c r="H1318" s="2" t="n">
        <v>0</v>
      </c>
      <c r="I1318" s="2" t="n">
        <v>0</v>
      </c>
    </row>
    <row r="1319">
      <c r="A1319" s="2" t="n">
        <v>1317</v>
      </c>
      <c r="B1319" s="2" t="inlineStr">
        <is>
          <t>flip</t>
        </is>
      </c>
      <c r="C1319" s="2" t="inlineStr">
        <is>
          <t>openssl TLS 1.2 only</t>
        </is>
      </c>
      <c r="D1319" s="2" t="n">
        <v>215</v>
      </c>
      <c r="E1319" s="2" t="n">
        <v>215</v>
      </c>
      <c r="F1319" s="2" t="n">
        <v>1</v>
      </c>
      <c r="G1319" s="2" t="n">
        <v>1</v>
      </c>
      <c r="H1319" s="2" t="n">
        <v>1</v>
      </c>
      <c r="I1319" s="2" t="n">
        <v>0</v>
      </c>
    </row>
    <row r="1320">
      <c r="A1320" s="2" t="n">
        <v>1318</v>
      </c>
      <c r="B1320" s="2" t="inlineStr">
        <is>
          <t>truncate</t>
        </is>
      </c>
      <c r="C1320" s="2" t="inlineStr">
        <is>
          <t>openssl 3.5.8 default</t>
        </is>
      </c>
      <c r="D1320" s="2" t="n">
        <v>238</v>
      </c>
      <c r="E1320" s="2" t="n">
        <v>238</v>
      </c>
      <c r="F1320" s="2" t="n">
        <v>1</v>
      </c>
      <c r="G1320" s="2" t="n">
        <v>1</v>
      </c>
      <c r="H1320" s="2" t="n">
        <v>0</v>
      </c>
      <c r="I1320" s="2" t="n">
        <v>0</v>
      </c>
    </row>
    <row r="1321">
      <c r="A1321" s="2" t="n">
        <v>1319</v>
      </c>
      <c r="B1321" s="2" t="inlineStr">
        <is>
          <t>length</t>
        </is>
      </c>
      <c r="C1321" s="2" t="inlineStr">
        <is>
          <t>openssl 3.5.8 default</t>
        </is>
      </c>
      <c r="D1321" s="2" t="n">
        <v>1548</v>
      </c>
      <c r="E1321" s="2" t="n">
        <v>1548</v>
      </c>
      <c r="F1321" s="2" t="n">
        <v>1</v>
      </c>
      <c r="G1321" s="2" t="n">
        <v>1</v>
      </c>
      <c r="H1321" s="2" t="n">
        <v>1</v>
      </c>
      <c r="I1321" s="2" t="n">
        <v>0</v>
      </c>
    </row>
    <row r="1322">
      <c r="A1322" s="2" t="n">
        <v>1320</v>
      </c>
      <c r="B1322" s="2" t="inlineStr">
        <is>
          <t>insert</t>
        </is>
      </c>
      <c r="C1322" s="2" t="inlineStr">
        <is>
          <t>browser chrome150</t>
        </is>
      </c>
      <c r="D1322" s="2" t="n">
        <v>1768</v>
      </c>
      <c r="E1322" s="2" t="n">
        <v>1768</v>
      </c>
      <c r="F1322" s="2" t="n">
        <v>1</v>
      </c>
      <c r="G1322" s="2" t="n">
        <v>1</v>
      </c>
      <c r="H1322" s="2" t="n">
        <v>1</v>
      </c>
      <c r="I1322" s="2" t="n">
        <v>0</v>
      </c>
    </row>
    <row r="1323">
      <c r="A1323" s="2" t="n">
        <v>1321</v>
      </c>
      <c r="B1323" s="2" t="inlineStr">
        <is>
          <t>flip</t>
        </is>
      </c>
      <c r="C1323" s="2" t="inlineStr">
        <is>
          <t>openssl 3.5.8 default</t>
        </is>
      </c>
      <c r="D1323" s="2" t="n">
        <v>1548</v>
      </c>
      <c r="E1323" s="2" t="n">
        <v>1548</v>
      </c>
      <c r="F1323" s="2" t="n">
        <v>1</v>
      </c>
      <c r="G1323" s="2" t="n">
        <v>1</v>
      </c>
      <c r="H1323" s="2" t="n">
        <v>1</v>
      </c>
      <c r="I1323" s="2" t="n">
        <v>0</v>
      </c>
    </row>
    <row r="1324">
      <c r="A1324" s="2" t="n">
        <v>1322</v>
      </c>
      <c r="B1324" s="2" t="inlineStr">
        <is>
          <t>truncate</t>
        </is>
      </c>
      <c r="C1324" s="2" t="inlineStr">
        <is>
          <t>openssl X25519 only (classical)</t>
        </is>
      </c>
      <c r="D1324" s="2" t="n">
        <v>197</v>
      </c>
      <c r="E1324" s="2" t="n">
        <v>197</v>
      </c>
      <c r="F1324" s="2" t="n">
        <v>1</v>
      </c>
      <c r="G1324" s="2" t="n">
        <v>1</v>
      </c>
      <c r="H1324" s="2" t="n">
        <v>0</v>
      </c>
      <c r="I1324" s="2" t="n">
        <v>0</v>
      </c>
    </row>
    <row r="1325">
      <c r="A1325" s="2" t="n">
        <v>1323</v>
      </c>
      <c r="B1325" s="2" t="inlineStr">
        <is>
          <t>length</t>
        </is>
      </c>
      <c r="C1325" s="2" t="inlineStr">
        <is>
          <t>browser chrome150</t>
        </is>
      </c>
      <c r="D1325" s="2" t="n">
        <v>1763</v>
      </c>
      <c r="E1325" s="2" t="n">
        <v>1763</v>
      </c>
      <c r="F1325" s="2" t="n">
        <v>1</v>
      </c>
      <c r="G1325" s="2" t="n">
        <v>1</v>
      </c>
      <c r="H1325" s="2" t="n">
        <v>1</v>
      </c>
      <c r="I1325" s="2" t="n">
        <v>0</v>
      </c>
    </row>
    <row r="1326">
      <c r="A1326" s="2" t="n">
        <v>1324</v>
      </c>
      <c r="B1326" s="2" t="inlineStr">
        <is>
          <t>insert</t>
        </is>
      </c>
      <c r="C1326" s="2" t="inlineStr">
        <is>
          <t>browser chrome150</t>
        </is>
      </c>
      <c r="D1326" s="2" t="n">
        <v>1779</v>
      </c>
      <c r="E1326" s="2" t="n">
        <v>1779</v>
      </c>
      <c r="F1326" s="2" t="n">
        <v>1</v>
      </c>
      <c r="G1326" s="2" t="n">
        <v>1</v>
      </c>
      <c r="H1326" s="2" t="n">
        <v>1</v>
      </c>
      <c r="I1326" s="2" t="n">
        <v>0</v>
      </c>
    </row>
    <row r="1327">
      <c r="A1327" s="2" t="n">
        <v>1325</v>
      </c>
      <c r="B1327" s="2" t="inlineStr">
        <is>
          <t>flip</t>
        </is>
      </c>
      <c r="C1327" s="2" t="inlineStr">
        <is>
          <t>openssl TLS 1.2 only</t>
        </is>
      </c>
      <c r="D1327" s="2" t="n">
        <v>215</v>
      </c>
      <c r="E1327" s="2" t="n">
        <v>215</v>
      </c>
      <c r="F1327" s="2" t="n">
        <v>1</v>
      </c>
      <c r="G1327" s="2" t="n">
        <v>1</v>
      </c>
      <c r="H1327" s="2" t="n">
        <v>1</v>
      </c>
      <c r="I1327" s="2" t="n">
        <v>0</v>
      </c>
    </row>
    <row r="1328">
      <c r="A1328" s="2" t="n">
        <v>1326</v>
      </c>
      <c r="B1328" s="2" t="inlineStr">
        <is>
          <t>truncate</t>
        </is>
      </c>
      <c r="C1328" s="2" t="inlineStr">
        <is>
          <t>openssl TLS 1.2 only</t>
        </is>
      </c>
      <c r="D1328" s="2" t="n">
        <v>23</v>
      </c>
      <c r="E1328" s="2" t="n">
        <v>23</v>
      </c>
      <c r="F1328" s="2" t="n">
        <v>1</v>
      </c>
      <c r="G1328" s="2" t="n">
        <v>0</v>
      </c>
      <c r="H1328" s="2" t="n">
        <v>0</v>
      </c>
      <c r="I1328" s="2" t="n">
        <v>0</v>
      </c>
    </row>
    <row r="1329">
      <c r="A1329" s="2" t="n">
        <v>1327</v>
      </c>
      <c r="B1329" s="2" t="inlineStr">
        <is>
          <t>length</t>
        </is>
      </c>
      <c r="C1329" s="2" t="inlineStr">
        <is>
          <t>openssl TLS 1.2 only</t>
        </is>
      </c>
      <c r="D1329" s="2" t="n">
        <v>215</v>
      </c>
      <c r="E1329" s="2" t="n">
        <v>215</v>
      </c>
      <c r="F1329" s="2" t="n">
        <v>1</v>
      </c>
      <c r="G1329" s="2" t="n">
        <v>1</v>
      </c>
      <c r="H1329" s="2" t="n">
        <v>1</v>
      </c>
      <c r="I1329" s="2" t="n">
        <v>0</v>
      </c>
    </row>
    <row r="1330">
      <c r="A1330" s="2" t="n">
        <v>1328</v>
      </c>
      <c r="B1330" s="2" t="inlineStr">
        <is>
          <t>insert</t>
        </is>
      </c>
      <c r="C1330" s="2" t="inlineStr">
        <is>
          <t>openssl X25519 only (classical)</t>
        </is>
      </c>
      <c r="D1330" s="2" t="n">
        <v>317</v>
      </c>
      <c r="E1330" s="2" t="n">
        <v>317</v>
      </c>
      <c r="F1330" s="2" t="n">
        <v>1</v>
      </c>
      <c r="G1330" s="2" t="n">
        <v>1</v>
      </c>
      <c r="H1330" s="2" t="n">
        <v>1</v>
      </c>
      <c r="I1330" s="2" t="n">
        <v>0</v>
      </c>
    </row>
    <row r="1331">
      <c r="A1331" s="2" t="n">
        <v>1329</v>
      </c>
      <c r="B1331" s="2" t="inlineStr">
        <is>
          <t>flip</t>
        </is>
      </c>
      <c r="C1331" s="2" t="inlineStr">
        <is>
          <t>browser firefox147</t>
        </is>
      </c>
      <c r="D1331" s="2" t="n">
        <v>1901</v>
      </c>
      <c r="E1331" s="2" t="n">
        <v>1901</v>
      </c>
      <c r="F1331" s="2" t="n">
        <v>1</v>
      </c>
      <c r="G1331" s="2" t="n">
        <v>1</v>
      </c>
      <c r="H1331" s="2" t="n">
        <v>0</v>
      </c>
      <c r="I1331" s="2" t="n">
        <v>0</v>
      </c>
    </row>
    <row r="1332">
      <c r="A1332" s="2" t="n">
        <v>1330</v>
      </c>
      <c r="B1332" s="2" t="inlineStr">
        <is>
          <t>truncate</t>
        </is>
      </c>
      <c r="C1332" s="2" t="inlineStr">
        <is>
          <t>openssl X25519 only (classical)</t>
        </is>
      </c>
      <c r="D1332" s="2" t="n">
        <v>32</v>
      </c>
      <c r="E1332" s="2" t="n">
        <v>32</v>
      </c>
      <c r="F1332" s="2" t="n">
        <v>1</v>
      </c>
      <c r="G1332" s="2" t="n">
        <v>0</v>
      </c>
      <c r="H1332" s="2" t="n">
        <v>0</v>
      </c>
      <c r="I1332" s="2" t="n">
        <v>0</v>
      </c>
    </row>
    <row r="1333">
      <c r="A1333" s="2" t="n">
        <v>1331</v>
      </c>
      <c r="B1333" s="2" t="inlineStr">
        <is>
          <t>length</t>
        </is>
      </c>
      <c r="C1333" s="2" t="inlineStr">
        <is>
          <t>openssl X25519 only (classical)</t>
        </is>
      </c>
      <c r="D1333" s="2" t="n">
        <v>314</v>
      </c>
      <c r="E1333" s="2" t="n">
        <v>314</v>
      </c>
      <c r="F1333" s="2" t="n">
        <v>1</v>
      </c>
      <c r="G1333" s="2" t="n">
        <v>0</v>
      </c>
      <c r="H1333" s="2" t="n">
        <v>0</v>
      </c>
      <c r="I1333" s="2" t="n">
        <v>0</v>
      </c>
    </row>
    <row r="1334">
      <c r="A1334" s="2" t="n">
        <v>1332</v>
      </c>
      <c r="B1334" s="2" t="inlineStr">
        <is>
          <t>insert</t>
        </is>
      </c>
      <c r="C1334" s="2" t="inlineStr">
        <is>
          <t>browser firefox147</t>
        </is>
      </c>
      <c r="D1334" s="2" t="n">
        <v>1904</v>
      </c>
      <c r="E1334" s="2" t="n">
        <v>1904</v>
      </c>
      <c r="F1334" s="2" t="n">
        <v>1</v>
      </c>
      <c r="G1334" s="2" t="n">
        <v>1</v>
      </c>
      <c r="H1334" s="2" t="n">
        <v>0</v>
      </c>
      <c r="I1334" s="2" t="n">
        <v>0</v>
      </c>
    </row>
    <row r="1335">
      <c r="A1335" s="2" t="n">
        <v>1333</v>
      </c>
      <c r="B1335" s="2" t="inlineStr">
        <is>
          <t>flip</t>
        </is>
      </c>
      <c r="C1335" s="2" t="inlineStr">
        <is>
          <t>browser chrome150</t>
        </is>
      </c>
      <c r="D1335" s="2" t="n">
        <v>1763</v>
      </c>
      <c r="E1335" s="2" t="n">
        <v>1763</v>
      </c>
      <c r="F1335" s="2" t="n">
        <v>1</v>
      </c>
      <c r="G1335" s="2" t="n">
        <v>1</v>
      </c>
      <c r="H1335" s="2" t="n">
        <v>1</v>
      </c>
      <c r="I1335" s="2" t="n">
        <v>0</v>
      </c>
    </row>
    <row r="1336">
      <c r="A1336" s="2" t="n">
        <v>1334</v>
      </c>
      <c r="B1336" s="2" t="inlineStr">
        <is>
          <t>truncate</t>
        </is>
      </c>
      <c r="C1336" s="2" t="inlineStr">
        <is>
          <t>browser chrome150</t>
        </is>
      </c>
      <c r="D1336" s="2" t="n">
        <v>165</v>
      </c>
      <c r="E1336" s="2" t="n">
        <v>165</v>
      </c>
      <c r="F1336" s="2" t="n">
        <v>1</v>
      </c>
      <c r="G1336" s="2" t="n">
        <v>1</v>
      </c>
      <c r="H1336" s="2" t="n">
        <v>1</v>
      </c>
      <c r="I1336" s="2" t="n">
        <v>0</v>
      </c>
    </row>
    <row r="1337">
      <c r="A1337" s="2" t="n">
        <v>1335</v>
      </c>
      <c r="B1337" s="2" t="inlineStr">
        <is>
          <t>length</t>
        </is>
      </c>
      <c r="C1337" s="2" t="inlineStr">
        <is>
          <t>openssl TLS 1.2 only</t>
        </is>
      </c>
      <c r="D1337" s="2" t="n">
        <v>215</v>
      </c>
      <c r="E1337" s="2" t="n">
        <v>215</v>
      </c>
      <c r="F1337" s="2" t="n">
        <v>1</v>
      </c>
      <c r="G1337" s="2" t="n">
        <v>1</v>
      </c>
      <c r="H1337" s="2" t="n">
        <v>1</v>
      </c>
      <c r="I1337" s="2" t="n">
        <v>0</v>
      </c>
    </row>
    <row r="1338">
      <c r="A1338" s="2" t="n">
        <v>1336</v>
      </c>
      <c r="B1338" s="2" t="inlineStr">
        <is>
          <t>insert</t>
        </is>
      </c>
      <c r="C1338" s="2" t="inlineStr">
        <is>
          <t>browser firefox147</t>
        </is>
      </c>
      <c r="D1338" s="2" t="n">
        <v>1914</v>
      </c>
      <c r="E1338" s="2" t="n">
        <v>1914</v>
      </c>
      <c r="F1338" s="2" t="n">
        <v>0</v>
      </c>
      <c r="G1338" s="2" t="n">
        <v>0</v>
      </c>
      <c r="H1338" s="2" t="n">
        <v>0</v>
      </c>
      <c r="I1338" s="2" t="n">
        <v>0</v>
      </c>
    </row>
    <row r="1339">
      <c r="A1339" s="2" t="n">
        <v>1337</v>
      </c>
      <c r="B1339" s="2" t="inlineStr">
        <is>
          <t>flip</t>
        </is>
      </c>
      <c r="C1339" s="2" t="inlineStr">
        <is>
          <t>openssl 3.5.8 default</t>
        </is>
      </c>
      <c r="D1339" s="2" t="n">
        <v>1548</v>
      </c>
      <c r="E1339" s="2" t="n">
        <v>1548</v>
      </c>
      <c r="F1339" s="2" t="n">
        <v>1</v>
      </c>
      <c r="G1339" s="2" t="n">
        <v>1</v>
      </c>
      <c r="H1339" s="2" t="n">
        <v>1</v>
      </c>
      <c r="I1339" s="2" t="n">
        <v>0</v>
      </c>
    </row>
    <row r="1340">
      <c r="A1340" s="2" t="n">
        <v>1338</v>
      </c>
      <c r="B1340" s="2" t="inlineStr">
        <is>
          <t>truncate</t>
        </is>
      </c>
      <c r="C1340" s="2" t="inlineStr">
        <is>
          <t>openssl TLS 1.2 only</t>
        </is>
      </c>
      <c r="D1340" s="2" t="n">
        <v>25</v>
      </c>
      <c r="E1340" s="2" t="n">
        <v>25</v>
      </c>
      <c r="F1340" s="2" t="n">
        <v>1</v>
      </c>
      <c r="G1340" s="2" t="n">
        <v>0</v>
      </c>
      <c r="H1340" s="2" t="n">
        <v>0</v>
      </c>
      <c r="I1340" s="2" t="n">
        <v>0</v>
      </c>
    </row>
    <row r="1341">
      <c r="A1341" s="2" t="n">
        <v>1339</v>
      </c>
      <c r="B1341" s="2" t="inlineStr">
        <is>
          <t>length</t>
        </is>
      </c>
      <c r="C1341" s="2" t="inlineStr">
        <is>
          <t>openssl TLS 1.2 only</t>
        </is>
      </c>
      <c r="D1341" s="2" t="n">
        <v>215</v>
      </c>
      <c r="E1341" s="2" t="n">
        <v>215</v>
      </c>
      <c r="F1341" s="2" t="n">
        <v>1</v>
      </c>
      <c r="G1341" s="2" t="n">
        <v>1</v>
      </c>
      <c r="H1341" s="2" t="n">
        <v>0</v>
      </c>
      <c r="I1341" s="2" t="n">
        <v>0</v>
      </c>
    </row>
    <row r="1342">
      <c r="A1342" s="2" t="n">
        <v>1340</v>
      </c>
      <c r="B1342" s="2" t="inlineStr">
        <is>
          <t>insert</t>
        </is>
      </c>
      <c r="C1342" s="2" t="inlineStr">
        <is>
          <t>openssl TLS 1.2 only</t>
        </is>
      </c>
      <c r="D1342" s="2" t="n">
        <v>230</v>
      </c>
      <c r="E1342" s="2" t="n">
        <v>230</v>
      </c>
      <c r="F1342" s="2" t="n">
        <v>1</v>
      </c>
      <c r="G1342" s="2" t="n">
        <v>1</v>
      </c>
      <c r="H1342" s="2" t="n">
        <v>1</v>
      </c>
      <c r="I1342" s="2" t="n">
        <v>0</v>
      </c>
    </row>
    <row r="1343">
      <c r="A1343" s="2" t="n">
        <v>1341</v>
      </c>
      <c r="B1343" s="2" t="inlineStr">
        <is>
          <t>flip</t>
        </is>
      </c>
      <c r="C1343" s="2" t="inlineStr">
        <is>
          <t>browser chrome150</t>
        </is>
      </c>
      <c r="D1343" s="2" t="n">
        <v>1763</v>
      </c>
      <c r="E1343" s="2" t="n">
        <v>1763</v>
      </c>
      <c r="F1343" s="2" t="n">
        <v>1</v>
      </c>
      <c r="G1343" s="2" t="n">
        <v>1</v>
      </c>
      <c r="H1343" s="2" t="n">
        <v>1</v>
      </c>
      <c r="I1343" s="2" t="n">
        <v>0</v>
      </c>
    </row>
    <row r="1344">
      <c r="A1344" s="2" t="n">
        <v>1342</v>
      </c>
      <c r="B1344" s="2" t="inlineStr">
        <is>
          <t>truncate</t>
        </is>
      </c>
      <c r="C1344" s="2" t="inlineStr">
        <is>
          <t>openssl TLS 1.2 only</t>
        </is>
      </c>
      <c r="D1344" s="2" t="n">
        <v>150</v>
      </c>
      <c r="E1344" s="2" t="n">
        <v>150</v>
      </c>
      <c r="F1344" s="2" t="n">
        <v>1</v>
      </c>
      <c r="G1344" s="2" t="n">
        <v>1</v>
      </c>
      <c r="H1344" s="2" t="n">
        <v>0</v>
      </c>
      <c r="I1344" s="2" t="n">
        <v>0</v>
      </c>
    </row>
    <row r="1345">
      <c r="A1345" s="2" t="n">
        <v>1343</v>
      </c>
      <c r="B1345" s="2" t="inlineStr">
        <is>
          <t>length</t>
        </is>
      </c>
      <c r="C1345" s="2" t="inlineStr">
        <is>
          <t>openssl TLS 1.2 only</t>
        </is>
      </c>
      <c r="D1345" s="2" t="n">
        <v>215</v>
      </c>
      <c r="E1345" s="2" t="n">
        <v>215</v>
      </c>
      <c r="F1345" s="2" t="n">
        <v>1</v>
      </c>
      <c r="G1345" s="2" t="n">
        <v>1</v>
      </c>
      <c r="H1345" s="2" t="n">
        <v>1</v>
      </c>
      <c r="I1345" s="2" t="n">
        <v>0</v>
      </c>
    </row>
    <row r="1346">
      <c r="A1346" s="2" t="n">
        <v>1344</v>
      </c>
      <c r="B1346" s="2" t="inlineStr">
        <is>
          <t>insert</t>
        </is>
      </c>
      <c r="C1346" s="2" t="inlineStr">
        <is>
          <t>browser firefox147</t>
        </is>
      </c>
      <c r="D1346" s="2" t="n">
        <v>1914</v>
      </c>
      <c r="E1346" s="2" t="n">
        <v>1914</v>
      </c>
      <c r="F1346" s="2" t="n">
        <v>1</v>
      </c>
      <c r="G1346" s="2" t="n">
        <v>1</v>
      </c>
      <c r="H1346" s="2" t="n">
        <v>0</v>
      </c>
      <c r="I1346" s="2" t="n">
        <v>0</v>
      </c>
    </row>
    <row r="1347">
      <c r="A1347" s="2" t="n">
        <v>1345</v>
      </c>
      <c r="B1347" s="2" t="inlineStr">
        <is>
          <t>flip</t>
        </is>
      </c>
      <c r="C1347" s="2" t="inlineStr">
        <is>
          <t>openssl TLS 1.2 only</t>
        </is>
      </c>
      <c r="D1347" s="2" t="n">
        <v>215</v>
      </c>
      <c r="E1347" s="2" t="n">
        <v>215</v>
      </c>
      <c r="F1347" s="2" t="n">
        <v>1</v>
      </c>
      <c r="G1347" s="2" t="n">
        <v>1</v>
      </c>
      <c r="H1347" s="2" t="n">
        <v>1</v>
      </c>
      <c r="I1347" s="2" t="n">
        <v>0</v>
      </c>
    </row>
    <row r="1348">
      <c r="A1348" s="2" t="n">
        <v>1346</v>
      </c>
      <c r="B1348" s="2" t="inlineStr">
        <is>
          <t>truncate</t>
        </is>
      </c>
      <c r="C1348" s="2" t="inlineStr">
        <is>
          <t>browser chrome150</t>
        </is>
      </c>
      <c r="D1348" s="2" t="n">
        <v>1381</v>
      </c>
      <c r="E1348" s="2" t="n">
        <v>1381</v>
      </c>
      <c r="F1348" s="2" t="n">
        <v>1</v>
      </c>
      <c r="G1348" s="2" t="n">
        <v>1</v>
      </c>
      <c r="H1348" s="2" t="n">
        <v>1</v>
      </c>
      <c r="I1348" s="2" t="n">
        <v>0</v>
      </c>
    </row>
    <row r="1349">
      <c r="A1349" s="2" t="n">
        <v>1347</v>
      </c>
      <c r="B1349" s="2" t="inlineStr">
        <is>
          <t>length</t>
        </is>
      </c>
      <c r="C1349" s="2" t="inlineStr">
        <is>
          <t>openssl 3.5.8 default</t>
        </is>
      </c>
      <c r="D1349" s="2" t="n">
        <v>1548</v>
      </c>
      <c r="E1349" s="2" t="n">
        <v>1548</v>
      </c>
      <c r="F1349" s="2" t="n">
        <v>0</v>
      </c>
      <c r="G1349" s="2" t="n">
        <v>0</v>
      </c>
      <c r="H1349" s="2" t="n">
        <v>0</v>
      </c>
      <c r="I1349" s="2" t="n">
        <v>0</v>
      </c>
    </row>
    <row r="1350">
      <c r="A1350" s="2" t="n">
        <v>1348</v>
      </c>
      <c r="B1350" s="2" t="inlineStr">
        <is>
          <t>insert</t>
        </is>
      </c>
      <c r="C1350" s="2" t="inlineStr">
        <is>
          <t>openssl 3.5.8 default</t>
        </is>
      </c>
      <c r="D1350" s="2" t="n">
        <v>1551</v>
      </c>
      <c r="E1350" s="2" t="n">
        <v>1551</v>
      </c>
      <c r="F1350" s="2" t="n">
        <v>1</v>
      </c>
      <c r="G1350" s="2" t="n">
        <v>1</v>
      </c>
      <c r="H1350" s="2" t="n">
        <v>1</v>
      </c>
      <c r="I1350" s="2" t="n">
        <v>0</v>
      </c>
    </row>
    <row r="1351">
      <c r="A1351" s="2" t="n">
        <v>1349</v>
      </c>
      <c r="B1351" s="2" t="inlineStr">
        <is>
          <t>flip</t>
        </is>
      </c>
      <c r="C1351" s="2" t="inlineStr">
        <is>
          <t>openssl TLS 1.2 only</t>
        </is>
      </c>
      <c r="D1351" s="2" t="n">
        <v>215</v>
      </c>
      <c r="E1351" s="2" t="n">
        <v>215</v>
      </c>
      <c r="F1351" s="2" t="n">
        <v>1</v>
      </c>
      <c r="G1351" s="2" t="n">
        <v>1</v>
      </c>
      <c r="H1351" s="2" t="n">
        <v>1</v>
      </c>
      <c r="I1351" s="2" t="n">
        <v>0</v>
      </c>
    </row>
    <row r="1352">
      <c r="A1352" s="2" t="n">
        <v>1350</v>
      </c>
      <c r="B1352" s="2" t="inlineStr">
        <is>
          <t>truncate</t>
        </is>
      </c>
      <c r="C1352" s="2" t="inlineStr">
        <is>
          <t>openssl X25519 only (classical)</t>
        </is>
      </c>
      <c r="D1352" s="2" t="n">
        <v>223</v>
      </c>
      <c r="E1352" s="2" t="n">
        <v>223</v>
      </c>
      <c r="F1352" s="2" t="n">
        <v>1</v>
      </c>
      <c r="G1352" s="2" t="n">
        <v>1</v>
      </c>
      <c r="H1352" s="2" t="n">
        <v>0</v>
      </c>
      <c r="I1352" s="2" t="n">
        <v>0</v>
      </c>
    </row>
    <row r="1353">
      <c r="A1353" s="2" t="n">
        <v>1351</v>
      </c>
      <c r="B1353" s="2" t="inlineStr">
        <is>
          <t>length</t>
        </is>
      </c>
      <c r="C1353" s="2" t="inlineStr">
        <is>
          <t>openssl 3.5.8 default</t>
        </is>
      </c>
      <c r="D1353" s="2" t="n">
        <v>1548</v>
      </c>
      <c r="E1353" s="2" t="n">
        <v>1548</v>
      </c>
      <c r="F1353" s="2" t="n">
        <v>1</v>
      </c>
      <c r="G1353" s="2" t="n">
        <v>1</v>
      </c>
      <c r="H1353" s="2" t="n">
        <v>1</v>
      </c>
      <c r="I1353" s="2" t="n">
        <v>0</v>
      </c>
    </row>
    <row r="1354">
      <c r="A1354" s="2" t="n">
        <v>1352</v>
      </c>
      <c r="B1354" s="2" t="inlineStr">
        <is>
          <t>insert</t>
        </is>
      </c>
      <c r="C1354" s="2" t="inlineStr">
        <is>
          <t>browser firefox147</t>
        </is>
      </c>
      <c r="D1354" s="2" t="n">
        <v>1906</v>
      </c>
      <c r="E1354" s="2" t="n">
        <v>1906</v>
      </c>
      <c r="F1354" s="2" t="n">
        <v>1</v>
      </c>
      <c r="G1354" s="2" t="n">
        <v>1</v>
      </c>
      <c r="H1354" s="2" t="n">
        <v>0</v>
      </c>
      <c r="I1354" s="2" t="n">
        <v>0</v>
      </c>
    </row>
    <row r="1355">
      <c r="A1355" s="2" t="n">
        <v>1353</v>
      </c>
      <c r="B1355" s="2" t="inlineStr">
        <is>
          <t>flip</t>
        </is>
      </c>
      <c r="C1355" s="2" t="inlineStr">
        <is>
          <t>browser chrome150</t>
        </is>
      </c>
      <c r="D1355" s="2" t="n">
        <v>1763</v>
      </c>
      <c r="E1355" s="2" t="n">
        <v>1763</v>
      </c>
      <c r="F1355" s="2" t="n">
        <v>1</v>
      </c>
      <c r="G1355" s="2" t="n">
        <v>1</v>
      </c>
      <c r="H1355" s="2" t="n">
        <v>1</v>
      </c>
      <c r="I1355" s="2" t="n">
        <v>0</v>
      </c>
    </row>
    <row r="1356">
      <c r="A1356" s="2" t="n">
        <v>1354</v>
      </c>
      <c r="B1356" s="2" t="inlineStr">
        <is>
          <t>truncate</t>
        </is>
      </c>
      <c r="C1356" s="2" t="inlineStr">
        <is>
          <t>openssl X25519 only (classical)</t>
        </is>
      </c>
      <c r="D1356" s="2" t="n">
        <v>226</v>
      </c>
      <c r="E1356" s="2" t="n">
        <v>226</v>
      </c>
      <c r="F1356" s="2" t="n">
        <v>1</v>
      </c>
      <c r="G1356" s="2" t="n">
        <v>1</v>
      </c>
      <c r="H1356" s="2" t="n">
        <v>0</v>
      </c>
      <c r="I1356" s="2" t="n">
        <v>0</v>
      </c>
    </row>
    <row r="1357">
      <c r="A1357" s="2" t="n">
        <v>1355</v>
      </c>
      <c r="B1357" s="2" t="inlineStr">
        <is>
          <t>length</t>
        </is>
      </c>
      <c r="C1357" s="2" t="inlineStr">
        <is>
          <t>openssl X25519 only (classical)</t>
        </is>
      </c>
      <c r="D1357" s="2" t="n">
        <v>314</v>
      </c>
      <c r="E1357" s="2" t="n">
        <v>314</v>
      </c>
      <c r="F1357" s="2" t="n">
        <v>1</v>
      </c>
      <c r="G1357" s="2" t="n">
        <v>1</v>
      </c>
      <c r="H1357" s="2" t="n">
        <v>1</v>
      </c>
      <c r="I1357" s="2" t="n">
        <v>0</v>
      </c>
    </row>
    <row r="1358">
      <c r="A1358" s="2" t="n">
        <v>1356</v>
      </c>
      <c r="B1358" s="2" t="inlineStr">
        <is>
          <t>insert</t>
        </is>
      </c>
      <c r="C1358" s="2" t="inlineStr">
        <is>
          <t>openssl 3.5.8 default</t>
        </is>
      </c>
      <c r="D1358" s="2" t="n">
        <v>1555</v>
      </c>
      <c r="E1358" s="2" t="n">
        <v>1555</v>
      </c>
      <c r="F1358" s="2" t="n">
        <v>1</v>
      </c>
      <c r="G1358" s="2" t="n">
        <v>1</v>
      </c>
      <c r="H1358" s="2" t="n">
        <v>1</v>
      </c>
      <c r="I1358" s="2" t="n">
        <v>0</v>
      </c>
    </row>
    <row r="1359">
      <c r="A1359" s="2" t="n">
        <v>1357</v>
      </c>
      <c r="B1359" s="2" t="inlineStr">
        <is>
          <t>flip</t>
        </is>
      </c>
      <c r="C1359" s="2" t="inlineStr">
        <is>
          <t>browser firefox147</t>
        </is>
      </c>
      <c r="D1359" s="2" t="n">
        <v>1901</v>
      </c>
      <c r="E1359" s="2" t="n">
        <v>1901</v>
      </c>
      <c r="F1359" s="2" t="n">
        <v>1</v>
      </c>
      <c r="G1359" s="2" t="n">
        <v>1</v>
      </c>
      <c r="H1359" s="2" t="n">
        <v>0</v>
      </c>
      <c r="I1359" s="2" t="n">
        <v>0</v>
      </c>
    </row>
    <row r="1360">
      <c r="A1360" s="2" t="n">
        <v>1358</v>
      </c>
      <c r="B1360" s="2" t="inlineStr">
        <is>
          <t>truncate</t>
        </is>
      </c>
      <c r="C1360" s="2" t="inlineStr">
        <is>
          <t>openssl TLS 1.2 only</t>
        </is>
      </c>
      <c r="D1360" s="2" t="n">
        <v>71</v>
      </c>
      <c r="E1360" s="2" t="n">
        <v>71</v>
      </c>
      <c r="F1360" s="2" t="n">
        <v>1</v>
      </c>
      <c r="G1360" s="2" t="n">
        <v>0</v>
      </c>
      <c r="H1360" s="2" t="n">
        <v>0</v>
      </c>
      <c r="I1360" s="2" t="n">
        <v>0</v>
      </c>
    </row>
    <row r="1361">
      <c r="A1361" s="2" t="n">
        <v>1359</v>
      </c>
      <c r="B1361" s="2" t="inlineStr">
        <is>
          <t>length</t>
        </is>
      </c>
      <c r="C1361" s="2" t="inlineStr">
        <is>
          <t>openssl 3.5.8 default</t>
        </is>
      </c>
      <c r="D1361" s="2" t="n">
        <v>1548</v>
      </c>
      <c r="E1361" s="2" t="n">
        <v>1548</v>
      </c>
      <c r="F1361" s="2" t="n">
        <v>1</v>
      </c>
      <c r="G1361" s="2" t="n">
        <v>1</v>
      </c>
      <c r="H1361" s="2" t="n">
        <v>1</v>
      </c>
      <c r="I1361" s="2" t="n">
        <v>0</v>
      </c>
    </row>
    <row r="1362">
      <c r="A1362" s="2" t="n">
        <v>1360</v>
      </c>
      <c r="B1362" s="2" t="inlineStr">
        <is>
          <t>insert</t>
        </is>
      </c>
      <c r="C1362" s="2" t="inlineStr">
        <is>
          <t>browser firefox147</t>
        </is>
      </c>
      <c r="D1362" s="2" t="n">
        <v>1904</v>
      </c>
      <c r="E1362" s="2" t="n">
        <v>1904</v>
      </c>
      <c r="F1362" s="2" t="n">
        <v>1</v>
      </c>
      <c r="G1362" s="2" t="n">
        <v>1</v>
      </c>
      <c r="H1362" s="2" t="n">
        <v>0</v>
      </c>
      <c r="I1362" s="2" t="n">
        <v>0</v>
      </c>
    </row>
    <row r="1363">
      <c r="A1363" s="2" t="n">
        <v>1361</v>
      </c>
      <c r="B1363" s="2" t="inlineStr">
        <is>
          <t>flip</t>
        </is>
      </c>
      <c r="C1363" s="2" t="inlineStr">
        <is>
          <t>browser firefox147</t>
        </is>
      </c>
      <c r="D1363" s="2" t="n">
        <v>1901</v>
      </c>
      <c r="E1363" s="2" t="n">
        <v>1901</v>
      </c>
      <c r="F1363" s="2" t="n">
        <v>1</v>
      </c>
      <c r="G1363" s="2" t="n">
        <v>1</v>
      </c>
      <c r="H1363" s="2" t="n">
        <v>0</v>
      </c>
      <c r="I1363" s="2" t="n">
        <v>0</v>
      </c>
    </row>
    <row r="1364">
      <c r="A1364" s="2" t="n">
        <v>1362</v>
      </c>
      <c r="B1364" s="2" t="inlineStr">
        <is>
          <t>truncate</t>
        </is>
      </c>
      <c r="C1364" s="2" t="inlineStr">
        <is>
          <t>browser firefox147</t>
        </is>
      </c>
      <c r="D1364" s="2" t="n">
        <v>1464</v>
      </c>
      <c r="E1364" s="2" t="n">
        <v>1464</v>
      </c>
      <c r="F1364" s="2" t="n">
        <v>1</v>
      </c>
      <c r="G1364" s="2" t="n">
        <v>1</v>
      </c>
      <c r="H1364" s="2" t="n">
        <v>0</v>
      </c>
      <c r="I1364" s="2" t="n">
        <v>0</v>
      </c>
    </row>
    <row r="1365">
      <c r="A1365" s="2" t="n">
        <v>1363</v>
      </c>
      <c r="B1365" s="2" t="inlineStr">
        <is>
          <t>length</t>
        </is>
      </c>
      <c r="C1365" s="2" t="inlineStr">
        <is>
          <t>browser chrome150</t>
        </is>
      </c>
      <c r="D1365" s="2" t="n">
        <v>1763</v>
      </c>
      <c r="E1365" s="2" t="n">
        <v>1763</v>
      </c>
      <c r="F1365" s="2" t="n">
        <v>1</v>
      </c>
      <c r="G1365" s="2" t="n">
        <v>1</v>
      </c>
      <c r="H1365" s="2" t="n">
        <v>1</v>
      </c>
      <c r="I1365" s="2" t="n">
        <v>0</v>
      </c>
    </row>
    <row r="1366">
      <c r="A1366" s="2" t="n">
        <v>1364</v>
      </c>
      <c r="B1366" s="2" t="inlineStr">
        <is>
          <t>insert</t>
        </is>
      </c>
      <c r="C1366" s="2" t="inlineStr">
        <is>
          <t>browser chrome150</t>
        </is>
      </c>
      <c r="D1366" s="2" t="n">
        <v>1767</v>
      </c>
      <c r="E1366" s="2" t="n">
        <v>1767</v>
      </c>
      <c r="F1366" s="2" t="n">
        <v>1</v>
      </c>
      <c r="G1366" s="2" t="n">
        <v>1</v>
      </c>
      <c r="H1366" s="2" t="n">
        <v>1</v>
      </c>
      <c r="I1366" s="2" t="n">
        <v>0</v>
      </c>
    </row>
    <row r="1367">
      <c r="A1367" s="2" t="n">
        <v>1365</v>
      </c>
      <c r="B1367" s="2" t="inlineStr">
        <is>
          <t>flip</t>
        </is>
      </c>
      <c r="C1367" s="2" t="inlineStr">
        <is>
          <t>openssl X25519 only (classical)</t>
        </is>
      </c>
      <c r="D1367" s="2" t="n">
        <v>314</v>
      </c>
      <c r="E1367" s="2" t="n">
        <v>314</v>
      </c>
      <c r="F1367" s="2" t="n">
        <v>1</v>
      </c>
      <c r="G1367" s="2" t="n">
        <v>1</v>
      </c>
      <c r="H1367" s="2" t="n">
        <v>1</v>
      </c>
      <c r="I1367" s="2" t="n">
        <v>0</v>
      </c>
    </row>
    <row r="1368">
      <c r="A1368" s="2" t="n">
        <v>1366</v>
      </c>
      <c r="B1368" s="2" t="inlineStr">
        <is>
          <t>truncate</t>
        </is>
      </c>
      <c r="C1368" s="2" t="inlineStr">
        <is>
          <t>browser chrome150</t>
        </is>
      </c>
      <c r="D1368" s="2" t="n">
        <v>140</v>
      </c>
      <c r="E1368" s="2" t="n">
        <v>140</v>
      </c>
      <c r="F1368" s="2" t="n">
        <v>1</v>
      </c>
      <c r="G1368" s="2" t="n">
        <v>1</v>
      </c>
      <c r="H1368" s="2" t="n">
        <v>0</v>
      </c>
      <c r="I1368" s="2" t="n">
        <v>0</v>
      </c>
    </row>
    <row r="1369">
      <c r="A1369" s="2" t="n">
        <v>1367</v>
      </c>
      <c r="B1369" s="2" t="inlineStr">
        <is>
          <t>length</t>
        </is>
      </c>
      <c r="C1369" s="2" t="inlineStr">
        <is>
          <t>browser chrome150</t>
        </is>
      </c>
      <c r="D1369" s="2" t="n">
        <v>1763</v>
      </c>
      <c r="E1369" s="2" t="n">
        <v>1763</v>
      </c>
      <c r="F1369" s="2" t="n">
        <v>1</v>
      </c>
      <c r="G1369" s="2" t="n">
        <v>0</v>
      </c>
      <c r="H1369" s="2" t="n">
        <v>0</v>
      </c>
      <c r="I1369" s="2" t="n">
        <v>0</v>
      </c>
    </row>
    <row r="1370">
      <c r="A1370" s="2" t="n">
        <v>1368</v>
      </c>
      <c r="B1370" s="2" t="inlineStr">
        <is>
          <t>insert</t>
        </is>
      </c>
      <c r="C1370" s="2" t="inlineStr">
        <is>
          <t>openssl X25519 only (classical)</t>
        </is>
      </c>
      <c r="D1370" s="2" t="n">
        <v>318</v>
      </c>
      <c r="E1370" s="2" t="n">
        <v>318</v>
      </c>
      <c r="F1370" s="2" t="n">
        <v>1</v>
      </c>
      <c r="G1370" s="2" t="n">
        <v>1</v>
      </c>
      <c r="H1370" s="2" t="n">
        <v>1</v>
      </c>
      <c r="I1370" s="2" t="n">
        <v>0</v>
      </c>
    </row>
    <row r="1371">
      <c r="A1371" s="2" t="n">
        <v>1369</v>
      </c>
      <c r="B1371" s="2" t="inlineStr">
        <is>
          <t>flip</t>
        </is>
      </c>
      <c r="C1371" s="2" t="inlineStr">
        <is>
          <t>openssl TLS 1.2 only</t>
        </is>
      </c>
      <c r="D1371" s="2" t="n">
        <v>215</v>
      </c>
      <c r="E1371" s="2" t="n">
        <v>215</v>
      </c>
      <c r="F1371" s="2" t="n">
        <v>1</v>
      </c>
      <c r="G1371" s="2" t="n">
        <v>1</v>
      </c>
      <c r="H1371" s="2" t="n">
        <v>1</v>
      </c>
      <c r="I1371" s="2" t="n">
        <v>0</v>
      </c>
    </row>
    <row r="1372">
      <c r="A1372" s="2" t="n">
        <v>1370</v>
      </c>
      <c r="B1372" s="2" t="inlineStr">
        <is>
          <t>truncate</t>
        </is>
      </c>
      <c r="C1372" s="2" t="inlineStr">
        <is>
          <t>browser chrome150</t>
        </is>
      </c>
      <c r="D1372" s="2" t="n">
        <v>87</v>
      </c>
      <c r="E1372" s="2" t="n">
        <v>87</v>
      </c>
      <c r="F1372" s="2" t="n">
        <v>1</v>
      </c>
      <c r="G1372" s="2" t="n">
        <v>0</v>
      </c>
      <c r="H1372" s="2" t="n">
        <v>0</v>
      </c>
      <c r="I1372" s="2" t="n">
        <v>0</v>
      </c>
    </row>
    <row r="1373">
      <c r="A1373" s="2" t="n">
        <v>1371</v>
      </c>
      <c r="B1373" s="2" t="inlineStr">
        <is>
          <t>length</t>
        </is>
      </c>
      <c r="C1373" s="2" t="inlineStr">
        <is>
          <t>openssl TLS 1.2 only</t>
        </is>
      </c>
      <c r="D1373" s="2" t="n">
        <v>215</v>
      </c>
      <c r="E1373" s="2" t="n">
        <v>215</v>
      </c>
      <c r="F1373" s="2" t="n">
        <v>1</v>
      </c>
      <c r="G1373" s="2" t="n">
        <v>1</v>
      </c>
      <c r="H1373" s="2" t="n">
        <v>1</v>
      </c>
      <c r="I1373" s="2" t="n">
        <v>0</v>
      </c>
    </row>
    <row r="1374">
      <c r="A1374" s="2" t="n">
        <v>1372</v>
      </c>
      <c r="B1374" s="2" t="inlineStr">
        <is>
          <t>insert</t>
        </is>
      </c>
      <c r="C1374" s="2" t="inlineStr">
        <is>
          <t>browser chrome150</t>
        </is>
      </c>
      <c r="D1374" s="2" t="n">
        <v>1771</v>
      </c>
      <c r="E1374" s="2" t="n">
        <v>1771</v>
      </c>
      <c r="F1374" s="2" t="n">
        <v>1</v>
      </c>
      <c r="G1374" s="2" t="n">
        <v>0</v>
      </c>
      <c r="H1374" s="2" t="n">
        <v>0</v>
      </c>
      <c r="I1374" s="2" t="n">
        <v>0</v>
      </c>
    </row>
    <row r="1375">
      <c r="A1375" s="2" t="n">
        <v>1373</v>
      </c>
      <c r="B1375" s="2" t="inlineStr">
        <is>
          <t>flip</t>
        </is>
      </c>
      <c r="C1375" s="2" t="inlineStr">
        <is>
          <t>openssl X25519 only (classical)</t>
        </is>
      </c>
      <c r="D1375" s="2" t="n">
        <v>314</v>
      </c>
      <c r="E1375" s="2" t="n">
        <v>314</v>
      </c>
      <c r="F1375" s="2" t="n">
        <v>1</v>
      </c>
      <c r="G1375" s="2" t="n">
        <v>1</v>
      </c>
      <c r="H1375" s="2" t="n">
        <v>1</v>
      </c>
      <c r="I1375" s="2" t="n">
        <v>0</v>
      </c>
    </row>
    <row r="1376">
      <c r="A1376" s="2" t="n">
        <v>1374</v>
      </c>
      <c r="B1376" s="2" t="inlineStr">
        <is>
          <t>truncate</t>
        </is>
      </c>
      <c r="C1376" s="2" t="inlineStr">
        <is>
          <t>browser chrome150</t>
        </is>
      </c>
      <c r="D1376" s="2" t="n">
        <v>268</v>
      </c>
      <c r="E1376" s="2" t="n">
        <v>268</v>
      </c>
      <c r="F1376" s="2" t="n">
        <v>1</v>
      </c>
      <c r="G1376" s="2" t="n">
        <v>1</v>
      </c>
      <c r="H1376" s="2" t="n">
        <v>1</v>
      </c>
      <c r="I1376" s="2" t="n">
        <v>0</v>
      </c>
    </row>
    <row r="1377">
      <c r="A1377" s="2" t="n">
        <v>1375</v>
      </c>
      <c r="B1377" s="2" t="inlineStr">
        <is>
          <t>length</t>
        </is>
      </c>
      <c r="C1377" s="2" t="inlineStr">
        <is>
          <t>browser firefox147</t>
        </is>
      </c>
      <c r="D1377" s="2" t="n">
        <v>1901</v>
      </c>
      <c r="E1377" s="2" t="n">
        <v>1901</v>
      </c>
      <c r="F1377" s="2" t="n">
        <v>1</v>
      </c>
      <c r="G1377" s="2" t="n">
        <v>1</v>
      </c>
      <c r="H1377" s="2" t="n">
        <v>1</v>
      </c>
      <c r="I1377" s="2" t="n">
        <v>0</v>
      </c>
    </row>
    <row r="1378">
      <c r="A1378" s="2" t="n">
        <v>1376</v>
      </c>
      <c r="B1378" s="2" t="inlineStr">
        <is>
          <t>insert</t>
        </is>
      </c>
      <c r="C1378" s="2" t="inlineStr">
        <is>
          <t>browser chrome150</t>
        </is>
      </c>
      <c r="D1378" s="2" t="n">
        <v>1773</v>
      </c>
      <c r="E1378" s="2" t="n">
        <v>1773</v>
      </c>
      <c r="F1378" s="2" t="n">
        <v>1</v>
      </c>
      <c r="G1378" s="2" t="n">
        <v>1</v>
      </c>
      <c r="H1378" s="2" t="n">
        <v>1</v>
      </c>
      <c r="I1378" s="2" t="n">
        <v>0</v>
      </c>
    </row>
    <row r="1379">
      <c r="A1379" s="2" t="n">
        <v>1377</v>
      </c>
      <c r="B1379" s="2" t="inlineStr">
        <is>
          <t>flip</t>
        </is>
      </c>
      <c r="C1379" s="2" t="inlineStr">
        <is>
          <t>openssl X25519 only (classical)</t>
        </is>
      </c>
      <c r="D1379" s="2" t="n">
        <v>314</v>
      </c>
      <c r="E1379" s="2" t="n">
        <v>314</v>
      </c>
      <c r="F1379" s="2" t="n">
        <v>1</v>
      </c>
      <c r="G1379" s="2" t="n">
        <v>1</v>
      </c>
      <c r="H1379" s="2" t="n">
        <v>1</v>
      </c>
      <c r="I1379" s="2" t="n">
        <v>0</v>
      </c>
    </row>
    <row r="1380">
      <c r="A1380" s="2" t="n">
        <v>1378</v>
      </c>
      <c r="B1380" s="2" t="inlineStr">
        <is>
          <t>truncate</t>
        </is>
      </c>
      <c r="C1380" s="2" t="inlineStr">
        <is>
          <t>openssl 3.5.8 default</t>
        </is>
      </c>
      <c r="D1380" s="2" t="n">
        <v>957</v>
      </c>
      <c r="E1380" s="2" t="n">
        <v>957</v>
      </c>
      <c r="F1380" s="2" t="n">
        <v>1</v>
      </c>
      <c r="G1380" s="2" t="n">
        <v>1</v>
      </c>
      <c r="H1380" s="2" t="n">
        <v>1</v>
      </c>
      <c r="I1380" s="2" t="n">
        <v>0</v>
      </c>
    </row>
    <row r="1381">
      <c r="A1381" s="2" t="n">
        <v>1379</v>
      </c>
      <c r="B1381" s="2" t="inlineStr">
        <is>
          <t>length</t>
        </is>
      </c>
      <c r="C1381" s="2" t="inlineStr">
        <is>
          <t>openssl 3.5.8 default</t>
        </is>
      </c>
      <c r="D1381" s="2" t="n">
        <v>1548</v>
      </c>
      <c r="E1381" s="2" t="n">
        <v>1548</v>
      </c>
      <c r="F1381" s="2" t="n">
        <v>0</v>
      </c>
      <c r="G1381" s="2" t="n">
        <v>0</v>
      </c>
      <c r="H1381" s="2" t="n">
        <v>0</v>
      </c>
      <c r="I1381" s="2" t="n">
        <v>0</v>
      </c>
    </row>
    <row r="1382">
      <c r="A1382" s="2" t="n">
        <v>1380</v>
      </c>
      <c r="B1382" s="2" t="inlineStr">
        <is>
          <t>insert</t>
        </is>
      </c>
      <c r="C1382" s="2" t="inlineStr">
        <is>
          <t>openssl TLS 1.2 only</t>
        </is>
      </c>
      <c r="D1382" s="2" t="n">
        <v>226</v>
      </c>
      <c r="E1382" s="2" t="n">
        <v>226</v>
      </c>
      <c r="F1382" s="2" t="n">
        <v>0</v>
      </c>
      <c r="G1382" s="2" t="n">
        <v>0</v>
      </c>
      <c r="H1382" s="2" t="n">
        <v>0</v>
      </c>
      <c r="I1382" s="2" t="n">
        <v>0</v>
      </c>
    </row>
    <row r="1383">
      <c r="A1383" s="2" t="n">
        <v>1381</v>
      </c>
      <c r="B1383" s="2" t="inlineStr">
        <is>
          <t>flip</t>
        </is>
      </c>
      <c r="C1383" s="2" t="inlineStr">
        <is>
          <t>openssl X25519 only (classical)</t>
        </is>
      </c>
      <c r="D1383" s="2" t="n">
        <v>314</v>
      </c>
      <c r="E1383" s="2" t="n">
        <v>314</v>
      </c>
      <c r="F1383" s="2" t="n">
        <v>1</v>
      </c>
      <c r="G1383" s="2" t="n">
        <v>1</v>
      </c>
      <c r="H1383" s="2" t="n">
        <v>1</v>
      </c>
      <c r="I1383" s="2" t="n">
        <v>0</v>
      </c>
    </row>
    <row r="1384">
      <c r="A1384" s="2" t="n">
        <v>1382</v>
      </c>
      <c r="B1384" s="2" t="inlineStr">
        <is>
          <t>truncate</t>
        </is>
      </c>
      <c r="C1384" s="2" t="inlineStr">
        <is>
          <t>openssl X25519 only (classical)</t>
        </is>
      </c>
      <c r="D1384" s="2" t="n">
        <v>216</v>
      </c>
      <c r="E1384" s="2" t="n">
        <v>216</v>
      </c>
      <c r="F1384" s="2" t="n">
        <v>1</v>
      </c>
      <c r="G1384" s="2" t="n">
        <v>1</v>
      </c>
      <c r="H1384" s="2" t="n">
        <v>0</v>
      </c>
      <c r="I1384" s="2" t="n">
        <v>0</v>
      </c>
    </row>
    <row r="1385">
      <c r="A1385" s="2" t="n">
        <v>1383</v>
      </c>
      <c r="B1385" s="2" t="inlineStr">
        <is>
          <t>length</t>
        </is>
      </c>
      <c r="C1385" s="2" t="inlineStr">
        <is>
          <t>openssl X25519 only (classical)</t>
        </is>
      </c>
      <c r="D1385" s="2" t="n">
        <v>314</v>
      </c>
      <c r="E1385" s="2" t="n">
        <v>314</v>
      </c>
      <c r="F1385" s="2" t="n">
        <v>1</v>
      </c>
      <c r="G1385" s="2" t="n">
        <v>1</v>
      </c>
      <c r="H1385" s="2" t="n">
        <v>0</v>
      </c>
      <c r="I1385" s="2" t="n">
        <v>0</v>
      </c>
    </row>
    <row r="1386">
      <c r="A1386" s="2" t="n">
        <v>1384</v>
      </c>
      <c r="B1386" s="2" t="inlineStr">
        <is>
          <t>insert</t>
        </is>
      </c>
      <c r="C1386" s="2" t="inlineStr">
        <is>
          <t>openssl TLS 1.2 only</t>
        </is>
      </c>
      <c r="D1386" s="2" t="n">
        <v>223</v>
      </c>
      <c r="E1386" s="2" t="n">
        <v>223</v>
      </c>
      <c r="F1386" s="2" t="n">
        <v>1</v>
      </c>
      <c r="G1386" s="2" t="n">
        <v>1</v>
      </c>
      <c r="H1386" s="2" t="n">
        <v>0</v>
      </c>
      <c r="I1386" s="2" t="n">
        <v>0</v>
      </c>
    </row>
    <row r="1387">
      <c r="A1387" s="2" t="n">
        <v>1385</v>
      </c>
      <c r="B1387" s="2" t="inlineStr">
        <is>
          <t>flip</t>
        </is>
      </c>
      <c r="C1387" s="2" t="inlineStr">
        <is>
          <t>openssl X25519 only (classical)</t>
        </is>
      </c>
      <c r="D1387" s="2" t="n">
        <v>314</v>
      </c>
      <c r="E1387" s="2" t="n">
        <v>314</v>
      </c>
      <c r="F1387" s="2" t="n">
        <v>1</v>
      </c>
      <c r="G1387" s="2" t="n">
        <v>1</v>
      </c>
      <c r="H1387" s="2" t="n">
        <v>1</v>
      </c>
      <c r="I1387" s="2" t="n">
        <v>0</v>
      </c>
    </row>
    <row r="1388">
      <c r="A1388" s="2" t="n">
        <v>1386</v>
      </c>
      <c r="B1388" s="2" t="inlineStr">
        <is>
          <t>truncate</t>
        </is>
      </c>
      <c r="C1388" s="2" t="inlineStr">
        <is>
          <t>openssl 3.5.8 default</t>
        </is>
      </c>
      <c r="D1388" s="2" t="n">
        <v>630</v>
      </c>
      <c r="E1388" s="2" t="n">
        <v>630</v>
      </c>
      <c r="F1388" s="2" t="n">
        <v>1</v>
      </c>
      <c r="G1388" s="2" t="n">
        <v>1</v>
      </c>
      <c r="H1388" s="2" t="n">
        <v>1</v>
      </c>
      <c r="I1388" s="2" t="n">
        <v>0</v>
      </c>
    </row>
    <row r="1389">
      <c r="A1389" s="2" t="n">
        <v>1387</v>
      </c>
      <c r="B1389" s="2" t="inlineStr">
        <is>
          <t>length</t>
        </is>
      </c>
      <c r="C1389" s="2" t="inlineStr">
        <is>
          <t>openssl TLS 1.2 only</t>
        </is>
      </c>
      <c r="D1389" s="2" t="n">
        <v>215</v>
      </c>
      <c r="E1389" s="2" t="n">
        <v>215</v>
      </c>
      <c r="F1389" s="2" t="n">
        <v>1</v>
      </c>
      <c r="G1389" s="2" t="n">
        <v>1</v>
      </c>
      <c r="H1389" s="2" t="n">
        <v>1</v>
      </c>
      <c r="I1389" s="2" t="n">
        <v>0</v>
      </c>
    </row>
    <row r="1390">
      <c r="A1390" s="2" t="n">
        <v>1388</v>
      </c>
      <c r="B1390" s="2" t="inlineStr">
        <is>
          <t>insert</t>
        </is>
      </c>
      <c r="C1390" s="2" t="inlineStr">
        <is>
          <t>browser chrome150</t>
        </is>
      </c>
      <c r="D1390" s="2" t="n">
        <v>1776</v>
      </c>
      <c r="E1390" s="2" t="n">
        <v>1776</v>
      </c>
      <c r="F1390" s="2" t="n">
        <v>1</v>
      </c>
      <c r="G1390" s="2" t="n">
        <v>1</v>
      </c>
      <c r="H1390" s="2" t="n">
        <v>1</v>
      </c>
      <c r="I1390" s="2" t="n">
        <v>0</v>
      </c>
    </row>
    <row r="1391">
      <c r="A1391" s="2" t="n">
        <v>1389</v>
      </c>
      <c r="B1391" s="2" t="inlineStr">
        <is>
          <t>flip</t>
        </is>
      </c>
      <c r="C1391" s="2" t="inlineStr">
        <is>
          <t>browser firefox147</t>
        </is>
      </c>
      <c r="D1391" s="2" t="n">
        <v>1901</v>
      </c>
      <c r="E1391" s="2" t="n">
        <v>1901</v>
      </c>
      <c r="F1391" s="2" t="n">
        <v>1</v>
      </c>
      <c r="G1391" s="2" t="n">
        <v>1</v>
      </c>
      <c r="H1391" s="2" t="n">
        <v>0</v>
      </c>
      <c r="I1391" s="2" t="n">
        <v>0</v>
      </c>
    </row>
    <row r="1392">
      <c r="A1392" s="2" t="n">
        <v>1390</v>
      </c>
      <c r="B1392" s="2" t="inlineStr">
        <is>
          <t>truncate</t>
        </is>
      </c>
      <c r="C1392" s="2" t="inlineStr">
        <is>
          <t>browser firefox147</t>
        </is>
      </c>
      <c r="D1392" s="2" t="n">
        <v>18</v>
      </c>
      <c r="E1392" s="2" t="n">
        <v>18</v>
      </c>
      <c r="F1392" s="2" t="n">
        <v>1</v>
      </c>
      <c r="G1392" s="2" t="n">
        <v>0</v>
      </c>
      <c r="H1392" s="2" t="n">
        <v>0</v>
      </c>
      <c r="I1392" s="2" t="n">
        <v>0</v>
      </c>
    </row>
    <row r="1393">
      <c r="A1393" s="2" t="n">
        <v>1391</v>
      </c>
      <c r="B1393" s="2" t="inlineStr">
        <is>
          <t>length</t>
        </is>
      </c>
      <c r="C1393" s="2" t="inlineStr">
        <is>
          <t>browser firefox147</t>
        </is>
      </c>
      <c r="D1393" s="2" t="n">
        <v>1901</v>
      </c>
      <c r="E1393" s="2" t="n">
        <v>1901</v>
      </c>
      <c r="F1393" s="2" t="n">
        <v>1</v>
      </c>
      <c r="G1393" s="2" t="n">
        <v>1</v>
      </c>
      <c r="H1393" s="2" t="n">
        <v>1</v>
      </c>
      <c r="I1393" s="2" t="n">
        <v>0</v>
      </c>
    </row>
    <row r="1394">
      <c r="A1394" s="2" t="n">
        <v>1392</v>
      </c>
      <c r="B1394" s="2" t="inlineStr">
        <is>
          <t>insert</t>
        </is>
      </c>
      <c r="C1394" s="2" t="inlineStr">
        <is>
          <t>openssl 3.5.8 default</t>
        </is>
      </c>
      <c r="D1394" s="2" t="n">
        <v>1562</v>
      </c>
      <c r="E1394" s="2" t="n">
        <v>1562</v>
      </c>
      <c r="F1394" s="2" t="n">
        <v>1</v>
      </c>
      <c r="G1394" s="2" t="n">
        <v>1</v>
      </c>
      <c r="H1394" s="2" t="n">
        <v>1</v>
      </c>
      <c r="I1394" s="2" t="n">
        <v>0</v>
      </c>
    </row>
    <row r="1395">
      <c r="A1395" s="2" t="n">
        <v>1393</v>
      </c>
      <c r="B1395" s="2" t="inlineStr">
        <is>
          <t>flip</t>
        </is>
      </c>
      <c r="C1395" s="2" t="inlineStr">
        <is>
          <t>openssl X25519 only (classical)</t>
        </is>
      </c>
      <c r="D1395" s="2" t="n">
        <v>314</v>
      </c>
      <c r="E1395" s="2" t="n">
        <v>314</v>
      </c>
      <c r="F1395" s="2" t="n">
        <v>1</v>
      </c>
      <c r="G1395" s="2" t="n">
        <v>1</v>
      </c>
      <c r="H1395" s="2" t="n">
        <v>1</v>
      </c>
      <c r="I1395" s="2" t="n">
        <v>0</v>
      </c>
    </row>
    <row r="1396">
      <c r="A1396" s="2" t="n">
        <v>1394</v>
      </c>
      <c r="B1396" s="2" t="inlineStr">
        <is>
          <t>truncate</t>
        </is>
      </c>
      <c r="C1396" s="2" t="inlineStr">
        <is>
          <t>openssl TLS 1.2 only</t>
        </is>
      </c>
      <c r="D1396" s="2" t="n">
        <v>164</v>
      </c>
      <c r="E1396" s="2" t="n">
        <v>164</v>
      </c>
      <c r="F1396" s="2" t="n">
        <v>1</v>
      </c>
      <c r="G1396" s="2" t="n">
        <v>1</v>
      </c>
      <c r="H1396" s="2" t="n">
        <v>0</v>
      </c>
      <c r="I1396" s="2" t="n">
        <v>0</v>
      </c>
    </row>
    <row r="1397">
      <c r="A1397" s="2" t="n">
        <v>1395</v>
      </c>
      <c r="B1397" s="2" t="inlineStr">
        <is>
          <t>length</t>
        </is>
      </c>
      <c r="C1397" s="2" t="inlineStr">
        <is>
          <t>openssl 3.5.8 default</t>
        </is>
      </c>
      <c r="D1397" s="2" t="n">
        <v>1548</v>
      </c>
      <c r="E1397" s="2" t="n">
        <v>1548</v>
      </c>
      <c r="F1397" s="2" t="n">
        <v>1</v>
      </c>
      <c r="G1397" s="2" t="n">
        <v>1</v>
      </c>
      <c r="H1397" s="2" t="n">
        <v>1</v>
      </c>
      <c r="I1397" s="2" t="n">
        <v>0</v>
      </c>
    </row>
    <row r="1398">
      <c r="A1398" s="2" t="n">
        <v>1396</v>
      </c>
      <c r="B1398" s="2" t="inlineStr">
        <is>
          <t>insert</t>
        </is>
      </c>
      <c r="C1398" s="2" t="inlineStr">
        <is>
          <t>browser firefox147</t>
        </is>
      </c>
      <c r="D1398" s="2" t="n">
        <v>1909</v>
      </c>
      <c r="E1398" s="2" t="n">
        <v>1909</v>
      </c>
      <c r="F1398" s="2" t="n">
        <v>1</v>
      </c>
      <c r="G1398" s="2" t="n">
        <v>1</v>
      </c>
      <c r="H1398" s="2" t="n">
        <v>0</v>
      </c>
      <c r="I1398" s="2" t="n">
        <v>0</v>
      </c>
    </row>
    <row r="1399">
      <c r="A1399" s="2" t="n">
        <v>1397</v>
      </c>
      <c r="B1399" s="2" t="inlineStr">
        <is>
          <t>flip</t>
        </is>
      </c>
      <c r="C1399" s="2" t="inlineStr">
        <is>
          <t>openssl 3.5.8 default</t>
        </is>
      </c>
      <c r="D1399" s="2" t="n">
        <v>1548</v>
      </c>
      <c r="E1399" s="2" t="n">
        <v>1548</v>
      </c>
      <c r="F1399" s="2" t="n">
        <v>1</v>
      </c>
      <c r="G1399" s="2" t="n">
        <v>1</v>
      </c>
      <c r="H1399" s="2" t="n">
        <v>1</v>
      </c>
      <c r="I1399" s="2" t="n">
        <v>0</v>
      </c>
    </row>
    <row r="1400">
      <c r="A1400" s="2" t="n">
        <v>1398</v>
      </c>
      <c r="B1400" s="2" t="inlineStr">
        <is>
          <t>truncate</t>
        </is>
      </c>
      <c r="C1400" s="2" t="inlineStr">
        <is>
          <t>openssl TLS 1.2 only</t>
        </is>
      </c>
      <c r="D1400" s="2" t="n">
        <v>189</v>
      </c>
      <c r="E1400" s="2" t="n">
        <v>189</v>
      </c>
      <c r="F1400" s="2" t="n">
        <v>1</v>
      </c>
      <c r="G1400" s="2" t="n">
        <v>1</v>
      </c>
      <c r="H1400" s="2" t="n">
        <v>1</v>
      </c>
      <c r="I1400" s="2" t="n">
        <v>0</v>
      </c>
    </row>
    <row r="1401">
      <c r="A1401" s="2" t="n">
        <v>1399</v>
      </c>
      <c r="B1401" s="2" t="inlineStr">
        <is>
          <t>length</t>
        </is>
      </c>
      <c r="C1401" s="2" t="inlineStr">
        <is>
          <t>openssl X25519 only (classical)</t>
        </is>
      </c>
      <c r="D1401" s="2" t="n">
        <v>314</v>
      </c>
      <c r="E1401" s="2" t="n">
        <v>314</v>
      </c>
      <c r="F1401" s="2" t="n">
        <v>1</v>
      </c>
      <c r="G1401" s="2" t="n">
        <v>0</v>
      </c>
      <c r="H1401" s="2" t="n">
        <v>0</v>
      </c>
      <c r="I1401" s="2" t="n">
        <v>0</v>
      </c>
    </row>
    <row r="1402">
      <c r="A1402" s="2" t="n">
        <v>1400</v>
      </c>
      <c r="B1402" s="2" t="inlineStr">
        <is>
          <t>insert</t>
        </is>
      </c>
      <c r="C1402" s="2" t="inlineStr">
        <is>
          <t>openssl X25519 only (classical)</t>
        </is>
      </c>
      <c r="D1402" s="2" t="n">
        <v>327</v>
      </c>
      <c r="E1402" s="2" t="n">
        <v>327</v>
      </c>
      <c r="F1402" s="2" t="n">
        <v>1</v>
      </c>
      <c r="G1402" s="2" t="n">
        <v>1</v>
      </c>
      <c r="H1402" s="2" t="n">
        <v>1</v>
      </c>
      <c r="I1402" s="2" t="n">
        <v>0</v>
      </c>
    </row>
    <row r="1403">
      <c r="A1403" s="2" t="n">
        <v>1401</v>
      </c>
      <c r="B1403" s="2" t="inlineStr">
        <is>
          <t>flip</t>
        </is>
      </c>
      <c r="C1403" s="2" t="inlineStr">
        <is>
          <t>browser chrome150</t>
        </is>
      </c>
      <c r="D1403" s="2" t="n">
        <v>1763</v>
      </c>
      <c r="E1403" s="2" t="n">
        <v>1763</v>
      </c>
      <c r="F1403" s="2" t="n">
        <v>1</v>
      </c>
      <c r="G1403" s="2" t="n">
        <v>1</v>
      </c>
      <c r="H1403" s="2" t="n">
        <v>1</v>
      </c>
      <c r="I1403" s="2" t="n">
        <v>0</v>
      </c>
    </row>
    <row r="1404">
      <c r="A1404" s="2" t="n">
        <v>1402</v>
      </c>
      <c r="B1404" s="2" t="inlineStr">
        <is>
          <t>truncate</t>
        </is>
      </c>
      <c r="C1404" s="2" t="inlineStr">
        <is>
          <t>browser chrome150</t>
        </is>
      </c>
      <c r="D1404" s="2" t="n">
        <v>1666</v>
      </c>
      <c r="E1404" s="2" t="n">
        <v>1666</v>
      </c>
      <c r="F1404" s="2" t="n">
        <v>1</v>
      </c>
      <c r="G1404" s="2" t="n">
        <v>1</v>
      </c>
      <c r="H1404" s="2" t="n">
        <v>1</v>
      </c>
      <c r="I1404" s="2" t="n">
        <v>0</v>
      </c>
    </row>
    <row r="1405">
      <c r="A1405" s="2" t="n">
        <v>1403</v>
      </c>
      <c r="B1405" s="2" t="inlineStr">
        <is>
          <t>length</t>
        </is>
      </c>
      <c r="C1405" s="2" t="inlineStr">
        <is>
          <t>openssl 3.5.8 default</t>
        </is>
      </c>
      <c r="D1405" s="2" t="n">
        <v>1548</v>
      </c>
      <c r="E1405" s="2" t="n">
        <v>1548</v>
      </c>
      <c r="F1405" s="2" t="n">
        <v>1</v>
      </c>
      <c r="G1405" s="2" t="n">
        <v>1</v>
      </c>
      <c r="H1405" s="2" t="n">
        <v>1</v>
      </c>
      <c r="I1405" s="2" t="n">
        <v>0</v>
      </c>
    </row>
    <row r="1406">
      <c r="A1406" s="2" t="n">
        <v>1404</v>
      </c>
      <c r="B1406" s="2" t="inlineStr">
        <is>
          <t>insert</t>
        </is>
      </c>
      <c r="C1406" s="2" t="inlineStr">
        <is>
          <t>openssl X25519 only (classical)</t>
        </is>
      </c>
      <c r="D1406" s="2" t="n">
        <v>324</v>
      </c>
      <c r="E1406" s="2" t="n">
        <v>324</v>
      </c>
      <c r="F1406" s="2" t="n">
        <v>1</v>
      </c>
      <c r="G1406" s="2" t="n">
        <v>1</v>
      </c>
      <c r="H1406" s="2" t="n">
        <v>1</v>
      </c>
      <c r="I1406" s="2" t="n">
        <v>0</v>
      </c>
    </row>
    <row r="1407">
      <c r="A1407" s="2" t="n">
        <v>1405</v>
      </c>
      <c r="B1407" s="2" t="inlineStr">
        <is>
          <t>flip</t>
        </is>
      </c>
      <c r="C1407" s="2" t="inlineStr">
        <is>
          <t>openssl TLS 1.2 only</t>
        </is>
      </c>
      <c r="D1407" s="2" t="n">
        <v>215</v>
      </c>
      <c r="E1407" s="2" t="n">
        <v>215</v>
      </c>
      <c r="F1407" s="2" t="n">
        <v>1</v>
      </c>
      <c r="G1407" s="2" t="n">
        <v>1</v>
      </c>
      <c r="H1407" s="2" t="n">
        <v>1</v>
      </c>
      <c r="I1407" s="2" t="n">
        <v>0</v>
      </c>
    </row>
    <row r="1408">
      <c r="A1408" s="2" t="n">
        <v>1406</v>
      </c>
      <c r="B1408" s="2" t="inlineStr">
        <is>
          <t>truncate</t>
        </is>
      </c>
      <c r="C1408" s="2" t="inlineStr">
        <is>
          <t>openssl X25519 only (classical)</t>
        </is>
      </c>
      <c r="D1408" s="2" t="n">
        <v>2</v>
      </c>
      <c r="E1408" s="2" t="n">
        <v>2</v>
      </c>
      <c r="F1408" s="2" t="n">
        <v>0</v>
      </c>
      <c r="G1408" s="2" t="n">
        <v>0</v>
      </c>
      <c r="H1408" s="2" t="n">
        <v>0</v>
      </c>
      <c r="I1408" s="2" t="n">
        <v>0</v>
      </c>
    </row>
    <row r="1409">
      <c r="A1409" s="2" t="n">
        <v>1407</v>
      </c>
      <c r="B1409" s="2" t="inlineStr">
        <is>
          <t>length</t>
        </is>
      </c>
      <c r="C1409" s="2" t="inlineStr">
        <is>
          <t>openssl X25519 only (classical)</t>
        </is>
      </c>
      <c r="D1409" s="2" t="n">
        <v>314</v>
      </c>
      <c r="E1409" s="2" t="n">
        <v>314</v>
      </c>
      <c r="F1409" s="2" t="n">
        <v>0</v>
      </c>
      <c r="G1409" s="2" t="n">
        <v>0</v>
      </c>
      <c r="H1409" s="2" t="n">
        <v>0</v>
      </c>
      <c r="I1409" s="2" t="n">
        <v>0</v>
      </c>
    </row>
    <row r="1410">
      <c r="A1410" s="2" t="n">
        <v>1408</v>
      </c>
      <c r="B1410" s="2" t="inlineStr">
        <is>
          <t>insert</t>
        </is>
      </c>
      <c r="C1410" s="2" t="inlineStr">
        <is>
          <t>openssl 3.5.8 default</t>
        </is>
      </c>
      <c r="D1410" s="2" t="n">
        <v>1551</v>
      </c>
      <c r="E1410" s="2" t="n">
        <v>1551</v>
      </c>
      <c r="F1410" s="2" t="n">
        <v>1</v>
      </c>
      <c r="G1410" s="2" t="n">
        <v>1</v>
      </c>
      <c r="H1410" s="2" t="n">
        <v>1</v>
      </c>
      <c r="I1410" s="2" t="n">
        <v>0</v>
      </c>
    </row>
    <row r="1411">
      <c r="A1411" s="2" t="n">
        <v>1409</v>
      </c>
      <c r="B1411" s="2" t="inlineStr">
        <is>
          <t>flip</t>
        </is>
      </c>
      <c r="C1411" s="2" t="inlineStr">
        <is>
          <t>openssl 3.5.8 default</t>
        </is>
      </c>
      <c r="D1411" s="2" t="n">
        <v>1548</v>
      </c>
      <c r="E1411" s="2" t="n">
        <v>1548</v>
      </c>
      <c r="F1411" s="2" t="n">
        <v>1</v>
      </c>
      <c r="G1411" s="2" t="n">
        <v>1</v>
      </c>
      <c r="H1411" s="2" t="n">
        <v>1</v>
      </c>
      <c r="I1411" s="2" t="n">
        <v>0</v>
      </c>
    </row>
    <row r="1412">
      <c r="A1412" s="2" t="n">
        <v>1410</v>
      </c>
      <c r="B1412" s="2" t="inlineStr">
        <is>
          <t>truncate</t>
        </is>
      </c>
      <c r="C1412" s="2" t="inlineStr">
        <is>
          <t>openssl X25519 only (classical)</t>
        </is>
      </c>
      <c r="D1412" s="2" t="n">
        <v>69</v>
      </c>
      <c r="E1412" s="2" t="n">
        <v>69</v>
      </c>
      <c r="F1412" s="2" t="n">
        <v>1</v>
      </c>
      <c r="G1412" s="2" t="n">
        <v>0</v>
      </c>
      <c r="H1412" s="2" t="n">
        <v>0</v>
      </c>
      <c r="I1412" s="2" t="n">
        <v>0</v>
      </c>
    </row>
    <row r="1413">
      <c r="A1413" s="2" t="n">
        <v>1411</v>
      </c>
      <c r="B1413" s="2" t="inlineStr">
        <is>
          <t>length</t>
        </is>
      </c>
      <c r="C1413" s="2" t="inlineStr">
        <is>
          <t>openssl X25519 only (classical)</t>
        </is>
      </c>
      <c r="D1413" s="2" t="n">
        <v>314</v>
      </c>
      <c r="E1413" s="2" t="n">
        <v>314</v>
      </c>
      <c r="F1413" s="2" t="n">
        <v>1</v>
      </c>
      <c r="G1413" s="2" t="n">
        <v>1</v>
      </c>
      <c r="H1413" s="2" t="n">
        <v>0</v>
      </c>
      <c r="I1413" s="2" t="n">
        <v>0</v>
      </c>
    </row>
    <row r="1414">
      <c r="A1414" s="2" t="n">
        <v>1412</v>
      </c>
      <c r="B1414" s="2" t="inlineStr">
        <is>
          <t>insert</t>
        </is>
      </c>
      <c r="C1414" s="2" t="inlineStr">
        <is>
          <t>openssl 3.5.8 default</t>
        </is>
      </c>
      <c r="D1414" s="2" t="n">
        <v>1552</v>
      </c>
      <c r="E1414" s="2" t="n">
        <v>1552</v>
      </c>
      <c r="F1414" s="2" t="n">
        <v>1</v>
      </c>
      <c r="G1414" s="2" t="n">
        <v>1</v>
      </c>
      <c r="H1414" s="2" t="n">
        <v>1</v>
      </c>
      <c r="I1414" s="2" t="n">
        <v>0</v>
      </c>
    </row>
    <row r="1415">
      <c r="A1415" s="2" t="n">
        <v>1413</v>
      </c>
      <c r="B1415" s="2" t="inlineStr">
        <is>
          <t>flip</t>
        </is>
      </c>
      <c r="C1415" s="2" t="inlineStr">
        <is>
          <t>browser firefox147</t>
        </is>
      </c>
      <c r="D1415" s="2" t="n">
        <v>1901</v>
      </c>
      <c r="E1415" s="2" t="n">
        <v>1901</v>
      </c>
      <c r="F1415" s="2" t="n">
        <v>1</v>
      </c>
      <c r="G1415" s="2" t="n">
        <v>1</v>
      </c>
      <c r="H1415" s="2" t="n">
        <v>0</v>
      </c>
      <c r="I1415" s="2" t="n">
        <v>0</v>
      </c>
    </row>
    <row r="1416">
      <c r="A1416" s="2" t="n">
        <v>1414</v>
      </c>
      <c r="B1416" s="2" t="inlineStr">
        <is>
          <t>truncate</t>
        </is>
      </c>
      <c r="C1416" s="2" t="inlineStr">
        <is>
          <t>browser chrome150</t>
        </is>
      </c>
      <c r="D1416" s="2" t="n">
        <v>1421</v>
      </c>
      <c r="E1416" s="2" t="n">
        <v>1421</v>
      </c>
      <c r="F1416" s="2" t="n">
        <v>1</v>
      </c>
      <c r="G1416" s="2" t="n">
        <v>1</v>
      </c>
      <c r="H1416" s="2" t="n">
        <v>1</v>
      </c>
      <c r="I1416" s="2" t="n">
        <v>0</v>
      </c>
    </row>
    <row r="1417">
      <c r="A1417" s="2" t="n">
        <v>1415</v>
      </c>
      <c r="B1417" s="2" t="inlineStr">
        <is>
          <t>length</t>
        </is>
      </c>
      <c r="C1417" s="2" t="inlineStr">
        <is>
          <t>openssl 3.5.8 default</t>
        </is>
      </c>
      <c r="D1417" s="2" t="n">
        <v>1548</v>
      </c>
      <c r="E1417" s="2" t="n">
        <v>1548</v>
      </c>
      <c r="F1417" s="2" t="n">
        <v>1</v>
      </c>
      <c r="G1417" s="2" t="n">
        <v>1</v>
      </c>
      <c r="H1417" s="2" t="n">
        <v>0</v>
      </c>
      <c r="I1417" s="2" t="n">
        <v>0</v>
      </c>
    </row>
    <row r="1418">
      <c r="A1418" s="2" t="n">
        <v>1416</v>
      </c>
      <c r="B1418" s="2" t="inlineStr">
        <is>
          <t>insert</t>
        </is>
      </c>
      <c r="C1418" s="2" t="inlineStr">
        <is>
          <t>openssl TLS 1.2 only</t>
        </is>
      </c>
      <c r="D1418" s="2" t="n">
        <v>228</v>
      </c>
      <c r="E1418" s="2" t="n">
        <v>228</v>
      </c>
      <c r="F1418" s="2" t="n">
        <v>1</v>
      </c>
      <c r="G1418" s="2" t="n">
        <v>1</v>
      </c>
      <c r="H1418" s="2" t="n">
        <v>0</v>
      </c>
      <c r="I1418" s="2" t="n">
        <v>0</v>
      </c>
    </row>
    <row r="1419">
      <c r="A1419" s="2" t="n">
        <v>1417</v>
      </c>
      <c r="B1419" s="2" t="inlineStr">
        <is>
          <t>flip</t>
        </is>
      </c>
      <c r="C1419" s="2" t="inlineStr">
        <is>
          <t>browser firefox147</t>
        </is>
      </c>
      <c r="D1419" s="2" t="n">
        <v>1901</v>
      </c>
      <c r="E1419" s="2" t="n">
        <v>1901</v>
      </c>
      <c r="F1419" s="2" t="n">
        <v>1</v>
      </c>
      <c r="G1419" s="2" t="n">
        <v>1</v>
      </c>
      <c r="H1419" s="2" t="n">
        <v>0</v>
      </c>
      <c r="I1419" s="2" t="n">
        <v>0</v>
      </c>
    </row>
    <row r="1420">
      <c r="A1420" s="2" t="n">
        <v>1418</v>
      </c>
      <c r="B1420" s="2" t="inlineStr">
        <is>
          <t>truncate</t>
        </is>
      </c>
      <c r="C1420" s="2" t="inlineStr">
        <is>
          <t>browser firefox147</t>
        </is>
      </c>
      <c r="D1420" s="2" t="n">
        <v>540</v>
      </c>
      <c r="E1420" s="2" t="n">
        <v>540</v>
      </c>
      <c r="F1420" s="2" t="n">
        <v>1</v>
      </c>
      <c r="G1420" s="2" t="n">
        <v>1</v>
      </c>
      <c r="H1420" s="2" t="n">
        <v>0</v>
      </c>
      <c r="I1420" s="2" t="n">
        <v>0</v>
      </c>
    </row>
    <row r="1421">
      <c r="A1421" s="2" t="n">
        <v>1419</v>
      </c>
      <c r="B1421" s="2" t="inlineStr">
        <is>
          <t>length</t>
        </is>
      </c>
      <c r="C1421" s="2" t="inlineStr">
        <is>
          <t>browser chrome150</t>
        </is>
      </c>
      <c r="D1421" s="2" t="n">
        <v>1763</v>
      </c>
      <c r="E1421" s="2" t="n">
        <v>1763</v>
      </c>
      <c r="F1421" s="2" t="n">
        <v>1</v>
      </c>
      <c r="G1421" s="2" t="n">
        <v>1</v>
      </c>
      <c r="H1421" s="2" t="n">
        <v>1</v>
      </c>
      <c r="I1421" s="2" t="n">
        <v>0</v>
      </c>
    </row>
    <row r="1422">
      <c r="A1422" s="2" t="n">
        <v>1420</v>
      </c>
      <c r="B1422" s="2" t="inlineStr">
        <is>
          <t>insert</t>
        </is>
      </c>
      <c r="C1422" s="2" t="inlineStr">
        <is>
          <t>browser firefox147</t>
        </is>
      </c>
      <c r="D1422" s="2" t="n">
        <v>1906</v>
      </c>
      <c r="E1422" s="2" t="n">
        <v>1906</v>
      </c>
      <c r="F1422" s="2" t="n">
        <v>1</v>
      </c>
      <c r="G1422" s="2" t="n">
        <v>1</v>
      </c>
      <c r="H1422" s="2" t="n">
        <v>0</v>
      </c>
      <c r="I1422" s="2" t="n">
        <v>0</v>
      </c>
    </row>
    <row r="1423">
      <c r="A1423" s="2" t="n">
        <v>1421</v>
      </c>
      <c r="B1423" s="2" t="inlineStr">
        <is>
          <t>flip</t>
        </is>
      </c>
      <c r="C1423" s="2" t="inlineStr">
        <is>
          <t>openssl 3.5.8 default</t>
        </is>
      </c>
      <c r="D1423" s="2" t="n">
        <v>1548</v>
      </c>
      <c r="E1423" s="2" t="n">
        <v>1548</v>
      </c>
      <c r="F1423" s="2" t="n">
        <v>1</v>
      </c>
      <c r="G1423" s="2" t="n">
        <v>1</v>
      </c>
      <c r="H1423" s="2" t="n">
        <v>1</v>
      </c>
      <c r="I1423" s="2" t="n">
        <v>0</v>
      </c>
    </row>
    <row r="1424">
      <c r="A1424" s="2" t="n">
        <v>1422</v>
      </c>
      <c r="B1424" s="2" t="inlineStr">
        <is>
          <t>truncate</t>
        </is>
      </c>
      <c r="C1424" s="2" t="inlineStr">
        <is>
          <t>browser chrome150</t>
        </is>
      </c>
      <c r="D1424" s="2" t="n">
        <v>1035</v>
      </c>
      <c r="E1424" s="2" t="n">
        <v>1035</v>
      </c>
      <c r="F1424" s="2" t="n">
        <v>1</v>
      </c>
      <c r="G1424" s="2" t="n">
        <v>1</v>
      </c>
      <c r="H1424" s="2" t="n">
        <v>1</v>
      </c>
      <c r="I1424" s="2" t="n">
        <v>0</v>
      </c>
    </row>
    <row r="1425">
      <c r="A1425" s="2" t="n">
        <v>1423</v>
      </c>
      <c r="B1425" s="2" t="inlineStr">
        <is>
          <t>length</t>
        </is>
      </c>
      <c r="C1425" s="2" t="inlineStr">
        <is>
          <t>openssl 3.5.8 default</t>
        </is>
      </c>
      <c r="D1425" s="2" t="n">
        <v>1548</v>
      </c>
      <c r="E1425" s="2" t="n">
        <v>1548</v>
      </c>
      <c r="F1425" s="2" t="n">
        <v>1</v>
      </c>
      <c r="G1425" s="2" t="n">
        <v>1</v>
      </c>
      <c r="H1425" s="2" t="n">
        <v>1</v>
      </c>
      <c r="I1425" s="2" t="n">
        <v>0</v>
      </c>
    </row>
    <row r="1426">
      <c r="A1426" s="2" t="n">
        <v>1424</v>
      </c>
      <c r="B1426" s="2" t="inlineStr">
        <is>
          <t>insert</t>
        </is>
      </c>
      <c r="C1426" s="2" t="inlineStr">
        <is>
          <t>browser firefox147</t>
        </is>
      </c>
      <c r="D1426" s="2" t="n">
        <v>1907</v>
      </c>
      <c r="E1426" s="2" t="n">
        <v>1907</v>
      </c>
      <c r="F1426" s="2" t="n">
        <v>1</v>
      </c>
      <c r="G1426" s="2" t="n">
        <v>1</v>
      </c>
      <c r="H1426" s="2" t="n">
        <v>0</v>
      </c>
      <c r="I1426" s="2" t="n">
        <v>0</v>
      </c>
    </row>
    <row r="1427">
      <c r="A1427" s="2" t="n">
        <v>1425</v>
      </c>
      <c r="B1427" s="2" t="inlineStr">
        <is>
          <t>flip</t>
        </is>
      </c>
      <c r="C1427" s="2" t="inlineStr">
        <is>
          <t>browser firefox147</t>
        </is>
      </c>
      <c r="D1427" s="2" t="n">
        <v>1901</v>
      </c>
      <c r="E1427" s="2" t="n">
        <v>1901</v>
      </c>
      <c r="F1427" s="2" t="n">
        <v>1</v>
      </c>
      <c r="G1427" s="2" t="n">
        <v>1</v>
      </c>
      <c r="H1427" s="2" t="n">
        <v>0</v>
      </c>
      <c r="I1427" s="2" t="n">
        <v>0</v>
      </c>
    </row>
    <row r="1428">
      <c r="A1428" s="2" t="n">
        <v>1426</v>
      </c>
      <c r="B1428" s="2" t="inlineStr">
        <is>
          <t>truncate</t>
        </is>
      </c>
      <c r="C1428" s="2" t="inlineStr">
        <is>
          <t>browser firefox147</t>
        </is>
      </c>
      <c r="D1428" s="2" t="n">
        <v>416</v>
      </c>
      <c r="E1428" s="2" t="n">
        <v>416</v>
      </c>
      <c r="F1428" s="2" t="n">
        <v>1</v>
      </c>
      <c r="G1428" s="2" t="n">
        <v>1</v>
      </c>
      <c r="H1428" s="2" t="n">
        <v>0</v>
      </c>
      <c r="I1428" s="2" t="n">
        <v>0</v>
      </c>
    </row>
    <row r="1429">
      <c r="A1429" s="2" t="n">
        <v>1427</v>
      </c>
      <c r="B1429" s="2" t="inlineStr">
        <is>
          <t>length</t>
        </is>
      </c>
      <c r="C1429" s="2" t="inlineStr">
        <is>
          <t>openssl TLS 1.2 only</t>
        </is>
      </c>
      <c r="D1429" s="2" t="n">
        <v>215</v>
      </c>
      <c r="E1429" s="2" t="n">
        <v>215</v>
      </c>
      <c r="F1429" s="2" t="n">
        <v>1</v>
      </c>
      <c r="G1429" s="2" t="n">
        <v>1</v>
      </c>
      <c r="H1429" s="2" t="n">
        <v>0</v>
      </c>
      <c r="I1429" s="2" t="n">
        <v>0</v>
      </c>
    </row>
    <row r="1430">
      <c r="A1430" s="2" t="n">
        <v>1428</v>
      </c>
      <c r="B1430" s="2" t="inlineStr">
        <is>
          <t>insert</t>
        </is>
      </c>
      <c r="C1430" s="2" t="inlineStr">
        <is>
          <t>openssl TLS 1.2 only</t>
        </is>
      </c>
      <c r="D1430" s="2" t="n">
        <v>221</v>
      </c>
      <c r="E1430" s="2" t="n">
        <v>221</v>
      </c>
      <c r="F1430" s="2" t="n">
        <v>1</v>
      </c>
      <c r="G1430" s="2" t="n">
        <v>1</v>
      </c>
      <c r="H1430" s="2" t="n">
        <v>1</v>
      </c>
      <c r="I1430" s="2" t="n">
        <v>0</v>
      </c>
    </row>
    <row r="1431">
      <c r="A1431" s="2" t="n">
        <v>1429</v>
      </c>
      <c r="B1431" s="2" t="inlineStr">
        <is>
          <t>flip</t>
        </is>
      </c>
      <c r="C1431" s="2" t="inlineStr">
        <is>
          <t>browser chrome150</t>
        </is>
      </c>
      <c r="D1431" s="2" t="n">
        <v>1763</v>
      </c>
      <c r="E1431" s="2" t="n">
        <v>1763</v>
      </c>
      <c r="F1431" s="2" t="n">
        <v>1</v>
      </c>
      <c r="G1431" s="2" t="n">
        <v>1</v>
      </c>
      <c r="H1431" s="2" t="n">
        <v>1</v>
      </c>
      <c r="I1431" s="2" t="n">
        <v>0</v>
      </c>
    </row>
    <row r="1432">
      <c r="A1432" s="2" t="n">
        <v>1430</v>
      </c>
      <c r="B1432" s="2" t="inlineStr">
        <is>
          <t>truncate</t>
        </is>
      </c>
      <c r="C1432" s="2" t="inlineStr">
        <is>
          <t>openssl X25519 only (classical)</t>
        </is>
      </c>
      <c r="D1432" s="2" t="n">
        <v>105</v>
      </c>
      <c r="E1432" s="2" t="n">
        <v>105</v>
      </c>
      <c r="F1432" s="2" t="n">
        <v>1</v>
      </c>
      <c r="G1432" s="2" t="n">
        <v>0</v>
      </c>
      <c r="H1432" s="2" t="n">
        <v>0</v>
      </c>
      <c r="I1432" s="2" t="n">
        <v>0</v>
      </c>
    </row>
    <row r="1433">
      <c r="A1433" s="2" t="n">
        <v>1431</v>
      </c>
      <c r="B1433" s="2" t="inlineStr">
        <is>
          <t>length</t>
        </is>
      </c>
      <c r="C1433" s="2" t="inlineStr">
        <is>
          <t>browser chrome150</t>
        </is>
      </c>
      <c r="D1433" s="2" t="n">
        <v>1763</v>
      </c>
      <c r="E1433" s="2" t="n">
        <v>1763</v>
      </c>
      <c r="F1433" s="2" t="n">
        <v>1</v>
      </c>
      <c r="G1433" s="2" t="n">
        <v>1</v>
      </c>
      <c r="H1433" s="2" t="n">
        <v>1</v>
      </c>
      <c r="I1433" s="2" t="n">
        <v>0</v>
      </c>
    </row>
    <row r="1434">
      <c r="A1434" s="2" t="n">
        <v>1432</v>
      </c>
      <c r="B1434" s="2" t="inlineStr">
        <is>
          <t>insert</t>
        </is>
      </c>
      <c r="C1434" s="2" t="inlineStr">
        <is>
          <t>browser firefox147</t>
        </is>
      </c>
      <c r="D1434" s="2" t="n">
        <v>1908</v>
      </c>
      <c r="E1434" s="2" t="n">
        <v>1908</v>
      </c>
      <c r="F1434" s="2" t="n">
        <v>1</v>
      </c>
      <c r="G1434" s="2" t="n">
        <v>1</v>
      </c>
      <c r="H1434" s="2" t="n">
        <v>0</v>
      </c>
      <c r="I1434" s="2" t="n">
        <v>0</v>
      </c>
    </row>
    <row r="1435">
      <c r="A1435" s="2" t="n">
        <v>1433</v>
      </c>
      <c r="B1435" s="2" t="inlineStr">
        <is>
          <t>flip</t>
        </is>
      </c>
      <c r="C1435" s="2" t="inlineStr">
        <is>
          <t>browser chrome150</t>
        </is>
      </c>
      <c r="D1435" s="2" t="n">
        <v>1763</v>
      </c>
      <c r="E1435" s="2" t="n">
        <v>1763</v>
      </c>
      <c r="F1435" s="2" t="n">
        <v>1</v>
      </c>
      <c r="G1435" s="2" t="n">
        <v>1</v>
      </c>
      <c r="H1435" s="2" t="n">
        <v>1</v>
      </c>
      <c r="I1435" s="2" t="n">
        <v>0</v>
      </c>
    </row>
    <row r="1436">
      <c r="A1436" s="2" t="n">
        <v>1434</v>
      </c>
      <c r="B1436" s="2" t="inlineStr">
        <is>
          <t>truncate</t>
        </is>
      </c>
      <c r="C1436" s="2" t="inlineStr">
        <is>
          <t>openssl 3.5.8 default</t>
        </is>
      </c>
      <c r="D1436" s="2" t="n">
        <v>1302</v>
      </c>
      <c r="E1436" s="2" t="n">
        <v>1302</v>
      </c>
      <c r="F1436" s="2" t="n">
        <v>1</v>
      </c>
      <c r="G1436" s="2" t="n">
        <v>1</v>
      </c>
      <c r="H1436" s="2" t="n">
        <v>1</v>
      </c>
      <c r="I1436" s="2" t="n">
        <v>0</v>
      </c>
    </row>
    <row r="1437">
      <c r="A1437" s="2" t="n">
        <v>1435</v>
      </c>
      <c r="B1437" s="2" t="inlineStr">
        <is>
          <t>length</t>
        </is>
      </c>
      <c r="C1437" s="2" t="inlineStr">
        <is>
          <t>openssl TLS 1.2 only</t>
        </is>
      </c>
      <c r="D1437" s="2" t="n">
        <v>215</v>
      </c>
      <c r="E1437" s="2" t="n">
        <v>215</v>
      </c>
      <c r="F1437" s="2" t="n">
        <v>0</v>
      </c>
      <c r="G1437" s="2" t="n">
        <v>0</v>
      </c>
      <c r="H1437" s="2" t="n">
        <v>0</v>
      </c>
      <c r="I1437" s="2" t="n">
        <v>0</v>
      </c>
    </row>
    <row r="1438">
      <c r="A1438" s="2" t="n">
        <v>1436</v>
      </c>
      <c r="B1438" s="2" t="inlineStr">
        <is>
          <t>insert</t>
        </is>
      </c>
      <c r="C1438" s="2" t="inlineStr">
        <is>
          <t>browser chrome150</t>
        </is>
      </c>
      <c r="D1438" s="2" t="n">
        <v>1770</v>
      </c>
      <c r="E1438" s="2" t="n">
        <v>1770</v>
      </c>
      <c r="F1438" s="2" t="n">
        <v>1</v>
      </c>
      <c r="G1438" s="2" t="n">
        <v>0</v>
      </c>
      <c r="H1438" s="2" t="n">
        <v>0</v>
      </c>
      <c r="I1438" s="2" t="n">
        <v>0</v>
      </c>
    </row>
    <row r="1439">
      <c r="A1439" s="2" t="n">
        <v>1437</v>
      </c>
      <c r="B1439" s="2" t="inlineStr">
        <is>
          <t>flip</t>
        </is>
      </c>
      <c r="C1439" s="2" t="inlineStr">
        <is>
          <t>openssl TLS 1.2 only</t>
        </is>
      </c>
      <c r="D1439" s="2" t="n">
        <v>215</v>
      </c>
      <c r="E1439" s="2" t="n">
        <v>215</v>
      </c>
      <c r="F1439" s="2" t="n">
        <v>1</v>
      </c>
      <c r="G1439" s="2" t="n">
        <v>1</v>
      </c>
      <c r="H1439" s="2" t="n">
        <v>1</v>
      </c>
      <c r="I1439" s="2" t="n">
        <v>0</v>
      </c>
    </row>
    <row r="1440">
      <c r="A1440" s="2" t="n">
        <v>1438</v>
      </c>
      <c r="B1440" s="2" t="inlineStr">
        <is>
          <t>truncate</t>
        </is>
      </c>
      <c r="C1440" s="2" t="inlineStr">
        <is>
          <t>browser chrome150</t>
        </is>
      </c>
      <c r="D1440" s="2" t="n">
        <v>824</v>
      </c>
      <c r="E1440" s="2" t="n">
        <v>824</v>
      </c>
      <c r="F1440" s="2" t="n">
        <v>1</v>
      </c>
      <c r="G1440" s="2" t="n">
        <v>1</v>
      </c>
      <c r="H1440" s="2" t="n">
        <v>1</v>
      </c>
      <c r="I1440" s="2" t="n">
        <v>0</v>
      </c>
    </row>
    <row r="1441">
      <c r="A1441" s="2" t="n">
        <v>1439</v>
      </c>
      <c r="B1441" s="2" t="inlineStr">
        <is>
          <t>length</t>
        </is>
      </c>
      <c r="C1441" s="2" t="inlineStr">
        <is>
          <t>openssl X25519 only (classical)</t>
        </is>
      </c>
      <c r="D1441" s="2" t="n">
        <v>314</v>
      </c>
      <c r="E1441" s="2" t="n">
        <v>314</v>
      </c>
      <c r="F1441" s="2" t="n">
        <v>1</v>
      </c>
      <c r="G1441" s="2" t="n">
        <v>1</v>
      </c>
      <c r="H1441" s="2" t="n">
        <v>1</v>
      </c>
      <c r="I1441" s="2" t="n">
        <v>0</v>
      </c>
    </row>
    <row r="1442">
      <c r="A1442" s="2" t="n">
        <v>1440</v>
      </c>
      <c r="B1442" s="2" t="inlineStr">
        <is>
          <t>insert</t>
        </is>
      </c>
      <c r="C1442" s="2" t="inlineStr">
        <is>
          <t>openssl 3.5.8 default</t>
        </is>
      </c>
      <c r="D1442" s="2" t="n">
        <v>1555</v>
      </c>
      <c r="E1442" s="2" t="n">
        <v>1555</v>
      </c>
      <c r="F1442" s="2" t="n">
        <v>1</v>
      </c>
      <c r="G1442" s="2" t="n">
        <v>1</v>
      </c>
      <c r="H1442" s="2" t="n">
        <v>1</v>
      </c>
      <c r="I1442" s="2" t="n">
        <v>0</v>
      </c>
    </row>
    <row r="1443">
      <c r="A1443" s="2" t="n">
        <v>1441</v>
      </c>
      <c r="B1443" s="2" t="inlineStr">
        <is>
          <t>flip</t>
        </is>
      </c>
      <c r="C1443" s="2" t="inlineStr">
        <is>
          <t>browser chrome150</t>
        </is>
      </c>
      <c r="D1443" s="2" t="n">
        <v>1763</v>
      </c>
      <c r="E1443" s="2" t="n">
        <v>1763</v>
      </c>
      <c r="F1443" s="2" t="n">
        <v>1</v>
      </c>
      <c r="G1443" s="2" t="n">
        <v>0</v>
      </c>
      <c r="H1443" s="2" t="n">
        <v>0</v>
      </c>
      <c r="I1443" s="2" t="n">
        <v>0</v>
      </c>
    </row>
    <row r="1444">
      <c r="A1444" s="2" t="n">
        <v>1442</v>
      </c>
      <c r="B1444" s="2" t="inlineStr">
        <is>
          <t>truncate</t>
        </is>
      </c>
      <c r="C1444" s="2" t="inlineStr">
        <is>
          <t>openssl 3.5.8 default</t>
        </is>
      </c>
      <c r="D1444" s="2" t="n">
        <v>568</v>
      </c>
      <c r="E1444" s="2" t="n">
        <v>568</v>
      </c>
      <c r="F1444" s="2" t="n">
        <v>1</v>
      </c>
      <c r="G1444" s="2" t="n">
        <v>1</v>
      </c>
      <c r="H1444" s="2" t="n">
        <v>1</v>
      </c>
      <c r="I1444" s="2" t="n">
        <v>0</v>
      </c>
    </row>
    <row r="1445">
      <c r="A1445" s="2" t="n">
        <v>1443</v>
      </c>
      <c r="B1445" s="2" t="inlineStr">
        <is>
          <t>length</t>
        </is>
      </c>
      <c r="C1445" s="2" t="inlineStr">
        <is>
          <t>browser firefox147</t>
        </is>
      </c>
      <c r="D1445" s="2" t="n">
        <v>1901</v>
      </c>
      <c r="E1445" s="2" t="n">
        <v>1901</v>
      </c>
      <c r="F1445" s="2" t="n">
        <v>1</v>
      </c>
      <c r="G1445" s="2" t="n">
        <v>1</v>
      </c>
      <c r="H1445" s="2" t="n">
        <v>1</v>
      </c>
      <c r="I1445" s="2" t="n">
        <v>0</v>
      </c>
    </row>
    <row r="1446">
      <c r="A1446" s="2" t="n">
        <v>1444</v>
      </c>
      <c r="B1446" s="2" t="inlineStr">
        <is>
          <t>insert</t>
        </is>
      </c>
      <c r="C1446" s="2" t="inlineStr">
        <is>
          <t>openssl TLS 1.2 only</t>
        </is>
      </c>
      <c r="D1446" s="2" t="n">
        <v>229</v>
      </c>
      <c r="E1446" s="2" t="n">
        <v>229</v>
      </c>
      <c r="F1446" s="2" t="n">
        <v>1</v>
      </c>
      <c r="G1446" s="2" t="n">
        <v>1</v>
      </c>
      <c r="H1446" s="2" t="n">
        <v>1</v>
      </c>
      <c r="I1446" s="2" t="n">
        <v>0</v>
      </c>
    </row>
    <row r="1447">
      <c r="A1447" s="2" t="n">
        <v>1445</v>
      </c>
      <c r="B1447" s="2" t="inlineStr">
        <is>
          <t>flip</t>
        </is>
      </c>
      <c r="C1447" s="2" t="inlineStr">
        <is>
          <t>openssl X25519 only (classical)</t>
        </is>
      </c>
      <c r="D1447" s="2" t="n">
        <v>314</v>
      </c>
      <c r="E1447" s="2" t="n">
        <v>314</v>
      </c>
      <c r="F1447" s="2" t="n">
        <v>1</v>
      </c>
      <c r="G1447" s="2" t="n">
        <v>1</v>
      </c>
      <c r="H1447" s="2" t="n">
        <v>1</v>
      </c>
      <c r="I1447" s="2" t="n">
        <v>0</v>
      </c>
    </row>
    <row r="1448">
      <c r="A1448" s="2" t="n">
        <v>1446</v>
      </c>
      <c r="B1448" s="2" t="inlineStr">
        <is>
          <t>truncate</t>
        </is>
      </c>
      <c r="C1448" s="2" t="inlineStr">
        <is>
          <t>openssl X25519 only (classical)</t>
        </is>
      </c>
      <c r="D1448" s="2" t="n">
        <v>44</v>
      </c>
      <c r="E1448" s="2" t="n">
        <v>44</v>
      </c>
      <c r="F1448" s="2" t="n">
        <v>1</v>
      </c>
      <c r="G1448" s="2" t="n">
        <v>0</v>
      </c>
      <c r="H1448" s="2" t="n">
        <v>0</v>
      </c>
      <c r="I1448" s="2" t="n">
        <v>0</v>
      </c>
    </row>
    <row r="1449">
      <c r="A1449" s="2" t="n">
        <v>1447</v>
      </c>
      <c r="B1449" s="2" t="inlineStr">
        <is>
          <t>length</t>
        </is>
      </c>
      <c r="C1449" s="2" t="inlineStr">
        <is>
          <t>browser chrome150</t>
        </is>
      </c>
      <c r="D1449" s="2" t="n">
        <v>1763</v>
      </c>
      <c r="E1449" s="2" t="n">
        <v>1763</v>
      </c>
      <c r="F1449" s="2" t="n">
        <v>1</v>
      </c>
      <c r="G1449" s="2" t="n">
        <v>0</v>
      </c>
      <c r="H1449" s="2" t="n">
        <v>0</v>
      </c>
      <c r="I1449" s="2" t="n">
        <v>0</v>
      </c>
    </row>
    <row r="1450">
      <c r="A1450" s="2" t="n">
        <v>1448</v>
      </c>
      <c r="B1450" s="2" t="inlineStr">
        <is>
          <t>insert</t>
        </is>
      </c>
      <c r="C1450" s="2" t="inlineStr">
        <is>
          <t>browser chrome150</t>
        </is>
      </c>
      <c r="D1450" s="2" t="n">
        <v>1775</v>
      </c>
      <c r="E1450" s="2" t="n">
        <v>1775</v>
      </c>
      <c r="F1450" s="2" t="n">
        <v>1</v>
      </c>
      <c r="G1450" s="2" t="n">
        <v>1</v>
      </c>
      <c r="H1450" s="2" t="n">
        <v>1</v>
      </c>
      <c r="I1450" s="2" t="n">
        <v>0</v>
      </c>
    </row>
    <row r="1451">
      <c r="A1451" s="2" t="n">
        <v>1449</v>
      </c>
      <c r="B1451" s="2" t="inlineStr">
        <is>
          <t>flip</t>
        </is>
      </c>
      <c r="C1451" s="2" t="inlineStr">
        <is>
          <t>browser firefox147</t>
        </is>
      </c>
      <c r="D1451" s="2" t="n">
        <v>1901</v>
      </c>
      <c r="E1451" s="2" t="n">
        <v>1901</v>
      </c>
      <c r="F1451" s="2" t="n">
        <v>1</v>
      </c>
      <c r="G1451" s="2" t="n">
        <v>1</v>
      </c>
      <c r="H1451" s="2" t="n">
        <v>0</v>
      </c>
      <c r="I1451" s="2" t="n">
        <v>0</v>
      </c>
    </row>
    <row r="1452">
      <c r="A1452" s="2" t="n">
        <v>1450</v>
      </c>
      <c r="B1452" s="2" t="inlineStr">
        <is>
          <t>truncate</t>
        </is>
      </c>
      <c r="C1452" s="2" t="inlineStr">
        <is>
          <t>browser chrome150</t>
        </is>
      </c>
      <c r="D1452" s="2" t="n">
        <v>539</v>
      </c>
      <c r="E1452" s="2" t="n">
        <v>539</v>
      </c>
      <c r="F1452" s="2" t="n">
        <v>1</v>
      </c>
      <c r="G1452" s="2" t="n">
        <v>1</v>
      </c>
      <c r="H1452" s="2" t="n">
        <v>1</v>
      </c>
      <c r="I1452" s="2" t="n">
        <v>0</v>
      </c>
    </row>
    <row r="1453">
      <c r="A1453" s="2" t="n">
        <v>1451</v>
      </c>
      <c r="B1453" s="2" t="inlineStr">
        <is>
          <t>length</t>
        </is>
      </c>
      <c r="C1453" s="2" t="inlineStr">
        <is>
          <t>browser firefox147</t>
        </is>
      </c>
      <c r="D1453" s="2" t="n">
        <v>1901</v>
      </c>
      <c r="E1453" s="2" t="n">
        <v>1901</v>
      </c>
      <c r="F1453" s="2" t="n">
        <v>0</v>
      </c>
      <c r="G1453" s="2" t="n">
        <v>0</v>
      </c>
      <c r="H1453" s="2" t="n">
        <v>0</v>
      </c>
      <c r="I1453" s="2" t="n">
        <v>0</v>
      </c>
    </row>
    <row r="1454">
      <c r="A1454" s="2" t="n">
        <v>1452</v>
      </c>
      <c r="B1454" s="2" t="inlineStr">
        <is>
          <t>insert</t>
        </is>
      </c>
      <c r="C1454" s="2" t="inlineStr">
        <is>
          <t>openssl X25519 only (classical)</t>
        </is>
      </c>
      <c r="D1454" s="2" t="n">
        <v>321</v>
      </c>
      <c r="E1454" s="2" t="n">
        <v>321</v>
      </c>
      <c r="F1454" s="2" t="n">
        <v>1</v>
      </c>
      <c r="G1454" s="2" t="n">
        <v>0</v>
      </c>
      <c r="H1454" s="2" t="n">
        <v>0</v>
      </c>
      <c r="I1454" s="2" t="n">
        <v>0</v>
      </c>
    </row>
    <row r="1455">
      <c r="A1455" s="2" t="n">
        <v>1453</v>
      </c>
      <c r="B1455" s="2" t="inlineStr">
        <is>
          <t>flip</t>
        </is>
      </c>
      <c r="C1455" s="2" t="inlineStr">
        <is>
          <t>openssl 3.5.8 default</t>
        </is>
      </c>
      <c r="D1455" s="2" t="n">
        <v>1548</v>
      </c>
      <c r="E1455" s="2" t="n">
        <v>1548</v>
      </c>
      <c r="F1455" s="2" t="n">
        <v>1</v>
      </c>
      <c r="G1455" s="2" t="n">
        <v>1</v>
      </c>
      <c r="H1455" s="2" t="n">
        <v>1</v>
      </c>
      <c r="I1455" s="2" t="n">
        <v>0</v>
      </c>
    </row>
    <row r="1456">
      <c r="A1456" s="2" t="n">
        <v>1454</v>
      </c>
      <c r="B1456" s="2" t="inlineStr">
        <is>
          <t>truncate</t>
        </is>
      </c>
      <c r="C1456" s="2" t="inlineStr">
        <is>
          <t>openssl X25519 only (classical)</t>
        </is>
      </c>
      <c r="D1456" s="2" t="n">
        <v>215</v>
      </c>
      <c r="E1456" s="2" t="n">
        <v>215</v>
      </c>
      <c r="F1456" s="2" t="n">
        <v>1</v>
      </c>
      <c r="G1456" s="2" t="n">
        <v>1</v>
      </c>
      <c r="H1456" s="2" t="n">
        <v>0</v>
      </c>
      <c r="I1456" s="2" t="n">
        <v>0</v>
      </c>
    </row>
    <row r="1457">
      <c r="A1457" s="2" t="n">
        <v>1455</v>
      </c>
      <c r="B1457" s="2" t="inlineStr">
        <is>
          <t>length</t>
        </is>
      </c>
      <c r="C1457" s="2" t="inlineStr">
        <is>
          <t>openssl TLS 1.2 only</t>
        </is>
      </c>
      <c r="D1457" s="2" t="n">
        <v>215</v>
      </c>
      <c r="E1457" s="2" t="n">
        <v>215</v>
      </c>
      <c r="F1457" s="2" t="n">
        <v>1</v>
      </c>
      <c r="G1457" s="2" t="n">
        <v>1</v>
      </c>
      <c r="H1457" s="2" t="n">
        <v>1</v>
      </c>
      <c r="I1457" s="2" t="n">
        <v>0</v>
      </c>
    </row>
    <row r="1458">
      <c r="A1458" s="2" t="n">
        <v>1456</v>
      </c>
      <c r="B1458" s="2" t="inlineStr">
        <is>
          <t>insert</t>
        </is>
      </c>
      <c r="C1458" s="2" t="inlineStr">
        <is>
          <t>openssl TLS 1.2 only</t>
        </is>
      </c>
      <c r="D1458" s="2" t="n">
        <v>222</v>
      </c>
      <c r="E1458" s="2" t="n">
        <v>222</v>
      </c>
      <c r="F1458" s="2" t="n">
        <v>1</v>
      </c>
      <c r="G1458" s="2" t="n">
        <v>1</v>
      </c>
      <c r="H1458" s="2" t="n">
        <v>1</v>
      </c>
      <c r="I1458" s="2" t="n">
        <v>0</v>
      </c>
    </row>
    <row r="1459">
      <c r="A1459" s="2" t="n">
        <v>1457</v>
      </c>
      <c r="B1459" s="2" t="inlineStr">
        <is>
          <t>flip</t>
        </is>
      </c>
      <c r="C1459" s="2" t="inlineStr">
        <is>
          <t>browser chrome150</t>
        </is>
      </c>
      <c r="D1459" s="2" t="n">
        <v>1763</v>
      </c>
      <c r="E1459" s="2" t="n">
        <v>1763</v>
      </c>
      <c r="F1459" s="2" t="n">
        <v>1</v>
      </c>
      <c r="G1459" s="2" t="n">
        <v>1</v>
      </c>
      <c r="H1459" s="2" t="n">
        <v>1</v>
      </c>
      <c r="I1459" s="2" t="n">
        <v>0</v>
      </c>
    </row>
    <row r="1460">
      <c r="A1460" s="2" t="n">
        <v>1458</v>
      </c>
      <c r="B1460" s="2" t="inlineStr">
        <is>
          <t>truncate</t>
        </is>
      </c>
      <c r="C1460" s="2" t="inlineStr">
        <is>
          <t>openssl 3.5.8 default</t>
        </is>
      </c>
      <c r="D1460" s="2" t="n">
        <v>362</v>
      </c>
      <c r="E1460" s="2" t="n">
        <v>362</v>
      </c>
      <c r="F1460" s="2" t="n">
        <v>1</v>
      </c>
      <c r="G1460" s="2" t="n">
        <v>1</v>
      </c>
      <c r="H1460" s="2" t="n">
        <v>1</v>
      </c>
      <c r="I1460" s="2" t="n">
        <v>0</v>
      </c>
    </row>
    <row r="1461">
      <c r="A1461" s="2" t="n">
        <v>1459</v>
      </c>
      <c r="B1461" s="2" t="inlineStr">
        <is>
          <t>length</t>
        </is>
      </c>
      <c r="C1461" s="2" t="inlineStr">
        <is>
          <t>openssl TLS 1.2 only</t>
        </is>
      </c>
      <c r="D1461" s="2" t="n">
        <v>215</v>
      </c>
      <c r="E1461" s="2" t="n">
        <v>215</v>
      </c>
      <c r="F1461" s="2" t="n">
        <v>0</v>
      </c>
      <c r="G1461" s="2" t="n">
        <v>0</v>
      </c>
      <c r="H1461" s="2" t="n">
        <v>0</v>
      </c>
      <c r="I1461" s="2" t="n">
        <v>0</v>
      </c>
    </row>
    <row r="1462">
      <c r="A1462" s="2" t="n">
        <v>1460</v>
      </c>
      <c r="B1462" s="2" t="inlineStr">
        <is>
          <t>insert</t>
        </is>
      </c>
      <c r="C1462" s="2" t="inlineStr">
        <is>
          <t>openssl TLS 1.2 only</t>
        </is>
      </c>
      <c r="D1462" s="2" t="n">
        <v>224</v>
      </c>
      <c r="E1462" s="2" t="n">
        <v>224</v>
      </c>
      <c r="F1462" s="2" t="n">
        <v>1</v>
      </c>
      <c r="G1462" s="2" t="n">
        <v>1</v>
      </c>
      <c r="H1462" s="2" t="n">
        <v>1</v>
      </c>
      <c r="I1462" s="2" t="n">
        <v>0</v>
      </c>
    </row>
    <row r="1463">
      <c r="A1463" s="2" t="n">
        <v>1461</v>
      </c>
      <c r="B1463" s="2" t="inlineStr">
        <is>
          <t>flip</t>
        </is>
      </c>
      <c r="C1463" s="2" t="inlineStr">
        <is>
          <t>browser firefox147</t>
        </is>
      </c>
      <c r="D1463" s="2" t="n">
        <v>1901</v>
      </c>
      <c r="E1463" s="2" t="n">
        <v>1901</v>
      </c>
      <c r="F1463" s="2" t="n">
        <v>1</v>
      </c>
      <c r="G1463" s="2" t="n">
        <v>1</v>
      </c>
      <c r="H1463" s="2" t="n">
        <v>0</v>
      </c>
      <c r="I1463" s="2" t="n">
        <v>0</v>
      </c>
    </row>
    <row r="1464">
      <c r="A1464" s="2" t="n">
        <v>1462</v>
      </c>
      <c r="B1464" s="2" t="inlineStr">
        <is>
          <t>truncate</t>
        </is>
      </c>
      <c r="C1464" s="2" t="inlineStr">
        <is>
          <t>openssl TLS 1.2 only</t>
        </is>
      </c>
      <c r="D1464" s="2" t="n">
        <v>156</v>
      </c>
      <c r="E1464" s="2" t="n">
        <v>156</v>
      </c>
      <c r="F1464" s="2" t="n">
        <v>1</v>
      </c>
      <c r="G1464" s="2" t="n">
        <v>1</v>
      </c>
      <c r="H1464" s="2" t="n">
        <v>0</v>
      </c>
      <c r="I1464" s="2" t="n">
        <v>0</v>
      </c>
    </row>
    <row r="1465">
      <c r="A1465" s="2" t="n">
        <v>1463</v>
      </c>
      <c r="B1465" s="2" t="inlineStr">
        <is>
          <t>length</t>
        </is>
      </c>
      <c r="C1465" s="2" t="inlineStr">
        <is>
          <t>browser chrome150</t>
        </is>
      </c>
      <c r="D1465" s="2" t="n">
        <v>1763</v>
      </c>
      <c r="E1465" s="2" t="n">
        <v>1763</v>
      </c>
      <c r="F1465" s="2" t="n">
        <v>1</v>
      </c>
      <c r="G1465" s="2" t="n">
        <v>1</v>
      </c>
      <c r="H1465" s="2" t="n">
        <v>1</v>
      </c>
      <c r="I1465" s="2" t="n">
        <v>0</v>
      </c>
    </row>
    <row r="1466">
      <c r="A1466" s="2" t="n">
        <v>1464</v>
      </c>
      <c r="B1466" s="2" t="inlineStr">
        <is>
          <t>insert</t>
        </is>
      </c>
      <c r="C1466" s="2" t="inlineStr">
        <is>
          <t>browser chrome150</t>
        </is>
      </c>
      <c r="D1466" s="2" t="n">
        <v>1778</v>
      </c>
      <c r="E1466" s="2" t="n">
        <v>1778</v>
      </c>
      <c r="F1466" s="2" t="n">
        <v>1</v>
      </c>
      <c r="G1466" s="2" t="n">
        <v>1</v>
      </c>
      <c r="H1466" s="2" t="n">
        <v>1</v>
      </c>
      <c r="I1466" s="2" t="n">
        <v>0</v>
      </c>
    </row>
    <row r="1467">
      <c r="A1467" s="2" t="n">
        <v>1465</v>
      </c>
      <c r="B1467" s="2" t="inlineStr">
        <is>
          <t>flip</t>
        </is>
      </c>
      <c r="C1467" s="2" t="inlineStr">
        <is>
          <t>openssl TLS 1.2 only</t>
        </is>
      </c>
      <c r="D1467" s="2" t="n">
        <v>215</v>
      </c>
      <c r="E1467" s="2" t="n">
        <v>215</v>
      </c>
      <c r="F1467" s="2" t="n">
        <v>1</v>
      </c>
      <c r="G1467" s="2" t="n">
        <v>1</v>
      </c>
      <c r="H1467" s="2" t="n">
        <v>1</v>
      </c>
      <c r="I1467" s="2" t="n">
        <v>0</v>
      </c>
    </row>
    <row r="1468">
      <c r="A1468" s="2" t="n">
        <v>1466</v>
      </c>
      <c r="B1468" s="2" t="inlineStr">
        <is>
          <t>truncate</t>
        </is>
      </c>
      <c r="C1468" s="2" t="inlineStr">
        <is>
          <t>openssl 3.5.8 default</t>
        </is>
      </c>
      <c r="D1468" s="2" t="n">
        <v>1373</v>
      </c>
      <c r="E1468" s="2" t="n">
        <v>1373</v>
      </c>
      <c r="F1468" s="2" t="n">
        <v>1</v>
      </c>
      <c r="G1468" s="2" t="n">
        <v>1</v>
      </c>
      <c r="H1468" s="2" t="n">
        <v>1</v>
      </c>
      <c r="I1468" s="2" t="n">
        <v>0</v>
      </c>
    </row>
    <row r="1469">
      <c r="A1469" s="2" t="n">
        <v>1467</v>
      </c>
      <c r="B1469" s="2" t="inlineStr">
        <is>
          <t>length</t>
        </is>
      </c>
      <c r="C1469" s="2" t="inlineStr">
        <is>
          <t>browser firefox147</t>
        </is>
      </c>
      <c r="D1469" s="2" t="n">
        <v>1901</v>
      </c>
      <c r="E1469" s="2" t="n">
        <v>1901</v>
      </c>
      <c r="F1469" s="2" t="n">
        <v>1</v>
      </c>
      <c r="G1469" s="2" t="n">
        <v>1</v>
      </c>
      <c r="H1469" s="2" t="n">
        <v>0</v>
      </c>
      <c r="I1469" s="2" t="n">
        <v>0</v>
      </c>
    </row>
    <row r="1470">
      <c r="A1470" s="2" t="n">
        <v>1468</v>
      </c>
      <c r="B1470" s="2" t="inlineStr">
        <is>
          <t>insert</t>
        </is>
      </c>
      <c r="C1470" s="2" t="inlineStr">
        <is>
          <t>browser chrome150</t>
        </is>
      </c>
      <c r="D1470" s="2" t="n">
        <v>1772</v>
      </c>
      <c r="E1470" s="2" t="n">
        <v>1772</v>
      </c>
      <c r="F1470" s="2" t="n">
        <v>1</v>
      </c>
      <c r="G1470" s="2" t="n">
        <v>1</v>
      </c>
      <c r="H1470" s="2" t="n">
        <v>1</v>
      </c>
      <c r="I1470" s="2" t="n">
        <v>0</v>
      </c>
    </row>
    <row r="1471">
      <c r="A1471" s="2" t="n">
        <v>1469</v>
      </c>
      <c r="B1471" s="2" t="inlineStr">
        <is>
          <t>flip</t>
        </is>
      </c>
      <c r="C1471" s="2" t="inlineStr">
        <is>
          <t>openssl 3.5.8 default</t>
        </is>
      </c>
      <c r="D1471" s="2" t="n">
        <v>1548</v>
      </c>
      <c r="E1471" s="2" t="n">
        <v>1548</v>
      </c>
      <c r="F1471" s="2" t="n">
        <v>1</v>
      </c>
      <c r="G1471" s="2" t="n">
        <v>1</v>
      </c>
      <c r="H1471" s="2" t="n">
        <v>1</v>
      </c>
      <c r="I1471" s="2" t="n">
        <v>0</v>
      </c>
    </row>
    <row r="1472">
      <c r="A1472" s="2" t="n">
        <v>1470</v>
      </c>
      <c r="B1472" s="2" t="inlineStr">
        <is>
          <t>truncate</t>
        </is>
      </c>
      <c r="C1472" s="2" t="inlineStr">
        <is>
          <t>openssl TLS 1.2 only</t>
        </is>
      </c>
      <c r="D1472" s="2" t="n">
        <v>14</v>
      </c>
      <c r="E1472" s="2" t="n">
        <v>14</v>
      </c>
      <c r="F1472" s="2" t="n">
        <v>1</v>
      </c>
      <c r="G1472" s="2" t="n">
        <v>0</v>
      </c>
      <c r="H1472" s="2" t="n">
        <v>0</v>
      </c>
      <c r="I1472" s="2" t="n">
        <v>0</v>
      </c>
    </row>
    <row r="1473">
      <c r="A1473" s="2" t="n">
        <v>1471</v>
      </c>
      <c r="B1473" s="2" t="inlineStr">
        <is>
          <t>length</t>
        </is>
      </c>
      <c r="C1473" s="2" t="inlineStr">
        <is>
          <t>browser chrome150</t>
        </is>
      </c>
      <c r="D1473" s="2" t="n">
        <v>1763</v>
      </c>
      <c r="E1473" s="2" t="n">
        <v>1763</v>
      </c>
      <c r="F1473" s="2" t="n">
        <v>1</v>
      </c>
      <c r="G1473" s="2" t="n">
        <v>1</v>
      </c>
      <c r="H1473" s="2" t="n">
        <v>1</v>
      </c>
      <c r="I1473" s="2" t="n">
        <v>0</v>
      </c>
    </row>
    <row r="1474">
      <c r="A1474" s="2" t="n">
        <v>1472</v>
      </c>
      <c r="B1474" s="2" t="inlineStr">
        <is>
          <t>insert</t>
        </is>
      </c>
      <c r="C1474" s="2" t="inlineStr">
        <is>
          <t>openssl X25519 only (classical)</t>
        </is>
      </c>
      <c r="D1474" s="2" t="n">
        <v>322</v>
      </c>
      <c r="E1474" s="2" t="n">
        <v>322</v>
      </c>
      <c r="F1474" s="2" t="n">
        <v>1</v>
      </c>
      <c r="G1474" s="2" t="n">
        <v>1</v>
      </c>
      <c r="H1474" s="2" t="n">
        <v>1</v>
      </c>
      <c r="I1474" s="2" t="n">
        <v>0</v>
      </c>
    </row>
    <row r="1475">
      <c r="A1475" s="2" t="n">
        <v>1473</v>
      </c>
      <c r="B1475" s="2" t="inlineStr">
        <is>
          <t>flip</t>
        </is>
      </c>
      <c r="C1475" s="2" t="inlineStr">
        <is>
          <t>openssl TLS 1.2 only</t>
        </is>
      </c>
      <c r="D1475" s="2" t="n">
        <v>215</v>
      </c>
      <c r="E1475" s="2" t="n">
        <v>215</v>
      </c>
      <c r="F1475" s="2" t="n">
        <v>1</v>
      </c>
      <c r="G1475" s="2" t="n">
        <v>0</v>
      </c>
      <c r="H1475" s="2" t="n">
        <v>0</v>
      </c>
      <c r="I1475" s="2" t="n">
        <v>0</v>
      </c>
    </row>
    <row r="1476">
      <c r="A1476" s="2" t="n">
        <v>1474</v>
      </c>
      <c r="B1476" s="2" t="inlineStr">
        <is>
          <t>truncate</t>
        </is>
      </c>
      <c r="C1476" s="2" t="inlineStr">
        <is>
          <t>openssl 3.5.8 default</t>
        </is>
      </c>
      <c r="D1476" s="2" t="n">
        <v>1321</v>
      </c>
      <c r="E1476" s="2" t="n">
        <v>1321</v>
      </c>
      <c r="F1476" s="2" t="n">
        <v>1</v>
      </c>
      <c r="G1476" s="2" t="n">
        <v>1</v>
      </c>
      <c r="H1476" s="2" t="n">
        <v>1</v>
      </c>
      <c r="I1476" s="2" t="n">
        <v>0</v>
      </c>
    </row>
    <row r="1477">
      <c r="A1477" s="2" t="n">
        <v>1475</v>
      </c>
      <c r="B1477" s="2" t="inlineStr">
        <is>
          <t>length</t>
        </is>
      </c>
      <c r="C1477" s="2" t="inlineStr">
        <is>
          <t>browser firefox147</t>
        </is>
      </c>
      <c r="D1477" s="2" t="n">
        <v>1901</v>
      </c>
      <c r="E1477" s="2" t="n">
        <v>1901</v>
      </c>
      <c r="F1477" s="2" t="n">
        <v>1</v>
      </c>
      <c r="G1477" s="2" t="n">
        <v>1</v>
      </c>
      <c r="H1477" s="2" t="n">
        <v>0</v>
      </c>
      <c r="I1477" s="2" t="n">
        <v>0</v>
      </c>
    </row>
    <row r="1478">
      <c r="A1478" s="2" t="n">
        <v>1476</v>
      </c>
      <c r="B1478" s="2" t="inlineStr">
        <is>
          <t>insert</t>
        </is>
      </c>
      <c r="C1478" s="2" t="inlineStr">
        <is>
          <t>browser chrome150</t>
        </is>
      </c>
      <c r="D1478" s="2" t="n">
        <v>1765</v>
      </c>
      <c r="E1478" s="2" t="n">
        <v>1765</v>
      </c>
      <c r="F1478" s="2" t="n">
        <v>1</v>
      </c>
      <c r="G1478" s="2" t="n">
        <v>1</v>
      </c>
      <c r="H1478" s="2" t="n">
        <v>1</v>
      </c>
      <c r="I1478" s="2" t="n">
        <v>0</v>
      </c>
    </row>
    <row r="1479">
      <c r="A1479" s="2" t="n">
        <v>1477</v>
      </c>
      <c r="B1479" s="2" t="inlineStr">
        <is>
          <t>flip</t>
        </is>
      </c>
      <c r="C1479" s="2" t="inlineStr">
        <is>
          <t>openssl 3.5.8 default</t>
        </is>
      </c>
      <c r="D1479" s="2" t="n">
        <v>1548</v>
      </c>
      <c r="E1479" s="2" t="n">
        <v>1548</v>
      </c>
      <c r="F1479" s="2" t="n">
        <v>1</v>
      </c>
      <c r="G1479" s="2" t="n">
        <v>1</v>
      </c>
      <c r="H1479" s="2" t="n">
        <v>1</v>
      </c>
      <c r="I1479" s="2" t="n">
        <v>0</v>
      </c>
    </row>
    <row r="1480">
      <c r="A1480" s="2" t="n">
        <v>1478</v>
      </c>
      <c r="B1480" s="2" t="inlineStr">
        <is>
          <t>truncate</t>
        </is>
      </c>
      <c r="C1480" s="2" t="inlineStr">
        <is>
          <t>browser chrome150</t>
        </is>
      </c>
      <c r="D1480" s="2" t="n">
        <v>625</v>
      </c>
      <c r="E1480" s="2" t="n">
        <v>625</v>
      </c>
      <c r="F1480" s="2" t="n">
        <v>1</v>
      </c>
      <c r="G1480" s="2" t="n">
        <v>1</v>
      </c>
      <c r="H1480" s="2" t="n">
        <v>1</v>
      </c>
      <c r="I1480" s="2" t="n">
        <v>0</v>
      </c>
    </row>
    <row r="1481">
      <c r="A1481" s="2" t="n">
        <v>1479</v>
      </c>
      <c r="B1481" s="2" t="inlineStr">
        <is>
          <t>length</t>
        </is>
      </c>
      <c r="C1481" s="2" t="inlineStr">
        <is>
          <t>openssl TLS 1.2 only</t>
        </is>
      </c>
      <c r="D1481" s="2" t="n">
        <v>215</v>
      </c>
      <c r="E1481" s="2" t="n">
        <v>215</v>
      </c>
      <c r="F1481" s="2" t="n">
        <v>1</v>
      </c>
      <c r="G1481" s="2" t="n">
        <v>1</v>
      </c>
      <c r="H1481" s="2" t="n">
        <v>1</v>
      </c>
      <c r="I1481" s="2" t="n">
        <v>0</v>
      </c>
    </row>
    <row r="1482">
      <c r="A1482" s="2" t="n">
        <v>1480</v>
      </c>
      <c r="B1482" s="2" t="inlineStr">
        <is>
          <t>insert</t>
        </is>
      </c>
      <c r="C1482" s="2" t="inlineStr">
        <is>
          <t>browser chrome150</t>
        </is>
      </c>
      <c r="D1482" s="2" t="n">
        <v>1779</v>
      </c>
      <c r="E1482" s="2" t="n">
        <v>1779</v>
      </c>
      <c r="F1482" s="2" t="n">
        <v>1</v>
      </c>
      <c r="G1482" s="2" t="n">
        <v>1</v>
      </c>
      <c r="H1482" s="2" t="n">
        <v>1</v>
      </c>
      <c r="I1482" s="2" t="n">
        <v>0</v>
      </c>
    </row>
    <row r="1483">
      <c r="A1483" s="2" t="n">
        <v>1481</v>
      </c>
      <c r="B1483" s="2" t="inlineStr">
        <is>
          <t>flip</t>
        </is>
      </c>
      <c r="C1483" s="2" t="inlineStr">
        <is>
          <t>browser chrome150</t>
        </is>
      </c>
      <c r="D1483" s="2" t="n">
        <v>1763</v>
      </c>
      <c r="E1483" s="2" t="n">
        <v>1763</v>
      </c>
      <c r="F1483" s="2" t="n">
        <v>1</v>
      </c>
      <c r="G1483" s="2" t="n">
        <v>1</v>
      </c>
      <c r="H1483" s="2" t="n">
        <v>1</v>
      </c>
      <c r="I1483" s="2" t="n">
        <v>0</v>
      </c>
    </row>
    <row r="1484">
      <c r="A1484" s="2" t="n">
        <v>1482</v>
      </c>
      <c r="B1484" s="2" t="inlineStr">
        <is>
          <t>truncate</t>
        </is>
      </c>
      <c r="C1484" s="2" t="inlineStr">
        <is>
          <t>browser firefox147</t>
        </is>
      </c>
      <c r="D1484" s="2" t="n">
        <v>674</v>
      </c>
      <c r="E1484" s="2" t="n">
        <v>674</v>
      </c>
      <c r="F1484" s="2" t="n">
        <v>1</v>
      </c>
      <c r="G1484" s="2" t="n">
        <v>1</v>
      </c>
      <c r="H1484" s="2" t="n">
        <v>0</v>
      </c>
      <c r="I1484" s="2" t="n">
        <v>0</v>
      </c>
    </row>
    <row r="1485">
      <c r="A1485" s="2" t="n">
        <v>1483</v>
      </c>
      <c r="B1485" s="2" t="inlineStr">
        <is>
          <t>length</t>
        </is>
      </c>
      <c r="C1485" s="2" t="inlineStr">
        <is>
          <t>openssl TLS 1.2 only</t>
        </is>
      </c>
      <c r="D1485" s="2" t="n">
        <v>215</v>
      </c>
      <c r="E1485" s="2" t="n">
        <v>215</v>
      </c>
      <c r="F1485" s="2" t="n">
        <v>1</v>
      </c>
      <c r="G1485" s="2" t="n">
        <v>1</v>
      </c>
      <c r="H1485" s="2" t="n">
        <v>0</v>
      </c>
      <c r="I1485" s="2" t="n">
        <v>0</v>
      </c>
    </row>
    <row r="1486">
      <c r="A1486" s="2" t="n">
        <v>1484</v>
      </c>
      <c r="B1486" s="2" t="inlineStr">
        <is>
          <t>insert</t>
        </is>
      </c>
      <c r="C1486" s="2" t="inlineStr">
        <is>
          <t>browser chrome150</t>
        </is>
      </c>
      <c r="D1486" s="2" t="n">
        <v>1776</v>
      </c>
      <c r="E1486" s="2" t="n">
        <v>1776</v>
      </c>
      <c r="F1486" s="2" t="n">
        <v>1</v>
      </c>
      <c r="G1486" s="2" t="n">
        <v>1</v>
      </c>
      <c r="H1486" s="2" t="n">
        <v>1</v>
      </c>
      <c r="I1486" s="2" t="n">
        <v>0</v>
      </c>
    </row>
    <row r="1487">
      <c r="A1487" s="2" t="n">
        <v>1485</v>
      </c>
      <c r="B1487" s="2" t="inlineStr">
        <is>
          <t>flip</t>
        </is>
      </c>
      <c r="C1487" s="2" t="inlineStr">
        <is>
          <t>browser chrome150</t>
        </is>
      </c>
      <c r="D1487" s="2" t="n">
        <v>1763</v>
      </c>
      <c r="E1487" s="2" t="n">
        <v>1763</v>
      </c>
      <c r="F1487" s="2" t="n">
        <v>1</v>
      </c>
      <c r="G1487" s="2" t="n">
        <v>1</v>
      </c>
      <c r="H1487" s="2" t="n">
        <v>1</v>
      </c>
      <c r="I1487" s="2" t="n">
        <v>0</v>
      </c>
    </row>
    <row r="1488">
      <c r="A1488" s="2" t="n">
        <v>1486</v>
      </c>
      <c r="B1488" s="2" t="inlineStr">
        <is>
          <t>truncate</t>
        </is>
      </c>
      <c r="C1488" s="2" t="inlineStr">
        <is>
          <t>openssl 3.5.8 default</t>
        </is>
      </c>
      <c r="D1488" s="2" t="n">
        <v>843</v>
      </c>
      <c r="E1488" s="2" t="n">
        <v>843</v>
      </c>
      <c r="F1488" s="2" t="n">
        <v>1</v>
      </c>
      <c r="G1488" s="2" t="n">
        <v>1</v>
      </c>
      <c r="H1488" s="2" t="n">
        <v>1</v>
      </c>
      <c r="I1488" s="2" t="n">
        <v>0</v>
      </c>
    </row>
    <row r="1489">
      <c r="A1489" s="2" t="n">
        <v>1487</v>
      </c>
      <c r="B1489" s="2" t="inlineStr">
        <is>
          <t>length</t>
        </is>
      </c>
      <c r="C1489" s="2" t="inlineStr">
        <is>
          <t>browser chrome150</t>
        </is>
      </c>
      <c r="D1489" s="2" t="n">
        <v>1763</v>
      </c>
      <c r="E1489" s="2" t="n">
        <v>1763</v>
      </c>
      <c r="F1489" s="2" t="n">
        <v>1</v>
      </c>
      <c r="G1489" s="2" t="n">
        <v>1</v>
      </c>
      <c r="H1489" s="2" t="n">
        <v>1</v>
      </c>
      <c r="I1489" s="2" t="n">
        <v>0</v>
      </c>
    </row>
    <row r="1490">
      <c r="A1490" s="2" t="n">
        <v>1488</v>
      </c>
      <c r="B1490" s="2" t="inlineStr">
        <is>
          <t>insert</t>
        </is>
      </c>
      <c r="C1490" s="2" t="inlineStr">
        <is>
          <t>browser firefox147</t>
        </is>
      </c>
      <c r="D1490" s="2" t="n">
        <v>1904</v>
      </c>
      <c r="E1490" s="2" t="n">
        <v>1904</v>
      </c>
      <c r="F1490" s="2" t="n">
        <v>1</v>
      </c>
      <c r="G1490" s="2" t="n">
        <v>1</v>
      </c>
      <c r="H1490" s="2" t="n">
        <v>0</v>
      </c>
      <c r="I1490" s="2" t="n">
        <v>0</v>
      </c>
    </row>
    <row r="1491">
      <c r="A1491" s="2" t="n">
        <v>1489</v>
      </c>
      <c r="B1491" s="2" t="inlineStr">
        <is>
          <t>flip</t>
        </is>
      </c>
      <c r="C1491" s="2" t="inlineStr">
        <is>
          <t>browser firefox147</t>
        </is>
      </c>
      <c r="D1491" s="2" t="n">
        <v>1901</v>
      </c>
      <c r="E1491" s="2" t="n">
        <v>1901</v>
      </c>
      <c r="F1491" s="2" t="n">
        <v>1</v>
      </c>
      <c r="G1491" s="2" t="n">
        <v>1</v>
      </c>
      <c r="H1491" s="2" t="n">
        <v>0</v>
      </c>
      <c r="I1491" s="2" t="n">
        <v>0</v>
      </c>
    </row>
    <row r="1492">
      <c r="A1492" s="2" t="n">
        <v>1490</v>
      </c>
      <c r="B1492" s="2" t="inlineStr">
        <is>
          <t>truncate</t>
        </is>
      </c>
      <c r="C1492" s="2" t="inlineStr">
        <is>
          <t>openssl TLS 1.2 only</t>
        </is>
      </c>
      <c r="D1492" s="2" t="n">
        <v>9</v>
      </c>
      <c r="E1492" s="2" t="n">
        <v>9</v>
      </c>
      <c r="F1492" s="2" t="n">
        <v>1</v>
      </c>
      <c r="G1492" s="2" t="n">
        <v>0</v>
      </c>
      <c r="H1492" s="2" t="n">
        <v>0</v>
      </c>
      <c r="I1492" s="2" t="n">
        <v>0</v>
      </c>
    </row>
    <row r="1493">
      <c r="A1493" s="2" t="n">
        <v>1491</v>
      </c>
      <c r="B1493" s="2" t="inlineStr">
        <is>
          <t>length</t>
        </is>
      </c>
      <c r="C1493" s="2" t="inlineStr">
        <is>
          <t>browser firefox147</t>
        </is>
      </c>
      <c r="D1493" s="2" t="n">
        <v>1901</v>
      </c>
      <c r="E1493" s="2" t="n">
        <v>1901</v>
      </c>
      <c r="F1493" s="2" t="n">
        <v>0</v>
      </c>
      <c r="G1493" s="2" t="n">
        <v>0</v>
      </c>
      <c r="H1493" s="2" t="n">
        <v>0</v>
      </c>
      <c r="I1493" s="2" t="n">
        <v>0</v>
      </c>
    </row>
    <row r="1494">
      <c r="A1494" s="2" t="n">
        <v>1492</v>
      </c>
      <c r="B1494" s="2" t="inlineStr">
        <is>
          <t>insert</t>
        </is>
      </c>
      <c r="C1494" s="2" t="inlineStr">
        <is>
          <t>openssl X25519 only (classical)</t>
        </is>
      </c>
      <c r="D1494" s="2" t="n">
        <v>324</v>
      </c>
      <c r="E1494" s="2" t="n">
        <v>324</v>
      </c>
      <c r="F1494" s="2" t="n">
        <v>1</v>
      </c>
      <c r="G1494" s="2" t="n">
        <v>1</v>
      </c>
      <c r="H1494" s="2" t="n">
        <v>1</v>
      </c>
      <c r="I1494" s="2" t="n">
        <v>0</v>
      </c>
    </row>
    <row r="1495">
      <c r="A1495" s="2" t="n">
        <v>1493</v>
      </c>
      <c r="B1495" s="2" t="inlineStr">
        <is>
          <t>flip</t>
        </is>
      </c>
      <c r="C1495" s="2" t="inlineStr">
        <is>
          <t>browser firefox147</t>
        </is>
      </c>
      <c r="D1495" s="2" t="n">
        <v>1901</v>
      </c>
      <c r="E1495" s="2" t="n">
        <v>1901</v>
      </c>
      <c r="F1495" s="2" t="n">
        <v>1</v>
      </c>
      <c r="G1495" s="2" t="n">
        <v>1</v>
      </c>
      <c r="H1495" s="2" t="n">
        <v>0</v>
      </c>
      <c r="I1495" s="2" t="n">
        <v>0</v>
      </c>
    </row>
    <row r="1496">
      <c r="A1496" s="2" t="n">
        <v>1494</v>
      </c>
      <c r="B1496" s="2" t="inlineStr">
        <is>
          <t>truncate</t>
        </is>
      </c>
      <c r="C1496" s="2" t="inlineStr">
        <is>
          <t>openssl 3.5.8 default</t>
        </is>
      </c>
      <c r="D1496" s="2" t="n">
        <v>1348</v>
      </c>
      <c r="E1496" s="2" t="n">
        <v>1348</v>
      </c>
      <c r="F1496" s="2" t="n">
        <v>1</v>
      </c>
      <c r="G1496" s="2" t="n">
        <v>1</v>
      </c>
      <c r="H1496" s="2" t="n">
        <v>1</v>
      </c>
      <c r="I1496" s="2" t="n">
        <v>0</v>
      </c>
    </row>
    <row r="1497">
      <c r="A1497" s="2" t="n">
        <v>1495</v>
      </c>
      <c r="B1497" s="2" t="inlineStr">
        <is>
          <t>length</t>
        </is>
      </c>
      <c r="C1497" s="2" t="inlineStr">
        <is>
          <t>openssl X25519 only (classical)</t>
        </is>
      </c>
      <c r="D1497" s="2" t="n">
        <v>314</v>
      </c>
      <c r="E1497" s="2" t="n">
        <v>314</v>
      </c>
      <c r="F1497" s="2" t="n">
        <v>1</v>
      </c>
      <c r="G1497" s="2" t="n">
        <v>1</v>
      </c>
      <c r="H1497" s="2" t="n">
        <v>0</v>
      </c>
      <c r="I1497" s="2" t="n">
        <v>0</v>
      </c>
    </row>
    <row r="1498">
      <c r="A1498" s="2" t="n">
        <v>1496</v>
      </c>
      <c r="B1498" s="2" t="inlineStr">
        <is>
          <t>insert</t>
        </is>
      </c>
      <c r="C1498" s="2" t="inlineStr">
        <is>
          <t>openssl 3.5.8 default</t>
        </is>
      </c>
      <c r="D1498" s="2" t="n">
        <v>1552</v>
      </c>
      <c r="E1498" s="2" t="n">
        <v>1552</v>
      </c>
      <c r="F1498" s="2" t="n">
        <v>1</v>
      </c>
      <c r="G1498" s="2" t="n">
        <v>1</v>
      </c>
      <c r="H1498" s="2" t="n">
        <v>1</v>
      </c>
      <c r="I1498" s="2" t="n">
        <v>0</v>
      </c>
    </row>
    <row r="1499">
      <c r="A1499" s="2" t="n">
        <v>1497</v>
      </c>
      <c r="B1499" s="2" t="inlineStr">
        <is>
          <t>flip</t>
        </is>
      </c>
      <c r="C1499" s="2" t="inlineStr">
        <is>
          <t>browser chrome150</t>
        </is>
      </c>
      <c r="D1499" s="2" t="n">
        <v>1763</v>
      </c>
      <c r="E1499" s="2" t="n">
        <v>1763</v>
      </c>
      <c r="F1499" s="2" t="n">
        <v>1</v>
      </c>
      <c r="G1499" s="2" t="n">
        <v>1</v>
      </c>
      <c r="H1499" s="2" t="n">
        <v>1</v>
      </c>
      <c r="I1499" s="2" t="n">
        <v>0</v>
      </c>
    </row>
    <row r="1500">
      <c r="A1500" s="2" t="n">
        <v>1498</v>
      </c>
      <c r="B1500" s="2" t="inlineStr">
        <is>
          <t>truncate</t>
        </is>
      </c>
      <c r="C1500" s="2" t="inlineStr">
        <is>
          <t>openssl 3.5.8 default</t>
        </is>
      </c>
      <c r="D1500" s="2" t="n">
        <v>1270</v>
      </c>
      <c r="E1500" s="2" t="n">
        <v>1270</v>
      </c>
      <c r="F1500" s="2" t="n">
        <v>1</v>
      </c>
      <c r="G1500" s="2" t="n">
        <v>1</v>
      </c>
      <c r="H1500" s="2" t="n">
        <v>1</v>
      </c>
      <c r="I1500" s="2" t="n">
        <v>0</v>
      </c>
    </row>
    <row r="1501">
      <c r="A1501" s="2" t="n">
        <v>1499</v>
      </c>
      <c r="B1501" s="2" t="inlineStr">
        <is>
          <t>length</t>
        </is>
      </c>
      <c r="C1501" s="2" t="inlineStr">
        <is>
          <t>browser firefox147</t>
        </is>
      </c>
      <c r="D1501" s="2" t="n">
        <v>1901</v>
      </c>
      <c r="E1501" s="2" t="n">
        <v>1901</v>
      </c>
      <c r="F1501" s="2" t="n">
        <v>0</v>
      </c>
      <c r="G1501" s="2" t="n">
        <v>0</v>
      </c>
      <c r="H1501" s="2" t="n">
        <v>0</v>
      </c>
      <c r="I1501" s="2" t="n">
        <v>0</v>
      </c>
    </row>
    <row r="1502">
      <c r="A1502" s="2" t="n">
        <v>1500</v>
      </c>
      <c r="B1502" s="2" t="inlineStr">
        <is>
          <t>insert</t>
        </is>
      </c>
      <c r="C1502" s="2" t="inlineStr">
        <is>
          <t>openssl X25519 only (classical)</t>
        </is>
      </c>
      <c r="D1502" s="2" t="n">
        <v>318</v>
      </c>
      <c r="E1502" s="2" t="n">
        <v>318</v>
      </c>
      <c r="F1502" s="2" t="n">
        <v>1</v>
      </c>
      <c r="G1502" s="2" t="n">
        <v>0</v>
      </c>
      <c r="H1502" s="2" t="n">
        <v>0</v>
      </c>
      <c r="I1502" s="2" t="n">
        <v>0</v>
      </c>
    </row>
    <row r="1503">
      <c r="A1503" s="2" t="n">
        <v>1501</v>
      </c>
      <c r="B1503" s="2" t="inlineStr">
        <is>
          <t>flip</t>
        </is>
      </c>
      <c r="C1503" s="2" t="inlineStr">
        <is>
          <t>openssl X25519 only (classical)</t>
        </is>
      </c>
      <c r="D1503" s="2" t="n">
        <v>314</v>
      </c>
      <c r="E1503" s="2" t="n">
        <v>314</v>
      </c>
      <c r="F1503" s="2" t="n">
        <v>1</v>
      </c>
      <c r="G1503" s="2" t="n">
        <v>1</v>
      </c>
      <c r="H1503" s="2" t="n">
        <v>1</v>
      </c>
      <c r="I1503" s="2" t="n">
        <v>0</v>
      </c>
    </row>
    <row r="1504">
      <c r="A1504" s="2" t="n">
        <v>1502</v>
      </c>
      <c r="B1504" s="2" t="inlineStr">
        <is>
          <t>truncate</t>
        </is>
      </c>
      <c r="C1504" s="2" t="inlineStr">
        <is>
          <t>openssl X25519 only (classical)</t>
        </is>
      </c>
      <c r="D1504" s="2" t="n">
        <v>65</v>
      </c>
      <c r="E1504" s="2" t="n">
        <v>65</v>
      </c>
      <c r="F1504" s="2" t="n">
        <v>1</v>
      </c>
      <c r="G1504" s="2" t="n">
        <v>0</v>
      </c>
      <c r="H1504" s="2" t="n">
        <v>0</v>
      </c>
      <c r="I1504" s="2" t="n">
        <v>0</v>
      </c>
    </row>
    <row r="1505">
      <c r="A1505" s="2" t="n">
        <v>1503</v>
      </c>
      <c r="B1505" s="2" t="inlineStr">
        <is>
          <t>length</t>
        </is>
      </c>
      <c r="C1505" s="2" t="inlineStr">
        <is>
          <t>openssl TLS 1.2 only</t>
        </is>
      </c>
      <c r="D1505" s="2" t="n">
        <v>215</v>
      </c>
      <c r="E1505" s="2" t="n">
        <v>215</v>
      </c>
      <c r="F1505" s="2" t="n">
        <v>1</v>
      </c>
      <c r="G1505" s="2" t="n">
        <v>1</v>
      </c>
      <c r="H1505" s="2" t="n">
        <v>0</v>
      </c>
      <c r="I1505" s="2" t="n">
        <v>0</v>
      </c>
    </row>
    <row r="1506">
      <c r="A1506" s="2" t="n">
        <v>1504</v>
      </c>
      <c r="B1506" s="2" t="inlineStr">
        <is>
          <t>insert</t>
        </is>
      </c>
      <c r="C1506" s="2" t="inlineStr">
        <is>
          <t>openssl X25519 only (classical)</t>
        </is>
      </c>
      <c r="D1506" s="2" t="n">
        <v>328</v>
      </c>
      <c r="E1506" s="2" t="n">
        <v>328</v>
      </c>
      <c r="F1506" s="2" t="n">
        <v>1</v>
      </c>
      <c r="G1506" s="2" t="n">
        <v>1</v>
      </c>
      <c r="H1506" s="2" t="n">
        <v>1</v>
      </c>
      <c r="I1506" s="2" t="n">
        <v>0</v>
      </c>
    </row>
    <row r="1507">
      <c r="A1507" s="2" t="n">
        <v>1505</v>
      </c>
      <c r="B1507" s="2" t="inlineStr">
        <is>
          <t>flip</t>
        </is>
      </c>
      <c r="C1507" s="2" t="inlineStr">
        <is>
          <t>openssl TLS 1.2 only</t>
        </is>
      </c>
      <c r="D1507" s="2" t="n">
        <v>215</v>
      </c>
      <c r="E1507" s="2" t="n">
        <v>215</v>
      </c>
      <c r="F1507" s="2" t="n">
        <v>1</v>
      </c>
      <c r="G1507" s="2" t="n">
        <v>1</v>
      </c>
      <c r="H1507" s="2" t="n">
        <v>1</v>
      </c>
      <c r="I1507" s="2" t="n">
        <v>0</v>
      </c>
    </row>
    <row r="1508">
      <c r="A1508" s="2" t="n">
        <v>1506</v>
      </c>
      <c r="B1508" s="2" t="inlineStr">
        <is>
          <t>truncate</t>
        </is>
      </c>
      <c r="C1508" s="2" t="inlineStr">
        <is>
          <t>browser firefox147</t>
        </is>
      </c>
      <c r="D1508" s="2" t="n">
        <v>1040</v>
      </c>
      <c r="E1508" s="2" t="n">
        <v>1040</v>
      </c>
      <c r="F1508" s="2" t="n">
        <v>1</v>
      </c>
      <c r="G1508" s="2" t="n">
        <v>1</v>
      </c>
      <c r="H1508" s="2" t="n">
        <v>0</v>
      </c>
      <c r="I1508" s="2" t="n">
        <v>0</v>
      </c>
    </row>
    <row r="1509">
      <c r="A1509" s="2" t="n">
        <v>1507</v>
      </c>
      <c r="B1509" s="2" t="inlineStr">
        <is>
          <t>length</t>
        </is>
      </c>
      <c r="C1509" s="2" t="inlineStr">
        <is>
          <t>browser chrome150</t>
        </is>
      </c>
      <c r="D1509" s="2" t="n">
        <v>1763</v>
      </c>
      <c r="E1509" s="2" t="n">
        <v>1763</v>
      </c>
      <c r="F1509" s="2" t="n">
        <v>1</v>
      </c>
      <c r="G1509" s="2" t="n">
        <v>1</v>
      </c>
      <c r="H1509" s="2" t="n">
        <v>0</v>
      </c>
      <c r="I1509" s="2" t="n">
        <v>0</v>
      </c>
    </row>
    <row r="1510">
      <c r="A1510" s="2" t="n">
        <v>1508</v>
      </c>
      <c r="B1510" s="2" t="inlineStr">
        <is>
          <t>insert</t>
        </is>
      </c>
      <c r="C1510" s="2" t="inlineStr">
        <is>
          <t>openssl 3.5.8 default</t>
        </is>
      </c>
      <c r="D1510" s="2" t="n">
        <v>1555</v>
      </c>
      <c r="E1510" s="2" t="n">
        <v>1555</v>
      </c>
      <c r="F1510" s="2" t="n">
        <v>1</v>
      </c>
      <c r="G1510" s="2" t="n">
        <v>1</v>
      </c>
      <c r="H1510" s="2" t="n">
        <v>1</v>
      </c>
      <c r="I1510" s="2" t="n">
        <v>0</v>
      </c>
    </row>
    <row r="1511">
      <c r="A1511" s="2" t="n">
        <v>1509</v>
      </c>
      <c r="B1511" s="2" t="inlineStr">
        <is>
          <t>flip</t>
        </is>
      </c>
      <c r="C1511" s="2" t="inlineStr">
        <is>
          <t>openssl TLS 1.2 only</t>
        </is>
      </c>
      <c r="D1511" s="2" t="n">
        <v>215</v>
      </c>
      <c r="E1511" s="2" t="n">
        <v>215</v>
      </c>
      <c r="F1511" s="2" t="n">
        <v>1</v>
      </c>
      <c r="G1511" s="2" t="n">
        <v>1</v>
      </c>
      <c r="H1511" s="2" t="n">
        <v>1</v>
      </c>
      <c r="I1511" s="2" t="n">
        <v>0</v>
      </c>
    </row>
    <row r="1512">
      <c r="A1512" s="2" t="n">
        <v>1510</v>
      </c>
      <c r="B1512" s="2" t="inlineStr">
        <is>
          <t>truncate</t>
        </is>
      </c>
      <c r="C1512" s="2" t="inlineStr">
        <is>
          <t>browser chrome150</t>
        </is>
      </c>
      <c r="D1512" s="2" t="n">
        <v>1367</v>
      </c>
      <c r="E1512" s="2" t="n">
        <v>1367</v>
      </c>
      <c r="F1512" s="2" t="n">
        <v>1</v>
      </c>
      <c r="G1512" s="2" t="n">
        <v>1</v>
      </c>
      <c r="H1512" s="2" t="n">
        <v>1</v>
      </c>
      <c r="I1512" s="2" t="n">
        <v>0</v>
      </c>
    </row>
    <row r="1513">
      <c r="A1513" s="2" t="n">
        <v>1511</v>
      </c>
      <c r="B1513" s="2" t="inlineStr">
        <is>
          <t>length</t>
        </is>
      </c>
      <c r="C1513" s="2" t="inlineStr">
        <is>
          <t>openssl 3.5.8 default</t>
        </is>
      </c>
      <c r="D1513" s="2" t="n">
        <v>1548</v>
      </c>
      <c r="E1513" s="2" t="n">
        <v>1548</v>
      </c>
      <c r="F1513" s="2" t="n">
        <v>1</v>
      </c>
      <c r="G1513" s="2" t="n">
        <v>0</v>
      </c>
      <c r="H1513" s="2" t="n">
        <v>0</v>
      </c>
      <c r="I1513" s="2" t="n">
        <v>0</v>
      </c>
    </row>
    <row r="1514">
      <c r="A1514" s="2" t="n">
        <v>1512</v>
      </c>
      <c r="B1514" s="2" t="inlineStr">
        <is>
          <t>insert</t>
        </is>
      </c>
      <c r="C1514" s="2" t="inlineStr">
        <is>
          <t>openssl X25519 only (classical)</t>
        </is>
      </c>
      <c r="D1514" s="2" t="n">
        <v>317</v>
      </c>
      <c r="E1514" s="2" t="n">
        <v>317</v>
      </c>
      <c r="F1514" s="2" t="n">
        <v>1</v>
      </c>
      <c r="G1514" s="2" t="n">
        <v>1</v>
      </c>
      <c r="H1514" s="2" t="n">
        <v>1</v>
      </c>
      <c r="I1514" s="2" t="n">
        <v>0</v>
      </c>
    </row>
    <row r="1515">
      <c r="A1515" s="2" t="n">
        <v>1513</v>
      </c>
      <c r="B1515" s="2" t="inlineStr">
        <is>
          <t>flip</t>
        </is>
      </c>
      <c r="C1515" s="2" t="inlineStr">
        <is>
          <t>openssl 3.5.8 default</t>
        </is>
      </c>
      <c r="D1515" s="2" t="n">
        <v>1548</v>
      </c>
      <c r="E1515" s="2" t="n">
        <v>1548</v>
      </c>
      <c r="F1515" s="2" t="n">
        <v>1</v>
      </c>
      <c r="G1515" s="2" t="n">
        <v>1</v>
      </c>
      <c r="H1515" s="2" t="n">
        <v>1</v>
      </c>
      <c r="I1515" s="2" t="n">
        <v>0</v>
      </c>
    </row>
    <row r="1516">
      <c r="A1516" s="2" t="n">
        <v>1514</v>
      </c>
      <c r="B1516" s="2" t="inlineStr">
        <is>
          <t>truncate</t>
        </is>
      </c>
      <c r="C1516" s="2" t="inlineStr">
        <is>
          <t>openssl TLS 1.2 only</t>
        </is>
      </c>
      <c r="D1516" s="2" t="n">
        <v>87</v>
      </c>
      <c r="E1516" s="2" t="n">
        <v>87</v>
      </c>
      <c r="F1516" s="2" t="n">
        <v>1</v>
      </c>
      <c r="G1516" s="2" t="n">
        <v>0</v>
      </c>
      <c r="H1516" s="2" t="n">
        <v>0</v>
      </c>
      <c r="I1516" s="2" t="n">
        <v>0</v>
      </c>
    </row>
    <row r="1517">
      <c r="A1517" s="2" t="n">
        <v>1515</v>
      </c>
      <c r="B1517" s="2" t="inlineStr">
        <is>
          <t>length</t>
        </is>
      </c>
      <c r="C1517" s="2" t="inlineStr">
        <is>
          <t>openssl 3.5.8 default</t>
        </is>
      </c>
      <c r="D1517" s="2" t="n">
        <v>1548</v>
      </c>
      <c r="E1517" s="2" t="n">
        <v>1548</v>
      </c>
      <c r="F1517" s="2" t="n">
        <v>0</v>
      </c>
      <c r="G1517" s="2" t="n">
        <v>0</v>
      </c>
      <c r="H1517" s="2" t="n">
        <v>0</v>
      </c>
      <c r="I1517" s="2" t="n">
        <v>0</v>
      </c>
    </row>
    <row r="1518">
      <c r="A1518" s="2" t="n">
        <v>1516</v>
      </c>
      <c r="B1518" s="2" t="inlineStr">
        <is>
          <t>insert</t>
        </is>
      </c>
      <c r="C1518" s="2" t="inlineStr">
        <is>
          <t>openssl X25519 only (classical)</t>
        </is>
      </c>
      <c r="D1518" s="2" t="n">
        <v>320</v>
      </c>
      <c r="E1518" s="2" t="n">
        <v>320</v>
      </c>
      <c r="F1518" s="2" t="n">
        <v>1</v>
      </c>
      <c r="G1518" s="2" t="n">
        <v>1</v>
      </c>
      <c r="H1518" s="2" t="n">
        <v>0</v>
      </c>
      <c r="I1518" s="2" t="n">
        <v>0</v>
      </c>
    </row>
    <row r="1519">
      <c r="A1519" s="2" t="n">
        <v>1517</v>
      </c>
      <c r="B1519" s="2" t="inlineStr">
        <is>
          <t>flip</t>
        </is>
      </c>
      <c r="C1519" s="2" t="inlineStr">
        <is>
          <t>openssl X25519 only (classical)</t>
        </is>
      </c>
      <c r="D1519" s="2" t="n">
        <v>314</v>
      </c>
      <c r="E1519" s="2" t="n">
        <v>314</v>
      </c>
      <c r="F1519" s="2" t="n">
        <v>1</v>
      </c>
      <c r="G1519" s="2" t="n">
        <v>1</v>
      </c>
      <c r="H1519" s="2" t="n">
        <v>1</v>
      </c>
      <c r="I1519" s="2" t="n">
        <v>0</v>
      </c>
    </row>
    <row r="1520">
      <c r="A1520" s="2" t="n">
        <v>1518</v>
      </c>
      <c r="B1520" s="2" t="inlineStr">
        <is>
          <t>truncate</t>
        </is>
      </c>
      <c r="C1520" s="2" t="inlineStr">
        <is>
          <t>browser firefox147</t>
        </is>
      </c>
      <c r="D1520" s="2" t="n">
        <v>10</v>
      </c>
      <c r="E1520" s="2" t="n">
        <v>10</v>
      </c>
      <c r="F1520" s="2" t="n">
        <v>1</v>
      </c>
      <c r="G1520" s="2" t="n">
        <v>0</v>
      </c>
      <c r="H1520" s="2" t="n">
        <v>0</v>
      </c>
      <c r="I1520" s="2" t="n">
        <v>0</v>
      </c>
    </row>
    <row r="1521">
      <c r="A1521" s="2" t="n">
        <v>1519</v>
      </c>
      <c r="B1521" s="2" t="inlineStr">
        <is>
          <t>length</t>
        </is>
      </c>
      <c r="C1521" s="2" t="inlineStr">
        <is>
          <t>browser firefox147</t>
        </is>
      </c>
      <c r="D1521" s="2" t="n">
        <v>1901</v>
      </c>
      <c r="E1521" s="2" t="n">
        <v>1901</v>
      </c>
      <c r="F1521" s="2" t="n">
        <v>1</v>
      </c>
      <c r="G1521" s="2" t="n">
        <v>1</v>
      </c>
      <c r="H1521" s="2" t="n">
        <v>0</v>
      </c>
      <c r="I1521" s="2" t="n">
        <v>0</v>
      </c>
    </row>
    <row r="1522">
      <c r="A1522" s="2" t="n">
        <v>1520</v>
      </c>
      <c r="B1522" s="2" t="inlineStr">
        <is>
          <t>insert</t>
        </is>
      </c>
      <c r="C1522" s="2" t="inlineStr">
        <is>
          <t>browser firefox147</t>
        </is>
      </c>
      <c r="D1522" s="2" t="n">
        <v>1915</v>
      </c>
      <c r="E1522" s="2" t="n">
        <v>1915</v>
      </c>
      <c r="F1522" s="2" t="n">
        <v>1</v>
      </c>
      <c r="G1522" s="2" t="n">
        <v>1</v>
      </c>
      <c r="H1522" s="2" t="n">
        <v>0</v>
      </c>
      <c r="I1522" s="2" t="n">
        <v>0</v>
      </c>
    </row>
    <row r="1523">
      <c r="A1523" s="2" t="n">
        <v>1521</v>
      </c>
      <c r="B1523" s="2" t="inlineStr">
        <is>
          <t>flip</t>
        </is>
      </c>
      <c r="C1523" s="2" t="inlineStr">
        <is>
          <t>openssl TLS 1.2 only</t>
        </is>
      </c>
      <c r="D1523" s="2" t="n">
        <v>215</v>
      </c>
      <c r="E1523" s="2" t="n">
        <v>215</v>
      </c>
      <c r="F1523" s="2" t="n">
        <v>1</v>
      </c>
      <c r="G1523" s="2" t="n">
        <v>1</v>
      </c>
      <c r="H1523" s="2" t="n">
        <v>1</v>
      </c>
      <c r="I1523" s="2" t="n">
        <v>0</v>
      </c>
    </row>
    <row r="1524">
      <c r="A1524" s="2" t="n">
        <v>1522</v>
      </c>
      <c r="B1524" s="2" t="inlineStr">
        <is>
          <t>truncate</t>
        </is>
      </c>
      <c r="C1524" s="2" t="inlineStr">
        <is>
          <t>openssl TLS 1.2 only</t>
        </is>
      </c>
      <c r="D1524" s="2" t="n">
        <v>7</v>
      </c>
      <c r="E1524" s="2" t="n">
        <v>7</v>
      </c>
      <c r="F1524" s="2" t="n">
        <v>1</v>
      </c>
      <c r="G1524" s="2" t="n">
        <v>0</v>
      </c>
      <c r="H1524" s="2" t="n">
        <v>0</v>
      </c>
      <c r="I1524" s="2" t="n">
        <v>0</v>
      </c>
    </row>
    <row r="1525">
      <c r="A1525" s="2" t="n">
        <v>1523</v>
      </c>
      <c r="B1525" s="2" t="inlineStr">
        <is>
          <t>length</t>
        </is>
      </c>
      <c r="C1525" s="2" t="inlineStr">
        <is>
          <t>openssl TLS 1.2 only</t>
        </is>
      </c>
      <c r="D1525" s="2" t="n">
        <v>215</v>
      </c>
      <c r="E1525" s="2" t="n">
        <v>215</v>
      </c>
      <c r="F1525" s="2" t="n">
        <v>1</v>
      </c>
      <c r="G1525" s="2" t="n">
        <v>0</v>
      </c>
      <c r="H1525" s="2" t="n">
        <v>0</v>
      </c>
      <c r="I1525" s="2" t="n">
        <v>0</v>
      </c>
    </row>
    <row r="1526">
      <c r="A1526" s="2" t="n">
        <v>1524</v>
      </c>
      <c r="B1526" s="2" t="inlineStr">
        <is>
          <t>insert</t>
        </is>
      </c>
      <c r="C1526" s="2" t="inlineStr">
        <is>
          <t>openssl TLS 1.2 only</t>
        </is>
      </c>
      <c r="D1526" s="2" t="n">
        <v>219</v>
      </c>
      <c r="E1526" s="2" t="n">
        <v>219</v>
      </c>
      <c r="F1526" s="2" t="n">
        <v>1</v>
      </c>
      <c r="G1526" s="2" t="n">
        <v>1</v>
      </c>
      <c r="H1526" s="2" t="n">
        <v>0</v>
      </c>
      <c r="I1526" s="2" t="n">
        <v>0</v>
      </c>
    </row>
    <row r="1527">
      <c r="A1527" s="2" t="n">
        <v>1525</v>
      </c>
      <c r="B1527" s="2" t="inlineStr">
        <is>
          <t>flip</t>
        </is>
      </c>
      <c r="C1527" s="2" t="inlineStr">
        <is>
          <t>browser firefox147</t>
        </is>
      </c>
      <c r="D1527" s="2" t="n">
        <v>1901</v>
      </c>
      <c r="E1527" s="2" t="n">
        <v>1901</v>
      </c>
      <c r="F1527" s="2" t="n">
        <v>1</v>
      </c>
      <c r="G1527" s="2" t="n">
        <v>1</v>
      </c>
      <c r="H1527" s="2" t="n">
        <v>0</v>
      </c>
      <c r="I1527" s="2" t="n">
        <v>0</v>
      </c>
    </row>
    <row r="1528">
      <c r="A1528" s="2" t="n">
        <v>1526</v>
      </c>
      <c r="B1528" s="2" t="inlineStr">
        <is>
          <t>truncate</t>
        </is>
      </c>
      <c r="C1528" s="2" t="inlineStr">
        <is>
          <t>openssl X25519 only (classical)</t>
        </is>
      </c>
      <c r="D1528" s="2" t="n">
        <v>118</v>
      </c>
      <c r="E1528" s="2" t="n">
        <v>118</v>
      </c>
      <c r="F1528" s="2" t="n">
        <v>1</v>
      </c>
      <c r="G1528" s="2" t="n">
        <v>0</v>
      </c>
      <c r="H1528" s="2" t="n">
        <v>0</v>
      </c>
      <c r="I1528" s="2" t="n">
        <v>0</v>
      </c>
    </row>
    <row r="1529">
      <c r="A1529" s="2" t="n">
        <v>1527</v>
      </c>
      <c r="B1529" s="2" t="inlineStr">
        <is>
          <t>length</t>
        </is>
      </c>
      <c r="C1529" s="2" t="inlineStr">
        <is>
          <t>browser chrome150</t>
        </is>
      </c>
      <c r="D1529" s="2" t="n">
        <v>1763</v>
      </c>
      <c r="E1529" s="2" t="n">
        <v>1763</v>
      </c>
      <c r="F1529" s="2" t="n">
        <v>1</v>
      </c>
      <c r="G1529" s="2" t="n">
        <v>0</v>
      </c>
      <c r="H1529" s="2" t="n">
        <v>0</v>
      </c>
      <c r="I1529" s="2" t="n">
        <v>0</v>
      </c>
    </row>
    <row r="1530">
      <c r="A1530" s="2" t="n">
        <v>1528</v>
      </c>
      <c r="B1530" s="2" t="inlineStr">
        <is>
          <t>insert</t>
        </is>
      </c>
      <c r="C1530" s="2" t="inlineStr">
        <is>
          <t>browser firefox147</t>
        </is>
      </c>
      <c r="D1530" s="2" t="n">
        <v>1916</v>
      </c>
      <c r="E1530" s="2" t="n">
        <v>1916</v>
      </c>
      <c r="F1530" s="2" t="n">
        <v>1</v>
      </c>
      <c r="G1530" s="2" t="n">
        <v>1</v>
      </c>
      <c r="H1530" s="2" t="n">
        <v>0</v>
      </c>
      <c r="I1530" s="2" t="n">
        <v>0</v>
      </c>
    </row>
    <row r="1531">
      <c r="A1531" s="2" t="n">
        <v>1529</v>
      </c>
      <c r="B1531" s="2" t="inlineStr">
        <is>
          <t>flip</t>
        </is>
      </c>
      <c r="C1531" s="2" t="inlineStr">
        <is>
          <t>browser firefox147</t>
        </is>
      </c>
      <c r="D1531" s="2" t="n">
        <v>1901</v>
      </c>
      <c r="E1531" s="2" t="n">
        <v>1901</v>
      </c>
      <c r="F1531" s="2" t="n">
        <v>1</v>
      </c>
      <c r="G1531" s="2" t="n">
        <v>1</v>
      </c>
      <c r="H1531" s="2" t="n">
        <v>0</v>
      </c>
      <c r="I1531" s="2" t="n">
        <v>0</v>
      </c>
    </row>
    <row r="1532">
      <c r="A1532" s="2" t="n">
        <v>1530</v>
      </c>
      <c r="B1532" s="2" t="inlineStr">
        <is>
          <t>truncate</t>
        </is>
      </c>
      <c r="C1532" s="2" t="inlineStr">
        <is>
          <t>openssl 3.5.8 default</t>
        </is>
      </c>
      <c r="D1532" s="2" t="n">
        <v>412</v>
      </c>
      <c r="E1532" s="2" t="n">
        <v>412</v>
      </c>
      <c r="F1532" s="2" t="n">
        <v>1</v>
      </c>
      <c r="G1532" s="2" t="n">
        <v>1</v>
      </c>
      <c r="H1532" s="2" t="n">
        <v>1</v>
      </c>
      <c r="I1532" s="2" t="n">
        <v>0</v>
      </c>
    </row>
    <row r="1533">
      <c r="A1533" s="2" t="n">
        <v>1531</v>
      </c>
      <c r="B1533" s="2" t="inlineStr">
        <is>
          <t>length</t>
        </is>
      </c>
      <c r="C1533" s="2" t="inlineStr">
        <is>
          <t>browser firefox147</t>
        </is>
      </c>
      <c r="D1533" s="2" t="n">
        <v>1901</v>
      </c>
      <c r="E1533" s="2" t="n">
        <v>1901</v>
      </c>
      <c r="F1533" s="2" t="n">
        <v>0</v>
      </c>
      <c r="G1533" s="2" t="n">
        <v>0</v>
      </c>
      <c r="H1533" s="2" t="n">
        <v>0</v>
      </c>
      <c r="I1533" s="2" t="n">
        <v>0</v>
      </c>
    </row>
    <row r="1534">
      <c r="A1534" s="2" t="n">
        <v>1532</v>
      </c>
      <c r="B1534" s="2" t="inlineStr">
        <is>
          <t>insert</t>
        </is>
      </c>
      <c r="C1534" s="2" t="inlineStr">
        <is>
          <t>openssl TLS 1.2 only</t>
        </is>
      </c>
      <c r="D1534" s="2" t="n">
        <v>219</v>
      </c>
      <c r="E1534" s="2" t="n">
        <v>219</v>
      </c>
      <c r="F1534" s="2" t="n">
        <v>1</v>
      </c>
      <c r="G1534" s="2" t="n">
        <v>1</v>
      </c>
      <c r="H1534" s="2" t="n">
        <v>0</v>
      </c>
      <c r="I1534" s="2" t="n">
        <v>0</v>
      </c>
    </row>
    <row r="1535">
      <c r="A1535" s="2" t="n">
        <v>1533</v>
      </c>
      <c r="B1535" s="2" t="inlineStr">
        <is>
          <t>flip</t>
        </is>
      </c>
      <c r="C1535" s="2" t="inlineStr">
        <is>
          <t>openssl 3.5.8 default</t>
        </is>
      </c>
      <c r="D1535" s="2" t="n">
        <v>1548</v>
      </c>
      <c r="E1535" s="2" t="n">
        <v>1548</v>
      </c>
      <c r="F1535" s="2" t="n">
        <v>1</v>
      </c>
      <c r="G1535" s="2" t="n">
        <v>1</v>
      </c>
      <c r="H1535" s="2" t="n">
        <v>1</v>
      </c>
      <c r="I1535" s="2" t="n">
        <v>0</v>
      </c>
    </row>
    <row r="1536">
      <c r="A1536" s="2" t="n">
        <v>1534</v>
      </c>
      <c r="B1536" s="2" t="inlineStr">
        <is>
          <t>truncate</t>
        </is>
      </c>
      <c r="C1536" s="2" t="inlineStr">
        <is>
          <t>openssl X25519 only (classical)</t>
        </is>
      </c>
      <c r="D1536" s="2" t="n">
        <v>7</v>
      </c>
      <c r="E1536" s="2" t="n">
        <v>7</v>
      </c>
      <c r="F1536" s="2" t="n">
        <v>1</v>
      </c>
      <c r="G1536" s="2" t="n">
        <v>0</v>
      </c>
      <c r="H1536" s="2" t="n">
        <v>0</v>
      </c>
      <c r="I1536" s="2" t="n">
        <v>0</v>
      </c>
    </row>
    <row r="1537">
      <c r="A1537" s="2" t="n">
        <v>1535</v>
      </c>
      <c r="B1537" s="2" t="inlineStr">
        <is>
          <t>length</t>
        </is>
      </c>
      <c r="C1537" s="2" t="inlineStr">
        <is>
          <t>openssl TLS 1.2 only</t>
        </is>
      </c>
      <c r="D1537" s="2" t="n">
        <v>215</v>
      </c>
      <c r="E1537" s="2" t="n">
        <v>215</v>
      </c>
      <c r="F1537" s="2" t="n">
        <v>1</v>
      </c>
      <c r="G1537" s="2" t="n">
        <v>1</v>
      </c>
      <c r="H1537" s="2" t="n">
        <v>1</v>
      </c>
      <c r="I1537" s="2" t="n">
        <v>0</v>
      </c>
    </row>
    <row r="1538">
      <c r="A1538" s="2" t="n">
        <v>1536</v>
      </c>
      <c r="B1538" s="2" t="inlineStr">
        <is>
          <t>insert</t>
        </is>
      </c>
      <c r="C1538" s="2" t="inlineStr">
        <is>
          <t>browser firefox147</t>
        </is>
      </c>
      <c r="D1538" s="2" t="n">
        <v>1913</v>
      </c>
      <c r="E1538" s="2" t="n">
        <v>1913</v>
      </c>
      <c r="F1538" s="2" t="n">
        <v>1</v>
      </c>
      <c r="G1538" s="2" t="n">
        <v>1</v>
      </c>
      <c r="H1538" s="2" t="n">
        <v>0</v>
      </c>
      <c r="I1538" s="2" t="n">
        <v>0</v>
      </c>
    </row>
    <row r="1539">
      <c r="A1539" s="2" t="n">
        <v>1537</v>
      </c>
      <c r="B1539" s="2" t="inlineStr">
        <is>
          <t>flip</t>
        </is>
      </c>
      <c r="C1539" s="2" t="inlineStr">
        <is>
          <t>openssl X25519 only (classical)</t>
        </is>
      </c>
      <c r="D1539" s="2" t="n">
        <v>314</v>
      </c>
      <c r="E1539" s="2" t="n">
        <v>314</v>
      </c>
      <c r="F1539" s="2" t="n">
        <v>1</v>
      </c>
      <c r="G1539" s="2" t="n">
        <v>1</v>
      </c>
      <c r="H1539" s="2" t="n">
        <v>1</v>
      </c>
      <c r="I1539" s="2" t="n">
        <v>0</v>
      </c>
    </row>
    <row r="1540">
      <c r="A1540" s="2" t="n">
        <v>1538</v>
      </c>
      <c r="B1540" s="2" t="inlineStr">
        <is>
          <t>truncate</t>
        </is>
      </c>
      <c r="C1540" s="2" t="inlineStr">
        <is>
          <t>openssl X25519 only (classical)</t>
        </is>
      </c>
      <c r="D1540" s="2" t="n">
        <v>99</v>
      </c>
      <c r="E1540" s="2" t="n">
        <v>99</v>
      </c>
      <c r="F1540" s="2" t="n">
        <v>1</v>
      </c>
      <c r="G1540" s="2" t="n">
        <v>0</v>
      </c>
      <c r="H1540" s="2" t="n">
        <v>0</v>
      </c>
      <c r="I1540" s="2" t="n">
        <v>0</v>
      </c>
    </row>
    <row r="1541">
      <c r="A1541" s="2" t="n">
        <v>1539</v>
      </c>
      <c r="B1541" s="2" t="inlineStr">
        <is>
          <t>length</t>
        </is>
      </c>
      <c r="C1541" s="2" t="inlineStr">
        <is>
          <t>openssl 3.5.8 default</t>
        </is>
      </c>
      <c r="D1541" s="2" t="n">
        <v>1548</v>
      </c>
      <c r="E1541" s="2" t="n">
        <v>1548</v>
      </c>
      <c r="F1541" s="2" t="n">
        <v>1</v>
      </c>
      <c r="G1541" s="2" t="n">
        <v>1</v>
      </c>
      <c r="H1541" s="2" t="n">
        <v>0</v>
      </c>
      <c r="I1541" s="2" t="n">
        <v>0</v>
      </c>
    </row>
    <row r="1542">
      <c r="A1542" s="2" t="n">
        <v>1540</v>
      </c>
      <c r="B1542" s="2" t="inlineStr">
        <is>
          <t>insert</t>
        </is>
      </c>
      <c r="C1542" s="2" t="inlineStr">
        <is>
          <t>openssl X25519 only (classical)</t>
        </is>
      </c>
      <c r="D1542" s="2" t="n">
        <v>321</v>
      </c>
      <c r="E1542" s="2" t="n">
        <v>321</v>
      </c>
      <c r="F1542" s="2" t="n">
        <v>1</v>
      </c>
      <c r="G1542" s="2" t="n">
        <v>1</v>
      </c>
      <c r="H1542" s="2" t="n">
        <v>1</v>
      </c>
      <c r="I1542" s="2" t="n">
        <v>0</v>
      </c>
    </row>
    <row r="1543">
      <c r="A1543" s="2" t="n">
        <v>1541</v>
      </c>
      <c r="B1543" s="2" t="inlineStr">
        <is>
          <t>flip</t>
        </is>
      </c>
      <c r="C1543" s="2" t="inlineStr">
        <is>
          <t>browser firefox147</t>
        </is>
      </c>
      <c r="D1543" s="2" t="n">
        <v>1901</v>
      </c>
      <c r="E1543" s="2" t="n">
        <v>1901</v>
      </c>
      <c r="F1543" s="2" t="n">
        <v>1</v>
      </c>
      <c r="G1543" s="2" t="n">
        <v>1</v>
      </c>
      <c r="H1543" s="2" t="n">
        <v>0</v>
      </c>
      <c r="I1543" s="2" t="n">
        <v>0</v>
      </c>
    </row>
    <row r="1544">
      <c r="A1544" s="2" t="n">
        <v>1542</v>
      </c>
      <c r="B1544" s="2" t="inlineStr">
        <is>
          <t>truncate</t>
        </is>
      </c>
      <c r="C1544" s="2" t="inlineStr">
        <is>
          <t>openssl X25519 only (classical)</t>
        </is>
      </c>
      <c r="D1544" s="2" t="n">
        <v>19</v>
      </c>
      <c r="E1544" s="2" t="n">
        <v>19</v>
      </c>
      <c r="F1544" s="2" t="n">
        <v>1</v>
      </c>
      <c r="G1544" s="2" t="n">
        <v>0</v>
      </c>
      <c r="H1544" s="2" t="n">
        <v>0</v>
      </c>
      <c r="I1544" s="2" t="n">
        <v>0</v>
      </c>
    </row>
    <row r="1545">
      <c r="A1545" s="2" t="n">
        <v>1543</v>
      </c>
      <c r="B1545" s="2" t="inlineStr">
        <is>
          <t>length</t>
        </is>
      </c>
      <c r="C1545" s="2" t="inlineStr">
        <is>
          <t>openssl 3.5.8 default</t>
        </is>
      </c>
      <c r="D1545" s="2" t="n">
        <v>1548</v>
      </c>
      <c r="E1545" s="2" t="n">
        <v>1548</v>
      </c>
      <c r="F1545" s="2" t="n">
        <v>0</v>
      </c>
      <c r="G1545" s="2" t="n">
        <v>0</v>
      </c>
      <c r="H1545" s="2" t="n">
        <v>0</v>
      </c>
      <c r="I1545" s="2" t="n">
        <v>0</v>
      </c>
    </row>
    <row r="1546">
      <c r="A1546" s="2" t="n">
        <v>1544</v>
      </c>
      <c r="B1546" s="2" t="inlineStr">
        <is>
          <t>insert</t>
        </is>
      </c>
      <c r="C1546" s="2" t="inlineStr">
        <is>
          <t>browser firefox147</t>
        </is>
      </c>
      <c r="D1546" s="2" t="n">
        <v>1912</v>
      </c>
      <c r="E1546" s="2" t="n">
        <v>1912</v>
      </c>
      <c r="F1546" s="2" t="n">
        <v>1</v>
      </c>
      <c r="G1546" s="2" t="n">
        <v>1</v>
      </c>
      <c r="H1546" s="2" t="n">
        <v>0</v>
      </c>
      <c r="I1546" s="2" t="n">
        <v>0</v>
      </c>
    </row>
    <row r="1547">
      <c r="A1547" s="2" t="n">
        <v>1545</v>
      </c>
      <c r="B1547" s="2" t="inlineStr">
        <is>
          <t>flip</t>
        </is>
      </c>
      <c r="C1547" s="2" t="inlineStr">
        <is>
          <t>openssl 3.5.8 default</t>
        </is>
      </c>
      <c r="D1547" s="2" t="n">
        <v>1548</v>
      </c>
      <c r="E1547" s="2" t="n">
        <v>1548</v>
      </c>
      <c r="F1547" s="2" t="n">
        <v>1</v>
      </c>
      <c r="G1547" s="2" t="n">
        <v>1</v>
      </c>
      <c r="H1547" s="2" t="n">
        <v>1</v>
      </c>
      <c r="I1547" s="2" t="n">
        <v>0</v>
      </c>
    </row>
    <row r="1548">
      <c r="A1548" s="2" t="n">
        <v>1546</v>
      </c>
      <c r="B1548" s="2" t="inlineStr">
        <is>
          <t>truncate</t>
        </is>
      </c>
      <c r="C1548" s="2" t="inlineStr">
        <is>
          <t>browser chrome150</t>
        </is>
      </c>
      <c r="D1548" s="2" t="n">
        <v>292</v>
      </c>
      <c r="E1548" s="2" t="n">
        <v>292</v>
      </c>
      <c r="F1548" s="2" t="n">
        <v>1</v>
      </c>
      <c r="G1548" s="2" t="n">
        <v>1</v>
      </c>
      <c r="H1548" s="2" t="n">
        <v>1</v>
      </c>
      <c r="I1548" s="2" t="n">
        <v>0</v>
      </c>
    </row>
    <row r="1549">
      <c r="A1549" s="2" t="n">
        <v>1547</v>
      </c>
      <c r="B1549" s="2" t="inlineStr">
        <is>
          <t>length</t>
        </is>
      </c>
      <c r="C1549" s="2" t="inlineStr">
        <is>
          <t>openssl TLS 1.2 only</t>
        </is>
      </c>
      <c r="D1549" s="2" t="n">
        <v>215</v>
      </c>
      <c r="E1549" s="2" t="n">
        <v>215</v>
      </c>
      <c r="F1549" s="2" t="n">
        <v>1</v>
      </c>
      <c r="G1549" s="2" t="n">
        <v>0</v>
      </c>
      <c r="H1549" s="2" t="n">
        <v>0</v>
      </c>
      <c r="I1549" s="2" t="n">
        <v>0</v>
      </c>
    </row>
    <row r="1550">
      <c r="A1550" s="2" t="n">
        <v>1548</v>
      </c>
      <c r="B1550" s="2" t="inlineStr">
        <is>
          <t>insert</t>
        </is>
      </c>
      <c r="C1550" s="2" t="inlineStr">
        <is>
          <t>browser firefox147</t>
        </is>
      </c>
      <c r="D1550" s="2" t="n">
        <v>1904</v>
      </c>
      <c r="E1550" s="2" t="n">
        <v>1904</v>
      </c>
      <c r="F1550" s="2" t="n">
        <v>1</v>
      </c>
      <c r="G1550" s="2" t="n">
        <v>1</v>
      </c>
      <c r="H1550" s="2" t="n">
        <v>1</v>
      </c>
      <c r="I1550" s="2" t="n">
        <v>0</v>
      </c>
    </row>
    <row r="1551">
      <c r="A1551" s="2" t="n">
        <v>1549</v>
      </c>
      <c r="B1551" s="2" t="inlineStr">
        <is>
          <t>flip</t>
        </is>
      </c>
      <c r="C1551" s="2" t="inlineStr">
        <is>
          <t>browser chrome150</t>
        </is>
      </c>
      <c r="D1551" s="2" t="n">
        <v>1763</v>
      </c>
      <c r="E1551" s="2" t="n">
        <v>1763</v>
      </c>
      <c r="F1551" s="2" t="n">
        <v>1</v>
      </c>
      <c r="G1551" s="2" t="n">
        <v>1</v>
      </c>
      <c r="H1551" s="2" t="n">
        <v>1</v>
      </c>
      <c r="I1551" s="2" t="n">
        <v>0</v>
      </c>
    </row>
    <row r="1552">
      <c r="A1552" s="2" t="n">
        <v>1550</v>
      </c>
      <c r="B1552" s="2" t="inlineStr">
        <is>
          <t>truncate</t>
        </is>
      </c>
      <c r="C1552" s="2" t="inlineStr">
        <is>
          <t>browser firefox147</t>
        </is>
      </c>
      <c r="D1552" s="2" t="n">
        <v>661</v>
      </c>
      <c r="E1552" s="2" t="n">
        <v>661</v>
      </c>
      <c r="F1552" s="2" t="n">
        <v>1</v>
      </c>
      <c r="G1552" s="2" t="n">
        <v>1</v>
      </c>
      <c r="H1552" s="2" t="n">
        <v>0</v>
      </c>
      <c r="I1552" s="2" t="n">
        <v>0</v>
      </c>
    </row>
    <row r="1553">
      <c r="A1553" s="2" t="n">
        <v>1551</v>
      </c>
      <c r="B1553" s="2" t="inlineStr">
        <is>
          <t>length</t>
        </is>
      </c>
      <c r="C1553" s="2" t="inlineStr">
        <is>
          <t>openssl 3.5.8 default</t>
        </is>
      </c>
      <c r="D1553" s="2" t="n">
        <v>1548</v>
      </c>
      <c r="E1553" s="2" t="n">
        <v>1548</v>
      </c>
      <c r="F1553" s="2" t="n">
        <v>1</v>
      </c>
      <c r="G1553" s="2" t="n">
        <v>1</v>
      </c>
      <c r="H1553" s="2" t="n">
        <v>1</v>
      </c>
      <c r="I1553" s="2" t="n">
        <v>0</v>
      </c>
    </row>
    <row r="1554">
      <c r="A1554" s="2" t="n">
        <v>1552</v>
      </c>
      <c r="B1554" s="2" t="inlineStr">
        <is>
          <t>insert</t>
        </is>
      </c>
      <c r="C1554" s="2" t="inlineStr">
        <is>
          <t>browser firefox147</t>
        </is>
      </c>
      <c r="D1554" s="2" t="n">
        <v>1909</v>
      </c>
      <c r="E1554" s="2" t="n">
        <v>1909</v>
      </c>
      <c r="F1554" s="2" t="n">
        <v>1</v>
      </c>
      <c r="G1554" s="2" t="n">
        <v>1</v>
      </c>
      <c r="H1554" s="2" t="n">
        <v>0</v>
      </c>
      <c r="I1554" s="2" t="n">
        <v>0</v>
      </c>
    </row>
    <row r="1555">
      <c r="A1555" s="2" t="n">
        <v>1553</v>
      </c>
      <c r="B1555" s="2" t="inlineStr">
        <is>
          <t>flip</t>
        </is>
      </c>
      <c r="C1555" s="2" t="inlineStr">
        <is>
          <t>browser chrome150</t>
        </is>
      </c>
      <c r="D1555" s="2" t="n">
        <v>1763</v>
      </c>
      <c r="E1555" s="2" t="n">
        <v>1763</v>
      </c>
      <c r="F1555" s="2" t="n">
        <v>1</v>
      </c>
      <c r="G1555" s="2" t="n">
        <v>1</v>
      </c>
      <c r="H1555" s="2" t="n">
        <v>1</v>
      </c>
      <c r="I1555" s="2" t="n">
        <v>0</v>
      </c>
    </row>
    <row r="1556">
      <c r="A1556" s="2" t="n">
        <v>1554</v>
      </c>
      <c r="B1556" s="2" t="inlineStr">
        <is>
          <t>truncate</t>
        </is>
      </c>
      <c r="C1556" s="2" t="inlineStr">
        <is>
          <t>browser chrome150</t>
        </is>
      </c>
      <c r="D1556" s="2" t="n">
        <v>1148</v>
      </c>
      <c r="E1556" s="2" t="n">
        <v>1148</v>
      </c>
      <c r="F1556" s="2" t="n">
        <v>1</v>
      </c>
      <c r="G1556" s="2" t="n">
        <v>1</v>
      </c>
      <c r="H1556" s="2" t="n">
        <v>1</v>
      </c>
      <c r="I1556" s="2" t="n">
        <v>0</v>
      </c>
    </row>
    <row r="1557">
      <c r="A1557" s="2" t="n">
        <v>1555</v>
      </c>
      <c r="B1557" s="2" t="inlineStr">
        <is>
          <t>length</t>
        </is>
      </c>
      <c r="C1557" s="2" t="inlineStr">
        <is>
          <t>browser chrome150</t>
        </is>
      </c>
      <c r="D1557" s="2" t="n">
        <v>1763</v>
      </c>
      <c r="E1557" s="2" t="n">
        <v>1763</v>
      </c>
      <c r="F1557" s="2" t="n">
        <v>1</v>
      </c>
      <c r="G1557" s="2" t="n">
        <v>1</v>
      </c>
      <c r="H1557" s="2" t="n">
        <v>1</v>
      </c>
      <c r="I1557" s="2" t="n">
        <v>0</v>
      </c>
    </row>
    <row r="1558">
      <c r="A1558" s="2" t="n">
        <v>1556</v>
      </c>
      <c r="B1558" s="2" t="inlineStr">
        <is>
          <t>insert</t>
        </is>
      </c>
      <c r="C1558" s="2" t="inlineStr">
        <is>
          <t>browser firefox147</t>
        </is>
      </c>
      <c r="D1558" s="2" t="n">
        <v>1907</v>
      </c>
      <c r="E1558" s="2" t="n">
        <v>1907</v>
      </c>
      <c r="F1558" s="2" t="n">
        <v>1</v>
      </c>
      <c r="G1558" s="2" t="n">
        <v>1</v>
      </c>
      <c r="H1558" s="2" t="n">
        <v>0</v>
      </c>
      <c r="I1558" s="2" t="n">
        <v>0</v>
      </c>
    </row>
    <row r="1559">
      <c r="A1559" s="2" t="n">
        <v>1557</v>
      </c>
      <c r="B1559" s="2" t="inlineStr">
        <is>
          <t>flip</t>
        </is>
      </c>
      <c r="C1559" s="2" t="inlineStr">
        <is>
          <t>openssl X25519 only (classical)</t>
        </is>
      </c>
      <c r="D1559" s="2" t="n">
        <v>314</v>
      </c>
      <c r="E1559" s="2" t="n">
        <v>314</v>
      </c>
      <c r="F1559" s="2" t="n">
        <v>1</v>
      </c>
      <c r="G1559" s="2" t="n">
        <v>1</v>
      </c>
      <c r="H1559" s="2" t="n">
        <v>1</v>
      </c>
      <c r="I1559" s="2" t="n">
        <v>0</v>
      </c>
    </row>
    <row r="1560">
      <c r="A1560" s="2" t="n">
        <v>1558</v>
      </c>
      <c r="B1560" s="2" t="inlineStr">
        <is>
          <t>truncate</t>
        </is>
      </c>
      <c r="C1560" s="2" t="inlineStr">
        <is>
          <t>openssl X25519 only (classical)</t>
        </is>
      </c>
      <c r="D1560" s="2" t="n">
        <v>67</v>
      </c>
      <c r="E1560" s="2" t="n">
        <v>67</v>
      </c>
      <c r="F1560" s="2" t="n">
        <v>1</v>
      </c>
      <c r="G1560" s="2" t="n">
        <v>0</v>
      </c>
      <c r="H1560" s="2" t="n">
        <v>0</v>
      </c>
      <c r="I1560" s="2" t="n">
        <v>0</v>
      </c>
    </row>
    <row r="1561">
      <c r="A1561" s="2" t="n">
        <v>1559</v>
      </c>
      <c r="B1561" s="2" t="inlineStr">
        <is>
          <t>length</t>
        </is>
      </c>
      <c r="C1561" s="2" t="inlineStr">
        <is>
          <t>browser chrome150</t>
        </is>
      </c>
      <c r="D1561" s="2" t="n">
        <v>1763</v>
      </c>
      <c r="E1561" s="2" t="n">
        <v>1763</v>
      </c>
      <c r="F1561" s="2" t="n">
        <v>1</v>
      </c>
      <c r="G1561" s="2" t="n">
        <v>1</v>
      </c>
      <c r="H1561" s="2" t="n">
        <v>1</v>
      </c>
      <c r="I1561" s="2" t="n">
        <v>0</v>
      </c>
    </row>
    <row r="1562">
      <c r="A1562" s="2" t="n">
        <v>1560</v>
      </c>
      <c r="B1562" s="2" t="inlineStr">
        <is>
          <t>insert</t>
        </is>
      </c>
      <c r="C1562" s="2" t="inlineStr">
        <is>
          <t>openssl X25519 only (classical)</t>
        </is>
      </c>
      <c r="D1562" s="2" t="n">
        <v>318</v>
      </c>
      <c r="E1562" s="2" t="n">
        <v>318</v>
      </c>
      <c r="F1562" s="2" t="n">
        <v>1</v>
      </c>
      <c r="G1562" s="2" t="n">
        <v>0</v>
      </c>
      <c r="H1562" s="2" t="n">
        <v>0</v>
      </c>
      <c r="I1562" s="2" t="n">
        <v>0</v>
      </c>
    </row>
    <row r="1563">
      <c r="A1563" s="2" t="n">
        <v>1561</v>
      </c>
      <c r="B1563" s="2" t="inlineStr">
        <is>
          <t>flip</t>
        </is>
      </c>
      <c r="C1563" s="2" t="inlineStr">
        <is>
          <t>browser chrome150</t>
        </is>
      </c>
      <c r="D1563" s="2" t="n">
        <v>1763</v>
      </c>
      <c r="E1563" s="2" t="n">
        <v>1763</v>
      </c>
      <c r="F1563" s="2" t="n">
        <v>1</v>
      </c>
      <c r="G1563" s="2" t="n">
        <v>1</v>
      </c>
      <c r="H1563" s="2" t="n">
        <v>1</v>
      </c>
      <c r="I1563" s="2" t="n">
        <v>0</v>
      </c>
    </row>
    <row r="1564">
      <c r="A1564" s="2" t="n">
        <v>1562</v>
      </c>
      <c r="B1564" s="2" t="inlineStr">
        <is>
          <t>truncate</t>
        </is>
      </c>
      <c r="C1564" s="2" t="inlineStr">
        <is>
          <t>openssl 3.5.8 default</t>
        </is>
      </c>
      <c r="D1564" s="2" t="n">
        <v>443</v>
      </c>
      <c r="E1564" s="2" t="n">
        <v>443</v>
      </c>
      <c r="F1564" s="2" t="n">
        <v>1</v>
      </c>
      <c r="G1564" s="2" t="n">
        <v>1</v>
      </c>
      <c r="H1564" s="2" t="n">
        <v>1</v>
      </c>
      <c r="I1564" s="2" t="n">
        <v>0</v>
      </c>
    </row>
    <row r="1565">
      <c r="A1565" s="2" t="n">
        <v>1563</v>
      </c>
      <c r="B1565" s="2" t="inlineStr">
        <is>
          <t>length</t>
        </is>
      </c>
      <c r="C1565" s="2" t="inlineStr">
        <is>
          <t>openssl 3.5.8 default</t>
        </is>
      </c>
      <c r="D1565" s="2" t="n">
        <v>1548</v>
      </c>
      <c r="E1565" s="2" t="n">
        <v>1548</v>
      </c>
      <c r="F1565" s="2" t="n">
        <v>1</v>
      </c>
      <c r="G1565" s="2" t="n">
        <v>1</v>
      </c>
      <c r="H1565" s="2" t="n">
        <v>1</v>
      </c>
      <c r="I1565" s="2" t="n">
        <v>0</v>
      </c>
    </row>
    <row r="1566">
      <c r="A1566" s="2" t="n">
        <v>1564</v>
      </c>
      <c r="B1566" s="2" t="inlineStr">
        <is>
          <t>insert</t>
        </is>
      </c>
      <c r="C1566" s="2" t="inlineStr">
        <is>
          <t>browser firefox147</t>
        </is>
      </c>
      <c r="D1566" s="2" t="n">
        <v>1906</v>
      </c>
      <c r="E1566" s="2" t="n">
        <v>1906</v>
      </c>
      <c r="F1566" s="2" t="n">
        <v>1</v>
      </c>
      <c r="G1566" s="2" t="n">
        <v>1</v>
      </c>
      <c r="H1566" s="2" t="n">
        <v>0</v>
      </c>
      <c r="I1566" s="2" t="n">
        <v>0</v>
      </c>
    </row>
    <row r="1567">
      <c r="A1567" s="2" t="n">
        <v>1565</v>
      </c>
      <c r="B1567" s="2" t="inlineStr">
        <is>
          <t>flip</t>
        </is>
      </c>
      <c r="C1567" s="2" t="inlineStr">
        <is>
          <t>openssl X25519 only (classical)</t>
        </is>
      </c>
      <c r="D1567" s="2" t="n">
        <v>314</v>
      </c>
      <c r="E1567" s="2" t="n">
        <v>314</v>
      </c>
      <c r="F1567" s="2" t="n">
        <v>1</v>
      </c>
      <c r="G1567" s="2" t="n">
        <v>1</v>
      </c>
      <c r="H1567" s="2" t="n">
        <v>1</v>
      </c>
      <c r="I1567" s="2" t="n">
        <v>0</v>
      </c>
    </row>
    <row r="1568">
      <c r="A1568" s="2" t="n">
        <v>1566</v>
      </c>
      <c r="B1568" s="2" t="inlineStr">
        <is>
          <t>truncate</t>
        </is>
      </c>
      <c r="C1568" s="2" t="inlineStr">
        <is>
          <t>openssl X25519 only (classical)</t>
        </is>
      </c>
      <c r="D1568" s="2" t="n">
        <v>20</v>
      </c>
      <c r="E1568" s="2" t="n">
        <v>20</v>
      </c>
      <c r="F1568" s="2" t="n">
        <v>1</v>
      </c>
      <c r="G1568" s="2" t="n">
        <v>0</v>
      </c>
      <c r="H1568" s="2" t="n">
        <v>0</v>
      </c>
      <c r="I1568" s="2" t="n">
        <v>0</v>
      </c>
    </row>
    <row r="1569">
      <c r="A1569" s="2" t="n">
        <v>1567</v>
      </c>
      <c r="B1569" s="2" t="inlineStr">
        <is>
          <t>length</t>
        </is>
      </c>
      <c r="C1569" s="2" t="inlineStr">
        <is>
          <t>browser firefox147</t>
        </is>
      </c>
      <c r="D1569" s="2" t="n">
        <v>1901</v>
      </c>
      <c r="E1569" s="2" t="n">
        <v>1901</v>
      </c>
      <c r="F1569" s="2" t="n">
        <v>1</v>
      </c>
      <c r="G1569" s="2" t="n">
        <v>1</v>
      </c>
      <c r="H1569" s="2" t="n">
        <v>0</v>
      </c>
      <c r="I1569" s="2" t="n">
        <v>0</v>
      </c>
    </row>
    <row r="1570">
      <c r="A1570" s="2" t="n">
        <v>1568</v>
      </c>
      <c r="B1570" s="2" t="inlineStr">
        <is>
          <t>insert</t>
        </is>
      </c>
      <c r="C1570" s="2" t="inlineStr">
        <is>
          <t>openssl TLS 1.2 only</t>
        </is>
      </c>
      <c r="D1570" s="2" t="n">
        <v>219</v>
      </c>
      <c r="E1570" s="2" t="n">
        <v>219</v>
      </c>
      <c r="F1570" s="2" t="n">
        <v>1</v>
      </c>
      <c r="G1570" s="2" t="n">
        <v>1</v>
      </c>
      <c r="H1570" s="2" t="n">
        <v>1</v>
      </c>
      <c r="I1570" s="2" t="n">
        <v>0</v>
      </c>
    </row>
    <row r="1571">
      <c r="A1571" s="2" t="n">
        <v>1569</v>
      </c>
      <c r="B1571" s="2" t="inlineStr">
        <is>
          <t>flip</t>
        </is>
      </c>
      <c r="C1571" s="2" t="inlineStr">
        <is>
          <t>browser firefox147</t>
        </is>
      </c>
      <c r="D1571" s="2" t="n">
        <v>1901</v>
      </c>
      <c r="E1571" s="2" t="n">
        <v>1901</v>
      </c>
      <c r="F1571" s="2" t="n">
        <v>1</v>
      </c>
      <c r="G1571" s="2" t="n">
        <v>1</v>
      </c>
      <c r="H1571" s="2" t="n">
        <v>0</v>
      </c>
      <c r="I1571" s="2" t="n">
        <v>0</v>
      </c>
    </row>
    <row r="1572">
      <c r="A1572" s="2" t="n">
        <v>1570</v>
      </c>
      <c r="B1572" s="2" t="inlineStr">
        <is>
          <t>truncate</t>
        </is>
      </c>
      <c r="C1572" s="2" t="inlineStr">
        <is>
          <t>openssl X25519 only (classical)</t>
        </is>
      </c>
      <c r="D1572" s="2" t="n">
        <v>285</v>
      </c>
      <c r="E1572" s="2" t="n">
        <v>285</v>
      </c>
      <c r="F1572" s="2" t="n">
        <v>1</v>
      </c>
      <c r="G1572" s="2" t="n">
        <v>1</v>
      </c>
      <c r="H1572" s="2" t="n">
        <v>1</v>
      </c>
      <c r="I1572" s="2" t="n">
        <v>0</v>
      </c>
    </row>
    <row r="1573">
      <c r="A1573" s="2" t="n">
        <v>1571</v>
      </c>
      <c r="B1573" s="2" t="inlineStr">
        <is>
          <t>length</t>
        </is>
      </c>
      <c r="C1573" s="2" t="inlineStr">
        <is>
          <t>openssl X25519 only (classical)</t>
        </is>
      </c>
      <c r="D1573" s="2" t="n">
        <v>314</v>
      </c>
      <c r="E1573" s="2" t="n">
        <v>314</v>
      </c>
      <c r="F1573" s="2" t="n">
        <v>1</v>
      </c>
      <c r="G1573" s="2" t="n">
        <v>0</v>
      </c>
      <c r="H1573" s="2" t="n">
        <v>0</v>
      </c>
      <c r="I1573" s="2" t="n">
        <v>0</v>
      </c>
    </row>
    <row r="1574">
      <c r="A1574" s="2" t="n">
        <v>1572</v>
      </c>
      <c r="B1574" s="2" t="inlineStr">
        <is>
          <t>insert</t>
        </is>
      </c>
      <c r="C1574" s="2" t="inlineStr">
        <is>
          <t>openssl 3.5.8 default</t>
        </is>
      </c>
      <c r="D1574" s="2" t="n">
        <v>1559</v>
      </c>
      <c r="E1574" s="2" t="n">
        <v>1559</v>
      </c>
      <c r="F1574" s="2" t="n">
        <v>1</v>
      </c>
      <c r="G1574" s="2" t="n">
        <v>1</v>
      </c>
      <c r="H1574" s="2" t="n">
        <v>1</v>
      </c>
      <c r="I1574" s="2" t="n">
        <v>0</v>
      </c>
    </row>
    <row r="1575">
      <c r="A1575" s="2" t="n">
        <v>1573</v>
      </c>
      <c r="B1575" s="2" t="inlineStr">
        <is>
          <t>flip</t>
        </is>
      </c>
      <c r="C1575" s="2" t="inlineStr">
        <is>
          <t>openssl TLS 1.2 only</t>
        </is>
      </c>
      <c r="D1575" s="2" t="n">
        <v>215</v>
      </c>
      <c r="E1575" s="2" t="n">
        <v>215</v>
      </c>
      <c r="F1575" s="2" t="n">
        <v>1</v>
      </c>
      <c r="G1575" s="2" t="n">
        <v>1</v>
      </c>
      <c r="H1575" s="2" t="n">
        <v>1</v>
      </c>
      <c r="I1575" s="2" t="n">
        <v>0</v>
      </c>
    </row>
    <row r="1576">
      <c r="A1576" s="2" t="n">
        <v>1574</v>
      </c>
      <c r="B1576" s="2" t="inlineStr">
        <is>
          <t>truncate</t>
        </is>
      </c>
      <c r="C1576" s="2" t="inlineStr">
        <is>
          <t>openssl X25519 only (classical)</t>
        </is>
      </c>
      <c r="D1576" s="2" t="n">
        <v>140</v>
      </c>
      <c r="E1576" s="2" t="n">
        <v>140</v>
      </c>
      <c r="F1576" s="2" t="n">
        <v>1</v>
      </c>
      <c r="G1576" s="2" t="n">
        <v>1</v>
      </c>
      <c r="H1576" s="2" t="n">
        <v>0</v>
      </c>
      <c r="I1576" s="2" t="n">
        <v>0</v>
      </c>
    </row>
    <row r="1577">
      <c r="A1577" s="2" t="n">
        <v>1575</v>
      </c>
      <c r="B1577" s="2" t="inlineStr">
        <is>
          <t>length</t>
        </is>
      </c>
      <c r="C1577" s="2" t="inlineStr">
        <is>
          <t>browser firefox147</t>
        </is>
      </c>
      <c r="D1577" s="2" t="n">
        <v>1901</v>
      </c>
      <c r="E1577" s="2" t="n">
        <v>1901</v>
      </c>
      <c r="F1577" s="2" t="n">
        <v>0</v>
      </c>
      <c r="G1577" s="2" t="n">
        <v>0</v>
      </c>
      <c r="H1577" s="2" t="n">
        <v>0</v>
      </c>
      <c r="I1577" s="2" t="n">
        <v>0</v>
      </c>
    </row>
    <row r="1578">
      <c r="A1578" s="2" t="n">
        <v>1576</v>
      </c>
      <c r="B1578" s="2" t="inlineStr">
        <is>
          <t>insert</t>
        </is>
      </c>
      <c r="C1578" s="2" t="inlineStr">
        <is>
          <t>openssl TLS 1.2 only</t>
        </is>
      </c>
      <c r="D1578" s="2" t="n">
        <v>221</v>
      </c>
      <c r="E1578" s="2" t="n">
        <v>221</v>
      </c>
      <c r="F1578" s="2" t="n">
        <v>1</v>
      </c>
      <c r="G1578" s="2" t="n">
        <v>1</v>
      </c>
      <c r="H1578" s="2" t="n">
        <v>1</v>
      </c>
      <c r="I1578" s="2" t="n">
        <v>0</v>
      </c>
    </row>
    <row r="1579">
      <c r="A1579" s="2" t="n">
        <v>1577</v>
      </c>
      <c r="B1579" s="2" t="inlineStr">
        <is>
          <t>flip</t>
        </is>
      </c>
      <c r="C1579" s="2" t="inlineStr">
        <is>
          <t>browser chrome150</t>
        </is>
      </c>
      <c r="D1579" s="2" t="n">
        <v>1763</v>
      </c>
      <c r="E1579" s="2" t="n">
        <v>1763</v>
      </c>
      <c r="F1579" s="2" t="n">
        <v>1</v>
      </c>
      <c r="G1579" s="2" t="n">
        <v>1</v>
      </c>
      <c r="H1579" s="2" t="n">
        <v>1</v>
      </c>
      <c r="I1579" s="2" t="n">
        <v>0</v>
      </c>
    </row>
    <row r="1580">
      <c r="A1580" s="2" t="n">
        <v>1578</v>
      </c>
      <c r="B1580" s="2" t="inlineStr">
        <is>
          <t>truncate</t>
        </is>
      </c>
      <c r="C1580" s="2" t="inlineStr">
        <is>
          <t>openssl TLS 1.2 only</t>
        </is>
      </c>
      <c r="D1580" s="2" t="n">
        <v>177</v>
      </c>
      <c r="E1580" s="2" t="n">
        <v>177</v>
      </c>
      <c r="F1580" s="2" t="n">
        <v>1</v>
      </c>
      <c r="G1580" s="2" t="n">
        <v>1</v>
      </c>
      <c r="H1580" s="2" t="n">
        <v>1</v>
      </c>
      <c r="I1580" s="2" t="n">
        <v>0</v>
      </c>
    </row>
    <row r="1581">
      <c r="A1581" s="2" t="n">
        <v>1579</v>
      </c>
      <c r="B1581" s="2" t="inlineStr">
        <is>
          <t>length</t>
        </is>
      </c>
      <c r="C1581" s="2" t="inlineStr">
        <is>
          <t>browser firefox147</t>
        </is>
      </c>
      <c r="D1581" s="2" t="n">
        <v>1901</v>
      </c>
      <c r="E1581" s="2" t="n">
        <v>1901</v>
      </c>
      <c r="F1581" s="2" t="n">
        <v>1</v>
      </c>
      <c r="G1581" s="2" t="n">
        <v>1</v>
      </c>
      <c r="H1581" s="2" t="n">
        <v>0</v>
      </c>
      <c r="I1581" s="2" t="n">
        <v>0</v>
      </c>
    </row>
    <row r="1582">
      <c r="A1582" s="2" t="n">
        <v>1580</v>
      </c>
      <c r="B1582" s="2" t="inlineStr">
        <is>
          <t>insert</t>
        </is>
      </c>
      <c r="C1582" s="2" t="inlineStr">
        <is>
          <t>browser chrome150</t>
        </is>
      </c>
      <c r="D1582" s="2" t="n">
        <v>1766</v>
      </c>
      <c r="E1582" s="2" t="n">
        <v>1766</v>
      </c>
      <c r="F1582" s="2" t="n">
        <v>1</v>
      </c>
      <c r="G1582" s="2" t="n">
        <v>1</v>
      </c>
      <c r="H1582" s="2" t="n">
        <v>1</v>
      </c>
      <c r="I1582" s="2" t="n">
        <v>0</v>
      </c>
    </row>
    <row r="1583">
      <c r="A1583" s="2" t="n">
        <v>1581</v>
      </c>
      <c r="B1583" s="2" t="inlineStr">
        <is>
          <t>flip</t>
        </is>
      </c>
      <c r="C1583" s="2" t="inlineStr">
        <is>
          <t>openssl 3.5.8 default</t>
        </is>
      </c>
      <c r="D1583" s="2" t="n">
        <v>1548</v>
      </c>
      <c r="E1583" s="2" t="n">
        <v>1548</v>
      </c>
      <c r="F1583" s="2" t="n">
        <v>1</v>
      </c>
      <c r="G1583" s="2" t="n">
        <v>1</v>
      </c>
      <c r="H1583" s="2" t="n">
        <v>1</v>
      </c>
      <c r="I1583" s="2" t="n">
        <v>0</v>
      </c>
    </row>
    <row r="1584">
      <c r="A1584" s="2" t="n">
        <v>1582</v>
      </c>
      <c r="B1584" s="2" t="inlineStr">
        <is>
          <t>truncate</t>
        </is>
      </c>
      <c r="C1584" s="2" t="inlineStr">
        <is>
          <t>browser firefox147</t>
        </is>
      </c>
      <c r="D1584" s="2" t="n">
        <v>1619</v>
      </c>
      <c r="E1584" s="2" t="n">
        <v>1619</v>
      </c>
      <c r="F1584" s="2" t="n">
        <v>1</v>
      </c>
      <c r="G1584" s="2" t="n">
        <v>1</v>
      </c>
      <c r="H1584" s="2" t="n">
        <v>0</v>
      </c>
      <c r="I1584" s="2" t="n">
        <v>0</v>
      </c>
    </row>
    <row r="1585">
      <c r="A1585" s="2" t="n">
        <v>1583</v>
      </c>
      <c r="B1585" s="2" t="inlineStr">
        <is>
          <t>length</t>
        </is>
      </c>
      <c r="C1585" s="2" t="inlineStr">
        <is>
          <t>browser chrome150</t>
        </is>
      </c>
      <c r="D1585" s="2" t="n">
        <v>1763</v>
      </c>
      <c r="E1585" s="2" t="n">
        <v>1763</v>
      </c>
      <c r="F1585" s="2" t="n">
        <v>0</v>
      </c>
      <c r="G1585" s="2" t="n">
        <v>0</v>
      </c>
      <c r="H1585" s="2" t="n">
        <v>0</v>
      </c>
      <c r="I1585" s="2" t="n">
        <v>0</v>
      </c>
    </row>
    <row r="1586">
      <c r="A1586" s="2" t="n">
        <v>1584</v>
      </c>
      <c r="B1586" s="2" t="inlineStr">
        <is>
          <t>insert</t>
        </is>
      </c>
      <c r="C1586" s="2" t="inlineStr">
        <is>
          <t>browser firefox147</t>
        </is>
      </c>
      <c r="D1586" s="2" t="n">
        <v>1910</v>
      </c>
      <c r="E1586" s="2" t="n">
        <v>1910</v>
      </c>
      <c r="F1586" s="2" t="n">
        <v>1</v>
      </c>
      <c r="G1586" s="2" t="n">
        <v>1</v>
      </c>
      <c r="H1586" s="2" t="n">
        <v>0</v>
      </c>
      <c r="I1586" s="2" t="n">
        <v>0</v>
      </c>
    </row>
    <row r="1587">
      <c r="A1587" s="2" t="n">
        <v>1585</v>
      </c>
      <c r="B1587" s="2" t="inlineStr">
        <is>
          <t>flip</t>
        </is>
      </c>
      <c r="C1587" s="2" t="inlineStr">
        <is>
          <t>browser firefox147</t>
        </is>
      </c>
      <c r="D1587" s="2" t="n">
        <v>1901</v>
      </c>
      <c r="E1587" s="2" t="n">
        <v>1901</v>
      </c>
      <c r="F1587" s="2" t="n">
        <v>1</v>
      </c>
      <c r="G1587" s="2" t="n">
        <v>1</v>
      </c>
      <c r="H1587" s="2" t="n">
        <v>0</v>
      </c>
      <c r="I1587" s="2" t="n">
        <v>0</v>
      </c>
    </row>
    <row r="1588">
      <c r="A1588" s="2" t="n">
        <v>1586</v>
      </c>
      <c r="B1588" s="2" t="inlineStr">
        <is>
          <t>truncate</t>
        </is>
      </c>
      <c r="C1588" s="2" t="inlineStr">
        <is>
          <t>browser chrome150</t>
        </is>
      </c>
      <c r="D1588" s="2" t="n">
        <v>1445</v>
      </c>
      <c r="E1588" s="2" t="n">
        <v>1445</v>
      </c>
      <c r="F1588" s="2" t="n">
        <v>1</v>
      </c>
      <c r="G1588" s="2" t="n">
        <v>1</v>
      </c>
      <c r="H1588" s="2" t="n">
        <v>1</v>
      </c>
      <c r="I1588" s="2" t="n">
        <v>0</v>
      </c>
    </row>
    <row r="1589">
      <c r="A1589" s="2" t="n">
        <v>1587</v>
      </c>
      <c r="B1589" s="2" t="inlineStr">
        <is>
          <t>length</t>
        </is>
      </c>
      <c r="C1589" s="2" t="inlineStr">
        <is>
          <t>browser chrome150</t>
        </is>
      </c>
      <c r="D1589" s="2" t="n">
        <v>1763</v>
      </c>
      <c r="E1589" s="2" t="n">
        <v>1763</v>
      </c>
      <c r="F1589" s="2" t="n">
        <v>0</v>
      </c>
      <c r="G1589" s="2" t="n">
        <v>0</v>
      </c>
      <c r="H1589" s="2" t="n">
        <v>0</v>
      </c>
      <c r="I1589" s="2" t="n">
        <v>0</v>
      </c>
    </row>
    <row r="1590">
      <c r="A1590" s="2" t="n">
        <v>1588</v>
      </c>
      <c r="B1590" s="2" t="inlineStr">
        <is>
          <t>insert</t>
        </is>
      </c>
      <c r="C1590" s="2" t="inlineStr">
        <is>
          <t>openssl 3.5.8 default</t>
        </is>
      </c>
      <c r="D1590" s="2" t="n">
        <v>1554</v>
      </c>
      <c r="E1590" s="2" t="n">
        <v>1554</v>
      </c>
      <c r="F1590" s="2" t="n">
        <v>1</v>
      </c>
      <c r="G1590" s="2" t="n">
        <v>1</v>
      </c>
      <c r="H1590" s="2" t="n">
        <v>1</v>
      </c>
      <c r="I1590" s="2" t="n">
        <v>0</v>
      </c>
    </row>
    <row r="1591">
      <c r="A1591" s="2" t="n">
        <v>1589</v>
      </c>
      <c r="B1591" s="2" t="inlineStr">
        <is>
          <t>flip</t>
        </is>
      </c>
      <c r="C1591" s="2" t="inlineStr">
        <is>
          <t>browser firefox147</t>
        </is>
      </c>
      <c r="D1591" s="2" t="n">
        <v>1901</v>
      </c>
      <c r="E1591" s="2" t="n">
        <v>1901</v>
      </c>
      <c r="F1591" s="2" t="n">
        <v>1</v>
      </c>
      <c r="G1591" s="2" t="n">
        <v>1</v>
      </c>
      <c r="H1591" s="2" t="n">
        <v>0</v>
      </c>
      <c r="I1591" s="2" t="n">
        <v>0</v>
      </c>
    </row>
    <row r="1592">
      <c r="A1592" s="2" t="n">
        <v>1590</v>
      </c>
      <c r="B1592" s="2" t="inlineStr">
        <is>
          <t>truncate</t>
        </is>
      </c>
      <c r="C1592" s="2" t="inlineStr">
        <is>
          <t>browser chrome150</t>
        </is>
      </c>
      <c r="D1592" s="2" t="n">
        <v>1749</v>
      </c>
      <c r="E1592" s="2" t="n">
        <v>1749</v>
      </c>
      <c r="F1592" s="2" t="n">
        <v>1</v>
      </c>
      <c r="G1592" s="2" t="n">
        <v>1</v>
      </c>
      <c r="H1592" s="2" t="n">
        <v>1</v>
      </c>
      <c r="I1592" s="2" t="n">
        <v>0</v>
      </c>
    </row>
    <row r="1593">
      <c r="A1593" s="2" t="n">
        <v>1591</v>
      </c>
      <c r="B1593" s="2" t="inlineStr">
        <is>
          <t>length</t>
        </is>
      </c>
      <c r="C1593" s="2" t="inlineStr">
        <is>
          <t>openssl TLS 1.2 only</t>
        </is>
      </c>
      <c r="D1593" s="2" t="n">
        <v>215</v>
      </c>
      <c r="E1593" s="2" t="n">
        <v>215</v>
      </c>
      <c r="F1593" s="2" t="n">
        <v>1</v>
      </c>
      <c r="G1593" s="2" t="n">
        <v>0</v>
      </c>
      <c r="H1593" s="2" t="n">
        <v>0</v>
      </c>
      <c r="I1593" s="2" t="n">
        <v>0</v>
      </c>
    </row>
    <row r="1594">
      <c r="A1594" s="2" t="n">
        <v>1592</v>
      </c>
      <c r="B1594" s="2" t="inlineStr">
        <is>
          <t>insert</t>
        </is>
      </c>
      <c r="C1594" s="2" t="inlineStr">
        <is>
          <t>browser chrome150</t>
        </is>
      </c>
      <c r="D1594" s="2" t="n">
        <v>1771</v>
      </c>
      <c r="E1594" s="2" t="n">
        <v>1771</v>
      </c>
      <c r="F1594" s="2" t="n">
        <v>1</v>
      </c>
      <c r="G1594" s="2" t="n">
        <v>1</v>
      </c>
      <c r="H1594" s="2" t="n">
        <v>1</v>
      </c>
      <c r="I1594" s="2" t="n">
        <v>0</v>
      </c>
    </row>
    <row r="1595">
      <c r="A1595" s="2" t="n">
        <v>1593</v>
      </c>
      <c r="B1595" s="2" t="inlineStr">
        <is>
          <t>flip</t>
        </is>
      </c>
      <c r="C1595" s="2" t="inlineStr">
        <is>
          <t>openssl X25519 only (classical)</t>
        </is>
      </c>
      <c r="D1595" s="2" t="n">
        <v>314</v>
      </c>
      <c r="E1595" s="2" t="n">
        <v>314</v>
      </c>
      <c r="F1595" s="2" t="n">
        <v>1</v>
      </c>
      <c r="G1595" s="2" t="n">
        <v>1</v>
      </c>
      <c r="H1595" s="2" t="n">
        <v>1</v>
      </c>
      <c r="I1595" s="2" t="n">
        <v>0</v>
      </c>
    </row>
    <row r="1596">
      <c r="A1596" s="2" t="n">
        <v>1594</v>
      </c>
      <c r="B1596" s="2" t="inlineStr">
        <is>
          <t>truncate</t>
        </is>
      </c>
      <c r="C1596" s="2" t="inlineStr">
        <is>
          <t>openssl TLS 1.2 only</t>
        </is>
      </c>
      <c r="D1596" s="2" t="n">
        <v>46</v>
      </c>
      <c r="E1596" s="2" t="n">
        <v>46</v>
      </c>
      <c r="F1596" s="2" t="n">
        <v>1</v>
      </c>
      <c r="G1596" s="2" t="n">
        <v>0</v>
      </c>
      <c r="H1596" s="2" t="n">
        <v>0</v>
      </c>
      <c r="I1596" s="2" t="n">
        <v>0</v>
      </c>
    </row>
    <row r="1597">
      <c r="A1597" s="2" t="n">
        <v>1595</v>
      </c>
      <c r="B1597" s="2" t="inlineStr">
        <is>
          <t>length</t>
        </is>
      </c>
      <c r="C1597" s="2" t="inlineStr">
        <is>
          <t>openssl 3.5.8 default</t>
        </is>
      </c>
      <c r="D1597" s="2" t="n">
        <v>1548</v>
      </c>
      <c r="E1597" s="2" t="n">
        <v>1548</v>
      </c>
      <c r="F1597" s="2" t="n">
        <v>0</v>
      </c>
      <c r="G1597" s="2" t="n">
        <v>0</v>
      </c>
      <c r="H1597" s="2" t="n">
        <v>0</v>
      </c>
      <c r="I1597" s="2" t="n">
        <v>0</v>
      </c>
    </row>
    <row r="1598">
      <c r="A1598" s="2" t="n">
        <v>1596</v>
      </c>
      <c r="B1598" s="2" t="inlineStr">
        <is>
          <t>insert</t>
        </is>
      </c>
      <c r="C1598" s="2" t="inlineStr">
        <is>
          <t>openssl TLS 1.2 only</t>
        </is>
      </c>
      <c r="D1598" s="2" t="n">
        <v>218</v>
      </c>
      <c r="E1598" s="2" t="n">
        <v>218</v>
      </c>
      <c r="F1598" s="2" t="n">
        <v>1</v>
      </c>
      <c r="G1598" s="2" t="n">
        <v>1</v>
      </c>
      <c r="H1598" s="2" t="n">
        <v>1</v>
      </c>
      <c r="I1598" s="2" t="n">
        <v>0</v>
      </c>
    </row>
    <row r="1599">
      <c r="A1599" s="2" t="n">
        <v>1597</v>
      </c>
      <c r="B1599" s="2" t="inlineStr">
        <is>
          <t>flip</t>
        </is>
      </c>
      <c r="C1599" s="2" t="inlineStr">
        <is>
          <t>browser firefox147</t>
        </is>
      </c>
      <c r="D1599" s="2" t="n">
        <v>1901</v>
      </c>
      <c r="E1599" s="2" t="n">
        <v>1901</v>
      </c>
      <c r="F1599" s="2" t="n">
        <v>1</v>
      </c>
      <c r="G1599" s="2" t="n">
        <v>1</v>
      </c>
      <c r="H1599" s="2" t="n">
        <v>0</v>
      </c>
      <c r="I1599" s="2" t="n">
        <v>0</v>
      </c>
    </row>
    <row r="1600">
      <c r="A1600" s="2" t="n">
        <v>1598</v>
      </c>
      <c r="B1600" s="2" t="inlineStr">
        <is>
          <t>truncate</t>
        </is>
      </c>
      <c r="C1600" s="2" t="inlineStr">
        <is>
          <t>browser firefox147</t>
        </is>
      </c>
      <c r="D1600" s="2" t="n">
        <v>1680</v>
      </c>
      <c r="E1600" s="2" t="n">
        <v>1680</v>
      </c>
      <c r="F1600" s="2" t="n">
        <v>1</v>
      </c>
      <c r="G1600" s="2" t="n">
        <v>1</v>
      </c>
      <c r="H1600" s="2" t="n">
        <v>0</v>
      </c>
      <c r="I1600" s="2" t="n">
        <v>0</v>
      </c>
    </row>
    <row r="1601">
      <c r="A1601" s="2" t="n">
        <v>1599</v>
      </c>
      <c r="B1601" s="2" t="inlineStr">
        <is>
          <t>length</t>
        </is>
      </c>
      <c r="C1601" s="2" t="inlineStr">
        <is>
          <t>browser chrome150</t>
        </is>
      </c>
      <c r="D1601" s="2" t="n">
        <v>1763</v>
      </c>
      <c r="E1601" s="2" t="n">
        <v>1763</v>
      </c>
      <c r="F1601" s="2" t="n">
        <v>1</v>
      </c>
      <c r="G1601" s="2" t="n">
        <v>1</v>
      </c>
      <c r="H1601" s="2" t="n">
        <v>1</v>
      </c>
      <c r="I1601" s="2" t="n">
        <v>0</v>
      </c>
    </row>
    <row r="1602">
      <c r="A1602" s="2" t="n">
        <v>1600</v>
      </c>
      <c r="B1602" s="2" t="inlineStr">
        <is>
          <t>insert</t>
        </is>
      </c>
      <c r="C1602" s="2" t="inlineStr">
        <is>
          <t>browser firefox147</t>
        </is>
      </c>
      <c r="D1602" s="2" t="n">
        <v>1903</v>
      </c>
      <c r="E1602" s="2" t="n">
        <v>1903</v>
      </c>
      <c r="F1602" s="2" t="n">
        <v>1</v>
      </c>
      <c r="G1602" s="2" t="n">
        <v>1</v>
      </c>
      <c r="H1602" s="2" t="n">
        <v>0</v>
      </c>
      <c r="I1602" s="2" t="n">
        <v>0</v>
      </c>
    </row>
    <row r="1603">
      <c r="A1603" s="2" t="n">
        <v>1601</v>
      </c>
      <c r="B1603" s="2" t="inlineStr">
        <is>
          <t>flip</t>
        </is>
      </c>
      <c r="C1603" s="2" t="inlineStr">
        <is>
          <t>openssl 3.5.8 default</t>
        </is>
      </c>
      <c r="D1603" s="2" t="n">
        <v>1548</v>
      </c>
      <c r="E1603" s="2" t="n">
        <v>1548</v>
      </c>
      <c r="F1603" s="2" t="n">
        <v>1</v>
      </c>
      <c r="G1603" s="2" t="n">
        <v>1</v>
      </c>
      <c r="H1603" s="2" t="n">
        <v>1</v>
      </c>
      <c r="I1603" s="2" t="n">
        <v>0</v>
      </c>
    </row>
    <row r="1604">
      <c r="A1604" s="2" t="n">
        <v>1602</v>
      </c>
      <c r="B1604" s="2" t="inlineStr">
        <is>
          <t>truncate</t>
        </is>
      </c>
      <c r="C1604" s="2" t="inlineStr">
        <is>
          <t>openssl 3.5.8 default</t>
        </is>
      </c>
      <c r="D1604" s="2" t="n">
        <v>882</v>
      </c>
      <c r="E1604" s="2" t="n">
        <v>882</v>
      </c>
      <c r="F1604" s="2" t="n">
        <v>1</v>
      </c>
      <c r="G1604" s="2" t="n">
        <v>1</v>
      </c>
      <c r="H1604" s="2" t="n">
        <v>1</v>
      </c>
      <c r="I1604" s="2" t="n">
        <v>0</v>
      </c>
    </row>
    <row r="1605">
      <c r="A1605" s="2" t="n">
        <v>1603</v>
      </c>
      <c r="B1605" s="2" t="inlineStr">
        <is>
          <t>length</t>
        </is>
      </c>
      <c r="C1605" s="2" t="inlineStr">
        <is>
          <t>openssl TLS 1.2 only</t>
        </is>
      </c>
      <c r="D1605" s="2" t="n">
        <v>215</v>
      </c>
      <c r="E1605" s="2" t="n">
        <v>215</v>
      </c>
      <c r="F1605" s="2" t="n">
        <v>1</v>
      </c>
      <c r="G1605" s="2" t="n">
        <v>0</v>
      </c>
      <c r="H1605" s="2" t="n">
        <v>0</v>
      </c>
      <c r="I1605" s="2" t="n">
        <v>0</v>
      </c>
    </row>
    <row r="1606">
      <c r="A1606" s="2" t="n">
        <v>1604</v>
      </c>
      <c r="B1606" s="2" t="inlineStr">
        <is>
          <t>insert</t>
        </is>
      </c>
      <c r="C1606" s="2" t="inlineStr">
        <is>
          <t>browser chrome150</t>
        </is>
      </c>
      <c r="D1606" s="2" t="n">
        <v>1771</v>
      </c>
      <c r="E1606" s="2" t="n">
        <v>1771</v>
      </c>
      <c r="F1606" s="2" t="n">
        <v>1</v>
      </c>
      <c r="G1606" s="2" t="n">
        <v>1</v>
      </c>
      <c r="H1606" s="2" t="n">
        <v>1</v>
      </c>
      <c r="I1606" s="2" t="n">
        <v>0</v>
      </c>
    </row>
    <row r="1607">
      <c r="A1607" s="2" t="n">
        <v>1605</v>
      </c>
      <c r="B1607" s="2" t="inlineStr">
        <is>
          <t>flip</t>
        </is>
      </c>
      <c r="C1607" s="2" t="inlineStr">
        <is>
          <t>browser firefox147</t>
        </is>
      </c>
      <c r="D1607" s="2" t="n">
        <v>1901</v>
      </c>
      <c r="E1607" s="2" t="n">
        <v>1901</v>
      </c>
      <c r="F1607" s="2" t="n">
        <v>1</v>
      </c>
      <c r="G1607" s="2" t="n">
        <v>1</v>
      </c>
      <c r="H1607" s="2" t="n">
        <v>0</v>
      </c>
      <c r="I1607" s="2" t="n">
        <v>0</v>
      </c>
    </row>
    <row r="1608">
      <c r="A1608" s="2" t="n">
        <v>1606</v>
      </c>
      <c r="B1608" s="2" t="inlineStr">
        <is>
          <t>truncate</t>
        </is>
      </c>
      <c r="C1608" s="2" t="inlineStr">
        <is>
          <t>openssl 3.5.8 default</t>
        </is>
      </c>
      <c r="D1608" s="2" t="n">
        <v>672</v>
      </c>
      <c r="E1608" s="2" t="n">
        <v>672</v>
      </c>
      <c r="F1608" s="2" t="n">
        <v>1</v>
      </c>
      <c r="G1608" s="2" t="n">
        <v>1</v>
      </c>
      <c r="H1608" s="2" t="n">
        <v>1</v>
      </c>
      <c r="I1608" s="2" t="n">
        <v>0</v>
      </c>
    </row>
    <row r="1609">
      <c r="A1609" s="2" t="n">
        <v>1607</v>
      </c>
      <c r="B1609" s="2" t="inlineStr">
        <is>
          <t>length</t>
        </is>
      </c>
      <c r="C1609" s="2" t="inlineStr">
        <is>
          <t>browser firefox147</t>
        </is>
      </c>
      <c r="D1609" s="2" t="n">
        <v>1901</v>
      </c>
      <c r="E1609" s="2" t="n">
        <v>1901</v>
      </c>
      <c r="F1609" s="2" t="n">
        <v>1</v>
      </c>
      <c r="G1609" s="2" t="n">
        <v>1</v>
      </c>
      <c r="H1609" s="2" t="n">
        <v>0</v>
      </c>
      <c r="I1609" s="2" t="n">
        <v>0</v>
      </c>
    </row>
    <row r="1610">
      <c r="A1610" s="2" t="n">
        <v>1608</v>
      </c>
      <c r="B1610" s="2" t="inlineStr">
        <is>
          <t>insert</t>
        </is>
      </c>
      <c r="C1610" s="2" t="inlineStr">
        <is>
          <t>browser firefox147</t>
        </is>
      </c>
      <c r="D1610" s="2" t="n">
        <v>1914</v>
      </c>
      <c r="E1610" s="2" t="n">
        <v>1914</v>
      </c>
      <c r="F1610" s="2" t="n">
        <v>1</v>
      </c>
      <c r="G1610" s="2" t="n">
        <v>1</v>
      </c>
      <c r="H1610" s="2" t="n">
        <v>0</v>
      </c>
      <c r="I1610" s="2" t="n">
        <v>0</v>
      </c>
    </row>
    <row r="1611">
      <c r="A1611" s="2" t="n">
        <v>1609</v>
      </c>
      <c r="B1611" s="2" t="inlineStr">
        <is>
          <t>flip</t>
        </is>
      </c>
      <c r="C1611" s="2" t="inlineStr">
        <is>
          <t>browser chrome150</t>
        </is>
      </c>
      <c r="D1611" s="2" t="n">
        <v>1763</v>
      </c>
      <c r="E1611" s="2" t="n">
        <v>1763</v>
      </c>
      <c r="F1611" s="2" t="n">
        <v>1</v>
      </c>
      <c r="G1611" s="2" t="n">
        <v>1</v>
      </c>
      <c r="H1611" s="2" t="n">
        <v>1</v>
      </c>
      <c r="I1611" s="2" t="n">
        <v>0</v>
      </c>
    </row>
    <row r="1612">
      <c r="A1612" s="2" t="n">
        <v>1610</v>
      </c>
      <c r="B1612" s="2" t="inlineStr">
        <is>
          <t>truncate</t>
        </is>
      </c>
      <c r="C1612" s="2" t="inlineStr">
        <is>
          <t>openssl X25519 only (classical)</t>
        </is>
      </c>
      <c r="D1612" s="2" t="n">
        <v>250</v>
      </c>
      <c r="E1612" s="2" t="n">
        <v>250</v>
      </c>
      <c r="F1612" s="2" t="n">
        <v>1</v>
      </c>
      <c r="G1612" s="2" t="n">
        <v>1</v>
      </c>
      <c r="H1612" s="2" t="n">
        <v>0</v>
      </c>
      <c r="I1612" s="2" t="n">
        <v>0</v>
      </c>
    </row>
    <row r="1613">
      <c r="A1613" s="2" t="n">
        <v>1611</v>
      </c>
      <c r="B1613" s="2" t="inlineStr">
        <is>
          <t>length</t>
        </is>
      </c>
      <c r="C1613" s="2" t="inlineStr">
        <is>
          <t>openssl TLS 1.2 only</t>
        </is>
      </c>
      <c r="D1613" s="2" t="n">
        <v>215</v>
      </c>
      <c r="E1613" s="2" t="n">
        <v>215</v>
      </c>
      <c r="F1613" s="2" t="n">
        <v>1</v>
      </c>
      <c r="G1613" s="2" t="n">
        <v>1</v>
      </c>
      <c r="H1613" s="2" t="n">
        <v>1</v>
      </c>
      <c r="I1613" s="2" t="n">
        <v>0</v>
      </c>
    </row>
    <row r="1614">
      <c r="A1614" s="2" t="n">
        <v>1612</v>
      </c>
      <c r="B1614" s="2" t="inlineStr">
        <is>
          <t>insert</t>
        </is>
      </c>
      <c r="C1614" s="2" t="inlineStr">
        <is>
          <t>openssl X25519 only (classical)</t>
        </is>
      </c>
      <c r="D1614" s="2" t="n">
        <v>330</v>
      </c>
      <c r="E1614" s="2" t="n">
        <v>330</v>
      </c>
      <c r="F1614" s="2" t="n">
        <v>1</v>
      </c>
      <c r="G1614" s="2" t="n">
        <v>0</v>
      </c>
      <c r="H1614" s="2" t="n">
        <v>0</v>
      </c>
      <c r="I1614" s="2" t="n">
        <v>0</v>
      </c>
    </row>
    <row r="1615">
      <c r="A1615" s="2" t="n">
        <v>1613</v>
      </c>
      <c r="B1615" s="2" t="inlineStr">
        <is>
          <t>flip</t>
        </is>
      </c>
      <c r="C1615" s="2" t="inlineStr">
        <is>
          <t>openssl X25519 only (classical)</t>
        </is>
      </c>
      <c r="D1615" s="2" t="n">
        <v>314</v>
      </c>
      <c r="E1615" s="2" t="n">
        <v>314</v>
      </c>
      <c r="F1615" s="2" t="n">
        <v>1</v>
      </c>
      <c r="G1615" s="2" t="n">
        <v>1</v>
      </c>
      <c r="H1615" s="2" t="n">
        <v>1</v>
      </c>
      <c r="I1615" s="2" t="n">
        <v>0</v>
      </c>
    </row>
    <row r="1616">
      <c r="A1616" s="2" t="n">
        <v>1614</v>
      </c>
      <c r="B1616" s="2" t="inlineStr">
        <is>
          <t>truncate</t>
        </is>
      </c>
      <c r="C1616" s="2" t="inlineStr">
        <is>
          <t>openssl TLS 1.2 only</t>
        </is>
      </c>
      <c r="D1616" s="2" t="n">
        <v>179</v>
      </c>
      <c r="E1616" s="2" t="n">
        <v>179</v>
      </c>
      <c r="F1616" s="2" t="n">
        <v>1</v>
      </c>
      <c r="G1616" s="2" t="n">
        <v>1</v>
      </c>
      <c r="H1616" s="2" t="n">
        <v>1</v>
      </c>
      <c r="I1616" s="2" t="n">
        <v>0</v>
      </c>
    </row>
    <row r="1617">
      <c r="A1617" s="2" t="n">
        <v>1615</v>
      </c>
      <c r="B1617" s="2" t="inlineStr">
        <is>
          <t>length</t>
        </is>
      </c>
      <c r="C1617" s="2" t="inlineStr">
        <is>
          <t>browser firefox147</t>
        </is>
      </c>
      <c r="D1617" s="2" t="n">
        <v>1901</v>
      </c>
      <c r="E1617" s="2" t="n">
        <v>1901</v>
      </c>
      <c r="F1617" s="2" t="n">
        <v>1</v>
      </c>
      <c r="G1617" s="2" t="n">
        <v>1</v>
      </c>
      <c r="H1617" s="2" t="n">
        <v>0</v>
      </c>
      <c r="I1617" s="2" t="n">
        <v>0</v>
      </c>
    </row>
    <row r="1618">
      <c r="A1618" s="2" t="n">
        <v>1616</v>
      </c>
      <c r="B1618" s="2" t="inlineStr">
        <is>
          <t>insert</t>
        </is>
      </c>
      <c r="C1618" s="2" t="inlineStr">
        <is>
          <t>openssl TLS 1.2 only</t>
        </is>
      </c>
      <c r="D1618" s="2" t="n">
        <v>227</v>
      </c>
      <c r="E1618" s="2" t="n">
        <v>227</v>
      </c>
      <c r="F1618" s="2" t="n">
        <v>1</v>
      </c>
      <c r="G1618" s="2" t="n">
        <v>1</v>
      </c>
      <c r="H1618" s="2" t="n">
        <v>0</v>
      </c>
      <c r="I1618" s="2" t="n">
        <v>0</v>
      </c>
    </row>
    <row r="1619">
      <c r="A1619" s="2" t="n">
        <v>1617</v>
      </c>
      <c r="B1619" s="2" t="inlineStr">
        <is>
          <t>flip</t>
        </is>
      </c>
      <c r="C1619" s="2" t="inlineStr">
        <is>
          <t>openssl X25519 only (classical)</t>
        </is>
      </c>
      <c r="D1619" s="2" t="n">
        <v>314</v>
      </c>
      <c r="E1619" s="2" t="n">
        <v>314</v>
      </c>
      <c r="F1619" s="2" t="n">
        <v>1</v>
      </c>
      <c r="G1619" s="2" t="n">
        <v>1</v>
      </c>
      <c r="H1619" s="2" t="n">
        <v>0</v>
      </c>
      <c r="I1619" s="2" t="n">
        <v>0</v>
      </c>
    </row>
    <row r="1620">
      <c r="A1620" s="2" t="n">
        <v>1618</v>
      </c>
      <c r="B1620" s="2" t="inlineStr">
        <is>
          <t>truncate</t>
        </is>
      </c>
      <c r="C1620" s="2" t="inlineStr">
        <is>
          <t>openssl X25519 only (classical)</t>
        </is>
      </c>
      <c r="D1620" s="2" t="n">
        <v>27</v>
      </c>
      <c r="E1620" s="2" t="n">
        <v>27</v>
      </c>
      <c r="F1620" s="2" t="n">
        <v>1</v>
      </c>
      <c r="G1620" s="2" t="n">
        <v>0</v>
      </c>
      <c r="H1620" s="2" t="n">
        <v>0</v>
      </c>
      <c r="I1620" s="2" t="n">
        <v>0</v>
      </c>
    </row>
    <row r="1621">
      <c r="A1621" s="2" t="n">
        <v>1619</v>
      </c>
      <c r="B1621" s="2" t="inlineStr">
        <is>
          <t>length</t>
        </is>
      </c>
      <c r="C1621" s="2" t="inlineStr">
        <is>
          <t>openssl X25519 only (classical)</t>
        </is>
      </c>
      <c r="D1621" s="2" t="n">
        <v>314</v>
      </c>
      <c r="E1621" s="2" t="n">
        <v>314</v>
      </c>
      <c r="F1621" s="2" t="n">
        <v>1</v>
      </c>
      <c r="G1621" s="2" t="n">
        <v>1</v>
      </c>
      <c r="H1621" s="2" t="n">
        <v>1</v>
      </c>
      <c r="I1621" s="2" t="n">
        <v>0</v>
      </c>
    </row>
    <row r="1622">
      <c r="A1622" s="2" t="n">
        <v>1620</v>
      </c>
      <c r="B1622" s="2" t="inlineStr">
        <is>
          <t>insert</t>
        </is>
      </c>
      <c r="C1622" s="2" t="inlineStr">
        <is>
          <t>browser firefox147</t>
        </is>
      </c>
      <c r="D1622" s="2" t="n">
        <v>1909</v>
      </c>
      <c r="E1622" s="2" t="n">
        <v>1909</v>
      </c>
      <c r="F1622" s="2" t="n">
        <v>1</v>
      </c>
      <c r="G1622" s="2" t="n">
        <v>1</v>
      </c>
      <c r="H1622" s="2" t="n">
        <v>0</v>
      </c>
      <c r="I1622" s="2" t="n">
        <v>0</v>
      </c>
    </row>
    <row r="1623">
      <c r="A1623" s="2" t="n">
        <v>1621</v>
      </c>
      <c r="B1623" s="2" t="inlineStr">
        <is>
          <t>flip</t>
        </is>
      </c>
      <c r="C1623" s="2" t="inlineStr">
        <is>
          <t>openssl X25519 only (classical)</t>
        </is>
      </c>
      <c r="D1623" s="2" t="n">
        <v>314</v>
      </c>
      <c r="E1623" s="2" t="n">
        <v>314</v>
      </c>
      <c r="F1623" s="2" t="n">
        <v>1</v>
      </c>
      <c r="G1623" s="2" t="n">
        <v>1</v>
      </c>
      <c r="H1623" s="2" t="n">
        <v>1</v>
      </c>
      <c r="I1623" s="2" t="n">
        <v>0</v>
      </c>
    </row>
    <row r="1624">
      <c r="A1624" s="2" t="n">
        <v>1622</v>
      </c>
      <c r="B1624" s="2" t="inlineStr">
        <is>
          <t>truncate</t>
        </is>
      </c>
      <c r="C1624" s="2" t="inlineStr">
        <is>
          <t>openssl X25519 only (classical)</t>
        </is>
      </c>
      <c r="D1624" s="2" t="n">
        <v>193</v>
      </c>
      <c r="E1624" s="2" t="n">
        <v>193</v>
      </c>
      <c r="F1624" s="2" t="n">
        <v>1</v>
      </c>
      <c r="G1624" s="2" t="n">
        <v>1</v>
      </c>
      <c r="H1624" s="2" t="n">
        <v>0</v>
      </c>
      <c r="I1624" s="2" t="n">
        <v>0</v>
      </c>
    </row>
    <row r="1625">
      <c r="A1625" s="2" t="n">
        <v>1623</v>
      </c>
      <c r="B1625" s="2" t="inlineStr">
        <is>
          <t>length</t>
        </is>
      </c>
      <c r="C1625" s="2" t="inlineStr">
        <is>
          <t>openssl X25519 only (classical)</t>
        </is>
      </c>
      <c r="D1625" s="2" t="n">
        <v>314</v>
      </c>
      <c r="E1625" s="2" t="n">
        <v>314</v>
      </c>
      <c r="F1625" s="2" t="n">
        <v>1</v>
      </c>
      <c r="G1625" s="2" t="n">
        <v>1</v>
      </c>
      <c r="H1625" s="2" t="n">
        <v>1</v>
      </c>
      <c r="I1625" s="2" t="n">
        <v>0</v>
      </c>
    </row>
    <row r="1626">
      <c r="A1626" s="2" t="n">
        <v>1624</v>
      </c>
      <c r="B1626" s="2" t="inlineStr">
        <is>
          <t>insert</t>
        </is>
      </c>
      <c r="C1626" s="2" t="inlineStr">
        <is>
          <t>openssl TLS 1.2 only</t>
        </is>
      </c>
      <c r="D1626" s="2" t="n">
        <v>226</v>
      </c>
      <c r="E1626" s="2" t="n">
        <v>226</v>
      </c>
      <c r="F1626" s="2" t="n">
        <v>1</v>
      </c>
      <c r="G1626" s="2" t="n">
        <v>0</v>
      </c>
      <c r="H1626" s="2" t="n">
        <v>0</v>
      </c>
      <c r="I1626" s="2" t="n">
        <v>0</v>
      </c>
    </row>
    <row r="1627">
      <c r="A1627" s="2" t="n">
        <v>1625</v>
      </c>
      <c r="B1627" s="2" t="inlineStr">
        <is>
          <t>flip</t>
        </is>
      </c>
      <c r="C1627" s="2" t="inlineStr">
        <is>
          <t>openssl TLS 1.2 only</t>
        </is>
      </c>
      <c r="D1627" s="2" t="n">
        <v>215</v>
      </c>
      <c r="E1627" s="2" t="n">
        <v>215</v>
      </c>
      <c r="F1627" s="2" t="n">
        <v>1</v>
      </c>
      <c r="G1627" s="2" t="n">
        <v>1</v>
      </c>
      <c r="H1627" s="2" t="n">
        <v>1</v>
      </c>
      <c r="I1627" s="2" t="n">
        <v>0</v>
      </c>
    </row>
    <row r="1628">
      <c r="A1628" s="2" t="n">
        <v>1626</v>
      </c>
      <c r="B1628" s="2" t="inlineStr">
        <is>
          <t>truncate</t>
        </is>
      </c>
      <c r="C1628" s="2" t="inlineStr">
        <is>
          <t>browser chrome150</t>
        </is>
      </c>
      <c r="D1628" s="2" t="n">
        <v>1569</v>
      </c>
      <c r="E1628" s="2" t="n">
        <v>1569</v>
      </c>
      <c r="F1628" s="2" t="n">
        <v>1</v>
      </c>
      <c r="G1628" s="2" t="n">
        <v>1</v>
      </c>
      <c r="H1628" s="2" t="n">
        <v>1</v>
      </c>
      <c r="I1628" s="2" t="n">
        <v>0</v>
      </c>
    </row>
    <row r="1629">
      <c r="A1629" s="2" t="n">
        <v>1627</v>
      </c>
      <c r="B1629" s="2" t="inlineStr">
        <is>
          <t>length</t>
        </is>
      </c>
      <c r="C1629" s="2" t="inlineStr">
        <is>
          <t>openssl 3.5.8 default</t>
        </is>
      </c>
      <c r="D1629" s="2" t="n">
        <v>1548</v>
      </c>
      <c r="E1629" s="2" t="n">
        <v>1548</v>
      </c>
      <c r="F1629" s="2" t="n">
        <v>0</v>
      </c>
      <c r="G1629" s="2" t="n">
        <v>0</v>
      </c>
      <c r="H1629" s="2" t="n">
        <v>0</v>
      </c>
      <c r="I1629" s="2" t="n">
        <v>0</v>
      </c>
    </row>
    <row r="1630">
      <c r="A1630" s="2" t="n">
        <v>1628</v>
      </c>
      <c r="B1630" s="2" t="inlineStr">
        <is>
          <t>insert</t>
        </is>
      </c>
      <c r="C1630" s="2" t="inlineStr">
        <is>
          <t>openssl X25519 only (classical)</t>
        </is>
      </c>
      <c r="D1630" s="2" t="n">
        <v>327</v>
      </c>
      <c r="E1630" s="2" t="n">
        <v>327</v>
      </c>
      <c r="F1630" s="2" t="n">
        <v>1</v>
      </c>
      <c r="G1630" s="2" t="n">
        <v>1</v>
      </c>
      <c r="H1630" s="2" t="n">
        <v>1</v>
      </c>
      <c r="I1630" s="2" t="n">
        <v>0</v>
      </c>
    </row>
    <row r="1631">
      <c r="A1631" s="2" t="n">
        <v>1629</v>
      </c>
      <c r="B1631" s="2" t="inlineStr">
        <is>
          <t>flip</t>
        </is>
      </c>
      <c r="C1631" s="2" t="inlineStr">
        <is>
          <t>browser firefox147</t>
        </is>
      </c>
      <c r="D1631" s="2" t="n">
        <v>1901</v>
      </c>
      <c r="E1631" s="2" t="n">
        <v>1901</v>
      </c>
      <c r="F1631" s="2" t="n">
        <v>1</v>
      </c>
      <c r="G1631" s="2" t="n">
        <v>1</v>
      </c>
      <c r="H1631" s="2" t="n">
        <v>0</v>
      </c>
      <c r="I1631" s="2" t="n">
        <v>0</v>
      </c>
    </row>
    <row r="1632">
      <c r="A1632" s="2" t="n">
        <v>1630</v>
      </c>
      <c r="B1632" s="2" t="inlineStr">
        <is>
          <t>truncate</t>
        </is>
      </c>
      <c r="C1632" s="2" t="inlineStr">
        <is>
          <t>browser chrome150</t>
        </is>
      </c>
      <c r="D1632" s="2" t="n">
        <v>444</v>
      </c>
      <c r="E1632" s="2" t="n">
        <v>444</v>
      </c>
      <c r="F1632" s="2" t="n">
        <v>1</v>
      </c>
      <c r="G1632" s="2" t="n">
        <v>1</v>
      </c>
      <c r="H1632" s="2" t="n">
        <v>1</v>
      </c>
      <c r="I1632" s="2" t="n">
        <v>0</v>
      </c>
    </row>
    <row r="1633">
      <c r="A1633" s="2" t="n">
        <v>1631</v>
      </c>
      <c r="B1633" s="2" t="inlineStr">
        <is>
          <t>length</t>
        </is>
      </c>
      <c r="C1633" s="2" t="inlineStr">
        <is>
          <t>openssl X25519 only (classical)</t>
        </is>
      </c>
      <c r="D1633" s="2" t="n">
        <v>314</v>
      </c>
      <c r="E1633" s="2" t="n">
        <v>314</v>
      </c>
      <c r="F1633" s="2" t="n">
        <v>0</v>
      </c>
      <c r="G1633" s="2" t="n">
        <v>0</v>
      </c>
      <c r="H1633" s="2" t="n">
        <v>0</v>
      </c>
      <c r="I1633" s="2" t="n">
        <v>0</v>
      </c>
    </row>
    <row r="1634">
      <c r="A1634" s="2" t="n">
        <v>1632</v>
      </c>
      <c r="B1634" s="2" t="inlineStr">
        <is>
          <t>insert</t>
        </is>
      </c>
      <c r="C1634" s="2" t="inlineStr">
        <is>
          <t>openssl X25519 only (classical)</t>
        </is>
      </c>
      <c r="D1634" s="2" t="n">
        <v>326</v>
      </c>
      <c r="E1634" s="2" t="n">
        <v>326</v>
      </c>
      <c r="F1634" s="2" t="n">
        <v>1</v>
      </c>
      <c r="G1634" s="2" t="n">
        <v>1</v>
      </c>
      <c r="H1634" s="2" t="n">
        <v>1</v>
      </c>
      <c r="I1634" s="2" t="n">
        <v>0</v>
      </c>
    </row>
    <row r="1635">
      <c r="A1635" s="2" t="n">
        <v>1633</v>
      </c>
      <c r="B1635" s="2" t="inlineStr">
        <is>
          <t>flip</t>
        </is>
      </c>
      <c r="C1635" s="2" t="inlineStr">
        <is>
          <t>browser firefox147</t>
        </is>
      </c>
      <c r="D1635" s="2" t="n">
        <v>1901</v>
      </c>
      <c r="E1635" s="2" t="n">
        <v>1901</v>
      </c>
      <c r="F1635" s="2" t="n">
        <v>1</v>
      </c>
      <c r="G1635" s="2" t="n">
        <v>1</v>
      </c>
      <c r="H1635" s="2" t="n">
        <v>0</v>
      </c>
      <c r="I1635" s="2" t="n">
        <v>0</v>
      </c>
    </row>
    <row r="1636">
      <c r="A1636" s="2" t="n">
        <v>1634</v>
      </c>
      <c r="B1636" s="2" t="inlineStr">
        <is>
          <t>truncate</t>
        </is>
      </c>
      <c r="C1636" s="2" t="inlineStr">
        <is>
          <t>browser firefox147</t>
        </is>
      </c>
      <c r="D1636" s="2" t="n">
        <v>1161</v>
      </c>
      <c r="E1636" s="2" t="n">
        <v>1161</v>
      </c>
      <c r="F1636" s="2" t="n">
        <v>1</v>
      </c>
      <c r="G1636" s="2" t="n">
        <v>1</v>
      </c>
      <c r="H1636" s="2" t="n">
        <v>0</v>
      </c>
      <c r="I1636" s="2" t="n">
        <v>0</v>
      </c>
    </row>
    <row r="1637">
      <c r="A1637" s="2" t="n">
        <v>1635</v>
      </c>
      <c r="B1637" s="2" t="inlineStr">
        <is>
          <t>length</t>
        </is>
      </c>
      <c r="C1637" s="2" t="inlineStr">
        <is>
          <t>browser chrome150</t>
        </is>
      </c>
      <c r="D1637" s="2" t="n">
        <v>1763</v>
      </c>
      <c r="E1637" s="2" t="n">
        <v>1763</v>
      </c>
      <c r="F1637" s="2" t="n">
        <v>1</v>
      </c>
      <c r="G1637" s="2" t="n">
        <v>1</v>
      </c>
      <c r="H1637" s="2" t="n">
        <v>1</v>
      </c>
      <c r="I1637" s="2" t="n">
        <v>0</v>
      </c>
    </row>
    <row r="1638">
      <c r="A1638" s="2" t="n">
        <v>1636</v>
      </c>
      <c r="B1638" s="2" t="inlineStr">
        <is>
          <t>insert</t>
        </is>
      </c>
      <c r="C1638" s="2" t="inlineStr">
        <is>
          <t>openssl 3.5.8 default</t>
        </is>
      </c>
      <c r="D1638" s="2" t="n">
        <v>1563</v>
      </c>
      <c r="E1638" s="2" t="n">
        <v>1563</v>
      </c>
      <c r="F1638" s="2" t="n">
        <v>1</v>
      </c>
      <c r="G1638" s="2" t="n">
        <v>1</v>
      </c>
      <c r="H1638" s="2" t="n">
        <v>1</v>
      </c>
      <c r="I1638" s="2" t="n">
        <v>0</v>
      </c>
    </row>
    <row r="1639">
      <c r="A1639" s="2" t="n">
        <v>1637</v>
      </c>
      <c r="B1639" s="2" t="inlineStr">
        <is>
          <t>flip</t>
        </is>
      </c>
      <c r="C1639" s="2" t="inlineStr">
        <is>
          <t>openssl X25519 only (classical)</t>
        </is>
      </c>
      <c r="D1639" s="2" t="n">
        <v>314</v>
      </c>
      <c r="E1639" s="2" t="n">
        <v>314</v>
      </c>
      <c r="F1639" s="2" t="n">
        <v>1</v>
      </c>
      <c r="G1639" s="2" t="n">
        <v>1</v>
      </c>
      <c r="H1639" s="2" t="n">
        <v>0</v>
      </c>
      <c r="I1639" s="2" t="n">
        <v>0</v>
      </c>
    </row>
    <row r="1640">
      <c r="A1640" s="2" t="n">
        <v>1638</v>
      </c>
      <c r="B1640" s="2" t="inlineStr">
        <is>
          <t>truncate</t>
        </is>
      </c>
      <c r="C1640" s="2" t="inlineStr">
        <is>
          <t>browser firefox147</t>
        </is>
      </c>
      <c r="D1640" s="2" t="n">
        <v>1401</v>
      </c>
      <c r="E1640" s="2" t="n">
        <v>1401</v>
      </c>
      <c r="F1640" s="2" t="n">
        <v>1</v>
      </c>
      <c r="G1640" s="2" t="n">
        <v>1</v>
      </c>
      <c r="H1640" s="2" t="n">
        <v>0</v>
      </c>
      <c r="I1640" s="2" t="n">
        <v>0</v>
      </c>
    </row>
    <row r="1641">
      <c r="A1641" s="2" t="n">
        <v>1639</v>
      </c>
      <c r="B1641" s="2" t="inlineStr">
        <is>
          <t>length</t>
        </is>
      </c>
      <c r="C1641" s="2" t="inlineStr">
        <is>
          <t>openssl 3.5.8 default</t>
        </is>
      </c>
      <c r="D1641" s="2" t="n">
        <v>1548</v>
      </c>
      <c r="E1641" s="2" t="n">
        <v>1548</v>
      </c>
      <c r="F1641" s="2" t="n">
        <v>1</v>
      </c>
      <c r="G1641" s="2" t="n">
        <v>1</v>
      </c>
      <c r="H1641" s="2" t="n">
        <v>1</v>
      </c>
      <c r="I1641" s="2" t="n">
        <v>0</v>
      </c>
    </row>
    <row r="1642">
      <c r="A1642" s="2" t="n">
        <v>1640</v>
      </c>
      <c r="B1642" s="2" t="inlineStr">
        <is>
          <t>insert</t>
        </is>
      </c>
      <c r="C1642" s="2" t="inlineStr">
        <is>
          <t>openssl X25519 only (classical)</t>
        </is>
      </c>
      <c r="D1642" s="2" t="n">
        <v>326</v>
      </c>
      <c r="E1642" s="2" t="n">
        <v>326</v>
      </c>
      <c r="F1642" s="2" t="n">
        <v>1</v>
      </c>
      <c r="G1642" s="2" t="n">
        <v>1</v>
      </c>
      <c r="H1642" s="2" t="n">
        <v>1</v>
      </c>
      <c r="I1642" s="2" t="n">
        <v>0</v>
      </c>
    </row>
    <row r="1643">
      <c r="A1643" s="2" t="n">
        <v>1641</v>
      </c>
      <c r="B1643" s="2" t="inlineStr">
        <is>
          <t>flip</t>
        </is>
      </c>
      <c r="C1643" s="2" t="inlineStr">
        <is>
          <t>openssl 3.5.8 default</t>
        </is>
      </c>
      <c r="D1643" s="2" t="n">
        <v>1548</v>
      </c>
      <c r="E1643" s="2" t="n">
        <v>1548</v>
      </c>
      <c r="F1643" s="2" t="n">
        <v>1</v>
      </c>
      <c r="G1643" s="2" t="n">
        <v>1</v>
      </c>
      <c r="H1643" s="2" t="n">
        <v>1</v>
      </c>
      <c r="I1643" s="2" t="n">
        <v>0</v>
      </c>
    </row>
    <row r="1644">
      <c r="A1644" s="2" t="n">
        <v>1642</v>
      </c>
      <c r="B1644" s="2" t="inlineStr">
        <is>
          <t>truncate</t>
        </is>
      </c>
      <c r="C1644" s="2" t="inlineStr">
        <is>
          <t>openssl 3.5.8 default</t>
        </is>
      </c>
      <c r="D1644" s="2" t="n">
        <v>265</v>
      </c>
      <c r="E1644" s="2" t="n">
        <v>265</v>
      </c>
      <c r="F1644" s="2" t="n">
        <v>1</v>
      </c>
      <c r="G1644" s="2" t="n">
        <v>1</v>
      </c>
      <c r="H1644" s="2" t="n">
        <v>0</v>
      </c>
      <c r="I1644" s="2" t="n">
        <v>0</v>
      </c>
    </row>
    <row r="1645">
      <c r="A1645" s="2" t="n">
        <v>1643</v>
      </c>
      <c r="B1645" s="2" t="inlineStr">
        <is>
          <t>length</t>
        </is>
      </c>
      <c r="C1645" s="2" t="inlineStr">
        <is>
          <t>openssl X25519 only (classical)</t>
        </is>
      </c>
      <c r="D1645" s="2" t="n">
        <v>314</v>
      </c>
      <c r="E1645" s="2" t="n">
        <v>314</v>
      </c>
      <c r="F1645" s="2" t="n">
        <v>1</v>
      </c>
      <c r="G1645" s="2" t="n">
        <v>0</v>
      </c>
      <c r="H1645" s="2" t="n">
        <v>0</v>
      </c>
      <c r="I1645" s="2" t="n">
        <v>0</v>
      </c>
    </row>
    <row r="1646">
      <c r="A1646" s="2" t="n">
        <v>1644</v>
      </c>
      <c r="B1646" s="2" t="inlineStr">
        <is>
          <t>insert</t>
        </is>
      </c>
      <c r="C1646" s="2" t="inlineStr">
        <is>
          <t>openssl 3.5.8 default</t>
        </is>
      </c>
      <c r="D1646" s="2" t="n">
        <v>1556</v>
      </c>
      <c r="E1646" s="2" t="n">
        <v>1556</v>
      </c>
      <c r="F1646" s="2" t="n">
        <v>1</v>
      </c>
      <c r="G1646" s="2" t="n">
        <v>1</v>
      </c>
      <c r="H1646" s="2" t="n">
        <v>1</v>
      </c>
      <c r="I1646" s="2" t="n">
        <v>0</v>
      </c>
    </row>
    <row r="1647">
      <c r="A1647" s="2" t="n">
        <v>1645</v>
      </c>
      <c r="B1647" s="2" t="inlineStr">
        <is>
          <t>flip</t>
        </is>
      </c>
      <c r="C1647" s="2" t="inlineStr">
        <is>
          <t>openssl TLS 1.2 only</t>
        </is>
      </c>
      <c r="D1647" s="2" t="n">
        <v>215</v>
      </c>
      <c r="E1647" s="2" t="n">
        <v>215</v>
      </c>
      <c r="F1647" s="2" t="n">
        <v>1</v>
      </c>
      <c r="G1647" s="2" t="n">
        <v>1</v>
      </c>
      <c r="H1647" s="2" t="n">
        <v>1</v>
      </c>
      <c r="I1647" s="2" t="n">
        <v>0</v>
      </c>
    </row>
    <row r="1648">
      <c r="A1648" s="2" t="n">
        <v>1646</v>
      </c>
      <c r="B1648" s="2" t="inlineStr">
        <is>
          <t>truncate</t>
        </is>
      </c>
      <c r="C1648" s="2" t="inlineStr">
        <is>
          <t>openssl TLS 1.2 only</t>
        </is>
      </c>
      <c r="D1648" s="2" t="n">
        <v>2</v>
      </c>
      <c r="E1648" s="2" t="n">
        <v>2</v>
      </c>
      <c r="F1648" s="2" t="n">
        <v>0</v>
      </c>
      <c r="G1648" s="2" t="n">
        <v>0</v>
      </c>
      <c r="H1648" s="2" t="n">
        <v>0</v>
      </c>
      <c r="I1648" s="2" t="n">
        <v>0</v>
      </c>
    </row>
    <row r="1649">
      <c r="A1649" s="2" t="n">
        <v>1647</v>
      </c>
      <c r="B1649" s="2" t="inlineStr">
        <is>
          <t>length</t>
        </is>
      </c>
      <c r="C1649" s="2" t="inlineStr">
        <is>
          <t>browser firefox147</t>
        </is>
      </c>
      <c r="D1649" s="2" t="n">
        <v>1901</v>
      </c>
      <c r="E1649" s="2" t="n">
        <v>1901</v>
      </c>
      <c r="F1649" s="2" t="n">
        <v>1</v>
      </c>
      <c r="G1649" s="2" t="n">
        <v>1</v>
      </c>
      <c r="H1649" s="2" t="n">
        <v>1</v>
      </c>
      <c r="I1649" s="2" t="n">
        <v>0</v>
      </c>
    </row>
    <row r="1650">
      <c r="A1650" s="2" t="n">
        <v>1648</v>
      </c>
      <c r="B1650" s="2" t="inlineStr">
        <is>
          <t>insert</t>
        </is>
      </c>
      <c r="C1650" s="2" t="inlineStr">
        <is>
          <t>openssl X25519 only (classical)</t>
        </is>
      </c>
      <c r="D1650" s="2" t="n">
        <v>325</v>
      </c>
      <c r="E1650" s="2" t="n">
        <v>325</v>
      </c>
      <c r="F1650" s="2" t="n">
        <v>1</v>
      </c>
      <c r="G1650" s="2" t="n">
        <v>1</v>
      </c>
      <c r="H1650" s="2" t="n">
        <v>1</v>
      </c>
      <c r="I1650" s="2" t="n">
        <v>0</v>
      </c>
    </row>
    <row r="1651">
      <c r="A1651" s="2" t="n">
        <v>1649</v>
      </c>
      <c r="B1651" s="2" t="inlineStr">
        <is>
          <t>flip</t>
        </is>
      </c>
      <c r="C1651" s="2" t="inlineStr">
        <is>
          <t>browser firefox147</t>
        </is>
      </c>
      <c r="D1651" s="2" t="n">
        <v>1901</v>
      </c>
      <c r="E1651" s="2" t="n">
        <v>1901</v>
      </c>
      <c r="F1651" s="2" t="n">
        <v>1</v>
      </c>
      <c r="G1651" s="2" t="n">
        <v>1</v>
      </c>
      <c r="H1651" s="2" t="n">
        <v>0</v>
      </c>
      <c r="I1651" s="2" t="n">
        <v>0</v>
      </c>
    </row>
    <row r="1652">
      <c r="A1652" s="2" t="n">
        <v>1650</v>
      </c>
      <c r="B1652" s="2" t="inlineStr">
        <is>
          <t>truncate</t>
        </is>
      </c>
      <c r="C1652" s="2" t="inlineStr">
        <is>
          <t>openssl TLS 1.2 only</t>
        </is>
      </c>
      <c r="D1652" s="2" t="n">
        <v>130</v>
      </c>
      <c r="E1652" s="2" t="n">
        <v>130</v>
      </c>
      <c r="F1652" s="2" t="n">
        <v>1</v>
      </c>
      <c r="G1652" s="2" t="n">
        <v>1</v>
      </c>
      <c r="H1652" s="2" t="n">
        <v>0</v>
      </c>
      <c r="I1652" s="2" t="n">
        <v>0</v>
      </c>
    </row>
    <row r="1653">
      <c r="A1653" s="2" t="n">
        <v>1651</v>
      </c>
      <c r="B1653" s="2" t="inlineStr">
        <is>
          <t>length</t>
        </is>
      </c>
      <c r="C1653" s="2" t="inlineStr">
        <is>
          <t>browser firefox147</t>
        </is>
      </c>
      <c r="D1653" s="2" t="n">
        <v>1901</v>
      </c>
      <c r="E1653" s="2" t="n">
        <v>1901</v>
      </c>
      <c r="F1653" s="2" t="n">
        <v>0</v>
      </c>
      <c r="G1653" s="2" t="n">
        <v>0</v>
      </c>
      <c r="H1653" s="2" t="n">
        <v>0</v>
      </c>
      <c r="I1653" s="2" t="n">
        <v>0</v>
      </c>
    </row>
    <row r="1654">
      <c r="A1654" s="2" t="n">
        <v>1652</v>
      </c>
      <c r="B1654" s="2" t="inlineStr">
        <is>
          <t>insert</t>
        </is>
      </c>
      <c r="C1654" s="2" t="inlineStr">
        <is>
          <t>openssl X25519 only (classical)</t>
        </is>
      </c>
      <c r="D1654" s="2" t="n">
        <v>328</v>
      </c>
      <c r="E1654" s="2" t="n">
        <v>328</v>
      </c>
      <c r="F1654" s="2" t="n">
        <v>1</v>
      </c>
      <c r="G1654" s="2" t="n">
        <v>1</v>
      </c>
      <c r="H1654" s="2" t="n">
        <v>1</v>
      </c>
      <c r="I1654" s="2" t="n">
        <v>0</v>
      </c>
    </row>
    <row r="1655">
      <c r="A1655" s="2" t="n">
        <v>1653</v>
      </c>
      <c r="B1655" s="2" t="inlineStr">
        <is>
          <t>flip</t>
        </is>
      </c>
      <c r="C1655" s="2" t="inlineStr">
        <is>
          <t>browser firefox147</t>
        </is>
      </c>
      <c r="D1655" s="2" t="n">
        <v>1901</v>
      </c>
      <c r="E1655" s="2" t="n">
        <v>1901</v>
      </c>
      <c r="F1655" s="2" t="n">
        <v>1</v>
      </c>
      <c r="G1655" s="2" t="n">
        <v>1</v>
      </c>
      <c r="H1655" s="2" t="n">
        <v>0</v>
      </c>
      <c r="I1655" s="2" t="n">
        <v>0</v>
      </c>
    </row>
    <row r="1656">
      <c r="A1656" s="2" t="n">
        <v>1654</v>
      </c>
      <c r="B1656" s="2" t="inlineStr">
        <is>
          <t>truncate</t>
        </is>
      </c>
      <c r="C1656" s="2" t="inlineStr">
        <is>
          <t>browser firefox147</t>
        </is>
      </c>
      <c r="D1656" s="2" t="n">
        <v>1161</v>
      </c>
      <c r="E1656" s="2" t="n">
        <v>1161</v>
      </c>
      <c r="F1656" s="2" t="n">
        <v>1</v>
      </c>
      <c r="G1656" s="2" t="n">
        <v>1</v>
      </c>
      <c r="H1656" s="2" t="n">
        <v>0</v>
      </c>
      <c r="I1656" s="2" t="n">
        <v>0</v>
      </c>
    </row>
    <row r="1657">
      <c r="A1657" s="2" t="n">
        <v>1655</v>
      </c>
      <c r="B1657" s="2" t="inlineStr">
        <is>
          <t>length</t>
        </is>
      </c>
      <c r="C1657" s="2" t="inlineStr">
        <is>
          <t>browser chrome150</t>
        </is>
      </c>
      <c r="D1657" s="2" t="n">
        <v>1763</v>
      </c>
      <c r="E1657" s="2" t="n">
        <v>1763</v>
      </c>
      <c r="F1657" s="2" t="n">
        <v>1</v>
      </c>
      <c r="G1657" s="2" t="n">
        <v>1</v>
      </c>
      <c r="H1657" s="2" t="n">
        <v>1</v>
      </c>
      <c r="I1657" s="2" t="n">
        <v>0</v>
      </c>
    </row>
    <row r="1658">
      <c r="A1658" s="2" t="n">
        <v>1656</v>
      </c>
      <c r="B1658" s="2" t="inlineStr">
        <is>
          <t>insert</t>
        </is>
      </c>
      <c r="C1658" s="2" t="inlineStr">
        <is>
          <t>openssl TLS 1.2 only</t>
        </is>
      </c>
      <c r="D1658" s="2" t="n">
        <v>229</v>
      </c>
      <c r="E1658" s="2" t="n">
        <v>229</v>
      </c>
      <c r="F1658" s="2" t="n">
        <v>1</v>
      </c>
      <c r="G1658" s="2" t="n">
        <v>1</v>
      </c>
      <c r="H1658" s="2" t="n">
        <v>1</v>
      </c>
      <c r="I1658" s="2" t="n">
        <v>0</v>
      </c>
    </row>
    <row r="1659">
      <c r="A1659" s="2" t="n">
        <v>1657</v>
      </c>
      <c r="B1659" s="2" t="inlineStr">
        <is>
          <t>flip</t>
        </is>
      </c>
      <c r="C1659" s="2" t="inlineStr">
        <is>
          <t>openssl X25519 only (classical)</t>
        </is>
      </c>
      <c r="D1659" s="2" t="n">
        <v>314</v>
      </c>
      <c r="E1659" s="2" t="n">
        <v>314</v>
      </c>
      <c r="F1659" s="2" t="n">
        <v>1</v>
      </c>
      <c r="G1659" s="2" t="n">
        <v>1</v>
      </c>
      <c r="H1659" s="2" t="n">
        <v>1</v>
      </c>
      <c r="I1659" s="2" t="n">
        <v>0</v>
      </c>
    </row>
    <row r="1660">
      <c r="A1660" s="2" t="n">
        <v>1658</v>
      </c>
      <c r="B1660" s="2" t="inlineStr">
        <is>
          <t>truncate</t>
        </is>
      </c>
      <c r="C1660" s="2" t="inlineStr">
        <is>
          <t>browser chrome150</t>
        </is>
      </c>
      <c r="D1660" s="2" t="n">
        <v>1554</v>
      </c>
      <c r="E1660" s="2" t="n">
        <v>1554</v>
      </c>
      <c r="F1660" s="2" t="n">
        <v>1</v>
      </c>
      <c r="G1660" s="2" t="n">
        <v>1</v>
      </c>
      <c r="H1660" s="2" t="n">
        <v>1</v>
      </c>
      <c r="I1660" s="2" t="n">
        <v>0</v>
      </c>
    </row>
    <row r="1661">
      <c r="A1661" s="2" t="n">
        <v>1659</v>
      </c>
      <c r="B1661" s="2" t="inlineStr">
        <is>
          <t>length</t>
        </is>
      </c>
      <c r="C1661" s="2" t="inlineStr">
        <is>
          <t>openssl TLS 1.2 only</t>
        </is>
      </c>
      <c r="D1661" s="2" t="n">
        <v>215</v>
      </c>
      <c r="E1661" s="2" t="n">
        <v>215</v>
      </c>
      <c r="F1661" s="2" t="n">
        <v>0</v>
      </c>
      <c r="G1661" s="2" t="n">
        <v>0</v>
      </c>
      <c r="H1661" s="2" t="n">
        <v>0</v>
      </c>
      <c r="I1661" s="2" t="n">
        <v>0</v>
      </c>
    </row>
    <row r="1662">
      <c r="A1662" s="2" t="n">
        <v>1660</v>
      </c>
      <c r="B1662" s="2" t="inlineStr">
        <is>
          <t>insert</t>
        </is>
      </c>
      <c r="C1662" s="2" t="inlineStr">
        <is>
          <t>openssl X25519 only (classical)</t>
        </is>
      </c>
      <c r="D1662" s="2" t="n">
        <v>329</v>
      </c>
      <c r="E1662" s="2" t="n">
        <v>329</v>
      </c>
      <c r="F1662" s="2" t="n">
        <v>1</v>
      </c>
      <c r="G1662" s="2" t="n">
        <v>1</v>
      </c>
      <c r="H1662" s="2" t="n">
        <v>1</v>
      </c>
      <c r="I1662" s="2" t="n">
        <v>0</v>
      </c>
    </row>
    <row r="1663">
      <c r="A1663" s="2" t="n">
        <v>1661</v>
      </c>
      <c r="B1663" s="2" t="inlineStr">
        <is>
          <t>flip</t>
        </is>
      </c>
      <c r="C1663" s="2" t="inlineStr">
        <is>
          <t>openssl X25519 only (classical)</t>
        </is>
      </c>
      <c r="D1663" s="2" t="n">
        <v>314</v>
      </c>
      <c r="E1663" s="2" t="n">
        <v>314</v>
      </c>
      <c r="F1663" s="2" t="n">
        <v>1</v>
      </c>
      <c r="G1663" s="2" t="n">
        <v>1</v>
      </c>
      <c r="H1663" s="2" t="n">
        <v>1</v>
      </c>
      <c r="I1663" s="2" t="n">
        <v>0</v>
      </c>
    </row>
    <row r="1664">
      <c r="A1664" s="2" t="n">
        <v>1662</v>
      </c>
      <c r="B1664" s="2" t="inlineStr">
        <is>
          <t>truncate</t>
        </is>
      </c>
      <c r="C1664" s="2" t="inlineStr">
        <is>
          <t>openssl X25519 only (classical)</t>
        </is>
      </c>
      <c r="D1664" s="2" t="n">
        <v>8</v>
      </c>
      <c r="E1664" s="2" t="n">
        <v>8</v>
      </c>
      <c r="F1664" s="2" t="n">
        <v>1</v>
      </c>
      <c r="G1664" s="2" t="n">
        <v>0</v>
      </c>
      <c r="H1664" s="2" t="n">
        <v>0</v>
      </c>
      <c r="I1664" s="2" t="n">
        <v>0</v>
      </c>
    </row>
    <row r="1665">
      <c r="A1665" s="2" t="n">
        <v>1663</v>
      </c>
      <c r="B1665" s="2" t="inlineStr">
        <is>
          <t>length</t>
        </is>
      </c>
      <c r="C1665" s="2" t="inlineStr">
        <is>
          <t>browser chrome150</t>
        </is>
      </c>
      <c r="D1665" s="2" t="n">
        <v>1763</v>
      </c>
      <c r="E1665" s="2" t="n">
        <v>1763</v>
      </c>
      <c r="F1665" s="2" t="n">
        <v>1</v>
      </c>
      <c r="G1665" s="2" t="n">
        <v>0</v>
      </c>
      <c r="H1665" s="2" t="n">
        <v>0</v>
      </c>
      <c r="I1665" s="2" t="n">
        <v>0</v>
      </c>
    </row>
    <row r="1666">
      <c r="A1666" s="2" t="n">
        <v>1664</v>
      </c>
      <c r="B1666" s="2" t="inlineStr">
        <is>
          <t>insert</t>
        </is>
      </c>
      <c r="C1666" s="2" t="inlineStr">
        <is>
          <t>openssl TLS 1.2 only</t>
        </is>
      </c>
      <c r="D1666" s="2" t="n">
        <v>218</v>
      </c>
      <c r="E1666" s="2" t="n">
        <v>218</v>
      </c>
      <c r="F1666" s="2" t="n">
        <v>1</v>
      </c>
      <c r="G1666" s="2" t="n">
        <v>0</v>
      </c>
      <c r="H1666" s="2" t="n">
        <v>0</v>
      </c>
      <c r="I1666" s="2" t="n">
        <v>0</v>
      </c>
    </row>
    <row r="1667">
      <c r="A1667" s="2" t="n">
        <v>1665</v>
      </c>
      <c r="B1667" s="2" t="inlineStr">
        <is>
          <t>flip</t>
        </is>
      </c>
      <c r="C1667" s="2" t="inlineStr">
        <is>
          <t>openssl 3.5.8 default</t>
        </is>
      </c>
      <c r="D1667" s="2" t="n">
        <v>1548</v>
      </c>
      <c r="E1667" s="2" t="n">
        <v>1548</v>
      </c>
      <c r="F1667" s="2" t="n">
        <v>1</v>
      </c>
      <c r="G1667" s="2" t="n">
        <v>1</v>
      </c>
      <c r="H1667" s="2" t="n">
        <v>1</v>
      </c>
      <c r="I1667" s="2" t="n">
        <v>0</v>
      </c>
    </row>
    <row r="1668">
      <c r="A1668" s="2" t="n">
        <v>1666</v>
      </c>
      <c r="B1668" s="2" t="inlineStr">
        <is>
          <t>truncate</t>
        </is>
      </c>
      <c r="C1668" s="2" t="inlineStr">
        <is>
          <t>openssl TLS 1.2 only</t>
        </is>
      </c>
      <c r="D1668" s="2" t="n">
        <v>112</v>
      </c>
      <c r="E1668" s="2" t="n">
        <v>112</v>
      </c>
      <c r="F1668" s="2" t="n">
        <v>1</v>
      </c>
      <c r="G1668" s="2" t="n">
        <v>1</v>
      </c>
      <c r="H1668" s="2" t="n">
        <v>0</v>
      </c>
      <c r="I1668" s="2" t="n">
        <v>0</v>
      </c>
    </row>
    <row r="1669">
      <c r="A1669" s="2" t="n">
        <v>1667</v>
      </c>
      <c r="B1669" s="2" t="inlineStr">
        <is>
          <t>length</t>
        </is>
      </c>
      <c r="C1669" s="2" t="inlineStr">
        <is>
          <t>openssl TLS 1.2 only</t>
        </is>
      </c>
      <c r="D1669" s="2" t="n">
        <v>215</v>
      </c>
      <c r="E1669" s="2" t="n">
        <v>215</v>
      </c>
      <c r="F1669" s="2" t="n">
        <v>1</v>
      </c>
      <c r="G1669" s="2" t="n">
        <v>1</v>
      </c>
      <c r="H1669" s="2" t="n">
        <v>1</v>
      </c>
      <c r="I1669" s="2" t="n">
        <v>0</v>
      </c>
    </row>
    <row r="1670">
      <c r="A1670" s="2" t="n">
        <v>1668</v>
      </c>
      <c r="B1670" s="2" t="inlineStr">
        <is>
          <t>insert</t>
        </is>
      </c>
      <c r="C1670" s="2" t="inlineStr">
        <is>
          <t>browser firefox147</t>
        </is>
      </c>
      <c r="D1670" s="2" t="n">
        <v>1907</v>
      </c>
      <c r="E1670" s="2" t="n">
        <v>1907</v>
      </c>
      <c r="F1670" s="2" t="n">
        <v>1</v>
      </c>
      <c r="G1670" s="2" t="n">
        <v>1</v>
      </c>
      <c r="H1670" s="2" t="n">
        <v>0</v>
      </c>
      <c r="I1670" s="2" t="n">
        <v>0</v>
      </c>
    </row>
    <row r="1671">
      <c r="A1671" s="2" t="n">
        <v>1669</v>
      </c>
      <c r="B1671" s="2" t="inlineStr">
        <is>
          <t>flip</t>
        </is>
      </c>
      <c r="C1671" s="2" t="inlineStr">
        <is>
          <t>browser chrome150</t>
        </is>
      </c>
      <c r="D1671" s="2" t="n">
        <v>1763</v>
      </c>
      <c r="E1671" s="2" t="n">
        <v>1763</v>
      </c>
      <c r="F1671" s="2" t="n">
        <v>1</v>
      </c>
      <c r="G1671" s="2" t="n">
        <v>1</v>
      </c>
      <c r="H1671" s="2" t="n">
        <v>1</v>
      </c>
      <c r="I1671" s="2" t="n">
        <v>0</v>
      </c>
    </row>
    <row r="1672">
      <c r="A1672" s="2" t="n">
        <v>1670</v>
      </c>
      <c r="B1672" s="2" t="inlineStr">
        <is>
          <t>truncate</t>
        </is>
      </c>
      <c r="C1672" s="2" t="inlineStr">
        <is>
          <t>browser firefox147</t>
        </is>
      </c>
      <c r="D1672" s="2" t="n">
        <v>664</v>
      </c>
      <c r="E1672" s="2" t="n">
        <v>664</v>
      </c>
      <c r="F1672" s="2" t="n">
        <v>1</v>
      </c>
      <c r="G1672" s="2" t="n">
        <v>1</v>
      </c>
      <c r="H1672" s="2" t="n">
        <v>0</v>
      </c>
      <c r="I1672" s="2" t="n">
        <v>0</v>
      </c>
    </row>
    <row r="1673">
      <c r="A1673" s="2" t="n">
        <v>1671</v>
      </c>
      <c r="B1673" s="2" t="inlineStr">
        <is>
          <t>length</t>
        </is>
      </c>
      <c r="C1673" s="2" t="inlineStr">
        <is>
          <t>openssl 3.5.8 default</t>
        </is>
      </c>
      <c r="D1673" s="2" t="n">
        <v>1548</v>
      </c>
      <c r="E1673" s="2" t="n">
        <v>1548</v>
      </c>
      <c r="F1673" s="2" t="n">
        <v>1</v>
      </c>
      <c r="G1673" s="2" t="n">
        <v>0</v>
      </c>
      <c r="H1673" s="2" t="n">
        <v>0</v>
      </c>
      <c r="I1673" s="2" t="n">
        <v>0</v>
      </c>
    </row>
    <row r="1674">
      <c r="A1674" s="2" t="n">
        <v>1672</v>
      </c>
      <c r="B1674" s="2" t="inlineStr">
        <is>
          <t>insert</t>
        </is>
      </c>
      <c r="C1674" s="2" t="inlineStr">
        <is>
          <t>openssl 3.5.8 default</t>
        </is>
      </c>
      <c r="D1674" s="2" t="n">
        <v>1558</v>
      </c>
      <c r="E1674" s="2" t="n">
        <v>1558</v>
      </c>
      <c r="F1674" s="2" t="n">
        <v>1</v>
      </c>
      <c r="G1674" s="2" t="n">
        <v>1</v>
      </c>
      <c r="H1674" s="2" t="n">
        <v>1</v>
      </c>
      <c r="I1674" s="2" t="n">
        <v>0</v>
      </c>
    </row>
    <row r="1675">
      <c r="A1675" s="2" t="n">
        <v>1673</v>
      </c>
      <c r="B1675" s="2" t="inlineStr">
        <is>
          <t>flip</t>
        </is>
      </c>
      <c r="C1675" s="2" t="inlineStr">
        <is>
          <t>openssl X25519 only (classical)</t>
        </is>
      </c>
      <c r="D1675" s="2" t="n">
        <v>314</v>
      </c>
      <c r="E1675" s="2" t="n">
        <v>314</v>
      </c>
      <c r="F1675" s="2" t="n">
        <v>1</v>
      </c>
      <c r="G1675" s="2" t="n">
        <v>1</v>
      </c>
      <c r="H1675" s="2" t="n">
        <v>1</v>
      </c>
      <c r="I1675" s="2" t="n">
        <v>0</v>
      </c>
    </row>
    <row r="1676">
      <c r="A1676" s="2" t="n">
        <v>1674</v>
      </c>
      <c r="B1676" s="2" t="inlineStr">
        <is>
          <t>truncate</t>
        </is>
      </c>
      <c r="C1676" s="2" t="inlineStr">
        <is>
          <t>openssl X25519 only (classical)</t>
        </is>
      </c>
      <c r="D1676" s="2" t="n">
        <v>135</v>
      </c>
      <c r="E1676" s="2" t="n">
        <v>135</v>
      </c>
      <c r="F1676" s="2" t="n">
        <v>1</v>
      </c>
      <c r="G1676" s="2" t="n">
        <v>0</v>
      </c>
      <c r="H1676" s="2" t="n">
        <v>0</v>
      </c>
      <c r="I1676" s="2" t="n">
        <v>0</v>
      </c>
    </row>
    <row r="1677">
      <c r="A1677" s="2" t="n">
        <v>1675</v>
      </c>
      <c r="B1677" s="2" t="inlineStr">
        <is>
          <t>length</t>
        </is>
      </c>
      <c r="C1677" s="2" t="inlineStr">
        <is>
          <t>openssl TLS 1.2 only</t>
        </is>
      </c>
      <c r="D1677" s="2" t="n">
        <v>215</v>
      </c>
      <c r="E1677" s="2" t="n">
        <v>215</v>
      </c>
      <c r="F1677" s="2" t="n">
        <v>0</v>
      </c>
      <c r="G1677" s="2" t="n">
        <v>0</v>
      </c>
      <c r="H1677" s="2" t="n">
        <v>0</v>
      </c>
      <c r="I1677" s="2" t="n">
        <v>0</v>
      </c>
    </row>
    <row r="1678">
      <c r="A1678" s="2" t="n">
        <v>1676</v>
      </c>
      <c r="B1678" s="2" t="inlineStr">
        <is>
          <t>insert</t>
        </is>
      </c>
      <c r="C1678" s="2" t="inlineStr">
        <is>
          <t>openssl 3.5.8 default</t>
        </is>
      </c>
      <c r="D1678" s="2" t="n">
        <v>1564</v>
      </c>
      <c r="E1678" s="2" t="n">
        <v>1564</v>
      </c>
      <c r="F1678" s="2" t="n">
        <v>1</v>
      </c>
      <c r="G1678" s="2" t="n">
        <v>1</v>
      </c>
      <c r="H1678" s="2" t="n">
        <v>1</v>
      </c>
      <c r="I1678" s="2" t="n">
        <v>0</v>
      </c>
    </row>
    <row r="1679">
      <c r="A1679" s="2" t="n">
        <v>1677</v>
      </c>
      <c r="B1679" s="2" t="inlineStr">
        <is>
          <t>flip</t>
        </is>
      </c>
      <c r="C1679" s="2" t="inlineStr">
        <is>
          <t>browser chrome150</t>
        </is>
      </c>
      <c r="D1679" s="2" t="n">
        <v>1763</v>
      </c>
      <c r="E1679" s="2" t="n">
        <v>1763</v>
      </c>
      <c r="F1679" s="2" t="n">
        <v>1</v>
      </c>
      <c r="G1679" s="2" t="n">
        <v>1</v>
      </c>
      <c r="H1679" s="2" t="n">
        <v>1</v>
      </c>
      <c r="I1679" s="2" t="n">
        <v>0</v>
      </c>
    </row>
    <row r="1680">
      <c r="A1680" s="2" t="n">
        <v>1678</v>
      </c>
      <c r="B1680" s="2" t="inlineStr">
        <is>
          <t>truncate</t>
        </is>
      </c>
      <c r="C1680" s="2" t="inlineStr">
        <is>
          <t>browser chrome150</t>
        </is>
      </c>
      <c r="D1680" s="2" t="n">
        <v>91</v>
      </c>
      <c r="E1680" s="2" t="n">
        <v>91</v>
      </c>
      <c r="F1680" s="2" t="n">
        <v>1</v>
      </c>
      <c r="G1680" s="2" t="n">
        <v>0</v>
      </c>
      <c r="H1680" s="2" t="n">
        <v>0</v>
      </c>
      <c r="I1680" s="2" t="n">
        <v>0</v>
      </c>
    </row>
    <row r="1681">
      <c r="A1681" s="2" t="n">
        <v>1679</v>
      </c>
      <c r="B1681" s="2" t="inlineStr">
        <is>
          <t>length</t>
        </is>
      </c>
      <c r="C1681" s="2" t="inlineStr">
        <is>
          <t>openssl X25519 only (classical)</t>
        </is>
      </c>
      <c r="D1681" s="2" t="n">
        <v>314</v>
      </c>
      <c r="E1681" s="2" t="n">
        <v>314</v>
      </c>
      <c r="F1681" s="2" t="n">
        <v>1</v>
      </c>
      <c r="G1681" s="2" t="n">
        <v>0</v>
      </c>
      <c r="H1681" s="2" t="n">
        <v>0</v>
      </c>
      <c r="I1681" s="2" t="n">
        <v>0</v>
      </c>
    </row>
    <row r="1682">
      <c r="A1682" s="2" t="n">
        <v>1680</v>
      </c>
      <c r="B1682" s="2" t="inlineStr">
        <is>
          <t>insert</t>
        </is>
      </c>
      <c r="C1682" s="2" t="inlineStr">
        <is>
          <t>openssl 3.5.8 default</t>
        </is>
      </c>
      <c r="D1682" s="2" t="n">
        <v>1555</v>
      </c>
      <c r="E1682" s="2" t="n">
        <v>1555</v>
      </c>
      <c r="F1682" s="2" t="n">
        <v>1</v>
      </c>
      <c r="G1682" s="2" t="n">
        <v>1</v>
      </c>
      <c r="H1682" s="2" t="n">
        <v>1</v>
      </c>
      <c r="I1682" s="2" t="n">
        <v>0</v>
      </c>
    </row>
    <row r="1683">
      <c r="A1683" s="2" t="n">
        <v>1681</v>
      </c>
      <c r="B1683" s="2" t="inlineStr">
        <is>
          <t>flip</t>
        </is>
      </c>
      <c r="C1683" s="2" t="inlineStr">
        <is>
          <t>openssl 3.5.8 default</t>
        </is>
      </c>
      <c r="D1683" s="2" t="n">
        <v>1548</v>
      </c>
      <c r="E1683" s="2" t="n">
        <v>1548</v>
      </c>
      <c r="F1683" s="2" t="n">
        <v>1</v>
      </c>
      <c r="G1683" s="2" t="n">
        <v>1</v>
      </c>
      <c r="H1683" s="2" t="n">
        <v>1</v>
      </c>
      <c r="I1683" s="2" t="n">
        <v>0</v>
      </c>
    </row>
    <row r="1684">
      <c r="A1684" s="2" t="n">
        <v>1682</v>
      </c>
      <c r="B1684" s="2" t="inlineStr">
        <is>
          <t>truncate</t>
        </is>
      </c>
      <c r="C1684" s="2" t="inlineStr">
        <is>
          <t>browser chrome150</t>
        </is>
      </c>
      <c r="D1684" s="2" t="n">
        <v>1355</v>
      </c>
      <c r="E1684" s="2" t="n">
        <v>1355</v>
      </c>
      <c r="F1684" s="2" t="n">
        <v>1</v>
      </c>
      <c r="G1684" s="2" t="n">
        <v>1</v>
      </c>
      <c r="H1684" s="2" t="n">
        <v>1</v>
      </c>
      <c r="I1684" s="2" t="n">
        <v>0</v>
      </c>
    </row>
    <row r="1685">
      <c r="A1685" s="2" t="n">
        <v>1683</v>
      </c>
      <c r="B1685" s="2" t="inlineStr">
        <is>
          <t>length</t>
        </is>
      </c>
      <c r="C1685" s="2" t="inlineStr">
        <is>
          <t>browser chrome150</t>
        </is>
      </c>
      <c r="D1685" s="2" t="n">
        <v>1763</v>
      </c>
      <c r="E1685" s="2" t="n">
        <v>1763</v>
      </c>
      <c r="F1685" s="2" t="n">
        <v>1</v>
      </c>
      <c r="G1685" s="2" t="n">
        <v>1</v>
      </c>
      <c r="H1685" s="2" t="n">
        <v>1</v>
      </c>
      <c r="I1685" s="2" t="n">
        <v>0</v>
      </c>
    </row>
    <row r="1686">
      <c r="A1686" s="2" t="n">
        <v>1684</v>
      </c>
      <c r="B1686" s="2" t="inlineStr">
        <is>
          <t>insert</t>
        </is>
      </c>
      <c r="C1686" s="2" t="inlineStr">
        <is>
          <t>openssl X25519 only (classical)</t>
        </is>
      </c>
      <c r="D1686" s="2" t="n">
        <v>325</v>
      </c>
      <c r="E1686" s="2" t="n">
        <v>325</v>
      </c>
      <c r="F1686" s="2" t="n">
        <v>1</v>
      </c>
      <c r="G1686" s="2" t="n">
        <v>1</v>
      </c>
      <c r="H1686" s="2" t="n">
        <v>1</v>
      </c>
      <c r="I1686" s="2" t="n">
        <v>0</v>
      </c>
    </row>
    <row r="1687">
      <c r="A1687" s="2" t="n">
        <v>1685</v>
      </c>
      <c r="B1687" s="2" t="inlineStr">
        <is>
          <t>flip</t>
        </is>
      </c>
      <c r="C1687" s="2" t="inlineStr">
        <is>
          <t>openssl TLS 1.2 only</t>
        </is>
      </c>
      <c r="D1687" s="2" t="n">
        <v>215</v>
      </c>
      <c r="E1687" s="2" t="n">
        <v>215</v>
      </c>
      <c r="F1687" s="2" t="n">
        <v>1</v>
      </c>
      <c r="G1687" s="2" t="n">
        <v>1</v>
      </c>
      <c r="H1687" s="2" t="n">
        <v>1</v>
      </c>
      <c r="I1687" s="2" t="n">
        <v>0</v>
      </c>
    </row>
    <row r="1688">
      <c r="A1688" s="2" t="n">
        <v>1686</v>
      </c>
      <c r="B1688" s="2" t="inlineStr">
        <is>
          <t>truncate</t>
        </is>
      </c>
      <c r="C1688" s="2" t="inlineStr">
        <is>
          <t>openssl 3.5.8 default</t>
        </is>
      </c>
      <c r="D1688" s="2" t="n">
        <v>1325</v>
      </c>
      <c r="E1688" s="2" t="n">
        <v>1325</v>
      </c>
      <c r="F1688" s="2" t="n">
        <v>1</v>
      </c>
      <c r="G1688" s="2" t="n">
        <v>1</v>
      </c>
      <c r="H1688" s="2" t="n">
        <v>1</v>
      </c>
      <c r="I1688" s="2" t="n">
        <v>0</v>
      </c>
    </row>
    <row r="1689">
      <c r="A1689" s="2" t="n">
        <v>1687</v>
      </c>
      <c r="B1689" s="2" t="inlineStr">
        <is>
          <t>length</t>
        </is>
      </c>
      <c r="C1689" s="2" t="inlineStr">
        <is>
          <t>openssl X25519 only (classical)</t>
        </is>
      </c>
      <c r="D1689" s="2" t="n">
        <v>314</v>
      </c>
      <c r="E1689" s="2" t="n">
        <v>314</v>
      </c>
      <c r="F1689" s="2" t="n">
        <v>0</v>
      </c>
      <c r="G1689" s="2" t="n">
        <v>0</v>
      </c>
      <c r="H1689" s="2" t="n">
        <v>0</v>
      </c>
      <c r="I1689" s="2" t="n">
        <v>0</v>
      </c>
    </row>
    <row r="1690">
      <c r="A1690" s="2" t="n">
        <v>1688</v>
      </c>
      <c r="B1690" s="2" t="inlineStr">
        <is>
          <t>insert</t>
        </is>
      </c>
      <c r="C1690" s="2" t="inlineStr">
        <is>
          <t>browser firefox147</t>
        </is>
      </c>
      <c r="D1690" s="2" t="n">
        <v>1911</v>
      </c>
      <c r="E1690" s="2" t="n">
        <v>1911</v>
      </c>
      <c r="F1690" s="2" t="n">
        <v>1</v>
      </c>
      <c r="G1690" s="2" t="n">
        <v>1</v>
      </c>
      <c r="H1690" s="2" t="n">
        <v>0</v>
      </c>
      <c r="I1690" s="2" t="n">
        <v>0</v>
      </c>
    </row>
    <row r="1691">
      <c r="A1691" s="2" t="n">
        <v>1689</v>
      </c>
      <c r="B1691" s="2" t="inlineStr">
        <is>
          <t>flip</t>
        </is>
      </c>
      <c r="C1691" s="2" t="inlineStr">
        <is>
          <t>openssl X25519 only (classical)</t>
        </is>
      </c>
      <c r="D1691" s="2" t="n">
        <v>314</v>
      </c>
      <c r="E1691" s="2" t="n">
        <v>314</v>
      </c>
      <c r="F1691" s="2" t="n">
        <v>0</v>
      </c>
      <c r="G1691" s="2" t="n">
        <v>0</v>
      </c>
      <c r="H1691" s="2" t="n">
        <v>0</v>
      </c>
      <c r="I1691" s="2" t="n">
        <v>0</v>
      </c>
    </row>
    <row r="1692">
      <c r="A1692" s="2" t="n">
        <v>1690</v>
      </c>
      <c r="B1692" s="2" t="inlineStr">
        <is>
          <t>truncate</t>
        </is>
      </c>
      <c r="C1692" s="2" t="inlineStr">
        <is>
          <t>openssl X25519 only (classical)</t>
        </is>
      </c>
      <c r="D1692" s="2" t="n">
        <v>299</v>
      </c>
      <c r="E1692" s="2" t="n">
        <v>299</v>
      </c>
      <c r="F1692" s="2" t="n">
        <v>1</v>
      </c>
      <c r="G1692" s="2" t="n">
        <v>1</v>
      </c>
      <c r="H1692" s="2" t="n">
        <v>1</v>
      </c>
      <c r="I1692" s="2" t="n">
        <v>0</v>
      </c>
    </row>
    <row r="1693">
      <c r="A1693" s="2" t="n">
        <v>1691</v>
      </c>
      <c r="B1693" s="2" t="inlineStr">
        <is>
          <t>length</t>
        </is>
      </c>
      <c r="C1693" s="2" t="inlineStr">
        <is>
          <t>openssl TLS 1.2 only</t>
        </is>
      </c>
      <c r="D1693" s="2" t="n">
        <v>215</v>
      </c>
      <c r="E1693" s="2" t="n">
        <v>215</v>
      </c>
      <c r="F1693" s="2" t="n">
        <v>0</v>
      </c>
      <c r="G1693" s="2" t="n">
        <v>0</v>
      </c>
      <c r="H1693" s="2" t="n">
        <v>0</v>
      </c>
      <c r="I1693" s="2" t="n">
        <v>0</v>
      </c>
    </row>
    <row r="1694">
      <c r="A1694" s="2" t="n">
        <v>1692</v>
      </c>
      <c r="B1694" s="2" t="inlineStr">
        <is>
          <t>insert</t>
        </is>
      </c>
      <c r="C1694" s="2" t="inlineStr">
        <is>
          <t>browser chrome150</t>
        </is>
      </c>
      <c r="D1694" s="2" t="n">
        <v>1775</v>
      </c>
      <c r="E1694" s="2" t="n">
        <v>1775</v>
      </c>
      <c r="F1694" s="2" t="n">
        <v>1</v>
      </c>
      <c r="G1694" s="2" t="n">
        <v>1</v>
      </c>
      <c r="H1694" s="2" t="n">
        <v>1</v>
      </c>
      <c r="I1694" s="2" t="n">
        <v>0</v>
      </c>
    </row>
    <row r="1695">
      <c r="A1695" s="2" t="n">
        <v>1693</v>
      </c>
      <c r="B1695" s="2" t="inlineStr">
        <is>
          <t>flip</t>
        </is>
      </c>
      <c r="C1695" s="2" t="inlineStr">
        <is>
          <t>openssl 3.5.8 default</t>
        </is>
      </c>
      <c r="D1695" s="2" t="n">
        <v>1548</v>
      </c>
      <c r="E1695" s="2" t="n">
        <v>1548</v>
      </c>
      <c r="F1695" s="2" t="n">
        <v>1</v>
      </c>
      <c r="G1695" s="2" t="n">
        <v>1</v>
      </c>
      <c r="H1695" s="2" t="n">
        <v>1</v>
      </c>
      <c r="I1695" s="2" t="n">
        <v>0</v>
      </c>
    </row>
    <row r="1696">
      <c r="A1696" s="2" t="n">
        <v>1694</v>
      </c>
      <c r="B1696" s="2" t="inlineStr">
        <is>
          <t>truncate</t>
        </is>
      </c>
      <c r="C1696" s="2" t="inlineStr">
        <is>
          <t>openssl X25519 only (classical)</t>
        </is>
      </c>
      <c r="D1696" s="2" t="n">
        <v>203</v>
      </c>
      <c r="E1696" s="2" t="n">
        <v>203</v>
      </c>
      <c r="F1696" s="2" t="n">
        <v>1</v>
      </c>
      <c r="G1696" s="2" t="n">
        <v>1</v>
      </c>
      <c r="H1696" s="2" t="n">
        <v>0</v>
      </c>
      <c r="I1696" s="2" t="n">
        <v>0</v>
      </c>
    </row>
    <row r="1697">
      <c r="A1697" s="2" t="n">
        <v>1695</v>
      </c>
      <c r="B1697" s="2" t="inlineStr">
        <is>
          <t>length</t>
        </is>
      </c>
      <c r="C1697" s="2" t="inlineStr">
        <is>
          <t>openssl X25519 only (classical)</t>
        </is>
      </c>
      <c r="D1697" s="2" t="n">
        <v>314</v>
      </c>
      <c r="E1697" s="2" t="n">
        <v>314</v>
      </c>
      <c r="F1697" s="2" t="n">
        <v>1</v>
      </c>
      <c r="G1697" s="2" t="n">
        <v>1</v>
      </c>
      <c r="H1697" s="2" t="n">
        <v>0</v>
      </c>
      <c r="I1697" s="2" t="n">
        <v>0</v>
      </c>
    </row>
    <row r="1698">
      <c r="A1698" s="2" t="n">
        <v>1696</v>
      </c>
      <c r="B1698" s="2" t="inlineStr">
        <is>
          <t>insert</t>
        </is>
      </c>
      <c r="C1698" s="2" t="inlineStr">
        <is>
          <t>openssl X25519 only (classical)</t>
        </is>
      </c>
      <c r="D1698" s="2" t="n">
        <v>323</v>
      </c>
      <c r="E1698" s="2" t="n">
        <v>323</v>
      </c>
      <c r="F1698" s="2" t="n">
        <v>1</v>
      </c>
      <c r="G1698" s="2" t="n">
        <v>1</v>
      </c>
      <c r="H1698" s="2" t="n">
        <v>1</v>
      </c>
      <c r="I1698" s="2" t="n">
        <v>0</v>
      </c>
    </row>
    <row r="1699">
      <c r="A1699" s="2" t="n">
        <v>1697</v>
      </c>
      <c r="B1699" s="2" t="inlineStr">
        <is>
          <t>flip</t>
        </is>
      </c>
      <c r="C1699" s="2" t="inlineStr">
        <is>
          <t>browser firefox147</t>
        </is>
      </c>
      <c r="D1699" s="2" t="n">
        <v>1901</v>
      </c>
      <c r="E1699" s="2" t="n">
        <v>1901</v>
      </c>
      <c r="F1699" s="2" t="n">
        <v>1</v>
      </c>
      <c r="G1699" s="2" t="n">
        <v>1</v>
      </c>
      <c r="H1699" s="2" t="n">
        <v>1</v>
      </c>
      <c r="I1699" s="2" t="n">
        <v>0</v>
      </c>
    </row>
    <row r="1700">
      <c r="A1700" s="2" t="n">
        <v>1698</v>
      </c>
      <c r="B1700" s="2" t="inlineStr">
        <is>
          <t>truncate</t>
        </is>
      </c>
      <c r="C1700" s="2" t="inlineStr">
        <is>
          <t>openssl TLS 1.2 only</t>
        </is>
      </c>
      <c r="D1700" s="2" t="n">
        <v>124</v>
      </c>
      <c r="E1700" s="2" t="n">
        <v>124</v>
      </c>
      <c r="F1700" s="2" t="n">
        <v>1</v>
      </c>
      <c r="G1700" s="2" t="n">
        <v>1</v>
      </c>
      <c r="H1700" s="2" t="n">
        <v>0</v>
      </c>
      <c r="I1700" s="2" t="n">
        <v>0</v>
      </c>
    </row>
    <row r="1701">
      <c r="A1701" s="2" t="n">
        <v>1699</v>
      </c>
      <c r="B1701" s="2" t="inlineStr">
        <is>
          <t>length</t>
        </is>
      </c>
      <c r="C1701" s="2" t="inlineStr">
        <is>
          <t>openssl 3.5.8 default</t>
        </is>
      </c>
      <c r="D1701" s="2" t="n">
        <v>1548</v>
      </c>
      <c r="E1701" s="2" t="n">
        <v>1548</v>
      </c>
      <c r="F1701" s="2" t="n">
        <v>1</v>
      </c>
      <c r="G1701" s="2" t="n">
        <v>0</v>
      </c>
      <c r="H1701" s="2" t="n">
        <v>0</v>
      </c>
      <c r="I1701" s="2" t="n">
        <v>0</v>
      </c>
    </row>
    <row r="1702">
      <c r="A1702" s="2" t="n">
        <v>1700</v>
      </c>
      <c r="B1702" s="2" t="inlineStr">
        <is>
          <t>insert</t>
        </is>
      </c>
      <c r="C1702" s="2" t="inlineStr">
        <is>
          <t>openssl 3.5.8 default</t>
        </is>
      </c>
      <c r="D1702" s="2" t="n">
        <v>1561</v>
      </c>
      <c r="E1702" s="2" t="n">
        <v>1561</v>
      </c>
      <c r="F1702" s="2" t="n">
        <v>1</v>
      </c>
      <c r="G1702" s="2" t="n">
        <v>1</v>
      </c>
      <c r="H1702" s="2" t="n">
        <v>1</v>
      </c>
      <c r="I1702" s="2" t="n">
        <v>0</v>
      </c>
    </row>
    <row r="1703">
      <c r="A1703" s="2" t="n">
        <v>1701</v>
      </c>
      <c r="B1703" s="2" t="inlineStr">
        <is>
          <t>flip</t>
        </is>
      </c>
      <c r="C1703" s="2" t="inlineStr">
        <is>
          <t>openssl X25519 only (classical)</t>
        </is>
      </c>
      <c r="D1703" s="2" t="n">
        <v>314</v>
      </c>
      <c r="E1703" s="2" t="n">
        <v>314</v>
      </c>
      <c r="F1703" s="2" t="n">
        <v>1</v>
      </c>
      <c r="G1703" s="2" t="n">
        <v>1</v>
      </c>
      <c r="H1703" s="2" t="n">
        <v>1</v>
      </c>
      <c r="I1703" s="2" t="n">
        <v>0</v>
      </c>
    </row>
    <row r="1704">
      <c r="A1704" s="2" t="n">
        <v>1702</v>
      </c>
      <c r="B1704" s="2" t="inlineStr">
        <is>
          <t>truncate</t>
        </is>
      </c>
      <c r="C1704" s="2" t="inlineStr">
        <is>
          <t>browser chrome150</t>
        </is>
      </c>
      <c r="D1704" s="2" t="n">
        <v>1194</v>
      </c>
      <c r="E1704" s="2" t="n">
        <v>1194</v>
      </c>
      <c r="F1704" s="2" t="n">
        <v>1</v>
      </c>
      <c r="G1704" s="2" t="n">
        <v>1</v>
      </c>
      <c r="H1704" s="2" t="n">
        <v>1</v>
      </c>
      <c r="I1704" s="2" t="n">
        <v>0</v>
      </c>
    </row>
    <row r="1705">
      <c r="A1705" s="2" t="n">
        <v>1703</v>
      </c>
      <c r="B1705" s="2" t="inlineStr">
        <is>
          <t>length</t>
        </is>
      </c>
      <c r="C1705" s="2" t="inlineStr">
        <is>
          <t>browser chrome150</t>
        </is>
      </c>
      <c r="D1705" s="2" t="n">
        <v>1763</v>
      </c>
      <c r="E1705" s="2" t="n">
        <v>1763</v>
      </c>
      <c r="F1705" s="2" t="n">
        <v>1</v>
      </c>
      <c r="G1705" s="2" t="n">
        <v>1</v>
      </c>
      <c r="H1705" s="2" t="n">
        <v>1</v>
      </c>
      <c r="I1705" s="2" t="n">
        <v>0</v>
      </c>
    </row>
    <row r="1706">
      <c r="A1706" s="2" t="n">
        <v>1704</v>
      </c>
      <c r="B1706" s="2" t="inlineStr">
        <is>
          <t>insert</t>
        </is>
      </c>
      <c r="C1706" s="2" t="inlineStr">
        <is>
          <t>browser firefox147</t>
        </is>
      </c>
      <c r="D1706" s="2" t="n">
        <v>1910</v>
      </c>
      <c r="E1706" s="2" t="n">
        <v>1910</v>
      </c>
      <c r="F1706" s="2" t="n">
        <v>1</v>
      </c>
      <c r="G1706" s="2" t="n">
        <v>1</v>
      </c>
      <c r="H1706" s="2" t="n">
        <v>0</v>
      </c>
      <c r="I1706" s="2" t="n">
        <v>0</v>
      </c>
    </row>
    <row r="1707">
      <c r="A1707" s="2" t="n">
        <v>1705</v>
      </c>
      <c r="B1707" s="2" t="inlineStr">
        <is>
          <t>flip</t>
        </is>
      </c>
      <c r="C1707" s="2" t="inlineStr">
        <is>
          <t>browser chrome150</t>
        </is>
      </c>
      <c r="D1707" s="2" t="n">
        <v>1763</v>
      </c>
      <c r="E1707" s="2" t="n">
        <v>1763</v>
      </c>
      <c r="F1707" s="2" t="n">
        <v>1</v>
      </c>
      <c r="G1707" s="2" t="n">
        <v>1</v>
      </c>
      <c r="H1707" s="2" t="n">
        <v>1</v>
      </c>
      <c r="I1707" s="2" t="n">
        <v>0</v>
      </c>
    </row>
    <row r="1708">
      <c r="A1708" s="2" t="n">
        <v>1706</v>
      </c>
      <c r="B1708" s="2" t="inlineStr">
        <is>
          <t>truncate</t>
        </is>
      </c>
      <c r="C1708" s="2" t="inlineStr">
        <is>
          <t>browser chrome150</t>
        </is>
      </c>
      <c r="D1708" s="2" t="n">
        <v>1405</v>
      </c>
      <c r="E1708" s="2" t="n">
        <v>1405</v>
      </c>
      <c r="F1708" s="2" t="n">
        <v>1</v>
      </c>
      <c r="G1708" s="2" t="n">
        <v>1</v>
      </c>
      <c r="H1708" s="2" t="n">
        <v>1</v>
      </c>
      <c r="I1708" s="2" t="n">
        <v>0</v>
      </c>
    </row>
    <row r="1709">
      <c r="A1709" s="2" t="n">
        <v>1707</v>
      </c>
      <c r="B1709" s="2" t="inlineStr">
        <is>
          <t>length</t>
        </is>
      </c>
      <c r="C1709" s="2" t="inlineStr">
        <is>
          <t>browser firefox147</t>
        </is>
      </c>
      <c r="D1709" s="2" t="n">
        <v>1901</v>
      </c>
      <c r="E1709" s="2" t="n">
        <v>1901</v>
      </c>
      <c r="F1709" s="2" t="n">
        <v>0</v>
      </c>
      <c r="G1709" s="2" t="n">
        <v>0</v>
      </c>
      <c r="H1709" s="2" t="n">
        <v>0</v>
      </c>
      <c r="I1709" s="2" t="n">
        <v>0</v>
      </c>
    </row>
    <row r="1710">
      <c r="A1710" s="2" t="n">
        <v>1708</v>
      </c>
      <c r="B1710" s="2" t="inlineStr">
        <is>
          <t>insert</t>
        </is>
      </c>
      <c r="C1710" s="2" t="inlineStr">
        <is>
          <t>openssl X25519 only (classical)</t>
        </is>
      </c>
      <c r="D1710" s="2" t="n">
        <v>320</v>
      </c>
      <c r="E1710" s="2" t="n">
        <v>320</v>
      </c>
      <c r="F1710" s="2" t="n">
        <v>1</v>
      </c>
      <c r="G1710" s="2" t="n">
        <v>1</v>
      </c>
      <c r="H1710" s="2" t="n">
        <v>1</v>
      </c>
      <c r="I1710" s="2" t="n">
        <v>0</v>
      </c>
    </row>
    <row r="1711">
      <c r="A1711" s="2" t="n">
        <v>1709</v>
      </c>
      <c r="B1711" s="2" t="inlineStr">
        <is>
          <t>flip</t>
        </is>
      </c>
      <c r="C1711" s="2" t="inlineStr">
        <is>
          <t>browser chrome150</t>
        </is>
      </c>
      <c r="D1711" s="2" t="n">
        <v>1763</v>
      </c>
      <c r="E1711" s="2" t="n">
        <v>1763</v>
      </c>
      <c r="F1711" s="2" t="n">
        <v>1</v>
      </c>
      <c r="G1711" s="2" t="n">
        <v>1</v>
      </c>
      <c r="H1711" s="2" t="n">
        <v>1</v>
      </c>
      <c r="I1711" s="2" t="n">
        <v>0</v>
      </c>
    </row>
    <row r="1712">
      <c r="A1712" s="2" t="n">
        <v>1710</v>
      </c>
      <c r="B1712" s="2" t="inlineStr">
        <is>
          <t>truncate</t>
        </is>
      </c>
      <c r="C1712" s="2" t="inlineStr">
        <is>
          <t>openssl 3.5.8 default</t>
        </is>
      </c>
      <c r="D1712" s="2" t="n">
        <v>875</v>
      </c>
      <c r="E1712" s="2" t="n">
        <v>875</v>
      </c>
      <c r="F1712" s="2" t="n">
        <v>1</v>
      </c>
      <c r="G1712" s="2" t="n">
        <v>1</v>
      </c>
      <c r="H1712" s="2" t="n">
        <v>1</v>
      </c>
      <c r="I1712" s="2" t="n">
        <v>0</v>
      </c>
    </row>
    <row r="1713">
      <c r="A1713" s="2" t="n">
        <v>1711</v>
      </c>
      <c r="B1713" s="2" t="inlineStr">
        <is>
          <t>length</t>
        </is>
      </c>
      <c r="C1713" s="2" t="inlineStr">
        <is>
          <t>openssl TLS 1.2 only</t>
        </is>
      </c>
      <c r="D1713" s="2" t="n">
        <v>215</v>
      </c>
      <c r="E1713" s="2" t="n">
        <v>215</v>
      </c>
      <c r="F1713" s="2" t="n">
        <v>1</v>
      </c>
      <c r="G1713" s="2" t="n">
        <v>0</v>
      </c>
      <c r="H1713" s="2" t="n">
        <v>0</v>
      </c>
      <c r="I1713" s="2" t="n">
        <v>0</v>
      </c>
    </row>
    <row r="1714">
      <c r="A1714" s="2" t="n">
        <v>1712</v>
      </c>
      <c r="B1714" s="2" t="inlineStr">
        <is>
          <t>insert</t>
        </is>
      </c>
      <c r="C1714" s="2" t="inlineStr">
        <is>
          <t>openssl X25519 only (classical)</t>
        </is>
      </c>
      <c r="D1714" s="2" t="n">
        <v>318</v>
      </c>
      <c r="E1714" s="2" t="n">
        <v>318</v>
      </c>
      <c r="F1714" s="2" t="n">
        <v>1</v>
      </c>
      <c r="G1714" s="2" t="n">
        <v>1</v>
      </c>
      <c r="H1714" s="2" t="n">
        <v>1</v>
      </c>
      <c r="I1714" s="2" t="n">
        <v>0</v>
      </c>
    </row>
    <row r="1715">
      <c r="A1715" s="2" t="n">
        <v>1713</v>
      </c>
      <c r="B1715" s="2" t="inlineStr">
        <is>
          <t>flip</t>
        </is>
      </c>
      <c r="C1715" s="2" t="inlineStr">
        <is>
          <t>browser chrome150</t>
        </is>
      </c>
      <c r="D1715" s="2" t="n">
        <v>1763</v>
      </c>
      <c r="E1715" s="2" t="n">
        <v>1763</v>
      </c>
      <c r="F1715" s="2" t="n">
        <v>1</v>
      </c>
      <c r="G1715" s="2" t="n">
        <v>1</v>
      </c>
      <c r="H1715" s="2" t="n">
        <v>1</v>
      </c>
      <c r="I1715" s="2" t="n">
        <v>0</v>
      </c>
    </row>
    <row r="1716">
      <c r="A1716" s="2" t="n">
        <v>1714</v>
      </c>
      <c r="B1716" s="2" t="inlineStr">
        <is>
          <t>truncate</t>
        </is>
      </c>
      <c r="C1716" s="2" t="inlineStr">
        <is>
          <t>browser firefox147</t>
        </is>
      </c>
      <c r="D1716" s="2" t="n">
        <v>1308</v>
      </c>
      <c r="E1716" s="2" t="n">
        <v>1308</v>
      </c>
      <c r="F1716" s="2" t="n">
        <v>1</v>
      </c>
      <c r="G1716" s="2" t="n">
        <v>1</v>
      </c>
      <c r="H1716" s="2" t="n">
        <v>0</v>
      </c>
      <c r="I1716" s="2" t="n">
        <v>0</v>
      </c>
    </row>
    <row r="1717">
      <c r="A1717" s="2" t="n">
        <v>1715</v>
      </c>
      <c r="B1717" s="2" t="inlineStr">
        <is>
          <t>length</t>
        </is>
      </c>
      <c r="C1717" s="2" t="inlineStr">
        <is>
          <t>openssl X25519 only (classical)</t>
        </is>
      </c>
      <c r="D1717" s="2" t="n">
        <v>314</v>
      </c>
      <c r="E1717" s="2" t="n">
        <v>314</v>
      </c>
      <c r="F1717" s="2" t="n">
        <v>1</v>
      </c>
      <c r="G1717" s="2" t="n">
        <v>1</v>
      </c>
      <c r="H1717" s="2" t="n">
        <v>1</v>
      </c>
      <c r="I1717" s="2" t="n">
        <v>0</v>
      </c>
    </row>
    <row r="1718">
      <c r="A1718" s="2" t="n">
        <v>1716</v>
      </c>
      <c r="B1718" s="2" t="inlineStr">
        <is>
          <t>insert</t>
        </is>
      </c>
      <c r="C1718" s="2" t="inlineStr">
        <is>
          <t>openssl TLS 1.2 only</t>
        </is>
      </c>
      <c r="D1718" s="2" t="n">
        <v>219</v>
      </c>
      <c r="E1718" s="2" t="n">
        <v>219</v>
      </c>
      <c r="F1718" s="2" t="n">
        <v>0</v>
      </c>
      <c r="G1718" s="2" t="n">
        <v>0</v>
      </c>
      <c r="H1718" s="2" t="n">
        <v>0</v>
      </c>
      <c r="I1718" s="2" t="n">
        <v>0</v>
      </c>
    </row>
    <row r="1719">
      <c r="A1719" s="2" t="n">
        <v>1717</v>
      </c>
      <c r="B1719" s="2" t="inlineStr">
        <is>
          <t>flip</t>
        </is>
      </c>
      <c r="C1719" s="2" t="inlineStr">
        <is>
          <t>browser chrome150</t>
        </is>
      </c>
      <c r="D1719" s="2" t="n">
        <v>1763</v>
      </c>
      <c r="E1719" s="2" t="n">
        <v>1763</v>
      </c>
      <c r="F1719" s="2" t="n">
        <v>1</v>
      </c>
      <c r="G1719" s="2" t="n">
        <v>1</v>
      </c>
      <c r="H1719" s="2" t="n">
        <v>1</v>
      </c>
      <c r="I1719" s="2" t="n">
        <v>0</v>
      </c>
    </row>
    <row r="1720">
      <c r="A1720" s="2" t="n">
        <v>1718</v>
      </c>
      <c r="B1720" s="2" t="inlineStr">
        <is>
          <t>truncate</t>
        </is>
      </c>
      <c r="C1720" s="2" t="inlineStr">
        <is>
          <t>openssl TLS 1.2 only</t>
        </is>
      </c>
      <c r="D1720" s="2" t="n">
        <v>48</v>
      </c>
      <c r="E1720" s="2" t="n">
        <v>48</v>
      </c>
      <c r="F1720" s="2" t="n">
        <v>1</v>
      </c>
      <c r="G1720" s="2" t="n">
        <v>0</v>
      </c>
      <c r="H1720" s="2" t="n">
        <v>0</v>
      </c>
      <c r="I1720" s="2" t="n">
        <v>0</v>
      </c>
    </row>
    <row r="1721">
      <c r="A1721" s="2" t="n">
        <v>1719</v>
      </c>
      <c r="B1721" s="2" t="inlineStr">
        <is>
          <t>length</t>
        </is>
      </c>
      <c r="C1721" s="2" t="inlineStr">
        <is>
          <t>browser firefox147</t>
        </is>
      </c>
      <c r="D1721" s="2" t="n">
        <v>1901</v>
      </c>
      <c r="E1721" s="2" t="n">
        <v>1901</v>
      </c>
      <c r="F1721" s="2" t="n">
        <v>1</v>
      </c>
      <c r="G1721" s="2" t="n">
        <v>1</v>
      </c>
      <c r="H1721" s="2" t="n">
        <v>0</v>
      </c>
      <c r="I1721" s="2" t="n">
        <v>0</v>
      </c>
    </row>
    <row r="1722">
      <c r="A1722" s="2" t="n">
        <v>1720</v>
      </c>
      <c r="B1722" s="2" t="inlineStr">
        <is>
          <t>insert</t>
        </is>
      </c>
      <c r="C1722" s="2" t="inlineStr">
        <is>
          <t>openssl 3.5.8 default</t>
        </is>
      </c>
      <c r="D1722" s="2" t="n">
        <v>1552</v>
      </c>
      <c r="E1722" s="2" t="n">
        <v>1552</v>
      </c>
      <c r="F1722" s="2" t="n">
        <v>1</v>
      </c>
      <c r="G1722" s="2" t="n">
        <v>1</v>
      </c>
      <c r="H1722" s="2" t="n">
        <v>1</v>
      </c>
      <c r="I1722" s="2" t="n">
        <v>0</v>
      </c>
    </row>
    <row r="1723">
      <c r="A1723" s="2" t="n">
        <v>1721</v>
      </c>
      <c r="B1723" s="2" t="inlineStr">
        <is>
          <t>flip</t>
        </is>
      </c>
      <c r="C1723" s="2" t="inlineStr">
        <is>
          <t>openssl X25519 only (classical)</t>
        </is>
      </c>
      <c r="D1723" s="2" t="n">
        <v>314</v>
      </c>
      <c r="E1723" s="2" t="n">
        <v>314</v>
      </c>
      <c r="F1723" s="2" t="n">
        <v>1</v>
      </c>
      <c r="G1723" s="2" t="n">
        <v>1</v>
      </c>
      <c r="H1723" s="2" t="n">
        <v>1</v>
      </c>
      <c r="I1723" s="2" t="n">
        <v>0</v>
      </c>
    </row>
    <row r="1724">
      <c r="A1724" s="2" t="n">
        <v>1722</v>
      </c>
      <c r="B1724" s="2" t="inlineStr">
        <is>
          <t>truncate</t>
        </is>
      </c>
      <c r="C1724" s="2" t="inlineStr">
        <is>
          <t>browser firefox147</t>
        </is>
      </c>
      <c r="D1724" s="2" t="n">
        <v>1877</v>
      </c>
      <c r="E1724" s="2" t="n">
        <v>1877</v>
      </c>
      <c r="F1724" s="2" t="n">
        <v>1</v>
      </c>
      <c r="G1724" s="2" t="n">
        <v>1</v>
      </c>
      <c r="H1724" s="2" t="n">
        <v>0</v>
      </c>
      <c r="I1724" s="2" t="n">
        <v>0</v>
      </c>
    </row>
    <row r="1725">
      <c r="A1725" s="2" t="n">
        <v>1723</v>
      </c>
      <c r="B1725" s="2" t="inlineStr">
        <is>
          <t>length</t>
        </is>
      </c>
      <c r="C1725" s="2" t="inlineStr">
        <is>
          <t>openssl X25519 only (classical)</t>
        </is>
      </c>
      <c r="D1725" s="2" t="n">
        <v>314</v>
      </c>
      <c r="E1725" s="2" t="n">
        <v>314</v>
      </c>
      <c r="F1725" s="2" t="n">
        <v>1</v>
      </c>
      <c r="G1725" s="2" t="n">
        <v>1</v>
      </c>
      <c r="H1725" s="2" t="n">
        <v>1</v>
      </c>
      <c r="I1725" s="2" t="n">
        <v>0</v>
      </c>
    </row>
    <row r="1726">
      <c r="A1726" s="2" t="n">
        <v>1724</v>
      </c>
      <c r="B1726" s="2" t="inlineStr">
        <is>
          <t>insert</t>
        </is>
      </c>
      <c r="C1726" s="2" t="inlineStr">
        <is>
          <t>browser chrome150</t>
        </is>
      </c>
      <c r="D1726" s="2" t="n">
        <v>1769</v>
      </c>
      <c r="E1726" s="2" t="n">
        <v>1769</v>
      </c>
      <c r="F1726" s="2" t="n">
        <v>1</v>
      </c>
      <c r="G1726" s="2" t="n">
        <v>1</v>
      </c>
      <c r="H1726" s="2" t="n">
        <v>1</v>
      </c>
      <c r="I1726" s="2" t="n">
        <v>0</v>
      </c>
    </row>
    <row r="1727">
      <c r="A1727" s="2" t="n">
        <v>1725</v>
      </c>
      <c r="B1727" s="2" t="inlineStr">
        <is>
          <t>flip</t>
        </is>
      </c>
      <c r="C1727" s="2" t="inlineStr">
        <is>
          <t>openssl X25519 only (classical)</t>
        </is>
      </c>
      <c r="D1727" s="2" t="n">
        <v>314</v>
      </c>
      <c r="E1727" s="2" t="n">
        <v>314</v>
      </c>
      <c r="F1727" s="2" t="n">
        <v>1</v>
      </c>
      <c r="G1727" s="2" t="n">
        <v>1</v>
      </c>
      <c r="H1727" s="2" t="n">
        <v>1</v>
      </c>
      <c r="I1727" s="2" t="n">
        <v>0</v>
      </c>
    </row>
    <row r="1728">
      <c r="A1728" s="2" t="n">
        <v>1726</v>
      </c>
      <c r="B1728" s="2" t="inlineStr">
        <is>
          <t>truncate</t>
        </is>
      </c>
      <c r="C1728" s="2" t="inlineStr">
        <is>
          <t>openssl 3.5.8 default</t>
        </is>
      </c>
      <c r="D1728" s="2" t="n">
        <v>669</v>
      </c>
      <c r="E1728" s="2" t="n">
        <v>669</v>
      </c>
      <c r="F1728" s="2" t="n">
        <v>1</v>
      </c>
      <c r="G1728" s="2" t="n">
        <v>1</v>
      </c>
      <c r="H1728" s="2" t="n">
        <v>1</v>
      </c>
      <c r="I1728" s="2" t="n">
        <v>0</v>
      </c>
    </row>
    <row r="1729">
      <c r="A1729" s="2" t="n">
        <v>1727</v>
      </c>
      <c r="B1729" s="2" t="inlineStr">
        <is>
          <t>length</t>
        </is>
      </c>
      <c r="C1729" s="2" t="inlineStr">
        <is>
          <t>browser firefox147</t>
        </is>
      </c>
      <c r="D1729" s="2" t="n">
        <v>1901</v>
      </c>
      <c r="E1729" s="2" t="n">
        <v>1901</v>
      </c>
      <c r="F1729" s="2" t="n">
        <v>1</v>
      </c>
      <c r="G1729" s="2" t="n">
        <v>1</v>
      </c>
      <c r="H1729" s="2" t="n">
        <v>0</v>
      </c>
      <c r="I1729" s="2" t="n">
        <v>0</v>
      </c>
    </row>
    <row r="1730">
      <c r="A1730" s="2" t="n">
        <v>1728</v>
      </c>
      <c r="B1730" s="2" t="inlineStr">
        <is>
          <t>insert</t>
        </is>
      </c>
      <c r="C1730" s="2" t="inlineStr">
        <is>
          <t>openssl TLS 1.2 only</t>
        </is>
      </c>
      <c r="D1730" s="2" t="n">
        <v>231</v>
      </c>
      <c r="E1730" s="2" t="n">
        <v>231</v>
      </c>
      <c r="F1730" s="2" t="n">
        <v>1</v>
      </c>
      <c r="G1730" s="2" t="n">
        <v>1</v>
      </c>
      <c r="H1730" s="2" t="n">
        <v>0</v>
      </c>
      <c r="I1730" s="2" t="n">
        <v>0</v>
      </c>
    </row>
    <row r="1731">
      <c r="A1731" s="2" t="n">
        <v>1729</v>
      </c>
      <c r="B1731" s="2" t="inlineStr">
        <is>
          <t>flip</t>
        </is>
      </c>
      <c r="C1731" s="2" t="inlineStr">
        <is>
          <t>openssl 3.5.8 default</t>
        </is>
      </c>
      <c r="D1731" s="2" t="n">
        <v>1548</v>
      </c>
      <c r="E1731" s="2" t="n">
        <v>1548</v>
      </c>
      <c r="F1731" s="2" t="n">
        <v>1</v>
      </c>
      <c r="G1731" s="2" t="n">
        <v>1</v>
      </c>
      <c r="H1731" s="2" t="n">
        <v>1</v>
      </c>
      <c r="I1731" s="2" t="n">
        <v>0</v>
      </c>
    </row>
    <row r="1732">
      <c r="A1732" s="2" t="n">
        <v>1730</v>
      </c>
      <c r="B1732" s="2" t="inlineStr">
        <is>
          <t>truncate</t>
        </is>
      </c>
      <c r="C1732" s="2" t="inlineStr">
        <is>
          <t>browser chrome150</t>
        </is>
      </c>
      <c r="D1732" s="2" t="n">
        <v>345</v>
      </c>
      <c r="E1732" s="2" t="n">
        <v>345</v>
      </c>
      <c r="F1732" s="2" t="n">
        <v>1</v>
      </c>
      <c r="G1732" s="2" t="n">
        <v>1</v>
      </c>
      <c r="H1732" s="2" t="n">
        <v>1</v>
      </c>
      <c r="I1732" s="2" t="n">
        <v>0</v>
      </c>
    </row>
    <row r="1733">
      <c r="A1733" s="2" t="n">
        <v>1731</v>
      </c>
      <c r="B1733" s="2" t="inlineStr">
        <is>
          <t>length</t>
        </is>
      </c>
      <c r="C1733" s="2" t="inlineStr">
        <is>
          <t>openssl X25519 only (classical)</t>
        </is>
      </c>
      <c r="D1733" s="2" t="n">
        <v>314</v>
      </c>
      <c r="E1733" s="2" t="n">
        <v>314</v>
      </c>
      <c r="F1733" s="2" t="n">
        <v>1</v>
      </c>
      <c r="G1733" s="2" t="n">
        <v>1</v>
      </c>
      <c r="H1733" s="2" t="n">
        <v>1</v>
      </c>
      <c r="I1733" s="2" t="n">
        <v>0</v>
      </c>
    </row>
    <row r="1734">
      <c r="A1734" s="2" t="n">
        <v>1732</v>
      </c>
      <c r="B1734" s="2" t="inlineStr">
        <is>
          <t>insert</t>
        </is>
      </c>
      <c r="C1734" s="2" t="inlineStr">
        <is>
          <t>browser firefox147</t>
        </is>
      </c>
      <c r="D1734" s="2" t="n">
        <v>1903</v>
      </c>
      <c r="E1734" s="2" t="n">
        <v>1903</v>
      </c>
      <c r="F1734" s="2" t="n">
        <v>1</v>
      </c>
      <c r="G1734" s="2" t="n">
        <v>1</v>
      </c>
      <c r="H1734" s="2" t="n">
        <v>0</v>
      </c>
      <c r="I1734" s="2" t="n">
        <v>0</v>
      </c>
    </row>
    <row r="1735">
      <c r="A1735" s="2" t="n">
        <v>1733</v>
      </c>
      <c r="B1735" s="2" t="inlineStr">
        <is>
          <t>flip</t>
        </is>
      </c>
      <c r="C1735" s="2" t="inlineStr">
        <is>
          <t>browser chrome150</t>
        </is>
      </c>
      <c r="D1735" s="2" t="n">
        <v>1763</v>
      </c>
      <c r="E1735" s="2" t="n">
        <v>1763</v>
      </c>
      <c r="F1735" s="2" t="n">
        <v>1</v>
      </c>
      <c r="G1735" s="2" t="n">
        <v>1</v>
      </c>
      <c r="H1735" s="2" t="n">
        <v>1</v>
      </c>
      <c r="I1735" s="2" t="n">
        <v>0</v>
      </c>
    </row>
    <row r="1736">
      <c r="A1736" s="2" t="n">
        <v>1734</v>
      </c>
      <c r="B1736" s="2" t="inlineStr">
        <is>
          <t>truncate</t>
        </is>
      </c>
      <c r="C1736" s="2" t="inlineStr">
        <is>
          <t>browser chrome150</t>
        </is>
      </c>
      <c r="D1736" s="2" t="n">
        <v>404</v>
      </c>
      <c r="E1736" s="2" t="n">
        <v>404</v>
      </c>
      <c r="F1736" s="2" t="n">
        <v>1</v>
      </c>
      <c r="G1736" s="2" t="n">
        <v>1</v>
      </c>
      <c r="H1736" s="2" t="n">
        <v>1</v>
      </c>
      <c r="I1736" s="2" t="n">
        <v>0</v>
      </c>
    </row>
    <row r="1737">
      <c r="A1737" s="2" t="n">
        <v>1735</v>
      </c>
      <c r="B1737" s="2" t="inlineStr">
        <is>
          <t>length</t>
        </is>
      </c>
      <c r="C1737" s="2" t="inlineStr">
        <is>
          <t>openssl 3.5.8 default</t>
        </is>
      </c>
      <c r="D1737" s="2" t="n">
        <v>1548</v>
      </c>
      <c r="E1737" s="2" t="n">
        <v>1548</v>
      </c>
      <c r="F1737" s="2" t="n">
        <v>1</v>
      </c>
      <c r="G1737" s="2" t="n">
        <v>1</v>
      </c>
      <c r="H1737" s="2" t="n">
        <v>1</v>
      </c>
      <c r="I1737" s="2" t="n">
        <v>0</v>
      </c>
    </row>
    <row r="1738">
      <c r="A1738" s="2" t="n">
        <v>1736</v>
      </c>
      <c r="B1738" s="2" t="inlineStr">
        <is>
          <t>insert</t>
        </is>
      </c>
      <c r="C1738" s="2" t="inlineStr">
        <is>
          <t>openssl TLS 1.2 only</t>
        </is>
      </c>
      <c r="D1738" s="2" t="n">
        <v>219</v>
      </c>
      <c r="E1738" s="2" t="n">
        <v>219</v>
      </c>
      <c r="F1738" s="2" t="n">
        <v>1</v>
      </c>
      <c r="G1738" s="2" t="n">
        <v>1</v>
      </c>
      <c r="H1738" s="2" t="n">
        <v>0</v>
      </c>
      <c r="I1738" s="2" t="n">
        <v>0</v>
      </c>
    </row>
    <row r="1739">
      <c r="A1739" s="2" t="n">
        <v>1737</v>
      </c>
      <c r="B1739" s="2" t="inlineStr">
        <is>
          <t>flip</t>
        </is>
      </c>
      <c r="C1739" s="2" t="inlineStr">
        <is>
          <t>openssl TLS 1.2 only</t>
        </is>
      </c>
      <c r="D1739" s="2" t="n">
        <v>215</v>
      </c>
      <c r="E1739" s="2" t="n">
        <v>215</v>
      </c>
      <c r="F1739" s="2" t="n">
        <v>1</v>
      </c>
      <c r="G1739" s="2" t="n">
        <v>1</v>
      </c>
      <c r="H1739" s="2" t="n">
        <v>1</v>
      </c>
      <c r="I1739" s="2" t="n">
        <v>0</v>
      </c>
    </row>
    <row r="1740">
      <c r="A1740" s="2" t="n">
        <v>1738</v>
      </c>
      <c r="B1740" s="2" t="inlineStr">
        <is>
          <t>truncate</t>
        </is>
      </c>
      <c r="C1740" s="2" t="inlineStr">
        <is>
          <t>openssl X25519 only (classical)</t>
        </is>
      </c>
      <c r="D1740" s="2" t="n">
        <v>54</v>
      </c>
      <c r="E1740" s="2" t="n">
        <v>54</v>
      </c>
      <c r="F1740" s="2" t="n">
        <v>1</v>
      </c>
      <c r="G1740" s="2" t="n">
        <v>0</v>
      </c>
      <c r="H1740" s="2" t="n">
        <v>0</v>
      </c>
      <c r="I1740" s="2" t="n">
        <v>0</v>
      </c>
    </row>
    <row r="1741">
      <c r="A1741" s="2" t="n">
        <v>1739</v>
      </c>
      <c r="B1741" s="2" t="inlineStr">
        <is>
          <t>length</t>
        </is>
      </c>
      <c r="C1741" s="2" t="inlineStr">
        <is>
          <t>openssl 3.5.8 default</t>
        </is>
      </c>
      <c r="D1741" s="2" t="n">
        <v>1548</v>
      </c>
      <c r="E1741" s="2" t="n">
        <v>1548</v>
      </c>
      <c r="F1741" s="2" t="n">
        <v>0</v>
      </c>
      <c r="G1741" s="2" t="n">
        <v>0</v>
      </c>
      <c r="H1741" s="2" t="n">
        <v>0</v>
      </c>
      <c r="I1741" s="2" t="n">
        <v>0</v>
      </c>
    </row>
    <row r="1742">
      <c r="A1742" s="2" t="n">
        <v>1740</v>
      </c>
      <c r="B1742" s="2" t="inlineStr">
        <is>
          <t>insert</t>
        </is>
      </c>
      <c r="C1742" s="2" t="inlineStr">
        <is>
          <t>openssl TLS 1.2 only</t>
        </is>
      </c>
      <c r="D1742" s="2" t="n">
        <v>228</v>
      </c>
      <c r="E1742" s="2" t="n">
        <v>228</v>
      </c>
      <c r="F1742" s="2" t="n">
        <v>1</v>
      </c>
      <c r="G1742" s="2" t="n">
        <v>1</v>
      </c>
      <c r="H1742" s="2" t="n">
        <v>1</v>
      </c>
      <c r="I1742" s="2" t="n">
        <v>0</v>
      </c>
    </row>
    <row r="1743">
      <c r="A1743" s="2" t="n">
        <v>1741</v>
      </c>
      <c r="B1743" s="2" t="inlineStr">
        <is>
          <t>flip</t>
        </is>
      </c>
      <c r="C1743" s="2" t="inlineStr">
        <is>
          <t>openssl X25519 only (classical)</t>
        </is>
      </c>
      <c r="D1743" s="2" t="n">
        <v>314</v>
      </c>
      <c r="E1743" s="2" t="n">
        <v>314</v>
      </c>
      <c r="F1743" s="2" t="n">
        <v>1</v>
      </c>
      <c r="G1743" s="2" t="n">
        <v>1</v>
      </c>
      <c r="H1743" s="2" t="n">
        <v>1</v>
      </c>
      <c r="I1743" s="2" t="n">
        <v>0</v>
      </c>
    </row>
    <row r="1744">
      <c r="A1744" s="2" t="n">
        <v>1742</v>
      </c>
      <c r="B1744" s="2" t="inlineStr">
        <is>
          <t>truncate</t>
        </is>
      </c>
      <c r="C1744" s="2" t="inlineStr">
        <is>
          <t>browser chrome150</t>
        </is>
      </c>
      <c r="D1744" s="2" t="n">
        <v>635</v>
      </c>
      <c r="E1744" s="2" t="n">
        <v>635</v>
      </c>
      <c r="F1744" s="2" t="n">
        <v>1</v>
      </c>
      <c r="G1744" s="2" t="n">
        <v>1</v>
      </c>
      <c r="H1744" s="2" t="n">
        <v>1</v>
      </c>
      <c r="I1744" s="2" t="n">
        <v>0</v>
      </c>
    </row>
    <row r="1745">
      <c r="A1745" s="2" t="n">
        <v>1743</v>
      </c>
      <c r="B1745" s="2" t="inlineStr">
        <is>
          <t>length</t>
        </is>
      </c>
      <c r="C1745" s="2" t="inlineStr">
        <is>
          <t>openssl 3.5.8 default</t>
        </is>
      </c>
      <c r="D1745" s="2" t="n">
        <v>1548</v>
      </c>
      <c r="E1745" s="2" t="n">
        <v>1548</v>
      </c>
      <c r="F1745" s="2" t="n">
        <v>1</v>
      </c>
      <c r="G1745" s="2" t="n">
        <v>1</v>
      </c>
      <c r="H1745" s="2" t="n">
        <v>1</v>
      </c>
      <c r="I1745" s="2" t="n">
        <v>0</v>
      </c>
    </row>
    <row r="1746">
      <c r="A1746" s="2" t="n">
        <v>1744</v>
      </c>
      <c r="B1746" s="2" t="inlineStr">
        <is>
          <t>insert</t>
        </is>
      </c>
      <c r="C1746" s="2" t="inlineStr">
        <is>
          <t>openssl 3.5.8 default</t>
        </is>
      </c>
      <c r="D1746" s="2" t="n">
        <v>1555</v>
      </c>
      <c r="E1746" s="2" t="n">
        <v>1555</v>
      </c>
      <c r="F1746" s="2" t="n">
        <v>1</v>
      </c>
      <c r="G1746" s="2" t="n">
        <v>1</v>
      </c>
      <c r="H1746" s="2" t="n">
        <v>0</v>
      </c>
      <c r="I1746" s="2" t="n">
        <v>0</v>
      </c>
    </row>
    <row r="1747">
      <c r="A1747" s="2" t="n">
        <v>1745</v>
      </c>
      <c r="B1747" s="2" t="inlineStr">
        <is>
          <t>flip</t>
        </is>
      </c>
      <c r="C1747" s="2" t="inlineStr">
        <is>
          <t>openssl 3.5.8 default</t>
        </is>
      </c>
      <c r="D1747" s="2" t="n">
        <v>1548</v>
      </c>
      <c r="E1747" s="2" t="n">
        <v>1548</v>
      </c>
      <c r="F1747" s="2" t="n">
        <v>1</v>
      </c>
      <c r="G1747" s="2" t="n">
        <v>1</v>
      </c>
      <c r="H1747" s="2" t="n">
        <v>1</v>
      </c>
      <c r="I1747" s="2" t="n">
        <v>0</v>
      </c>
    </row>
    <row r="1748">
      <c r="A1748" s="2" t="n">
        <v>1746</v>
      </c>
      <c r="B1748" s="2" t="inlineStr">
        <is>
          <t>truncate</t>
        </is>
      </c>
      <c r="C1748" s="2" t="inlineStr">
        <is>
          <t>openssl X25519 only (classical)</t>
        </is>
      </c>
      <c r="D1748" s="2" t="n">
        <v>237</v>
      </c>
      <c r="E1748" s="2" t="n">
        <v>237</v>
      </c>
      <c r="F1748" s="2" t="n">
        <v>1</v>
      </c>
      <c r="G1748" s="2" t="n">
        <v>1</v>
      </c>
      <c r="H1748" s="2" t="n">
        <v>0</v>
      </c>
      <c r="I1748" s="2" t="n">
        <v>0</v>
      </c>
    </row>
    <row r="1749">
      <c r="A1749" s="2" t="n">
        <v>1747</v>
      </c>
      <c r="B1749" s="2" t="inlineStr">
        <is>
          <t>length</t>
        </is>
      </c>
      <c r="C1749" s="2" t="inlineStr">
        <is>
          <t>openssl 3.5.8 default</t>
        </is>
      </c>
      <c r="D1749" s="2" t="n">
        <v>1548</v>
      </c>
      <c r="E1749" s="2" t="n">
        <v>1548</v>
      </c>
      <c r="F1749" s="2" t="n">
        <v>1</v>
      </c>
      <c r="G1749" s="2" t="n">
        <v>1</v>
      </c>
      <c r="H1749" s="2" t="n">
        <v>0</v>
      </c>
      <c r="I1749" s="2" t="n">
        <v>0</v>
      </c>
    </row>
    <row r="1750">
      <c r="A1750" s="2" t="n">
        <v>1748</v>
      </c>
      <c r="B1750" s="2" t="inlineStr">
        <is>
          <t>insert</t>
        </is>
      </c>
      <c r="C1750" s="2" t="inlineStr">
        <is>
          <t>openssl TLS 1.2 only</t>
        </is>
      </c>
      <c r="D1750" s="2" t="n">
        <v>231</v>
      </c>
      <c r="E1750" s="2" t="n">
        <v>231</v>
      </c>
      <c r="F1750" s="2" t="n">
        <v>1</v>
      </c>
      <c r="G1750" s="2" t="n">
        <v>1</v>
      </c>
      <c r="H1750" s="2" t="n">
        <v>0</v>
      </c>
      <c r="I1750" s="2" t="n">
        <v>0</v>
      </c>
    </row>
    <row r="1751">
      <c r="A1751" s="2" t="n">
        <v>1749</v>
      </c>
      <c r="B1751" s="2" t="inlineStr">
        <is>
          <t>flip</t>
        </is>
      </c>
      <c r="C1751" s="2" t="inlineStr">
        <is>
          <t>openssl X25519 only (classical)</t>
        </is>
      </c>
      <c r="D1751" s="2" t="n">
        <v>314</v>
      </c>
      <c r="E1751" s="2" t="n">
        <v>314</v>
      </c>
      <c r="F1751" s="2" t="n">
        <v>1</v>
      </c>
      <c r="G1751" s="2" t="n">
        <v>1</v>
      </c>
      <c r="H1751" s="2" t="n">
        <v>1</v>
      </c>
      <c r="I1751" s="2" t="n">
        <v>0</v>
      </c>
    </row>
    <row r="1752">
      <c r="A1752" s="2" t="n">
        <v>1750</v>
      </c>
      <c r="B1752" s="2" t="inlineStr">
        <is>
          <t>truncate</t>
        </is>
      </c>
      <c r="C1752" s="2" t="inlineStr">
        <is>
          <t>browser firefox147</t>
        </is>
      </c>
      <c r="D1752" s="2" t="n">
        <v>948</v>
      </c>
      <c r="E1752" s="2" t="n">
        <v>948</v>
      </c>
      <c r="F1752" s="2" t="n">
        <v>1</v>
      </c>
      <c r="G1752" s="2" t="n">
        <v>1</v>
      </c>
      <c r="H1752" s="2" t="n">
        <v>0</v>
      </c>
      <c r="I1752" s="2" t="n">
        <v>0</v>
      </c>
    </row>
    <row r="1753">
      <c r="A1753" s="2" t="n">
        <v>1751</v>
      </c>
      <c r="B1753" s="2" t="inlineStr">
        <is>
          <t>length</t>
        </is>
      </c>
      <c r="C1753" s="2" t="inlineStr">
        <is>
          <t>openssl 3.5.8 default</t>
        </is>
      </c>
      <c r="D1753" s="2" t="n">
        <v>1548</v>
      </c>
      <c r="E1753" s="2" t="n">
        <v>1548</v>
      </c>
      <c r="F1753" s="2" t="n">
        <v>1</v>
      </c>
      <c r="G1753" s="2" t="n">
        <v>1</v>
      </c>
      <c r="H1753" s="2" t="n">
        <v>1</v>
      </c>
      <c r="I1753" s="2" t="n">
        <v>0</v>
      </c>
    </row>
    <row r="1754">
      <c r="A1754" s="2" t="n">
        <v>1752</v>
      </c>
      <c r="B1754" s="2" t="inlineStr">
        <is>
          <t>insert</t>
        </is>
      </c>
      <c r="C1754" s="2" t="inlineStr">
        <is>
          <t>openssl 3.5.8 default</t>
        </is>
      </c>
      <c r="D1754" s="2" t="n">
        <v>1555</v>
      </c>
      <c r="E1754" s="2" t="n">
        <v>1555</v>
      </c>
      <c r="F1754" s="2" t="n">
        <v>1</v>
      </c>
      <c r="G1754" s="2" t="n">
        <v>1</v>
      </c>
      <c r="H1754" s="2" t="n">
        <v>1</v>
      </c>
      <c r="I1754" s="2" t="n">
        <v>0</v>
      </c>
    </row>
    <row r="1755">
      <c r="A1755" s="2" t="n">
        <v>1753</v>
      </c>
      <c r="B1755" s="2" t="inlineStr">
        <is>
          <t>flip</t>
        </is>
      </c>
      <c r="C1755" s="2" t="inlineStr">
        <is>
          <t>browser firefox147</t>
        </is>
      </c>
      <c r="D1755" s="2" t="n">
        <v>1901</v>
      </c>
      <c r="E1755" s="2" t="n">
        <v>1901</v>
      </c>
      <c r="F1755" s="2" t="n">
        <v>1</v>
      </c>
      <c r="G1755" s="2" t="n">
        <v>1</v>
      </c>
      <c r="H1755" s="2" t="n">
        <v>0</v>
      </c>
      <c r="I1755" s="2" t="n">
        <v>0</v>
      </c>
    </row>
    <row r="1756">
      <c r="A1756" s="2" t="n">
        <v>1754</v>
      </c>
      <c r="B1756" s="2" t="inlineStr">
        <is>
          <t>truncate</t>
        </is>
      </c>
      <c r="C1756" s="2" t="inlineStr">
        <is>
          <t>openssl TLS 1.2 only</t>
        </is>
      </c>
      <c r="D1756" s="2" t="n">
        <v>163</v>
      </c>
      <c r="E1756" s="2" t="n">
        <v>163</v>
      </c>
      <c r="F1756" s="2" t="n">
        <v>1</v>
      </c>
      <c r="G1756" s="2" t="n">
        <v>1</v>
      </c>
      <c r="H1756" s="2" t="n">
        <v>0</v>
      </c>
      <c r="I1756" s="2" t="n">
        <v>0</v>
      </c>
    </row>
    <row r="1757">
      <c r="A1757" s="2" t="n">
        <v>1755</v>
      </c>
      <c r="B1757" s="2" t="inlineStr">
        <is>
          <t>length</t>
        </is>
      </c>
      <c r="C1757" s="2" t="inlineStr">
        <is>
          <t>openssl TLS 1.2 only</t>
        </is>
      </c>
      <c r="D1757" s="2" t="n">
        <v>215</v>
      </c>
      <c r="E1757" s="2" t="n">
        <v>215</v>
      </c>
      <c r="F1757" s="2" t="n">
        <v>0</v>
      </c>
      <c r="G1757" s="2" t="n">
        <v>0</v>
      </c>
      <c r="H1757" s="2" t="n">
        <v>0</v>
      </c>
      <c r="I1757" s="2" t="n">
        <v>0</v>
      </c>
    </row>
    <row r="1758">
      <c r="A1758" s="2" t="n">
        <v>1756</v>
      </c>
      <c r="B1758" s="2" t="inlineStr">
        <is>
          <t>insert</t>
        </is>
      </c>
      <c r="C1758" s="2" t="inlineStr">
        <is>
          <t>browser firefox147</t>
        </is>
      </c>
      <c r="D1758" s="2" t="n">
        <v>1903</v>
      </c>
      <c r="E1758" s="2" t="n">
        <v>1903</v>
      </c>
      <c r="F1758" s="2" t="n">
        <v>1</v>
      </c>
      <c r="G1758" s="2" t="n">
        <v>1</v>
      </c>
      <c r="H1758" s="2" t="n">
        <v>0</v>
      </c>
      <c r="I1758" s="2" t="n">
        <v>0</v>
      </c>
    </row>
    <row r="1759">
      <c r="A1759" s="2" t="n">
        <v>1757</v>
      </c>
      <c r="B1759" s="2" t="inlineStr">
        <is>
          <t>flip</t>
        </is>
      </c>
      <c r="C1759" s="2" t="inlineStr">
        <is>
          <t>openssl 3.5.8 default</t>
        </is>
      </c>
      <c r="D1759" s="2" t="n">
        <v>1548</v>
      </c>
      <c r="E1759" s="2" t="n">
        <v>1548</v>
      </c>
      <c r="F1759" s="2" t="n">
        <v>1</v>
      </c>
      <c r="G1759" s="2" t="n">
        <v>1</v>
      </c>
      <c r="H1759" s="2" t="n">
        <v>1</v>
      </c>
      <c r="I1759" s="2" t="n">
        <v>0</v>
      </c>
    </row>
    <row r="1760">
      <c r="A1760" s="2" t="n">
        <v>1758</v>
      </c>
      <c r="B1760" s="2" t="inlineStr">
        <is>
          <t>truncate</t>
        </is>
      </c>
      <c r="C1760" s="2" t="inlineStr">
        <is>
          <t>browser firefox147</t>
        </is>
      </c>
      <c r="D1760" s="2" t="n">
        <v>463</v>
      </c>
      <c r="E1760" s="2" t="n">
        <v>463</v>
      </c>
      <c r="F1760" s="2" t="n">
        <v>1</v>
      </c>
      <c r="G1760" s="2" t="n">
        <v>1</v>
      </c>
      <c r="H1760" s="2" t="n">
        <v>0</v>
      </c>
      <c r="I1760" s="2" t="n">
        <v>0</v>
      </c>
    </row>
    <row r="1761">
      <c r="A1761" s="2" t="n">
        <v>1759</v>
      </c>
      <c r="B1761" s="2" t="inlineStr">
        <is>
          <t>length</t>
        </is>
      </c>
      <c r="C1761" s="2" t="inlineStr">
        <is>
          <t>openssl 3.5.8 default</t>
        </is>
      </c>
      <c r="D1761" s="2" t="n">
        <v>1548</v>
      </c>
      <c r="E1761" s="2" t="n">
        <v>1548</v>
      </c>
      <c r="F1761" s="2" t="n">
        <v>1</v>
      </c>
      <c r="G1761" s="2" t="n">
        <v>1</v>
      </c>
      <c r="H1761" s="2" t="n">
        <v>1</v>
      </c>
      <c r="I1761" s="2" t="n">
        <v>0</v>
      </c>
    </row>
    <row r="1762">
      <c r="A1762" s="2" t="n">
        <v>1760</v>
      </c>
      <c r="B1762" s="2" t="inlineStr">
        <is>
          <t>insert</t>
        </is>
      </c>
      <c r="C1762" s="2" t="inlineStr">
        <is>
          <t>browser chrome150</t>
        </is>
      </c>
      <c r="D1762" s="2" t="n">
        <v>1764</v>
      </c>
      <c r="E1762" s="2" t="n">
        <v>1764</v>
      </c>
      <c r="F1762" s="2" t="n">
        <v>1</v>
      </c>
      <c r="G1762" s="2" t="n">
        <v>1</v>
      </c>
      <c r="H1762" s="2" t="n">
        <v>1</v>
      </c>
      <c r="I1762" s="2" t="n">
        <v>0</v>
      </c>
    </row>
    <row r="1763">
      <c r="A1763" s="2" t="n">
        <v>1761</v>
      </c>
      <c r="B1763" s="2" t="inlineStr">
        <is>
          <t>flip</t>
        </is>
      </c>
      <c r="C1763" s="2" t="inlineStr">
        <is>
          <t>openssl 3.5.8 default</t>
        </is>
      </c>
      <c r="D1763" s="2" t="n">
        <v>1548</v>
      </c>
      <c r="E1763" s="2" t="n">
        <v>1548</v>
      </c>
      <c r="F1763" s="2" t="n">
        <v>1</v>
      </c>
      <c r="G1763" s="2" t="n">
        <v>1</v>
      </c>
      <c r="H1763" s="2" t="n">
        <v>1</v>
      </c>
      <c r="I1763" s="2" t="n">
        <v>0</v>
      </c>
    </row>
    <row r="1764">
      <c r="A1764" s="2" t="n">
        <v>1762</v>
      </c>
      <c r="B1764" s="2" t="inlineStr">
        <is>
          <t>truncate</t>
        </is>
      </c>
      <c r="C1764" s="2" t="inlineStr">
        <is>
          <t>browser firefox147</t>
        </is>
      </c>
      <c r="D1764" s="2" t="n">
        <v>524</v>
      </c>
      <c r="E1764" s="2" t="n">
        <v>524</v>
      </c>
      <c r="F1764" s="2" t="n">
        <v>1</v>
      </c>
      <c r="G1764" s="2" t="n">
        <v>1</v>
      </c>
      <c r="H1764" s="2" t="n">
        <v>0</v>
      </c>
      <c r="I1764" s="2" t="n">
        <v>0</v>
      </c>
    </row>
    <row r="1765">
      <c r="A1765" s="2" t="n">
        <v>1763</v>
      </c>
      <c r="B1765" s="2" t="inlineStr">
        <is>
          <t>length</t>
        </is>
      </c>
      <c r="C1765" s="2" t="inlineStr">
        <is>
          <t>openssl 3.5.8 default</t>
        </is>
      </c>
      <c r="D1765" s="2" t="n">
        <v>1548</v>
      </c>
      <c r="E1765" s="2" t="n">
        <v>1548</v>
      </c>
      <c r="F1765" s="2" t="n">
        <v>1</v>
      </c>
      <c r="G1765" s="2" t="n">
        <v>1</v>
      </c>
      <c r="H1765" s="2" t="n">
        <v>1</v>
      </c>
      <c r="I1765" s="2" t="n">
        <v>0</v>
      </c>
    </row>
    <row r="1766">
      <c r="A1766" s="2" t="n">
        <v>1764</v>
      </c>
      <c r="B1766" s="2" t="inlineStr">
        <is>
          <t>insert</t>
        </is>
      </c>
      <c r="C1766" s="2" t="inlineStr">
        <is>
          <t>openssl 3.5.8 default</t>
        </is>
      </c>
      <c r="D1766" s="2" t="n">
        <v>1550</v>
      </c>
      <c r="E1766" s="2" t="n">
        <v>1550</v>
      </c>
      <c r="F1766" s="2" t="n">
        <v>1</v>
      </c>
      <c r="G1766" s="2" t="n">
        <v>1</v>
      </c>
      <c r="H1766" s="2" t="n">
        <v>1</v>
      </c>
      <c r="I1766" s="2" t="n">
        <v>0</v>
      </c>
    </row>
    <row r="1767">
      <c r="A1767" s="2" t="n">
        <v>1765</v>
      </c>
      <c r="B1767" s="2" t="inlineStr">
        <is>
          <t>flip</t>
        </is>
      </c>
      <c r="C1767" s="2" t="inlineStr">
        <is>
          <t>openssl 3.5.8 default</t>
        </is>
      </c>
      <c r="D1767" s="2" t="n">
        <v>1548</v>
      </c>
      <c r="E1767" s="2" t="n">
        <v>1548</v>
      </c>
      <c r="F1767" s="2" t="n">
        <v>1</v>
      </c>
      <c r="G1767" s="2" t="n">
        <v>1</v>
      </c>
      <c r="H1767" s="2" t="n">
        <v>1</v>
      </c>
      <c r="I1767" s="2" t="n">
        <v>0</v>
      </c>
    </row>
    <row r="1768">
      <c r="A1768" s="2" t="n">
        <v>1766</v>
      </c>
      <c r="B1768" s="2" t="inlineStr">
        <is>
          <t>truncate</t>
        </is>
      </c>
      <c r="C1768" s="2" t="inlineStr">
        <is>
          <t>openssl X25519 only (classical)</t>
        </is>
      </c>
      <c r="D1768" s="2" t="n">
        <v>304</v>
      </c>
      <c r="E1768" s="2" t="n">
        <v>304</v>
      </c>
      <c r="F1768" s="2" t="n">
        <v>1</v>
      </c>
      <c r="G1768" s="2" t="n">
        <v>1</v>
      </c>
      <c r="H1768" s="2" t="n">
        <v>1</v>
      </c>
      <c r="I1768" s="2" t="n">
        <v>0</v>
      </c>
    </row>
    <row r="1769">
      <c r="A1769" s="2" t="n">
        <v>1767</v>
      </c>
      <c r="B1769" s="2" t="inlineStr">
        <is>
          <t>length</t>
        </is>
      </c>
      <c r="C1769" s="2" t="inlineStr">
        <is>
          <t>browser firefox147</t>
        </is>
      </c>
      <c r="D1769" s="2" t="n">
        <v>1901</v>
      </c>
      <c r="E1769" s="2" t="n">
        <v>1901</v>
      </c>
      <c r="F1769" s="2" t="n">
        <v>1</v>
      </c>
      <c r="G1769" s="2" t="n">
        <v>1</v>
      </c>
      <c r="H1769" s="2" t="n">
        <v>0</v>
      </c>
      <c r="I1769" s="2" t="n">
        <v>0</v>
      </c>
    </row>
    <row r="1770">
      <c r="A1770" s="2" t="n">
        <v>1768</v>
      </c>
      <c r="B1770" s="2" t="inlineStr">
        <is>
          <t>insert</t>
        </is>
      </c>
      <c r="C1770" s="2" t="inlineStr">
        <is>
          <t>openssl 3.5.8 default</t>
        </is>
      </c>
      <c r="D1770" s="2" t="n">
        <v>1561</v>
      </c>
      <c r="E1770" s="2" t="n">
        <v>1561</v>
      </c>
      <c r="F1770" s="2" t="n">
        <v>1</v>
      </c>
      <c r="G1770" s="2" t="n">
        <v>1</v>
      </c>
      <c r="H1770" s="2" t="n">
        <v>1</v>
      </c>
      <c r="I1770" s="2" t="n">
        <v>0</v>
      </c>
    </row>
    <row r="1771">
      <c r="A1771" s="2" t="n">
        <v>1769</v>
      </c>
      <c r="B1771" s="2" t="inlineStr">
        <is>
          <t>flip</t>
        </is>
      </c>
      <c r="C1771" s="2" t="inlineStr">
        <is>
          <t>openssl X25519 only (classical)</t>
        </is>
      </c>
      <c r="D1771" s="2" t="n">
        <v>314</v>
      </c>
      <c r="E1771" s="2" t="n">
        <v>314</v>
      </c>
      <c r="F1771" s="2" t="n">
        <v>1</v>
      </c>
      <c r="G1771" s="2" t="n">
        <v>1</v>
      </c>
      <c r="H1771" s="2" t="n">
        <v>1</v>
      </c>
      <c r="I1771" s="2" t="n">
        <v>0</v>
      </c>
    </row>
    <row r="1772">
      <c r="A1772" s="2" t="n">
        <v>1770</v>
      </c>
      <c r="B1772" s="2" t="inlineStr">
        <is>
          <t>truncate</t>
        </is>
      </c>
      <c r="C1772" s="2" t="inlineStr">
        <is>
          <t>browser firefox147</t>
        </is>
      </c>
      <c r="D1772" s="2" t="n">
        <v>1696</v>
      </c>
      <c r="E1772" s="2" t="n">
        <v>1696</v>
      </c>
      <c r="F1772" s="2" t="n">
        <v>1</v>
      </c>
      <c r="G1772" s="2" t="n">
        <v>1</v>
      </c>
      <c r="H1772" s="2" t="n">
        <v>0</v>
      </c>
      <c r="I1772" s="2" t="n">
        <v>0</v>
      </c>
    </row>
    <row r="1773">
      <c r="A1773" s="2" t="n">
        <v>1771</v>
      </c>
      <c r="B1773" s="2" t="inlineStr">
        <is>
          <t>length</t>
        </is>
      </c>
      <c r="C1773" s="2" t="inlineStr">
        <is>
          <t>openssl X25519 only (classical)</t>
        </is>
      </c>
      <c r="D1773" s="2" t="n">
        <v>314</v>
      </c>
      <c r="E1773" s="2" t="n">
        <v>314</v>
      </c>
      <c r="F1773" s="2" t="n">
        <v>1</v>
      </c>
      <c r="G1773" s="2" t="n">
        <v>0</v>
      </c>
      <c r="H1773" s="2" t="n">
        <v>0</v>
      </c>
      <c r="I1773" s="2" t="n">
        <v>0</v>
      </c>
    </row>
    <row r="1774">
      <c r="A1774" s="2" t="n">
        <v>1772</v>
      </c>
      <c r="B1774" s="2" t="inlineStr">
        <is>
          <t>insert</t>
        </is>
      </c>
      <c r="C1774" s="2" t="inlineStr">
        <is>
          <t>openssl TLS 1.2 only</t>
        </is>
      </c>
      <c r="D1774" s="2" t="n">
        <v>225</v>
      </c>
      <c r="E1774" s="2" t="n">
        <v>225</v>
      </c>
      <c r="F1774" s="2" t="n">
        <v>1</v>
      </c>
      <c r="G1774" s="2" t="n">
        <v>0</v>
      </c>
      <c r="H1774" s="2" t="n">
        <v>0</v>
      </c>
      <c r="I1774" s="2" t="n">
        <v>0</v>
      </c>
    </row>
    <row r="1775">
      <c r="A1775" s="2" t="n">
        <v>1773</v>
      </c>
      <c r="B1775" s="2" t="inlineStr">
        <is>
          <t>flip</t>
        </is>
      </c>
      <c r="C1775" s="2" t="inlineStr">
        <is>
          <t>openssl TLS 1.2 only</t>
        </is>
      </c>
      <c r="D1775" s="2" t="n">
        <v>215</v>
      </c>
      <c r="E1775" s="2" t="n">
        <v>215</v>
      </c>
      <c r="F1775" s="2" t="n">
        <v>1</v>
      </c>
      <c r="G1775" s="2" t="n">
        <v>1</v>
      </c>
      <c r="H1775" s="2" t="n">
        <v>1</v>
      </c>
      <c r="I1775" s="2" t="n">
        <v>0</v>
      </c>
    </row>
    <row r="1776">
      <c r="A1776" s="2" t="n">
        <v>1774</v>
      </c>
      <c r="B1776" s="2" t="inlineStr">
        <is>
          <t>truncate</t>
        </is>
      </c>
      <c r="C1776" s="2" t="inlineStr">
        <is>
          <t>openssl 3.5.8 default</t>
        </is>
      </c>
      <c r="D1776" s="2" t="n">
        <v>482</v>
      </c>
      <c r="E1776" s="2" t="n">
        <v>482</v>
      </c>
      <c r="F1776" s="2" t="n">
        <v>1</v>
      </c>
      <c r="G1776" s="2" t="n">
        <v>1</v>
      </c>
      <c r="H1776" s="2" t="n">
        <v>1</v>
      </c>
      <c r="I1776" s="2" t="n">
        <v>0</v>
      </c>
    </row>
    <row r="1777">
      <c r="A1777" s="2" t="n">
        <v>1775</v>
      </c>
      <c r="B1777" s="2" t="inlineStr">
        <is>
          <t>length</t>
        </is>
      </c>
      <c r="C1777" s="2" t="inlineStr">
        <is>
          <t>browser firefox147</t>
        </is>
      </c>
      <c r="D1777" s="2" t="n">
        <v>1901</v>
      </c>
      <c r="E1777" s="2" t="n">
        <v>1901</v>
      </c>
      <c r="F1777" s="2" t="n">
        <v>1</v>
      </c>
      <c r="G1777" s="2" t="n">
        <v>1</v>
      </c>
      <c r="H1777" s="2" t="n">
        <v>0</v>
      </c>
      <c r="I1777" s="2" t="n">
        <v>0</v>
      </c>
    </row>
    <row r="1778">
      <c r="A1778" s="2" t="n">
        <v>1776</v>
      </c>
      <c r="B1778" s="2" t="inlineStr">
        <is>
          <t>insert</t>
        </is>
      </c>
      <c r="C1778" s="2" t="inlineStr">
        <is>
          <t>browser firefox147</t>
        </is>
      </c>
      <c r="D1778" s="2" t="n">
        <v>1905</v>
      </c>
      <c r="E1778" s="2" t="n">
        <v>1905</v>
      </c>
      <c r="F1778" s="2" t="n">
        <v>1</v>
      </c>
      <c r="G1778" s="2" t="n">
        <v>1</v>
      </c>
      <c r="H1778" s="2" t="n">
        <v>0</v>
      </c>
      <c r="I1778" s="2" t="n">
        <v>0</v>
      </c>
    </row>
    <row r="1779">
      <c r="A1779" s="2" t="n">
        <v>1777</v>
      </c>
      <c r="B1779" s="2" t="inlineStr">
        <is>
          <t>flip</t>
        </is>
      </c>
      <c r="C1779" s="2" t="inlineStr">
        <is>
          <t>openssl X25519 only (classical)</t>
        </is>
      </c>
      <c r="D1779" s="2" t="n">
        <v>314</v>
      </c>
      <c r="E1779" s="2" t="n">
        <v>314</v>
      </c>
      <c r="F1779" s="2" t="n">
        <v>0</v>
      </c>
      <c r="G1779" s="2" t="n">
        <v>0</v>
      </c>
      <c r="H1779" s="2" t="n">
        <v>0</v>
      </c>
      <c r="I1779" s="2" t="n">
        <v>0</v>
      </c>
    </row>
    <row r="1780">
      <c r="A1780" s="2" t="n">
        <v>1778</v>
      </c>
      <c r="B1780" s="2" t="inlineStr">
        <is>
          <t>truncate</t>
        </is>
      </c>
      <c r="C1780" s="2" t="inlineStr">
        <is>
          <t>browser firefox147</t>
        </is>
      </c>
      <c r="D1780" s="2" t="n">
        <v>758</v>
      </c>
      <c r="E1780" s="2" t="n">
        <v>758</v>
      </c>
      <c r="F1780" s="2" t="n">
        <v>1</v>
      </c>
      <c r="G1780" s="2" t="n">
        <v>1</v>
      </c>
      <c r="H1780" s="2" t="n">
        <v>0</v>
      </c>
      <c r="I1780" s="2" t="n">
        <v>0</v>
      </c>
    </row>
    <row r="1781">
      <c r="A1781" s="2" t="n">
        <v>1779</v>
      </c>
      <c r="B1781" s="2" t="inlineStr">
        <is>
          <t>length</t>
        </is>
      </c>
      <c r="C1781" s="2" t="inlineStr">
        <is>
          <t>openssl X25519 only (classical)</t>
        </is>
      </c>
      <c r="D1781" s="2" t="n">
        <v>314</v>
      </c>
      <c r="E1781" s="2" t="n">
        <v>314</v>
      </c>
      <c r="F1781" s="2" t="n">
        <v>1</v>
      </c>
      <c r="G1781" s="2" t="n">
        <v>0</v>
      </c>
      <c r="H1781" s="2" t="n">
        <v>0</v>
      </c>
      <c r="I1781" s="2" t="n">
        <v>0</v>
      </c>
    </row>
    <row r="1782">
      <c r="A1782" s="2" t="n">
        <v>1780</v>
      </c>
      <c r="B1782" s="2" t="inlineStr">
        <is>
          <t>insert</t>
        </is>
      </c>
      <c r="C1782" s="2" t="inlineStr">
        <is>
          <t>openssl 3.5.8 default</t>
        </is>
      </c>
      <c r="D1782" s="2" t="n">
        <v>1553</v>
      </c>
      <c r="E1782" s="2" t="n">
        <v>1553</v>
      </c>
      <c r="F1782" s="2" t="n">
        <v>1</v>
      </c>
      <c r="G1782" s="2" t="n">
        <v>1</v>
      </c>
      <c r="H1782" s="2" t="n">
        <v>1</v>
      </c>
      <c r="I1782" s="2" t="n">
        <v>0</v>
      </c>
    </row>
    <row r="1783">
      <c r="A1783" s="2" t="n">
        <v>1781</v>
      </c>
      <c r="B1783" s="2" t="inlineStr">
        <is>
          <t>flip</t>
        </is>
      </c>
      <c r="C1783" s="2" t="inlineStr">
        <is>
          <t>browser chrome150</t>
        </is>
      </c>
      <c r="D1783" s="2" t="n">
        <v>1763</v>
      </c>
      <c r="E1783" s="2" t="n">
        <v>1763</v>
      </c>
      <c r="F1783" s="2" t="n">
        <v>1</v>
      </c>
      <c r="G1783" s="2" t="n">
        <v>1</v>
      </c>
      <c r="H1783" s="2" t="n">
        <v>1</v>
      </c>
      <c r="I1783" s="2" t="n">
        <v>0</v>
      </c>
    </row>
    <row r="1784">
      <c r="A1784" s="2" t="n">
        <v>1782</v>
      </c>
      <c r="B1784" s="2" t="inlineStr">
        <is>
          <t>truncate</t>
        </is>
      </c>
      <c r="C1784" s="2" t="inlineStr">
        <is>
          <t>openssl TLS 1.2 only</t>
        </is>
      </c>
      <c r="D1784" s="2" t="n">
        <v>93</v>
      </c>
      <c r="E1784" s="2" t="n">
        <v>93</v>
      </c>
      <c r="F1784" s="2" t="n">
        <v>1</v>
      </c>
      <c r="G1784" s="2" t="n">
        <v>0</v>
      </c>
      <c r="H1784" s="2" t="n">
        <v>0</v>
      </c>
      <c r="I1784" s="2" t="n">
        <v>0</v>
      </c>
    </row>
    <row r="1785">
      <c r="A1785" s="2" t="n">
        <v>1783</v>
      </c>
      <c r="B1785" s="2" t="inlineStr">
        <is>
          <t>length</t>
        </is>
      </c>
      <c r="C1785" s="2" t="inlineStr">
        <is>
          <t>openssl 3.5.8 default</t>
        </is>
      </c>
      <c r="D1785" s="2" t="n">
        <v>1548</v>
      </c>
      <c r="E1785" s="2" t="n">
        <v>1548</v>
      </c>
      <c r="F1785" s="2" t="n">
        <v>1</v>
      </c>
      <c r="G1785" s="2" t="n">
        <v>1</v>
      </c>
      <c r="H1785" s="2" t="n">
        <v>1</v>
      </c>
      <c r="I1785" s="2" t="n">
        <v>0</v>
      </c>
    </row>
    <row r="1786">
      <c r="A1786" s="2" t="n">
        <v>1784</v>
      </c>
      <c r="B1786" s="2" t="inlineStr">
        <is>
          <t>insert</t>
        </is>
      </c>
      <c r="C1786" s="2" t="inlineStr">
        <is>
          <t>browser firefox147</t>
        </is>
      </c>
      <c r="D1786" s="2" t="n">
        <v>1911</v>
      </c>
      <c r="E1786" s="2" t="n">
        <v>1911</v>
      </c>
      <c r="F1786" s="2" t="n">
        <v>1</v>
      </c>
      <c r="G1786" s="2" t="n">
        <v>1</v>
      </c>
      <c r="H1786" s="2" t="n">
        <v>0</v>
      </c>
      <c r="I1786" s="2" t="n">
        <v>0</v>
      </c>
    </row>
    <row r="1787">
      <c r="A1787" s="2" t="n">
        <v>1785</v>
      </c>
      <c r="B1787" s="2" t="inlineStr">
        <is>
          <t>flip</t>
        </is>
      </c>
      <c r="C1787" s="2" t="inlineStr">
        <is>
          <t>openssl TLS 1.2 only</t>
        </is>
      </c>
      <c r="D1787" s="2" t="n">
        <v>215</v>
      </c>
      <c r="E1787" s="2" t="n">
        <v>215</v>
      </c>
      <c r="F1787" s="2" t="n">
        <v>1</v>
      </c>
      <c r="G1787" s="2" t="n">
        <v>0</v>
      </c>
      <c r="H1787" s="2" t="n">
        <v>0</v>
      </c>
      <c r="I1787" s="2" t="n">
        <v>0</v>
      </c>
    </row>
    <row r="1788">
      <c r="A1788" s="2" t="n">
        <v>1786</v>
      </c>
      <c r="B1788" s="2" t="inlineStr">
        <is>
          <t>truncate</t>
        </is>
      </c>
      <c r="C1788" s="2" t="inlineStr">
        <is>
          <t>openssl X25519 only (classical)</t>
        </is>
      </c>
      <c r="D1788" s="2" t="n">
        <v>11</v>
      </c>
      <c r="E1788" s="2" t="n">
        <v>11</v>
      </c>
      <c r="F1788" s="2" t="n">
        <v>1</v>
      </c>
      <c r="G1788" s="2" t="n">
        <v>0</v>
      </c>
      <c r="H1788" s="2" t="n">
        <v>0</v>
      </c>
      <c r="I1788" s="2" t="n">
        <v>0</v>
      </c>
    </row>
    <row r="1789">
      <c r="A1789" s="2" t="n">
        <v>1787</v>
      </c>
      <c r="B1789" s="2" t="inlineStr">
        <is>
          <t>length</t>
        </is>
      </c>
      <c r="C1789" s="2" t="inlineStr">
        <is>
          <t>openssl X25519 only (classical)</t>
        </is>
      </c>
      <c r="D1789" s="2" t="n">
        <v>314</v>
      </c>
      <c r="E1789" s="2" t="n">
        <v>314</v>
      </c>
      <c r="F1789" s="2" t="n">
        <v>1</v>
      </c>
      <c r="G1789" s="2" t="n">
        <v>1</v>
      </c>
      <c r="H1789" s="2" t="n">
        <v>1</v>
      </c>
      <c r="I1789" s="2" t="n">
        <v>0</v>
      </c>
    </row>
    <row r="1790">
      <c r="A1790" s="2" t="n">
        <v>1788</v>
      </c>
      <c r="B1790" s="2" t="inlineStr">
        <is>
          <t>insert</t>
        </is>
      </c>
      <c r="C1790" s="2" t="inlineStr">
        <is>
          <t>openssl TLS 1.2 only</t>
        </is>
      </c>
      <c r="D1790" s="2" t="n">
        <v>221</v>
      </c>
      <c r="E1790" s="2" t="n">
        <v>221</v>
      </c>
      <c r="F1790" s="2" t="n">
        <v>1</v>
      </c>
      <c r="G1790" s="2" t="n">
        <v>1</v>
      </c>
      <c r="H1790" s="2" t="n">
        <v>1</v>
      </c>
      <c r="I1790" s="2" t="n">
        <v>0</v>
      </c>
    </row>
    <row r="1791">
      <c r="A1791" s="2" t="n">
        <v>1789</v>
      </c>
      <c r="B1791" s="2" t="inlineStr">
        <is>
          <t>flip</t>
        </is>
      </c>
      <c r="C1791" s="2" t="inlineStr">
        <is>
          <t>browser chrome150</t>
        </is>
      </c>
      <c r="D1791" s="2" t="n">
        <v>1763</v>
      </c>
      <c r="E1791" s="2" t="n">
        <v>1763</v>
      </c>
      <c r="F1791" s="2" t="n">
        <v>0</v>
      </c>
      <c r="G1791" s="2" t="n">
        <v>0</v>
      </c>
      <c r="H1791" s="2" t="n">
        <v>0</v>
      </c>
      <c r="I1791" s="2" t="n">
        <v>0</v>
      </c>
    </row>
    <row r="1792">
      <c r="A1792" s="2" t="n">
        <v>1790</v>
      </c>
      <c r="B1792" s="2" t="inlineStr">
        <is>
          <t>truncate</t>
        </is>
      </c>
      <c r="C1792" s="2" t="inlineStr">
        <is>
          <t>openssl TLS 1.2 only</t>
        </is>
      </c>
      <c r="D1792" s="2" t="n">
        <v>104</v>
      </c>
      <c r="E1792" s="2" t="n">
        <v>104</v>
      </c>
      <c r="F1792" s="2" t="n">
        <v>1</v>
      </c>
      <c r="G1792" s="2" t="n">
        <v>1</v>
      </c>
      <c r="H1792" s="2" t="n">
        <v>0</v>
      </c>
      <c r="I1792" s="2" t="n">
        <v>0</v>
      </c>
    </row>
    <row r="1793">
      <c r="A1793" s="2" t="n">
        <v>1791</v>
      </c>
      <c r="B1793" s="2" t="inlineStr">
        <is>
          <t>length</t>
        </is>
      </c>
      <c r="C1793" s="2" t="inlineStr">
        <is>
          <t>openssl 3.5.8 default</t>
        </is>
      </c>
      <c r="D1793" s="2" t="n">
        <v>1548</v>
      </c>
      <c r="E1793" s="2" t="n">
        <v>1548</v>
      </c>
      <c r="F1793" s="2" t="n">
        <v>1</v>
      </c>
      <c r="G1793" s="2" t="n">
        <v>0</v>
      </c>
      <c r="H1793" s="2" t="n">
        <v>0</v>
      </c>
      <c r="I1793" s="2" t="n">
        <v>0</v>
      </c>
    </row>
    <row r="1794">
      <c r="A1794" s="2" t="n">
        <v>1792</v>
      </c>
      <c r="B1794" s="2" t="inlineStr">
        <is>
          <t>insert</t>
        </is>
      </c>
      <c r="C1794" s="2" t="inlineStr">
        <is>
          <t>openssl 3.5.8 default</t>
        </is>
      </c>
      <c r="D1794" s="2" t="n">
        <v>1559</v>
      </c>
      <c r="E1794" s="2" t="n">
        <v>1559</v>
      </c>
      <c r="F1794" s="2" t="n">
        <v>1</v>
      </c>
      <c r="G1794" s="2" t="n">
        <v>1</v>
      </c>
      <c r="H1794" s="2" t="n">
        <v>1</v>
      </c>
      <c r="I1794" s="2" t="n">
        <v>0</v>
      </c>
    </row>
    <row r="1795">
      <c r="A1795" s="2" t="n">
        <v>1793</v>
      </c>
      <c r="B1795" s="2" t="inlineStr">
        <is>
          <t>flip</t>
        </is>
      </c>
      <c r="C1795" s="2" t="inlineStr">
        <is>
          <t>browser firefox147</t>
        </is>
      </c>
      <c r="D1795" s="2" t="n">
        <v>1901</v>
      </c>
      <c r="E1795" s="2" t="n">
        <v>1901</v>
      </c>
      <c r="F1795" s="2" t="n">
        <v>1</v>
      </c>
      <c r="G1795" s="2" t="n">
        <v>1</v>
      </c>
      <c r="H1795" s="2" t="n">
        <v>0</v>
      </c>
      <c r="I1795" s="2" t="n">
        <v>0</v>
      </c>
    </row>
    <row r="1796">
      <c r="A1796" s="2" t="n">
        <v>1794</v>
      </c>
      <c r="B1796" s="2" t="inlineStr">
        <is>
          <t>truncate</t>
        </is>
      </c>
      <c r="C1796" s="2" t="inlineStr">
        <is>
          <t>browser chrome150</t>
        </is>
      </c>
      <c r="D1796" s="2" t="n">
        <v>312</v>
      </c>
      <c r="E1796" s="2" t="n">
        <v>312</v>
      </c>
      <c r="F1796" s="2" t="n">
        <v>1</v>
      </c>
      <c r="G1796" s="2" t="n">
        <v>1</v>
      </c>
      <c r="H1796" s="2" t="n">
        <v>1</v>
      </c>
      <c r="I1796" s="2" t="n">
        <v>0</v>
      </c>
    </row>
    <row r="1797">
      <c r="A1797" s="2" t="n">
        <v>1795</v>
      </c>
      <c r="B1797" s="2" t="inlineStr">
        <is>
          <t>length</t>
        </is>
      </c>
      <c r="C1797" s="2" t="inlineStr">
        <is>
          <t>openssl TLS 1.2 only</t>
        </is>
      </c>
      <c r="D1797" s="2" t="n">
        <v>215</v>
      </c>
      <c r="E1797" s="2" t="n">
        <v>215</v>
      </c>
      <c r="F1797" s="2" t="n">
        <v>1</v>
      </c>
      <c r="G1797" s="2" t="n">
        <v>1</v>
      </c>
      <c r="H1797" s="2" t="n">
        <v>1</v>
      </c>
      <c r="I1797" s="2" t="n">
        <v>0</v>
      </c>
    </row>
    <row r="1798">
      <c r="A1798" s="2" t="n">
        <v>1796</v>
      </c>
      <c r="B1798" s="2" t="inlineStr">
        <is>
          <t>insert</t>
        </is>
      </c>
      <c r="C1798" s="2" t="inlineStr">
        <is>
          <t>browser chrome150</t>
        </is>
      </c>
      <c r="D1798" s="2" t="n">
        <v>1770</v>
      </c>
      <c r="E1798" s="2" t="n">
        <v>1770</v>
      </c>
      <c r="F1798" s="2" t="n">
        <v>1</v>
      </c>
      <c r="G1798" s="2" t="n">
        <v>1</v>
      </c>
      <c r="H1798" s="2" t="n">
        <v>1</v>
      </c>
      <c r="I1798" s="2" t="n">
        <v>0</v>
      </c>
    </row>
    <row r="1799">
      <c r="A1799" s="2" t="n">
        <v>1797</v>
      </c>
      <c r="B1799" s="2" t="inlineStr">
        <is>
          <t>flip</t>
        </is>
      </c>
      <c r="C1799" s="2" t="inlineStr">
        <is>
          <t>openssl TLS 1.2 only</t>
        </is>
      </c>
      <c r="D1799" s="2" t="n">
        <v>215</v>
      </c>
      <c r="E1799" s="2" t="n">
        <v>215</v>
      </c>
      <c r="F1799" s="2" t="n">
        <v>0</v>
      </c>
      <c r="G1799" s="2" t="n">
        <v>0</v>
      </c>
      <c r="H1799" s="2" t="n">
        <v>0</v>
      </c>
      <c r="I1799" s="2" t="n">
        <v>0</v>
      </c>
    </row>
    <row r="1800">
      <c r="A1800" s="2" t="n">
        <v>1798</v>
      </c>
      <c r="B1800" s="2" t="inlineStr">
        <is>
          <t>truncate</t>
        </is>
      </c>
      <c r="C1800" s="2" t="inlineStr">
        <is>
          <t>openssl 3.5.8 default</t>
        </is>
      </c>
      <c r="D1800" s="2" t="n">
        <v>1018</v>
      </c>
      <c r="E1800" s="2" t="n">
        <v>1018</v>
      </c>
      <c r="F1800" s="2" t="n">
        <v>1</v>
      </c>
      <c r="G1800" s="2" t="n">
        <v>1</v>
      </c>
      <c r="H1800" s="2" t="n">
        <v>1</v>
      </c>
      <c r="I1800" s="2" t="n">
        <v>0</v>
      </c>
    </row>
    <row r="1801">
      <c r="A1801" s="2" t="n">
        <v>1799</v>
      </c>
      <c r="B1801" s="2" t="inlineStr">
        <is>
          <t>length</t>
        </is>
      </c>
      <c r="C1801" s="2" t="inlineStr">
        <is>
          <t>openssl TLS 1.2 only</t>
        </is>
      </c>
      <c r="D1801" s="2" t="n">
        <v>215</v>
      </c>
      <c r="E1801" s="2" t="n">
        <v>215</v>
      </c>
      <c r="F1801" s="2" t="n">
        <v>0</v>
      </c>
      <c r="G1801" s="2" t="n">
        <v>0</v>
      </c>
      <c r="H1801" s="2" t="n">
        <v>0</v>
      </c>
      <c r="I1801" s="2" t="n">
        <v>0</v>
      </c>
    </row>
    <row r="1802">
      <c r="A1802" s="2" t="n">
        <v>1800</v>
      </c>
      <c r="B1802" s="2" t="inlineStr">
        <is>
          <t>insert</t>
        </is>
      </c>
      <c r="C1802" s="2" t="inlineStr">
        <is>
          <t>openssl TLS 1.2 only</t>
        </is>
      </c>
      <c r="D1802" s="2" t="n">
        <v>222</v>
      </c>
      <c r="E1802" s="2" t="n">
        <v>222</v>
      </c>
      <c r="F1802" s="2" t="n">
        <v>1</v>
      </c>
      <c r="G1802" s="2" t="n">
        <v>0</v>
      </c>
      <c r="H1802" s="2" t="n">
        <v>0</v>
      </c>
      <c r="I1802" s="2" t="n">
        <v>0</v>
      </c>
    </row>
    <row r="1803">
      <c r="A1803" s="2" t="n">
        <v>1801</v>
      </c>
      <c r="B1803" s="2" t="inlineStr">
        <is>
          <t>flip</t>
        </is>
      </c>
      <c r="C1803" s="2" t="inlineStr">
        <is>
          <t>openssl TLS 1.2 only</t>
        </is>
      </c>
      <c r="D1803" s="2" t="n">
        <v>215</v>
      </c>
      <c r="E1803" s="2" t="n">
        <v>215</v>
      </c>
      <c r="F1803" s="2" t="n">
        <v>1</v>
      </c>
      <c r="G1803" s="2" t="n">
        <v>1</v>
      </c>
      <c r="H1803" s="2" t="n">
        <v>1</v>
      </c>
      <c r="I1803" s="2" t="n">
        <v>0</v>
      </c>
    </row>
    <row r="1804">
      <c r="A1804" s="2" t="n">
        <v>1802</v>
      </c>
      <c r="B1804" s="2" t="inlineStr">
        <is>
          <t>truncate</t>
        </is>
      </c>
      <c r="C1804" s="2" t="inlineStr">
        <is>
          <t>openssl TLS 1.2 only</t>
        </is>
      </c>
      <c r="D1804" s="2" t="n">
        <v>196</v>
      </c>
      <c r="E1804" s="2" t="n">
        <v>196</v>
      </c>
      <c r="F1804" s="2" t="n">
        <v>1</v>
      </c>
      <c r="G1804" s="2" t="n">
        <v>1</v>
      </c>
      <c r="H1804" s="2" t="n">
        <v>1</v>
      </c>
      <c r="I1804" s="2" t="n">
        <v>0</v>
      </c>
    </row>
    <row r="1805">
      <c r="A1805" s="2" t="n">
        <v>1803</v>
      </c>
      <c r="B1805" s="2" t="inlineStr">
        <is>
          <t>length</t>
        </is>
      </c>
      <c r="C1805" s="2" t="inlineStr">
        <is>
          <t>browser chrome150</t>
        </is>
      </c>
      <c r="D1805" s="2" t="n">
        <v>1763</v>
      </c>
      <c r="E1805" s="2" t="n">
        <v>1763</v>
      </c>
      <c r="F1805" s="2" t="n">
        <v>1</v>
      </c>
      <c r="G1805" s="2" t="n">
        <v>1</v>
      </c>
      <c r="H1805" s="2" t="n">
        <v>0</v>
      </c>
      <c r="I1805" s="2" t="n">
        <v>0</v>
      </c>
    </row>
    <row r="1806">
      <c r="A1806" s="2" t="n">
        <v>1804</v>
      </c>
      <c r="B1806" s="2" t="inlineStr">
        <is>
          <t>insert</t>
        </is>
      </c>
      <c r="C1806" s="2" t="inlineStr">
        <is>
          <t>openssl 3.5.8 default</t>
        </is>
      </c>
      <c r="D1806" s="2" t="n">
        <v>1562</v>
      </c>
      <c r="E1806" s="2" t="n">
        <v>1562</v>
      </c>
      <c r="F1806" s="2" t="n">
        <v>1</v>
      </c>
      <c r="G1806" s="2" t="n">
        <v>1</v>
      </c>
      <c r="H1806" s="2" t="n">
        <v>1</v>
      </c>
      <c r="I1806" s="2" t="n">
        <v>0</v>
      </c>
    </row>
    <row r="1807">
      <c r="A1807" s="2" t="n">
        <v>1805</v>
      </c>
      <c r="B1807" s="2" t="inlineStr">
        <is>
          <t>flip</t>
        </is>
      </c>
      <c r="C1807" s="2" t="inlineStr">
        <is>
          <t>browser firefox147</t>
        </is>
      </c>
      <c r="D1807" s="2" t="n">
        <v>1901</v>
      </c>
      <c r="E1807" s="2" t="n">
        <v>1901</v>
      </c>
      <c r="F1807" s="2" t="n">
        <v>1</v>
      </c>
      <c r="G1807" s="2" t="n">
        <v>1</v>
      </c>
      <c r="H1807" s="2" t="n">
        <v>0</v>
      </c>
      <c r="I1807" s="2" t="n">
        <v>0</v>
      </c>
    </row>
    <row r="1808">
      <c r="A1808" s="2" t="n">
        <v>1806</v>
      </c>
      <c r="B1808" s="2" t="inlineStr">
        <is>
          <t>truncate</t>
        </is>
      </c>
      <c r="C1808" s="2" t="inlineStr">
        <is>
          <t>openssl TLS 1.2 only</t>
        </is>
      </c>
      <c r="D1808" s="2" t="n">
        <v>46</v>
      </c>
      <c r="E1808" s="2" t="n">
        <v>46</v>
      </c>
      <c r="F1808" s="2" t="n">
        <v>1</v>
      </c>
      <c r="G1808" s="2" t="n">
        <v>0</v>
      </c>
      <c r="H1808" s="2" t="n">
        <v>0</v>
      </c>
      <c r="I1808" s="2" t="n">
        <v>0</v>
      </c>
    </row>
    <row r="1809">
      <c r="A1809" s="2" t="n">
        <v>1807</v>
      </c>
      <c r="B1809" s="2" t="inlineStr">
        <is>
          <t>length</t>
        </is>
      </c>
      <c r="C1809" s="2" t="inlineStr">
        <is>
          <t>browser firefox147</t>
        </is>
      </c>
      <c r="D1809" s="2" t="n">
        <v>1901</v>
      </c>
      <c r="E1809" s="2" t="n">
        <v>1901</v>
      </c>
      <c r="F1809" s="2" t="n">
        <v>1</v>
      </c>
      <c r="G1809" s="2" t="n">
        <v>1</v>
      </c>
      <c r="H1809" s="2" t="n">
        <v>0</v>
      </c>
      <c r="I1809" s="2" t="n">
        <v>0</v>
      </c>
    </row>
    <row r="1810">
      <c r="A1810" s="2" t="n">
        <v>1808</v>
      </c>
      <c r="B1810" s="2" t="inlineStr">
        <is>
          <t>insert</t>
        </is>
      </c>
      <c r="C1810" s="2" t="inlineStr">
        <is>
          <t>openssl TLS 1.2 only</t>
        </is>
      </c>
      <c r="D1810" s="2" t="n">
        <v>227</v>
      </c>
      <c r="E1810" s="2" t="n">
        <v>227</v>
      </c>
      <c r="F1810" s="2" t="n">
        <v>1</v>
      </c>
      <c r="G1810" s="2" t="n">
        <v>1</v>
      </c>
      <c r="H1810" s="2" t="n">
        <v>1</v>
      </c>
      <c r="I1810" s="2" t="n">
        <v>0</v>
      </c>
    </row>
    <row r="1811">
      <c r="A1811" s="2" t="n">
        <v>1809</v>
      </c>
      <c r="B1811" s="2" t="inlineStr">
        <is>
          <t>flip</t>
        </is>
      </c>
      <c r="C1811" s="2" t="inlineStr">
        <is>
          <t>openssl 3.5.8 default</t>
        </is>
      </c>
      <c r="D1811" s="2" t="n">
        <v>1548</v>
      </c>
      <c r="E1811" s="2" t="n">
        <v>1548</v>
      </c>
      <c r="F1811" s="2" t="n">
        <v>1</v>
      </c>
      <c r="G1811" s="2" t="n">
        <v>1</v>
      </c>
      <c r="H1811" s="2" t="n">
        <v>1</v>
      </c>
      <c r="I1811" s="2" t="n">
        <v>0</v>
      </c>
    </row>
    <row r="1812">
      <c r="A1812" s="2" t="n">
        <v>1810</v>
      </c>
      <c r="B1812" s="2" t="inlineStr">
        <is>
          <t>truncate</t>
        </is>
      </c>
      <c r="C1812" s="2" t="inlineStr">
        <is>
          <t>browser chrome150</t>
        </is>
      </c>
      <c r="D1812" s="2" t="n">
        <v>1401</v>
      </c>
      <c r="E1812" s="2" t="n">
        <v>1401</v>
      </c>
      <c r="F1812" s="2" t="n">
        <v>1</v>
      </c>
      <c r="G1812" s="2" t="n">
        <v>1</v>
      </c>
      <c r="H1812" s="2" t="n">
        <v>1</v>
      </c>
      <c r="I1812" s="2" t="n">
        <v>0</v>
      </c>
    </row>
    <row r="1813">
      <c r="A1813" s="2" t="n">
        <v>1811</v>
      </c>
      <c r="B1813" s="2" t="inlineStr">
        <is>
          <t>length</t>
        </is>
      </c>
      <c r="C1813" s="2" t="inlineStr">
        <is>
          <t>browser firefox147</t>
        </is>
      </c>
      <c r="D1813" s="2" t="n">
        <v>1901</v>
      </c>
      <c r="E1813" s="2" t="n">
        <v>1901</v>
      </c>
      <c r="F1813" s="2" t="n">
        <v>0</v>
      </c>
      <c r="G1813" s="2" t="n">
        <v>0</v>
      </c>
      <c r="H1813" s="2" t="n">
        <v>0</v>
      </c>
      <c r="I1813" s="2" t="n">
        <v>0</v>
      </c>
    </row>
    <row r="1814">
      <c r="A1814" s="2" t="n">
        <v>1812</v>
      </c>
      <c r="B1814" s="2" t="inlineStr">
        <is>
          <t>insert</t>
        </is>
      </c>
      <c r="C1814" s="2" t="inlineStr">
        <is>
          <t>openssl X25519 only (classical)</t>
        </is>
      </c>
      <c r="D1814" s="2" t="n">
        <v>322</v>
      </c>
      <c r="E1814" s="2" t="n">
        <v>322</v>
      </c>
      <c r="F1814" s="2" t="n">
        <v>1</v>
      </c>
      <c r="G1814" s="2" t="n">
        <v>1</v>
      </c>
      <c r="H1814" s="2" t="n">
        <v>1</v>
      </c>
      <c r="I1814" s="2" t="n">
        <v>0</v>
      </c>
    </row>
    <row r="1815">
      <c r="A1815" s="2" t="n">
        <v>1813</v>
      </c>
      <c r="B1815" s="2" t="inlineStr">
        <is>
          <t>flip</t>
        </is>
      </c>
      <c r="C1815" s="2" t="inlineStr">
        <is>
          <t>browser chrome150</t>
        </is>
      </c>
      <c r="D1815" s="2" t="n">
        <v>1763</v>
      </c>
      <c r="E1815" s="2" t="n">
        <v>1763</v>
      </c>
      <c r="F1815" s="2" t="n">
        <v>1</v>
      </c>
      <c r="G1815" s="2" t="n">
        <v>1</v>
      </c>
      <c r="H1815" s="2" t="n">
        <v>1</v>
      </c>
      <c r="I1815" s="2" t="n">
        <v>0</v>
      </c>
    </row>
    <row r="1816">
      <c r="A1816" s="2" t="n">
        <v>1814</v>
      </c>
      <c r="B1816" s="2" t="inlineStr">
        <is>
          <t>truncate</t>
        </is>
      </c>
      <c r="C1816" s="2" t="inlineStr">
        <is>
          <t>openssl X25519 only (classical)</t>
        </is>
      </c>
      <c r="D1816" s="2" t="n">
        <v>273</v>
      </c>
      <c r="E1816" s="2" t="n">
        <v>273</v>
      </c>
      <c r="F1816" s="2" t="n">
        <v>1</v>
      </c>
      <c r="G1816" s="2" t="n">
        <v>1</v>
      </c>
      <c r="H1816" s="2" t="n">
        <v>1</v>
      </c>
      <c r="I1816" s="2" t="n">
        <v>0</v>
      </c>
    </row>
    <row r="1817">
      <c r="A1817" s="2" t="n">
        <v>1815</v>
      </c>
      <c r="B1817" s="2" t="inlineStr">
        <is>
          <t>length</t>
        </is>
      </c>
      <c r="C1817" s="2" t="inlineStr">
        <is>
          <t>browser firefox147</t>
        </is>
      </c>
      <c r="D1817" s="2" t="n">
        <v>1901</v>
      </c>
      <c r="E1817" s="2" t="n">
        <v>1901</v>
      </c>
      <c r="F1817" s="2" t="n">
        <v>1</v>
      </c>
      <c r="G1817" s="2" t="n">
        <v>1</v>
      </c>
      <c r="H1817" s="2" t="n">
        <v>0</v>
      </c>
      <c r="I1817" s="2" t="n">
        <v>0</v>
      </c>
    </row>
    <row r="1818">
      <c r="A1818" s="2" t="n">
        <v>1816</v>
      </c>
      <c r="B1818" s="2" t="inlineStr">
        <is>
          <t>insert</t>
        </is>
      </c>
      <c r="C1818" s="2" t="inlineStr">
        <is>
          <t>browser chrome150</t>
        </is>
      </c>
      <c r="D1818" s="2" t="n">
        <v>1774</v>
      </c>
      <c r="E1818" s="2" t="n">
        <v>1774</v>
      </c>
      <c r="F1818" s="2" t="n">
        <v>1</v>
      </c>
      <c r="G1818" s="2" t="n">
        <v>1</v>
      </c>
      <c r="H1818" s="2" t="n">
        <v>1</v>
      </c>
      <c r="I1818" s="2" t="n">
        <v>0</v>
      </c>
    </row>
    <row r="1819">
      <c r="A1819" s="2" t="n">
        <v>1817</v>
      </c>
      <c r="B1819" s="2" t="inlineStr">
        <is>
          <t>flip</t>
        </is>
      </c>
      <c r="C1819" s="2" t="inlineStr">
        <is>
          <t>openssl X25519 only (classical)</t>
        </is>
      </c>
      <c r="D1819" s="2" t="n">
        <v>314</v>
      </c>
      <c r="E1819" s="2" t="n">
        <v>314</v>
      </c>
      <c r="F1819" s="2" t="n">
        <v>1</v>
      </c>
      <c r="G1819" s="2" t="n">
        <v>1</v>
      </c>
      <c r="H1819" s="2" t="n">
        <v>1</v>
      </c>
      <c r="I1819" s="2" t="n">
        <v>0</v>
      </c>
    </row>
    <row r="1820">
      <c r="A1820" s="2" t="n">
        <v>1818</v>
      </c>
      <c r="B1820" s="2" t="inlineStr">
        <is>
          <t>truncate</t>
        </is>
      </c>
      <c r="C1820" s="2" t="inlineStr">
        <is>
          <t>openssl TLS 1.2 only</t>
        </is>
      </c>
      <c r="D1820" s="2" t="n">
        <v>180</v>
      </c>
      <c r="E1820" s="2" t="n">
        <v>180</v>
      </c>
      <c r="F1820" s="2" t="n">
        <v>1</v>
      </c>
      <c r="G1820" s="2" t="n">
        <v>1</v>
      </c>
      <c r="H1820" s="2" t="n">
        <v>1</v>
      </c>
      <c r="I1820" s="2" t="n">
        <v>0</v>
      </c>
    </row>
    <row r="1821">
      <c r="A1821" s="2" t="n">
        <v>1819</v>
      </c>
      <c r="B1821" s="2" t="inlineStr">
        <is>
          <t>length</t>
        </is>
      </c>
      <c r="C1821" s="2" t="inlineStr">
        <is>
          <t>openssl X25519 only (classical)</t>
        </is>
      </c>
      <c r="D1821" s="2" t="n">
        <v>314</v>
      </c>
      <c r="E1821" s="2" t="n">
        <v>314</v>
      </c>
      <c r="F1821" s="2" t="n">
        <v>1</v>
      </c>
      <c r="G1821" s="2" t="n">
        <v>0</v>
      </c>
      <c r="H1821" s="2" t="n">
        <v>0</v>
      </c>
      <c r="I1821" s="2" t="n">
        <v>0</v>
      </c>
    </row>
    <row r="1822">
      <c r="A1822" s="2" t="n">
        <v>1820</v>
      </c>
      <c r="B1822" s="2" t="inlineStr">
        <is>
          <t>insert</t>
        </is>
      </c>
      <c r="C1822" s="2" t="inlineStr">
        <is>
          <t>openssl TLS 1.2 only</t>
        </is>
      </c>
      <c r="D1822" s="2" t="n">
        <v>217</v>
      </c>
      <c r="E1822" s="2" t="n">
        <v>217</v>
      </c>
      <c r="F1822" s="2" t="n">
        <v>1</v>
      </c>
      <c r="G1822" s="2" t="n">
        <v>1</v>
      </c>
      <c r="H1822" s="2" t="n">
        <v>1</v>
      </c>
      <c r="I1822" s="2" t="n">
        <v>0</v>
      </c>
    </row>
    <row r="1823">
      <c r="A1823" s="2" t="n">
        <v>1821</v>
      </c>
      <c r="B1823" s="2" t="inlineStr">
        <is>
          <t>flip</t>
        </is>
      </c>
      <c r="C1823" s="2" t="inlineStr">
        <is>
          <t>openssl TLS 1.2 only</t>
        </is>
      </c>
      <c r="D1823" s="2" t="n">
        <v>215</v>
      </c>
      <c r="E1823" s="2" t="n">
        <v>215</v>
      </c>
      <c r="F1823" s="2" t="n">
        <v>1</v>
      </c>
      <c r="G1823" s="2" t="n">
        <v>1</v>
      </c>
      <c r="H1823" s="2" t="n">
        <v>1</v>
      </c>
      <c r="I1823" s="2" t="n">
        <v>0</v>
      </c>
    </row>
    <row r="1824">
      <c r="A1824" s="2" t="n">
        <v>1822</v>
      </c>
      <c r="B1824" s="2" t="inlineStr">
        <is>
          <t>truncate</t>
        </is>
      </c>
      <c r="C1824" s="2" t="inlineStr">
        <is>
          <t>browser firefox147</t>
        </is>
      </c>
      <c r="D1824" s="2" t="n">
        <v>1201</v>
      </c>
      <c r="E1824" s="2" t="n">
        <v>1201</v>
      </c>
      <c r="F1824" s="2" t="n">
        <v>1</v>
      </c>
      <c r="G1824" s="2" t="n">
        <v>1</v>
      </c>
      <c r="H1824" s="2" t="n">
        <v>0</v>
      </c>
      <c r="I1824" s="2" t="n">
        <v>0</v>
      </c>
    </row>
    <row r="1825">
      <c r="A1825" s="2" t="n">
        <v>1823</v>
      </c>
      <c r="B1825" s="2" t="inlineStr">
        <is>
          <t>length</t>
        </is>
      </c>
      <c r="C1825" s="2" t="inlineStr">
        <is>
          <t>openssl 3.5.8 default</t>
        </is>
      </c>
      <c r="D1825" s="2" t="n">
        <v>1548</v>
      </c>
      <c r="E1825" s="2" t="n">
        <v>1548</v>
      </c>
      <c r="F1825" s="2" t="n">
        <v>1</v>
      </c>
      <c r="G1825" s="2" t="n">
        <v>0</v>
      </c>
      <c r="H1825" s="2" t="n">
        <v>0</v>
      </c>
      <c r="I1825" s="2" t="n">
        <v>0</v>
      </c>
    </row>
    <row r="1826">
      <c r="A1826" s="2" t="n">
        <v>1824</v>
      </c>
      <c r="B1826" s="2" t="inlineStr">
        <is>
          <t>insert</t>
        </is>
      </c>
      <c r="C1826" s="2" t="inlineStr">
        <is>
          <t>openssl TLS 1.2 only</t>
        </is>
      </c>
      <c r="D1826" s="2" t="n">
        <v>224</v>
      </c>
      <c r="E1826" s="2" t="n">
        <v>224</v>
      </c>
      <c r="F1826" s="2" t="n">
        <v>1</v>
      </c>
      <c r="G1826" s="2" t="n">
        <v>0</v>
      </c>
      <c r="H1826" s="2" t="n">
        <v>0</v>
      </c>
      <c r="I1826" s="2" t="n">
        <v>0</v>
      </c>
    </row>
    <row r="1827">
      <c r="A1827" s="2" t="n">
        <v>1825</v>
      </c>
      <c r="B1827" s="2" t="inlineStr">
        <is>
          <t>flip</t>
        </is>
      </c>
      <c r="C1827" s="2" t="inlineStr">
        <is>
          <t>openssl 3.5.8 default</t>
        </is>
      </c>
      <c r="D1827" s="2" t="n">
        <v>1548</v>
      </c>
      <c r="E1827" s="2" t="n">
        <v>1548</v>
      </c>
      <c r="F1827" s="2" t="n">
        <v>1</v>
      </c>
      <c r="G1827" s="2" t="n">
        <v>1</v>
      </c>
      <c r="H1827" s="2" t="n">
        <v>1</v>
      </c>
      <c r="I1827" s="2" t="n">
        <v>0</v>
      </c>
    </row>
    <row r="1828">
      <c r="A1828" s="2" t="n">
        <v>1826</v>
      </c>
      <c r="B1828" s="2" t="inlineStr">
        <is>
          <t>truncate</t>
        </is>
      </c>
      <c r="C1828" s="2" t="inlineStr">
        <is>
          <t>openssl 3.5.8 default</t>
        </is>
      </c>
      <c r="D1828" s="2" t="n">
        <v>344</v>
      </c>
      <c r="E1828" s="2" t="n">
        <v>344</v>
      </c>
      <c r="F1828" s="2" t="n">
        <v>1</v>
      </c>
      <c r="G1828" s="2" t="n">
        <v>1</v>
      </c>
      <c r="H1828" s="2" t="n">
        <v>1</v>
      </c>
      <c r="I1828" s="2" t="n">
        <v>0</v>
      </c>
    </row>
    <row r="1829">
      <c r="A1829" s="2" t="n">
        <v>1827</v>
      </c>
      <c r="B1829" s="2" t="inlineStr">
        <is>
          <t>length</t>
        </is>
      </c>
      <c r="C1829" s="2" t="inlineStr">
        <is>
          <t>browser chrome150</t>
        </is>
      </c>
      <c r="D1829" s="2" t="n">
        <v>1763</v>
      </c>
      <c r="E1829" s="2" t="n">
        <v>1763</v>
      </c>
      <c r="F1829" s="2" t="n">
        <v>1</v>
      </c>
      <c r="G1829" s="2" t="n">
        <v>1</v>
      </c>
      <c r="H1829" s="2" t="n">
        <v>1</v>
      </c>
      <c r="I1829" s="2" t="n">
        <v>0</v>
      </c>
    </row>
    <row r="1830">
      <c r="A1830" s="2" t="n">
        <v>1828</v>
      </c>
      <c r="B1830" s="2" t="inlineStr">
        <is>
          <t>insert</t>
        </is>
      </c>
      <c r="C1830" s="2" t="inlineStr">
        <is>
          <t>openssl 3.5.8 default</t>
        </is>
      </c>
      <c r="D1830" s="2" t="n">
        <v>1558</v>
      </c>
      <c r="E1830" s="2" t="n">
        <v>1558</v>
      </c>
      <c r="F1830" s="2" t="n">
        <v>1</v>
      </c>
      <c r="G1830" s="2" t="n">
        <v>1</v>
      </c>
      <c r="H1830" s="2" t="n">
        <v>1</v>
      </c>
      <c r="I1830" s="2" t="n">
        <v>0</v>
      </c>
    </row>
    <row r="1831">
      <c r="A1831" s="2" t="n">
        <v>1829</v>
      </c>
      <c r="B1831" s="2" t="inlineStr">
        <is>
          <t>flip</t>
        </is>
      </c>
      <c r="C1831" s="2" t="inlineStr">
        <is>
          <t>openssl X25519 only (classical)</t>
        </is>
      </c>
      <c r="D1831" s="2" t="n">
        <v>314</v>
      </c>
      <c r="E1831" s="2" t="n">
        <v>314</v>
      </c>
      <c r="F1831" s="2" t="n">
        <v>0</v>
      </c>
      <c r="G1831" s="2" t="n">
        <v>0</v>
      </c>
      <c r="H1831" s="2" t="n">
        <v>0</v>
      </c>
      <c r="I1831" s="2" t="n">
        <v>0</v>
      </c>
    </row>
    <row r="1832">
      <c r="A1832" s="2" t="n">
        <v>1830</v>
      </c>
      <c r="B1832" s="2" t="inlineStr">
        <is>
          <t>truncate</t>
        </is>
      </c>
      <c r="C1832" s="2" t="inlineStr">
        <is>
          <t>openssl X25519 only (classical)</t>
        </is>
      </c>
      <c r="D1832" s="2" t="n">
        <v>64</v>
      </c>
      <c r="E1832" s="2" t="n">
        <v>64</v>
      </c>
      <c r="F1832" s="2" t="n">
        <v>1</v>
      </c>
      <c r="G1832" s="2" t="n">
        <v>0</v>
      </c>
      <c r="H1832" s="2" t="n">
        <v>0</v>
      </c>
      <c r="I1832" s="2" t="n">
        <v>0</v>
      </c>
    </row>
    <row r="1833">
      <c r="A1833" s="2" t="n">
        <v>1831</v>
      </c>
      <c r="B1833" s="2" t="inlineStr">
        <is>
          <t>length</t>
        </is>
      </c>
      <c r="C1833" s="2" t="inlineStr">
        <is>
          <t>browser firefox147</t>
        </is>
      </c>
      <c r="D1833" s="2" t="n">
        <v>1901</v>
      </c>
      <c r="E1833" s="2" t="n">
        <v>1901</v>
      </c>
      <c r="F1833" s="2" t="n">
        <v>1</v>
      </c>
      <c r="G1833" s="2" t="n">
        <v>1</v>
      </c>
      <c r="H1833" s="2" t="n">
        <v>0</v>
      </c>
      <c r="I1833" s="2" t="n">
        <v>0</v>
      </c>
    </row>
    <row r="1834">
      <c r="A1834" s="2" t="n">
        <v>1832</v>
      </c>
      <c r="B1834" s="2" t="inlineStr">
        <is>
          <t>insert</t>
        </is>
      </c>
      <c r="C1834" s="2" t="inlineStr">
        <is>
          <t>openssl TLS 1.2 only</t>
        </is>
      </c>
      <c r="D1834" s="2" t="n">
        <v>221</v>
      </c>
      <c r="E1834" s="2" t="n">
        <v>221</v>
      </c>
      <c r="F1834" s="2" t="n">
        <v>1</v>
      </c>
      <c r="G1834" s="2" t="n">
        <v>1</v>
      </c>
      <c r="H1834" s="2" t="n">
        <v>0</v>
      </c>
      <c r="I1834" s="2" t="n">
        <v>0</v>
      </c>
    </row>
    <row r="1835">
      <c r="A1835" s="2" t="n">
        <v>1833</v>
      </c>
      <c r="B1835" s="2" t="inlineStr">
        <is>
          <t>flip</t>
        </is>
      </c>
      <c r="C1835" s="2" t="inlineStr">
        <is>
          <t>browser firefox147</t>
        </is>
      </c>
      <c r="D1835" s="2" t="n">
        <v>1901</v>
      </c>
      <c r="E1835" s="2" t="n">
        <v>1901</v>
      </c>
      <c r="F1835" s="2" t="n">
        <v>1</v>
      </c>
      <c r="G1835" s="2" t="n">
        <v>1</v>
      </c>
      <c r="H1835" s="2" t="n">
        <v>0</v>
      </c>
      <c r="I1835" s="2" t="n">
        <v>0</v>
      </c>
    </row>
    <row r="1836">
      <c r="A1836" s="2" t="n">
        <v>1834</v>
      </c>
      <c r="B1836" s="2" t="inlineStr">
        <is>
          <t>truncate</t>
        </is>
      </c>
      <c r="C1836" s="2" t="inlineStr">
        <is>
          <t>browser firefox147</t>
        </is>
      </c>
      <c r="D1836" s="2" t="n">
        <v>1154</v>
      </c>
      <c r="E1836" s="2" t="n">
        <v>1154</v>
      </c>
      <c r="F1836" s="2" t="n">
        <v>1</v>
      </c>
      <c r="G1836" s="2" t="n">
        <v>1</v>
      </c>
      <c r="H1836" s="2" t="n">
        <v>0</v>
      </c>
      <c r="I1836" s="2" t="n">
        <v>0</v>
      </c>
    </row>
    <row r="1837">
      <c r="A1837" s="2" t="n">
        <v>1835</v>
      </c>
      <c r="B1837" s="2" t="inlineStr">
        <is>
          <t>length</t>
        </is>
      </c>
      <c r="C1837" s="2" t="inlineStr">
        <is>
          <t>openssl TLS 1.2 only</t>
        </is>
      </c>
      <c r="D1837" s="2" t="n">
        <v>215</v>
      </c>
      <c r="E1837" s="2" t="n">
        <v>215</v>
      </c>
      <c r="F1837" s="2" t="n">
        <v>1</v>
      </c>
      <c r="G1837" s="2" t="n">
        <v>1</v>
      </c>
      <c r="H1837" s="2" t="n">
        <v>1</v>
      </c>
      <c r="I1837" s="2" t="n">
        <v>0</v>
      </c>
    </row>
    <row r="1838">
      <c r="A1838" s="2" t="n">
        <v>1836</v>
      </c>
      <c r="B1838" s="2" t="inlineStr">
        <is>
          <t>insert</t>
        </is>
      </c>
      <c r="C1838" s="2" t="inlineStr">
        <is>
          <t>openssl 3.5.8 default</t>
        </is>
      </c>
      <c r="D1838" s="2" t="n">
        <v>1553</v>
      </c>
      <c r="E1838" s="2" t="n">
        <v>1553</v>
      </c>
      <c r="F1838" s="2" t="n">
        <v>1</v>
      </c>
      <c r="G1838" s="2" t="n">
        <v>1</v>
      </c>
      <c r="H1838" s="2" t="n">
        <v>1</v>
      </c>
      <c r="I1838" s="2" t="n">
        <v>0</v>
      </c>
    </row>
    <row r="1839">
      <c r="A1839" s="2" t="n">
        <v>1837</v>
      </c>
      <c r="B1839" s="2" t="inlineStr">
        <is>
          <t>flip</t>
        </is>
      </c>
      <c r="C1839" s="2" t="inlineStr">
        <is>
          <t>browser firefox147</t>
        </is>
      </c>
      <c r="D1839" s="2" t="n">
        <v>1901</v>
      </c>
      <c r="E1839" s="2" t="n">
        <v>1901</v>
      </c>
      <c r="F1839" s="2" t="n">
        <v>1</v>
      </c>
      <c r="G1839" s="2" t="n">
        <v>1</v>
      </c>
      <c r="H1839" s="2" t="n">
        <v>0</v>
      </c>
      <c r="I1839" s="2" t="n">
        <v>0</v>
      </c>
    </row>
    <row r="1840">
      <c r="A1840" s="2" t="n">
        <v>1838</v>
      </c>
      <c r="B1840" s="2" t="inlineStr">
        <is>
          <t>truncate</t>
        </is>
      </c>
      <c r="C1840" s="2" t="inlineStr">
        <is>
          <t>browser firefox147</t>
        </is>
      </c>
      <c r="D1840" s="2" t="n">
        <v>382</v>
      </c>
      <c r="E1840" s="2" t="n">
        <v>382</v>
      </c>
      <c r="F1840" s="2" t="n">
        <v>1</v>
      </c>
      <c r="G1840" s="2" t="n">
        <v>1</v>
      </c>
      <c r="H1840" s="2" t="n">
        <v>0</v>
      </c>
      <c r="I1840" s="2" t="n">
        <v>0</v>
      </c>
    </row>
    <row r="1841">
      <c r="A1841" s="2" t="n">
        <v>1839</v>
      </c>
      <c r="B1841" s="2" t="inlineStr">
        <is>
          <t>length</t>
        </is>
      </c>
      <c r="C1841" s="2" t="inlineStr">
        <is>
          <t>openssl 3.5.8 default</t>
        </is>
      </c>
      <c r="D1841" s="2" t="n">
        <v>1548</v>
      </c>
      <c r="E1841" s="2" t="n">
        <v>1548</v>
      </c>
      <c r="F1841" s="2" t="n">
        <v>1</v>
      </c>
      <c r="G1841" s="2" t="n">
        <v>1</v>
      </c>
      <c r="H1841" s="2" t="n">
        <v>1</v>
      </c>
      <c r="I1841" s="2" t="n">
        <v>0</v>
      </c>
    </row>
    <row r="1842">
      <c r="A1842" s="2" t="n">
        <v>1840</v>
      </c>
      <c r="B1842" s="2" t="inlineStr">
        <is>
          <t>insert</t>
        </is>
      </c>
      <c r="C1842" s="2" t="inlineStr">
        <is>
          <t>openssl 3.5.8 default</t>
        </is>
      </c>
      <c r="D1842" s="2" t="n">
        <v>1554</v>
      </c>
      <c r="E1842" s="2" t="n">
        <v>1554</v>
      </c>
      <c r="F1842" s="2" t="n">
        <v>1</v>
      </c>
      <c r="G1842" s="2" t="n">
        <v>1</v>
      </c>
      <c r="H1842" s="2" t="n">
        <v>1</v>
      </c>
      <c r="I1842" s="2" t="n">
        <v>0</v>
      </c>
    </row>
    <row r="1843">
      <c r="A1843" s="2" t="n">
        <v>1841</v>
      </c>
      <c r="B1843" s="2" t="inlineStr">
        <is>
          <t>flip</t>
        </is>
      </c>
      <c r="C1843" s="2" t="inlineStr">
        <is>
          <t>browser firefox147</t>
        </is>
      </c>
      <c r="D1843" s="2" t="n">
        <v>1901</v>
      </c>
      <c r="E1843" s="2" t="n">
        <v>1901</v>
      </c>
      <c r="F1843" s="2" t="n">
        <v>1</v>
      </c>
      <c r="G1843" s="2" t="n">
        <v>1</v>
      </c>
      <c r="H1843" s="2" t="n">
        <v>0</v>
      </c>
      <c r="I1843" s="2" t="n">
        <v>0</v>
      </c>
    </row>
    <row r="1844">
      <c r="A1844" s="2" t="n">
        <v>1842</v>
      </c>
      <c r="B1844" s="2" t="inlineStr">
        <is>
          <t>truncate</t>
        </is>
      </c>
      <c r="C1844" s="2" t="inlineStr">
        <is>
          <t>openssl 3.5.8 default</t>
        </is>
      </c>
      <c r="D1844" s="2" t="n">
        <v>240</v>
      </c>
      <c r="E1844" s="2" t="n">
        <v>240</v>
      </c>
      <c r="F1844" s="2" t="n">
        <v>1</v>
      </c>
      <c r="G1844" s="2" t="n">
        <v>1</v>
      </c>
      <c r="H1844" s="2" t="n">
        <v>0</v>
      </c>
      <c r="I1844" s="2" t="n">
        <v>0</v>
      </c>
    </row>
    <row r="1845">
      <c r="A1845" s="2" t="n">
        <v>1843</v>
      </c>
      <c r="B1845" s="2" t="inlineStr">
        <is>
          <t>length</t>
        </is>
      </c>
      <c r="C1845" s="2" t="inlineStr">
        <is>
          <t>openssl X25519 only (classical)</t>
        </is>
      </c>
      <c r="D1845" s="2" t="n">
        <v>314</v>
      </c>
      <c r="E1845" s="2" t="n">
        <v>314</v>
      </c>
      <c r="F1845" s="2" t="n">
        <v>0</v>
      </c>
      <c r="G1845" s="2" t="n">
        <v>0</v>
      </c>
      <c r="H1845" s="2" t="n">
        <v>0</v>
      </c>
      <c r="I1845" s="2" t="n">
        <v>0</v>
      </c>
    </row>
    <row r="1846">
      <c r="A1846" s="2" t="n">
        <v>1844</v>
      </c>
      <c r="B1846" s="2" t="inlineStr">
        <is>
          <t>insert</t>
        </is>
      </c>
      <c r="C1846" s="2" t="inlineStr">
        <is>
          <t>openssl X25519 only (classical)</t>
        </is>
      </c>
      <c r="D1846" s="2" t="n">
        <v>324</v>
      </c>
      <c r="E1846" s="2" t="n">
        <v>324</v>
      </c>
      <c r="F1846" s="2" t="n">
        <v>1</v>
      </c>
      <c r="G1846" s="2" t="n">
        <v>0</v>
      </c>
      <c r="H1846" s="2" t="n">
        <v>0</v>
      </c>
      <c r="I1846" s="2" t="n">
        <v>0</v>
      </c>
    </row>
    <row r="1847">
      <c r="A1847" s="2" t="n">
        <v>1845</v>
      </c>
      <c r="B1847" s="2" t="inlineStr">
        <is>
          <t>flip</t>
        </is>
      </c>
      <c r="C1847" s="2" t="inlineStr">
        <is>
          <t>browser firefox147</t>
        </is>
      </c>
      <c r="D1847" s="2" t="n">
        <v>1901</v>
      </c>
      <c r="E1847" s="2" t="n">
        <v>1901</v>
      </c>
      <c r="F1847" s="2" t="n">
        <v>1</v>
      </c>
      <c r="G1847" s="2" t="n">
        <v>1</v>
      </c>
      <c r="H1847" s="2" t="n">
        <v>0</v>
      </c>
      <c r="I1847" s="2" t="n">
        <v>0</v>
      </c>
    </row>
    <row r="1848">
      <c r="A1848" s="2" t="n">
        <v>1846</v>
      </c>
      <c r="B1848" s="2" t="inlineStr">
        <is>
          <t>truncate</t>
        </is>
      </c>
      <c r="C1848" s="2" t="inlineStr">
        <is>
          <t>openssl TLS 1.2 only</t>
        </is>
      </c>
      <c r="D1848" s="2" t="n">
        <v>93</v>
      </c>
      <c r="E1848" s="2" t="n">
        <v>93</v>
      </c>
      <c r="F1848" s="2" t="n">
        <v>1</v>
      </c>
      <c r="G1848" s="2" t="n">
        <v>0</v>
      </c>
      <c r="H1848" s="2" t="n">
        <v>0</v>
      </c>
      <c r="I1848" s="2" t="n">
        <v>0</v>
      </c>
    </row>
    <row r="1849">
      <c r="A1849" s="2" t="n">
        <v>1847</v>
      </c>
      <c r="B1849" s="2" t="inlineStr">
        <is>
          <t>length</t>
        </is>
      </c>
      <c r="C1849" s="2" t="inlineStr">
        <is>
          <t>openssl X25519 only (classical)</t>
        </is>
      </c>
      <c r="D1849" s="2" t="n">
        <v>314</v>
      </c>
      <c r="E1849" s="2" t="n">
        <v>314</v>
      </c>
      <c r="F1849" s="2" t="n">
        <v>1</v>
      </c>
      <c r="G1849" s="2" t="n">
        <v>1</v>
      </c>
      <c r="H1849" s="2" t="n">
        <v>1</v>
      </c>
      <c r="I1849" s="2" t="n">
        <v>0</v>
      </c>
    </row>
    <row r="1850">
      <c r="A1850" s="2" t="n">
        <v>1848</v>
      </c>
      <c r="B1850" s="2" t="inlineStr">
        <is>
          <t>insert</t>
        </is>
      </c>
      <c r="C1850" s="2" t="inlineStr">
        <is>
          <t>browser chrome150</t>
        </is>
      </c>
      <c r="D1850" s="2" t="n">
        <v>1764</v>
      </c>
      <c r="E1850" s="2" t="n">
        <v>1764</v>
      </c>
      <c r="F1850" s="2" t="n">
        <v>1</v>
      </c>
      <c r="G1850" s="2" t="n">
        <v>1</v>
      </c>
      <c r="H1850" s="2" t="n">
        <v>1</v>
      </c>
      <c r="I1850" s="2" t="n">
        <v>0</v>
      </c>
    </row>
    <row r="1851">
      <c r="A1851" s="2" t="n">
        <v>1849</v>
      </c>
      <c r="B1851" s="2" t="inlineStr">
        <is>
          <t>flip</t>
        </is>
      </c>
      <c r="C1851" s="2" t="inlineStr">
        <is>
          <t>browser chrome150</t>
        </is>
      </c>
      <c r="D1851" s="2" t="n">
        <v>1763</v>
      </c>
      <c r="E1851" s="2" t="n">
        <v>1763</v>
      </c>
      <c r="F1851" s="2" t="n">
        <v>1</v>
      </c>
      <c r="G1851" s="2" t="n">
        <v>1</v>
      </c>
      <c r="H1851" s="2" t="n">
        <v>1</v>
      </c>
      <c r="I1851" s="2" t="n">
        <v>0</v>
      </c>
    </row>
    <row r="1852">
      <c r="A1852" s="2" t="n">
        <v>1850</v>
      </c>
      <c r="B1852" s="2" t="inlineStr">
        <is>
          <t>truncate</t>
        </is>
      </c>
      <c r="C1852" s="2" t="inlineStr">
        <is>
          <t>openssl X25519 only (classical)</t>
        </is>
      </c>
      <c r="D1852" s="2" t="n">
        <v>208</v>
      </c>
      <c r="E1852" s="2" t="n">
        <v>208</v>
      </c>
      <c r="F1852" s="2" t="n">
        <v>1</v>
      </c>
      <c r="G1852" s="2" t="n">
        <v>1</v>
      </c>
      <c r="H1852" s="2" t="n">
        <v>0</v>
      </c>
      <c r="I1852" s="2" t="n">
        <v>0</v>
      </c>
    </row>
    <row r="1853">
      <c r="A1853" s="2" t="n">
        <v>1851</v>
      </c>
      <c r="B1853" s="2" t="inlineStr">
        <is>
          <t>length</t>
        </is>
      </c>
      <c r="C1853" s="2" t="inlineStr">
        <is>
          <t>browser chrome150</t>
        </is>
      </c>
      <c r="D1853" s="2" t="n">
        <v>1763</v>
      </c>
      <c r="E1853" s="2" t="n">
        <v>1763</v>
      </c>
      <c r="F1853" s="2" t="n">
        <v>1</v>
      </c>
      <c r="G1853" s="2" t="n">
        <v>1</v>
      </c>
      <c r="H1853" s="2" t="n">
        <v>1</v>
      </c>
      <c r="I1853" s="2" t="n">
        <v>0</v>
      </c>
    </row>
    <row r="1854">
      <c r="A1854" s="2" t="n">
        <v>1852</v>
      </c>
      <c r="B1854" s="2" t="inlineStr">
        <is>
          <t>insert</t>
        </is>
      </c>
      <c r="C1854" s="2" t="inlineStr">
        <is>
          <t>openssl TLS 1.2 only</t>
        </is>
      </c>
      <c r="D1854" s="2" t="n">
        <v>222</v>
      </c>
      <c r="E1854" s="2" t="n">
        <v>222</v>
      </c>
      <c r="F1854" s="2" t="n">
        <v>1</v>
      </c>
      <c r="G1854" s="2" t="n">
        <v>1</v>
      </c>
      <c r="H1854" s="2" t="n">
        <v>1</v>
      </c>
      <c r="I1854" s="2" t="n">
        <v>0</v>
      </c>
    </row>
    <row r="1855">
      <c r="A1855" s="2" t="n">
        <v>1853</v>
      </c>
      <c r="B1855" s="2" t="inlineStr">
        <is>
          <t>flip</t>
        </is>
      </c>
      <c r="C1855" s="2" t="inlineStr">
        <is>
          <t>openssl X25519 only (classical)</t>
        </is>
      </c>
      <c r="D1855" s="2" t="n">
        <v>314</v>
      </c>
      <c r="E1855" s="2" t="n">
        <v>314</v>
      </c>
      <c r="F1855" s="2" t="n">
        <v>1</v>
      </c>
      <c r="G1855" s="2" t="n">
        <v>1</v>
      </c>
      <c r="H1855" s="2" t="n">
        <v>1</v>
      </c>
      <c r="I1855" s="2" t="n">
        <v>0</v>
      </c>
    </row>
    <row r="1856">
      <c r="A1856" s="2" t="n">
        <v>1854</v>
      </c>
      <c r="B1856" s="2" t="inlineStr">
        <is>
          <t>truncate</t>
        </is>
      </c>
      <c r="C1856" s="2" t="inlineStr">
        <is>
          <t>browser chrome150</t>
        </is>
      </c>
      <c r="D1856" s="2" t="n">
        <v>1613</v>
      </c>
      <c r="E1856" s="2" t="n">
        <v>1613</v>
      </c>
      <c r="F1856" s="2" t="n">
        <v>1</v>
      </c>
      <c r="G1856" s="2" t="n">
        <v>1</v>
      </c>
      <c r="H1856" s="2" t="n">
        <v>1</v>
      </c>
      <c r="I1856" s="2" t="n">
        <v>0</v>
      </c>
    </row>
    <row r="1857">
      <c r="A1857" s="2" t="n">
        <v>1855</v>
      </c>
      <c r="B1857" s="2" t="inlineStr">
        <is>
          <t>length</t>
        </is>
      </c>
      <c r="C1857" s="2" t="inlineStr">
        <is>
          <t>openssl TLS 1.2 only</t>
        </is>
      </c>
      <c r="D1857" s="2" t="n">
        <v>215</v>
      </c>
      <c r="E1857" s="2" t="n">
        <v>215</v>
      </c>
      <c r="F1857" s="2" t="n">
        <v>1</v>
      </c>
      <c r="G1857" s="2" t="n">
        <v>1</v>
      </c>
      <c r="H1857" s="2" t="n">
        <v>1</v>
      </c>
      <c r="I1857" s="2" t="n">
        <v>0</v>
      </c>
    </row>
    <row r="1858">
      <c r="A1858" s="2" t="n">
        <v>1856</v>
      </c>
      <c r="B1858" s="2" t="inlineStr">
        <is>
          <t>insert</t>
        </is>
      </c>
      <c r="C1858" s="2" t="inlineStr">
        <is>
          <t>openssl 3.5.8 default</t>
        </is>
      </c>
      <c r="D1858" s="2" t="n">
        <v>1559</v>
      </c>
      <c r="E1858" s="2" t="n">
        <v>1559</v>
      </c>
      <c r="F1858" s="2" t="n">
        <v>1</v>
      </c>
      <c r="G1858" s="2" t="n">
        <v>1</v>
      </c>
      <c r="H1858" s="2" t="n">
        <v>1</v>
      </c>
      <c r="I1858" s="2" t="n">
        <v>0</v>
      </c>
    </row>
    <row r="1859">
      <c r="A1859" s="2" t="n">
        <v>1857</v>
      </c>
      <c r="B1859" s="2" t="inlineStr">
        <is>
          <t>flip</t>
        </is>
      </c>
      <c r="C1859" s="2" t="inlineStr">
        <is>
          <t>openssl TLS 1.2 only</t>
        </is>
      </c>
      <c r="D1859" s="2" t="n">
        <v>215</v>
      </c>
      <c r="E1859" s="2" t="n">
        <v>215</v>
      </c>
      <c r="F1859" s="2" t="n">
        <v>0</v>
      </c>
      <c r="G1859" s="2" t="n">
        <v>0</v>
      </c>
      <c r="H1859" s="2" t="n">
        <v>0</v>
      </c>
      <c r="I1859" s="2" t="n">
        <v>0</v>
      </c>
    </row>
    <row r="1860">
      <c r="A1860" s="2" t="n">
        <v>1858</v>
      </c>
      <c r="B1860" s="2" t="inlineStr">
        <is>
          <t>truncate</t>
        </is>
      </c>
      <c r="C1860" s="2" t="inlineStr">
        <is>
          <t>openssl 3.5.8 default</t>
        </is>
      </c>
      <c r="D1860" s="2" t="n">
        <v>1357</v>
      </c>
      <c r="E1860" s="2" t="n">
        <v>1357</v>
      </c>
      <c r="F1860" s="2" t="n">
        <v>1</v>
      </c>
      <c r="G1860" s="2" t="n">
        <v>1</v>
      </c>
      <c r="H1860" s="2" t="n">
        <v>1</v>
      </c>
      <c r="I1860" s="2" t="n">
        <v>0</v>
      </c>
    </row>
    <row r="1861">
      <c r="A1861" s="2" t="n">
        <v>1859</v>
      </c>
      <c r="B1861" s="2" t="inlineStr">
        <is>
          <t>length</t>
        </is>
      </c>
      <c r="C1861" s="2" t="inlineStr">
        <is>
          <t>openssl 3.5.8 default</t>
        </is>
      </c>
      <c r="D1861" s="2" t="n">
        <v>1548</v>
      </c>
      <c r="E1861" s="2" t="n">
        <v>1548</v>
      </c>
      <c r="F1861" s="2" t="n">
        <v>1</v>
      </c>
      <c r="G1861" s="2" t="n">
        <v>1</v>
      </c>
      <c r="H1861" s="2" t="n">
        <v>0</v>
      </c>
      <c r="I1861" s="2" t="n">
        <v>0</v>
      </c>
    </row>
    <row r="1862">
      <c r="A1862" s="2" t="n">
        <v>1860</v>
      </c>
      <c r="B1862" s="2" t="inlineStr">
        <is>
          <t>insert</t>
        </is>
      </c>
      <c r="C1862" s="2" t="inlineStr">
        <is>
          <t>openssl X25519 only (classical)</t>
        </is>
      </c>
      <c r="D1862" s="2" t="n">
        <v>321</v>
      </c>
      <c r="E1862" s="2" t="n">
        <v>321</v>
      </c>
      <c r="F1862" s="2" t="n">
        <v>1</v>
      </c>
      <c r="G1862" s="2" t="n">
        <v>1</v>
      </c>
      <c r="H1862" s="2" t="n">
        <v>1</v>
      </c>
      <c r="I1862" s="2" t="n">
        <v>0</v>
      </c>
    </row>
    <row r="1863">
      <c r="A1863" s="2" t="n">
        <v>1861</v>
      </c>
      <c r="B1863" s="2" t="inlineStr">
        <is>
          <t>flip</t>
        </is>
      </c>
      <c r="C1863" s="2" t="inlineStr">
        <is>
          <t>browser chrome150</t>
        </is>
      </c>
      <c r="D1863" s="2" t="n">
        <v>1763</v>
      </c>
      <c r="E1863" s="2" t="n">
        <v>1763</v>
      </c>
      <c r="F1863" s="2" t="n">
        <v>1</v>
      </c>
      <c r="G1863" s="2" t="n">
        <v>1</v>
      </c>
      <c r="H1863" s="2" t="n">
        <v>1</v>
      </c>
      <c r="I1863" s="2" t="n">
        <v>0</v>
      </c>
    </row>
    <row r="1864">
      <c r="A1864" s="2" t="n">
        <v>1862</v>
      </c>
      <c r="B1864" s="2" t="inlineStr">
        <is>
          <t>truncate</t>
        </is>
      </c>
      <c r="C1864" s="2" t="inlineStr">
        <is>
          <t>openssl TLS 1.2 only</t>
        </is>
      </c>
      <c r="D1864" s="2" t="n">
        <v>89</v>
      </c>
      <c r="E1864" s="2" t="n">
        <v>89</v>
      </c>
      <c r="F1864" s="2" t="n">
        <v>1</v>
      </c>
      <c r="G1864" s="2" t="n">
        <v>0</v>
      </c>
      <c r="H1864" s="2" t="n">
        <v>0</v>
      </c>
      <c r="I1864" s="2" t="n">
        <v>0</v>
      </c>
    </row>
    <row r="1865">
      <c r="A1865" s="2" t="n">
        <v>1863</v>
      </c>
      <c r="B1865" s="2" t="inlineStr">
        <is>
          <t>length</t>
        </is>
      </c>
      <c r="C1865" s="2" t="inlineStr">
        <is>
          <t>openssl TLS 1.2 only</t>
        </is>
      </c>
      <c r="D1865" s="2" t="n">
        <v>215</v>
      </c>
      <c r="E1865" s="2" t="n">
        <v>215</v>
      </c>
      <c r="F1865" s="2" t="n">
        <v>1</v>
      </c>
      <c r="G1865" s="2" t="n">
        <v>0</v>
      </c>
      <c r="H1865" s="2" t="n">
        <v>0</v>
      </c>
      <c r="I1865" s="2" t="n">
        <v>0</v>
      </c>
    </row>
    <row r="1866">
      <c r="A1866" s="2" t="n">
        <v>1864</v>
      </c>
      <c r="B1866" s="2" t="inlineStr">
        <is>
          <t>insert</t>
        </is>
      </c>
      <c r="C1866" s="2" t="inlineStr">
        <is>
          <t>openssl 3.5.8 default</t>
        </is>
      </c>
      <c r="D1866" s="2" t="n">
        <v>1563</v>
      </c>
      <c r="E1866" s="2" t="n">
        <v>1563</v>
      </c>
      <c r="F1866" s="2" t="n">
        <v>1</v>
      </c>
      <c r="G1866" s="2" t="n">
        <v>1</v>
      </c>
      <c r="H1866" s="2" t="n">
        <v>1</v>
      </c>
      <c r="I1866" s="2" t="n">
        <v>0</v>
      </c>
    </row>
    <row r="1867">
      <c r="A1867" s="2" t="n">
        <v>1865</v>
      </c>
      <c r="B1867" s="2" t="inlineStr">
        <is>
          <t>flip</t>
        </is>
      </c>
      <c r="C1867" s="2" t="inlineStr">
        <is>
          <t>openssl X25519 only (classical)</t>
        </is>
      </c>
      <c r="D1867" s="2" t="n">
        <v>314</v>
      </c>
      <c r="E1867" s="2" t="n">
        <v>314</v>
      </c>
      <c r="F1867" s="2" t="n">
        <v>1</v>
      </c>
      <c r="G1867" s="2" t="n">
        <v>1</v>
      </c>
      <c r="H1867" s="2" t="n">
        <v>1</v>
      </c>
      <c r="I1867" s="2" t="n">
        <v>0</v>
      </c>
    </row>
    <row r="1868">
      <c r="A1868" s="2" t="n">
        <v>1866</v>
      </c>
      <c r="B1868" s="2" t="inlineStr">
        <is>
          <t>truncate</t>
        </is>
      </c>
      <c r="C1868" s="2" t="inlineStr">
        <is>
          <t>openssl TLS 1.2 only</t>
        </is>
      </c>
      <c r="D1868" s="2" t="n">
        <v>105</v>
      </c>
      <c r="E1868" s="2" t="n">
        <v>105</v>
      </c>
      <c r="F1868" s="2" t="n">
        <v>1</v>
      </c>
      <c r="G1868" s="2" t="n">
        <v>1</v>
      </c>
      <c r="H1868" s="2" t="n">
        <v>0</v>
      </c>
      <c r="I1868" s="2" t="n">
        <v>0</v>
      </c>
    </row>
    <row r="1869">
      <c r="A1869" s="2" t="n">
        <v>1867</v>
      </c>
      <c r="B1869" s="2" t="inlineStr">
        <is>
          <t>length</t>
        </is>
      </c>
      <c r="C1869" s="2" t="inlineStr">
        <is>
          <t>openssl X25519 only (classical)</t>
        </is>
      </c>
      <c r="D1869" s="2" t="n">
        <v>314</v>
      </c>
      <c r="E1869" s="2" t="n">
        <v>314</v>
      </c>
      <c r="F1869" s="2" t="n">
        <v>1</v>
      </c>
      <c r="G1869" s="2" t="n">
        <v>1</v>
      </c>
      <c r="H1869" s="2" t="n">
        <v>1</v>
      </c>
      <c r="I1869" s="2" t="n">
        <v>0</v>
      </c>
    </row>
    <row r="1870">
      <c r="A1870" s="2" t="n">
        <v>1868</v>
      </c>
      <c r="B1870" s="2" t="inlineStr">
        <is>
          <t>insert</t>
        </is>
      </c>
      <c r="C1870" s="2" t="inlineStr">
        <is>
          <t>browser firefox147</t>
        </is>
      </c>
      <c r="D1870" s="2" t="n">
        <v>1908</v>
      </c>
      <c r="E1870" s="2" t="n">
        <v>1908</v>
      </c>
      <c r="F1870" s="2" t="n">
        <v>1</v>
      </c>
      <c r="G1870" s="2" t="n">
        <v>1</v>
      </c>
      <c r="H1870" s="2" t="n">
        <v>0</v>
      </c>
      <c r="I1870" s="2" t="n">
        <v>0</v>
      </c>
    </row>
    <row r="1871">
      <c r="A1871" s="2" t="n">
        <v>1869</v>
      </c>
      <c r="B1871" s="2" t="inlineStr">
        <is>
          <t>flip</t>
        </is>
      </c>
      <c r="C1871" s="2" t="inlineStr">
        <is>
          <t>browser chrome150</t>
        </is>
      </c>
      <c r="D1871" s="2" t="n">
        <v>1763</v>
      </c>
      <c r="E1871" s="2" t="n">
        <v>1763</v>
      </c>
      <c r="F1871" s="2" t="n">
        <v>1</v>
      </c>
      <c r="G1871" s="2" t="n">
        <v>1</v>
      </c>
      <c r="H1871" s="2" t="n">
        <v>1</v>
      </c>
      <c r="I1871" s="2" t="n">
        <v>0</v>
      </c>
    </row>
    <row r="1872">
      <c r="A1872" s="2" t="n">
        <v>1870</v>
      </c>
      <c r="B1872" s="2" t="inlineStr">
        <is>
          <t>truncate</t>
        </is>
      </c>
      <c r="C1872" s="2" t="inlineStr">
        <is>
          <t>browser firefox147</t>
        </is>
      </c>
      <c r="D1872" s="2" t="n">
        <v>300</v>
      </c>
      <c r="E1872" s="2" t="n">
        <v>300</v>
      </c>
      <c r="F1872" s="2" t="n">
        <v>1</v>
      </c>
      <c r="G1872" s="2" t="n">
        <v>1</v>
      </c>
      <c r="H1872" s="2" t="n">
        <v>0</v>
      </c>
      <c r="I1872" s="2" t="n">
        <v>0</v>
      </c>
    </row>
    <row r="1873">
      <c r="A1873" s="2" t="n">
        <v>1871</v>
      </c>
      <c r="B1873" s="2" t="inlineStr">
        <is>
          <t>length</t>
        </is>
      </c>
      <c r="C1873" s="2" t="inlineStr">
        <is>
          <t>openssl TLS 1.2 only</t>
        </is>
      </c>
      <c r="D1873" s="2" t="n">
        <v>215</v>
      </c>
      <c r="E1873" s="2" t="n">
        <v>215</v>
      </c>
      <c r="F1873" s="2" t="n">
        <v>1</v>
      </c>
      <c r="G1873" s="2" t="n">
        <v>1</v>
      </c>
      <c r="H1873" s="2" t="n">
        <v>1</v>
      </c>
      <c r="I1873" s="2" t="n">
        <v>0</v>
      </c>
    </row>
    <row r="1874">
      <c r="A1874" s="2" t="n">
        <v>1872</v>
      </c>
      <c r="B1874" s="2" t="inlineStr">
        <is>
          <t>insert</t>
        </is>
      </c>
      <c r="C1874" s="2" t="inlineStr">
        <is>
          <t>browser firefox147</t>
        </is>
      </c>
      <c r="D1874" s="2" t="n">
        <v>1903</v>
      </c>
      <c r="E1874" s="2" t="n">
        <v>1903</v>
      </c>
      <c r="F1874" s="2" t="n">
        <v>1</v>
      </c>
      <c r="G1874" s="2" t="n">
        <v>1</v>
      </c>
      <c r="H1874" s="2" t="n">
        <v>0</v>
      </c>
      <c r="I1874" s="2" t="n">
        <v>0</v>
      </c>
    </row>
    <row r="1875">
      <c r="A1875" s="2" t="n">
        <v>1873</v>
      </c>
      <c r="B1875" s="2" t="inlineStr">
        <is>
          <t>flip</t>
        </is>
      </c>
      <c r="C1875" s="2" t="inlineStr">
        <is>
          <t>browser chrome150</t>
        </is>
      </c>
      <c r="D1875" s="2" t="n">
        <v>1763</v>
      </c>
      <c r="E1875" s="2" t="n">
        <v>1763</v>
      </c>
      <c r="F1875" s="2" t="n">
        <v>1</v>
      </c>
      <c r="G1875" s="2" t="n">
        <v>1</v>
      </c>
      <c r="H1875" s="2" t="n">
        <v>1</v>
      </c>
      <c r="I1875" s="2" t="n">
        <v>0</v>
      </c>
    </row>
    <row r="1876">
      <c r="A1876" s="2" t="n">
        <v>1874</v>
      </c>
      <c r="B1876" s="2" t="inlineStr">
        <is>
          <t>truncate</t>
        </is>
      </c>
      <c r="C1876" s="2" t="inlineStr">
        <is>
          <t>browser chrome150</t>
        </is>
      </c>
      <c r="D1876" s="2" t="n">
        <v>1505</v>
      </c>
      <c r="E1876" s="2" t="n">
        <v>1505</v>
      </c>
      <c r="F1876" s="2" t="n">
        <v>1</v>
      </c>
      <c r="G1876" s="2" t="n">
        <v>1</v>
      </c>
      <c r="H1876" s="2" t="n">
        <v>1</v>
      </c>
      <c r="I1876" s="2" t="n">
        <v>0</v>
      </c>
    </row>
    <row r="1877">
      <c r="A1877" s="2" t="n">
        <v>1875</v>
      </c>
      <c r="B1877" s="2" t="inlineStr">
        <is>
          <t>length</t>
        </is>
      </c>
      <c r="C1877" s="2" t="inlineStr">
        <is>
          <t>openssl X25519 only (classical)</t>
        </is>
      </c>
      <c r="D1877" s="2" t="n">
        <v>314</v>
      </c>
      <c r="E1877" s="2" t="n">
        <v>314</v>
      </c>
      <c r="F1877" s="2" t="n">
        <v>1</v>
      </c>
      <c r="G1877" s="2" t="n">
        <v>1</v>
      </c>
      <c r="H1877" s="2" t="n">
        <v>1</v>
      </c>
      <c r="I1877" s="2" t="n">
        <v>0</v>
      </c>
    </row>
    <row r="1878">
      <c r="A1878" s="2" t="n">
        <v>1876</v>
      </c>
      <c r="B1878" s="2" t="inlineStr">
        <is>
          <t>insert</t>
        </is>
      </c>
      <c r="C1878" s="2" t="inlineStr">
        <is>
          <t>openssl TLS 1.2 only</t>
        </is>
      </c>
      <c r="D1878" s="2" t="n">
        <v>230</v>
      </c>
      <c r="E1878" s="2" t="n">
        <v>230</v>
      </c>
      <c r="F1878" s="2" t="n">
        <v>1</v>
      </c>
      <c r="G1878" s="2" t="n">
        <v>1</v>
      </c>
      <c r="H1878" s="2" t="n">
        <v>1</v>
      </c>
      <c r="I1878" s="2" t="n">
        <v>0</v>
      </c>
    </row>
    <row r="1879">
      <c r="A1879" s="2" t="n">
        <v>1877</v>
      </c>
      <c r="B1879" s="2" t="inlineStr">
        <is>
          <t>flip</t>
        </is>
      </c>
      <c r="C1879" s="2" t="inlineStr">
        <is>
          <t>openssl 3.5.8 default</t>
        </is>
      </c>
      <c r="D1879" s="2" t="n">
        <v>1548</v>
      </c>
      <c r="E1879" s="2" t="n">
        <v>1548</v>
      </c>
      <c r="F1879" s="2" t="n">
        <v>1</v>
      </c>
      <c r="G1879" s="2" t="n">
        <v>1</v>
      </c>
      <c r="H1879" s="2" t="n">
        <v>1</v>
      </c>
      <c r="I1879" s="2" t="n">
        <v>0</v>
      </c>
    </row>
    <row r="1880">
      <c r="A1880" s="2" t="n">
        <v>1878</v>
      </c>
      <c r="B1880" s="2" t="inlineStr">
        <is>
          <t>truncate</t>
        </is>
      </c>
      <c r="C1880" s="2" t="inlineStr">
        <is>
          <t>browser firefox147</t>
        </is>
      </c>
      <c r="D1880" s="2" t="n">
        <v>728</v>
      </c>
      <c r="E1880" s="2" t="n">
        <v>728</v>
      </c>
      <c r="F1880" s="2" t="n">
        <v>1</v>
      </c>
      <c r="G1880" s="2" t="n">
        <v>1</v>
      </c>
      <c r="H1880" s="2" t="n">
        <v>0</v>
      </c>
      <c r="I1880" s="2" t="n">
        <v>0</v>
      </c>
    </row>
    <row r="1881">
      <c r="A1881" s="2" t="n">
        <v>1879</v>
      </c>
      <c r="B1881" s="2" t="inlineStr">
        <is>
          <t>length</t>
        </is>
      </c>
      <c r="C1881" s="2" t="inlineStr">
        <is>
          <t>browser firefox147</t>
        </is>
      </c>
      <c r="D1881" s="2" t="n">
        <v>1901</v>
      </c>
      <c r="E1881" s="2" t="n">
        <v>1901</v>
      </c>
      <c r="F1881" s="2" t="n">
        <v>1</v>
      </c>
      <c r="G1881" s="2" t="n">
        <v>1</v>
      </c>
      <c r="H1881" s="2" t="n">
        <v>0</v>
      </c>
      <c r="I1881" s="2" t="n">
        <v>0</v>
      </c>
    </row>
    <row r="1882">
      <c r="A1882" s="2" t="n">
        <v>1880</v>
      </c>
      <c r="B1882" s="2" t="inlineStr">
        <is>
          <t>insert</t>
        </is>
      </c>
      <c r="C1882" s="2" t="inlineStr">
        <is>
          <t>openssl 3.5.8 default</t>
        </is>
      </c>
      <c r="D1882" s="2" t="n">
        <v>1556</v>
      </c>
      <c r="E1882" s="2" t="n">
        <v>1556</v>
      </c>
      <c r="F1882" s="2" t="n">
        <v>1</v>
      </c>
      <c r="G1882" s="2" t="n">
        <v>1</v>
      </c>
      <c r="H1882" s="2" t="n">
        <v>1</v>
      </c>
      <c r="I1882" s="2" t="n">
        <v>0</v>
      </c>
    </row>
    <row r="1883">
      <c r="A1883" s="2" t="n">
        <v>1881</v>
      </c>
      <c r="B1883" s="2" t="inlineStr">
        <is>
          <t>flip</t>
        </is>
      </c>
      <c r="C1883" s="2" t="inlineStr">
        <is>
          <t>openssl X25519 only (classical)</t>
        </is>
      </c>
      <c r="D1883" s="2" t="n">
        <v>314</v>
      </c>
      <c r="E1883" s="2" t="n">
        <v>314</v>
      </c>
      <c r="F1883" s="2" t="n">
        <v>1</v>
      </c>
      <c r="G1883" s="2" t="n">
        <v>1</v>
      </c>
      <c r="H1883" s="2" t="n">
        <v>1</v>
      </c>
      <c r="I1883" s="2" t="n">
        <v>0</v>
      </c>
    </row>
    <row r="1884">
      <c r="A1884" s="2" t="n">
        <v>1882</v>
      </c>
      <c r="B1884" s="2" t="inlineStr">
        <is>
          <t>truncate</t>
        </is>
      </c>
      <c r="C1884" s="2" t="inlineStr">
        <is>
          <t>openssl X25519 only (classical)</t>
        </is>
      </c>
      <c r="D1884" s="2" t="n">
        <v>165</v>
      </c>
      <c r="E1884" s="2" t="n">
        <v>165</v>
      </c>
      <c r="F1884" s="2" t="n">
        <v>1</v>
      </c>
      <c r="G1884" s="2" t="n">
        <v>1</v>
      </c>
      <c r="H1884" s="2" t="n">
        <v>0</v>
      </c>
      <c r="I1884" s="2" t="n">
        <v>0</v>
      </c>
    </row>
    <row r="1885">
      <c r="A1885" s="2" t="n">
        <v>1883</v>
      </c>
      <c r="B1885" s="2" t="inlineStr">
        <is>
          <t>length</t>
        </is>
      </c>
      <c r="C1885" s="2" t="inlineStr">
        <is>
          <t>openssl 3.5.8 default</t>
        </is>
      </c>
      <c r="D1885" s="2" t="n">
        <v>1548</v>
      </c>
      <c r="E1885" s="2" t="n">
        <v>1548</v>
      </c>
      <c r="F1885" s="2" t="n">
        <v>1</v>
      </c>
      <c r="G1885" s="2" t="n">
        <v>1</v>
      </c>
      <c r="H1885" s="2" t="n">
        <v>0</v>
      </c>
      <c r="I1885" s="2" t="n">
        <v>0</v>
      </c>
    </row>
    <row r="1886">
      <c r="A1886" s="2" t="n">
        <v>1884</v>
      </c>
      <c r="B1886" s="2" t="inlineStr">
        <is>
          <t>insert</t>
        </is>
      </c>
      <c r="C1886" s="2" t="inlineStr">
        <is>
          <t>openssl 3.5.8 default</t>
        </is>
      </c>
      <c r="D1886" s="2" t="n">
        <v>1556</v>
      </c>
      <c r="E1886" s="2" t="n">
        <v>1556</v>
      </c>
      <c r="F1886" s="2" t="n">
        <v>1</v>
      </c>
      <c r="G1886" s="2" t="n">
        <v>1</v>
      </c>
      <c r="H1886" s="2" t="n">
        <v>1</v>
      </c>
      <c r="I1886" s="2" t="n">
        <v>0</v>
      </c>
    </row>
    <row r="1887">
      <c r="A1887" s="2" t="n">
        <v>1885</v>
      </c>
      <c r="B1887" s="2" t="inlineStr">
        <is>
          <t>flip</t>
        </is>
      </c>
      <c r="C1887" s="2" t="inlineStr">
        <is>
          <t>browser firefox147</t>
        </is>
      </c>
      <c r="D1887" s="2" t="n">
        <v>1901</v>
      </c>
      <c r="E1887" s="2" t="n">
        <v>1901</v>
      </c>
      <c r="F1887" s="2" t="n">
        <v>1</v>
      </c>
      <c r="G1887" s="2" t="n">
        <v>1</v>
      </c>
      <c r="H1887" s="2" t="n">
        <v>0</v>
      </c>
      <c r="I1887" s="2" t="n">
        <v>0</v>
      </c>
    </row>
    <row r="1888">
      <c r="A1888" s="2" t="n">
        <v>1886</v>
      </c>
      <c r="B1888" s="2" t="inlineStr">
        <is>
          <t>truncate</t>
        </is>
      </c>
      <c r="C1888" s="2" t="inlineStr">
        <is>
          <t>openssl X25519 only (classical)</t>
        </is>
      </c>
      <c r="D1888" s="2" t="n">
        <v>15</v>
      </c>
      <c r="E1888" s="2" t="n">
        <v>15</v>
      </c>
      <c r="F1888" s="2" t="n">
        <v>1</v>
      </c>
      <c r="G1888" s="2" t="n">
        <v>0</v>
      </c>
      <c r="H1888" s="2" t="n">
        <v>0</v>
      </c>
      <c r="I1888" s="2" t="n">
        <v>0</v>
      </c>
    </row>
    <row r="1889">
      <c r="A1889" s="2" t="n">
        <v>1887</v>
      </c>
      <c r="B1889" s="2" t="inlineStr">
        <is>
          <t>length</t>
        </is>
      </c>
      <c r="C1889" s="2" t="inlineStr">
        <is>
          <t>openssl X25519 only (classical)</t>
        </is>
      </c>
      <c r="D1889" s="2" t="n">
        <v>314</v>
      </c>
      <c r="E1889" s="2" t="n">
        <v>314</v>
      </c>
      <c r="F1889" s="2" t="n">
        <v>1</v>
      </c>
      <c r="G1889" s="2" t="n">
        <v>1</v>
      </c>
      <c r="H1889" s="2" t="n">
        <v>1</v>
      </c>
      <c r="I1889" s="2" t="n">
        <v>0</v>
      </c>
    </row>
    <row r="1890">
      <c r="A1890" s="2" t="n">
        <v>1888</v>
      </c>
      <c r="B1890" s="2" t="inlineStr">
        <is>
          <t>insert</t>
        </is>
      </c>
      <c r="C1890" s="2" t="inlineStr">
        <is>
          <t>openssl X25519 only (classical)</t>
        </is>
      </c>
      <c r="D1890" s="2" t="n">
        <v>321</v>
      </c>
      <c r="E1890" s="2" t="n">
        <v>321</v>
      </c>
      <c r="F1890" s="2" t="n">
        <v>1</v>
      </c>
      <c r="G1890" s="2" t="n">
        <v>1</v>
      </c>
      <c r="H1890" s="2" t="n">
        <v>1</v>
      </c>
      <c r="I1890" s="2" t="n">
        <v>0</v>
      </c>
    </row>
    <row r="1891">
      <c r="A1891" s="2" t="n">
        <v>1889</v>
      </c>
      <c r="B1891" s="2" t="inlineStr">
        <is>
          <t>flip</t>
        </is>
      </c>
      <c r="C1891" s="2" t="inlineStr">
        <is>
          <t>openssl 3.5.8 default</t>
        </is>
      </c>
      <c r="D1891" s="2" t="n">
        <v>1548</v>
      </c>
      <c r="E1891" s="2" t="n">
        <v>1548</v>
      </c>
      <c r="F1891" s="2" t="n">
        <v>1</v>
      </c>
      <c r="G1891" s="2" t="n">
        <v>1</v>
      </c>
      <c r="H1891" s="2" t="n">
        <v>1</v>
      </c>
      <c r="I1891" s="2" t="n">
        <v>0</v>
      </c>
    </row>
    <row r="1892">
      <c r="A1892" s="2" t="n">
        <v>1890</v>
      </c>
      <c r="B1892" s="2" t="inlineStr">
        <is>
          <t>truncate</t>
        </is>
      </c>
      <c r="C1892" s="2" t="inlineStr">
        <is>
          <t>openssl X25519 only (classical)</t>
        </is>
      </c>
      <c r="D1892" s="2" t="n">
        <v>175</v>
      </c>
      <c r="E1892" s="2" t="n">
        <v>175</v>
      </c>
      <c r="F1892" s="2" t="n">
        <v>1</v>
      </c>
      <c r="G1892" s="2" t="n">
        <v>1</v>
      </c>
      <c r="H1892" s="2" t="n">
        <v>0</v>
      </c>
      <c r="I1892" s="2" t="n">
        <v>0</v>
      </c>
    </row>
    <row r="1893">
      <c r="A1893" s="2" t="n">
        <v>1891</v>
      </c>
      <c r="B1893" s="2" t="inlineStr">
        <is>
          <t>length</t>
        </is>
      </c>
      <c r="C1893" s="2" t="inlineStr">
        <is>
          <t>browser chrome150</t>
        </is>
      </c>
      <c r="D1893" s="2" t="n">
        <v>1763</v>
      </c>
      <c r="E1893" s="2" t="n">
        <v>1763</v>
      </c>
      <c r="F1893" s="2" t="n">
        <v>1</v>
      </c>
      <c r="G1893" s="2" t="n">
        <v>1</v>
      </c>
      <c r="H1893" s="2" t="n">
        <v>1</v>
      </c>
      <c r="I1893" s="2" t="n">
        <v>0</v>
      </c>
    </row>
    <row r="1894">
      <c r="A1894" s="2" t="n">
        <v>1892</v>
      </c>
      <c r="B1894" s="2" t="inlineStr">
        <is>
          <t>insert</t>
        </is>
      </c>
      <c r="C1894" s="2" t="inlineStr">
        <is>
          <t>openssl TLS 1.2 only</t>
        </is>
      </c>
      <c r="D1894" s="2" t="n">
        <v>218</v>
      </c>
      <c r="E1894" s="2" t="n">
        <v>218</v>
      </c>
      <c r="F1894" s="2" t="n">
        <v>1</v>
      </c>
      <c r="G1894" s="2" t="n">
        <v>1</v>
      </c>
      <c r="H1894" s="2" t="n">
        <v>1</v>
      </c>
      <c r="I1894" s="2" t="n">
        <v>0</v>
      </c>
    </row>
    <row r="1895">
      <c r="A1895" s="2" t="n">
        <v>1893</v>
      </c>
      <c r="B1895" s="2" t="inlineStr">
        <is>
          <t>flip</t>
        </is>
      </c>
      <c r="C1895" s="2" t="inlineStr">
        <is>
          <t>browser chrome150</t>
        </is>
      </c>
      <c r="D1895" s="2" t="n">
        <v>1763</v>
      </c>
      <c r="E1895" s="2" t="n">
        <v>1763</v>
      </c>
      <c r="F1895" s="2" t="n">
        <v>1</v>
      </c>
      <c r="G1895" s="2" t="n">
        <v>1</v>
      </c>
      <c r="H1895" s="2" t="n">
        <v>1</v>
      </c>
      <c r="I1895" s="2" t="n">
        <v>0</v>
      </c>
    </row>
    <row r="1896">
      <c r="A1896" s="2" t="n">
        <v>1894</v>
      </c>
      <c r="B1896" s="2" t="inlineStr">
        <is>
          <t>truncate</t>
        </is>
      </c>
      <c r="C1896" s="2" t="inlineStr">
        <is>
          <t>openssl 3.5.8 default</t>
        </is>
      </c>
      <c r="D1896" s="2" t="n">
        <v>289</v>
      </c>
      <c r="E1896" s="2" t="n">
        <v>289</v>
      </c>
      <c r="F1896" s="2" t="n">
        <v>1</v>
      </c>
      <c r="G1896" s="2" t="n">
        <v>1</v>
      </c>
      <c r="H1896" s="2" t="n">
        <v>1</v>
      </c>
      <c r="I1896" s="2" t="n">
        <v>0</v>
      </c>
    </row>
    <row r="1897">
      <c r="A1897" s="2" t="n">
        <v>1895</v>
      </c>
      <c r="B1897" s="2" t="inlineStr">
        <is>
          <t>length</t>
        </is>
      </c>
      <c r="C1897" s="2" t="inlineStr">
        <is>
          <t>openssl 3.5.8 default</t>
        </is>
      </c>
      <c r="D1897" s="2" t="n">
        <v>1548</v>
      </c>
      <c r="E1897" s="2" t="n">
        <v>1548</v>
      </c>
      <c r="F1897" s="2" t="n">
        <v>1</v>
      </c>
      <c r="G1897" s="2" t="n">
        <v>1</v>
      </c>
      <c r="H1897" s="2" t="n">
        <v>1</v>
      </c>
      <c r="I1897" s="2" t="n">
        <v>0</v>
      </c>
    </row>
    <row r="1898">
      <c r="A1898" s="2" t="n">
        <v>1896</v>
      </c>
      <c r="B1898" s="2" t="inlineStr">
        <is>
          <t>insert</t>
        </is>
      </c>
      <c r="C1898" s="2" t="inlineStr">
        <is>
          <t>openssl 3.5.8 default</t>
        </is>
      </c>
      <c r="D1898" s="2" t="n">
        <v>1559</v>
      </c>
      <c r="E1898" s="2" t="n">
        <v>1559</v>
      </c>
      <c r="F1898" s="2" t="n">
        <v>1</v>
      </c>
      <c r="G1898" s="2" t="n">
        <v>1</v>
      </c>
      <c r="H1898" s="2" t="n">
        <v>1</v>
      </c>
      <c r="I1898" s="2" t="n">
        <v>0</v>
      </c>
    </row>
    <row r="1899">
      <c r="A1899" s="2" t="n">
        <v>1897</v>
      </c>
      <c r="B1899" s="2" t="inlineStr">
        <is>
          <t>flip</t>
        </is>
      </c>
      <c r="C1899" s="2" t="inlineStr">
        <is>
          <t>openssl X25519 only (classical)</t>
        </is>
      </c>
      <c r="D1899" s="2" t="n">
        <v>314</v>
      </c>
      <c r="E1899" s="2" t="n">
        <v>314</v>
      </c>
      <c r="F1899" s="2" t="n">
        <v>1</v>
      </c>
      <c r="G1899" s="2" t="n">
        <v>1</v>
      </c>
      <c r="H1899" s="2" t="n">
        <v>1</v>
      </c>
      <c r="I1899" s="2" t="n">
        <v>0</v>
      </c>
    </row>
    <row r="1900">
      <c r="A1900" s="2" t="n">
        <v>1898</v>
      </c>
      <c r="B1900" s="2" t="inlineStr">
        <is>
          <t>truncate</t>
        </is>
      </c>
      <c r="C1900" s="2" t="inlineStr">
        <is>
          <t>openssl TLS 1.2 only</t>
        </is>
      </c>
      <c r="D1900" s="2" t="n">
        <v>134</v>
      </c>
      <c r="E1900" s="2" t="n">
        <v>134</v>
      </c>
      <c r="F1900" s="2" t="n">
        <v>1</v>
      </c>
      <c r="G1900" s="2" t="n">
        <v>1</v>
      </c>
      <c r="H1900" s="2" t="n">
        <v>0</v>
      </c>
      <c r="I1900" s="2" t="n">
        <v>0</v>
      </c>
    </row>
    <row r="1901">
      <c r="A1901" s="2" t="n">
        <v>1899</v>
      </c>
      <c r="B1901" s="2" t="inlineStr">
        <is>
          <t>length</t>
        </is>
      </c>
      <c r="C1901" s="2" t="inlineStr">
        <is>
          <t>browser chrome150</t>
        </is>
      </c>
      <c r="D1901" s="2" t="n">
        <v>1763</v>
      </c>
      <c r="E1901" s="2" t="n">
        <v>1763</v>
      </c>
      <c r="F1901" s="2" t="n">
        <v>1</v>
      </c>
      <c r="G1901" s="2" t="n">
        <v>1</v>
      </c>
      <c r="H1901" s="2" t="n">
        <v>1</v>
      </c>
      <c r="I1901" s="2" t="n">
        <v>0</v>
      </c>
    </row>
    <row r="1902">
      <c r="A1902" s="2" t="n">
        <v>1900</v>
      </c>
      <c r="B1902" s="2" t="inlineStr">
        <is>
          <t>insert</t>
        </is>
      </c>
      <c r="C1902" s="2" t="inlineStr">
        <is>
          <t>browser firefox147</t>
        </is>
      </c>
      <c r="D1902" s="2" t="n">
        <v>1909</v>
      </c>
      <c r="E1902" s="2" t="n">
        <v>1909</v>
      </c>
      <c r="F1902" s="2" t="n">
        <v>1</v>
      </c>
      <c r="G1902" s="2" t="n">
        <v>1</v>
      </c>
      <c r="H1902" s="2" t="n">
        <v>0</v>
      </c>
      <c r="I1902" s="2" t="n">
        <v>0</v>
      </c>
    </row>
    <row r="1903">
      <c r="A1903" s="2" t="n">
        <v>1901</v>
      </c>
      <c r="B1903" s="2" t="inlineStr">
        <is>
          <t>flip</t>
        </is>
      </c>
      <c r="C1903" s="2" t="inlineStr">
        <is>
          <t>openssl 3.5.8 default</t>
        </is>
      </c>
      <c r="D1903" s="2" t="n">
        <v>1548</v>
      </c>
      <c r="E1903" s="2" t="n">
        <v>1548</v>
      </c>
      <c r="F1903" s="2" t="n">
        <v>1</v>
      </c>
      <c r="G1903" s="2" t="n">
        <v>1</v>
      </c>
      <c r="H1903" s="2" t="n">
        <v>1</v>
      </c>
      <c r="I1903" s="2" t="n">
        <v>0</v>
      </c>
    </row>
    <row r="1904">
      <c r="A1904" s="2" t="n">
        <v>1902</v>
      </c>
      <c r="B1904" s="2" t="inlineStr">
        <is>
          <t>truncate</t>
        </is>
      </c>
      <c r="C1904" s="2" t="inlineStr">
        <is>
          <t>openssl X25519 only (classical)</t>
        </is>
      </c>
      <c r="D1904" s="2" t="n">
        <v>209</v>
      </c>
      <c r="E1904" s="2" t="n">
        <v>209</v>
      </c>
      <c r="F1904" s="2" t="n">
        <v>1</v>
      </c>
      <c r="G1904" s="2" t="n">
        <v>1</v>
      </c>
      <c r="H1904" s="2" t="n">
        <v>0</v>
      </c>
      <c r="I1904" s="2" t="n">
        <v>0</v>
      </c>
    </row>
    <row r="1905">
      <c r="A1905" s="2" t="n">
        <v>1903</v>
      </c>
      <c r="B1905" s="2" t="inlineStr">
        <is>
          <t>length</t>
        </is>
      </c>
      <c r="C1905" s="2" t="inlineStr">
        <is>
          <t>openssl TLS 1.2 only</t>
        </is>
      </c>
      <c r="D1905" s="2" t="n">
        <v>215</v>
      </c>
      <c r="E1905" s="2" t="n">
        <v>215</v>
      </c>
      <c r="F1905" s="2" t="n">
        <v>1</v>
      </c>
      <c r="G1905" s="2" t="n">
        <v>1</v>
      </c>
      <c r="H1905" s="2" t="n">
        <v>0</v>
      </c>
      <c r="I1905" s="2" t="n">
        <v>0</v>
      </c>
    </row>
    <row r="1906">
      <c r="A1906" s="2" t="n">
        <v>1904</v>
      </c>
      <c r="B1906" s="2" t="inlineStr">
        <is>
          <t>insert</t>
        </is>
      </c>
      <c r="C1906" s="2" t="inlineStr">
        <is>
          <t>browser chrome150</t>
        </is>
      </c>
      <c r="D1906" s="2" t="n">
        <v>1773</v>
      </c>
      <c r="E1906" s="2" t="n">
        <v>1773</v>
      </c>
      <c r="F1906" s="2" t="n">
        <v>1</v>
      </c>
      <c r="G1906" s="2" t="n">
        <v>1</v>
      </c>
      <c r="H1906" s="2" t="n">
        <v>1</v>
      </c>
      <c r="I1906" s="2" t="n">
        <v>0</v>
      </c>
    </row>
    <row r="1907">
      <c r="A1907" s="2" t="n">
        <v>1905</v>
      </c>
      <c r="B1907" s="2" t="inlineStr">
        <is>
          <t>flip</t>
        </is>
      </c>
      <c r="C1907" s="2" t="inlineStr">
        <is>
          <t>openssl TLS 1.2 only</t>
        </is>
      </c>
      <c r="D1907" s="2" t="n">
        <v>215</v>
      </c>
      <c r="E1907" s="2" t="n">
        <v>215</v>
      </c>
      <c r="F1907" s="2" t="n">
        <v>0</v>
      </c>
      <c r="G1907" s="2" t="n">
        <v>0</v>
      </c>
      <c r="H1907" s="2" t="n">
        <v>0</v>
      </c>
      <c r="I1907" s="2" t="n">
        <v>0</v>
      </c>
    </row>
    <row r="1908">
      <c r="A1908" s="2" t="n">
        <v>1906</v>
      </c>
      <c r="B1908" s="2" t="inlineStr">
        <is>
          <t>truncate</t>
        </is>
      </c>
      <c r="C1908" s="2" t="inlineStr">
        <is>
          <t>openssl X25519 only (classical)</t>
        </is>
      </c>
      <c r="D1908" s="2" t="n">
        <v>32</v>
      </c>
      <c r="E1908" s="2" t="n">
        <v>32</v>
      </c>
      <c r="F1908" s="2" t="n">
        <v>1</v>
      </c>
      <c r="G1908" s="2" t="n">
        <v>0</v>
      </c>
      <c r="H1908" s="2" t="n">
        <v>0</v>
      </c>
      <c r="I1908" s="2" t="n">
        <v>0</v>
      </c>
    </row>
    <row r="1909">
      <c r="A1909" s="2" t="n">
        <v>1907</v>
      </c>
      <c r="B1909" s="2" t="inlineStr">
        <is>
          <t>length</t>
        </is>
      </c>
      <c r="C1909" s="2" t="inlineStr">
        <is>
          <t>browser chrome150</t>
        </is>
      </c>
      <c r="D1909" s="2" t="n">
        <v>1763</v>
      </c>
      <c r="E1909" s="2" t="n">
        <v>1763</v>
      </c>
      <c r="F1909" s="2" t="n">
        <v>1</v>
      </c>
      <c r="G1909" s="2" t="n">
        <v>1</v>
      </c>
      <c r="H1909" s="2" t="n">
        <v>1</v>
      </c>
      <c r="I1909" s="2" t="n">
        <v>0</v>
      </c>
    </row>
    <row r="1910">
      <c r="A1910" s="2" t="n">
        <v>1908</v>
      </c>
      <c r="B1910" s="2" t="inlineStr">
        <is>
          <t>insert</t>
        </is>
      </c>
      <c r="C1910" s="2" t="inlineStr">
        <is>
          <t>openssl 3.5.8 default</t>
        </is>
      </c>
      <c r="D1910" s="2" t="n">
        <v>1559</v>
      </c>
      <c r="E1910" s="2" t="n">
        <v>1559</v>
      </c>
      <c r="F1910" s="2" t="n">
        <v>1</v>
      </c>
      <c r="G1910" s="2" t="n">
        <v>1</v>
      </c>
      <c r="H1910" s="2" t="n">
        <v>1</v>
      </c>
      <c r="I1910" s="2" t="n">
        <v>0</v>
      </c>
    </row>
    <row r="1911">
      <c r="A1911" s="2" t="n">
        <v>1909</v>
      </c>
      <c r="B1911" s="2" t="inlineStr">
        <is>
          <t>flip</t>
        </is>
      </c>
      <c r="C1911" s="2" t="inlineStr">
        <is>
          <t>openssl TLS 1.2 only</t>
        </is>
      </c>
      <c r="D1911" s="2" t="n">
        <v>215</v>
      </c>
      <c r="E1911" s="2" t="n">
        <v>215</v>
      </c>
      <c r="F1911" s="2" t="n">
        <v>1</v>
      </c>
      <c r="G1911" s="2" t="n">
        <v>1</v>
      </c>
      <c r="H1911" s="2" t="n">
        <v>0</v>
      </c>
      <c r="I1911" s="2" t="n">
        <v>0</v>
      </c>
    </row>
    <row r="1912">
      <c r="A1912" s="2" t="n">
        <v>1910</v>
      </c>
      <c r="B1912" s="2" t="inlineStr">
        <is>
          <t>truncate</t>
        </is>
      </c>
      <c r="C1912" s="2" t="inlineStr">
        <is>
          <t>browser firefox147</t>
        </is>
      </c>
      <c r="D1912" s="2" t="n">
        <v>873</v>
      </c>
      <c r="E1912" s="2" t="n">
        <v>873</v>
      </c>
      <c r="F1912" s="2" t="n">
        <v>1</v>
      </c>
      <c r="G1912" s="2" t="n">
        <v>1</v>
      </c>
      <c r="H1912" s="2" t="n">
        <v>0</v>
      </c>
      <c r="I1912" s="2" t="n">
        <v>0</v>
      </c>
    </row>
    <row r="1913">
      <c r="A1913" s="2" t="n">
        <v>1911</v>
      </c>
      <c r="B1913" s="2" t="inlineStr">
        <is>
          <t>length</t>
        </is>
      </c>
      <c r="C1913" s="2" t="inlineStr">
        <is>
          <t>browser firefox147</t>
        </is>
      </c>
      <c r="D1913" s="2" t="n">
        <v>1901</v>
      </c>
      <c r="E1913" s="2" t="n">
        <v>1901</v>
      </c>
      <c r="F1913" s="2" t="n">
        <v>1</v>
      </c>
      <c r="G1913" s="2" t="n">
        <v>1</v>
      </c>
      <c r="H1913" s="2" t="n">
        <v>0</v>
      </c>
      <c r="I1913" s="2" t="n">
        <v>0</v>
      </c>
    </row>
    <row r="1914">
      <c r="A1914" s="2" t="n">
        <v>1912</v>
      </c>
      <c r="B1914" s="2" t="inlineStr">
        <is>
          <t>insert</t>
        </is>
      </c>
      <c r="C1914" s="2" t="inlineStr">
        <is>
          <t>browser chrome150</t>
        </is>
      </c>
      <c r="D1914" s="2" t="n">
        <v>1769</v>
      </c>
      <c r="E1914" s="2" t="n">
        <v>1769</v>
      </c>
      <c r="F1914" s="2" t="n">
        <v>1</v>
      </c>
      <c r="G1914" s="2" t="n">
        <v>1</v>
      </c>
      <c r="H1914" s="2" t="n">
        <v>1</v>
      </c>
      <c r="I1914" s="2" t="n">
        <v>0</v>
      </c>
    </row>
    <row r="1915">
      <c r="A1915" s="2" t="n">
        <v>1913</v>
      </c>
      <c r="B1915" s="2" t="inlineStr">
        <is>
          <t>flip</t>
        </is>
      </c>
      <c r="C1915" s="2" t="inlineStr">
        <is>
          <t>browser chrome150</t>
        </is>
      </c>
      <c r="D1915" s="2" t="n">
        <v>1763</v>
      </c>
      <c r="E1915" s="2" t="n">
        <v>1763</v>
      </c>
      <c r="F1915" s="2" t="n">
        <v>1</v>
      </c>
      <c r="G1915" s="2" t="n">
        <v>1</v>
      </c>
      <c r="H1915" s="2" t="n">
        <v>1</v>
      </c>
      <c r="I1915" s="2" t="n">
        <v>0</v>
      </c>
    </row>
    <row r="1916">
      <c r="A1916" s="2" t="n">
        <v>1914</v>
      </c>
      <c r="B1916" s="2" t="inlineStr">
        <is>
          <t>truncate</t>
        </is>
      </c>
      <c r="C1916" s="2" t="inlineStr">
        <is>
          <t>browser chrome150</t>
        </is>
      </c>
      <c r="D1916" s="2" t="n">
        <v>134</v>
      </c>
      <c r="E1916" s="2" t="n">
        <v>134</v>
      </c>
      <c r="F1916" s="2" t="n">
        <v>1</v>
      </c>
      <c r="G1916" s="2" t="n">
        <v>1</v>
      </c>
      <c r="H1916" s="2" t="n">
        <v>0</v>
      </c>
      <c r="I1916" s="2" t="n">
        <v>0</v>
      </c>
    </row>
    <row r="1917">
      <c r="A1917" s="2" t="n">
        <v>1915</v>
      </c>
      <c r="B1917" s="2" t="inlineStr">
        <is>
          <t>length</t>
        </is>
      </c>
      <c r="C1917" s="2" t="inlineStr">
        <is>
          <t>openssl TLS 1.2 only</t>
        </is>
      </c>
      <c r="D1917" s="2" t="n">
        <v>215</v>
      </c>
      <c r="E1917" s="2" t="n">
        <v>215</v>
      </c>
      <c r="F1917" s="2" t="n">
        <v>1</v>
      </c>
      <c r="G1917" s="2" t="n">
        <v>1</v>
      </c>
      <c r="H1917" s="2" t="n">
        <v>0</v>
      </c>
      <c r="I1917" s="2" t="n">
        <v>0</v>
      </c>
    </row>
    <row r="1918">
      <c r="A1918" s="2" t="n">
        <v>1916</v>
      </c>
      <c r="B1918" s="2" t="inlineStr">
        <is>
          <t>insert</t>
        </is>
      </c>
      <c r="C1918" s="2" t="inlineStr">
        <is>
          <t>openssl X25519 only (classical)</t>
        </is>
      </c>
      <c r="D1918" s="2" t="n">
        <v>319</v>
      </c>
      <c r="E1918" s="2" t="n">
        <v>319</v>
      </c>
      <c r="F1918" s="2" t="n">
        <v>1</v>
      </c>
      <c r="G1918" s="2" t="n">
        <v>1</v>
      </c>
      <c r="H1918" s="2" t="n">
        <v>1</v>
      </c>
      <c r="I1918" s="2" t="n">
        <v>0</v>
      </c>
    </row>
    <row r="1919">
      <c r="A1919" s="2" t="n">
        <v>1917</v>
      </c>
      <c r="B1919" s="2" t="inlineStr">
        <is>
          <t>flip</t>
        </is>
      </c>
      <c r="C1919" s="2" t="inlineStr">
        <is>
          <t>openssl 3.5.8 default</t>
        </is>
      </c>
      <c r="D1919" s="2" t="n">
        <v>1548</v>
      </c>
      <c r="E1919" s="2" t="n">
        <v>1548</v>
      </c>
      <c r="F1919" s="2" t="n">
        <v>1</v>
      </c>
      <c r="G1919" s="2" t="n">
        <v>1</v>
      </c>
      <c r="H1919" s="2" t="n">
        <v>1</v>
      </c>
      <c r="I1919" s="2" t="n">
        <v>0</v>
      </c>
    </row>
    <row r="1920">
      <c r="A1920" s="2" t="n">
        <v>1918</v>
      </c>
      <c r="B1920" s="2" t="inlineStr">
        <is>
          <t>truncate</t>
        </is>
      </c>
      <c r="C1920" s="2" t="inlineStr">
        <is>
          <t>browser chrome150</t>
        </is>
      </c>
      <c r="D1920" s="2" t="n">
        <v>239</v>
      </c>
      <c r="E1920" s="2" t="n">
        <v>239</v>
      </c>
      <c r="F1920" s="2" t="n">
        <v>1</v>
      </c>
      <c r="G1920" s="2" t="n">
        <v>1</v>
      </c>
      <c r="H1920" s="2" t="n">
        <v>1</v>
      </c>
      <c r="I1920" s="2" t="n">
        <v>0</v>
      </c>
    </row>
    <row r="1921">
      <c r="A1921" s="2" t="n">
        <v>1919</v>
      </c>
      <c r="B1921" s="2" t="inlineStr">
        <is>
          <t>length</t>
        </is>
      </c>
      <c r="C1921" s="2" t="inlineStr">
        <is>
          <t>browser chrome150</t>
        </is>
      </c>
      <c r="D1921" s="2" t="n">
        <v>1763</v>
      </c>
      <c r="E1921" s="2" t="n">
        <v>1763</v>
      </c>
      <c r="F1921" s="2" t="n">
        <v>1</v>
      </c>
      <c r="G1921" s="2" t="n">
        <v>0</v>
      </c>
      <c r="H1921" s="2" t="n">
        <v>0</v>
      </c>
      <c r="I1921" s="2" t="n">
        <v>0</v>
      </c>
    </row>
    <row r="1922">
      <c r="A1922" s="2" t="n">
        <v>1920</v>
      </c>
      <c r="B1922" s="2" t="inlineStr">
        <is>
          <t>insert</t>
        </is>
      </c>
      <c r="C1922" s="2" t="inlineStr">
        <is>
          <t>openssl X25519 only (classical)</t>
        </is>
      </c>
      <c r="D1922" s="2" t="n">
        <v>330</v>
      </c>
      <c r="E1922" s="2" t="n">
        <v>330</v>
      </c>
      <c r="F1922" s="2" t="n">
        <v>1</v>
      </c>
      <c r="G1922" s="2" t="n">
        <v>1</v>
      </c>
      <c r="H1922" s="2" t="n">
        <v>1</v>
      </c>
      <c r="I1922" s="2" t="n">
        <v>0</v>
      </c>
    </row>
    <row r="1923">
      <c r="A1923" s="2" t="n">
        <v>1921</v>
      </c>
      <c r="B1923" s="2" t="inlineStr">
        <is>
          <t>flip</t>
        </is>
      </c>
      <c r="C1923" s="2" t="inlineStr">
        <is>
          <t>openssl TLS 1.2 only</t>
        </is>
      </c>
      <c r="D1923" s="2" t="n">
        <v>215</v>
      </c>
      <c r="E1923" s="2" t="n">
        <v>215</v>
      </c>
      <c r="F1923" s="2" t="n">
        <v>1</v>
      </c>
      <c r="G1923" s="2" t="n">
        <v>1</v>
      </c>
      <c r="H1923" s="2" t="n">
        <v>1</v>
      </c>
      <c r="I1923" s="2" t="n">
        <v>0</v>
      </c>
    </row>
    <row r="1924">
      <c r="A1924" s="2" t="n">
        <v>1922</v>
      </c>
      <c r="B1924" s="2" t="inlineStr">
        <is>
          <t>truncate</t>
        </is>
      </c>
      <c r="C1924" s="2" t="inlineStr">
        <is>
          <t>openssl TLS 1.2 only</t>
        </is>
      </c>
      <c r="D1924" s="2" t="n">
        <v>18</v>
      </c>
      <c r="E1924" s="2" t="n">
        <v>18</v>
      </c>
      <c r="F1924" s="2" t="n">
        <v>1</v>
      </c>
      <c r="G1924" s="2" t="n">
        <v>0</v>
      </c>
      <c r="H1924" s="2" t="n">
        <v>0</v>
      </c>
      <c r="I1924" s="2" t="n">
        <v>0</v>
      </c>
    </row>
    <row r="1925">
      <c r="A1925" s="2" t="n">
        <v>1923</v>
      </c>
      <c r="B1925" s="2" t="inlineStr">
        <is>
          <t>length</t>
        </is>
      </c>
      <c r="C1925" s="2" t="inlineStr">
        <is>
          <t>browser firefox147</t>
        </is>
      </c>
      <c r="D1925" s="2" t="n">
        <v>1901</v>
      </c>
      <c r="E1925" s="2" t="n">
        <v>1901</v>
      </c>
      <c r="F1925" s="2" t="n">
        <v>1</v>
      </c>
      <c r="G1925" s="2" t="n">
        <v>0</v>
      </c>
      <c r="H1925" s="2" t="n">
        <v>0</v>
      </c>
      <c r="I1925" s="2" t="n">
        <v>0</v>
      </c>
    </row>
    <row r="1926">
      <c r="A1926" s="2" t="n">
        <v>1924</v>
      </c>
      <c r="B1926" s="2" t="inlineStr">
        <is>
          <t>insert</t>
        </is>
      </c>
      <c r="C1926" s="2" t="inlineStr">
        <is>
          <t>openssl TLS 1.2 only</t>
        </is>
      </c>
      <c r="D1926" s="2" t="n">
        <v>226</v>
      </c>
      <c r="E1926" s="2" t="n">
        <v>226</v>
      </c>
      <c r="F1926" s="2" t="n">
        <v>1</v>
      </c>
      <c r="G1926" s="2" t="n">
        <v>1</v>
      </c>
      <c r="H1926" s="2" t="n">
        <v>0</v>
      </c>
      <c r="I1926" s="2" t="n">
        <v>0</v>
      </c>
    </row>
    <row r="1927">
      <c r="A1927" s="2" t="n">
        <v>1925</v>
      </c>
      <c r="B1927" s="2" t="inlineStr">
        <is>
          <t>flip</t>
        </is>
      </c>
      <c r="C1927" s="2" t="inlineStr">
        <is>
          <t>openssl TLS 1.2 only</t>
        </is>
      </c>
      <c r="D1927" s="2" t="n">
        <v>215</v>
      </c>
      <c r="E1927" s="2" t="n">
        <v>215</v>
      </c>
      <c r="F1927" s="2" t="n">
        <v>1</v>
      </c>
      <c r="G1927" s="2" t="n">
        <v>1</v>
      </c>
      <c r="H1927" s="2" t="n">
        <v>1</v>
      </c>
      <c r="I1927" s="2" t="n">
        <v>0</v>
      </c>
    </row>
    <row r="1928">
      <c r="A1928" s="2" t="n">
        <v>1926</v>
      </c>
      <c r="B1928" s="2" t="inlineStr">
        <is>
          <t>truncate</t>
        </is>
      </c>
      <c r="C1928" s="2" t="inlineStr">
        <is>
          <t>openssl 3.5.8 default</t>
        </is>
      </c>
      <c r="D1928" s="2" t="n">
        <v>1524</v>
      </c>
      <c r="E1928" s="2" t="n">
        <v>1524</v>
      </c>
      <c r="F1928" s="2" t="n">
        <v>1</v>
      </c>
      <c r="G1928" s="2" t="n">
        <v>1</v>
      </c>
      <c r="H1928" s="2" t="n">
        <v>1</v>
      </c>
      <c r="I1928" s="2" t="n">
        <v>0</v>
      </c>
    </row>
    <row r="1929">
      <c r="A1929" s="2" t="n">
        <v>1927</v>
      </c>
      <c r="B1929" s="2" t="inlineStr">
        <is>
          <t>length</t>
        </is>
      </c>
      <c r="C1929" s="2" t="inlineStr">
        <is>
          <t>openssl 3.5.8 default</t>
        </is>
      </c>
      <c r="D1929" s="2" t="n">
        <v>1548</v>
      </c>
      <c r="E1929" s="2" t="n">
        <v>1548</v>
      </c>
      <c r="F1929" s="2" t="n">
        <v>1</v>
      </c>
      <c r="G1929" s="2" t="n">
        <v>1</v>
      </c>
      <c r="H1929" s="2" t="n">
        <v>1</v>
      </c>
      <c r="I1929" s="2" t="n">
        <v>0</v>
      </c>
    </row>
    <row r="1930">
      <c r="A1930" s="2" t="n">
        <v>1928</v>
      </c>
      <c r="B1930" s="2" t="inlineStr">
        <is>
          <t>insert</t>
        </is>
      </c>
      <c r="C1930" s="2" t="inlineStr">
        <is>
          <t>openssl 3.5.8 default</t>
        </is>
      </c>
      <c r="D1930" s="2" t="n">
        <v>1553</v>
      </c>
      <c r="E1930" s="2" t="n">
        <v>1553</v>
      </c>
      <c r="F1930" s="2" t="n">
        <v>1</v>
      </c>
      <c r="G1930" s="2" t="n">
        <v>1</v>
      </c>
      <c r="H1930" s="2" t="n">
        <v>1</v>
      </c>
      <c r="I1930" s="2" t="n">
        <v>0</v>
      </c>
    </row>
    <row r="1931">
      <c r="A1931" s="2" t="n">
        <v>1929</v>
      </c>
      <c r="B1931" s="2" t="inlineStr">
        <is>
          <t>flip</t>
        </is>
      </c>
      <c r="C1931" s="2" t="inlineStr">
        <is>
          <t>openssl X25519 only (classical)</t>
        </is>
      </c>
      <c r="D1931" s="2" t="n">
        <v>314</v>
      </c>
      <c r="E1931" s="2" t="n">
        <v>314</v>
      </c>
      <c r="F1931" s="2" t="n">
        <v>1</v>
      </c>
      <c r="G1931" s="2" t="n">
        <v>1</v>
      </c>
      <c r="H1931" s="2" t="n">
        <v>1</v>
      </c>
      <c r="I1931" s="2" t="n">
        <v>0</v>
      </c>
    </row>
    <row r="1932">
      <c r="A1932" s="2" t="n">
        <v>1930</v>
      </c>
      <c r="B1932" s="2" t="inlineStr">
        <is>
          <t>truncate</t>
        </is>
      </c>
      <c r="C1932" s="2" t="inlineStr">
        <is>
          <t>openssl 3.5.8 default</t>
        </is>
      </c>
      <c r="D1932" s="2" t="n">
        <v>175</v>
      </c>
      <c r="E1932" s="2" t="n">
        <v>175</v>
      </c>
      <c r="F1932" s="2" t="n">
        <v>1</v>
      </c>
      <c r="G1932" s="2" t="n">
        <v>1</v>
      </c>
      <c r="H1932" s="2" t="n">
        <v>0</v>
      </c>
      <c r="I1932" s="2" t="n">
        <v>0</v>
      </c>
    </row>
    <row r="1933">
      <c r="A1933" s="2" t="n">
        <v>1931</v>
      </c>
      <c r="B1933" s="2" t="inlineStr">
        <is>
          <t>length</t>
        </is>
      </c>
      <c r="C1933" s="2" t="inlineStr">
        <is>
          <t>browser firefox147</t>
        </is>
      </c>
      <c r="D1933" s="2" t="n">
        <v>1901</v>
      </c>
      <c r="E1933" s="2" t="n">
        <v>1901</v>
      </c>
      <c r="F1933" s="2" t="n">
        <v>1</v>
      </c>
      <c r="G1933" s="2" t="n">
        <v>0</v>
      </c>
      <c r="H1933" s="2" t="n">
        <v>0</v>
      </c>
      <c r="I1933" s="2" t="n">
        <v>0</v>
      </c>
    </row>
    <row r="1934">
      <c r="A1934" s="2" t="n">
        <v>1932</v>
      </c>
      <c r="B1934" s="2" t="inlineStr">
        <is>
          <t>insert</t>
        </is>
      </c>
      <c r="C1934" s="2" t="inlineStr">
        <is>
          <t>openssl TLS 1.2 only</t>
        </is>
      </c>
      <c r="D1934" s="2" t="n">
        <v>219</v>
      </c>
      <c r="E1934" s="2" t="n">
        <v>219</v>
      </c>
      <c r="F1934" s="2" t="n">
        <v>1</v>
      </c>
      <c r="G1934" s="2" t="n">
        <v>1</v>
      </c>
      <c r="H1934" s="2" t="n">
        <v>1</v>
      </c>
      <c r="I1934" s="2" t="n">
        <v>0</v>
      </c>
    </row>
    <row r="1935">
      <c r="A1935" s="2" t="n">
        <v>1933</v>
      </c>
      <c r="B1935" s="2" t="inlineStr">
        <is>
          <t>flip</t>
        </is>
      </c>
      <c r="C1935" s="2" t="inlineStr">
        <is>
          <t>browser chrome150</t>
        </is>
      </c>
      <c r="D1935" s="2" t="n">
        <v>1763</v>
      </c>
      <c r="E1935" s="2" t="n">
        <v>1763</v>
      </c>
      <c r="F1935" s="2" t="n">
        <v>1</v>
      </c>
      <c r="G1935" s="2" t="n">
        <v>1</v>
      </c>
      <c r="H1935" s="2" t="n">
        <v>1</v>
      </c>
      <c r="I1935" s="2" t="n">
        <v>0</v>
      </c>
    </row>
    <row r="1936">
      <c r="A1936" s="2" t="n">
        <v>1934</v>
      </c>
      <c r="B1936" s="2" t="inlineStr">
        <is>
          <t>truncate</t>
        </is>
      </c>
      <c r="C1936" s="2" t="inlineStr">
        <is>
          <t>openssl 3.5.8 default</t>
        </is>
      </c>
      <c r="D1936" s="2" t="n">
        <v>1076</v>
      </c>
      <c r="E1936" s="2" t="n">
        <v>1076</v>
      </c>
      <c r="F1936" s="2" t="n">
        <v>1</v>
      </c>
      <c r="G1936" s="2" t="n">
        <v>1</v>
      </c>
      <c r="H1936" s="2" t="n">
        <v>1</v>
      </c>
      <c r="I1936" s="2" t="n">
        <v>0</v>
      </c>
    </row>
    <row r="1937">
      <c r="A1937" s="2" t="n">
        <v>1935</v>
      </c>
      <c r="B1937" s="2" t="inlineStr">
        <is>
          <t>length</t>
        </is>
      </c>
      <c r="C1937" s="2" t="inlineStr">
        <is>
          <t>openssl TLS 1.2 only</t>
        </is>
      </c>
      <c r="D1937" s="2" t="n">
        <v>215</v>
      </c>
      <c r="E1937" s="2" t="n">
        <v>215</v>
      </c>
      <c r="F1937" s="2" t="n">
        <v>0</v>
      </c>
      <c r="G1937" s="2" t="n">
        <v>0</v>
      </c>
      <c r="H1937" s="2" t="n">
        <v>0</v>
      </c>
      <c r="I1937" s="2" t="n">
        <v>0</v>
      </c>
    </row>
    <row r="1938">
      <c r="A1938" s="2" t="n">
        <v>1936</v>
      </c>
      <c r="B1938" s="2" t="inlineStr">
        <is>
          <t>insert</t>
        </is>
      </c>
      <c r="C1938" s="2" t="inlineStr">
        <is>
          <t>browser firefox147</t>
        </is>
      </c>
      <c r="D1938" s="2" t="n">
        <v>1902</v>
      </c>
      <c r="E1938" s="2" t="n">
        <v>1902</v>
      </c>
      <c r="F1938" s="2" t="n">
        <v>1</v>
      </c>
      <c r="G1938" s="2" t="n">
        <v>1</v>
      </c>
      <c r="H1938" s="2" t="n">
        <v>0</v>
      </c>
      <c r="I1938" s="2" t="n">
        <v>0</v>
      </c>
    </row>
    <row r="1939">
      <c r="A1939" s="2" t="n">
        <v>1937</v>
      </c>
      <c r="B1939" s="2" t="inlineStr">
        <is>
          <t>flip</t>
        </is>
      </c>
      <c r="C1939" s="2" t="inlineStr">
        <is>
          <t>browser firefox147</t>
        </is>
      </c>
      <c r="D1939" s="2" t="n">
        <v>1901</v>
      </c>
      <c r="E1939" s="2" t="n">
        <v>1901</v>
      </c>
      <c r="F1939" s="2" t="n">
        <v>1</v>
      </c>
      <c r="G1939" s="2" t="n">
        <v>1</v>
      </c>
      <c r="H1939" s="2" t="n">
        <v>0</v>
      </c>
      <c r="I1939" s="2" t="n">
        <v>0</v>
      </c>
    </row>
    <row r="1940">
      <c r="A1940" s="2" t="n">
        <v>1938</v>
      </c>
      <c r="B1940" s="2" t="inlineStr">
        <is>
          <t>truncate</t>
        </is>
      </c>
      <c r="C1940" s="2" t="inlineStr">
        <is>
          <t>browser chrome150</t>
        </is>
      </c>
      <c r="D1940" s="2" t="n">
        <v>1338</v>
      </c>
      <c r="E1940" s="2" t="n">
        <v>1338</v>
      </c>
      <c r="F1940" s="2" t="n">
        <v>1</v>
      </c>
      <c r="G1940" s="2" t="n">
        <v>1</v>
      </c>
      <c r="H1940" s="2" t="n">
        <v>1</v>
      </c>
      <c r="I1940" s="2" t="n">
        <v>0</v>
      </c>
    </row>
    <row r="1941">
      <c r="A1941" s="2" t="n">
        <v>1939</v>
      </c>
      <c r="B1941" s="2" t="inlineStr">
        <is>
          <t>length</t>
        </is>
      </c>
      <c r="C1941" s="2" t="inlineStr">
        <is>
          <t>browser firefox147</t>
        </is>
      </c>
      <c r="D1941" s="2" t="n">
        <v>1901</v>
      </c>
      <c r="E1941" s="2" t="n">
        <v>1901</v>
      </c>
      <c r="F1941" s="2" t="n">
        <v>1</v>
      </c>
      <c r="G1941" s="2" t="n">
        <v>1</v>
      </c>
      <c r="H1941" s="2" t="n">
        <v>0</v>
      </c>
      <c r="I1941" s="2" t="n">
        <v>0</v>
      </c>
    </row>
    <row r="1942">
      <c r="A1942" s="2" t="n">
        <v>1940</v>
      </c>
      <c r="B1942" s="2" t="inlineStr">
        <is>
          <t>insert</t>
        </is>
      </c>
      <c r="C1942" s="2" t="inlineStr">
        <is>
          <t>openssl 3.5.8 default</t>
        </is>
      </c>
      <c r="D1942" s="2" t="n">
        <v>1549</v>
      </c>
      <c r="E1942" s="2" t="n">
        <v>1549</v>
      </c>
      <c r="F1942" s="2" t="n">
        <v>1</v>
      </c>
      <c r="G1942" s="2" t="n">
        <v>1</v>
      </c>
      <c r="H1942" s="2" t="n">
        <v>0</v>
      </c>
      <c r="I1942" s="2" t="n">
        <v>0</v>
      </c>
    </row>
    <row r="1943">
      <c r="A1943" s="2" t="n">
        <v>1941</v>
      </c>
      <c r="B1943" s="2" t="inlineStr">
        <is>
          <t>flip</t>
        </is>
      </c>
      <c r="C1943" s="2" t="inlineStr">
        <is>
          <t>openssl 3.5.8 default</t>
        </is>
      </c>
      <c r="D1943" s="2" t="n">
        <v>1548</v>
      </c>
      <c r="E1943" s="2" t="n">
        <v>1548</v>
      </c>
      <c r="F1943" s="2" t="n">
        <v>1</v>
      </c>
      <c r="G1943" s="2" t="n">
        <v>1</v>
      </c>
      <c r="H1943" s="2" t="n">
        <v>1</v>
      </c>
      <c r="I1943" s="2" t="n">
        <v>0</v>
      </c>
    </row>
    <row r="1944">
      <c r="A1944" s="2" t="n">
        <v>1942</v>
      </c>
      <c r="B1944" s="2" t="inlineStr">
        <is>
          <t>truncate</t>
        </is>
      </c>
      <c r="C1944" s="2" t="inlineStr">
        <is>
          <t>openssl TLS 1.2 only</t>
        </is>
      </c>
      <c r="D1944" s="2" t="n">
        <v>29</v>
      </c>
      <c r="E1944" s="2" t="n">
        <v>29</v>
      </c>
      <c r="F1944" s="2" t="n">
        <v>1</v>
      </c>
      <c r="G1944" s="2" t="n">
        <v>0</v>
      </c>
      <c r="H1944" s="2" t="n">
        <v>0</v>
      </c>
      <c r="I1944" s="2" t="n">
        <v>0</v>
      </c>
    </row>
    <row r="1945">
      <c r="A1945" s="2" t="n">
        <v>1943</v>
      </c>
      <c r="B1945" s="2" t="inlineStr">
        <is>
          <t>length</t>
        </is>
      </c>
      <c r="C1945" s="2" t="inlineStr">
        <is>
          <t>browser firefox147</t>
        </is>
      </c>
      <c r="D1945" s="2" t="n">
        <v>1901</v>
      </c>
      <c r="E1945" s="2" t="n">
        <v>1901</v>
      </c>
      <c r="F1945" s="2" t="n">
        <v>0</v>
      </c>
      <c r="G1945" s="2" t="n">
        <v>0</v>
      </c>
      <c r="H1945" s="2" t="n">
        <v>0</v>
      </c>
      <c r="I1945" s="2" t="n">
        <v>0</v>
      </c>
    </row>
    <row r="1946">
      <c r="A1946" s="2" t="n">
        <v>1944</v>
      </c>
      <c r="B1946" s="2" t="inlineStr">
        <is>
          <t>insert</t>
        </is>
      </c>
      <c r="C1946" s="2" t="inlineStr">
        <is>
          <t>openssl 3.5.8 default</t>
        </is>
      </c>
      <c r="D1946" s="2" t="n">
        <v>1562</v>
      </c>
      <c r="E1946" s="2" t="n">
        <v>1562</v>
      </c>
      <c r="F1946" s="2" t="n">
        <v>1</v>
      </c>
      <c r="G1946" s="2" t="n">
        <v>1</v>
      </c>
      <c r="H1946" s="2" t="n">
        <v>1</v>
      </c>
      <c r="I1946" s="2" t="n">
        <v>0</v>
      </c>
    </row>
    <row r="1947">
      <c r="A1947" s="2" t="n">
        <v>1945</v>
      </c>
      <c r="B1947" s="2" t="inlineStr">
        <is>
          <t>flip</t>
        </is>
      </c>
      <c r="C1947" s="2" t="inlineStr">
        <is>
          <t>openssl X25519 only (classical)</t>
        </is>
      </c>
      <c r="D1947" s="2" t="n">
        <v>314</v>
      </c>
      <c r="E1947" s="2" t="n">
        <v>314</v>
      </c>
      <c r="F1947" s="2" t="n">
        <v>1</v>
      </c>
      <c r="G1947" s="2" t="n">
        <v>1</v>
      </c>
      <c r="H1947" s="2" t="n">
        <v>1</v>
      </c>
      <c r="I1947" s="2" t="n">
        <v>0</v>
      </c>
    </row>
    <row r="1948">
      <c r="A1948" s="2" t="n">
        <v>1946</v>
      </c>
      <c r="B1948" s="2" t="inlineStr">
        <is>
          <t>truncate</t>
        </is>
      </c>
      <c r="C1948" s="2" t="inlineStr">
        <is>
          <t>openssl TLS 1.2 only</t>
        </is>
      </c>
      <c r="D1948" s="2" t="n">
        <v>120</v>
      </c>
      <c r="E1948" s="2" t="n">
        <v>120</v>
      </c>
      <c r="F1948" s="2" t="n">
        <v>1</v>
      </c>
      <c r="G1948" s="2" t="n">
        <v>1</v>
      </c>
      <c r="H1948" s="2" t="n">
        <v>0</v>
      </c>
      <c r="I1948" s="2" t="n">
        <v>0</v>
      </c>
    </row>
    <row r="1949">
      <c r="A1949" s="2" t="n">
        <v>1947</v>
      </c>
      <c r="B1949" s="2" t="inlineStr">
        <is>
          <t>length</t>
        </is>
      </c>
      <c r="C1949" s="2" t="inlineStr">
        <is>
          <t>browser chrome150</t>
        </is>
      </c>
      <c r="D1949" s="2" t="n">
        <v>1763</v>
      </c>
      <c r="E1949" s="2" t="n">
        <v>1763</v>
      </c>
      <c r="F1949" s="2" t="n">
        <v>1</v>
      </c>
      <c r="G1949" s="2" t="n">
        <v>1</v>
      </c>
      <c r="H1949" s="2" t="n">
        <v>1</v>
      </c>
      <c r="I1949" s="2" t="n">
        <v>0</v>
      </c>
    </row>
    <row r="1950">
      <c r="A1950" s="2" t="n">
        <v>1948</v>
      </c>
      <c r="B1950" s="2" t="inlineStr">
        <is>
          <t>insert</t>
        </is>
      </c>
      <c r="C1950" s="2" t="inlineStr">
        <is>
          <t>openssl 3.5.8 default</t>
        </is>
      </c>
      <c r="D1950" s="2" t="n">
        <v>1559</v>
      </c>
      <c r="E1950" s="2" t="n">
        <v>1559</v>
      </c>
      <c r="F1950" s="2" t="n">
        <v>1</v>
      </c>
      <c r="G1950" s="2" t="n">
        <v>1</v>
      </c>
      <c r="H1950" s="2" t="n">
        <v>1</v>
      </c>
      <c r="I1950" s="2" t="n">
        <v>0</v>
      </c>
    </row>
    <row r="1951">
      <c r="A1951" s="2" t="n">
        <v>1949</v>
      </c>
      <c r="B1951" s="2" t="inlineStr">
        <is>
          <t>flip</t>
        </is>
      </c>
      <c r="C1951" s="2" t="inlineStr">
        <is>
          <t>openssl 3.5.8 default</t>
        </is>
      </c>
      <c r="D1951" s="2" t="n">
        <v>1548</v>
      </c>
      <c r="E1951" s="2" t="n">
        <v>1548</v>
      </c>
      <c r="F1951" s="2" t="n">
        <v>1</v>
      </c>
      <c r="G1951" s="2" t="n">
        <v>1</v>
      </c>
      <c r="H1951" s="2" t="n">
        <v>1</v>
      </c>
      <c r="I1951" s="2" t="n">
        <v>0</v>
      </c>
    </row>
    <row r="1952">
      <c r="A1952" s="2" t="n">
        <v>1950</v>
      </c>
      <c r="B1952" s="2" t="inlineStr">
        <is>
          <t>truncate</t>
        </is>
      </c>
      <c r="C1952" s="2" t="inlineStr">
        <is>
          <t>openssl X25519 only (classical)</t>
        </is>
      </c>
      <c r="D1952" s="2" t="n">
        <v>262</v>
      </c>
      <c r="E1952" s="2" t="n">
        <v>262</v>
      </c>
      <c r="F1952" s="2" t="n">
        <v>1</v>
      </c>
      <c r="G1952" s="2" t="n">
        <v>1</v>
      </c>
      <c r="H1952" s="2" t="n">
        <v>0</v>
      </c>
      <c r="I1952" s="2" t="n">
        <v>0</v>
      </c>
    </row>
    <row r="1953">
      <c r="A1953" s="2" t="n">
        <v>1951</v>
      </c>
      <c r="B1953" s="2" t="inlineStr">
        <is>
          <t>length</t>
        </is>
      </c>
      <c r="C1953" s="2" t="inlineStr">
        <is>
          <t>browser firefox147</t>
        </is>
      </c>
      <c r="D1953" s="2" t="n">
        <v>1901</v>
      </c>
      <c r="E1953" s="2" t="n">
        <v>1901</v>
      </c>
      <c r="F1953" s="2" t="n">
        <v>1</v>
      </c>
      <c r="G1953" s="2" t="n">
        <v>1</v>
      </c>
      <c r="H1953" s="2" t="n">
        <v>1</v>
      </c>
      <c r="I1953" s="2" t="n">
        <v>0</v>
      </c>
    </row>
    <row r="1954">
      <c r="A1954" s="2" t="n">
        <v>1952</v>
      </c>
      <c r="B1954" s="2" t="inlineStr">
        <is>
          <t>insert</t>
        </is>
      </c>
      <c r="C1954" s="2" t="inlineStr">
        <is>
          <t>openssl TLS 1.2 only</t>
        </is>
      </c>
      <c r="D1954" s="2" t="n">
        <v>228</v>
      </c>
      <c r="E1954" s="2" t="n">
        <v>228</v>
      </c>
      <c r="F1954" s="2" t="n">
        <v>1</v>
      </c>
      <c r="G1954" s="2" t="n">
        <v>1</v>
      </c>
      <c r="H1954" s="2" t="n">
        <v>0</v>
      </c>
      <c r="I1954" s="2" t="n">
        <v>0</v>
      </c>
    </row>
    <row r="1955">
      <c r="A1955" s="2" t="n">
        <v>1953</v>
      </c>
      <c r="B1955" s="2" t="inlineStr">
        <is>
          <t>flip</t>
        </is>
      </c>
      <c r="C1955" s="2" t="inlineStr">
        <is>
          <t>openssl 3.5.8 default</t>
        </is>
      </c>
      <c r="D1955" s="2" t="n">
        <v>1548</v>
      </c>
      <c r="E1955" s="2" t="n">
        <v>1548</v>
      </c>
      <c r="F1955" s="2" t="n">
        <v>1</v>
      </c>
      <c r="G1955" s="2" t="n">
        <v>1</v>
      </c>
      <c r="H1955" s="2" t="n">
        <v>1</v>
      </c>
      <c r="I1955" s="2" t="n">
        <v>0</v>
      </c>
    </row>
    <row r="1956">
      <c r="A1956" s="2" t="n">
        <v>1954</v>
      </c>
      <c r="B1956" s="2" t="inlineStr">
        <is>
          <t>truncate</t>
        </is>
      </c>
      <c r="C1956" s="2" t="inlineStr">
        <is>
          <t>browser chrome150</t>
        </is>
      </c>
      <c r="D1956" s="2" t="n">
        <v>340</v>
      </c>
      <c r="E1956" s="2" t="n">
        <v>340</v>
      </c>
      <c r="F1956" s="2" t="n">
        <v>1</v>
      </c>
      <c r="G1956" s="2" t="n">
        <v>1</v>
      </c>
      <c r="H1956" s="2" t="n">
        <v>1</v>
      </c>
      <c r="I1956" s="2" t="n">
        <v>0</v>
      </c>
    </row>
    <row r="1957">
      <c r="A1957" s="2" t="n">
        <v>1955</v>
      </c>
      <c r="B1957" s="2" t="inlineStr">
        <is>
          <t>length</t>
        </is>
      </c>
      <c r="C1957" s="2" t="inlineStr">
        <is>
          <t>openssl TLS 1.2 only</t>
        </is>
      </c>
      <c r="D1957" s="2" t="n">
        <v>215</v>
      </c>
      <c r="E1957" s="2" t="n">
        <v>215</v>
      </c>
      <c r="F1957" s="2" t="n">
        <v>1</v>
      </c>
      <c r="G1957" s="2" t="n">
        <v>1</v>
      </c>
      <c r="H1957" s="2" t="n">
        <v>0</v>
      </c>
      <c r="I1957" s="2" t="n">
        <v>0</v>
      </c>
    </row>
    <row r="1958">
      <c r="A1958" s="2" t="n">
        <v>1956</v>
      </c>
      <c r="B1958" s="2" t="inlineStr">
        <is>
          <t>insert</t>
        </is>
      </c>
      <c r="C1958" s="2" t="inlineStr">
        <is>
          <t>browser chrome150</t>
        </is>
      </c>
      <c r="D1958" s="2" t="n">
        <v>1775</v>
      </c>
      <c r="E1958" s="2" t="n">
        <v>1775</v>
      </c>
      <c r="F1958" s="2" t="n">
        <v>1</v>
      </c>
      <c r="G1958" s="2" t="n">
        <v>1</v>
      </c>
      <c r="H1958" s="2" t="n">
        <v>1</v>
      </c>
      <c r="I1958" s="2" t="n">
        <v>0</v>
      </c>
    </row>
    <row r="1959">
      <c r="A1959" s="2" t="n">
        <v>1957</v>
      </c>
      <c r="B1959" s="2" t="inlineStr">
        <is>
          <t>flip</t>
        </is>
      </c>
      <c r="C1959" s="2" t="inlineStr">
        <is>
          <t>browser firefox147</t>
        </is>
      </c>
      <c r="D1959" s="2" t="n">
        <v>1901</v>
      </c>
      <c r="E1959" s="2" t="n">
        <v>1901</v>
      </c>
      <c r="F1959" s="2" t="n">
        <v>1</v>
      </c>
      <c r="G1959" s="2" t="n">
        <v>1</v>
      </c>
      <c r="H1959" s="2" t="n">
        <v>0</v>
      </c>
      <c r="I1959" s="2" t="n">
        <v>0</v>
      </c>
    </row>
    <row r="1960">
      <c r="A1960" s="2" t="n">
        <v>1958</v>
      </c>
      <c r="B1960" s="2" t="inlineStr">
        <is>
          <t>truncate</t>
        </is>
      </c>
      <c r="C1960" s="2" t="inlineStr">
        <is>
          <t>browser firefox147</t>
        </is>
      </c>
      <c r="D1960" s="2" t="n">
        <v>1058</v>
      </c>
      <c r="E1960" s="2" t="n">
        <v>1058</v>
      </c>
      <c r="F1960" s="2" t="n">
        <v>1</v>
      </c>
      <c r="G1960" s="2" t="n">
        <v>1</v>
      </c>
      <c r="H1960" s="2" t="n">
        <v>0</v>
      </c>
      <c r="I1960" s="2" t="n">
        <v>0</v>
      </c>
    </row>
    <row r="1961">
      <c r="A1961" s="2" t="n">
        <v>1959</v>
      </c>
      <c r="B1961" s="2" t="inlineStr">
        <is>
          <t>length</t>
        </is>
      </c>
      <c r="C1961" s="2" t="inlineStr">
        <is>
          <t>browser firefox147</t>
        </is>
      </c>
      <c r="D1961" s="2" t="n">
        <v>1901</v>
      </c>
      <c r="E1961" s="2" t="n">
        <v>1901</v>
      </c>
      <c r="F1961" s="2" t="n">
        <v>1</v>
      </c>
      <c r="G1961" s="2" t="n">
        <v>1</v>
      </c>
      <c r="H1961" s="2" t="n">
        <v>0</v>
      </c>
      <c r="I1961" s="2" t="n">
        <v>0</v>
      </c>
    </row>
    <row r="1962">
      <c r="A1962" s="2" t="n">
        <v>1960</v>
      </c>
      <c r="B1962" s="2" t="inlineStr">
        <is>
          <t>insert</t>
        </is>
      </c>
      <c r="C1962" s="2" t="inlineStr">
        <is>
          <t>openssl 3.5.8 default</t>
        </is>
      </c>
      <c r="D1962" s="2" t="n">
        <v>1550</v>
      </c>
      <c r="E1962" s="2" t="n">
        <v>1550</v>
      </c>
      <c r="F1962" s="2" t="n">
        <v>1</v>
      </c>
      <c r="G1962" s="2" t="n">
        <v>1</v>
      </c>
      <c r="H1962" s="2" t="n">
        <v>1</v>
      </c>
      <c r="I1962" s="2" t="n">
        <v>0</v>
      </c>
    </row>
    <row r="1963">
      <c r="A1963" s="2" t="n">
        <v>1961</v>
      </c>
      <c r="B1963" s="2" t="inlineStr">
        <is>
          <t>flip</t>
        </is>
      </c>
      <c r="C1963" s="2" t="inlineStr">
        <is>
          <t>browser chrome150</t>
        </is>
      </c>
      <c r="D1963" s="2" t="n">
        <v>1763</v>
      </c>
      <c r="E1963" s="2" t="n">
        <v>1763</v>
      </c>
      <c r="F1963" s="2" t="n">
        <v>1</v>
      </c>
      <c r="G1963" s="2" t="n">
        <v>1</v>
      </c>
      <c r="H1963" s="2" t="n">
        <v>1</v>
      </c>
      <c r="I1963" s="2" t="n">
        <v>0</v>
      </c>
    </row>
    <row r="1964">
      <c r="A1964" s="2" t="n">
        <v>1962</v>
      </c>
      <c r="B1964" s="2" t="inlineStr">
        <is>
          <t>truncate</t>
        </is>
      </c>
      <c r="C1964" s="2" t="inlineStr">
        <is>
          <t>openssl 3.5.8 default</t>
        </is>
      </c>
      <c r="D1964" s="2" t="n">
        <v>259</v>
      </c>
      <c r="E1964" s="2" t="n">
        <v>259</v>
      </c>
      <c r="F1964" s="2" t="n">
        <v>1</v>
      </c>
      <c r="G1964" s="2" t="n">
        <v>1</v>
      </c>
      <c r="H1964" s="2" t="n">
        <v>0</v>
      </c>
      <c r="I1964" s="2" t="n">
        <v>0</v>
      </c>
    </row>
    <row r="1965">
      <c r="A1965" s="2" t="n">
        <v>1963</v>
      </c>
      <c r="B1965" s="2" t="inlineStr">
        <is>
          <t>length</t>
        </is>
      </c>
      <c r="C1965" s="2" t="inlineStr">
        <is>
          <t>openssl 3.5.8 default</t>
        </is>
      </c>
      <c r="D1965" s="2" t="n">
        <v>1548</v>
      </c>
      <c r="E1965" s="2" t="n">
        <v>1548</v>
      </c>
      <c r="F1965" s="2" t="n">
        <v>1</v>
      </c>
      <c r="G1965" s="2" t="n">
        <v>1</v>
      </c>
      <c r="H1965" s="2" t="n">
        <v>1</v>
      </c>
      <c r="I1965" s="2" t="n">
        <v>0</v>
      </c>
    </row>
    <row r="1966">
      <c r="A1966" s="2" t="n">
        <v>1964</v>
      </c>
      <c r="B1966" s="2" t="inlineStr">
        <is>
          <t>insert</t>
        </is>
      </c>
      <c r="C1966" s="2" t="inlineStr">
        <is>
          <t>browser firefox147</t>
        </is>
      </c>
      <c r="D1966" s="2" t="n">
        <v>1905</v>
      </c>
      <c r="E1966" s="2" t="n">
        <v>1905</v>
      </c>
      <c r="F1966" s="2" t="n">
        <v>1</v>
      </c>
      <c r="G1966" s="2" t="n">
        <v>1</v>
      </c>
      <c r="H1966" s="2" t="n">
        <v>0</v>
      </c>
      <c r="I1966" s="2" t="n">
        <v>0</v>
      </c>
    </row>
    <row r="1967">
      <c r="A1967" s="2" t="n">
        <v>1965</v>
      </c>
      <c r="B1967" s="2" t="inlineStr">
        <is>
          <t>flip</t>
        </is>
      </c>
      <c r="C1967" s="2" t="inlineStr">
        <is>
          <t>browser firefox147</t>
        </is>
      </c>
      <c r="D1967" s="2" t="n">
        <v>1901</v>
      </c>
      <c r="E1967" s="2" t="n">
        <v>1901</v>
      </c>
      <c r="F1967" s="2" t="n">
        <v>1</v>
      </c>
      <c r="G1967" s="2" t="n">
        <v>1</v>
      </c>
      <c r="H1967" s="2" t="n">
        <v>0</v>
      </c>
      <c r="I1967" s="2" t="n">
        <v>0</v>
      </c>
    </row>
    <row r="1968">
      <c r="A1968" s="2" t="n">
        <v>1966</v>
      </c>
      <c r="B1968" s="2" t="inlineStr">
        <is>
          <t>truncate</t>
        </is>
      </c>
      <c r="C1968" s="2" t="inlineStr">
        <is>
          <t>openssl X25519 only (classical)</t>
        </is>
      </c>
      <c r="D1968" s="2" t="n">
        <v>280</v>
      </c>
      <c r="E1968" s="2" t="n">
        <v>280</v>
      </c>
      <c r="F1968" s="2" t="n">
        <v>1</v>
      </c>
      <c r="G1968" s="2" t="n">
        <v>1</v>
      </c>
      <c r="H1968" s="2" t="n">
        <v>1</v>
      </c>
      <c r="I1968" s="2" t="n">
        <v>0</v>
      </c>
    </row>
    <row r="1969">
      <c r="A1969" s="2" t="n">
        <v>1967</v>
      </c>
      <c r="B1969" s="2" t="inlineStr">
        <is>
          <t>length</t>
        </is>
      </c>
      <c r="C1969" s="2" t="inlineStr">
        <is>
          <t>openssl X25519 only (classical)</t>
        </is>
      </c>
      <c r="D1969" s="2" t="n">
        <v>314</v>
      </c>
      <c r="E1969" s="2" t="n">
        <v>314</v>
      </c>
      <c r="F1969" s="2" t="n">
        <v>1</v>
      </c>
      <c r="G1969" s="2" t="n">
        <v>1</v>
      </c>
      <c r="H1969" s="2" t="n">
        <v>1</v>
      </c>
      <c r="I1969" s="2" t="n">
        <v>0</v>
      </c>
    </row>
    <row r="1970">
      <c r="A1970" s="2" t="n">
        <v>1968</v>
      </c>
      <c r="B1970" s="2" t="inlineStr">
        <is>
          <t>insert</t>
        </is>
      </c>
      <c r="C1970" s="2" t="inlineStr">
        <is>
          <t>openssl TLS 1.2 only</t>
        </is>
      </c>
      <c r="D1970" s="2" t="n">
        <v>227</v>
      </c>
      <c r="E1970" s="2" t="n">
        <v>227</v>
      </c>
      <c r="F1970" s="2" t="n">
        <v>1</v>
      </c>
      <c r="G1970" s="2" t="n">
        <v>1</v>
      </c>
      <c r="H1970" s="2" t="n">
        <v>0</v>
      </c>
      <c r="I1970" s="2" t="n">
        <v>0</v>
      </c>
    </row>
    <row r="1971">
      <c r="A1971" s="2" t="n">
        <v>1969</v>
      </c>
      <c r="B1971" s="2" t="inlineStr">
        <is>
          <t>flip</t>
        </is>
      </c>
      <c r="C1971" s="2" t="inlineStr">
        <is>
          <t>browser chrome150</t>
        </is>
      </c>
      <c r="D1971" s="2" t="n">
        <v>1763</v>
      </c>
      <c r="E1971" s="2" t="n">
        <v>1763</v>
      </c>
      <c r="F1971" s="2" t="n">
        <v>1</v>
      </c>
      <c r="G1971" s="2" t="n">
        <v>1</v>
      </c>
      <c r="H1971" s="2" t="n">
        <v>1</v>
      </c>
      <c r="I1971" s="2" t="n">
        <v>0</v>
      </c>
    </row>
    <row r="1972">
      <c r="A1972" s="2" t="n">
        <v>1970</v>
      </c>
      <c r="B1972" s="2" t="inlineStr">
        <is>
          <t>truncate</t>
        </is>
      </c>
      <c r="C1972" s="2" t="inlineStr">
        <is>
          <t>browser chrome150</t>
        </is>
      </c>
      <c r="D1972" s="2" t="n">
        <v>575</v>
      </c>
      <c r="E1972" s="2" t="n">
        <v>575</v>
      </c>
      <c r="F1972" s="2" t="n">
        <v>1</v>
      </c>
      <c r="G1972" s="2" t="n">
        <v>1</v>
      </c>
      <c r="H1972" s="2" t="n">
        <v>1</v>
      </c>
      <c r="I1972" s="2" t="n">
        <v>0</v>
      </c>
    </row>
    <row r="1973">
      <c r="A1973" s="2" t="n">
        <v>1971</v>
      </c>
      <c r="B1973" s="2" t="inlineStr">
        <is>
          <t>length</t>
        </is>
      </c>
      <c r="C1973" s="2" t="inlineStr">
        <is>
          <t>browser chrome150</t>
        </is>
      </c>
      <c r="D1973" s="2" t="n">
        <v>1763</v>
      </c>
      <c r="E1973" s="2" t="n">
        <v>1763</v>
      </c>
      <c r="F1973" s="2" t="n">
        <v>1</v>
      </c>
      <c r="G1973" s="2" t="n">
        <v>1</v>
      </c>
      <c r="H1973" s="2" t="n">
        <v>1</v>
      </c>
      <c r="I1973" s="2" t="n">
        <v>0</v>
      </c>
    </row>
    <row r="1974">
      <c r="A1974" s="2" t="n">
        <v>1972</v>
      </c>
      <c r="B1974" s="2" t="inlineStr">
        <is>
          <t>insert</t>
        </is>
      </c>
      <c r="C1974" s="2" t="inlineStr">
        <is>
          <t>openssl TLS 1.2 only</t>
        </is>
      </c>
      <c r="D1974" s="2" t="n">
        <v>216</v>
      </c>
      <c r="E1974" s="2" t="n">
        <v>216</v>
      </c>
      <c r="F1974" s="2" t="n">
        <v>1</v>
      </c>
      <c r="G1974" s="2" t="n">
        <v>1</v>
      </c>
      <c r="H1974" s="2" t="n">
        <v>1</v>
      </c>
      <c r="I1974" s="2" t="n">
        <v>0</v>
      </c>
    </row>
    <row r="1975">
      <c r="A1975" s="2" t="n">
        <v>1973</v>
      </c>
      <c r="B1975" s="2" t="inlineStr">
        <is>
          <t>flip</t>
        </is>
      </c>
      <c r="C1975" s="2" t="inlineStr">
        <is>
          <t>openssl 3.5.8 default</t>
        </is>
      </c>
      <c r="D1975" s="2" t="n">
        <v>1548</v>
      </c>
      <c r="E1975" s="2" t="n">
        <v>1548</v>
      </c>
      <c r="F1975" s="2" t="n">
        <v>1</v>
      </c>
      <c r="G1975" s="2" t="n">
        <v>1</v>
      </c>
      <c r="H1975" s="2" t="n">
        <v>1</v>
      </c>
      <c r="I1975" s="2" t="n">
        <v>0</v>
      </c>
    </row>
    <row r="1976">
      <c r="A1976" s="2" t="n">
        <v>1974</v>
      </c>
      <c r="B1976" s="2" t="inlineStr">
        <is>
          <t>truncate</t>
        </is>
      </c>
      <c r="C1976" s="2" t="inlineStr">
        <is>
          <t>openssl 3.5.8 default</t>
        </is>
      </c>
      <c r="D1976" s="2" t="n">
        <v>1464</v>
      </c>
      <c r="E1976" s="2" t="n">
        <v>1464</v>
      </c>
      <c r="F1976" s="2" t="n">
        <v>1</v>
      </c>
      <c r="G1976" s="2" t="n">
        <v>1</v>
      </c>
      <c r="H1976" s="2" t="n">
        <v>1</v>
      </c>
      <c r="I1976" s="2" t="n">
        <v>0</v>
      </c>
    </row>
    <row r="1977">
      <c r="A1977" s="2" t="n">
        <v>1975</v>
      </c>
      <c r="B1977" s="2" t="inlineStr">
        <is>
          <t>length</t>
        </is>
      </c>
      <c r="C1977" s="2" t="inlineStr">
        <is>
          <t>openssl TLS 1.2 only</t>
        </is>
      </c>
      <c r="D1977" s="2" t="n">
        <v>215</v>
      </c>
      <c r="E1977" s="2" t="n">
        <v>215</v>
      </c>
      <c r="F1977" s="2" t="n">
        <v>1</v>
      </c>
      <c r="G1977" s="2" t="n">
        <v>1</v>
      </c>
      <c r="H1977" s="2" t="n">
        <v>0</v>
      </c>
      <c r="I1977" s="2" t="n">
        <v>0</v>
      </c>
    </row>
    <row r="1978">
      <c r="A1978" s="2" t="n">
        <v>1976</v>
      </c>
      <c r="B1978" s="2" t="inlineStr">
        <is>
          <t>insert</t>
        </is>
      </c>
      <c r="C1978" s="2" t="inlineStr">
        <is>
          <t>openssl X25519 only (classical)</t>
        </is>
      </c>
      <c r="D1978" s="2" t="n">
        <v>326</v>
      </c>
      <c r="E1978" s="2" t="n">
        <v>326</v>
      </c>
      <c r="F1978" s="2" t="n">
        <v>1</v>
      </c>
      <c r="G1978" s="2" t="n">
        <v>1</v>
      </c>
      <c r="H1978" s="2" t="n">
        <v>1</v>
      </c>
      <c r="I1978" s="2" t="n">
        <v>0</v>
      </c>
    </row>
    <row r="1979">
      <c r="A1979" s="2" t="n">
        <v>1977</v>
      </c>
      <c r="B1979" s="2" t="inlineStr">
        <is>
          <t>flip</t>
        </is>
      </c>
      <c r="C1979" s="2" t="inlineStr">
        <is>
          <t>openssl 3.5.8 default</t>
        </is>
      </c>
      <c r="D1979" s="2" t="n">
        <v>1548</v>
      </c>
      <c r="E1979" s="2" t="n">
        <v>1548</v>
      </c>
      <c r="F1979" s="2" t="n">
        <v>1</v>
      </c>
      <c r="G1979" s="2" t="n">
        <v>1</v>
      </c>
      <c r="H1979" s="2" t="n">
        <v>1</v>
      </c>
      <c r="I1979" s="2" t="n">
        <v>0</v>
      </c>
    </row>
    <row r="1980">
      <c r="A1980" s="2" t="n">
        <v>1978</v>
      </c>
      <c r="B1980" s="2" t="inlineStr">
        <is>
          <t>truncate</t>
        </is>
      </c>
      <c r="C1980" s="2" t="inlineStr">
        <is>
          <t>openssl 3.5.8 default</t>
        </is>
      </c>
      <c r="D1980" s="2" t="n">
        <v>1086</v>
      </c>
      <c r="E1980" s="2" t="n">
        <v>1086</v>
      </c>
      <c r="F1980" s="2" t="n">
        <v>1</v>
      </c>
      <c r="G1980" s="2" t="n">
        <v>1</v>
      </c>
      <c r="H1980" s="2" t="n">
        <v>1</v>
      </c>
      <c r="I1980" s="2" t="n">
        <v>0</v>
      </c>
    </row>
    <row r="1981">
      <c r="A1981" s="2" t="n">
        <v>1979</v>
      </c>
      <c r="B1981" s="2" t="inlineStr">
        <is>
          <t>length</t>
        </is>
      </c>
      <c r="C1981" s="2" t="inlineStr">
        <is>
          <t>openssl 3.5.8 default</t>
        </is>
      </c>
      <c r="D1981" s="2" t="n">
        <v>1548</v>
      </c>
      <c r="E1981" s="2" t="n">
        <v>1548</v>
      </c>
      <c r="F1981" s="2" t="n">
        <v>1</v>
      </c>
      <c r="G1981" s="2" t="n">
        <v>0</v>
      </c>
      <c r="H1981" s="2" t="n">
        <v>0</v>
      </c>
      <c r="I1981" s="2" t="n">
        <v>0</v>
      </c>
    </row>
    <row r="1982">
      <c r="A1982" s="2" t="n">
        <v>1980</v>
      </c>
      <c r="B1982" s="2" t="inlineStr">
        <is>
          <t>insert</t>
        </is>
      </c>
      <c r="C1982" s="2" t="inlineStr">
        <is>
          <t>browser chrome150</t>
        </is>
      </c>
      <c r="D1982" s="2" t="n">
        <v>1764</v>
      </c>
      <c r="E1982" s="2" t="n">
        <v>1764</v>
      </c>
      <c r="F1982" s="2" t="n">
        <v>1</v>
      </c>
      <c r="G1982" s="2" t="n">
        <v>0</v>
      </c>
      <c r="H1982" s="2" t="n">
        <v>0</v>
      </c>
      <c r="I1982" s="2" t="n">
        <v>0</v>
      </c>
    </row>
    <row r="1983">
      <c r="A1983" s="2" t="n">
        <v>1981</v>
      </c>
      <c r="B1983" s="2" t="inlineStr">
        <is>
          <t>flip</t>
        </is>
      </c>
      <c r="C1983" s="2" t="inlineStr">
        <is>
          <t>openssl 3.5.8 default</t>
        </is>
      </c>
      <c r="D1983" s="2" t="n">
        <v>1548</v>
      </c>
      <c r="E1983" s="2" t="n">
        <v>1548</v>
      </c>
      <c r="F1983" s="2" t="n">
        <v>1</v>
      </c>
      <c r="G1983" s="2" t="n">
        <v>1</v>
      </c>
      <c r="H1983" s="2" t="n">
        <v>1</v>
      </c>
      <c r="I1983" s="2" t="n">
        <v>0</v>
      </c>
    </row>
    <row r="1984">
      <c r="A1984" s="2" t="n">
        <v>1982</v>
      </c>
      <c r="B1984" s="2" t="inlineStr">
        <is>
          <t>truncate</t>
        </is>
      </c>
      <c r="C1984" s="2" t="inlineStr">
        <is>
          <t>openssl TLS 1.2 only</t>
        </is>
      </c>
      <c r="D1984" s="2" t="n">
        <v>28</v>
      </c>
      <c r="E1984" s="2" t="n">
        <v>28</v>
      </c>
      <c r="F1984" s="2" t="n">
        <v>1</v>
      </c>
      <c r="G1984" s="2" t="n">
        <v>0</v>
      </c>
      <c r="H1984" s="2" t="n">
        <v>0</v>
      </c>
      <c r="I1984" s="2" t="n">
        <v>0</v>
      </c>
    </row>
    <row r="1985">
      <c r="A1985" s="2" t="n">
        <v>1983</v>
      </c>
      <c r="B1985" s="2" t="inlineStr">
        <is>
          <t>length</t>
        </is>
      </c>
      <c r="C1985" s="2" t="inlineStr">
        <is>
          <t>browser chrome150</t>
        </is>
      </c>
      <c r="D1985" s="2" t="n">
        <v>1763</v>
      </c>
      <c r="E1985" s="2" t="n">
        <v>1763</v>
      </c>
      <c r="F1985" s="2" t="n">
        <v>0</v>
      </c>
      <c r="G1985" s="2" t="n">
        <v>0</v>
      </c>
      <c r="H1985" s="2" t="n">
        <v>0</v>
      </c>
      <c r="I1985" s="2" t="n">
        <v>0</v>
      </c>
    </row>
    <row r="1986">
      <c r="A1986" s="2" t="n">
        <v>1984</v>
      </c>
      <c r="B1986" s="2" t="inlineStr">
        <is>
          <t>insert</t>
        </is>
      </c>
      <c r="C1986" s="2" t="inlineStr">
        <is>
          <t>browser firefox147</t>
        </is>
      </c>
      <c r="D1986" s="2" t="n">
        <v>1908</v>
      </c>
      <c r="E1986" s="2" t="n">
        <v>1908</v>
      </c>
      <c r="F1986" s="2" t="n">
        <v>1</v>
      </c>
      <c r="G1986" s="2" t="n">
        <v>1</v>
      </c>
      <c r="H1986" s="2" t="n">
        <v>0</v>
      </c>
      <c r="I1986" s="2" t="n">
        <v>0</v>
      </c>
    </row>
    <row r="1987">
      <c r="A1987" s="2" t="n">
        <v>1985</v>
      </c>
      <c r="B1987" s="2" t="inlineStr">
        <is>
          <t>flip</t>
        </is>
      </c>
      <c r="C1987" s="2" t="inlineStr">
        <is>
          <t>browser chrome150</t>
        </is>
      </c>
      <c r="D1987" s="2" t="n">
        <v>1763</v>
      </c>
      <c r="E1987" s="2" t="n">
        <v>1763</v>
      </c>
      <c r="F1987" s="2" t="n">
        <v>1</v>
      </c>
      <c r="G1987" s="2" t="n">
        <v>1</v>
      </c>
      <c r="H1987" s="2" t="n">
        <v>1</v>
      </c>
      <c r="I1987" s="2" t="n">
        <v>0</v>
      </c>
    </row>
    <row r="1988">
      <c r="A1988" s="2" t="n">
        <v>1986</v>
      </c>
      <c r="B1988" s="2" t="inlineStr">
        <is>
          <t>truncate</t>
        </is>
      </c>
      <c r="C1988" s="2" t="inlineStr">
        <is>
          <t>browser chrome150</t>
        </is>
      </c>
      <c r="D1988" s="2" t="n">
        <v>59</v>
      </c>
      <c r="E1988" s="2" t="n">
        <v>59</v>
      </c>
      <c r="F1988" s="2" t="n">
        <v>1</v>
      </c>
      <c r="G1988" s="2" t="n">
        <v>0</v>
      </c>
      <c r="H1988" s="2" t="n">
        <v>0</v>
      </c>
      <c r="I1988" s="2" t="n">
        <v>0</v>
      </c>
    </row>
    <row r="1989">
      <c r="A1989" s="2" t="n">
        <v>1987</v>
      </c>
      <c r="B1989" s="2" t="inlineStr">
        <is>
          <t>length</t>
        </is>
      </c>
      <c r="C1989" s="2" t="inlineStr">
        <is>
          <t>browser firefox147</t>
        </is>
      </c>
      <c r="D1989" s="2" t="n">
        <v>1901</v>
      </c>
      <c r="E1989" s="2" t="n">
        <v>1901</v>
      </c>
      <c r="F1989" s="2" t="n">
        <v>1</v>
      </c>
      <c r="G1989" s="2" t="n">
        <v>1</v>
      </c>
      <c r="H1989" s="2" t="n">
        <v>0</v>
      </c>
      <c r="I1989" s="2" t="n">
        <v>0</v>
      </c>
    </row>
    <row r="1990">
      <c r="A1990" s="2" t="n">
        <v>1988</v>
      </c>
      <c r="B1990" s="2" t="inlineStr">
        <is>
          <t>insert</t>
        </is>
      </c>
      <c r="C1990" s="2" t="inlineStr">
        <is>
          <t>browser firefox147</t>
        </is>
      </c>
      <c r="D1990" s="2" t="n">
        <v>1907</v>
      </c>
      <c r="E1990" s="2" t="n">
        <v>1907</v>
      </c>
      <c r="F1990" s="2" t="n">
        <v>1</v>
      </c>
      <c r="G1990" s="2" t="n">
        <v>1</v>
      </c>
      <c r="H1990" s="2" t="n">
        <v>0</v>
      </c>
      <c r="I1990" s="2" t="n">
        <v>0</v>
      </c>
    </row>
    <row r="1991">
      <c r="A1991" s="2" t="n">
        <v>1989</v>
      </c>
      <c r="B1991" s="2" t="inlineStr">
        <is>
          <t>flip</t>
        </is>
      </c>
      <c r="C1991" s="2" t="inlineStr">
        <is>
          <t>openssl TLS 1.2 only</t>
        </is>
      </c>
      <c r="D1991" s="2" t="n">
        <v>215</v>
      </c>
      <c r="E1991" s="2" t="n">
        <v>215</v>
      </c>
      <c r="F1991" s="2" t="n">
        <v>1</v>
      </c>
      <c r="G1991" s="2" t="n">
        <v>1</v>
      </c>
      <c r="H1991" s="2" t="n">
        <v>1</v>
      </c>
      <c r="I1991" s="2" t="n">
        <v>0</v>
      </c>
    </row>
    <row r="1992">
      <c r="A1992" s="2" t="n">
        <v>1990</v>
      </c>
      <c r="B1992" s="2" t="inlineStr">
        <is>
          <t>truncate</t>
        </is>
      </c>
      <c r="C1992" s="2" t="inlineStr">
        <is>
          <t>browser firefox147</t>
        </is>
      </c>
      <c r="D1992" s="2" t="n">
        <v>12</v>
      </c>
      <c r="E1992" s="2" t="n">
        <v>12</v>
      </c>
      <c r="F1992" s="2" t="n">
        <v>1</v>
      </c>
      <c r="G1992" s="2" t="n">
        <v>0</v>
      </c>
      <c r="H1992" s="2" t="n">
        <v>0</v>
      </c>
      <c r="I1992" s="2" t="n">
        <v>0</v>
      </c>
    </row>
    <row r="1993">
      <c r="A1993" s="2" t="n">
        <v>1991</v>
      </c>
      <c r="B1993" s="2" t="inlineStr">
        <is>
          <t>length</t>
        </is>
      </c>
      <c r="C1993" s="2" t="inlineStr">
        <is>
          <t>openssl TLS 1.2 only</t>
        </is>
      </c>
      <c r="D1993" s="2" t="n">
        <v>215</v>
      </c>
      <c r="E1993" s="2" t="n">
        <v>215</v>
      </c>
      <c r="F1993" s="2" t="n">
        <v>1</v>
      </c>
      <c r="G1993" s="2" t="n">
        <v>1</v>
      </c>
      <c r="H1993" s="2" t="n">
        <v>0</v>
      </c>
      <c r="I1993" s="2" t="n">
        <v>0</v>
      </c>
    </row>
    <row r="1994">
      <c r="A1994" s="2" t="n">
        <v>1992</v>
      </c>
      <c r="B1994" s="2" t="inlineStr">
        <is>
          <t>insert</t>
        </is>
      </c>
      <c r="C1994" s="2" t="inlineStr">
        <is>
          <t>openssl X25519 only (classical)</t>
        </is>
      </c>
      <c r="D1994" s="2" t="n">
        <v>320</v>
      </c>
      <c r="E1994" s="2" t="n">
        <v>320</v>
      </c>
      <c r="F1994" s="2" t="n">
        <v>1</v>
      </c>
      <c r="G1994" s="2" t="n">
        <v>1</v>
      </c>
      <c r="H1994" s="2" t="n">
        <v>0</v>
      </c>
      <c r="I1994" s="2" t="n">
        <v>0</v>
      </c>
    </row>
    <row r="1995">
      <c r="A1995" s="2" t="n">
        <v>1993</v>
      </c>
      <c r="B1995" s="2" t="inlineStr">
        <is>
          <t>flip</t>
        </is>
      </c>
      <c r="C1995" s="2" t="inlineStr">
        <is>
          <t>openssl 3.5.8 default</t>
        </is>
      </c>
      <c r="D1995" s="2" t="n">
        <v>1548</v>
      </c>
      <c r="E1995" s="2" t="n">
        <v>1548</v>
      </c>
      <c r="F1995" s="2" t="n">
        <v>1</v>
      </c>
      <c r="G1995" s="2" t="n">
        <v>1</v>
      </c>
      <c r="H1995" s="2" t="n">
        <v>1</v>
      </c>
      <c r="I1995" s="2" t="n">
        <v>0</v>
      </c>
    </row>
    <row r="1996">
      <c r="A1996" s="2" t="n">
        <v>1994</v>
      </c>
      <c r="B1996" s="2" t="inlineStr">
        <is>
          <t>truncate</t>
        </is>
      </c>
      <c r="C1996" s="2" t="inlineStr">
        <is>
          <t>browser firefox147</t>
        </is>
      </c>
      <c r="D1996" s="2" t="n">
        <v>1262</v>
      </c>
      <c r="E1996" s="2" t="n">
        <v>1262</v>
      </c>
      <c r="F1996" s="2" t="n">
        <v>1</v>
      </c>
      <c r="G1996" s="2" t="n">
        <v>1</v>
      </c>
      <c r="H1996" s="2" t="n">
        <v>0</v>
      </c>
      <c r="I1996" s="2" t="n">
        <v>0</v>
      </c>
    </row>
    <row r="1997">
      <c r="A1997" s="2" t="n">
        <v>1995</v>
      </c>
      <c r="B1997" s="2" t="inlineStr">
        <is>
          <t>length</t>
        </is>
      </c>
      <c r="C1997" s="2" t="inlineStr">
        <is>
          <t>browser chrome150</t>
        </is>
      </c>
      <c r="D1997" s="2" t="n">
        <v>1763</v>
      </c>
      <c r="E1997" s="2" t="n">
        <v>1763</v>
      </c>
      <c r="F1997" s="2" t="n">
        <v>1</v>
      </c>
      <c r="G1997" s="2" t="n">
        <v>1</v>
      </c>
      <c r="H1997" s="2" t="n">
        <v>1</v>
      </c>
      <c r="I1997" s="2" t="n">
        <v>0</v>
      </c>
    </row>
    <row r="1998">
      <c r="A1998" s="2" t="n">
        <v>1996</v>
      </c>
      <c r="B1998" s="2" t="inlineStr">
        <is>
          <t>insert</t>
        </is>
      </c>
      <c r="C1998" s="2" t="inlineStr">
        <is>
          <t>browser firefox147</t>
        </is>
      </c>
      <c r="D1998" s="2" t="n">
        <v>1906</v>
      </c>
      <c r="E1998" s="2" t="n">
        <v>1906</v>
      </c>
      <c r="F1998" s="2" t="n">
        <v>1</v>
      </c>
      <c r="G1998" s="2" t="n">
        <v>1</v>
      </c>
      <c r="H1998" s="2" t="n">
        <v>0</v>
      </c>
      <c r="I1998" s="2" t="n">
        <v>0</v>
      </c>
    </row>
    <row r="1999">
      <c r="A1999" s="2" t="n">
        <v>1997</v>
      </c>
      <c r="B1999" s="2" t="inlineStr">
        <is>
          <t>flip</t>
        </is>
      </c>
      <c r="C1999" s="2" t="inlineStr">
        <is>
          <t>openssl 3.5.8 default</t>
        </is>
      </c>
      <c r="D1999" s="2" t="n">
        <v>1548</v>
      </c>
      <c r="E1999" s="2" t="n">
        <v>1548</v>
      </c>
      <c r="F1999" s="2" t="n">
        <v>1</v>
      </c>
      <c r="G1999" s="2" t="n">
        <v>1</v>
      </c>
      <c r="H1999" s="2" t="n">
        <v>1</v>
      </c>
      <c r="I1999" s="2" t="n">
        <v>0</v>
      </c>
    </row>
    <row r="2000">
      <c r="A2000" s="2" t="n">
        <v>1998</v>
      </c>
      <c r="B2000" s="2" t="inlineStr">
        <is>
          <t>truncate</t>
        </is>
      </c>
      <c r="C2000" s="2" t="inlineStr">
        <is>
          <t>openssl 3.5.8 default</t>
        </is>
      </c>
      <c r="D2000" s="2" t="n">
        <v>962</v>
      </c>
      <c r="E2000" s="2" t="n">
        <v>962</v>
      </c>
      <c r="F2000" s="2" t="n">
        <v>1</v>
      </c>
      <c r="G2000" s="2" t="n">
        <v>1</v>
      </c>
      <c r="H2000" s="2" t="n">
        <v>1</v>
      </c>
      <c r="I2000" s="2" t="n">
        <v>0</v>
      </c>
    </row>
    <row r="2001">
      <c r="A2001" s="2" t="n">
        <v>1999</v>
      </c>
      <c r="B2001" s="2" t="inlineStr">
        <is>
          <t>length</t>
        </is>
      </c>
      <c r="C2001" s="2" t="inlineStr">
        <is>
          <t>openssl X25519 only (classical)</t>
        </is>
      </c>
      <c r="D2001" s="2" t="n">
        <v>314</v>
      </c>
      <c r="E2001" s="2" t="n">
        <v>314</v>
      </c>
      <c r="F2001" s="2" t="n">
        <v>1</v>
      </c>
      <c r="G2001" s="2" t="n">
        <v>1</v>
      </c>
      <c r="H2001" s="2" t="n">
        <v>0</v>
      </c>
      <c r="I2001" s="2" t="n">
        <v>0</v>
      </c>
    </row>
    <row r="2002">
      <c r="A2002" s="2" t="n">
        <v>2000</v>
      </c>
      <c r="B2002" s="2" t="inlineStr">
        <is>
          <t>insert</t>
        </is>
      </c>
      <c r="C2002" s="2" t="inlineStr">
        <is>
          <t>browser chrome150</t>
        </is>
      </c>
      <c r="D2002" s="2" t="n">
        <v>1776</v>
      </c>
      <c r="E2002" s="2" t="n">
        <v>1776</v>
      </c>
      <c r="F2002" s="2" t="n">
        <v>1</v>
      </c>
      <c r="G2002" s="2" t="n">
        <v>1</v>
      </c>
      <c r="H2002" s="2" t="n">
        <v>1</v>
      </c>
      <c r="I2002" s="2" t="n">
        <v>0</v>
      </c>
    </row>
    <row r="2003">
      <c r="A2003" s="2" t="n">
        <v>2001</v>
      </c>
      <c r="B2003" s="2" t="inlineStr">
        <is>
          <t>flip</t>
        </is>
      </c>
      <c r="C2003" s="2" t="inlineStr">
        <is>
          <t>openssl X25519 only (classical)</t>
        </is>
      </c>
      <c r="D2003" s="2" t="n">
        <v>314</v>
      </c>
      <c r="E2003" s="2" t="n">
        <v>314</v>
      </c>
      <c r="F2003" s="2" t="n">
        <v>1</v>
      </c>
      <c r="G2003" s="2" t="n">
        <v>1</v>
      </c>
      <c r="H2003" s="2" t="n">
        <v>1</v>
      </c>
      <c r="I2003" s="2" t="n">
        <v>0</v>
      </c>
    </row>
    <row r="2004">
      <c r="A2004" s="2" t="n">
        <v>2002</v>
      </c>
      <c r="B2004" s="2" t="inlineStr">
        <is>
          <t>truncate</t>
        </is>
      </c>
      <c r="C2004" s="2" t="inlineStr">
        <is>
          <t>browser chrome150</t>
        </is>
      </c>
      <c r="D2004" s="2" t="n">
        <v>572</v>
      </c>
      <c r="E2004" s="2" t="n">
        <v>572</v>
      </c>
      <c r="F2004" s="2" t="n">
        <v>1</v>
      </c>
      <c r="G2004" s="2" t="n">
        <v>1</v>
      </c>
      <c r="H2004" s="2" t="n">
        <v>1</v>
      </c>
      <c r="I2004" s="2" t="n">
        <v>0</v>
      </c>
    </row>
    <row r="2005">
      <c r="A2005" s="2" t="n">
        <v>2003</v>
      </c>
      <c r="B2005" s="2" t="inlineStr">
        <is>
          <t>length</t>
        </is>
      </c>
      <c r="C2005" s="2" t="inlineStr">
        <is>
          <t>openssl X25519 only (classical)</t>
        </is>
      </c>
      <c r="D2005" s="2" t="n">
        <v>314</v>
      </c>
      <c r="E2005" s="2" t="n">
        <v>314</v>
      </c>
      <c r="F2005" s="2" t="n">
        <v>1</v>
      </c>
      <c r="G2005" s="2" t="n">
        <v>0</v>
      </c>
      <c r="H2005" s="2" t="n">
        <v>0</v>
      </c>
      <c r="I2005" s="2" t="n">
        <v>0</v>
      </c>
    </row>
    <row r="2006">
      <c r="A2006" s="2" t="n">
        <v>2004</v>
      </c>
      <c r="B2006" s="2" t="inlineStr">
        <is>
          <t>insert</t>
        </is>
      </c>
      <c r="C2006" s="2" t="inlineStr">
        <is>
          <t>openssl X25519 only (classical)</t>
        </is>
      </c>
      <c r="D2006" s="2" t="n">
        <v>319</v>
      </c>
      <c r="E2006" s="2" t="n">
        <v>319</v>
      </c>
      <c r="F2006" s="2" t="n">
        <v>1</v>
      </c>
      <c r="G2006" s="2" t="n">
        <v>1</v>
      </c>
      <c r="H2006" s="2" t="n">
        <v>1</v>
      </c>
      <c r="I2006" s="2" t="n">
        <v>0</v>
      </c>
    </row>
    <row r="2007">
      <c r="A2007" s="2" t="n">
        <v>2005</v>
      </c>
      <c r="B2007" s="2" t="inlineStr">
        <is>
          <t>flip</t>
        </is>
      </c>
      <c r="C2007" s="2" t="inlineStr">
        <is>
          <t>openssl 3.5.8 default</t>
        </is>
      </c>
      <c r="D2007" s="2" t="n">
        <v>1548</v>
      </c>
      <c r="E2007" s="2" t="n">
        <v>1548</v>
      </c>
      <c r="F2007" s="2" t="n">
        <v>1</v>
      </c>
      <c r="G2007" s="2" t="n">
        <v>1</v>
      </c>
      <c r="H2007" s="2" t="n">
        <v>1</v>
      </c>
      <c r="I2007" s="2" t="n">
        <v>0</v>
      </c>
    </row>
    <row r="2008">
      <c r="A2008" s="2" t="n">
        <v>2006</v>
      </c>
      <c r="B2008" s="2" t="inlineStr">
        <is>
          <t>truncate</t>
        </is>
      </c>
      <c r="C2008" s="2" t="inlineStr">
        <is>
          <t>openssl X25519 only (classical)</t>
        </is>
      </c>
      <c r="D2008" s="2" t="n">
        <v>122</v>
      </c>
      <c r="E2008" s="2" t="n">
        <v>122</v>
      </c>
      <c r="F2008" s="2" t="n">
        <v>1</v>
      </c>
      <c r="G2008" s="2" t="n">
        <v>0</v>
      </c>
      <c r="H2008" s="2" t="n">
        <v>0</v>
      </c>
      <c r="I2008" s="2" t="n">
        <v>0</v>
      </c>
    </row>
    <row r="2009">
      <c r="A2009" s="2" t="n">
        <v>2007</v>
      </c>
      <c r="B2009" s="2" t="inlineStr">
        <is>
          <t>length</t>
        </is>
      </c>
      <c r="C2009" s="2" t="inlineStr">
        <is>
          <t>openssl 3.5.8 default</t>
        </is>
      </c>
      <c r="D2009" s="2" t="n">
        <v>1548</v>
      </c>
      <c r="E2009" s="2" t="n">
        <v>1548</v>
      </c>
      <c r="F2009" s="2" t="n">
        <v>1</v>
      </c>
      <c r="G2009" s="2" t="n">
        <v>1</v>
      </c>
      <c r="H2009" s="2" t="n">
        <v>1</v>
      </c>
      <c r="I2009" s="2" t="n">
        <v>0</v>
      </c>
    </row>
    <row r="2010">
      <c r="A2010" s="2" t="n">
        <v>2008</v>
      </c>
      <c r="B2010" s="2" t="inlineStr">
        <is>
          <t>insert</t>
        </is>
      </c>
      <c r="C2010" s="2" t="inlineStr">
        <is>
          <t>openssl TLS 1.2 only</t>
        </is>
      </c>
      <c r="D2010" s="2" t="n">
        <v>221</v>
      </c>
      <c r="E2010" s="2" t="n">
        <v>221</v>
      </c>
      <c r="F2010" s="2" t="n">
        <v>1</v>
      </c>
      <c r="G2010" s="2" t="n">
        <v>1</v>
      </c>
      <c r="H2010" s="2" t="n">
        <v>1</v>
      </c>
      <c r="I2010" s="2" t="n">
        <v>0</v>
      </c>
    </row>
    <row r="2011">
      <c r="A2011" s="2" t="n">
        <v>2009</v>
      </c>
      <c r="B2011" s="2" t="inlineStr">
        <is>
          <t>flip</t>
        </is>
      </c>
      <c r="C2011" s="2" t="inlineStr">
        <is>
          <t>openssl 3.5.8 default</t>
        </is>
      </c>
      <c r="D2011" s="2" t="n">
        <v>1548</v>
      </c>
      <c r="E2011" s="2" t="n">
        <v>1548</v>
      </c>
      <c r="F2011" s="2" t="n">
        <v>1</v>
      </c>
      <c r="G2011" s="2" t="n">
        <v>1</v>
      </c>
      <c r="H2011" s="2" t="n">
        <v>1</v>
      </c>
      <c r="I2011" s="2" t="n">
        <v>0</v>
      </c>
    </row>
    <row r="2012">
      <c r="A2012" s="2" t="n">
        <v>2010</v>
      </c>
      <c r="B2012" s="2" t="inlineStr">
        <is>
          <t>truncate</t>
        </is>
      </c>
      <c r="C2012" s="2" t="inlineStr">
        <is>
          <t>browser firefox147</t>
        </is>
      </c>
      <c r="D2012" s="2" t="n">
        <v>1510</v>
      </c>
      <c r="E2012" s="2" t="n">
        <v>1510</v>
      </c>
      <c r="F2012" s="2" t="n">
        <v>1</v>
      </c>
      <c r="G2012" s="2" t="n">
        <v>1</v>
      </c>
      <c r="H2012" s="2" t="n">
        <v>0</v>
      </c>
      <c r="I2012" s="2" t="n">
        <v>0</v>
      </c>
    </row>
    <row r="2013">
      <c r="A2013" s="2" t="n">
        <v>2011</v>
      </c>
      <c r="B2013" s="2" t="inlineStr">
        <is>
          <t>length</t>
        </is>
      </c>
      <c r="C2013" s="2" t="inlineStr">
        <is>
          <t>browser chrome150</t>
        </is>
      </c>
      <c r="D2013" s="2" t="n">
        <v>1763</v>
      </c>
      <c r="E2013" s="2" t="n">
        <v>1763</v>
      </c>
      <c r="F2013" s="2" t="n">
        <v>0</v>
      </c>
      <c r="G2013" s="2" t="n">
        <v>0</v>
      </c>
      <c r="H2013" s="2" t="n">
        <v>0</v>
      </c>
      <c r="I2013" s="2" t="n">
        <v>0</v>
      </c>
    </row>
    <row r="2014">
      <c r="A2014" s="2" t="n">
        <v>2012</v>
      </c>
      <c r="B2014" s="2" t="inlineStr">
        <is>
          <t>insert</t>
        </is>
      </c>
      <c r="C2014" s="2" t="inlineStr">
        <is>
          <t>openssl 3.5.8 default</t>
        </is>
      </c>
      <c r="D2014" s="2" t="n">
        <v>1552</v>
      </c>
      <c r="E2014" s="2" t="n">
        <v>1552</v>
      </c>
      <c r="F2014" s="2" t="n">
        <v>1</v>
      </c>
      <c r="G2014" s="2" t="n">
        <v>1</v>
      </c>
      <c r="H2014" s="2" t="n">
        <v>1</v>
      </c>
      <c r="I2014" s="2" t="n">
        <v>0</v>
      </c>
    </row>
    <row r="2015">
      <c r="A2015" s="2" t="n">
        <v>2013</v>
      </c>
      <c r="B2015" s="2" t="inlineStr">
        <is>
          <t>flip</t>
        </is>
      </c>
      <c r="C2015" s="2" t="inlineStr">
        <is>
          <t>openssl 3.5.8 default</t>
        </is>
      </c>
      <c r="D2015" s="2" t="n">
        <v>1548</v>
      </c>
      <c r="E2015" s="2" t="n">
        <v>1548</v>
      </c>
      <c r="F2015" s="2" t="n">
        <v>1</v>
      </c>
      <c r="G2015" s="2" t="n">
        <v>1</v>
      </c>
      <c r="H2015" s="2" t="n">
        <v>1</v>
      </c>
      <c r="I2015" s="2" t="n">
        <v>0</v>
      </c>
    </row>
    <row r="2016">
      <c r="A2016" s="2" t="n">
        <v>2014</v>
      </c>
      <c r="B2016" s="2" t="inlineStr">
        <is>
          <t>truncate</t>
        </is>
      </c>
      <c r="C2016" s="2" t="inlineStr">
        <is>
          <t>openssl X25519 only (classical)</t>
        </is>
      </c>
      <c r="D2016" s="2" t="n">
        <v>82</v>
      </c>
      <c r="E2016" s="2" t="n">
        <v>82</v>
      </c>
      <c r="F2016" s="2" t="n">
        <v>1</v>
      </c>
      <c r="G2016" s="2" t="n">
        <v>0</v>
      </c>
      <c r="H2016" s="2" t="n">
        <v>0</v>
      </c>
      <c r="I2016" s="2" t="n">
        <v>0</v>
      </c>
    </row>
    <row r="2017">
      <c r="A2017" s="2" t="n">
        <v>2015</v>
      </c>
      <c r="B2017" s="2" t="inlineStr">
        <is>
          <t>length</t>
        </is>
      </c>
      <c r="C2017" s="2" t="inlineStr">
        <is>
          <t>browser firefox147</t>
        </is>
      </c>
      <c r="D2017" s="2" t="n">
        <v>1901</v>
      </c>
      <c r="E2017" s="2" t="n">
        <v>1901</v>
      </c>
      <c r="F2017" s="2" t="n">
        <v>1</v>
      </c>
      <c r="G2017" s="2" t="n">
        <v>1</v>
      </c>
      <c r="H2017" s="2" t="n">
        <v>0</v>
      </c>
      <c r="I2017" s="2" t="n">
        <v>0</v>
      </c>
    </row>
    <row r="2018">
      <c r="A2018" s="2" t="n">
        <v>2016</v>
      </c>
      <c r="B2018" s="2" t="inlineStr">
        <is>
          <t>insert</t>
        </is>
      </c>
      <c r="C2018" s="2" t="inlineStr">
        <is>
          <t>browser firefox147</t>
        </is>
      </c>
      <c r="D2018" s="2" t="n">
        <v>1914</v>
      </c>
      <c r="E2018" s="2" t="n">
        <v>1914</v>
      </c>
      <c r="F2018" s="2" t="n">
        <v>1</v>
      </c>
      <c r="G2018" s="2" t="n">
        <v>1</v>
      </c>
      <c r="H2018" s="2" t="n">
        <v>0</v>
      </c>
      <c r="I2018" s="2" t="n">
        <v>0</v>
      </c>
    </row>
    <row r="2019">
      <c r="A2019" s="2" t="n">
        <v>2017</v>
      </c>
      <c r="B2019" s="2" t="inlineStr">
        <is>
          <t>flip</t>
        </is>
      </c>
      <c r="C2019" s="2" t="inlineStr">
        <is>
          <t>browser chrome150</t>
        </is>
      </c>
      <c r="D2019" s="2" t="n">
        <v>1763</v>
      </c>
      <c r="E2019" s="2" t="n">
        <v>1763</v>
      </c>
      <c r="F2019" s="2" t="n">
        <v>1</v>
      </c>
      <c r="G2019" s="2" t="n">
        <v>1</v>
      </c>
      <c r="H2019" s="2" t="n">
        <v>1</v>
      </c>
      <c r="I2019" s="2" t="n">
        <v>0</v>
      </c>
    </row>
    <row r="2020">
      <c r="A2020" s="2" t="n">
        <v>2018</v>
      </c>
      <c r="B2020" s="2" t="inlineStr">
        <is>
          <t>truncate</t>
        </is>
      </c>
      <c r="C2020" s="2" t="inlineStr">
        <is>
          <t>openssl 3.5.8 default</t>
        </is>
      </c>
      <c r="D2020" s="2" t="n">
        <v>809</v>
      </c>
      <c r="E2020" s="2" t="n">
        <v>809</v>
      </c>
      <c r="F2020" s="2" t="n">
        <v>1</v>
      </c>
      <c r="G2020" s="2" t="n">
        <v>1</v>
      </c>
      <c r="H2020" s="2" t="n">
        <v>1</v>
      </c>
      <c r="I2020" s="2" t="n">
        <v>0</v>
      </c>
    </row>
    <row r="2021">
      <c r="A2021" s="2" t="n">
        <v>2019</v>
      </c>
      <c r="B2021" s="2" t="inlineStr">
        <is>
          <t>length</t>
        </is>
      </c>
      <c r="C2021" s="2" t="inlineStr">
        <is>
          <t>openssl X25519 only (classical)</t>
        </is>
      </c>
      <c r="D2021" s="2" t="n">
        <v>314</v>
      </c>
      <c r="E2021" s="2" t="n">
        <v>314</v>
      </c>
      <c r="F2021" s="2" t="n">
        <v>1</v>
      </c>
      <c r="G2021" s="2" t="n">
        <v>1</v>
      </c>
      <c r="H2021" s="2" t="n">
        <v>1</v>
      </c>
      <c r="I2021" s="2" t="n">
        <v>0</v>
      </c>
    </row>
    <row r="2022">
      <c r="A2022" s="2" t="n">
        <v>2020</v>
      </c>
      <c r="B2022" s="2" t="inlineStr">
        <is>
          <t>insert</t>
        </is>
      </c>
      <c r="C2022" s="2" t="inlineStr">
        <is>
          <t>browser chrome150</t>
        </is>
      </c>
      <c r="D2022" s="2" t="n">
        <v>1766</v>
      </c>
      <c r="E2022" s="2" t="n">
        <v>1766</v>
      </c>
      <c r="F2022" s="2" t="n">
        <v>1</v>
      </c>
      <c r="G2022" s="2" t="n">
        <v>1</v>
      </c>
      <c r="H2022" s="2" t="n">
        <v>1</v>
      </c>
      <c r="I2022" s="2" t="n">
        <v>0</v>
      </c>
    </row>
    <row r="2023">
      <c r="A2023" s="2" t="n">
        <v>2021</v>
      </c>
      <c r="B2023" s="2" t="inlineStr">
        <is>
          <t>flip</t>
        </is>
      </c>
      <c r="C2023" s="2" t="inlineStr">
        <is>
          <t>openssl 3.5.8 default</t>
        </is>
      </c>
      <c r="D2023" s="2" t="n">
        <v>1548</v>
      </c>
      <c r="E2023" s="2" t="n">
        <v>1548</v>
      </c>
      <c r="F2023" s="2" t="n">
        <v>1</v>
      </c>
      <c r="G2023" s="2" t="n">
        <v>1</v>
      </c>
      <c r="H2023" s="2" t="n">
        <v>1</v>
      </c>
      <c r="I2023" s="2" t="n">
        <v>0</v>
      </c>
    </row>
    <row r="2024">
      <c r="A2024" s="2" t="n">
        <v>2022</v>
      </c>
      <c r="B2024" s="2" t="inlineStr">
        <is>
          <t>truncate</t>
        </is>
      </c>
      <c r="C2024" s="2" t="inlineStr">
        <is>
          <t>openssl X25519 only (classical)</t>
        </is>
      </c>
      <c r="D2024" s="2" t="n">
        <v>165</v>
      </c>
      <c r="E2024" s="2" t="n">
        <v>165</v>
      </c>
      <c r="F2024" s="2" t="n">
        <v>1</v>
      </c>
      <c r="G2024" s="2" t="n">
        <v>1</v>
      </c>
      <c r="H2024" s="2" t="n">
        <v>0</v>
      </c>
      <c r="I2024" s="2" t="n">
        <v>0</v>
      </c>
    </row>
    <row r="2025">
      <c r="A2025" s="2" t="n">
        <v>2023</v>
      </c>
      <c r="B2025" s="2" t="inlineStr">
        <is>
          <t>length</t>
        </is>
      </c>
      <c r="C2025" s="2" t="inlineStr">
        <is>
          <t>browser chrome150</t>
        </is>
      </c>
      <c r="D2025" s="2" t="n">
        <v>1763</v>
      </c>
      <c r="E2025" s="2" t="n">
        <v>1763</v>
      </c>
      <c r="F2025" s="2" t="n">
        <v>1</v>
      </c>
      <c r="G2025" s="2" t="n">
        <v>0</v>
      </c>
      <c r="H2025" s="2" t="n">
        <v>0</v>
      </c>
      <c r="I2025" s="2" t="n">
        <v>0</v>
      </c>
    </row>
    <row r="2026">
      <c r="A2026" s="2" t="n">
        <v>2024</v>
      </c>
      <c r="B2026" s="2" t="inlineStr">
        <is>
          <t>insert</t>
        </is>
      </c>
      <c r="C2026" s="2" t="inlineStr">
        <is>
          <t>openssl X25519 only (classical)</t>
        </is>
      </c>
      <c r="D2026" s="2" t="n">
        <v>325</v>
      </c>
      <c r="E2026" s="2" t="n">
        <v>325</v>
      </c>
      <c r="F2026" s="2" t="n">
        <v>1</v>
      </c>
      <c r="G2026" s="2" t="n">
        <v>0</v>
      </c>
      <c r="H2026" s="2" t="n">
        <v>0</v>
      </c>
      <c r="I2026" s="2" t="n">
        <v>0</v>
      </c>
    </row>
    <row r="2027">
      <c r="A2027" s="2" t="n">
        <v>2025</v>
      </c>
      <c r="B2027" s="2" t="inlineStr">
        <is>
          <t>flip</t>
        </is>
      </c>
      <c r="C2027" s="2" t="inlineStr">
        <is>
          <t>openssl TLS 1.2 only</t>
        </is>
      </c>
      <c r="D2027" s="2" t="n">
        <v>215</v>
      </c>
      <c r="E2027" s="2" t="n">
        <v>215</v>
      </c>
      <c r="F2027" s="2" t="n">
        <v>1</v>
      </c>
      <c r="G2027" s="2" t="n">
        <v>1</v>
      </c>
      <c r="H2027" s="2" t="n">
        <v>1</v>
      </c>
      <c r="I2027" s="2" t="n">
        <v>0</v>
      </c>
    </row>
    <row r="2028">
      <c r="A2028" s="2" t="n">
        <v>2026</v>
      </c>
      <c r="B2028" s="2" t="inlineStr">
        <is>
          <t>truncate</t>
        </is>
      </c>
      <c r="C2028" s="2" t="inlineStr">
        <is>
          <t>browser firefox147</t>
        </is>
      </c>
      <c r="D2028" s="2" t="n">
        <v>290</v>
      </c>
      <c r="E2028" s="2" t="n">
        <v>290</v>
      </c>
      <c r="F2028" s="2" t="n">
        <v>1</v>
      </c>
      <c r="G2028" s="2" t="n">
        <v>1</v>
      </c>
      <c r="H2028" s="2" t="n">
        <v>0</v>
      </c>
      <c r="I2028" s="2" t="n">
        <v>0</v>
      </c>
    </row>
    <row r="2029">
      <c r="A2029" s="2" t="n">
        <v>2027</v>
      </c>
      <c r="B2029" s="2" t="inlineStr">
        <is>
          <t>length</t>
        </is>
      </c>
      <c r="C2029" s="2" t="inlineStr">
        <is>
          <t>openssl X25519 only (classical)</t>
        </is>
      </c>
      <c r="D2029" s="2" t="n">
        <v>314</v>
      </c>
      <c r="E2029" s="2" t="n">
        <v>314</v>
      </c>
      <c r="F2029" s="2" t="n">
        <v>0</v>
      </c>
      <c r="G2029" s="2" t="n">
        <v>0</v>
      </c>
      <c r="H2029" s="2" t="n">
        <v>0</v>
      </c>
      <c r="I2029" s="2" t="n">
        <v>0</v>
      </c>
    </row>
    <row r="2030">
      <c r="A2030" s="2" t="n">
        <v>2028</v>
      </c>
      <c r="B2030" s="2" t="inlineStr">
        <is>
          <t>insert</t>
        </is>
      </c>
      <c r="C2030" s="2" t="inlineStr">
        <is>
          <t>browser chrome150</t>
        </is>
      </c>
      <c r="D2030" s="2" t="n">
        <v>1777</v>
      </c>
      <c r="E2030" s="2" t="n">
        <v>1777</v>
      </c>
      <c r="F2030" s="2" t="n">
        <v>1</v>
      </c>
      <c r="G2030" s="2" t="n">
        <v>1</v>
      </c>
      <c r="H2030" s="2" t="n">
        <v>1</v>
      </c>
      <c r="I2030" s="2" t="n">
        <v>0</v>
      </c>
    </row>
    <row r="2031">
      <c r="A2031" s="2" t="n">
        <v>2029</v>
      </c>
      <c r="B2031" s="2" t="inlineStr">
        <is>
          <t>flip</t>
        </is>
      </c>
      <c r="C2031" s="2" t="inlineStr">
        <is>
          <t>openssl X25519 only (classical)</t>
        </is>
      </c>
      <c r="D2031" s="2" t="n">
        <v>314</v>
      </c>
      <c r="E2031" s="2" t="n">
        <v>314</v>
      </c>
      <c r="F2031" s="2" t="n">
        <v>1</v>
      </c>
      <c r="G2031" s="2" t="n">
        <v>1</v>
      </c>
      <c r="H2031" s="2" t="n">
        <v>1</v>
      </c>
      <c r="I2031" s="2" t="n">
        <v>0</v>
      </c>
    </row>
    <row r="2032">
      <c r="A2032" s="2" t="n">
        <v>2030</v>
      </c>
      <c r="B2032" s="2" t="inlineStr">
        <is>
          <t>truncate</t>
        </is>
      </c>
      <c r="C2032" s="2" t="inlineStr">
        <is>
          <t>openssl X25519 only (classical)</t>
        </is>
      </c>
      <c r="D2032" s="2" t="n">
        <v>136</v>
      </c>
      <c r="E2032" s="2" t="n">
        <v>136</v>
      </c>
      <c r="F2032" s="2" t="n">
        <v>1</v>
      </c>
      <c r="G2032" s="2" t="n">
        <v>0</v>
      </c>
      <c r="H2032" s="2" t="n">
        <v>0</v>
      </c>
      <c r="I2032" s="2" t="n">
        <v>0</v>
      </c>
    </row>
    <row r="2033">
      <c r="A2033" s="2" t="n">
        <v>2031</v>
      </c>
      <c r="B2033" s="2" t="inlineStr">
        <is>
          <t>length</t>
        </is>
      </c>
      <c r="C2033" s="2" t="inlineStr">
        <is>
          <t>openssl X25519 only (classical)</t>
        </is>
      </c>
      <c r="D2033" s="2" t="n">
        <v>314</v>
      </c>
      <c r="E2033" s="2" t="n">
        <v>314</v>
      </c>
      <c r="F2033" s="2" t="n">
        <v>0</v>
      </c>
      <c r="G2033" s="2" t="n">
        <v>0</v>
      </c>
      <c r="H2033" s="2" t="n">
        <v>0</v>
      </c>
      <c r="I2033" s="2" t="n">
        <v>0</v>
      </c>
    </row>
    <row r="2034">
      <c r="A2034" s="2" t="n">
        <v>2032</v>
      </c>
      <c r="B2034" s="2" t="inlineStr">
        <is>
          <t>insert</t>
        </is>
      </c>
      <c r="C2034" s="2" t="inlineStr">
        <is>
          <t>browser firefox147</t>
        </is>
      </c>
      <c r="D2034" s="2" t="n">
        <v>1908</v>
      </c>
      <c r="E2034" s="2" t="n">
        <v>1908</v>
      </c>
      <c r="F2034" s="2" t="n">
        <v>1</v>
      </c>
      <c r="G2034" s="2" t="n">
        <v>1</v>
      </c>
      <c r="H2034" s="2" t="n">
        <v>0</v>
      </c>
      <c r="I2034" s="2" t="n">
        <v>0</v>
      </c>
    </row>
    <row r="2035">
      <c r="A2035" s="2" t="n">
        <v>2033</v>
      </c>
      <c r="B2035" s="2" t="inlineStr">
        <is>
          <t>flip</t>
        </is>
      </c>
      <c r="C2035" s="2" t="inlineStr">
        <is>
          <t>openssl X25519 only (classical)</t>
        </is>
      </c>
      <c r="D2035" s="2" t="n">
        <v>314</v>
      </c>
      <c r="E2035" s="2" t="n">
        <v>314</v>
      </c>
      <c r="F2035" s="2" t="n">
        <v>0</v>
      </c>
      <c r="G2035" s="2" t="n">
        <v>0</v>
      </c>
      <c r="H2035" s="2" t="n">
        <v>0</v>
      </c>
      <c r="I2035" s="2" t="n">
        <v>0</v>
      </c>
    </row>
    <row r="2036">
      <c r="A2036" s="2" t="n">
        <v>2034</v>
      </c>
      <c r="B2036" s="2" t="inlineStr">
        <is>
          <t>truncate</t>
        </is>
      </c>
      <c r="C2036" s="2" t="inlineStr">
        <is>
          <t>openssl X25519 only (classical)</t>
        </is>
      </c>
      <c r="D2036" s="2" t="n">
        <v>123</v>
      </c>
      <c r="E2036" s="2" t="n">
        <v>123</v>
      </c>
      <c r="F2036" s="2" t="n">
        <v>1</v>
      </c>
      <c r="G2036" s="2" t="n">
        <v>0</v>
      </c>
      <c r="H2036" s="2" t="n">
        <v>0</v>
      </c>
      <c r="I2036" s="2" t="n">
        <v>0</v>
      </c>
    </row>
    <row r="2037">
      <c r="A2037" s="2" t="n">
        <v>2035</v>
      </c>
      <c r="B2037" s="2" t="inlineStr">
        <is>
          <t>length</t>
        </is>
      </c>
      <c r="C2037" s="2" t="inlineStr">
        <is>
          <t>openssl 3.5.8 default</t>
        </is>
      </c>
      <c r="D2037" s="2" t="n">
        <v>1548</v>
      </c>
      <c r="E2037" s="2" t="n">
        <v>1548</v>
      </c>
      <c r="F2037" s="2" t="n">
        <v>1</v>
      </c>
      <c r="G2037" s="2" t="n">
        <v>1</v>
      </c>
      <c r="H2037" s="2" t="n">
        <v>1</v>
      </c>
      <c r="I2037" s="2" t="n">
        <v>0</v>
      </c>
    </row>
    <row r="2038">
      <c r="A2038" s="2" t="n">
        <v>2036</v>
      </c>
      <c r="B2038" s="2" t="inlineStr">
        <is>
          <t>insert</t>
        </is>
      </c>
      <c r="C2038" s="2" t="inlineStr">
        <is>
          <t>openssl 3.5.8 default</t>
        </is>
      </c>
      <c r="D2038" s="2" t="n">
        <v>1556</v>
      </c>
      <c r="E2038" s="2" t="n">
        <v>1556</v>
      </c>
      <c r="F2038" s="2" t="n">
        <v>1</v>
      </c>
      <c r="G2038" s="2" t="n">
        <v>1</v>
      </c>
      <c r="H2038" s="2" t="n">
        <v>1</v>
      </c>
      <c r="I2038" s="2" t="n">
        <v>0</v>
      </c>
    </row>
    <row r="2039">
      <c r="A2039" s="2" t="n">
        <v>2037</v>
      </c>
      <c r="B2039" s="2" t="inlineStr">
        <is>
          <t>flip</t>
        </is>
      </c>
      <c r="C2039" s="2" t="inlineStr">
        <is>
          <t>openssl TLS 1.2 only</t>
        </is>
      </c>
      <c r="D2039" s="2" t="n">
        <v>215</v>
      </c>
      <c r="E2039" s="2" t="n">
        <v>215</v>
      </c>
      <c r="F2039" s="2" t="n">
        <v>1</v>
      </c>
      <c r="G2039" s="2" t="n">
        <v>1</v>
      </c>
      <c r="H2039" s="2" t="n">
        <v>1</v>
      </c>
      <c r="I2039" s="2" t="n">
        <v>0</v>
      </c>
    </row>
    <row r="2040">
      <c r="A2040" s="2" t="n">
        <v>2038</v>
      </c>
      <c r="B2040" s="2" t="inlineStr">
        <is>
          <t>truncate</t>
        </is>
      </c>
      <c r="C2040" s="2" t="inlineStr">
        <is>
          <t>openssl TLS 1.2 only</t>
        </is>
      </c>
      <c r="D2040" s="2" t="n">
        <v>112</v>
      </c>
      <c r="E2040" s="2" t="n">
        <v>112</v>
      </c>
      <c r="F2040" s="2" t="n">
        <v>1</v>
      </c>
      <c r="G2040" s="2" t="n">
        <v>1</v>
      </c>
      <c r="H2040" s="2" t="n">
        <v>0</v>
      </c>
      <c r="I2040" s="2" t="n">
        <v>0</v>
      </c>
    </row>
    <row r="2041">
      <c r="A2041" s="2" t="n">
        <v>2039</v>
      </c>
      <c r="B2041" s="2" t="inlineStr">
        <is>
          <t>length</t>
        </is>
      </c>
      <c r="C2041" s="2" t="inlineStr">
        <is>
          <t>openssl X25519 only (classical)</t>
        </is>
      </c>
      <c r="D2041" s="2" t="n">
        <v>314</v>
      </c>
      <c r="E2041" s="2" t="n">
        <v>314</v>
      </c>
      <c r="F2041" s="2" t="n">
        <v>1</v>
      </c>
      <c r="G2041" s="2" t="n">
        <v>1</v>
      </c>
      <c r="H2041" s="2" t="n">
        <v>1</v>
      </c>
      <c r="I2041" s="2" t="n">
        <v>0</v>
      </c>
    </row>
    <row r="2042">
      <c r="A2042" s="2" t="n">
        <v>2040</v>
      </c>
      <c r="B2042" s="2" t="inlineStr">
        <is>
          <t>insert</t>
        </is>
      </c>
      <c r="C2042" s="2" t="inlineStr">
        <is>
          <t>browser chrome150</t>
        </is>
      </c>
      <c r="D2042" s="2" t="n">
        <v>1776</v>
      </c>
      <c r="E2042" s="2" t="n">
        <v>1776</v>
      </c>
      <c r="F2042" s="2" t="n">
        <v>1</v>
      </c>
      <c r="G2042" s="2" t="n">
        <v>1</v>
      </c>
      <c r="H2042" s="2" t="n">
        <v>1</v>
      </c>
      <c r="I2042" s="2" t="n">
        <v>0</v>
      </c>
    </row>
    <row r="2043">
      <c r="A2043" s="2" t="n">
        <v>2041</v>
      </c>
      <c r="B2043" s="2" t="inlineStr">
        <is>
          <t>flip</t>
        </is>
      </c>
      <c r="C2043" s="2" t="inlineStr">
        <is>
          <t>openssl TLS 1.2 only</t>
        </is>
      </c>
      <c r="D2043" s="2" t="n">
        <v>215</v>
      </c>
      <c r="E2043" s="2" t="n">
        <v>215</v>
      </c>
      <c r="F2043" s="2" t="n">
        <v>1</v>
      </c>
      <c r="G2043" s="2" t="n">
        <v>1</v>
      </c>
      <c r="H2043" s="2" t="n">
        <v>1</v>
      </c>
      <c r="I2043" s="2" t="n">
        <v>0</v>
      </c>
    </row>
    <row r="2044">
      <c r="A2044" s="2" t="n">
        <v>2042</v>
      </c>
      <c r="B2044" s="2" t="inlineStr">
        <is>
          <t>truncate</t>
        </is>
      </c>
      <c r="C2044" s="2" t="inlineStr">
        <is>
          <t>browser firefox147</t>
        </is>
      </c>
      <c r="D2044" s="2" t="n">
        <v>1074</v>
      </c>
      <c r="E2044" s="2" t="n">
        <v>1074</v>
      </c>
      <c r="F2044" s="2" t="n">
        <v>1</v>
      </c>
      <c r="G2044" s="2" t="n">
        <v>1</v>
      </c>
      <c r="H2044" s="2" t="n">
        <v>0</v>
      </c>
      <c r="I2044" s="2" t="n">
        <v>0</v>
      </c>
    </row>
    <row r="2045">
      <c r="A2045" s="2" t="n">
        <v>2043</v>
      </c>
      <c r="B2045" s="2" t="inlineStr">
        <is>
          <t>length</t>
        </is>
      </c>
      <c r="C2045" s="2" t="inlineStr">
        <is>
          <t>browser firefox147</t>
        </is>
      </c>
      <c r="D2045" s="2" t="n">
        <v>1901</v>
      </c>
      <c r="E2045" s="2" t="n">
        <v>1901</v>
      </c>
      <c r="F2045" s="2" t="n">
        <v>1</v>
      </c>
      <c r="G2045" s="2" t="n">
        <v>1</v>
      </c>
      <c r="H2045" s="2" t="n">
        <v>0</v>
      </c>
      <c r="I2045" s="2" t="n">
        <v>0</v>
      </c>
    </row>
    <row r="2046">
      <c r="A2046" s="2" t="n">
        <v>2044</v>
      </c>
      <c r="B2046" s="2" t="inlineStr">
        <is>
          <t>insert</t>
        </is>
      </c>
      <c r="C2046" s="2" t="inlineStr">
        <is>
          <t>browser firefox147</t>
        </is>
      </c>
      <c r="D2046" s="2" t="n">
        <v>1905</v>
      </c>
      <c r="E2046" s="2" t="n">
        <v>1905</v>
      </c>
      <c r="F2046" s="2" t="n">
        <v>1</v>
      </c>
      <c r="G2046" s="2" t="n">
        <v>1</v>
      </c>
      <c r="H2046" s="2" t="n">
        <v>0</v>
      </c>
      <c r="I2046" s="2" t="n">
        <v>0</v>
      </c>
    </row>
    <row r="2047">
      <c r="A2047" s="2" t="n">
        <v>2045</v>
      </c>
      <c r="B2047" s="2" t="inlineStr">
        <is>
          <t>flip</t>
        </is>
      </c>
      <c r="C2047" s="2" t="inlineStr">
        <is>
          <t>openssl 3.5.8 default</t>
        </is>
      </c>
      <c r="D2047" s="2" t="n">
        <v>1548</v>
      </c>
      <c r="E2047" s="2" t="n">
        <v>1548</v>
      </c>
      <c r="F2047" s="2" t="n">
        <v>1</v>
      </c>
      <c r="G2047" s="2" t="n">
        <v>1</v>
      </c>
      <c r="H2047" s="2" t="n">
        <v>1</v>
      </c>
      <c r="I2047" s="2" t="n">
        <v>0</v>
      </c>
    </row>
    <row r="2048">
      <c r="A2048" s="2" t="n">
        <v>2046</v>
      </c>
      <c r="B2048" s="2" t="inlineStr">
        <is>
          <t>truncate</t>
        </is>
      </c>
      <c r="C2048" s="2" t="inlineStr">
        <is>
          <t>openssl X25519 only (classical)</t>
        </is>
      </c>
      <c r="D2048" s="2" t="n">
        <v>236</v>
      </c>
      <c r="E2048" s="2" t="n">
        <v>236</v>
      </c>
      <c r="F2048" s="2" t="n">
        <v>1</v>
      </c>
      <c r="G2048" s="2" t="n">
        <v>1</v>
      </c>
      <c r="H2048" s="2" t="n">
        <v>0</v>
      </c>
      <c r="I2048" s="2" t="n">
        <v>0</v>
      </c>
    </row>
    <row r="2049">
      <c r="A2049" s="2" t="n">
        <v>2047</v>
      </c>
      <c r="B2049" s="2" t="inlineStr">
        <is>
          <t>length</t>
        </is>
      </c>
      <c r="C2049" s="2" t="inlineStr">
        <is>
          <t>openssl X25519 only (classical)</t>
        </is>
      </c>
      <c r="D2049" s="2" t="n">
        <v>314</v>
      </c>
      <c r="E2049" s="2" t="n">
        <v>314</v>
      </c>
      <c r="F2049" s="2" t="n">
        <v>1</v>
      </c>
      <c r="G2049" s="2" t="n">
        <v>1</v>
      </c>
      <c r="H2049" s="2" t="n">
        <v>1</v>
      </c>
      <c r="I2049" s="2" t="n">
        <v>0</v>
      </c>
    </row>
    <row r="2050">
      <c r="A2050" s="2" t="n">
        <v>2048</v>
      </c>
      <c r="B2050" s="2" t="inlineStr">
        <is>
          <t>insert</t>
        </is>
      </c>
      <c r="C2050" s="2" t="inlineStr">
        <is>
          <t>openssl 3.5.8 default</t>
        </is>
      </c>
      <c r="D2050" s="2" t="n">
        <v>1554</v>
      </c>
      <c r="E2050" s="2" t="n">
        <v>1554</v>
      </c>
      <c r="F2050" s="2" t="n">
        <v>1</v>
      </c>
      <c r="G2050" s="2" t="n">
        <v>1</v>
      </c>
      <c r="H2050" s="2" t="n">
        <v>1</v>
      </c>
      <c r="I2050" s="2" t="n">
        <v>0</v>
      </c>
    </row>
    <row r="2051">
      <c r="A2051" s="2" t="n">
        <v>2049</v>
      </c>
      <c r="B2051" s="2" t="inlineStr">
        <is>
          <t>flip</t>
        </is>
      </c>
      <c r="C2051" s="2" t="inlineStr">
        <is>
          <t>openssl 3.5.8 default</t>
        </is>
      </c>
      <c r="D2051" s="2" t="n">
        <v>1548</v>
      </c>
      <c r="E2051" s="2" t="n">
        <v>1548</v>
      </c>
      <c r="F2051" s="2" t="n">
        <v>1</v>
      </c>
      <c r="G2051" s="2" t="n">
        <v>1</v>
      </c>
      <c r="H2051" s="2" t="n">
        <v>1</v>
      </c>
      <c r="I2051" s="2" t="n">
        <v>0</v>
      </c>
    </row>
    <row r="2052">
      <c r="A2052" s="2" t="n">
        <v>2050</v>
      </c>
      <c r="B2052" s="2" t="inlineStr">
        <is>
          <t>truncate</t>
        </is>
      </c>
      <c r="C2052" s="2" t="inlineStr">
        <is>
          <t>browser firefox147</t>
        </is>
      </c>
      <c r="D2052" s="2" t="n">
        <v>255</v>
      </c>
      <c r="E2052" s="2" t="n">
        <v>255</v>
      </c>
      <c r="F2052" s="2" t="n">
        <v>1</v>
      </c>
      <c r="G2052" s="2" t="n">
        <v>1</v>
      </c>
      <c r="H2052" s="2" t="n">
        <v>0</v>
      </c>
      <c r="I2052" s="2" t="n">
        <v>0</v>
      </c>
    </row>
    <row r="2053">
      <c r="A2053" s="2" t="n">
        <v>2051</v>
      </c>
      <c r="B2053" s="2" t="inlineStr">
        <is>
          <t>length</t>
        </is>
      </c>
      <c r="C2053" s="2" t="inlineStr">
        <is>
          <t>openssl TLS 1.2 only</t>
        </is>
      </c>
      <c r="D2053" s="2" t="n">
        <v>215</v>
      </c>
      <c r="E2053" s="2" t="n">
        <v>215</v>
      </c>
      <c r="F2053" s="2" t="n">
        <v>1</v>
      </c>
      <c r="G2053" s="2" t="n">
        <v>1</v>
      </c>
      <c r="H2053" s="2" t="n">
        <v>0</v>
      </c>
      <c r="I2053" s="2" t="n">
        <v>0</v>
      </c>
    </row>
    <row r="2054">
      <c r="A2054" s="2" t="n">
        <v>2052</v>
      </c>
      <c r="B2054" s="2" t="inlineStr">
        <is>
          <t>insert</t>
        </is>
      </c>
      <c r="C2054" s="2" t="inlineStr">
        <is>
          <t>openssl X25519 only (classical)</t>
        </is>
      </c>
      <c r="D2054" s="2" t="n">
        <v>322</v>
      </c>
      <c r="E2054" s="2" t="n">
        <v>322</v>
      </c>
      <c r="F2054" s="2" t="n">
        <v>1</v>
      </c>
      <c r="G2054" s="2" t="n">
        <v>0</v>
      </c>
      <c r="H2054" s="2" t="n">
        <v>0</v>
      </c>
      <c r="I2054" s="2" t="n">
        <v>0</v>
      </c>
    </row>
    <row r="2055">
      <c r="A2055" s="2" t="n">
        <v>2053</v>
      </c>
      <c r="B2055" s="2" t="inlineStr">
        <is>
          <t>flip</t>
        </is>
      </c>
      <c r="C2055" s="2" t="inlineStr">
        <is>
          <t>openssl 3.5.8 default</t>
        </is>
      </c>
      <c r="D2055" s="2" t="n">
        <v>1548</v>
      </c>
      <c r="E2055" s="2" t="n">
        <v>1548</v>
      </c>
      <c r="F2055" s="2" t="n">
        <v>1</v>
      </c>
      <c r="G2055" s="2" t="n">
        <v>1</v>
      </c>
      <c r="H2055" s="2" t="n">
        <v>1</v>
      </c>
      <c r="I2055" s="2" t="n">
        <v>0</v>
      </c>
    </row>
    <row r="2056">
      <c r="A2056" s="2" t="n">
        <v>2054</v>
      </c>
      <c r="B2056" s="2" t="inlineStr">
        <is>
          <t>truncate</t>
        </is>
      </c>
      <c r="C2056" s="2" t="inlineStr">
        <is>
          <t>openssl 3.5.8 default</t>
        </is>
      </c>
      <c r="D2056" s="2" t="n">
        <v>938</v>
      </c>
      <c r="E2056" s="2" t="n">
        <v>938</v>
      </c>
      <c r="F2056" s="2" t="n">
        <v>1</v>
      </c>
      <c r="G2056" s="2" t="n">
        <v>1</v>
      </c>
      <c r="H2056" s="2" t="n">
        <v>1</v>
      </c>
      <c r="I2056" s="2" t="n">
        <v>0</v>
      </c>
    </row>
    <row r="2057">
      <c r="A2057" s="2" t="n">
        <v>2055</v>
      </c>
      <c r="B2057" s="2" t="inlineStr">
        <is>
          <t>length</t>
        </is>
      </c>
      <c r="C2057" s="2" t="inlineStr">
        <is>
          <t>openssl X25519 only (classical)</t>
        </is>
      </c>
      <c r="D2057" s="2" t="n">
        <v>314</v>
      </c>
      <c r="E2057" s="2" t="n">
        <v>314</v>
      </c>
      <c r="F2057" s="2" t="n">
        <v>1</v>
      </c>
      <c r="G2057" s="2" t="n">
        <v>1</v>
      </c>
      <c r="H2057" s="2" t="n">
        <v>0</v>
      </c>
      <c r="I2057" s="2" t="n">
        <v>0</v>
      </c>
    </row>
    <row r="2058">
      <c r="A2058" s="2" t="n">
        <v>2056</v>
      </c>
      <c r="B2058" s="2" t="inlineStr">
        <is>
          <t>insert</t>
        </is>
      </c>
      <c r="C2058" s="2" t="inlineStr">
        <is>
          <t>openssl X25519 only (classical)</t>
        </is>
      </c>
      <c r="D2058" s="2" t="n">
        <v>316</v>
      </c>
      <c r="E2058" s="2" t="n">
        <v>316</v>
      </c>
      <c r="F2058" s="2" t="n">
        <v>1</v>
      </c>
      <c r="G2058" s="2" t="n">
        <v>0</v>
      </c>
      <c r="H2058" s="2" t="n">
        <v>0</v>
      </c>
      <c r="I2058" s="2" t="n">
        <v>0</v>
      </c>
    </row>
    <row r="2059">
      <c r="A2059" s="2" t="n">
        <v>2057</v>
      </c>
      <c r="B2059" s="2" t="inlineStr">
        <is>
          <t>flip</t>
        </is>
      </c>
      <c r="C2059" s="2" t="inlineStr">
        <is>
          <t>browser chrome150</t>
        </is>
      </c>
      <c r="D2059" s="2" t="n">
        <v>1763</v>
      </c>
      <c r="E2059" s="2" t="n">
        <v>1763</v>
      </c>
      <c r="F2059" s="2" t="n">
        <v>1</v>
      </c>
      <c r="G2059" s="2" t="n">
        <v>1</v>
      </c>
      <c r="H2059" s="2" t="n">
        <v>1</v>
      </c>
      <c r="I2059" s="2" t="n">
        <v>0</v>
      </c>
    </row>
    <row r="2060">
      <c r="A2060" s="2" t="n">
        <v>2058</v>
      </c>
      <c r="B2060" s="2" t="inlineStr">
        <is>
          <t>truncate</t>
        </is>
      </c>
      <c r="C2060" s="2" t="inlineStr">
        <is>
          <t>openssl TLS 1.2 only</t>
        </is>
      </c>
      <c r="D2060" s="2" t="n">
        <v>196</v>
      </c>
      <c r="E2060" s="2" t="n">
        <v>196</v>
      </c>
      <c r="F2060" s="2" t="n">
        <v>1</v>
      </c>
      <c r="G2060" s="2" t="n">
        <v>1</v>
      </c>
      <c r="H2060" s="2" t="n">
        <v>1</v>
      </c>
      <c r="I2060" s="2" t="n">
        <v>0</v>
      </c>
    </row>
    <row r="2061">
      <c r="A2061" s="2" t="n">
        <v>2059</v>
      </c>
      <c r="B2061" s="2" t="inlineStr">
        <is>
          <t>length</t>
        </is>
      </c>
      <c r="C2061" s="2" t="inlineStr">
        <is>
          <t>browser firefox147</t>
        </is>
      </c>
      <c r="D2061" s="2" t="n">
        <v>1901</v>
      </c>
      <c r="E2061" s="2" t="n">
        <v>1901</v>
      </c>
      <c r="F2061" s="2" t="n">
        <v>1</v>
      </c>
      <c r="G2061" s="2" t="n">
        <v>1</v>
      </c>
      <c r="H2061" s="2" t="n">
        <v>0</v>
      </c>
      <c r="I2061" s="2" t="n">
        <v>0</v>
      </c>
    </row>
    <row r="2062">
      <c r="A2062" s="2" t="n">
        <v>2060</v>
      </c>
      <c r="B2062" s="2" t="inlineStr">
        <is>
          <t>insert</t>
        </is>
      </c>
      <c r="C2062" s="2" t="inlineStr">
        <is>
          <t>browser firefox147</t>
        </is>
      </c>
      <c r="D2062" s="2" t="n">
        <v>1917</v>
      </c>
      <c r="E2062" s="2" t="n">
        <v>1917</v>
      </c>
      <c r="F2062" s="2" t="n">
        <v>1</v>
      </c>
      <c r="G2062" s="2" t="n">
        <v>1</v>
      </c>
      <c r="H2062" s="2" t="n">
        <v>0</v>
      </c>
      <c r="I2062" s="2" t="n">
        <v>0</v>
      </c>
    </row>
    <row r="2063">
      <c r="A2063" s="2" t="n">
        <v>2061</v>
      </c>
      <c r="B2063" s="2" t="inlineStr">
        <is>
          <t>flip</t>
        </is>
      </c>
      <c r="C2063" s="2" t="inlineStr">
        <is>
          <t>browser chrome150</t>
        </is>
      </c>
      <c r="D2063" s="2" t="n">
        <v>1763</v>
      </c>
      <c r="E2063" s="2" t="n">
        <v>1763</v>
      </c>
      <c r="F2063" s="2" t="n">
        <v>1</v>
      </c>
      <c r="G2063" s="2" t="n">
        <v>1</v>
      </c>
      <c r="H2063" s="2" t="n">
        <v>1</v>
      </c>
      <c r="I2063" s="2" t="n">
        <v>0</v>
      </c>
    </row>
    <row r="2064">
      <c r="A2064" s="2" t="n">
        <v>2062</v>
      </c>
      <c r="B2064" s="2" t="inlineStr">
        <is>
          <t>truncate</t>
        </is>
      </c>
      <c r="C2064" s="2" t="inlineStr">
        <is>
          <t>openssl 3.5.8 default</t>
        </is>
      </c>
      <c r="D2064" s="2" t="n">
        <v>1023</v>
      </c>
      <c r="E2064" s="2" t="n">
        <v>1023</v>
      </c>
      <c r="F2064" s="2" t="n">
        <v>1</v>
      </c>
      <c r="G2064" s="2" t="n">
        <v>1</v>
      </c>
      <c r="H2064" s="2" t="n">
        <v>1</v>
      </c>
      <c r="I2064" s="2" t="n">
        <v>0</v>
      </c>
    </row>
    <row r="2065">
      <c r="A2065" s="2" t="n">
        <v>2063</v>
      </c>
      <c r="B2065" s="2" t="inlineStr">
        <is>
          <t>length</t>
        </is>
      </c>
      <c r="C2065" s="2" t="inlineStr">
        <is>
          <t>openssl X25519 only (classical)</t>
        </is>
      </c>
      <c r="D2065" s="2" t="n">
        <v>314</v>
      </c>
      <c r="E2065" s="2" t="n">
        <v>314</v>
      </c>
      <c r="F2065" s="2" t="n">
        <v>1</v>
      </c>
      <c r="G2065" s="2" t="n">
        <v>0</v>
      </c>
      <c r="H2065" s="2" t="n">
        <v>0</v>
      </c>
      <c r="I2065" s="2" t="n">
        <v>0</v>
      </c>
    </row>
    <row r="2066">
      <c r="A2066" s="2" t="n">
        <v>2064</v>
      </c>
      <c r="B2066" s="2" t="inlineStr">
        <is>
          <t>insert</t>
        </is>
      </c>
      <c r="C2066" s="2" t="inlineStr">
        <is>
          <t>openssl TLS 1.2 only</t>
        </is>
      </c>
      <c r="D2066" s="2" t="n">
        <v>223</v>
      </c>
      <c r="E2066" s="2" t="n">
        <v>223</v>
      </c>
      <c r="F2066" s="2" t="n">
        <v>1</v>
      </c>
      <c r="G2066" s="2" t="n">
        <v>1</v>
      </c>
      <c r="H2066" s="2" t="n">
        <v>1</v>
      </c>
      <c r="I2066" s="2" t="n">
        <v>0</v>
      </c>
    </row>
    <row r="2067">
      <c r="A2067" s="2" t="n">
        <v>2065</v>
      </c>
      <c r="B2067" s="2" t="inlineStr">
        <is>
          <t>flip</t>
        </is>
      </c>
      <c r="C2067" s="2" t="inlineStr">
        <is>
          <t>openssl 3.5.8 default</t>
        </is>
      </c>
      <c r="D2067" s="2" t="n">
        <v>1548</v>
      </c>
      <c r="E2067" s="2" t="n">
        <v>1548</v>
      </c>
      <c r="F2067" s="2" t="n">
        <v>1</v>
      </c>
      <c r="G2067" s="2" t="n">
        <v>1</v>
      </c>
      <c r="H2067" s="2" t="n">
        <v>1</v>
      </c>
      <c r="I2067" s="2" t="n">
        <v>0</v>
      </c>
    </row>
    <row r="2068">
      <c r="A2068" s="2" t="n">
        <v>2066</v>
      </c>
      <c r="B2068" s="2" t="inlineStr">
        <is>
          <t>truncate</t>
        </is>
      </c>
      <c r="C2068" s="2" t="inlineStr">
        <is>
          <t>browser chrome150</t>
        </is>
      </c>
      <c r="D2068" s="2" t="n">
        <v>1714</v>
      </c>
      <c r="E2068" s="2" t="n">
        <v>1714</v>
      </c>
      <c r="F2068" s="2" t="n">
        <v>1</v>
      </c>
      <c r="G2068" s="2" t="n">
        <v>1</v>
      </c>
      <c r="H2068" s="2" t="n">
        <v>1</v>
      </c>
      <c r="I2068" s="2" t="n">
        <v>0</v>
      </c>
    </row>
    <row r="2069">
      <c r="A2069" s="2" t="n">
        <v>2067</v>
      </c>
      <c r="B2069" s="2" t="inlineStr">
        <is>
          <t>length</t>
        </is>
      </c>
      <c r="C2069" s="2" t="inlineStr">
        <is>
          <t>browser chrome150</t>
        </is>
      </c>
      <c r="D2069" s="2" t="n">
        <v>1763</v>
      </c>
      <c r="E2069" s="2" t="n">
        <v>1763</v>
      </c>
      <c r="F2069" s="2" t="n">
        <v>1</v>
      </c>
      <c r="G2069" s="2" t="n">
        <v>1</v>
      </c>
      <c r="H2069" s="2" t="n">
        <v>0</v>
      </c>
      <c r="I2069" s="2" t="n">
        <v>0</v>
      </c>
    </row>
    <row r="2070">
      <c r="A2070" s="2" t="n">
        <v>2068</v>
      </c>
      <c r="B2070" s="2" t="inlineStr">
        <is>
          <t>insert</t>
        </is>
      </c>
      <c r="C2070" s="2" t="inlineStr">
        <is>
          <t>openssl TLS 1.2 only</t>
        </is>
      </c>
      <c r="D2070" s="2" t="n">
        <v>222</v>
      </c>
      <c r="E2070" s="2" t="n">
        <v>222</v>
      </c>
      <c r="F2070" s="2" t="n">
        <v>1</v>
      </c>
      <c r="G2070" s="2" t="n">
        <v>1</v>
      </c>
      <c r="H2070" s="2" t="n">
        <v>1</v>
      </c>
      <c r="I2070" s="2" t="n">
        <v>0</v>
      </c>
    </row>
    <row r="2071">
      <c r="A2071" s="2" t="n">
        <v>2069</v>
      </c>
      <c r="B2071" s="2" t="inlineStr">
        <is>
          <t>flip</t>
        </is>
      </c>
      <c r="C2071" s="2" t="inlineStr">
        <is>
          <t>openssl TLS 1.2 only</t>
        </is>
      </c>
      <c r="D2071" s="2" t="n">
        <v>215</v>
      </c>
      <c r="E2071" s="2" t="n">
        <v>215</v>
      </c>
      <c r="F2071" s="2" t="n">
        <v>1</v>
      </c>
      <c r="G2071" s="2" t="n">
        <v>1</v>
      </c>
      <c r="H2071" s="2" t="n">
        <v>1</v>
      </c>
      <c r="I2071" s="2" t="n">
        <v>0</v>
      </c>
    </row>
    <row r="2072">
      <c r="A2072" s="2" t="n">
        <v>2070</v>
      </c>
      <c r="B2072" s="2" t="inlineStr">
        <is>
          <t>truncate</t>
        </is>
      </c>
      <c r="C2072" s="2" t="inlineStr">
        <is>
          <t>openssl 3.5.8 default</t>
        </is>
      </c>
      <c r="D2072" s="2" t="n">
        <v>1506</v>
      </c>
      <c r="E2072" s="2" t="n">
        <v>1506</v>
      </c>
      <c r="F2072" s="2" t="n">
        <v>1</v>
      </c>
      <c r="G2072" s="2" t="n">
        <v>1</v>
      </c>
      <c r="H2072" s="2" t="n">
        <v>1</v>
      </c>
      <c r="I2072" s="2" t="n">
        <v>0</v>
      </c>
    </row>
    <row r="2073">
      <c r="A2073" s="2" t="n">
        <v>2071</v>
      </c>
      <c r="B2073" s="2" t="inlineStr">
        <is>
          <t>length</t>
        </is>
      </c>
      <c r="C2073" s="2" t="inlineStr">
        <is>
          <t>browser firefox147</t>
        </is>
      </c>
      <c r="D2073" s="2" t="n">
        <v>1901</v>
      </c>
      <c r="E2073" s="2" t="n">
        <v>1901</v>
      </c>
      <c r="F2073" s="2" t="n">
        <v>1</v>
      </c>
      <c r="G2073" s="2" t="n">
        <v>0</v>
      </c>
      <c r="H2073" s="2" t="n">
        <v>0</v>
      </c>
      <c r="I2073" s="2" t="n">
        <v>0</v>
      </c>
    </row>
    <row r="2074">
      <c r="A2074" s="2" t="n">
        <v>2072</v>
      </c>
      <c r="B2074" s="2" t="inlineStr">
        <is>
          <t>insert</t>
        </is>
      </c>
      <c r="C2074" s="2" t="inlineStr">
        <is>
          <t>browser firefox147</t>
        </is>
      </c>
      <c r="D2074" s="2" t="n">
        <v>1909</v>
      </c>
      <c r="E2074" s="2" t="n">
        <v>1909</v>
      </c>
      <c r="F2074" s="2" t="n">
        <v>1</v>
      </c>
      <c r="G2074" s="2" t="n">
        <v>1</v>
      </c>
      <c r="H2074" s="2" t="n">
        <v>0</v>
      </c>
      <c r="I2074" s="2" t="n">
        <v>0</v>
      </c>
    </row>
    <row r="2075">
      <c r="A2075" s="2" t="n">
        <v>2073</v>
      </c>
      <c r="B2075" s="2" t="inlineStr">
        <is>
          <t>flip</t>
        </is>
      </c>
      <c r="C2075" s="2" t="inlineStr">
        <is>
          <t>browser chrome150</t>
        </is>
      </c>
      <c r="D2075" s="2" t="n">
        <v>1763</v>
      </c>
      <c r="E2075" s="2" t="n">
        <v>1763</v>
      </c>
      <c r="F2075" s="2" t="n">
        <v>1</v>
      </c>
      <c r="G2075" s="2" t="n">
        <v>1</v>
      </c>
      <c r="H2075" s="2" t="n">
        <v>1</v>
      </c>
      <c r="I2075" s="2" t="n">
        <v>0</v>
      </c>
    </row>
    <row r="2076">
      <c r="A2076" s="2" t="n">
        <v>2074</v>
      </c>
      <c r="B2076" s="2" t="inlineStr">
        <is>
          <t>truncate</t>
        </is>
      </c>
      <c r="C2076" s="2" t="inlineStr">
        <is>
          <t>openssl TLS 1.2 only</t>
        </is>
      </c>
      <c r="D2076" s="2" t="n">
        <v>44</v>
      </c>
      <c r="E2076" s="2" t="n">
        <v>44</v>
      </c>
      <c r="F2076" s="2" t="n">
        <v>1</v>
      </c>
      <c r="G2076" s="2" t="n">
        <v>0</v>
      </c>
      <c r="H2076" s="2" t="n">
        <v>0</v>
      </c>
      <c r="I2076" s="2" t="n">
        <v>0</v>
      </c>
    </row>
    <row r="2077">
      <c r="A2077" s="2" t="n">
        <v>2075</v>
      </c>
      <c r="B2077" s="2" t="inlineStr">
        <is>
          <t>length</t>
        </is>
      </c>
      <c r="C2077" s="2" t="inlineStr">
        <is>
          <t>openssl TLS 1.2 only</t>
        </is>
      </c>
      <c r="D2077" s="2" t="n">
        <v>215</v>
      </c>
      <c r="E2077" s="2" t="n">
        <v>215</v>
      </c>
      <c r="F2077" s="2" t="n">
        <v>0</v>
      </c>
      <c r="G2077" s="2" t="n">
        <v>0</v>
      </c>
      <c r="H2077" s="2" t="n">
        <v>0</v>
      </c>
      <c r="I2077" s="2" t="n">
        <v>0</v>
      </c>
    </row>
    <row r="2078">
      <c r="A2078" s="2" t="n">
        <v>2076</v>
      </c>
      <c r="B2078" s="2" t="inlineStr">
        <is>
          <t>insert</t>
        </is>
      </c>
      <c r="C2078" s="2" t="inlineStr">
        <is>
          <t>browser firefox147</t>
        </is>
      </c>
      <c r="D2078" s="2" t="n">
        <v>1915</v>
      </c>
      <c r="E2078" s="2" t="n">
        <v>1915</v>
      </c>
      <c r="F2078" s="2" t="n">
        <v>1</v>
      </c>
      <c r="G2078" s="2" t="n">
        <v>1</v>
      </c>
      <c r="H2078" s="2" t="n">
        <v>0</v>
      </c>
      <c r="I2078" s="2" t="n">
        <v>0</v>
      </c>
    </row>
    <row r="2079">
      <c r="A2079" s="2" t="n">
        <v>2077</v>
      </c>
      <c r="B2079" s="2" t="inlineStr">
        <is>
          <t>flip</t>
        </is>
      </c>
      <c r="C2079" s="2" t="inlineStr">
        <is>
          <t>openssl TLS 1.2 only</t>
        </is>
      </c>
      <c r="D2079" s="2" t="n">
        <v>215</v>
      </c>
      <c r="E2079" s="2" t="n">
        <v>215</v>
      </c>
      <c r="F2079" s="2" t="n">
        <v>1</v>
      </c>
      <c r="G2079" s="2" t="n">
        <v>1</v>
      </c>
      <c r="H2079" s="2" t="n">
        <v>1</v>
      </c>
      <c r="I2079" s="2" t="n">
        <v>0</v>
      </c>
    </row>
    <row r="2080">
      <c r="A2080" s="2" t="n">
        <v>2078</v>
      </c>
      <c r="B2080" s="2" t="inlineStr">
        <is>
          <t>truncate</t>
        </is>
      </c>
      <c r="C2080" s="2" t="inlineStr">
        <is>
          <t>browser firefox147</t>
        </is>
      </c>
      <c r="D2080" s="2" t="n">
        <v>1178</v>
      </c>
      <c r="E2080" s="2" t="n">
        <v>1178</v>
      </c>
      <c r="F2080" s="2" t="n">
        <v>1</v>
      </c>
      <c r="G2080" s="2" t="n">
        <v>1</v>
      </c>
      <c r="H2080" s="2" t="n">
        <v>0</v>
      </c>
      <c r="I2080" s="2" t="n">
        <v>0</v>
      </c>
    </row>
    <row r="2081">
      <c r="A2081" s="2" t="n">
        <v>2079</v>
      </c>
      <c r="B2081" s="2" t="inlineStr">
        <is>
          <t>length</t>
        </is>
      </c>
      <c r="C2081" s="2" t="inlineStr">
        <is>
          <t>browser firefox147</t>
        </is>
      </c>
      <c r="D2081" s="2" t="n">
        <v>1901</v>
      </c>
      <c r="E2081" s="2" t="n">
        <v>1901</v>
      </c>
      <c r="F2081" s="2" t="n">
        <v>1</v>
      </c>
      <c r="G2081" s="2" t="n">
        <v>1</v>
      </c>
      <c r="H2081" s="2" t="n">
        <v>0</v>
      </c>
      <c r="I2081" s="2" t="n">
        <v>0</v>
      </c>
    </row>
    <row r="2082">
      <c r="A2082" s="2" t="n">
        <v>2080</v>
      </c>
      <c r="B2082" s="2" t="inlineStr">
        <is>
          <t>insert</t>
        </is>
      </c>
      <c r="C2082" s="2" t="inlineStr">
        <is>
          <t>openssl TLS 1.2 only</t>
        </is>
      </c>
      <c r="D2082" s="2" t="n">
        <v>217</v>
      </c>
      <c r="E2082" s="2" t="n">
        <v>217</v>
      </c>
      <c r="F2082" s="2" t="n">
        <v>1</v>
      </c>
      <c r="G2082" s="2" t="n">
        <v>1</v>
      </c>
      <c r="H2082" s="2" t="n">
        <v>1</v>
      </c>
      <c r="I2082" s="2" t="n">
        <v>0</v>
      </c>
    </row>
    <row r="2083">
      <c r="A2083" s="2" t="n">
        <v>2081</v>
      </c>
      <c r="B2083" s="2" t="inlineStr">
        <is>
          <t>flip</t>
        </is>
      </c>
      <c r="C2083" s="2" t="inlineStr">
        <is>
          <t>openssl TLS 1.2 only</t>
        </is>
      </c>
      <c r="D2083" s="2" t="n">
        <v>215</v>
      </c>
      <c r="E2083" s="2" t="n">
        <v>215</v>
      </c>
      <c r="F2083" s="2" t="n">
        <v>0</v>
      </c>
      <c r="G2083" s="2" t="n">
        <v>0</v>
      </c>
      <c r="H2083" s="2" t="n">
        <v>0</v>
      </c>
      <c r="I2083" s="2" t="n">
        <v>0</v>
      </c>
    </row>
    <row r="2084">
      <c r="A2084" s="2" t="n">
        <v>2082</v>
      </c>
      <c r="B2084" s="2" t="inlineStr">
        <is>
          <t>truncate</t>
        </is>
      </c>
      <c r="C2084" s="2" t="inlineStr">
        <is>
          <t>openssl TLS 1.2 only</t>
        </is>
      </c>
      <c r="D2084" s="2" t="n">
        <v>193</v>
      </c>
      <c r="E2084" s="2" t="n">
        <v>193</v>
      </c>
      <c r="F2084" s="2" t="n">
        <v>1</v>
      </c>
      <c r="G2084" s="2" t="n">
        <v>1</v>
      </c>
      <c r="H2084" s="2" t="n">
        <v>1</v>
      </c>
      <c r="I2084" s="2" t="n">
        <v>0</v>
      </c>
    </row>
    <row r="2085">
      <c r="A2085" s="2" t="n">
        <v>2083</v>
      </c>
      <c r="B2085" s="2" t="inlineStr">
        <is>
          <t>length</t>
        </is>
      </c>
      <c r="C2085" s="2" t="inlineStr">
        <is>
          <t>browser chrome150</t>
        </is>
      </c>
      <c r="D2085" s="2" t="n">
        <v>1763</v>
      </c>
      <c r="E2085" s="2" t="n">
        <v>1763</v>
      </c>
      <c r="F2085" s="2" t="n">
        <v>0</v>
      </c>
      <c r="G2085" s="2" t="n">
        <v>0</v>
      </c>
      <c r="H2085" s="2" t="n">
        <v>0</v>
      </c>
      <c r="I2085" s="2" t="n">
        <v>0</v>
      </c>
    </row>
    <row r="2086">
      <c r="A2086" s="2" t="n">
        <v>2084</v>
      </c>
      <c r="B2086" s="2" t="inlineStr">
        <is>
          <t>insert</t>
        </is>
      </c>
      <c r="C2086" s="2" t="inlineStr">
        <is>
          <t>openssl X25519 only (classical)</t>
        </is>
      </c>
      <c r="D2086" s="2" t="n">
        <v>329</v>
      </c>
      <c r="E2086" s="2" t="n">
        <v>329</v>
      </c>
      <c r="F2086" s="2" t="n">
        <v>1</v>
      </c>
      <c r="G2086" s="2" t="n">
        <v>1</v>
      </c>
      <c r="H2086" s="2" t="n">
        <v>1</v>
      </c>
      <c r="I2086" s="2" t="n">
        <v>0</v>
      </c>
    </row>
    <row r="2087">
      <c r="A2087" s="2" t="n">
        <v>2085</v>
      </c>
      <c r="B2087" s="2" t="inlineStr">
        <is>
          <t>flip</t>
        </is>
      </c>
      <c r="C2087" s="2" t="inlineStr">
        <is>
          <t>openssl TLS 1.2 only</t>
        </is>
      </c>
      <c r="D2087" s="2" t="n">
        <v>215</v>
      </c>
      <c r="E2087" s="2" t="n">
        <v>215</v>
      </c>
      <c r="F2087" s="2" t="n">
        <v>1</v>
      </c>
      <c r="G2087" s="2" t="n">
        <v>1</v>
      </c>
      <c r="H2087" s="2" t="n">
        <v>0</v>
      </c>
      <c r="I2087" s="2" t="n">
        <v>0</v>
      </c>
    </row>
    <row r="2088">
      <c r="A2088" s="2" t="n">
        <v>2086</v>
      </c>
      <c r="B2088" s="2" t="inlineStr">
        <is>
          <t>truncate</t>
        </is>
      </c>
      <c r="C2088" s="2" t="inlineStr">
        <is>
          <t>browser firefox147</t>
        </is>
      </c>
      <c r="D2088" s="2" t="n">
        <v>218</v>
      </c>
      <c r="E2088" s="2" t="n">
        <v>218</v>
      </c>
      <c r="F2088" s="2" t="n">
        <v>1</v>
      </c>
      <c r="G2088" s="2" t="n">
        <v>1</v>
      </c>
      <c r="H2088" s="2" t="n">
        <v>0</v>
      </c>
      <c r="I2088" s="2" t="n">
        <v>0</v>
      </c>
    </row>
    <row r="2089">
      <c r="A2089" s="2" t="n">
        <v>2087</v>
      </c>
      <c r="B2089" s="2" t="inlineStr">
        <is>
          <t>length</t>
        </is>
      </c>
      <c r="C2089" s="2" t="inlineStr">
        <is>
          <t>openssl X25519 only (classical)</t>
        </is>
      </c>
      <c r="D2089" s="2" t="n">
        <v>314</v>
      </c>
      <c r="E2089" s="2" t="n">
        <v>314</v>
      </c>
      <c r="F2089" s="2" t="n">
        <v>1</v>
      </c>
      <c r="G2089" s="2" t="n">
        <v>1</v>
      </c>
      <c r="H2089" s="2" t="n">
        <v>1</v>
      </c>
      <c r="I2089" s="2" t="n">
        <v>0</v>
      </c>
    </row>
    <row r="2090">
      <c r="A2090" s="2" t="n">
        <v>2088</v>
      </c>
      <c r="B2090" s="2" t="inlineStr">
        <is>
          <t>insert</t>
        </is>
      </c>
      <c r="C2090" s="2" t="inlineStr">
        <is>
          <t>browser chrome150</t>
        </is>
      </c>
      <c r="D2090" s="2" t="n">
        <v>1774</v>
      </c>
      <c r="E2090" s="2" t="n">
        <v>1774</v>
      </c>
      <c r="F2090" s="2" t="n">
        <v>1</v>
      </c>
      <c r="G2090" s="2" t="n">
        <v>1</v>
      </c>
      <c r="H2090" s="2" t="n">
        <v>1</v>
      </c>
      <c r="I2090" s="2" t="n">
        <v>0</v>
      </c>
    </row>
    <row r="2091">
      <c r="A2091" s="2" t="n">
        <v>2089</v>
      </c>
      <c r="B2091" s="2" t="inlineStr">
        <is>
          <t>flip</t>
        </is>
      </c>
      <c r="C2091" s="2" t="inlineStr">
        <is>
          <t>browser chrome150</t>
        </is>
      </c>
      <c r="D2091" s="2" t="n">
        <v>1763</v>
      </c>
      <c r="E2091" s="2" t="n">
        <v>1763</v>
      </c>
      <c r="F2091" s="2" t="n">
        <v>1</v>
      </c>
      <c r="G2091" s="2" t="n">
        <v>1</v>
      </c>
      <c r="H2091" s="2" t="n">
        <v>1</v>
      </c>
      <c r="I2091" s="2" t="n">
        <v>0</v>
      </c>
    </row>
    <row r="2092">
      <c r="A2092" s="2" t="n">
        <v>2090</v>
      </c>
      <c r="B2092" s="2" t="inlineStr">
        <is>
          <t>truncate</t>
        </is>
      </c>
      <c r="C2092" s="2" t="inlineStr">
        <is>
          <t>openssl TLS 1.2 only</t>
        </is>
      </c>
      <c r="D2092" s="2" t="n">
        <v>22</v>
      </c>
      <c r="E2092" s="2" t="n">
        <v>22</v>
      </c>
      <c r="F2092" s="2" t="n">
        <v>1</v>
      </c>
      <c r="G2092" s="2" t="n">
        <v>0</v>
      </c>
      <c r="H2092" s="2" t="n">
        <v>0</v>
      </c>
      <c r="I2092" s="2" t="n">
        <v>0</v>
      </c>
    </row>
    <row r="2093">
      <c r="A2093" s="2" t="n">
        <v>2091</v>
      </c>
      <c r="B2093" s="2" t="inlineStr">
        <is>
          <t>length</t>
        </is>
      </c>
      <c r="C2093" s="2" t="inlineStr">
        <is>
          <t>openssl X25519 only (classical)</t>
        </is>
      </c>
      <c r="D2093" s="2" t="n">
        <v>314</v>
      </c>
      <c r="E2093" s="2" t="n">
        <v>314</v>
      </c>
      <c r="F2093" s="2" t="n">
        <v>1</v>
      </c>
      <c r="G2093" s="2" t="n">
        <v>1</v>
      </c>
      <c r="H2093" s="2" t="n">
        <v>0</v>
      </c>
      <c r="I2093" s="2" t="n">
        <v>0</v>
      </c>
    </row>
    <row r="2094">
      <c r="A2094" s="2" t="n">
        <v>2092</v>
      </c>
      <c r="B2094" s="2" t="inlineStr">
        <is>
          <t>insert</t>
        </is>
      </c>
      <c r="C2094" s="2" t="inlineStr">
        <is>
          <t>browser firefox147</t>
        </is>
      </c>
      <c r="D2094" s="2" t="n">
        <v>1912</v>
      </c>
      <c r="E2094" s="2" t="n">
        <v>1912</v>
      </c>
      <c r="F2094" s="2" t="n">
        <v>1</v>
      </c>
      <c r="G2094" s="2" t="n">
        <v>1</v>
      </c>
      <c r="H2094" s="2" t="n">
        <v>0</v>
      </c>
      <c r="I2094" s="2" t="n">
        <v>0</v>
      </c>
    </row>
    <row r="2095">
      <c r="A2095" s="2" t="n">
        <v>2093</v>
      </c>
      <c r="B2095" s="2" t="inlineStr">
        <is>
          <t>flip</t>
        </is>
      </c>
      <c r="C2095" s="2" t="inlineStr">
        <is>
          <t>openssl 3.5.8 default</t>
        </is>
      </c>
      <c r="D2095" s="2" t="n">
        <v>1548</v>
      </c>
      <c r="E2095" s="2" t="n">
        <v>1548</v>
      </c>
      <c r="F2095" s="2" t="n">
        <v>1</v>
      </c>
      <c r="G2095" s="2" t="n">
        <v>1</v>
      </c>
      <c r="H2095" s="2" t="n">
        <v>1</v>
      </c>
      <c r="I2095" s="2" t="n">
        <v>0</v>
      </c>
    </row>
    <row r="2096">
      <c r="A2096" s="2" t="n">
        <v>2094</v>
      </c>
      <c r="B2096" s="2" t="inlineStr">
        <is>
          <t>truncate</t>
        </is>
      </c>
      <c r="C2096" s="2" t="inlineStr">
        <is>
          <t>openssl TLS 1.2 only</t>
        </is>
      </c>
      <c r="D2096" s="2" t="n">
        <v>45</v>
      </c>
      <c r="E2096" s="2" t="n">
        <v>45</v>
      </c>
      <c r="F2096" s="2" t="n">
        <v>1</v>
      </c>
      <c r="G2096" s="2" t="n">
        <v>0</v>
      </c>
      <c r="H2096" s="2" t="n">
        <v>0</v>
      </c>
      <c r="I2096" s="2" t="n">
        <v>0</v>
      </c>
    </row>
    <row r="2097">
      <c r="A2097" s="2" t="n">
        <v>2095</v>
      </c>
      <c r="B2097" s="2" t="inlineStr">
        <is>
          <t>length</t>
        </is>
      </c>
      <c r="C2097" s="2" t="inlineStr">
        <is>
          <t>browser firefox147</t>
        </is>
      </c>
      <c r="D2097" s="2" t="n">
        <v>1901</v>
      </c>
      <c r="E2097" s="2" t="n">
        <v>1901</v>
      </c>
      <c r="F2097" s="2" t="n">
        <v>0</v>
      </c>
      <c r="G2097" s="2" t="n">
        <v>0</v>
      </c>
      <c r="H2097" s="2" t="n">
        <v>0</v>
      </c>
      <c r="I2097" s="2" t="n">
        <v>0</v>
      </c>
    </row>
    <row r="2098">
      <c r="A2098" s="2" t="n">
        <v>2096</v>
      </c>
      <c r="B2098" s="2" t="inlineStr">
        <is>
          <t>insert</t>
        </is>
      </c>
      <c r="C2098" s="2" t="inlineStr">
        <is>
          <t>browser chrome150</t>
        </is>
      </c>
      <c r="D2098" s="2" t="n">
        <v>1770</v>
      </c>
      <c r="E2098" s="2" t="n">
        <v>1770</v>
      </c>
      <c r="F2098" s="2" t="n">
        <v>1</v>
      </c>
      <c r="G2098" s="2" t="n">
        <v>0</v>
      </c>
      <c r="H2098" s="2" t="n">
        <v>0</v>
      </c>
      <c r="I2098" s="2" t="n">
        <v>0</v>
      </c>
    </row>
    <row r="2099">
      <c r="A2099" s="2" t="n">
        <v>2097</v>
      </c>
      <c r="B2099" s="2" t="inlineStr">
        <is>
          <t>flip</t>
        </is>
      </c>
      <c r="C2099" s="2" t="inlineStr">
        <is>
          <t>openssl X25519 only (classical)</t>
        </is>
      </c>
      <c r="D2099" s="2" t="n">
        <v>314</v>
      </c>
      <c r="E2099" s="2" t="n">
        <v>314</v>
      </c>
      <c r="F2099" s="2" t="n">
        <v>0</v>
      </c>
      <c r="G2099" s="2" t="n">
        <v>0</v>
      </c>
      <c r="H2099" s="2" t="n">
        <v>0</v>
      </c>
      <c r="I2099" s="2" t="n">
        <v>0</v>
      </c>
    </row>
    <row r="2100">
      <c r="A2100" s="2" t="n">
        <v>2098</v>
      </c>
      <c r="B2100" s="2" t="inlineStr">
        <is>
          <t>truncate</t>
        </is>
      </c>
      <c r="C2100" s="2" t="inlineStr">
        <is>
          <t>openssl X25519 only (classical)</t>
        </is>
      </c>
      <c r="D2100" s="2" t="n">
        <v>98</v>
      </c>
      <c r="E2100" s="2" t="n">
        <v>98</v>
      </c>
      <c r="F2100" s="2" t="n">
        <v>1</v>
      </c>
      <c r="G2100" s="2" t="n">
        <v>0</v>
      </c>
      <c r="H2100" s="2" t="n">
        <v>0</v>
      </c>
      <c r="I2100" s="2" t="n">
        <v>0</v>
      </c>
    </row>
    <row r="2101">
      <c r="A2101" s="2" t="n">
        <v>2099</v>
      </c>
      <c r="B2101" s="2" t="inlineStr">
        <is>
          <t>length</t>
        </is>
      </c>
      <c r="C2101" s="2" t="inlineStr">
        <is>
          <t>browser chrome150</t>
        </is>
      </c>
      <c r="D2101" s="2" t="n">
        <v>1763</v>
      </c>
      <c r="E2101" s="2" t="n">
        <v>1763</v>
      </c>
      <c r="F2101" s="2" t="n">
        <v>1</v>
      </c>
      <c r="G2101" s="2" t="n">
        <v>1</v>
      </c>
      <c r="H2101" s="2" t="n">
        <v>1</v>
      </c>
      <c r="I2101" s="2" t="n">
        <v>0</v>
      </c>
    </row>
    <row r="2102">
      <c r="A2102" s="2" t="n">
        <v>2100</v>
      </c>
      <c r="B2102" s="2" t="inlineStr">
        <is>
          <t>insert</t>
        </is>
      </c>
      <c r="C2102" s="2" t="inlineStr">
        <is>
          <t>browser chrome150</t>
        </is>
      </c>
      <c r="D2102" s="2" t="n">
        <v>1775</v>
      </c>
      <c r="E2102" s="2" t="n">
        <v>1775</v>
      </c>
      <c r="F2102" s="2" t="n">
        <v>1</v>
      </c>
      <c r="G2102" s="2" t="n">
        <v>1</v>
      </c>
      <c r="H2102" s="2" t="n">
        <v>1</v>
      </c>
      <c r="I2102" s="2" t="n">
        <v>0</v>
      </c>
    </row>
    <row r="2103">
      <c r="A2103" s="2" t="n">
        <v>2101</v>
      </c>
      <c r="B2103" s="2" t="inlineStr">
        <is>
          <t>flip</t>
        </is>
      </c>
      <c r="C2103" s="2" t="inlineStr">
        <is>
          <t>browser chrome150</t>
        </is>
      </c>
      <c r="D2103" s="2" t="n">
        <v>1763</v>
      </c>
      <c r="E2103" s="2" t="n">
        <v>1763</v>
      </c>
      <c r="F2103" s="2" t="n">
        <v>1</v>
      </c>
      <c r="G2103" s="2" t="n">
        <v>1</v>
      </c>
      <c r="H2103" s="2" t="n">
        <v>1</v>
      </c>
      <c r="I2103" s="2" t="n">
        <v>0</v>
      </c>
    </row>
    <row r="2104">
      <c r="A2104" s="2" t="n">
        <v>2102</v>
      </c>
      <c r="B2104" s="2" t="inlineStr">
        <is>
          <t>truncate</t>
        </is>
      </c>
      <c r="C2104" s="2" t="inlineStr">
        <is>
          <t>openssl TLS 1.2 only</t>
        </is>
      </c>
      <c r="D2104" s="2" t="n">
        <v>125</v>
      </c>
      <c r="E2104" s="2" t="n">
        <v>125</v>
      </c>
      <c r="F2104" s="2" t="n">
        <v>1</v>
      </c>
      <c r="G2104" s="2" t="n">
        <v>1</v>
      </c>
      <c r="H2104" s="2" t="n">
        <v>0</v>
      </c>
      <c r="I2104" s="2" t="n">
        <v>0</v>
      </c>
    </row>
    <row r="2105">
      <c r="A2105" s="2" t="n">
        <v>2103</v>
      </c>
      <c r="B2105" s="2" t="inlineStr">
        <is>
          <t>length</t>
        </is>
      </c>
      <c r="C2105" s="2" t="inlineStr">
        <is>
          <t>openssl X25519 only (classical)</t>
        </is>
      </c>
      <c r="D2105" s="2" t="n">
        <v>314</v>
      </c>
      <c r="E2105" s="2" t="n">
        <v>314</v>
      </c>
      <c r="F2105" s="2" t="n">
        <v>1</v>
      </c>
      <c r="G2105" s="2" t="n">
        <v>1</v>
      </c>
      <c r="H2105" s="2" t="n">
        <v>1</v>
      </c>
      <c r="I2105" s="2" t="n">
        <v>0</v>
      </c>
    </row>
    <row r="2106">
      <c r="A2106" s="2" t="n">
        <v>2104</v>
      </c>
      <c r="B2106" s="2" t="inlineStr">
        <is>
          <t>insert</t>
        </is>
      </c>
      <c r="C2106" s="2" t="inlineStr">
        <is>
          <t>browser firefox147</t>
        </is>
      </c>
      <c r="D2106" s="2" t="n">
        <v>1907</v>
      </c>
      <c r="E2106" s="2" t="n">
        <v>1907</v>
      </c>
      <c r="F2106" s="2" t="n">
        <v>1</v>
      </c>
      <c r="G2106" s="2" t="n">
        <v>1</v>
      </c>
      <c r="H2106" s="2" t="n">
        <v>0</v>
      </c>
      <c r="I2106" s="2" t="n">
        <v>0</v>
      </c>
    </row>
    <row r="2107">
      <c r="A2107" s="2" t="n">
        <v>2105</v>
      </c>
      <c r="B2107" s="2" t="inlineStr">
        <is>
          <t>flip</t>
        </is>
      </c>
      <c r="C2107" s="2" t="inlineStr">
        <is>
          <t>openssl 3.5.8 default</t>
        </is>
      </c>
      <c r="D2107" s="2" t="n">
        <v>1548</v>
      </c>
      <c r="E2107" s="2" t="n">
        <v>1548</v>
      </c>
      <c r="F2107" s="2" t="n">
        <v>1</v>
      </c>
      <c r="G2107" s="2" t="n">
        <v>1</v>
      </c>
      <c r="H2107" s="2" t="n">
        <v>1</v>
      </c>
      <c r="I2107" s="2" t="n">
        <v>0</v>
      </c>
    </row>
    <row r="2108">
      <c r="A2108" s="2" t="n">
        <v>2106</v>
      </c>
      <c r="B2108" s="2" t="inlineStr">
        <is>
          <t>truncate</t>
        </is>
      </c>
      <c r="C2108" s="2" t="inlineStr">
        <is>
          <t>browser chrome150</t>
        </is>
      </c>
      <c r="D2108" s="2" t="n">
        <v>1163</v>
      </c>
      <c r="E2108" s="2" t="n">
        <v>1163</v>
      </c>
      <c r="F2108" s="2" t="n">
        <v>1</v>
      </c>
      <c r="G2108" s="2" t="n">
        <v>1</v>
      </c>
      <c r="H2108" s="2" t="n">
        <v>1</v>
      </c>
      <c r="I2108" s="2" t="n">
        <v>0</v>
      </c>
    </row>
    <row r="2109">
      <c r="A2109" s="2" t="n">
        <v>2107</v>
      </c>
      <c r="B2109" s="2" t="inlineStr">
        <is>
          <t>length</t>
        </is>
      </c>
      <c r="C2109" s="2" t="inlineStr">
        <is>
          <t>openssl 3.5.8 default</t>
        </is>
      </c>
      <c r="D2109" s="2" t="n">
        <v>1548</v>
      </c>
      <c r="E2109" s="2" t="n">
        <v>1548</v>
      </c>
      <c r="F2109" s="2" t="n">
        <v>0</v>
      </c>
      <c r="G2109" s="2" t="n">
        <v>0</v>
      </c>
      <c r="H2109" s="2" t="n">
        <v>0</v>
      </c>
      <c r="I2109" s="2" t="n">
        <v>0</v>
      </c>
    </row>
    <row r="2110">
      <c r="A2110" s="2" t="n">
        <v>2108</v>
      </c>
      <c r="B2110" s="2" t="inlineStr">
        <is>
          <t>insert</t>
        </is>
      </c>
      <c r="C2110" s="2" t="inlineStr">
        <is>
          <t>openssl 3.5.8 default</t>
        </is>
      </c>
      <c r="D2110" s="2" t="n">
        <v>1559</v>
      </c>
      <c r="E2110" s="2" t="n">
        <v>1559</v>
      </c>
      <c r="F2110" s="2" t="n">
        <v>1</v>
      </c>
      <c r="G2110" s="2" t="n">
        <v>1</v>
      </c>
      <c r="H2110" s="2" t="n">
        <v>1</v>
      </c>
      <c r="I2110" s="2" t="n">
        <v>0</v>
      </c>
    </row>
    <row r="2111">
      <c r="A2111" s="2" t="n">
        <v>2109</v>
      </c>
      <c r="B2111" s="2" t="inlineStr">
        <is>
          <t>flip</t>
        </is>
      </c>
      <c r="C2111" s="2" t="inlineStr">
        <is>
          <t>openssl X25519 only (classical)</t>
        </is>
      </c>
      <c r="D2111" s="2" t="n">
        <v>314</v>
      </c>
      <c r="E2111" s="2" t="n">
        <v>314</v>
      </c>
      <c r="F2111" s="2" t="n">
        <v>1</v>
      </c>
      <c r="G2111" s="2" t="n">
        <v>1</v>
      </c>
      <c r="H2111" s="2" t="n">
        <v>1</v>
      </c>
      <c r="I2111" s="2" t="n">
        <v>0</v>
      </c>
    </row>
    <row r="2112">
      <c r="A2112" s="2" t="n">
        <v>2110</v>
      </c>
      <c r="B2112" s="2" t="inlineStr">
        <is>
          <t>truncate</t>
        </is>
      </c>
      <c r="C2112" s="2" t="inlineStr">
        <is>
          <t>browser chrome150</t>
        </is>
      </c>
      <c r="D2112" s="2" t="n">
        <v>992</v>
      </c>
      <c r="E2112" s="2" t="n">
        <v>992</v>
      </c>
      <c r="F2112" s="2" t="n">
        <v>1</v>
      </c>
      <c r="G2112" s="2" t="n">
        <v>1</v>
      </c>
      <c r="H2112" s="2" t="n">
        <v>1</v>
      </c>
      <c r="I2112" s="2" t="n">
        <v>0</v>
      </c>
    </row>
    <row r="2113">
      <c r="A2113" s="2" t="n">
        <v>2111</v>
      </c>
      <c r="B2113" s="2" t="inlineStr">
        <is>
          <t>length</t>
        </is>
      </c>
      <c r="C2113" s="2" t="inlineStr">
        <is>
          <t>openssl X25519 only (classical)</t>
        </is>
      </c>
      <c r="D2113" s="2" t="n">
        <v>314</v>
      </c>
      <c r="E2113" s="2" t="n">
        <v>314</v>
      </c>
      <c r="F2113" s="2" t="n">
        <v>1</v>
      </c>
      <c r="G2113" s="2" t="n">
        <v>1</v>
      </c>
      <c r="H2113" s="2" t="n">
        <v>0</v>
      </c>
      <c r="I2113" s="2" t="n">
        <v>0</v>
      </c>
    </row>
    <row r="2114">
      <c r="A2114" s="2" t="n">
        <v>2112</v>
      </c>
      <c r="B2114" s="2" t="inlineStr">
        <is>
          <t>insert</t>
        </is>
      </c>
      <c r="C2114" s="2" t="inlineStr">
        <is>
          <t>openssl X25519 only (classical)</t>
        </is>
      </c>
      <c r="D2114" s="2" t="n">
        <v>321</v>
      </c>
      <c r="E2114" s="2" t="n">
        <v>321</v>
      </c>
      <c r="F2114" s="2" t="n">
        <v>1</v>
      </c>
      <c r="G2114" s="2" t="n">
        <v>1</v>
      </c>
      <c r="H2114" s="2" t="n">
        <v>1</v>
      </c>
      <c r="I2114" s="2" t="n">
        <v>0</v>
      </c>
    </row>
    <row r="2115">
      <c r="A2115" s="2" t="n">
        <v>2113</v>
      </c>
      <c r="B2115" s="2" t="inlineStr">
        <is>
          <t>flip</t>
        </is>
      </c>
      <c r="C2115" s="2" t="inlineStr">
        <is>
          <t>openssl 3.5.8 default</t>
        </is>
      </c>
      <c r="D2115" s="2" t="n">
        <v>1548</v>
      </c>
      <c r="E2115" s="2" t="n">
        <v>1548</v>
      </c>
      <c r="F2115" s="2" t="n">
        <v>1</v>
      </c>
      <c r="G2115" s="2" t="n">
        <v>1</v>
      </c>
      <c r="H2115" s="2" t="n">
        <v>1</v>
      </c>
      <c r="I2115" s="2" t="n">
        <v>0</v>
      </c>
    </row>
    <row r="2116">
      <c r="A2116" s="2" t="n">
        <v>2114</v>
      </c>
      <c r="B2116" s="2" t="inlineStr">
        <is>
          <t>truncate</t>
        </is>
      </c>
      <c r="C2116" s="2" t="inlineStr">
        <is>
          <t>browser chrome150</t>
        </is>
      </c>
      <c r="D2116" s="2" t="n">
        <v>842</v>
      </c>
      <c r="E2116" s="2" t="n">
        <v>842</v>
      </c>
      <c r="F2116" s="2" t="n">
        <v>1</v>
      </c>
      <c r="G2116" s="2" t="n">
        <v>1</v>
      </c>
      <c r="H2116" s="2" t="n">
        <v>1</v>
      </c>
      <c r="I2116" s="2" t="n">
        <v>0</v>
      </c>
    </row>
    <row r="2117">
      <c r="A2117" s="2" t="n">
        <v>2115</v>
      </c>
      <c r="B2117" s="2" t="inlineStr">
        <is>
          <t>length</t>
        </is>
      </c>
      <c r="C2117" s="2" t="inlineStr">
        <is>
          <t>openssl TLS 1.2 only</t>
        </is>
      </c>
      <c r="D2117" s="2" t="n">
        <v>215</v>
      </c>
      <c r="E2117" s="2" t="n">
        <v>215</v>
      </c>
      <c r="F2117" s="2" t="n">
        <v>1</v>
      </c>
      <c r="G2117" s="2" t="n">
        <v>1</v>
      </c>
      <c r="H2117" s="2" t="n">
        <v>1</v>
      </c>
      <c r="I2117" s="2" t="n">
        <v>0</v>
      </c>
    </row>
    <row r="2118">
      <c r="A2118" s="2" t="n">
        <v>2116</v>
      </c>
      <c r="B2118" s="2" t="inlineStr">
        <is>
          <t>insert</t>
        </is>
      </c>
      <c r="C2118" s="2" t="inlineStr">
        <is>
          <t>browser chrome150</t>
        </is>
      </c>
      <c r="D2118" s="2" t="n">
        <v>1766</v>
      </c>
      <c r="E2118" s="2" t="n">
        <v>1766</v>
      </c>
      <c r="F2118" s="2" t="n">
        <v>1</v>
      </c>
      <c r="G2118" s="2" t="n">
        <v>1</v>
      </c>
      <c r="H2118" s="2" t="n">
        <v>1</v>
      </c>
      <c r="I2118" s="2" t="n">
        <v>0</v>
      </c>
    </row>
    <row r="2119">
      <c r="A2119" s="2" t="n">
        <v>2117</v>
      </c>
      <c r="B2119" s="2" t="inlineStr">
        <is>
          <t>flip</t>
        </is>
      </c>
      <c r="C2119" s="2" t="inlineStr">
        <is>
          <t>openssl 3.5.8 default</t>
        </is>
      </c>
      <c r="D2119" s="2" t="n">
        <v>1548</v>
      </c>
      <c r="E2119" s="2" t="n">
        <v>1548</v>
      </c>
      <c r="F2119" s="2" t="n">
        <v>1</v>
      </c>
      <c r="G2119" s="2" t="n">
        <v>1</v>
      </c>
      <c r="H2119" s="2" t="n">
        <v>1</v>
      </c>
      <c r="I2119" s="2" t="n">
        <v>0</v>
      </c>
    </row>
    <row r="2120">
      <c r="A2120" s="2" t="n">
        <v>2118</v>
      </c>
      <c r="B2120" s="2" t="inlineStr">
        <is>
          <t>truncate</t>
        </is>
      </c>
      <c r="C2120" s="2" t="inlineStr">
        <is>
          <t>openssl TLS 1.2 only</t>
        </is>
      </c>
      <c r="D2120" s="2" t="n">
        <v>24</v>
      </c>
      <c r="E2120" s="2" t="n">
        <v>24</v>
      </c>
      <c r="F2120" s="2" t="n">
        <v>1</v>
      </c>
      <c r="G2120" s="2" t="n">
        <v>0</v>
      </c>
      <c r="H2120" s="2" t="n">
        <v>0</v>
      </c>
      <c r="I2120" s="2" t="n">
        <v>0</v>
      </c>
    </row>
    <row r="2121">
      <c r="A2121" s="2" t="n">
        <v>2119</v>
      </c>
      <c r="B2121" s="2" t="inlineStr">
        <is>
          <t>length</t>
        </is>
      </c>
      <c r="C2121" s="2" t="inlineStr">
        <is>
          <t>openssl 3.5.8 default</t>
        </is>
      </c>
      <c r="D2121" s="2" t="n">
        <v>1548</v>
      </c>
      <c r="E2121" s="2" t="n">
        <v>1548</v>
      </c>
      <c r="F2121" s="2" t="n">
        <v>1</v>
      </c>
      <c r="G2121" s="2" t="n">
        <v>0</v>
      </c>
      <c r="H2121" s="2" t="n">
        <v>0</v>
      </c>
      <c r="I2121" s="2" t="n">
        <v>0</v>
      </c>
    </row>
    <row r="2122">
      <c r="A2122" s="2" t="n">
        <v>2120</v>
      </c>
      <c r="B2122" s="2" t="inlineStr">
        <is>
          <t>insert</t>
        </is>
      </c>
      <c r="C2122" s="2" t="inlineStr">
        <is>
          <t>browser chrome150</t>
        </is>
      </c>
      <c r="D2122" s="2" t="n">
        <v>1773</v>
      </c>
      <c r="E2122" s="2" t="n">
        <v>1773</v>
      </c>
      <c r="F2122" s="2" t="n">
        <v>1</v>
      </c>
      <c r="G2122" s="2" t="n">
        <v>1</v>
      </c>
      <c r="H2122" s="2" t="n">
        <v>0</v>
      </c>
      <c r="I2122" s="2" t="n">
        <v>0</v>
      </c>
    </row>
    <row r="2123">
      <c r="A2123" s="2" t="n">
        <v>2121</v>
      </c>
      <c r="B2123" s="2" t="inlineStr">
        <is>
          <t>flip</t>
        </is>
      </c>
      <c r="C2123" s="2" t="inlineStr">
        <is>
          <t>openssl 3.5.8 default</t>
        </is>
      </c>
      <c r="D2123" s="2" t="n">
        <v>1548</v>
      </c>
      <c r="E2123" s="2" t="n">
        <v>1548</v>
      </c>
      <c r="F2123" s="2" t="n">
        <v>1</v>
      </c>
      <c r="G2123" s="2" t="n">
        <v>1</v>
      </c>
      <c r="H2123" s="2" t="n">
        <v>1</v>
      </c>
      <c r="I2123" s="2" t="n">
        <v>0</v>
      </c>
    </row>
    <row r="2124">
      <c r="A2124" s="2" t="n">
        <v>2122</v>
      </c>
      <c r="B2124" s="2" t="inlineStr">
        <is>
          <t>truncate</t>
        </is>
      </c>
      <c r="C2124" s="2" t="inlineStr">
        <is>
          <t>browser chrome150</t>
        </is>
      </c>
      <c r="D2124" s="2" t="n">
        <v>582</v>
      </c>
      <c r="E2124" s="2" t="n">
        <v>582</v>
      </c>
      <c r="F2124" s="2" t="n">
        <v>1</v>
      </c>
      <c r="G2124" s="2" t="n">
        <v>1</v>
      </c>
      <c r="H2124" s="2" t="n">
        <v>1</v>
      </c>
      <c r="I2124" s="2" t="n">
        <v>0</v>
      </c>
    </row>
    <row r="2125">
      <c r="A2125" s="2" t="n">
        <v>2123</v>
      </c>
      <c r="B2125" s="2" t="inlineStr">
        <is>
          <t>length</t>
        </is>
      </c>
      <c r="C2125" s="2" t="inlineStr">
        <is>
          <t>openssl TLS 1.2 only</t>
        </is>
      </c>
      <c r="D2125" s="2" t="n">
        <v>215</v>
      </c>
      <c r="E2125" s="2" t="n">
        <v>215</v>
      </c>
      <c r="F2125" s="2" t="n">
        <v>1</v>
      </c>
      <c r="G2125" s="2" t="n">
        <v>1</v>
      </c>
      <c r="H2125" s="2" t="n">
        <v>1</v>
      </c>
      <c r="I2125" s="2" t="n">
        <v>0</v>
      </c>
    </row>
    <row r="2126">
      <c r="A2126" s="2" t="n">
        <v>2124</v>
      </c>
      <c r="B2126" s="2" t="inlineStr">
        <is>
          <t>insert</t>
        </is>
      </c>
      <c r="C2126" s="2" t="inlineStr">
        <is>
          <t>openssl 3.5.8 default</t>
        </is>
      </c>
      <c r="D2126" s="2" t="n">
        <v>1558</v>
      </c>
      <c r="E2126" s="2" t="n">
        <v>1558</v>
      </c>
      <c r="F2126" s="2" t="n">
        <v>1</v>
      </c>
      <c r="G2126" s="2" t="n">
        <v>1</v>
      </c>
      <c r="H2126" s="2" t="n">
        <v>1</v>
      </c>
      <c r="I2126" s="2" t="n">
        <v>0</v>
      </c>
    </row>
    <row r="2127">
      <c r="A2127" s="2" t="n">
        <v>2125</v>
      </c>
      <c r="B2127" s="2" t="inlineStr">
        <is>
          <t>flip</t>
        </is>
      </c>
      <c r="C2127" s="2" t="inlineStr">
        <is>
          <t>openssl X25519 only (classical)</t>
        </is>
      </c>
      <c r="D2127" s="2" t="n">
        <v>314</v>
      </c>
      <c r="E2127" s="2" t="n">
        <v>314</v>
      </c>
      <c r="F2127" s="2" t="n">
        <v>1</v>
      </c>
      <c r="G2127" s="2" t="n">
        <v>1</v>
      </c>
      <c r="H2127" s="2" t="n">
        <v>1</v>
      </c>
      <c r="I2127" s="2" t="n">
        <v>0</v>
      </c>
    </row>
    <row r="2128">
      <c r="A2128" s="2" t="n">
        <v>2126</v>
      </c>
      <c r="B2128" s="2" t="inlineStr">
        <is>
          <t>truncate</t>
        </is>
      </c>
      <c r="C2128" s="2" t="inlineStr">
        <is>
          <t>openssl 3.5.8 default</t>
        </is>
      </c>
      <c r="D2128" s="2" t="n">
        <v>1375</v>
      </c>
      <c r="E2128" s="2" t="n">
        <v>1375</v>
      </c>
      <c r="F2128" s="2" t="n">
        <v>1</v>
      </c>
      <c r="G2128" s="2" t="n">
        <v>1</v>
      </c>
      <c r="H2128" s="2" t="n">
        <v>1</v>
      </c>
      <c r="I2128" s="2" t="n">
        <v>0</v>
      </c>
    </row>
    <row r="2129">
      <c r="A2129" s="2" t="n">
        <v>2127</v>
      </c>
      <c r="B2129" s="2" t="inlineStr">
        <is>
          <t>length</t>
        </is>
      </c>
      <c r="C2129" s="2" t="inlineStr">
        <is>
          <t>openssl X25519 only (classical)</t>
        </is>
      </c>
      <c r="D2129" s="2" t="n">
        <v>314</v>
      </c>
      <c r="E2129" s="2" t="n">
        <v>314</v>
      </c>
      <c r="F2129" s="2" t="n">
        <v>1</v>
      </c>
      <c r="G2129" s="2" t="n">
        <v>1</v>
      </c>
      <c r="H2129" s="2" t="n">
        <v>1</v>
      </c>
      <c r="I2129" s="2" t="n">
        <v>0</v>
      </c>
    </row>
    <row r="2130">
      <c r="A2130" s="2" t="n">
        <v>2128</v>
      </c>
      <c r="B2130" s="2" t="inlineStr">
        <is>
          <t>insert</t>
        </is>
      </c>
      <c r="C2130" s="2" t="inlineStr">
        <is>
          <t>browser chrome150</t>
        </is>
      </c>
      <c r="D2130" s="2" t="n">
        <v>1774</v>
      </c>
      <c r="E2130" s="2" t="n">
        <v>1774</v>
      </c>
      <c r="F2130" s="2" t="n">
        <v>1</v>
      </c>
      <c r="G2130" s="2" t="n">
        <v>1</v>
      </c>
      <c r="H2130" s="2" t="n">
        <v>1</v>
      </c>
      <c r="I2130" s="2" t="n">
        <v>0</v>
      </c>
    </row>
    <row r="2131">
      <c r="A2131" s="2" t="n">
        <v>2129</v>
      </c>
      <c r="B2131" s="2" t="inlineStr">
        <is>
          <t>flip</t>
        </is>
      </c>
      <c r="C2131" s="2" t="inlineStr">
        <is>
          <t>browser firefox147</t>
        </is>
      </c>
      <c r="D2131" s="2" t="n">
        <v>1901</v>
      </c>
      <c r="E2131" s="2" t="n">
        <v>1901</v>
      </c>
      <c r="F2131" s="2" t="n">
        <v>1</v>
      </c>
      <c r="G2131" s="2" t="n">
        <v>1</v>
      </c>
      <c r="H2131" s="2" t="n">
        <v>1</v>
      </c>
      <c r="I2131" s="2" t="n">
        <v>0</v>
      </c>
    </row>
    <row r="2132">
      <c r="A2132" s="2" t="n">
        <v>2130</v>
      </c>
      <c r="B2132" s="2" t="inlineStr">
        <is>
          <t>truncate</t>
        </is>
      </c>
      <c r="C2132" s="2" t="inlineStr">
        <is>
          <t>openssl X25519 only (classical)</t>
        </is>
      </c>
      <c r="D2132" s="2" t="n">
        <v>286</v>
      </c>
      <c r="E2132" s="2" t="n">
        <v>286</v>
      </c>
      <c r="F2132" s="2" t="n">
        <v>1</v>
      </c>
      <c r="G2132" s="2" t="n">
        <v>1</v>
      </c>
      <c r="H2132" s="2" t="n">
        <v>1</v>
      </c>
      <c r="I2132" s="2" t="n">
        <v>0</v>
      </c>
    </row>
    <row r="2133">
      <c r="A2133" s="2" t="n">
        <v>2131</v>
      </c>
      <c r="B2133" s="2" t="inlineStr">
        <is>
          <t>length</t>
        </is>
      </c>
      <c r="C2133" s="2" t="inlineStr">
        <is>
          <t>browser firefox147</t>
        </is>
      </c>
      <c r="D2133" s="2" t="n">
        <v>1901</v>
      </c>
      <c r="E2133" s="2" t="n">
        <v>1901</v>
      </c>
      <c r="F2133" s="2" t="n">
        <v>1</v>
      </c>
      <c r="G2133" s="2" t="n">
        <v>1</v>
      </c>
      <c r="H2133" s="2" t="n">
        <v>0</v>
      </c>
      <c r="I2133" s="2" t="n">
        <v>0</v>
      </c>
    </row>
    <row r="2134">
      <c r="A2134" s="2" t="n">
        <v>2132</v>
      </c>
      <c r="B2134" s="2" t="inlineStr">
        <is>
          <t>insert</t>
        </is>
      </c>
      <c r="C2134" s="2" t="inlineStr">
        <is>
          <t>openssl X25519 only (classical)</t>
        </is>
      </c>
      <c r="D2134" s="2" t="n">
        <v>321</v>
      </c>
      <c r="E2134" s="2" t="n">
        <v>321</v>
      </c>
      <c r="F2134" s="2" t="n">
        <v>1</v>
      </c>
      <c r="G2134" s="2" t="n">
        <v>1</v>
      </c>
      <c r="H2134" s="2" t="n">
        <v>0</v>
      </c>
      <c r="I2134" s="2" t="n">
        <v>0</v>
      </c>
    </row>
    <row r="2135">
      <c r="A2135" s="2" t="n">
        <v>2133</v>
      </c>
      <c r="B2135" s="2" t="inlineStr">
        <is>
          <t>flip</t>
        </is>
      </c>
      <c r="C2135" s="2" t="inlineStr">
        <is>
          <t>browser chrome150</t>
        </is>
      </c>
      <c r="D2135" s="2" t="n">
        <v>1763</v>
      </c>
      <c r="E2135" s="2" t="n">
        <v>1763</v>
      </c>
      <c r="F2135" s="2" t="n">
        <v>1</v>
      </c>
      <c r="G2135" s="2" t="n">
        <v>1</v>
      </c>
      <c r="H2135" s="2" t="n">
        <v>1</v>
      </c>
      <c r="I2135" s="2" t="n">
        <v>0</v>
      </c>
    </row>
    <row r="2136">
      <c r="A2136" s="2" t="n">
        <v>2134</v>
      </c>
      <c r="B2136" s="2" t="inlineStr">
        <is>
          <t>truncate</t>
        </is>
      </c>
      <c r="C2136" s="2" t="inlineStr">
        <is>
          <t>openssl 3.5.8 default</t>
        </is>
      </c>
      <c r="D2136" s="2" t="n">
        <v>337</v>
      </c>
      <c r="E2136" s="2" t="n">
        <v>337</v>
      </c>
      <c r="F2136" s="2" t="n">
        <v>1</v>
      </c>
      <c r="G2136" s="2" t="n">
        <v>1</v>
      </c>
      <c r="H2136" s="2" t="n">
        <v>1</v>
      </c>
      <c r="I2136" s="2" t="n">
        <v>0</v>
      </c>
    </row>
    <row r="2137">
      <c r="A2137" s="2" t="n">
        <v>2135</v>
      </c>
      <c r="B2137" s="2" t="inlineStr">
        <is>
          <t>length</t>
        </is>
      </c>
      <c r="C2137" s="2" t="inlineStr">
        <is>
          <t>browser firefox147</t>
        </is>
      </c>
      <c r="D2137" s="2" t="n">
        <v>1901</v>
      </c>
      <c r="E2137" s="2" t="n">
        <v>1901</v>
      </c>
      <c r="F2137" s="2" t="n">
        <v>1</v>
      </c>
      <c r="G2137" s="2" t="n">
        <v>0</v>
      </c>
      <c r="H2137" s="2" t="n">
        <v>0</v>
      </c>
      <c r="I2137" s="2" t="n">
        <v>0</v>
      </c>
    </row>
    <row r="2138">
      <c r="A2138" s="2" t="n">
        <v>2136</v>
      </c>
      <c r="B2138" s="2" t="inlineStr">
        <is>
          <t>insert</t>
        </is>
      </c>
      <c r="C2138" s="2" t="inlineStr">
        <is>
          <t>browser chrome150</t>
        </is>
      </c>
      <c r="D2138" s="2" t="n">
        <v>1765</v>
      </c>
      <c r="E2138" s="2" t="n">
        <v>1765</v>
      </c>
      <c r="F2138" s="2" t="n">
        <v>1</v>
      </c>
      <c r="G2138" s="2" t="n">
        <v>1</v>
      </c>
      <c r="H2138" s="2" t="n">
        <v>1</v>
      </c>
      <c r="I2138" s="2" t="n">
        <v>0</v>
      </c>
    </row>
    <row r="2139">
      <c r="A2139" s="2" t="n">
        <v>2137</v>
      </c>
      <c r="B2139" s="2" t="inlineStr">
        <is>
          <t>flip</t>
        </is>
      </c>
      <c r="C2139" s="2" t="inlineStr">
        <is>
          <t>openssl 3.5.8 default</t>
        </is>
      </c>
      <c r="D2139" s="2" t="n">
        <v>1548</v>
      </c>
      <c r="E2139" s="2" t="n">
        <v>1548</v>
      </c>
      <c r="F2139" s="2" t="n">
        <v>1</v>
      </c>
      <c r="G2139" s="2" t="n">
        <v>1</v>
      </c>
      <c r="H2139" s="2" t="n">
        <v>1</v>
      </c>
      <c r="I2139" s="2" t="n">
        <v>0</v>
      </c>
    </row>
    <row r="2140">
      <c r="A2140" s="2" t="n">
        <v>2138</v>
      </c>
      <c r="B2140" s="2" t="inlineStr">
        <is>
          <t>truncate</t>
        </is>
      </c>
      <c r="C2140" s="2" t="inlineStr">
        <is>
          <t>browser chrome150</t>
        </is>
      </c>
      <c r="D2140" s="2" t="n">
        <v>347</v>
      </c>
      <c r="E2140" s="2" t="n">
        <v>347</v>
      </c>
      <c r="F2140" s="2" t="n">
        <v>1</v>
      </c>
      <c r="G2140" s="2" t="n">
        <v>1</v>
      </c>
      <c r="H2140" s="2" t="n">
        <v>1</v>
      </c>
      <c r="I2140" s="2" t="n">
        <v>0</v>
      </c>
    </row>
    <row r="2141">
      <c r="A2141" s="2" t="n">
        <v>2139</v>
      </c>
      <c r="B2141" s="2" t="inlineStr">
        <is>
          <t>length</t>
        </is>
      </c>
      <c r="C2141" s="2" t="inlineStr">
        <is>
          <t>browser firefox147</t>
        </is>
      </c>
      <c r="D2141" s="2" t="n">
        <v>1901</v>
      </c>
      <c r="E2141" s="2" t="n">
        <v>1901</v>
      </c>
      <c r="F2141" s="2" t="n">
        <v>0</v>
      </c>
      <c r="G2141" s="2" t="n">
        <v>0</v>
      </c>
      <c r="H2141" s="2" t="n">
        <v>0</v>
      </c>
      <c r="I2141" s="2" t="n">
        <v>0</v>
      </c>
    </row>
    <row r="2142">
      <c r="A2142" s="2" t="n">
        <v>2140</v>
      </c>
      <c r="B2142" s="2" t="inlineStr">
        <is>
          <t>insert</t>
        </is>
      </c>
      <c r="C2142" s="2" t="inlineStr">
        <is>
          <t>openssl 3.5.8 default</t>
        </is>
      </c>
      <c r="D2142" s="2" t="n">
        <v>1552</v>
      </c>
      <c r="E2142" s="2" t="n">
        <v>1552</v>
      </c>
      <c r="F2142" s="2" t="n">
        <v>1</v>
      </c>
      <c r="G2142" s="2" t="n">
        <v>1</v>
      </c>
      <c r="H2142" s="2" t="n">
        <v>0</v>
      </c>
      <c r="I2142" s="2" t="n">
        <v>0</v>
      </c>
    </row>
    <row r="2143">
      <c r="A2143" s="2" t="n">
        <v>2141</v>
      </c>
      <c r="B2143" s="2" t="inlineStr">
        <is>
          <t>flip</t>
        </is>
      </c>
      <c r="C2143" s="2" t="inlineStr">
        <is>
          <t>openssl X25519 only (classical)</t>
        </is>
      </c>
      <c r="D2143" s="2" t="n">
        <v>314</v>
      </c>
      <c r="E2143" s="2" t="n">
        <v>314</v>
      </c>
      <c r="F2143" s="2" t="n">
        <v>0</v>
      </c>
      <c r="G2143" s="2" t="n">
        <v>0</v>
      </c>
      <c r="H2143" s="2" t="n">
        <v>0</v>
      </c>
      <c r="I2143" s="2" t="n">
        <v>0</v>
      </c>
    </row>
    <row r="2144">
      <c r="A2144" s="2" t="n">
        <v>2142</v>
      </c>
      <c r="B2144" s="2" t="inlineStr">
        <is>
          <t>truncate</t>
        </is>
      </c>
      <c r="C2144" s="2" t="inlineStr">
        <is>
          <t>browser chrome150</t>
        </is>
      </c>
      <c r="D2144" s="2" t="n">
        <v>300</v>
      </c>
      <c r="E2144" s="2" t="n">
        <v>300</v>
      </c>
      <c r="F2144" s="2" t="n">
        <v>1</v>
      </c>
      <c r="G2144" s="2" t="n">
        <v>1</v>
      </c>
      <c r="H2144" s="2" t="n">
        <v>1</v>
      </c>
      <c r="I2144" s="2" t="n">
        <v>0</v>
      </c>
    </row>
    <row r="2145">
      <c r="A2145" s="2" t="n">
        <v>2143</v>
      </c>
      <c r="B2145" s="2" t="inlineStr">
        <is>
          <t>length</t>
        </is>
      </c>
      <c r="C2145" s="2" t="inlineStr">
        <is>
          <t>openssl TLS 1.2 only</t>
        </is>
      </c>
      <c r="D2145" s="2" t="n">
        <v>215</v>
      </c>
      <c r="E2145" s="2" t="n">
        <v>215</v>
      </c>
      <c r="F2145" s="2" t="n">
        <v>1</v>
      </c>
      <c r="G2145" s="2" t="n">
        <v>1</v>
      </c>
      <c r="H2145" s="2" t="n">
        <v>0</v>
      </c>
      <c r="I2145" s="2" t="n">
        <v>0</v>
      </c>
    </row>
    <row r="2146">
      <c r="A2146" s="2" t="n">
        <v>2144</v>
      </c>
      <c r="B2146" s="2" t="inlineStr">
        <is>
          <t>insert</t>
        </is>
      </c>
      <c r="C2146" s="2" t="inlineStr">
        <is>
          <t>browser chrome150</t>
        </is>
      </c>
      <c r="D2146" s="2" t="n">
        <v>1778</v>
      </c>
      <c r="E2146" s="2" t="n">
        <v>1778</v>
      </c>
      <c r="F2146" s="2" t="n">
        <v>1</v>
      </c>
      <c r="G2146" s="2" t="n">
        <v>1</v>
      </c>
      <c r="H2146" s="2" t="n">
        <v>1</v>
      </c>
      <c r="I2146" s="2" t="n">
        <v>0</v>
      </c>
    </row>
    <row r="2147">
      <c r="A2147" s="2" t="n">
        <v>2145</v>
      </c>
      <c r="B2147" s="2" t="inlineStr">
        <is>
          <t>flip</t>
        </is>
      </c>
      <c r="C2147" s="2" t="inlineStr">
        <is>
          <t>openssl X25519 only (classical)</t>
        </is>
      </c>
      <c r="D2147" s="2" t="n">
        <v>314</v>
      </c>
      <c r="E2147" s="2" t="n">
        <v>314</v>
      </c>
      <c r="F2147" s="2" t="n">
        <v>1</v>
      </c>
      <c r="G2147" s="2" t="n">
        <v>1</v>
      </c>
      <c r="H2147" s="2" t="n">
        <v>1</v>
      </c>
      <c r="I2147" s="2" t="n">
        <v>0</v>
      </c>
    </row>
    <row r="2148">
      <c r="A2148" s="2" t="n">
        <v>2146</v>
      </c>
      <c r="B2148" s="2" t="inlineStr">
        <is>
          <t>truncate</t>
        </is>
      </c>
      <c r="C2148" s="2" t="inlineStr">
        <is>
          <t>openssl TLS 1.2 only</t>
        </is>
      </c>
      <c r="D2148" s="2" t="n">
        <v>166</v>
      </c>
      <c r="E2148" s="2" t="n">
        <v>166</v>
      </c>
      <c r="F2148" s="2" t="n">
        <v>1</v>
      </c>
      <c r="G2148" s="2" t="n">
        <v>1</v>
      </c>
      <c r="H2148" s="2" t="n">
        <v>0</v>
      </c>
      <c r="I2148" s="2" t="n">
        <v>0</v>
      </c>
    </row>
    <row r="2149">
      <c r="A2149" s="2" t="n">
        <v>2147</v>
      </c>
      <c r="B2149" s="2" t="inlineStr">
        <is>
          <t>length</t>
        </is>
      </c>
      <c r="C2149" s="2" t="inlineStr">
        <is>
          <t>openssl 3.5.8 default</t>
        </is>
      </c>
      <c r="D2149" s="2" t="n">
        <v>1548</v>
      </c>
      <c r="E2149" s="2" t="n">
        <v>1548</v>
      </c>
      <c r="F2149" s="2" t="n">
        <v>1</v>
      </c>
      <c r="G2149" s="2" t="n">
        <v>1</v>
      </c>
      <c r="H2149" s="2" t="n">
        <v>0</v>
      </c>
      <c r="I2149" s="2" t="n">
        <v>0</v>
      </c>
    </row>
    <row r="2150">
      <c r="A2150" s="2" t="n">
        <v>2148</v>
      </c>
      <c r="B2150" s="2" t="inlineStr">
        <is>
          <t>insert</t>
        </is>
      </c>
      <c r="C2150" s="2" t="inlineStr">
        <is>
          <t>openssl TLS 1.2 only</t>
        </is>
      </c>
      <c r="D2150" s="2" t="n">
        <v>217</v>
      </c>
      <c r="E2150" s="2" t="n">
        <v>217</v>
      </c>
      <c r="F2150" s="2" t="n">
        <v>1</v>
      </c>
      <c r="G2150" s="2" t="n">
        <v>0</v>
      </c>
      <c r="H2150" s="2" t="n">
        <v>0</v>
      </c>
      <c r="I2150" s="2" t="n">
        <v>0</v>
      </c>
    </row>
    <row r="2151">
      <c r="A2151" s="2" t="n">
        <v>2149</v>
      </c>
      <c r="B2151" s="2" t="inlineStr">
        <is>
          <t>flip</t>
        </is>
      </c>
      <c r="C2151" s="2" t="inlineStr">
        <is>
          <t>openssl TLS 1.2 only</t>
        </is>
      </c>
      <c r="D2151" s="2" t="n">
        <v>215</v>
      </c>
      <c r="E2151" s="2" t="n">
        <v>215</v>
      </c>
      <c r="F2151" s="2" t="n">
        <v>1</v>
      </c>
      <c r="G2151" s="2" t="n">
        <v>1</v>
      </c>
      <c r="H2151" s="2" t="n">
        <v>1</v>
      </c>
      <c r="I2151" s="2" t="n">
        <v>0</v>
      </c>
    </row>
    <row r="2152">
      <c r="A2152" s="2" t="n">
        <v>2150</v>
      </c>
      <c r="B2152" s="2" t="inlineStr">
        <is>
          <t>truncate</t>
        </is>
      </c>
      <c r="C2152" s="2" t="inlineStr">
        <is>
          <t>browser firefox147</t>
        </is>
      </c>
      <c r="D2152" s="2" t="n">
        <v>1512</v>
      </c>
      <c r="E2152" s="2" t="n">
        <v>1512</v>
      </c>
      <c r="F2152" s="2" t="n">
        <v>1</v>
      </c>
      <c r="G2152" s="2" t="n">
        <v>1</v>
      </c>
      <c r="H2152" s="2" t="n">
        <v>0</v>
      </c>
      <c r="I2152" s="2" t="n">
        <v>0</v>
      </c>
    </row>
    <row r="2153">
      <c r="A2153" s="2" t="n">
        <v>2151</v>
      </c>
      <c r="B2153" s="2" t="inlineStr">
        <is>
          <t>length</t>
        </is>
      </c>
      <c r="C2153" s="2" t="inlineStr">
        <is>
          <t>browser chrome150</t>
        </is>
      </c>
      <c r="D2153" s="2" t="n">
        <v>1763</v>
      </c>
      <c r="E2153" s="2" t="n">
        <v>1763</v>
      </c>
      <c r="F2153" s="2" t="n">
        <v>1</v>
      </c>
      <c r="G2153" s="2" t="n">
        <v>1</v>
      </c>
      <c r="H2153" s="2" t="n">
        <v>1</v>
      </c>
      <c r="I2153" s="2" t="n">
        <v>0</v>
      </c>
    </row>
    <row r="2154">
      <c r="A2154" s="2" t="n">
        <v>2152</v>
      </c>
      <c r="B2154" s="2" t="inlineStr">
        <is>
          <t>insert</t>
        </is>
      </c>
      <c r="C2154" s="2" t="inlineStr">
        <is>
          <t>openssl 3.5.8 default</t>
        </is>
      </c>
      <c r="D2154" s="2" t="n">
        <v>1556</v>
      </c>
      <c r="E2154" s="2" t="n">
        <v>1556</v>
      </c>
      <c r="F2154" s="2" t="n">
        <v>1</v>
      </c>
      <c r="G2154" s="2" t="n">
        <v>1</v>
      </c>
      <c r="H2154" s="2" t="n">
        <v>1</v>
      </c>
      <c r="I2154" s="2" t="n">
        <v>0</v>
      </c>
    </row>
    <row r="2155">
      <c r="A2155" s="2" t="n">
        <v>2153</v>
      </c>
      <c r="B2155" s="2" t="inlineStr">
        <is>
          <t>flip</t>
        </is>
      </c>
      <c r="C2155" s="2" t="inlineStr">
        <is>
          <t>browser chrome150</t>
        </is>
      </c>
      <c r="D2155" s="2" t="n">
        <v>1763</v>
      </c>
      <c r="E2155" s="2" t="n">
        <v>1763</v>
      </c>
      <c r="F2155" s="2" t="n">
        <v>1</v>
      </c>
      <c r="G2155" s="2" t="n">
        <v>1</v>
      </c>
      <c r="H2155" s="2" t="n">
        <v>1</v>
      </c>
      <c r="I2155" s="2" t="n">
        <v>0</v>
      </c>
    </row>
    <row r="2156">
      <c r="A2156" s="2" t="n">
        <v>2154</v>
      </c>
      <c r="B2156" s="2" t="inlineStr">
        <is>
          <t>truncate</t>
        </is>
      </c>
      <c r="C2156" s="2" t="inlineStr">
        <is>
          <t>browser firefox147</t>
        </is>
      </c>
      <c r="D2156" s="2" t="n">
        <v>141</v>
      </c>
      <c r="E2156" s="2" t="n">
        <v>141</v>
      </c>
      <c r="F2156" s="2" t="n">
        <v>1</v>
      </c>
      <c r="G2156" s="2" t="n">
        <v>1</v>
      </c>
      <c r="H2156" s="2" t="n">
        <v>0</v>
      </c>
      <c r="I2156" s="2" t="n">
        <v>0</v>
      </c>
    </row>
    <row r="2157">
      <c r="A2157" s="2" t="n">
        <v>2155</v>
      </c>
      <c r="B2157" s="2" t="inlineStr">
        <is>
          <t>length</t>
        </is>
      </c>
      <c r="C2157" s="2" t="inlineStr">
        <is>
          <t>openssl 3.5.8 default</t>
        </is>
      </c>
      <c r="D2157" s="2" t="n">
        <v>1548</v>
      </c>
      <c r="E2157" s="2" t="n">
        <v>1548</v>
      </c>
      <c r="F2157" s="2" t="n">
        <v>0</v>
      </c>
      <c r="G2157" s="2" t="n">
        <v>0</v>
      </c>
      <c r="H2157" s="2" t="n">
        <v>0</v>
      </c>
      <c r="I2157" s="2" t="n">
        <v>0</v>
      </c>
    </row>
    <row r="2158">
      <c r="A2158" s="2" t="n">
        <v>2156</v>
      </c>
      <c r="B2158" s="2" t="inlineStr">
        <is>
          <t>insert</t>
        </is>
      </c>
      <c r="C2158" s="2" t="inlineStr">
        <is>
          <t>browser chrome150</t>
        </is>
      </c>
      <c r="D2158" s="2" t="n">
        <v>1774</v>
      </c>
      <c r="E2158" s="2" t="n">
        <v>1774</v>
      </c>
      <c r="F2158" s="2" t="n">
        <v>1</v>
      </c>
      <c r="G2158" s="2" t="n">
        <v>1</v>
      </c>
      <c r="H2158" s="2" t="n">
        <v>1</v>
      </c>
      <c r="I2158" s="2" t="n">
        <v>0</v>
      </c>
    </row>
    <row r="2159">
      <c r="A2159" s="2" t="n">
        <v>2157</v>
      </c>
      <c r="B2159" s="2" t="inlineStr">
        <is>
          <t>flip</t>
        </is>
      </c>
      <c r="C2159" s="2" t="inlineStr">
        <is>
          <t>browser firefox147</t>
        </is>
      </c>
      <c r="D2159" s="2" t="n">
        <v>1901</v>
      </c>
      <c r="E2159" s="2" t="n">
        <v>1901</v>
      </c>
      <c r="F2159" s="2" t="n">
        <v>1</v>
      </c>
      <c r="G2159" s="2" t="n">
        <v>1</v>
      </c>
      <c r="H2159" s="2" t="n">
        <v>0</v>
      </c>
      <c r="I2159" s="2" t="n">
        <v>0</v>
      </c>
    </row>
    <row r="2160">
      <c r="A2160" s="2" t="n">
        <v>2158</v>
      </c>
      <c r="B2160" s="2" t="inlineStr">
        <is>
          <t>truncate</t>
        </is>
      </c>
      <c r="C2160" s="2" t="inlineStr">
        <is>
          <t>openssl X25519 only (classical)</t>
        </is>
      </c>
      <c r="D2160" s="2" t="n">
        <v>154</v>
      </c>
      <c r="E2160" s="2" t="n">
        <v>154</v>
      </c>
      <c r="F2160" s="2" t="n">
        <v>1</v>
      </c>
      <c r="G2160" s="2" t="n">
        <v>1</v>
      </c>
      <c r="H2160" s="2" t="n">
        <v>0</v>
      </c>
      <c r="I2160" s="2" t="n">
        <v>0</v>
      </c>
    </row>
    <row r="2161">
      <c r="A2161" s="2" t="n">
        <v>2159</v>
      </c>
      <c r="B2161" s="2" t="inlineStr">
        <is>
          <t>length</t>
        </is>
      </c>
      <c r="C2161" s="2" t="inlineStr">
        <is>
          <t>openssl 3.5.8 default</t>
        </is>
      </c>
      <c r="D2161" s="2" t="n">
        <v>1548</v>
      </c>
      <c r="E2161" s="2" t="n">
        <v>1548</v>
      </c>
      <c r="F2161" s="2" t="n">
        <v>1</v>
      </c>
      <c r="G2161" s="2" t="n">
        <v>1</v>
      </c>
      <c r="H2161" s="2" t="n">
        <v>1</v>
      </c>
      <c r="I2161" s="2" t="n">
        <v>0</v>
      </c>
    </row>
    <row r="2162">
      <c r="A2162" s="2" t="n">
        <v>2160</v>
      </c>
      <c r="B2162" s="2" t="inlineStr">
        <is>
          <t>insert</t>
        </is>
      </c>
      <c r="C2162" s="2" t="inlineStr">
        <is>
          <t>openssl TLS 1.2 only</t>
        </is>
      </c>
      <c r="D2162" s="2" t="n">
        <v>227</v>
      </c>
      <c r="E2162" s="2" t="n">
        <v>227</v>
      </c>
      <c r="F2162" s="2" t="n">
        <v>1</v>
      </c>
      <c r="G2162" s="2" t="n">
        <v>1</v>
      </c>
      <c r="H2162" s="2" t="n">
        <v>0</v>
      </c>
      <c r="I2162" s="2" t="n">
        <v>0</v>
      </c>
    </row>
    <row r="2163">
      <c r="A2163" s="2" t="n">
        <v>2161</v>
      </c>
      <c r="B2163" s="2" t="inlineStr">
        <is>
          <t>flip</t>
        </is>
      </c>
      <c r="C2163" s="2" t="inlineStr">
        <is>
          <t>openssl 3.5.8 default</t>
        </is>
      </c>
      <c r="D2163" s="2" t="n">
        <v>1548</v>
      </c>
      <c r="E2163" s="2" t="n">
        <v>1548</v>
      </c>
      <c r="F2163" s="2" t="n">
        <v>1</v>
      </c>
      <c r="G2163" s="2" t="n">
        <v>1</v>
      </c>
      <c r="H2163" s="2" t="n">
        <v>1</v>
      </c>
      <c r="I2163" s="2" t="n">
        <v>0</v>
      </c>
    </row>
    <row r="2164">
      <c r="A2164" s="2" t="n">
        <v>2162</v>
      </c>
      <c r="B2164" s="2" t="inlineStr">
        <is>
          <t>truncate</t>
        </is>
      </c>
      <c r="C2164" s="2" t="inlineStr">
        <is>
          <t>browser firefox147</t>
        </is>
      </c>
      <c r="D2164" s="2" t="n">
        <v>243</v>
      </c>
      <c r="E2164" s="2" t="n">
        <v>243</v>
      </c>
      <c r="F2164" s="2" t="n">
        <v>1</v>
      </c>
      <c r="G2164" s="2" t="n">
        <v>1</v>
      </c>
      <c r="H2164" s="2" t="n">
        <v>0</v>
      </c>
      <c r="I2164" s="2" t="n">
        <v>0</v>
      </c>
    </row>
    <row r="2165">
      <c r="A2165" s="2" t="n">
        <v>2163</v>
      </c>
      <c r="B2165" s="2" t="inlineStr">
        <is>
          <t>length</t>
        </is>
      </c>
      <c r="C2165" s="2" t="inlineStr">
        <is>
          <t>browser firefox147</t>
        </is>
      </c>
      <c r="D2165" s="2" t="n">
        <v>1901</v>
      </c>
      <c r="E2165" s="2" t="n">
        <v>1901</v>
      </c>
      <c r="F2165" s="2" t="n">
        <v>0</v>
      </c>
      <c r="G2165" s="2" t="n">
        <v>0</v>
      </c>
      <c r="H2165" s="2" t="n">
        <v>0</v>
      </c>
      <c r="I2165" s="2" t="n">
        <v>0</v>
      </c>
    </row>
    <row r="2166">
      <c r="A2166" s="2" t="n">
        <v>2164</v>
      </c>
      <c r="B2166" s="2" t="inlineStr">
        <is>
          <t>insert</t>
        </is>
      </c>
      <c r="C2166" s="2" t="inlineStr">
        <is>
          <t>openssl 3.5.8 default</t>
        </is>
      </c>
      <c r="D2166" s="2" t="n">
        <v>1557</v>
      </c>
      <c r="E2166" s="2" t="n">
        <v>1557</v>
      </c>
      <c r="F2166" s="2" t="n">
        <v>1</v>
      </c>
      <c r="G2166" s="2" t="n">
        <v>1</v>
      </c>
      <c r="H2166" s="2" t="n">
        <v>1</v>
      </c>
      <c r="I2166" s="2" t="n">
        <v>0</v>
      </c>
    </row>
    <row r="2167">
      <c r="A2167" s="2" t="n">
        <v>2165</v>
      </c>
      <c r="B2167" s="2" t="inlineStr">
        <is>
          <t>flip</t>
        </is>
      </c>
      <c r="C2167" s="2" t="inlineStr">
        <is>
          <t>openssl 3.5.8 default</t>
        </is>
      </c>
      <c r="D2167" s="2" t="n">
        <v>1548</v>
      </c>
      <c r="E2167" s="2" t="n">
        <v>1548</v>
      </c>
      <c r="F2167" s="2" t="n">
        <v>1</v>
      </c>
      <c r="G2167" s="2" t="n">
        <v>1</v>
      </c>
      <c r="H2167" s="2" t="n">
        <v>1</v>
      </c>
      <c r="I2167" s="2" t="n">
        <v>0</v>
      </c>
    </row>
    <row r="2168">
      <c r="A2168" s="2" t="n">
        <v>2166</v>
      </c>
      <c r="B2168" s="2" t="inlineStr">
        <is>
          <t>truncate</t>
        </is>
      </c>
      <c r="C2168" s="2" t="inlineStr">
        <is>
          <t>openssl 3.5.8 default</t>
        </is>
      </c>
      <c r="D2168" s="2" t="n">
        <v>1105</v>
      </c>
      <c r="E2168" s="2" t="n">
        <v>1105</v>
      </c>
      <c r="F2168" s="2" t="n">
        <v>1</v>
      </c>
      <c r="G2168" s="2" t="n">
        <v>1</v>
      </c>
      <c r="H2168" s="2" t="n">
        <v>1</v>
      </c>
      <c r="I2168" s="2" t="n">
        <v>0</v>
      </c>
    </row>
    <row r="2169">
      <c r="A2169" s="2" t="n">
        <v>2167</v>
      </c>
      <c r="B2169" s="2" t="inlineStr">
        <is>
          <t>length</t>
        </is>
      </c>
      <c r="C2169" s="2" t="inlineStr">
        <is>
          <t>openssl 3.5.8 default</t>
        </is>
      </c>
      <c r="D2169" s="2" t="n">
        <v>1548</v>
      </c>
      <c r="E2169" s="2" t="n">
        <v>1548</v>
      </c>
      <c r="F2169" s="2" t="n">
        <v>1</v>
      </c>
      <c r="G2169" s="2" t="n">
        <v>0</v>
      </c>
      <c r="H2169" s="2" t="n">
        <v>0</v>
      </c>
      <c r="I2169" s="2" t="n">
        <v>0</v>
      </c>
    </row>
    <row r="2170">
      <c r="A2170" s="2" t="n">
        <v>2168</v>
      </c>
      <c r="B2170" s="2" t="inlineStr">
        <is>
          <t>insert</t>
        </is>
      </c>
      <c r="C2170" s="2" t="inlineStr">
        <is>
          <t>openssl X25519 only (classical)</t>
        </is>
      </c>
      <c r="D2170" s="2" t="n">
        <v>322</v>
      </c>
      <c r="E2170" s="2" t="n">
        <v>322</v>
      </c>
      <c r="F2170" s="2" t="n">
        <v>1</v>
      </c>
      <c r="G2170" s="2" t="n">
        <v>1</v>
      </c>
      <c r="H2170" s="2" t="n">
        <v>0</v>
      </c>
      <c r="I2170" s="2" t="n">
        <v>0</v>
      </c>
    </row>
    <row r="2171">
      <c r="A2171" s="2" t="n">
        <v>2169</v>
      </c>
      <c r="B2171" s="2" t="inlineStr">
        <is>
          <t>flip</t>
        </is>
      </c>
      <c r="C2171" s="2" t="inlineStr">
        <is>
          <t>openssl TLS 1.2 only</t>
        </is>
      </c>
      <c r="D2171" s="2" t="n">
        <v>215</v>
      </c>
      <c r="E2171" s="2" t="n">
        <v>215</v>
      </c>
      <c r="F2171" s="2" t="n">
        <v>1</v>
      </c>
      <c r="G2171" s="2" t="n">
        <v>1</v>
      </c>
      <c r="H2171" s="2" t="n">
        <v>1</v>
      </c>
      <c r="I2171" s="2" t="n">
        <v>0</v>
      </c>
    </row>
    <row r="2172">
      <c r="A2172" s="2" t="n">
        <v>2170</v>
      </c>
      <c r="B2172" s="2" t="inlineStr">
        <is>
          <t>truncate</t>
        </is>
      </c>
      <c r="C2172" s="2" t="inlineStr">
        <is>
          <t>browser firefox147</t>
        </is>
      </c>
      <c r="D2172" s="2" t="n">
        <v>316</v>
      </c>
      <c r="E2172" s="2" t="n">
        <v>316</v>
      </c>
      <c r="F2172" s="2" t="n">
        <v>1</v>
      </c>
      <c r="G2172" s="2" t="n">
        <v>1</v>
      </c>
      <c r="H2172" s="2" t="n">
        <v>0</v>
      </c>
      <c r="I2172" s="2" t="n">
        <v>0</v>
      </c>
    </row>
    <row r="2173">
      <c r="A2173" s="2" t="n">
        <v>2171</v>
      </c>
      <c r="B2173" s="2" t="inlineStr">
        <is>
          <t>length</t>
        </is>
      </c>
      <c r="C2173" s="2" t="inlineStr">
        <is>
          <t>openssl 3.5.8 default</t>
        </is>
      </c>
      <c r="D2173" s="2" t="n">
        <v>1548</v>
      </c>
      <c r="E2173" s="2" t="n">
        <v>1548</v>
      </c>
      <c r="F2173" s="2" t="n">
        <v>1</v>
      </c>
      <c r="G2173" s="2" t="n">
        <v>1</v>
      </c>
      <c r="H2173" s="2" t="n">
        <v>0</v>
      </c>
      <c r="I2173" s="2" t="n">
        <v>0</v>
      </c>
    </row>
    <row r="2174">
      <c r="A2174" s="2" t="n">
        <v>2172</v>
      </c>
      <c r="B2174" s="2" t="inlineStr">
        <is>
          <t>insert</t>
        </is>
      </c>
      <c r="C2174" s="2" t="inlineStr">
        <is>
          <t>openssl TLS 1.2 only</t>
        </is>
      </c>
      <c r="D2174" s="2" t="n">
        <v>217</v>
      </c>
      <c r="E2174" s="2" t="n">
        <v>217</v>
      </c>
      <c r="F2174" s="2" t="n">
        <v>1</v>
      </c>
      <c r="G2174" s="2" t="n">
        <v>0</v>
      </c>
      <c r="H2174" s="2" t="n">
        <v>0</v>
      </c>
      <c r="I2174" s="2" t="n">
        <v>0</v>
      </c>
    </row>
    <row r="2175">
      <c r="A2175" s="2" t="n">
        <v>2173</v>
      </c>
      <c r="B2175" s="2" t="inlineStr">
        <is>
          <t>flip</t>
        </is>
      </c>
      <c r="C2175" s="2" t="inlineStr">
        <is>
          <t>openssl 3.5.8 default</t>
        </is>
      </c>
      <c r="D2175" s="2" t="n">
        <v>1548</v>
      </c>
      <c r="E2175" s="2" t="n">
        <v>1548</v>
      </c>
      <c r="F2175" s="2" t="n">
        <v>1</v>
      </c>
      <c r="G2175" s="2" t="n">
        <v>1</v>
      </c>
      <c r="H2175" s="2" t="n">
        <v>1</v>
      </c>
      <c r="I2175" s="2" t="n">
        <v>0</v>
      </c>
    </row>
    <row r="2176">
      <c r="A2176" s="2" t="n">
        <v>2174</v>
      </c>
      <c r="B2176" s="2" t="inlineStr">
        <is>
          <t>truncate</t>
        </is>
      </c>
      <c r="C2176" s="2" t="inlineStr">
        <is>
          <t>browser chrome150</t>
        </is>
      </c>
      <c r="D2176" s="2" t="n">
        <v>1671</v>
      </c>
      <c r="E2176" s="2" t="n">
        <v>1671</v>
      </c>
      <c r="F2176" s="2" t="n">
        <v>1</v>
      </c>
      <c r="G2176" s="2" t="n">
        <v>1</v>
      </c>
      <c r="H2176" s="2" t="n">
        <v>1</v>
      </c>
      <c r="I2176" s="2" t="n">
        <v>0</v>
      </c>
    </row>
    <row r="2177">
      <c r="A2177" s="2" t="n">
        <v>2175</v>
      </c>
      <c r="B2177" s="2" t="inlineStr">
        <is>
          <t>length</t>
        </is>
      </c>
      <c r="C2177" s="2" t="inlineStr">
        <is>
          <t>openssl X25519 only (classical)</t>
        </is>
      </c>
      <c r="D2177" s="2" t="n">
        <v>314</v>
      </c>
      <c r="E2177" s="2" t="n">
        <v>314</v>
      </c>
      <c r="F2177" s="2" t="n">
        <v>1</v>
      </c>
      <c r="G2177" s="2" t="n">
        <v>0</v>
      </c>
      <c r="H2177" s="2" t="n">
        <v>0</v>
      </c>
      <c r="I2177" s="2" t="n">
        <v>0</v>
      </c>
    </row>
    <row r="2178">
      <c r="A2178" s="2" t="n">
        <v>2176</v>
      </c>
      <c r="B2178" s="2" t="inlineStr">
        <is>
          <t>insert</t>
        </is>
      </c>
      <c r="C2178" s="2" t="inlineStr">
        <is>
          <t>openssl 3.5.8 default</t>
        </is>
      </c>
      <c r="D2178" s="2" t="n">
        <v>1561</v>
      </c>
      <c r="E2178" s="2" t="n">
        <v>1561</v>
      </c>
      <c r="F2178" s="2" t="n">
        <v>1</v>
      </c>
      <c r="G2178" s="2" t="n">
        <v>1</v>
      </c>
      <c r="H2178" s="2" t="n">
        <v>1</v>
      </c>
      <c r="I2178" s="2" t="n">
        <v>0</v>
      </c>
    </row>
    <row r="2179">
      <c r="A2179" s="2" t="n">
        <v>2177</v>
      </c>
      <c r="B2179" s="2" t="inlineStr">
        <is>
          <t>flip</t>
        </is>
      </c>
      <c r="C2179" s="2" t="inlineStr">
        <is>
          <t>browser firefox147</t>
        </is>
      </c>
      <c r="D2179" s="2" t="n">
        <v>1901</v>
      </c>
      <c r="E2179" s="2" t="n">
        <v>1901</v>
      </c>
      <c r="F2179" s="2" t="n">
        <v>1</v>
      </c>
      <c r="G2179" s="2" t="n">
        <v>1</v>
      </c>
      <c r="H2179" s="2" t="n">
        <v>0</v>
      </c>
      <c r="I2179" s="2" t="n">
        <v>0</v>
      </c>
    </row>
    <row r="2180">
      <c r="A2180" s="2" t="n">
        <v>2178</v>
      </c>
      <c r="B2180" s="2" t="inlineStr">
        <is>
          <t>truncate</t>
        </is>
      </c>
      <c r="C2180" s="2" t="inlineStr">
        <is>
          <t>browser chrome150</t>
        </is>
      </c>
      <c r="D2180" s="2" t="n">
        <v>611</v>
      </c>
      <c r="E2180" s="2" t="n">
        <v>611</v>
      </c>
      <c r="F2180" s="2" t="n">
        <v>1</v>
      </c>
      <c r="G2180" s="2" t="n">
        <v>1</v>
      </c>
      <c r="H2180" s="2" t="n">
        <v>1</v>
      </c>
      <c r="I2180" s="2" t="n">
        <v>0</v>
      </c>
    </row>
    <row r="2181">
      <c r="A2181" s="2" t="n">
        <v>2179</v>
      </c>
      <c r="B2181" s="2" t="inlineStr">
        <is>
          <t>length</t>
        </is>
      </c>
      <c r="C2181" s="2" t="inlineStr">
        <is>
          <t>openssl TLS 1.2 only</t>
        </is>
      </c>
      <c r="D2181" s="2" t="n">
        <v>215</v>
      </c>
      <c r="E2181" s="2" t="n">
        <v>215</v>
      </c>
      <c r="F2181" s="2" t="n">
        <v>1</v>
      </c>
      <c r="G2181" s="2" t="n">
        <v>0</v>
      </c>
      <c r="H2181" s="2" t="n">
        <v>0</v>
      </c>
      <c r="I2181" s="2" t="n">
        <v>0</v>
      </c>
    </row>
    <row r="2182">
      <c r="A2182" s="2" t="n">
        <v>2180</v>
      </c>
      <c r="B2182" s="2" t="inlineStr">
        <is>
          <t>insert</t>
        </is>
      </c>
      <c r="C2182" s="2" t="inlineStr">
        <is>
          <t>openssl TLS 1.2 only</t>
        </is>
      </c>
      <c r="D2182" s="2" t="n">
        <v>223</v>
      </c>
      <c r="E2182" s="2" t="n">
        <v>223</v>
      </c>
      <c r="F2182" s="2" t="n">
        <v>1</v>
      </c>
      <c r="G2182" s="2" t="n">
        <v>1</v>
      </c>
      <c r="H2182" s="2" t="n">
        <v>1</v>
      </c>
      <c r="I2182" s="2" t="n">
        <v>0</v>
      </c>
    </row>
    <row r="2183">
      <c r="A2183" s="2" t="n">
        <v>2181</v>
      </c>
      <c r="B2183" s="2" t="inlineStr">
        <is>
          <t>flip</t>
        </is>
      </c>
      <c r="C2183" s="2" t="inlineStr">
        <is>
          <t>browser chrome150</t>
        </is>
      </c>
      <c r="D2183" s="2" t="n">
        <v>1763</v>
      </c>
      <c r="E2183" s="2" t="n">
        <v>1763</v>
      </c>
      <c r="F2183" s="2" t="n">
        <v>1</v>
      </c>
      <c r="G2183" s="2" t="n">
        <v>1</v>
      </c>
      <c r="H2183" s="2" t="n">
        <v>1</v>
      </c>
      <c r="I2183" s="2" t="n">
        <v>0</v>
      </c>
    </row>
    <row r="2184">
      <c r="A2184" s="2" t="n">
        <v>2182</v>
      </c>
      <c r="B2184" s="2" t="inlineStr">
        <is>
          <t>truncate</t>
        </is>
      </c>
      <c r="C2184" s="2" t="inlineStr">
        <is>
          <t>browser chrome150</t>
        </is>
      </c>
      <c r="D2184" s="2" t="n">
        <v>654</v>
      </c>
      <c r="E2184" s="2" t="n">
        <v>654</v>
      </c>
      <c r="F2184" s="2" t="n">
        <v>1</v>
      </c>
      <c r="G2184" s="2" t="n">
        <v>1</v>
      </c>
      <c r="H2184" s="2" t="n">
        <v>1</v>
      </c>
      <c r="I2184" s="2" t="n">
        <v>0</v>
      </c>
    </row>
    <row r="2185">
      <c r="A2185" s="2" t="n">
        <v>2183</v>
      </c>
      <c r="B2185" s="2" t="inlineStr">
        <is>
          <t>length</t>
        </is>
      </c>
      <c r="C2185" s="2" t="inlineStr">
        <is>
          <t>openssl X25519 only (classical)</t>
        </is>
      </c>
      <c r="D2185" s="2" t="n">
        <v>314</v>
      </c>
      <c r="E2185" s="2" t="n">
        <v>314</v>
      </c>
      <c r="F2185" s="2" t="n">
        <v>1</v>
      </c>
      <c r="G2185" s="2" t="n">
        <v>1</v>
      </c>
      <c r="H2185" s="2" t="n">
        <v>1</v>
      </c>
      <c r="I2185" s="2" t="n">
        <v>0</v>
      </c>
    </row>
    <row r="2186">
      <c r="A2186" s="2" t="n">
        <v>2184</v>
      </c>
      <c r="B2186" s="2" t="inlineStr">
        <is>
          <t>insert</t>
        </is>
      </c>
      <c r="C2186" s="2" t="inlineStr">
        <is>
          <t>openssl X25519 only (classical)</t>
        </is>
      </c>
      <c r="D2186" s="2" t="n">
        <v>318</v>
      </c>
      <c r="E2186" s="2" t="n">
        <v>318</v>
      </c>
      <c r="F2186" s="2" t="n">
        <v>1</v>
      </c>
      <c r="G2186" s="2" t="n">
        <v>0</v>
      </c>
      <c r="H2186" s="2" t="n">
        <v>0</v>
      </c>
      <c r="I2186" s="2" t="n">
        <v>0</v>
      </c>
    </row>
    <row r="2187">
      <c r="A2187" s="2" t="n">
        <v>2185</v>
      </c>
      <c r="B2187" s="2" t="inlineStr">
        <is>
          <t>flip</t>
        </is>
      </c>
      <c r="C2187" s="2" t="inlineStr">
        <is>
          <t>browser chrome150</t>
        </is>
      </c>
      <c r="D2187" s="2" t="n">
        <v>1763</v>
      </c>
      <c r="E2187" s="2" t="n">
        <v>1763</v>
      </c>
      <c r="F2187" s="2" t="n">
        <v>1</v>
      </c>
      <c r="G2187" s="2" t="n">
        <v>1</v>
      </c>
      <c r="H2187" s="2" t="n">
        <v>1</v>
      </c>
      <c r="I2187" s="2" t="n">
        <v>0</v>
      </c>
    </row>
    <row r="2188">
      <c r="A2188" s="2" t="n">
        <v>2186</v>
      </c>
      <c r="B2188" s="2" t="inlineStr">
        <is>
          <t>truncate</t>
        </is>
      </c>
      <c r="C2188" s="2" t="inlineStr">
        <is>
          <t>browser chrome150</t>
        </is>
      </c>
      <c r="D2188" s="2" t="n">
        <v>667</v>
      </c>
      <c r="E2188" s="2" t="n">
        <v>667</v>
      </c>
      <c r="F2188" s="2" t="n">
        <v>1</v>
      </c>
      <c r="G2188" s="2" t="n">
        <v>1</v>
      </c>
      <c r="H2188" s="2" t="n">
        <v>1</v>
      </c>
      <c r="I2188" s="2" t="n">
        <v>0</v>
      </c>
    </row>
    <row r="2189">
      <c r="A2189" s="2" t="n">
        <v>2187</v>
      </c>
      <c r="B2189" s="2" t="inlineStr">
        <is>
          <t>length</t>
        </is>
      </c>
      <c r="C2189" s="2" t="inlineStr">
        <is>
          <t>openssl X25519 only (classical)</t>
        </is>
      </c>
      <c r="D2189" s="2" t="n">
        <v>314</v>
      </c>
      <c r="E2189" s="2" t="n">
        <v>314</v>
      </c>
      <c r="F2189" s="2" t="n">
        <v>1</v>
      </c>
      <c r="G2189" s="2" t="n">
        <v>0</v>
      </c>
      <c r="H2189" s="2" t="n">
        <v>0</v>
      </c>
      <c r="I2189" s="2" t="n">
        <v>0</v>
      </c>
    </row>
    <row r="2190">
      <c r="A2190" s="2" t="n">
        <v>2188</v>
      </c>
      <c r="B2190" s="2" t="inlineStr">
        <is>
          <t>insert</t>
        </is>
      </c>
      <c r="C2190" s="2" t="inlineStr">
        <is>
          <t>browser firefox147</t>
        </is>
      </c>
      <c r="D2190" s="2" t="n">
        <v>1903</v>
      </c>
      <c r="E2190" s="2" t="n">
        <v>1903</v>
      </c>
      <c r="F2190" s="2" t="n">
        <v>1</v>
      </c>
      <c r="G2190" s="2" t="n">
        <v>1</v>
      </c>
      <c r="H2190" s="2" t="n">
        <v>0</v>
      </c>
      <c r="I2190" s="2" t="n">
        <v>0</v>
      </c>
    </row>
    <row r="2191">
      <c r="A2191" s="2" t="n">
        <v>2189</v>
      </c>
      <c r="B2191" s="2" t="inlineStr">
        <is>
          <t>flip</t>
        </is>
      </c>
      <c r="C2191" s="2" t="inlineStr">
        <is>
          <t>openssl X25519 only (classical)</t>
        </is>
      </c>
      <c r="D2191" s="2" t="n">
        <v>314</v>
      </c>
      <c r="E2191" s="2" t="n">
        <v>314</v>
      </c>
      <c r="F2191" s="2" t="n">
        <v>1</v>
      </c>
      <c r="G2191" s="2" t="n">
        <v>1</v>
      </c>
      <c r="H2191" s="2" t="n">
        <v>1</v>
      </c>
      <c r="I2191" s="2" t="n">
        <v>0</v>
      </c>
    </row>
    <row r="2192">
      <c r="A2192" s="2" t="n">
        <v>2190</v>
      </c>
      <c r="B2192" s="2" t="inlineStr">
        <is>
          <t>truncate</t>
        </is>
      </c>
      <c r="C2192" s="2" t="inlineStr">
        <is>
          <t>browser chrome150</t>
        </is>
      </c>
      <c r="D2192" s="2" t="n">
        <v>926</v>
      </c>
      <c r="E2192" s="2" t="n">
        <v>926</v>
      </c>
      <c r="F2192" s="2" t="n">
        <v>1</v>
      </c>
      <c r="G2192" s="2" t="n">
        <v>1</v>
      </c>
      <c r="H2192" s="2" t="n">
        <v>1</v>
      </c>
      <c r="I2192" s="2" t="n">
        <v>0</v>
      </c>
    </row>
    <row r="2193">
      <c r="A2193" s="2" t="n">
        <v>2191</v>
      </c>
      <c r="B2193" s="2" t="inlineStr">
        <is>
          <t>length</t>
        </is>
      </c>
      <c r="C2193" s="2" t="inlineStr">
        <is>
          <t>browser firefox147</t>
        </is>
      </c>
      <c r="D2193" s="2" t="n">
        <v>1901</v>
      </c>
      <c r="E2193" s="2" t="n">
        <v>1901</v>
      </c>
      <c r="F2193" s="2" t="n">
        <v>1</v>
      </c>
      <c r="G2193" s="2" t="n">
        <v>1</v>
      </c>
      <c r="H2193" s="2" t="n">
        <v>0</v>
      </c>
      <c r="I2193" s="2" t="n">
        <v>0</v>
      </c>
    </row>
    <row r="2194">
      <c r="A2194" s="2" t="n">
        <v>2192</v>
      </c>
      <c r="B2194" s="2" t="inlineStr">
        <is>
          <t>insert</t>
        </is>
      </c>
      <c r="C2194" s="2" t="inlineStr">
        <is>
          <t>openssl 3.5.8 default</t>
        </is>
      </c>
      <c r="D2194" s="2" t="n">
        <v>1550</v>
      </c>
      <c r="E2194" s="2" t="n">
        <v>1550</v>
      </c>
      <c r="F2194" s="2" t="n">
        <v>1</v>
      </c>
      <c r="G2194" s="2" t="n">
        <v>1</v>
      </c>
      <c r="H2194" s="2" t="n">
        <v>1</v>
      </c>
      <c r="I2194" s="2" t="n">
        <v>0</v>
      </c>
    </row>
    <row r="2195">
      <c r="A2195" s="2" t="n">
        <v>2193</v>
      </c>
      <c r="B2195" s="2" t="inlineStr">
        <is>
          <t>flip</t>
        </is>
      </c>
      <c r="C2195" s="2" t="inlineStr">
        <is>
          <t>openssl X25519 only (classical)</t>
        </is>
      </c>
      <c r="D2195" s="2" t="n">
        <v>314</v>
      </c>
      <c r="E2195" s="2" t="n">
        <v>314</v>
      </c>
      <c r="F2195" s="2" t="n">
        <v>1</v>
      </c>
      <c r="G2195" s="2" t="n">
        <v>1</v>
      </c>
      <c r="H2195" s="2" t="n">
        <v>1</v>
      </c>
      <c r="I2195" s="2" t="n">
        <v>0</v>
      </c>
    </row>
    <row r="2196">
      <c r="A2196" s="2" t="n">
        <v>2194</v>
      </c>
      <c r="B2196" s="2" t="inlineStr">
        <is>
          <t>truncate</t>
        </is>
      </c>
      <c r="C2196" s="2" t="inlineStr">
        <is>
          <t>openssl 3.5.8 default</t>
        </is>
      </c>
      <c r="D2196" s="2" t="n">
        <v>1503</v>
      </c>
      <c r="E2196" s="2" t="n">
        <v>1503</v>
      </c>
      <c r="F2196" s="2" t="n">
        <v>1</v>
      </c>
      <c r="G2196" s="2" t="n">
        <v>1</v>
      </c>
      <c r="H2196" s="2" t="n">
        <v>1</v>
      </c>
      <c r="I2196" s="2" t="n">
        <v>0</v>
      </c>
    </row>
    <row r="2197">
      <c r="A2197" s="2" t="n">
        <v>2195</v>
      </c>
      <c r="B2197" s="2" t="inlineStr">
        <is>
          <t>length</t>
        </is>
      </c>
      <c r="C2197" s="2" t="inlineStr">
        <is>
          <t>openssl 3.5.8 default</t>
        </is>
      </c>
      <c r="D2197" s="2" t="n">
        <v>1548</v>
      </c>
      <c r="E2197" s="2" t="n">
        <v>1548</v>
      </c>
      <c r="F2197" s="2" t="n">
        <v>1</v>
      </c>
      <c r="G2197" s="2" t="n">
        <v>1</v>
      </c>
      <c r="H2197" s="2" t="n">
        <v>1</v>
      </c>
      <c r="I2197" s="2" t="n">
        <v>0</v>
      </c>
    </row>
    <row r="2198">
      <c r="A2198" s="2" t="n">
        <v>2196</v>
      </c>
      <c r="B2198" s="2" t="inlineStr">
        <is>
          <t>insert</t>
        </is>
      </c>
      <c r="C2198" s="2" t="inlineStr">
        <is>
          <t>openssl X25519 only (classical)</t>
        </is>
      </c>
      <c r="D2198" s="2" t="n">
        <v>329</v>
      </c>
      <c r="E2198" s="2" t="n">
        <v>329</v>
      </c>
      <c r="F2198" s="2" t="n">
        <v>1</v>
      </c>
      <c r="G2198" s="2" t="n">
        <v>1</v>
      </c>
      <c r="H2198" s="2" t="n">
        <v>1</v>
      </c>
      <c r="I2198" s="2" t="n">
        <v>0</v>
      </c>
    </row>
    <row r="2199">
      <c r="A2199" s="2" t="n">
        <v>2197</v>
      </c>
      <c r="B2199" s="2" t="inlineStr">
        <is>
          <t>flip</t>
        </is>
      </c>
      <c r="C2199" s="2" t="inlineStr">
        <is>
          <t>browser firefox147</t>
        </is>
      </c>
      <c r="D2199" s="2" t="n">
        <v>1901</v>
      </c>
      <c r="E2199" s="2" t="n">
        <v>1901</v>
      </c>
      <c r="F2199" s="2" t="n">
        <v>1</v>
      </c>
      <c r="G2199" s="2" t="n">
        <v>1</v>
      </c>
      <c r="H2199" s="2" t="n">
        <v>0</v>
      </c>
      <c r="I2199" s="2" t="n">
        <v>0</v>
      </c>
    </row>
    <row r="2200">
      <c r="A2200" s="2" t="n">
        <v>2198</v>
      </c>
      <c r="B2200" s="2" t="inlineStr">
        <is>
          <t>truncate</t>
        </is>
      </c>
      <c r="C2200" s="2" t="inlineStr">
        <is>
          <t>openssl 3.5.8 default</t>
        </is>
      </c>
      <c r="D2200" s="2" t="n">
        <v>256</v>
      </c>
      <c r="E2200" s="2" t="n">
        <v>256</v>
      </c>
      <c r="F2200" s="2" t="n">
        <v>1</v>
      </c>
      <c r="G2200" s="2" t="n">
        <v>1</v>
      </c>
      <c r="H2200" s="2" t="n">
        <v>0</v>
      </c>
      <c r="I2200" s="2" t="n">
        <v>0</v>
      </c>
    </row>
    <row r="2201">
      <c r="A2201" s="2" t="n">
        <v>2199</v>
      </c>
      <c r="B2201" s="2" t="inlineStr">
        <is>
          <t>length</t>
        </is>
      </c>
      <c r="C2201" s="2" t="inlineStr">
        <is>
          <t>openssl 3.5.8 default</t>
        </is>
      </c>
      <c r="D2201" s="2" t="n">
        <v>1548</v>
      </c>
      <c r="E2201" s="2" t="n">
        <v>1548</v>
      </c>
      <c r="F2201" s="2" t="n">
        <v>0</v>
      </c>
      <c r="G2201" s="2" t="n">
        <v>0</v>
      </c>
      <c r="H2201" s="2" t="n">
        <v>0</v>
      </c>
      <c r="I2201" s="2" t="n">
        <v>0</v>
      </c>
    </row>
    <row r="2202">
      <c r="A2202" s="2" t="n">
        <v>2200</v>
      </c>
      <c r="B2202" s="2" t="inlineStr">
        <is>
          <t>insert</t>
        </is>
      </c>
      <c r="C2202" s="2" t="inlineStr">
        <is>
          <t>browser chrome150</t>
        </is>
      </c>
      <c r="D2202" s="2" t="n">
        <v>1767</v>
      </c>
      <c r="E2202" s="2" t="n">
        <v>1767</v>
      </c>
      <c r="F2202" s="2" t="n">
        <v>1</v>
      </c>
      <c r="G2202" s="2" t="n">
        <v>1</v>
      </c>
      <c r="H2202" s="2" t="n">
        <v>1</v>
      </c>
      <c r="I2202" s="2" t="n">
        <v>0</v>
      </c>
    </row>
    <row r="2203">
      <c r="A2203" s="2" t="n">
        <v>2201</v>
      </c>
      <c r="B2203" s="2" t="inlineStr">
        <is>
          <t>flip</t>
        </is>
      </c>
      <c r="C2203" s="2" t="inlineStr">
        <is>
          <t>openssl 3.5.8 default</t>
        </is>
      </c>
      <c r="D2203" s="2" t="n">
        <v>1548</v>
      </c>
      <c r="E2203" s="2" t="n">
        <v>1548</v>
      </c>
      <c r="F2203" s="2" t="n">
        <v>1</v>
      </c>
      <c r="G2203" s="2" t="n">
        <v>1</v>
      </c>
      <c r="H2203" s="2" t="n">
        <v>1</v>
      </c>
      <c r="I2203" s="2" t="n">
        <v>0</v>
      </c>
    </row>
    <row r="2204">
      <c r="A2204" s="2" t="n">
        <v>2202</v>
      </c>
      <c r="B2204" s="2" t="inlineStr">
        <is>
          <t>truncate</t>
        </is>
      </c>
      <c r="C2204" s="2" t="inlineStr">
        <is>
          <t>browser chrome150</t>
        </is>
      </c>
      <c r="D2204" s="2" t="n">
        <v>23</v>
      </c>
      <c r="E2204" s="2" t="n">
        <v>23</v>
      </c>
      <c r="F2204" s="2" t="n">
        <v>1</v>
      </c>
      <c r="G2204" s="2" t="n">
        <v>0</v>
      </c>
      <c r="H2204" s="2" t="n">
        <v>0</v>
      </c>
      <c r="I2204" s="2" t="n">
        <v>0</v>
      </c>
    </row>
    <row r="2205">
      <c r="A2205" s="2" t="n">
        <v>2203</v>
      </c>
      <c r="B2205" s="2" t="inlineStr">
        <is>
          <t>length</t>
        </is>
      </c>
      <c r="C2205" s="2" t="inlineStr">
        <is>
          <t>browser firefox147</t>
        </is>
      </c>
      <c r="D2205" s="2" t="n">
        <v>1901</v>
      </c>
      <c r="E2205" s="2" t="n">
        <v>1901</v>
      </c>
      <c r="F2205" s="2" t="n">
        <v>0</v>
      </c>
      <c r="G2205" s="2" t="n">
        <v>0</v>
      </c>
      <c r="H2205" s="2" t="n">
        <v>0</v>
      </c>
      <c r="I2205" s="2" t="n">
        <v>0</v>
      </c>
    </row>
    <row r="2206">
      <c r="A2206" s="2" t="n">
        <v>2204</v>
      </c>
      <c r="B2206" s="2" t="inlineStr">
        <is>
          <t>insert</t>
        </is>
      </c>
      <c r="C2206" s="2" t="inlineStr">
        <is>
          <t>openssl X25519 only (classical)</t>
        </is>
      </c>
      <c r="D2206" s="2" t="n">
        <v>328</v>
      </c>
      <c r="E2206" s="2" t="n">
        <v>328</v>
      </c>
      <c r="F2206" s="2" t="n">
        <v>1</v>
      </c>
      <c r="G2206" s="2" t="n">
        <v>1</v>
      </c>
      <c r="H2206" s="2" t="n">
        <v>1</v>
      </c>
      <c r="I2206" s="2" t="n">
        <v>0</v>
      </c>
    </row>
    <row r="2207">
      <c r="A2207" s="2" t="n">
        <v>2205</v>
      </c>
      <c r="B2207" s="2" t="inlineStr">
        <is>
          <t>flip</t>
        </is>
      </c>
      <c r="C2207" s="2" t="inlineStr">
        <is>
          <t>browser chrome150</t>
        </is>
      </c>
      <c r="D2207" s="2" t="n">
        <v>1763</v>
      </c>
      <c r="E2207" s="2" t="n">
        <v>1763</v>
      </c>
      <c r="F2207" s="2" t="n">
        <v>1</v>
      </c>
      <c r="G2207" s="2" t="n">
        <v>1</v>
      </c>
      <c r="H2207" s="2" t="n">
        <v>1</v>
      </c>
      <c r="I2207" s="2" t="n">
        <v>0</v>
      </c>
    </row>
    <row r="2208">
      <c r="A2208" s="2" t="n">
        <v>2206</v>
      </c>
      <c r="B2208" s="2" t="inlineStr">
        <is>
          <t>truncate</t>
        </is>
      </c>
      <c r="C2208" s="2" t="inlineStr">
        <is>
          <t>openssl X25519 only (classical)</t>
        </is>
      </c>
      <c r="D2208" s="2" t="n">
        <v>204</v>
      </c>
      <c r="E2208" s="2" t="n">
        <v>204</v>
      </c>
      <c r="F2208" s="2" t="n">
        <v>1</v>
      </c>
      <c r="G2208" s="2" t="n">
        <v>1</v>
      </c>
      <c r="H2208" s="2" t="n">
        <v>0</v>
      </c>
      <c r="I2208" s="2" t="n">
        <v>0</v>
      </c>
    </row>
    <row r="2209">
      <c r="A2209" s="2" t="n">
        <v>2207</v>
      </c>
      <c r="B2209" s="2" t="inlineStr">
        <is>
          <t>length</t>
        </is>
      </c>
      <c r="C2209" s="2" t="inlineStr">
        <is>
          <t>openssl 3.5.8 default</t>
        </is>
      </c>
      <c r="D2209" s="2" t="n">
        <v>1548</v>
      </c>
      <c r="E2209" s="2" t="n">
        <v>1548</v>
      </c>
      <c r="F2209" s="2" t="n">
        <v>1</v>
      </c>
      <c r="G2209" s="2" t="n">
        <v>1</v>
      </c>
      <c r="H2209" s="2" t="n">
        <v>1</v>
      </c>
      <c r="I2209" s="2" t="n">
        <v>0</v>
      </c>
    </row>
    <row r="2210">
      <c r="A2210" s="2" t="n">
        <v>2208</v>
      </c>
      <c r="B2210" s="2" t="inlineStr">
        <is>
          <t>insert</t>
        </is>
      </c>
      <c r="C2210" s="2" t="inlineStr">
        <is>
          <t>openssl TLS 1.2 only</t>
        </is>
      </c>
      <c r="D2210" s="2" t="n">
        <v>222</v>
      </c>
      <c r="E2210" s="2" t="n">
        <v>222</v>
      </c>
      <c r="F2210" s="2" t="n">
        <v>1</v>
      </c>
      <c r="G2210" s="2" t="n">
        <v>1</v>
      </c>
      <c r="H2210" s="2" t="n">
        <v>1</v>
      </c>
      <c r="I2210" s="2" t="n">
        <v>0</v>
      </c>
    </row>
    <row r="2211">
      <c r="A2211" s="2" t="n">
        <v>2209</v>
      </c>
      <c r="B2211" s="2" t="inlineStr">
        <is>
          <t>flip</t>
        </is>
      </c>
      <c r="C2211" s="2" t="inlineStr">
        <is>
          <t>browser chrome150</t>
        </is>
      </c>
      <c r="D2211" s="2" t="n">
        <v>1763</v>
      </c>
      <c r="E2211" s="2" t="n">
        <v>1763</v>
      </c>
      <c r="F2211" s="2" t="n">
        <v>1</v>
      </c>
      <c r="G2211" s="2" t="n">
        <v>1</v>
      </c>
      <c r="H2211" s="2" t="n">
        <v>1</v>
      </c>
      <c r="I2211" s="2" t="n">
        <v>0</v>
      </c>
    </row>
    <row r="2212">
      <c r="A2212" s="2" t="n">
        <v>2210</v>
      </c>
      <c r="B2212" s="2" t="inlineStr">
        <is>
          <t>truncate</t>
        </is>
      </c>
      <c r="C2212" s="2" t="inlineStr">
        <is>
          <t>browser chrome150</t>
        </is>
      </c>
      <c r="D2212" s="2" t="n">
        <v>1294</v>
      </c>
      <c r="E2212" s="2" t="n">
        <v>1294</v>
      </c>
      <c r="F2212" s="2" t="n">
        <v>1</v>
      </c>
      <c r="G2212" s="2" t="n">
        <v>1</v>
      </c>
      <c r="H2212" s="2" t="n">
        <v>1</v>
      </c>
      <c r="I2212" s="2" t="n">
        <v>0</v>
      </c>
    </row>
    <row r="2213">
      <c r="A2213" s="2" t="n">
        <v>2211</v>
      </c>
      <c r="B2213" s="2" t="inlineStr">
        <is>
          <t>length</t>
        </is>
      </c>
      <c r="C2213" s="2" t="inlineStr">
        <is>
          <t>openssl TLS 1.2 only</t>
        </is>
      </c>
      <c r="D2213" s="2" t="n">
        <v>215</v>
      </c>
      <c r="E2213" s="2" t="n">
        <v>215</v>
      </c>
      <c r="F2213" s="2" t="n">
        <v>0</v>
      </c>
      <c r="G2213" s="2" t="n">
        <v>0</v>
      </c>
      <c r="H2213" s="2" t="n">
        <v>0</v>
      </c>
      <c r="I2213" s="2" t="n">
        <v>0</v>
      </c>
    </row>
    <row r="2214">
      <c r="A2214" s="2" t="n">
        <v>2212</v>
      </c>
      <c r="B2214" s="2" t="inlineStr">
        <is>
          <t>insert</t>
        </is>
      </c>
      <c r="C2214" s="2" t="inlineStr">
        <is>
          <t>openssl 3.5.8 default</t>
        </is>
      </c>
      <c r="D2214" s="2" t="n">
        <v>1552</v>
      </c>
      <c r="E2214" s="2" t="n">
        <v>1552</v>
      </c>
      <c r="F2214" s="2" t="n">
        <v>1</v>
      </c>
      <c r="G2214" s="2" t="n">
        <v>0</v>
      </c>
      <c r="H2214" s="2" t="n">
        <v>0</v>
      </c>
      <c r="I2214" s="2" t="n">
        <v>0</v>
      </c>
    </row>
    <row r="2215">
      <c r="A2215" s="2" t="n">
        <v>2213</v>
      </c>
      <c r="B2215" s="2" t="inlineStr">
        <is>
          <t>flip</t>
        </is>
      </c>
      <c r="C2215" s="2" t="inlineStr">
        <is>
          <t>openssl X25519 only (classical)</t>
        </is>
      </c>
      <c r="D2215" s="2" t="n">
        <v>314</v>
      </c>
      <c r="E2215" s="2" t="n">
        <v>314</v>
      </c>
      <c r="F2215" s="2" t="n">
        <v>1</v>
      </c>
      <c r="G2215" s="2" t="n">
        <v>1</v>
      </c>
      <c r="H2215" s="2" t="n">
        <v>1</v>
      </c>
      <c r="I2215" s="2" t="n">
        <v>0</v>
      </c>
    </row>
    <row r="2216">
      <c r="A2216" s="2" t="n">
        <v>2214</v>
      </c>
      <c r="B2216" s="2" t="inlineStr">
        <is>
          <t>truncate</t>
        </is>
      </c>
      <c r="C2216" s="2" t="inlineStr">
        <is>
          <t>openssl 3.5.8 default</t>
        </is>
      </c>
      <c r="D2216" s="2" t="n">
        <v>609</v>
      </c>
      <c r="E2216" s="2" t="n">
        <v>609</v>
      </c>
      <c r="F2216" s="2" t="n">
        <v>1</v>
      </c>
      <c r="G2216" s="2" t="n">
        <v>1</v>
      </c>
      <c r="H2216" s="2" t="n">
        <v>1</v>
      </c>
      <c r="I2216" s="2" t="n">
        <v>0</v>
      </c>
    </row>
    <row r="2217">
      <c r="A2217" s="2" t="n">
        <v>2215</v>
      </c>
      <c r="B2217" s="2" t="inlineStr">
        <is>
          <t>length</t>
        </is>
      </c>
      <c r="C2217" s="2" t="inlineStr">
        <is>
          <t>browser chrome150</t>
        </is>
      </c>
      <c r="D2217" s="2" t="n">
        <v>1763</v>
      </c>
      <c r="E2217" s="2" t="n">
        <v>1763</v>
      </c>
      <c r="F2217" s="2" t="n">
        <v>1</v>
      </c>
      <c r="G2217" s="2" t="n">
        <v>1</v>
      </c>
      <c r="H2217" s="2" t="n">
        <v>1</v>
      </c>
      <c r="I2217" s="2" t="n">
        <v>0</v>
      </c>
    </row>
    <row r="2218">
      <c r="A2218" s="2" t="n">
        <v>2216</v>
      </c>
      <c r="B2218" s="2" t="inlineStr">
        <is>
          <t>insert</t>
        </is>
      </c>
      <c r="C2218" s="2" t="inlineStr">
        <is>
          <t>openssl TLS 1.2 only</t>
        </is>
      </c>
      <c r="D2218" s="2" t="n">
        <v>221</v>
      </c>
      <c r="E2218" s="2" t="n">
        <v>221</v>
      </c>
      <c r="F2218" s="2" t="n">
        <v>1</v>
      </c>
      <c r="G2218" s="2" t="n">
        <v>1</v>
      </c>
      <c r="H2218" s="2" t="n">
        <v>0</v>
      </c>
      <c r="I2218" s="2" t="n">
        <v>0</v>
      </c>
    </row>
    <row r="2219">
      <c r="A2219" s="2" t="n">
        <v>2217</v>
      </c>
      <c r="B2219" s="2" t="inlineStr">
        <is>
          <t>flip</t>
        </is>
      </c>
      <c r="C2219" s="2" t="inlineStr">
        <is>
          <t>openssl 3.5.8 default</t>
        </is>
      </c>
      <c r="D2219" s="2" t="n">
        <v>1548</v>
      </c>
      <c r="E2219" s="2" t="n">
        <v>1548</v>
      </c>
      <c r="F2219" s="2" t="n">
        <v>1</v>
      </c>
      <c r="G2219" s="2" t="n">
        <v>1</v>
      </c>
      <c r="H2219" s="2" t="n">
        <v>1</v>
      </c>
      <c r="I2219" s="2" t="n">
        <v>0</v>
      </c>
    </row>
    <row r="2220">
      <c r="A2220" s="2" t="n">
        <v>2218</v>
      </c>
      <c r="B2220" s="2" t="inlineStr">
        <is>
          <t>truncate</t>
        </is>
      </c>
      <c r="C2220" s="2" t="inlineStr">
        <is>
          <t>browser chrome150</t>
        </is>
      </c>
      <c r="D2220" s="2" t="n">
        <v>742</v>
      </c>
      <c r="E2220" s="2" t="n">
        <v>742</v>
      </c>
      <c r="F2220" s="2" t="n">
        <v>1</v>
      </c>
      <c r="G2220" s="2" t="n">
        <v>1</v>
      </c>
      <c r="H2220" s="2" t="n">
        <v>1</v>
      </c>
      <c r="I2220" s="2" t="n">
        <v>0</v>
      </c>
    </row>
    <row r="2221">
      <c r="A2221" s="2" t="n">
        <v>2219</v>
      </c>
      <c r="B2221" s="2" t="inlineStr">
        <is>
          <t>length</t>
        </is>
      </c>
      <c r="C2221" s="2" t="inlineStr">
        <is>
          <t>browser firefox147</t>
        </is>
      </c>
      <c r="D2221" s="2" t="n">
        <v>1901</v>
      </c>
      <c r="E2221" s="2" t="n">
        <v>1901</v>
      </c>
      <c r="F2221" s="2" t="n">
        <v>0</v>
      </c>
      <c r="G2221" s="2" t="n">
        <v>0</v>
      </c>
      <c r="H2221" s="2" t="n">
        <v>0</v>
      </c>
      <c r="I2221" s="2" t="n">
        <v>0</v>
      </c>
    </row>
    <row r="2222">
      <c r="A2222" s="2" t="n">
        <v>2220</v>
      </c>
      <c r="B2222" s="2" t="inlineStr">
        <is>
          <t>insert</t>
        </is>
      </c>
      <c r="C2222" s="2" t="inlineStr">
        <is>
          <t>openssl X25519 only (classical)</t>
        </is>
      </c>
      <c r="D2222" s="2" t="n">
        <v>317</v>
      </c>
      <c r="E2222" s="2" t="n">
        <v>317</v>
      </c>
      <c r="F2222" s="2" t="n">
        <v>1</v>
      </c>
      <c r="G2222" s="2" t="n">
        <v>1</v>
      </c>
      <c r="H2222" s="2" t="n">
        <v>1</v>
      </c>
      <c r="I2222" s="2" t="n">
        <v>0</v>
      </c>
    </row>
    <row r="2223">
      <c r="A2223" s="2" t="n">
        <v>2221</v>
      </c>
      <c r="B2223" s="2" t="inlineStr">
        <is>
          <t>flip</t>
        </is>
      </c>
      <c r="C2223" s="2" t="inlineStr">
        <is>
          <t>openssl TLS 1.2 only</t>
        </is>
      </c>
      <c r="D2223" s="2" t="n">
        <v>215</v>
      </c>
      <c r="E2223" s="2" t="n">
        <v>215</v>
      </c>
      <c r="F2223" s="2" t="n">
        <v>1</v>
      </c>
      <c r="G2223" s="2" t="n">
        <v>1</v>
      </c>
      <c r="H2223" s="2" t="n">
        <v>1</v>
      </c>
      <c r="I2223" s="2" t="n">
        <v>0</v>
      </c>
    </row>
    <row r="2224">
      <c r="A2224" s="2" t="n">
        <v>2222</v>
      </c>
      <c r="B2224" s="2" t="inlineStr">
        <is>
          <t>truncate</t>
        </is>
      </c>
      <c r="C2224" s="2" t="inlineStr">
        <is>
          <t>openssl 3.5.8 default</t>
        </is>
      </c>
      <c r="D2224" s="2" t="n">
        <v>1021</v>
      </c>
      <c r="E2224" s="2" t="n">
        <v>1021</v>
      </c>
      <c r="F2224" s="2" t="n">
        <v>1</v>
      </c>
      <c r="G2224" s="2" t="n">
        <v>1</v>
      </c>
      <c r="H2224" s="2" t="n">
        <v>1</v>
      </c>
      <c r="I2224" s="2" t="n">
        <v>0</v>
      </c>
    </row>
    <row r="2225">
      <c r="A2225" s="2" t="n">
        <v>2223</v>
      </c>
      <c r="B2225" s="2" t="inlineStr">
        <is>
          <t>length</t>
        </is>
      </c>
      <c r="C2225" s="2" t="inlineStr">
        <is>
          <t>openssl TLS 1.2 only</t>
        </is>
      </c>
      <c r="D2225" s="2" t="n">
        <v>215</v>
      </c>
      <c r="E2225" s="2" t="n">
        <v>215</v>
      </c>
      <c r="F2225" s="2" t="n">
        <v>1</v>
      </c>
      <c r="G2225" s="2" t="n">
        <v>1</v>
      </c>
      <c r="H2225" s="2" t="n">
        <v>1</v>
      </c>
      <c r="I2225" s="2" t="n">
        <v>0</v>
      </c>
    </row>
    <row r="2226">
      <c r="A2226" s="2" t="n">
        <v>2224</v>
      </c>
      <c r="B2226" s="2" t="inlineStr">
        <is>
          <t>insert</t>
        </is>
      </c>
      <c r="C2226" s="2" t="inlineStr">
        <is>
          <t>browser chrome150</t>
        </is>
      </c>
      <c r="D2226" s="2" t="n">
        <v>1766</v>
      </c>
      <c r="E2226" s="2" t="n">
        <v>1766</v>
      </c>
      <c r="F2226" s="2" t="n">
        <v>1</v>
      </c>
      <c r="G2226" s="2" t="n">
        <v>1</v>
      </c>
      <c r="H2226" s="2" t="n">
        <v>1</v>
      </c>
      <c r="I2226" s="2" t="n">
        <v>0</v>
      </c>
    </row>
    <row r="2227">
      <c r="A2227" s="2" t="n">
        <v>2225</v>
      </c>
      <c r="B2227" s="2" t="inlineStr">
        <is>
          <t>flip</t>
        </is>
      </c>
      <c r="C2227" s="2" t="inlineStr">
        <is>
          <t>openssl 3.5.8 default</t>
        </is>
      </c>
      <c r="D2227" s="2" t="n">
        <v>1548</v>
      </c>
      <c r="E2227" s="2" t="n">
        <v>1548</v>
      </c>
      <c r="F2227" s="2" t="n">
        <v>1</v>
      </c>
      <c r="G2227" s="2" t="n">
        <v>1</v>
      </c>
      <c r="H2227" s="2" t="n">
        <v>1</v>
      </c>
      <c r="I2227" s="2" t="n">
        <v>0</v>
      </c>
    </row>
    <row r="2228">
      <c r="A2228" s="2" t="n">
        <v>2226</v>
      </c>
      <c r="B2228" s="2" t="inlineStr">
        <is>
          <t>truncate</t>
        </is>
      </c>
      <c r="C2228" s="2" t="inlineStr">
        <is>
          <t>browser chrome150</t>
        </is>
      </c>
      <c r="D2228" s="2" t="n">
        <v>741</v>
      </c>
      <c r="E2228" s="2" t="n">
        <v>741</v>
      </c>
      <c r="F2228" s="2" t="n">
        <v>1</v>
      </c>
      <c r="G2228" s="2" t="n">
        <v>1</v>
      </c>
      <c r="H2228" s="2" t="n">
        <v>1</v>
      </c>
      <c r="I2228" s="2" t="n">
        <v>0</v>
      </c>
    </row>
    <row r="2229">
      <c r="A2229" s="2" t="n">
        <v>2227</v>
      </c>
      <c r="B2229" s="2" t="inlineStr">
        <is>
          <t>length</t>
        </is>
      </c>
      <c r="C2229" s="2" t="inlineStr">
        <is>
          <t>browser chrome150</t>
        </is>
      </c>
      <c r="D2229" s="2" t="n">
        <v>1763</v>
      </c>
      <c r="E2229" s="2" t="n">
        <v>1763</v>
      </c>
      <c r="F2229" s="2" t="n">
        <v>0</v>
      </c>
      <c r="G2229" s="2" t="n">
        <v>0</v>
      </c>
      <c r="H2229" s="2" t="n">
        <v>0</v>
      </c>
      <c r="I2229" s="2" t="n">
        <v>0</v>
      </c>
    </row>
    <row r="2230">
      <c r="A2230" s="2" t="n">
        <v>2228</v>
      </c>
      <c r="B2230" s="2" t="inlineStr">
        <is>
          <t>insert</t>
        </is>
      </c>
      <c r="C2230" s="2" t="inlineStr">
        <is>
          <t>openssl 3.5.8 default</t>
        </is>
      </c>
      <c r="D2230" s="2" t="n">
        <v>1554</v>
      </c>
      <c r="E2230" s="2" t="n">
        <v>1554</v>
      </c>
      <c r="F2230" s="2" t="n">
        <v>1</v>
      </c>
      <c r="G2230" s="2" t="n">
        <v>1</v>
      </c>
      <c r="H2230" s="2" t="n">
        <v>1</v>
      </c>
      <c r="I2230" s="2" t="n">
        <v>0</v>
      </c>
    </row>
    <row r="2231">
      <c r="A2231" s="2" t="n">
        <v>2229</v>
      </c>
      <c r="B2231" s="2" t="inlineStr">
        <is>
          <t>flip</t>
        </is>
      </c>
      <c r="C2231" s="2" t="inlineStr">
        <is>
          <t>openssl X25519 only (classical)</t>
        </is>
      </c>
      <c r="D2231" s="2" t="n">
        <v>314</v>
      </c>
      <c r="E2231" s="2" t="n">
        <v>314</v>
      </c>
      <c r="F2231" s="2" t="n">
        <v>1</v>
      </c>
      <c r="G2231" s="2" t="n">
        <v>1</v>
      </c>
      <c r="H2231" s="2" t="n">
        <v>1</v>
      </c>
      <c r="I2231" s="2" t="n">
        <v>0</v>
      </c>
    </row>
    <row r="2232">
      <c r="A2232" s="2" t="n">
        <v>2230</v>
      </c>
      <c r="B2232" s="2" t="inlineStr">
        <is>
          <t>truncate</t>
        </is>
      </c>
      <c r="C2232" s="2" t="inlineStr">
        <is>
          <t>browser firefox147</t>
        </is>
      </c>
      <c r="D2232" s="2" t="n">
        <v>83</v>
      </c>
      <c r="E2232" s="2" t="n">
        <v>83</v>
      </c>
      <c r="F2232" s="2" t="n">
        <v>1</v>
      </c>
      <c r="G2232" s="2" t="n">
        <v>0</v>
      </c>
      <c r="H2232" s="2" t="n">
        <v>0</v>
      </c>
      <c r="I2232" s="2" t="n">
        <v>0</v>
      </c>
    </row>
    <row r="2233">
      <c r="A2233" s="2" t="n">
        <v>2231</v>
      </c>
      <c r="B2233" s="2" t="inlineStr">
        <is>
          <t>length</t>
        </is>
      </c>
      <c r="C2233" s="2" t="inlineStr">
        <is>
          <t>openssl 3.5.8 default</t>
        </is>
      </c>
      <c r="D2233" s="2" t="n">
        <v>1548</v>
      </c>
      <c r="E2233" s="2" t="n">
        <v>1548</v>
      </c>
      <c r="F2233" s="2" t="n">
        <v>1</v>
      </c>
      <c r="G2233" s="2" t="n">
        <v>1</v>
      </c>
      <c r="H2233" s="2" t="n">
        <v>1</v>
      </c>
      <c r="I2233" s="2" t="n">
        <v>0</v>
      </c>
    </row>
    <row r="2234">
      <c r="A2234" s="2" t="n">
        <v>2232</v>
      </c>
      <c r="B2234" s="2" t="inlineStr">
        <is>
          <t>insert</t>
        </is>
      </c>
      <c r="C2234" s="2" t="inlineStr">
        <is>
          <t>openssl 3.5.8 default</t>
        </is>
      </c>
      <c r="D2234" s="2" t="n">
        <v>1561</v>
      </c>
      <c r="E2234" s="2" t="n">
        <v>1561</v>
      </c>
      <c r="F2234" s="2" t="n">
        <v>1</v>
      </c>
      <c r="G2234" s="2" t="n">
        <v>1</v>
      </c>
      <c r="H2234" s="2" t="n">
        <v>1</v>
      </c>
      <c r="I2234" s="2" t="n">
        <v>0</v>
      </c>
    </row>
    <row r="2235">
      <c r="A2235" s="2" t="n">
        <v>2233</v>
      </c>
      <c r="B2235" s="2" t="inlineStr">
        <is>
          <t>flip</t>
        </is>
      </c>
      <c r="C2235" s="2" t="inlineStr">
        <is>
          <t>openssl TLS 1.2 only</t>
        </is>
      </c>
      <c r="D2235" s="2" t="n">
        <v>215</v>
      </c>
      <c r="E2235" s="2" t="n">
        <v>215</v>
      </c>
      <c r="F2235" s="2" t="n">
        <v>1</v>
      </c>
      <c r="G2235" s="2" t="n">
        <v>1</v>
      </c>
      <c r="H2235" s="2" t="n">
        <v>1</v>
      </c>
      <c r="I2235" s="2" t="n">
        <v>0</v>
      </c>
    </row>
    <row r="2236">
      <c r="A2236" s="2" t="n">
        <v>2234</v>
      </c>
      <c r="B2236" s="2" t="inlineStr">
        <is>
          <t>truncate</t>
        </is>
      </c>
      <c r="C2236" s="2" t="inlineStr">
        <is>
          <t>openssl TLS 1.2 only</t>
        </is>
      </c>
      <c r="D2236" s="2" t="n">
        <v>18</v>
      </c>
      <c r="E2236" s="2" t="n">
        <v>18</v>
      </c>
      <c r="F2236" s="2" t="n">
        <v>1</v>
      </c>
      <c r="G2236" s="2" t="n">
        <v>0</v>
      </c>
      <c r="H2236" s="2" t="n">
        <v>0</v>
      </c>
      <c r="I2236" s="2" t="n">
        <v>0</v>
      </c>
    </row>
    <row r="2237">
      <c r="A2237" s="2" t="n">
        <v>2235</v>
      </c>
      <c r="B2237" s="2" t="inlineStr">
        <is>
          <t>length</t>
        </is>
      </c>
      <c r="C2237" s="2" t="inlineStr">
        <is>
          <t>browser firefox147</t>
        </is>
      </c>
      <c r="D2237" s="2" t="n">
        <v>1901</v>
      </c>
      <c r="E2237" s="2" t="n">
        <v>1901</v>
      </c>
      <c r="F2237" s="2" t="n">
        <v>0</v>
      </c>
      <c r="G2237" s="2" t="n">
        <v>0</v>
      </c>
      <c r="H2237" s="2" t="n">
        <v>0</v>
      </c>
      <c r="I2237" s="2" t="n">
        <v>0</v>
      </c>
    </row>
    <row r="2238">
      <c r="A2238" s="2" t="n">
        <v>2236</v>
      </c>
      <c r="B2238" s="2" t="inlineStr">
        <is>
          <t>insert</t>
        </is>
      </c>
      <c r="C2238" s="2" t="inlineStr">
        <is>
          <t>openssl 3.5.8 default</t>
        </is>
      </c>
      <c r="D2238" s="2" t="n">
        <v>1560</v>
      </c>
      <c r="E2238" s="2" t="n">
        <v>1560</v>
      </c>
      <c r="F2238" s="2" t="n">
        <v>1</v>
      </c>
      <c r="G2238" s="2" t="n">
        <v>1</v>
      </c>
      <c r="H2238" s="2" t="n">
        <v>1</v>
      </c>
      <c r="I2238" s="2" t="n">
        <v>0</v>
      </c>
    </row>
    <row r="2239">
      <c r="A2239" s="2" t="n">
        <v>2237</v>
      </c>
      <c r="B2239" s="2" t="inlineStr">
        <is>
          <t>flip</t>
        </is>
      </c>
      <c r="C2239" s="2" t="inlineStr">
        <is>
          <t>browser firefox147</t>
        </is>
      </c>
      <c r="D2239" s="2" t="n">
        <v>1901</v>
      </c>
      <c r="E2239" s="2" t="n">
        <v>1901</v>
      </c>
      <c r="F2239" s="2" t="n">
        <v>1</v>
      </c>
      <c r="G2239" s="2" t="n">
        <v>1</v>
      </c>
      <c r="H2239" s="2" t="n">
        <v>0</v>
      </c>
      <c r="I2239" s="2" t="n">
        <v>0</v>
      </c>
    </row>
    <row r="2240">
      <c r="A2240" s="2" t="n">
        <v>2238</v>
      </c>
      <c r="B2240" s="2" t="inlineStr">
        <is>
          <t>truncate</t>
        </is>
      </c>
      <c r="C2240" s="2" t="inlineStr">
        <is>
          <t>openssl TLS 1.2 only</t>
        </is>
      </c>
      <c r="D2240" s="2" t="n">
        <v>103</v>
      </c>
      <c r="E2240" s="2" t="n">
        <v>103</v>
      </c>
      <c r="F2240" s="2" t="n">
        <v>1</v>
      </c>
      <c r="G2240" s="2" t="n">
        <v>1</v>
      </c>
      <c r="H2240" s="2" t="n">
        <v>0</v>
      </c>
      <c r="I2240" s="2" t="n">
        <v>0</v>
      </c>
    </row>
    <row r="2241">
      <c r="A2241" s="2" t="n">
        <v>2239</v>
      </c>
      <c r="B2241" s="2" t="inlineStr">
        <is>
          <t>length</t>
        </is>
      </c>
      <c r="C2241" s="2" t="inlineStr">
        <is>
          <t>openssl X25519 only (classical)</t>
        </is>
      </c>
      <c r="D2241" s="2" t="n">
        <v>314</v>
      </c>
      <c r="E2241" s="2" t="n">
        <v>314</v>
      </c>
      <c r="F2241" s="2" t="n">
        <v>1</v>
      </c>
      <c r="G2241" s="2" t="n">
        <v>1</v>
      </c>
      <c r="H2241" s="2" t="n">
        <v>1</v>
      </c>
      <c r="I2241" s="2" t="n">
        <v>0</v>
      </c>
    </row>
    <row r="2242">
      <c r="A2242" s="2" t="n">
        <v>2240</v>
      </c>
      <c r="B2242" s="2" t="inlineStr">
        <is>
          <t>insert</t>
        </is>
      </c>
      <c r="C2242" s="2" t="inlineStr">
        <is>
          <t>browser firefox147</t>
        </is>
      </c>
      <c r="D2242" s="2" t="n">
        <v>1903</v>
      </c>
      <c r="E2242" s="2" t="n">
        <v>1903</v>
      </c>
      <c r="F2242" s="2" t="n">
        <v>1</v>
      </c>
      <c r="G2242" s="2" t="n">
        <v>1</v>
      </c>
      <c r="H2242" s="2" t="n">
        <v>0</v>
      </c>
      <c r="I2242" s="2" t="n">
        <v>0</v>
      </c>
    </row>
    <row r="2243">
      <c r="A2243" s="2" t="n">
        <v>2241</v>
      </c>
      <c r="B2243" s="2" t="inlineStr">
        <is>
          <t>flip</t>
        </is>
      </c>
      <c r="C2243" s="2" t="inlineStr">
        <is>
          <t>openssl TLS 1.2 only</t>
        </is>
      </c>
      <c r="D2243" s="2" t="n">
        <v>215</v>
      </c>
      <c r="E2243" s="2" t="n">
        <v>215</v>
      </c>
      <c r="F2243" s="2" t="n">
        <v>1</v>
      </c>
      <c r="G2243" s="2" t="n">
        <v>1</v>
      </c>
      <c r="H2243" s="2" t="n">
        <v>1</v>
      </c>
      <c r="I2243" s="2" t="n">
        <v>0</v>
      </c>
    </row>
    <row r="2244">
      <c r="A2244" s="2" t="n">
        <v>2242</v>
      </c>
      <c r="B2244" s="2" t="inlineStr">
        <is>
          <t>truncate</t>
        </is>
      </c>
      <c r="C2244" s="2" t="inlineStr">
        <is>
          <t>openssl TLS 1.2 only</t>
        </is>
      </c>
      <c r="D2244" s="2" t="n">
        <v>54</v>
      </c>
      <c r="E2244" s="2" t="n">
        <v>54</v>
      </c>
      <c r="F2244" s="2" t="n">
        <v>1</v>
      </c>
      <c r="G2244" s="2" t="n">
        <v>0</v>
      </c>
      <c r="H2244" s="2" t="n">
        <v>0</v>
      </c>
      <c r="I2244" s="2" t="n">
        <v>0</v>
      </c>
    </row>
    <row r="2245">
      <c r="A2245" s="2" t="n">
        <v>2243</v>
      </c>
      <c r="B2245" s="2" t="inlineStr">
        <is>
          <t>length</t>
        </is>
      </c>
      <c r="C2245" s="2" t="inlineStr">
        <is>
          <t>openssl X25519 only (classical)</t>
        </is>
      </c>
      <c r="D2245" s="2" t="n">
        <v>314</v>
      </c>
      <c r="E2245" s="2" t="n">
        <v>314</v>
      </c>
      <c r="F2245" s="2" t="n">
        <v>1</v>
      </c>
      <c r="G2245" s="2" t="n">
        <v>1</v>
      </c>
      <c r="H2245" s="2" t="n">
        <v>1</v>
      </c>
      <c r="I2245" s="2" t="n">
        <v>0</v>
      </c>
    </row>
    <row r="2246">
      <c r="A2246" s="2" t="n">
        <v>2244</v>
      </c>
      <c r="B2246" s="2" t="inlineStr">
        <is>
          <t>insert</t>
        </is>
      </c>
      <c r="C2246" s="2" t="inlineStr">
        <is>
          <t>openssl X25519 only (classical)</t>
        </is>
      </c>
      <c r="D2246" s="2" t="n">
        <v>321</v>
      </c>
      <c r="E2246" s="2" t="n">
        <v>321</v>
      </c>
      <c r="F2246" s="2" t="n">
        <v>1</v>
      </c>
      <c r="G2246" s="2" t="n">
        <v>1</v>
      </c>
      <c r="H2246" s="2" t="n">
        <v>1</v>
      </c>
      <c r="I2246" s="2" t="n">
        <v>0</v>
      </c>
    </row>
    <row r="2247">
      <c r="A2247" s="2" t="n">
        <v>2245</v>
      </c>
      <c r="B2247" s="2" t="inlineStr">
        <is>
          <t>flip</t>
        </is>
      </c>
      <c r="C2247" s="2" t="inlineStr">
        <is>
          <t>browser chrome150</t>
        </is>
      </c>
      <c r="D2247" s="2" t="n">
        <v>1763</v>
      </c>
      <c r="E2247" s="2" t="n">
        <v>1763</v>
      </c>
      <c r="F2247" s="2" t="n">
        <v>1</v>
      </c>
      <c r="G2247" s="2" t="n">
        <v>1</v>
      </c>
      <c r="H2247" s="2" t="n">
        <v>1</v>
      </c>
      <c r="I2247" s="2" t="n">
        <v>0</v>
      </c>
    </row>
    <row r="2248">
      <c r="A2248" s="2" t="n">
        <v>2246</v>
      </c>
      <c r="B2248" s="2" t="inlineStr">
        <is>
          <t>truncate</t>
        </is>
      </c>
      <c r="C2248" s="2" t="inlineStr">
        <is>
          <t>openssl 3.5.8 default</t>
        </is>
      </c>
      <c r="D2248" s="2" t="n">
        <v>196</v>
      </c>
      <c r="E2248" s="2" t="n">
        <v>196</v>
      </c>
      <c r="F2248" s="2" t="n">
        <v>1</v>
      </c>
      <c r="G2248" s="2" t="n">
        <v>1</v>
      </c>
      <c r="H2248" s="2" t="n">
        <v>0</v>
      </c>
      <c r="I2248" s="2" t="n">
        <v>0</v>
      </c>
    </row>
    <row r="2249">
      <c r="A2249" s="2" t="n">
        <v>2247</v>
      </c>
      <c r="B2249" s="2" t="inlineStr">
        <is>
          <t>length</t>
        </is>
      </c>
      <c r="C2249" s="2" t="inlineStr">
        <is>
          <t>browser chrome150</t>
        </is>
      </c>
      <c r="D2249" s="2" t="n">
        <v>1763</v>
      </c>
      <c r="E2249" s="2" t="n">
        <v>1763</v>
      </c>
      <c r="F2249" s="2" t="n">
        <v>0</v>
      </c>
      <c r="G2249" s="2" t="n">
        <v>0</v>
      </c>
      <c r="H2249" s="2" t="n">
        <v>0</v>
      </c>
      <c r="I2249" s="2" t="n">
        <v>0</v>
      </c>
    </row>
    <row r="2250">
      <c r="A2250" s="2" t="n">
        <v>2248</v>
      </c>
      <c r="B2250" s="2" t="inlineStr">
        <is>
          <t>insert</t>
        </is>
      </c>
      <c r="C2250" s="2" t="inlineStr">
        <is>
          <t>openssl X25519 only (classical)</t>
        </is>
      </c>
      <c r="D2250" s="2" t="n">
        <v>316</v>
      </c>
      <c r="E2250" s="2" t="n">
        <v>316</v>
      </c>
      <c r="F2250" s="2" t="n">
        <v>1</v>
      </c>
      <c r="G2250" s="2" t="n">
        <v>1</v>
      </c>
      <c r="H2250" s="2" t="n">
        <v>1</v>
      </c>
      <c r="I2250" s="2" t="n">
        <v>0</v>
      </c>
    </row>
    <row r="2251">
      <c r="A2251" s="2" t="n">
        <v>2249</v>
      </c>
      <c r="B2251" s="2" t="inlineStr">
        <is>
          <t>flip</t>
        </is>
      </c>
      <c r="C2251" s="2" t="inlineStr">
        <is>
          <t>openssl X25519 only (classical)</t>
        </is>
      </c>
      <c r="D2251" s="2" t="n">
        <v>314</v>
      </c>
      <c r="E2251" s="2" t="n">
        <v>314</v>
      </c>
      <c r="F2251" s="2" t="n">
        <v>1</v>
      </c>
      <c r="G2251" s="2" t="n">
        <v>1</v>
      </c>
      <c r="H2251" s="2" t="n">
        <v>1</v>
      </c>
      <c r="I2251" s="2" t="n">
        <v>0</v>
      </c>
    </row>
    <row r="2252">
      <c r="A2252" s="2" t="n">
        <v>2250</v>
      </c>
      <c r="B2252" s="2" t="inlineStr">
        <is>
          <t>truncate</t>
        </is>
      </c>
      <c r="C2252" s="2" t="inlineStr">
        <is>
          <t>browser chrome150</t>
        </is>
      </c>
      <c r="D2252" s="2" t="n">
        <v>706</v>
      </c>
      <c r="E2252" s="2" t="n">
        <v>706</v>
      </c>
      <c r="F2252" s="2" t="n">
        <v>1</v>
      </c>
      <c r="G2252" s="2" t="n">
        <v>1</v>
      </c>
      <c r="H2252" s="2" t="n">
        <v>1</v>
      </c>
      <c r="I2252" s="2" t="n">
        <v>0</v>
      </c>
    </row>
    <row r="2253">
      <c r="A2253" s="2" t="n">
        <v>2251</v>
      </c>
      <c r="B2253" s="2" t="inlineStr">
        <is>
          <t>length</t>
        </is>
      </c>
      <c r="C2253" s="2" t="inlineStr">
        <is>
          <t>browser firefox147</t>
        </is>
      </c>
      <c r="D2253" s="2" t="n">
        <v>1901</v>
      </c>
      <c r="E2253" s="2" t="n">
        <v>1901</v>
      </c>
      <c r="F2253" s="2" t="n">
        <v>1</v>
      </c>
      <c r="G2253" s="2" t="n">
        <v>1</v>
      </c>
      <c r="H2253" s="2" t="n">
        <v>1</v>
      </c>
      <c r="I2253" s="2" t="n">
        <v>0</v>
      </c>
    </row>
    <row r="2254">
      <c r="A2254" s="2" t="n">
        <v>2252</v>
      </c>
      <c r="B2254" s="2" t="inlineStr">
        <is>
          <t>insert</t>
        </is>
      </c>
      <c r="C2254" s="2" t="inlineStr">
        <is>
          <t>openssl TLS 1.2 only</t>
        </is>
      </c>
      <c r="D2254" s="2" t="n">
        <v>218</v>
      </c>
      <c r="E2254" s="2" t="n">
        <v>218</v>
      </c>
      <c r="F2254" s="2" t="n">
        <v>1</v>
      </c>
      <c r="G2254" s="2" t="n">
        <v>1</v>
      </c>
      <c r="H2254" s="2" t="n">
        <v>1</v>
      </c>
      <c r="I2254" s="2" t="n">
        <v>0</v>
      </c>
    </row>
    <row r="2255">
      <c r="A2255" s="2" t="n">
        <v>2253</v>
      </c>
      <c r="B2255" s="2" t="inlineStr">
        <is>
          <t>flip</t>
        </is>
      </c>
      <c r="C2255" s="2" t="inlineStr">
        <is>
          <t>openssl X25519 only (classical)</t>
        </is>
      </c>
      <c r="D2255" s="2" t="n">
        <v>314</v>
      </c>
      <c r="E2255" s="2" t="n">
        <v>314</v>
      </c>
      <c r="F2255" s="2" t="n">
        <v>1</v>
      </c>
      <c r="G2255" s="2" t="n">
        <v>1</v>
      </c>
      <c r="H2255" s="2" t="n">
        <v>1</v>
      </c>
      <c r="I2255" s="2" t="n">
        <v>0</v>
      </c>
    </row>
    <row r="2256">
      <c r="A2256" s="2" t="n">
        <v>2254</v>
      </c>
      <c r="B2256" s="2" t="inlineStr">
        <is>
          <t>truncate</t>
        </is>
      </c>
      <c r="C2256" s="2" t="inlineStr">
        <is>
          <t>browser firefox147</t>
        </is>
      </c>
      <c r="D2256" s="2" t="n">
        <v>810</v>
      </c>
      <c r="E2256" s="2" t="n">
        <v>810</v>
      </c>
      <c r="F2256" s="2" t="n">
        <v>1</v>
      </c>
      <c r="G2256" s="2" t="n">
        <v>1</v>
      </c>
      <c r="H2256" s="2" t="n">
        <v>0</v>
      </c>
      <c r="I2256" s="2" t="n">
        <v>0</v>
      </c>
    </row>
    <row r="2257">
      <c r="A2257" s="2" t="n">
        <v>2255</v>
      </c>
      <c r="B2257" s="2" t="inlineStr">
        <is>
          <t>length</t>
        </is>
      </c>
      <c r="C2257" s="2" t="inlineStr">
        <is>
          <t>openssl 3.5.8 default</t>
        </is>
      </c>
      <c r="D2257" s="2" t="n">
        <v>1548</v>
      </c>
      <c r="E2257" s="2" t="n">
        <v>1548</v>
      </c>
      <c r="F2257" s="2" t="n">
        <v>1</v>
      </c>
      <c r="G2257" s="2" t="n">
        <v>0</v>
      </c>
      <c r="H2257" s="2" t="n">
        <v>0</v>
      </c>
      <c r="I2257" s="2" t="n">
        <v>0</v>
      </c>
    </row>
    <row r="2258">
      <c r="A2258" s="2" t="n">
        <v>2256</v>
      </c>
      <c r="B2258" s="2" t="inlineStr">
        <is>
          <t>insert</t>
        </is>
      </c>
      <c r="C2258" s="2" t="inlineStr">
        <is>
          <t>openssl TLS 1.2 only</t>
        </is>
      </c>
      <c r="D2258" s="2" t="n">
        <v>225</v>
      </c>
      <c r="E2258" s="2" t="n">
        <v>225</v>
      </c>
      <c r="F2258" s="2" t="n">
        <v>1</v>
      </c>
      <c r="G2258" s="2" t="n">
        <v>1</v>
      </c>
      <c r="H2258" s="2" t="n">
        <v>0</v>
      </c>
      <c r="I2258" s="2" t="n">
        <v>0</v>
      </c>
    </row>
    <row r="2259">
      <c r="A2259" s="2" t="n">
        <v>2257</v>
      </c>
      <c r="B2259" s="2" t="inlineStr">
        <is>
          <t>flip</t>
        </is>
      </c>
      <c r="C2259" s="2" t="inlineStr">
        <is>
          <t>openssl TLS 1.2 only</t>
        </is>
      </c>
      <c r="D2259" s="2" t="n">
        <v>215</v>
      </c>
      <c r="E2259" s="2" t="n">
        <v>215</v>
      </c>
      <c r="F2259" s="2" t="n">
        <v>0</v>
      </c>
      <c r="G2259" s="2" t="n">
        <v>0</v>
      </c>
      <c r="H2259" s="2" t="n">
        <v>0</v>
      </c>
      <c r="I2259" s="2" t="n">
        <v>0</v>
      </c>
    </row>
    <row r="2260">
      <c r="A2260" s="2" t="n">
        <v>2258</v>
      </c>
      <c r="B2260" s="2" t="inlineStr">
        <is>
          <t>truncate</t>
        </is>
      </c>
      <c r="C2260" s="2" t="inlineStr">
        <is>
          <t>openssl TLS 1.2 only</t>
        </is>
      </c>
      <c r="D2260" s="2" t="n">
        <v>12</v>
      </c>
      <c r="E2260" s="2" t="n">
        <v>12</v>
      </c>
      <c r="F2260" s="2" t="n">
        <v>1</v>
      </c>
      <c r="G2260" s="2" t="n">
        <v>0</v>
      </c>
      <c r="H2260" s="2" t="n">
        <v>0</v>
      </c>
      <c r="I2260" s="2" t="n">
        <v>0</v>
      </c>
    </row>
    <row r="2261">
      <c r="A2261" s="2" t="n">
        <v>2259</v>
      </c>
      <c r="B2261" s="2" t="inlineStr">
        <is>
          <t>length</t>
        </is>
      </c>
      <c r="C2261" s="2" t="inlineStr">
        <is>
          <t>browser chrome150</t>
        </is>
      </c>
      <c r="D2261" s="2" t="n">
        <v>1763</v>
      </c>
      <c r="E2261" s="2" t="n">
        <v>1763</v>
      </c>
      <c r="F2261" s="2" t="n">
        <v>1</v>
      </c>
      <c r="G2261" s="2" t="n">
        <v>1</v>
      </c>
      <c r="H2261" s="2" t="n">
        <v>1</v>
      </c>
      <c r="I2261" s="2" t="n">
        <v>0</v>
      </c>
    </row>
    <row r="2262">
      <c r="A2262" s="2" t="n">
        <v>2260</v>
      </c>
      <c r="B2262" s="2" t="inlineStr">
        <is>
          <t>insert</t>
        </is>
      </c>
      <c r="C2262" s="2" t="inlineStr">
        <is>
          <t>openssl 3.5.8 default</t>
        </is>
      </c>
      <c r="D2262" s="2" t="n">
        <v>1552</v>
      </c>
      <c r="E2262" s="2" t="n">
        <v>1552</v>
      </c>
      <c r="F2262" s="2" t="n">
        <v>1</v>
      </c>
      <c r="G2262" s="2" t="n">
        <v>1</v>
      </c>
      <c r="H2262" s="2" t="n">
        <v>1</v>
      </c>
      <c r="I2262" s="2" t="n">
        <v>0</v>
      </c>
    </row>
    <row r="2263">
      <c r="A2263" s="2" t="n">
        <v>2261</v>
      </c>
      <c r="B2263" s="2" t="inlineStr">
        <is>
          <t>flip</t>
        </is>
      </c>
      <c r="C2263" s="2" t="inlineStr">
        <is>
          <t>openssl X25519 only (classical)</t>
        </is>
      </c>
      <c r="D2263" s="2" t="n">
        <v>314</v>
      </c>
      <c r="E2263" s="2" t="n">
        <v>314</v>
      </c>
      <c r="F2263" s="2" t="n">
        <v>1</v>
      </c>
      <c r="G2263" s="2" t="n">
        <v>1</v>
      </c>
      <c r="H2263" s="2" t="n">
        <v>1</v>
      </c>
      <c r="I2263" s="2" t="n">
        <v>0</v>
      </c>
    </row>
    <row r="2264">
      <c r="A2264" s="2" t="n">
        <v>2262</v>
      </c>
      <c r="B2264" s="2" t="inlineStr">
        <is>
          <t>truncate</t>
        </is>
      </c>
      <c r="C2264" s="2" t="inlineStr">
        <is>
          <t>openssl X25519 only (classical)</t>
        </is>
      </c>
      <c r="D2264" s="2" t="n">
        <v>189</v>
      </c>
      <c r="E2264" s="2" t="n">
        <v>189</v>
      </c>
      <c r="F2264" s="2" t="n">
        <v>1</v>
      </c>
      <c r="G2264" s="2" t="n">
        <v>1</v>
      </c>
      <c r="H2264" s="2" t="n">
        <v>0</v>
      </c>
      <c r="I2264" s="2" t="n">
        <v>0</v>
      </c>
    </row>
    <row r="2265">
      <c r="A2265" s="2" t="n">
        <v>2263</v>
      </c>
      <c r="B2265" s="2" t="inlineStr">
        <is>
          <t>length</t>
        </is>
      </c>
      <c r="C2265" s="2" t="inlineStr">
        <is>
          <t>browser firefox147</t>
        </is>
      </c>
      <c r="D2265" s="2" t="n">
        <v>1901</v>
      </c>
      <c r="E2265" s="2" t="n">
        <v>1901</v>
      </c>
      <c r="F2265" s="2" t="n">
        <v>1</v>
      </c>
      <c r="G2265" s="2" t="n">
        <v>1</v>
      </c>
      <c r="H2265" s="2" t="n">
        <v>0</v>
      </c>
      <c r="I2265" s="2" t="n">
        <v>0</v>
      </c>
    </row>
    <row r="2266">
      <c r="A2266" s="2" t="n">
        <v>2264</v>
      </c>
      <c r="B2266" s="2" t="inlineStr">
        <is>
          <t>insert</t>
        </is>
      </c>
      <c r="C2266" s="2" t="inlineStr">
        <is>
          <t>browser chrome150</t>
        </is>
      </c>
      <c r="D2266" s="2" t="n">
        <v>1767</v>
      </c>
      <c r="E2266" s="2" t="n">
        <v>1767</v>
      </c>
      <c r="F2266" s="2" t="n">
        <v>1</v>
      </c>
      <c r="G2266" s="2" t="n">
        <v>1</v>
      </c>
      <c r="H2266" s="2" t="n">
        <v>1</v>
      </c>
      <c r="I2266" s="2" t="n">
        <v>0</v>
      </c>
    </row>
    <row r="2267">
      <c r="A2267" s="2" t="n">
        <v>2265</v>
      </c>
      <c r="B2267" s="2" t="inlineStr">
        <is>
          <t>flip</t>
        </is>
      </c>
      <c r="C2267" s="2" t="inlineStr">
        <is>
          <t>browser chrome150</t>
        </is>
      </c>
      <c r="D2267" s="2" t="n">
        <v>1763</v>
      </c>
      <c r="E2267" s="2" t="n">
        <v>1763</v>
      </c>
      <c r="F2267" s="2" t="n">
        <v>0</v>
      </c>
      <c r="G2267" s="2" t="n">
        <v>0</v>
      </c>
      <c r="H2267" s="2" t="n">
        <v>0</v>
      </c>
      <c r="I2267" s="2" t="n">
        <v>0</v>
      </c>
    </row>
    <row r="2268">
      <c r="A2268" s="2" t="n">
        <v>2266</v>
      </c>
      <c r="B2268" s="2" t="inlineStr">
        <is>
          <t>truncate</t>
        </is>
      </c>
      <c r="C2268" s="2" t="inlineStr">
        <is>
          <t>openssl TLS 1.2 only</t>
        </is>
      </c>
      <c r="D2268" s="2" t="n">
        <v>195</v>
      </c>
      <c r="E2268" s="2" t="n">
        <v>195</v>
      </c>
      <c r="F2268" s="2" t="n">
        <v>1</v>
      </c>
      <c r="G2268" s="2" t="n">
        <v>1</v>
      </c>
      <c r="H2268" s="2" t="n">
        <v>1</v>
      </c>
      <c r="I2268" s="2" t="n">
        <v>0</v>
      </c>
    </row>
    <row r="2269">
      <c r="A2269" s="2" t="n">
        <v>2267</v>
      </c>
      <c r="B2269" s="2" t="inlineStr">
        <is>
          <t>length</t>
        </is>
      </c>
      <c r="C2269" s="2" t="inlineStr">
        <is>
          <t>openssl TLS 1.2 only</t>
        </is>
      </c>
      <c r="D2269" s="2" t="n">
        <v>215</v>
      </c>
      <c r="E2269" s="2" t="n">
        <v>215</v>
      </c>
      <c r="F2269" s="2" t="n">
        <v>1</v>
      </c>
      <c r="G2269" s="2" t="n">
        <v>1</v>
      </c>
      <c r="H2269" s="2" t="n">
        <v>1</v>
      </c>
      <c r="I2269" s="2" t="n">
        <v>0</v>
      </c>
    </row>
    <row r="2270">
      <c r="A2270" s="2" t="n">
        <v>2268</v>
      </c>
      <c r="B2270" s="2" t="inlineStr">
        <is>
          <t>insert</t>
        </is>
      </c>
      <c r="C2270" s="2" t="inlineStr">
        <is>
          <t>browser firefox147</t>
        </is>
      </c>
      <c r="D2270" s="2" t="n">
        <v>1906</v>
      </c>
      <c r="E2270" s="2" t="n">
        <v>1906</v>
      </c>
      <c r="F2270" s="2" t="n">
        <v>1</v>
      </c>
      <c r="G2270" s="2" t="n">
        <v>1</v>
      </c>
      <c r="H2270" s="2" t="n">
        <v>0</v>
      </c>
      <c r="I2270" s="2" t="n">
        <v>0</v>
      </c>
    </row>
    <row r="2271">
      <c r="A2271" s="2" t="n">
        <v>2269</v>
      </c>
      <c r="B2271" s="2" t="inlineStr">
        <is>
          <t>flip</t>
        </is>
      </c>
      <c r="C2271" s="2" t="inlineStr">
        <is>
          <t>openssl X25519 only (classical)</t>
        </is>
      </c>
      <c r="D2271" s="2" t="n">
        <v>314</v>
      </c>
      <c r="E2271" s="2" t="n">
        <v>314</v>
      </c>
      <c r="F2271" s="2" t="n">
        <v>1</v>
      </c>
      <c r="G2271" s="2" t="n">
        <v>1</v>
      </c>
      <c r="H2271" s="2" t="n">
        <v>1</v>
      </c>
      <c r="I2271" s="2" t="n">
        <v>0</v>
      </c>
    </row>
    <row r="2272">
      <c r="A2272" s="2" t="n">
        <v>2270</v>
      </c>
      <c r="B2272" s="2" t="inlineStr">
        <is>
          <t>truncate</t>
        </is>
      </c>
      <c r="C2272" s="2" t="inlineStr">
        <is>
          <t>openssl TLS 1.2 only</t>
        </is>
      </c>
      <c r="D2272" s="2" t="n">
        <v>29</v>
      </c>
      <c r="E2272" s="2" t="n">
        <v>29</v>
      </c>
      <c r="F2272" s="2" t="n">
        <v>1</v>
      </c>
      <c r="G2272" s="2" t="n">
        <v>0</v>
      </c>
      <c r="H2272" s="2" t="n">
        <v>0</v>
      </c>
      <c r="I2272" s="2" t="n">
        <v>0</v>
      </c>
    </row>
    <row r="2273">
      <c r="A2273" s="2" t="n">
        <v>2271</v>
      </c>
      <c r="B2273" s="2" t="inlineStr">
        <is>
          <t>length</t>
        </is>
      </c>
      <c r="C2273" s="2" t="inlineStr">
        <is>
          <t>openssl X25519 only (classical)</t>
        </is>
      </c>
      <c r="D2273" s="2" t="n">
        <v>314</v>
      </c>
      <c r="E2273" s="2" t="n">
        <v>314</v>
      </c>
      <c r="F2273" s="2" t="n">
        <v>1</v>
      </c>
      <c r="G2273" s="2" t="n">
        <v>1</v>
      </c>
      <c r="H2273" s="2" t="n">
        <v>1</v>
      </c>
      <c r="I2273" s="2" t="n">
        <v>0</v>
      </c>
    </row>
    <row r="2274">
      <c r="A2274" s="2" t="n">
        <v>2272</v>
      </c>
      <c r="B2274" s="2" t="inlineStr">
        <is>
          <t>insert</t>
        </is>
      </c>
      <c r="C2274" s="2" t="inlineStr">
        <is>
          <t>openssl X25519 only (classical)</t>
        </is>
      </c>
      <c r="D2274" s="2" t="n">
        <v>317</v>
      </c>
      <c r="E2274" s="2" t="n">
        <v>317</v>
      </c>
      <c r="F2274" s="2" t="n">
        <v>1</v>
      </c>
      <c r="G2274" s="2" t="n">
        <v>1</v>
      </c>
      <c r="H2274" s="2" t="n">
        <v>1</v>
      </c>
      <c r="I2274" s="2" t="n">
        <v>0</v>
      </c>
    </row>
    <row r="2275">
      <c r="A2275" s="2" t="n">
        <v>2273</v>
      </c>
      <c r="B2275" s="2" t="inlineStr">
        <is>
          <t>flip</t>
        </is>
      </c>
      <c r="C2275" s="2" t="inlineStr">
        <is>
          <t>browser firefox147</t>
        </is>
      </c>
      <c r="D2275" s="2" t="n">
        <v>1901</v>
      </c>
      <c r="E2275" s="2" t="n">
        <v>1901</v>
      </c>
      <c r="F2275" s="2" t="n">
        <v>1</v>
      </c>
      <c r="G2275" s="2" t="n">
        <v>1</v>
      </c>
      <c r="H2275" s="2" t="n">
        <v>0</v>
      </c>
      <c r="I2275" s="2" t="n">
        <v>0</v>
      </c>
    </row>
    <row r="2276">
      <c r="A2276" s="2" t="n">
        <v>2274</v>
      </c>
      <c r="B2276" s="2" t="inlineStr">
        <is>
          <t>truncate</t>
        </is>
      </c>
      <c r="C2276" s="2" t="inlineStr">
        <is>
          <t>browser firefox147</t>
        </is>
      </c>
      <c r="D2276" s="2" t="n">
        <v>303</v>
      </c>
      <c r="E2276" s="2" t="n">
        <v>303</v>
      </c>
      <c r="F2276" s="2" t="n">
        <v>1</v>
      </c>
      <c r="G2276" s="2" t="n">
        <v>1</v>
      </c>
      <c r="H2276" s="2" t="n">
        <v>0</v>
      </c>
      <c r="I2276" s="2" t="n">
        <v>0</v>
      </c>
    </row>
    <row r="2277">
      <c r="A2277" s="2" t="n">
        <v>2275</v>
      </c>
      <c r="B2277" s="2" t="inlineStr">
        <is>
          <t>length</t>
        </is>
      </c>
      <c r="C2277" s="2" t="inlineStr">
        <is>
          <t>browser firefox147</t>
        </is>
      </c>
      <c r="D2277" s="2" t="n">
        <v>1901</v>
      </c>
      <c r="E2277" s="2" t="n">
        <v>1901</v>
      </c>
      <c r="F2277" s="2" t="n">
        <v>1</v>
      </c>
      <c r="G2277" s="2" t="n">
        <v>1</v>
      </c>
      <c r="H2277" s="2" t="n">
        <v>0</v>
      </c>
      <c r="I2277" s="2" t="n">
        <v>0</v>
      </c>
    </row>
    <row r="2278">
      <c r="A2278" s="2" t="n">
        <v>2276</v>
      </c>
      <c r="B2278" s="2" t="inlineStr">
        <is>
          <t>insert</t>
        </is>
      </c>
      <c r="C2278" s="2" t="inlineStr">
        <is>
          <t>browser chrome150</t>
        </is>
      </c>
      <c r="D2278" s="2" t="n">
        <v>1778</v>
      </c>
      <c r="E2278" s="2" t="n">
        <v>1778</v>
      </c>
      <c r="F2278" s="2" t="n">
        <v>1</v>
      </c>
      <c r="G2278" s="2" t="n">
        <v>1</v>
      </c>
      <c r="H2278" s="2" t="n">
        <v>1</v>
      </c>
      <c r="I2278" s="2" t="n">
        <v>0</v>
      </c>
    </row>
    <row r="2279">
      <c r="A2279" s="2" t="n">
        <v>2277</v>
      </c>
      <c r="B2279" s="2" t="inlineStr">
        <is>
          <t>flip</t>
        </is>
      </c>
      <c r="C2279" s="2" t="inlineStr">
        <is>
          <t>openssl X25519 only (classical)</t>
        </is>
      </c>
      <c r="D2279" s="2" t="n">
        <v>314</v>
      </c>
      <c r="E2279" s="2" t="n">
        <v>314</v>
      </c>
      <c r="F2279" s="2" t="n">
        <v>0</v>
      </c>
      <c r="G2279" s="2" t="n">
        <v>0</v>
      </c>
      <c r="H2279" s="2" t="n">
        <v>0</v>
      </c>
      <c r="I2279" s="2" t="n">
        <v>0</v>
      </c>
    </row>
    <row r="2280">
      <c r="A2280" s="2" t="n">
        <v>2278</v>
      </c>
      <c r="B2280" s="2" t="inlineStr">
        <is>
          <t>truncate</t>
        </is>
      </c>
      <c r="C2280" s="2" t="inlineStr">
        <is>
          <t>browser chrome150</t>
        </is>
      </c>
      <c r="D2280" s="2" t="n">
        <v>602</v>
      </c>
      <c r="E2280" s="2" t="n">
        <v>602</v>
      </c>
      <c r="F2280" s="2" t="n">
        <v>1</v>
      </c>
      <c r="G2280" s="2" t="n">
        <v>1</v>
      </c>
      <c r="H2280" s="2" t="n">
        <v>1</v>
      </c>
      <c r="I2280" s="2" t="n">
        <v>0</v>
      </c>
    </row>
    <row r="2281">
      <c r="A2281" s="2" t="n">
        <v>2279</v>
      </c>
      <c r="B2281" s="2" t="inlineStr">
        <is>
          <t>length</t>
        </is>
      </c>
      <c r="C2281" s="2" t="inlineStr">
        <is>
          <t>openssl 3.5.8 default</t>
        </is>
      </c>
      <c r="D2281" s="2" t="n">
        <v>1548</v>
      </c>
      <c r="E2281" s="2" t="n">
        <v>1548</v>
      </c>
      <c r="F2281" s="2" t="n">
        <v>0</v>
      </c>
      <c r="G2281" s="2" t="n">
        <v>0</v>
      </c>
      <c r="H2281" s="2" t="n">
        <v>0</v>
      </c>
      <c r="I2281" s="2" t="n">
        <v>0</v>
      </c>
    </row>
    <row r="2282">
      <c r="A2282" s="2" t="n">
        <v>2280</v>
      </c>
      <c r="B2282" s="2" t="inlineStr">
        <is>
          <t>insert</t>
        </is>
      </c>
      <c r="C2282" s="2" t="inlineStr">
        <is>
          <t>openssl 3.5.8 default</t>
        </is>
      </c>
      <c r="D2282" s="2" t="n">
        <v>1553</v>
      </c>
      <c r="E2282" s="2" t="n">
        <v>1553</v>
      </c>
      <c r="F2282" s="2" t="n">
        <v>1</v>
      </c>
      <c r="G2282" s="2" t="n">
        <v>1</v>
      </c>
      <c r="H2282" s="2" t="n">
        <v>1</v>
      </c>
      <c r="I2282" s="2" t="n">
        <v>0</v>
      </c>
    </row>
    <row r="2283">
      <c r="A2283" s="2" t="n">
        <v>2281</v>
      </c>
      <c r="B2283" s="2" t="inlineStr">
        <is>
          <t>flip</t>
        </is>
      </c>
      <c r="C2283" s="2" t="inlineStr">
        <is>
          <t>openssl X25519 only (classical)</t>
        </is>
      </c>
      <c r="D2283" s="2" t="n">
        <v>314</v>
      </c>
      <c r="E2283" s="2" t="n">
        <v>314</v>
      </c>
      <c r="F2283" s="2" t="n">
        <v>1</v>
      </c>
      <c r="G2283" s="2" t="n">
        <v>1</v>
      </c>
      <c r="H2283" s="2" t="n">
        <v>1</v>
      </c>
      <c r="I2283" s="2" t="n">
        <v>0</v>
      </c>
    </row>
    <row r="2284">
      <c r="A2284" s="2" t="n">
        <v>2282</v>
      </c>
      <c r="B2284" s="2" t="inlineStr">
        <is>
          <t>truncate</t>
        </is>
      </c>
      <c r="C2284" s="2" t="inlineStr">
        <is>
          <t>openssl TLS 1.2 only</t>
        </is>
      </c>
      <c r="D2284" s="2" t="n">
        <v>26</v>
      </c>
      <c r="E2284" s="2" t="n">
        <v>26</v>
      </c>
      <c r="F2284" s="2" t="n">
        <v>1</v>
      </c>
      <c r="G2284" s="2" t="n">
        <v>0</v>
      </c>
      <c r="H2284" s="2" t="n">
        <v>0</v>
      </c>
      <c r="I2284" s="2" t="n">
        <v>0</v>
      </c>
    </row>
    <row r="2285">
      <c r="A2285" s="2" t="n">
        <v>2283</v>
      </c>
      <c r="B2285" s="2" t="inlineStr">
        <is>
          <t>length</t>
        </is>
      </c>
      <c r="C2285" s="2" t="inlineStr">
        <is>
          <t>openssl TLS 1.2 only</t>
        </is>
      </c>
      <c r="D2285" s="2" t="n">
        <v>215</v>
      </c>
      <c r="E2285" s="2" t="n">
        <v>215</v>
      </c>
      <c r="F2285" s="2" t="n">
        <v>0</v>
      </c>
      <c r="G2285" s="2" t="n">
        <v>0</v>
      </c>
      <c r="H2285" s="2" t="n">
        <v>0</v>
      </c>
      <c r="I2285" s="2" t="n">
        <v>0</v>
      </c>
    </row>
    <row r="2286">
      <c r="A2286" s="2" t="n">
        <v>2284</v>
      </c>
      <c r="B2286" s="2" t="inlineStr">
        <is>
          <t>insert</t>
        </is>
      </c>
      <c r="C2286" s="2" t="inlineStr">
        <is>
          <t>openssl X25519 only (classical)</t>
        </is>
      </c>
      <c r="D2286" s="2" t="n">
        <v>328</v>
      </c>
      <c r="E2286" s="2" t="n">
        <v>328</v>
      </c>
      <c r="F2286" s="2" t="n">
        <v>1</v>
      </c>
      <c r="G2286" s="2" t="n">
        <v>1</v>
      </c>
      <c r="H2286" s="2" t="n">
        <v>1</v>
      </c>
      <c r="I2286" s="2" t="n">
        <v>0</v>
      </c>
    </row>
    <row r="2287">
      <c r="A2287" s="2" t="n">
        <v>2285</v>
      </c>
      <c r="B2287" s="2" t="inlineStr">
        <is>
          <t>flip</t>
        </is>
      </c>
      <c r="C2287" s="2" t="inlineStr">
        <is>
          <t>openssl 3.5.8 default</t>
        </is>
      </c>
      <c r="D2287" s="2" t="n">
        <v>1548</v>
      </c>
      <c r="E2287" s="2" t="n">
        <v>1548</v>
      </c>
      <c r="F2287" s="2" t="n">
        <v>1</v>
      </c>
      <c r="G2287" s="2" t="n">
        <v>1</v>
      </c>
      <c r="H2287" s="2" t="n">
        <v>1</v>
      </c>
      <c r="I2287" s="2" t="n">
        <v>0</v>
      </c>
    </row>
    <row r="2288">
      <c r="A2288" s="2" t="n">
        <v>2286</v>
      </c>
      <c r="B2288" s="2" t="inlineStr">
        <is>
          <t>truncate</t>
        </is>
      </c>
      <c r="C2288" s="2" t="inlineStr">
        <is>
          <t>openssl TLS 1.2 only</t>
        </is>
      </c>
      <c r="D2288" s="2" t="n">
        <v>187</v>
      </c>
      <c r="E2288" s="2" t="n">
        <v>187</v>
      </c>
      <c r="F2288" s="2" t="n">
        <v>1</v>
      </c>
      <c r="G2288" s="2" t="n">
        <v>1</v>
      </c>
      <c r="H2288" s="2" t="n">
        <v>1</v>
      </c>
      <c r="I2288" s="2" t="n">
        <v>0</v>
      </c>
    </row>
    <row r="2289">
      <c r="A2289" s="2" t="n">
        <v>2287</v>
      </c>
      <c r="B2289" s="2" t="inlineStr">
        <is>
          <t>length</t>
        </is>
      </c>
      <c r="C2289" s="2" t="inlineStr">
        <is>
          <t>browser chrome150</t>
        </is>
      </c>
      <c r="D2289" s="2" t="n">
        <v>1763</v>
      </c>
      <c r="E2289" s="2" t="n">
        <v>1763</v>
      </c>
      <c r="F2289" s="2" t="n">
        <v>0</v>
      </c>
      <c r="G2289" s="2" t="n">
        <v>0</v>
      </c>
      <c r="H2289" s="2" t="n">
        <v>0</v>
      </c>
      <c r="I2289" s="2" t="n">
        <v>0</v>
      </c>
    </row>
    <row r="2290">
      <c r="A2290" s="2" t="n">
        <v>2288</v>
      </c>
      <c r="B2290" s="2" t="inlineStr">
        <is>
          <t>insert</t>
        </is>
      </c>
      <c r="C2290" s="2" t="inlineStr">
        <is>
          <t>browser firefox147</t>
        </is>
      </c>
      <c r="D2290" s="2" t="n">
        <v>1914</v>
      </c>
      <c r="E2290" s="2" t="n">
        <v>1914</v>
      </c>
      <c r="F2290" s="2" t="n">
        <v>1</v>
      </c>
      <c r="G2290" s="2" t="n">
        <v>1</v>
      </c>
      <c r="H2290" s="2" t="n">
        <v>0</v>
      </c>
      <c r="I2290" s="2" t="n">
        <v>0</v>
      </c>
    </row>
    <row r="2291">
      <c r="A2291" s="2" t="n">
        <v>2289</v>
      </c>
      <c r="B2291" s="2" t="inlineStr">
        <is>
          <t>flip</t>
        </is>
      </c>
      <c r="C2291" s="2" t="inlineStr">
        <is>
          <t>openssl TLS 1.2 only</t>
        </is>
      </c>
      <c r="D2291" s="2" t="n">
        <v>215</v>
      </c>
      <c r="E2291" s="2" t="n">
        <v>215</v>
      </c>
      <c r="F2291" s="2" t="n">
        <v>0</v>
      </c>
      <c r="G2291" s="2" t="n">
        <v>0</v>
      </c>
      <c r="H2291" s="2" t="n">
        <v>0</v>
      </c>
      <c r="I2291" s="2" t="n">
        <v>0</v>
      </c>
    </row>
    <row r="2292">
      <c r="A2292" s="2" t="n">
        <v>2290</v>
      </c>
      <c r="B2292" s="2" t="inlineStr">
        <is>
          <t>truncate</t>
        </is>
      </c>
      <c r="C2292" s="2" t="inlineStr">
        <is>
          <t>openssl TLS 1.2 only</t>
        </is>
      </c>
      <c r="D2292" s="2" t="n">
        <v>70</v>
      </c>
      <c r="E2292" s="2" t="n">
        <v>70</v>
      </c>
      <c r="F2292" s="2" t="n">
        <v>1</v>
      </c>
      <c r="G2292" s="2" t="n">
        <v>0</v>
      </c>
      <c r="H2292" s="2" t="n">
        <v>0</v>
      </c>
      <c r="I2292" s="2" t="n">
        <v>0</v>
      </c>
    </row>
    <row r="2293">
      <c r="A2293" s="2" t="n">
        <v>2291</v>
      </c>
      <c r="B2293" s="2" t="inlineStr">
        <is>
          <t>length</t>
        </is>
      </c>
      <c r="C2293" s="2" t="inlineStr">
        <is>
          <t>openssl 3.5.8 default</t>
        </is>
      </c>
      <c r="D2293" s="2" t="n">
        <v>1548</v>
      </c>
      <c r="E2293" s="2" t="n">
        <v>1548</v>
      </c>
      <c r="F2293" s="2" t="n">
        <v>1</v>
      </c>
      <c r="G2293" s="2" t="n">
        <v>1</v>
      </c>
      <c r="H2293" s="2" t="n">
        <v>1</v>
      </c>
      <c r="I2293" s="2" t="n">
        <v>0</v>
      </c>
    </row>
    <row r="2294">
      <c r="A2294" s="2" t="n">
        <v>2292</v>
      </c>
      <c r="B2294" s="2" t="inlineStr">
        <is>
          <t>insert</t>
        </is>
      </c>
      <c r="C2294" s="2" t="inlineStr">
        <is>
          <t>browser chrome150</t>
        </is>
      </c>
      <c r="D2294" s="2" t="n">
        <v>1765</v>
      </c>
      <c r="E2294" s="2" t="n">
        <v>1765</v>
      </c>
      <c r="F2294" s="2" t="n">
        <v>1</v>
      </c>
      <c r="G2294" s="2" t="n">
        <v>1</v>
      </c>
      <c r="H2294" s="2" t="n">
        <v>1</v>
      </c>
      <c r="I2294" s="2" t="n">
        <v>0</v>
      </c>
    </row>
    <row r="2295">
      <c r="A2295" s="2" t="n">
        <v>2293</v>
      </c>
      <c r="B2295" s="2" t="inlineStr">
        <is>
          <t>flip</t>
        </is>
      </c>
      <c r="C2295" s="2" t="inlineStr">
        <is>
          <t>openssl 3.5.8 default</t>
        </is>
      </c>
      <c r="D2295" s="2" t="n">
        <v>1548</v>
      </c>
      <c r="E2295" s="2" t="n">
        <v>1548</v>
      </c>
      <c r="F2295" s="2" t="n">
        <v>1</v>
      </c>
      <c r="G2295" s="2" t="n">
        <v>1</v>
      </c>
      <c r="H2295" s="2" t="n">
        <v>1</v>
      </c>
      <c r="I2295" s="2" t="n">
        <v>0</v>
      </c>
    </row>
    <row r="2296">
      <c r="A2296" s="2" t="n">
        <v>2294</v>
      </c>
      <c r="B2296" s="2" t="inlineStr">
        <is>
          <t>truncate</t>
        </is>
      </c>
      <c r="C2296" s="2" t="inlineStr">
        <is>
          <t>browser chrome150</t>
        </is>
      </c>
      <c r="D2296" s="2" t="n">
        <v>889</v>
      </c>
      <c r="E2296" s="2" t="n">
        <v>889</v>
      </c>
      <c r="F2296" s="2" t="n">
        <v>1</v>
      </c>
      <c r="G2296" s="2" t="n">
        <v>1</v>
      </c>
      <c r="H2296" s="2" t="n">
        <v>1</v>
      </c>
      <c r="I2296" s="2" t="n">
        <v>0</v>
      </c>
    </row>
    <row r="2297">
      <c r="A2297" s="2" t="n">
        <v>2295</v>
      </c>
      <c r="B2297" s="2" t="inlineStr">
        <is>
          <t>length</t>
        </is>
      </c>
      <c r="C2297" s="2" t="inlineStr">
        <is>
          <t>browser firefox147</t>
        </is>
      </c>
      <c r="D2297" s="2" t="n">
        <v>1901</v>
      </c>
      <c r="E2297" s="2" t="n">
        <v>1901</v>
      </c>
      <c r="F2297" s="2" t="n">
        <v>1</v>
      </c>
      <c r="G2297" s="2" t="n">
        <v>0</v>
      </c>
      <c r="H2297" s="2" t="n">
        <v>0</v>
      </c>
      <c r="I2297" s="2" t="n">
        <v>0</v>
      </c>
    </row>
    <row r="2298">
      <c r="A2298" s="2" t="n">
        <v>2296</v>
      </c>
      <c r="B2298" s="2" t="inlineStr">
        <is>
          <t>insert</t>
        </is>
      </c>
      <c r="C2298" s="2" t="inlineStr">
        <is>
          <t>browser firefox147</t>
        </is>
      </c>
      <c r="D2298" s="2" t="n">
        <v>1912</v>
      </c>
      <c r="E2298" s="2" t="n">
        <v>1912</v>
      </c>
      <c r="F2298" s="2" t="n">
        <v>1</v>
      </c>
      <c r="G2298" s="2" t="n">
        <v>1</v>
      </c>
      <c r="H2298" s="2" t="n">
        <v>0</v>
      </c>
      <c r="I2298" s="2" t="n">
        <v>0</v>
      </c>
    </row>
    <row r="2299">
      <c r="A2299" s="2" t="n">
        <v>2297</v>
      </c>
      <c r="B2299" s="2" t="inlineStr">
        <is>
          <t>flip</t>
        </is>
      </c>
      <c r="C2299" s="2" t="inlineStr">
        <is>
          <t>browser chrome150</t>
        </is>
      </c>
      <c r="D2299" s="2" t="n">
        <v>1763</v>
      </c>
      <c r="E2299" s="2" t="n">
        <v>1763</v>
      </c>
      <c r="F2299" s="2" t="n">
        <v>1</v>
      </c>
      <c r="G2299" s="2" t="n">
        <v>1</v>
      </c>
      <c r="H2299" s="2" t="n">
        <v>1</v>
      </c>
      <c r="I2299" s="2" t="n">
        <v>0</v>
      </c>
    </row>
    <row r="2300">
      <c r="A2300" s="2" t="n">
        <v>2298</v>
      </c>
      <c r="B2300" s="2" t="inlineStr">
        <is>
          <t>truncate</t>
        </is>
      </c>
      <c r="C2300" s="2" t="inlineStr">
        <is>
          <t>openssl X25519 only (classical)</t>
        </is>
      </c>
      <c r="D2300" s="2" t="n">
        <v>71</v>
      </c>
      <c r="E2300" s="2" t="n">
        <v>71</v>
      </c>
      <c r="F2300" s="2" t="n">
        <v>1</v>
      </c>
      <c r="G2300" s="2" t="n">
        <v>0</v>
      </c>
      <c r="H2300" s="2" t="n">
        <v>0</v>
      </c>
      <c r="I2300" s="2" t="n">
        <v>0</v>
      </c>
    </row>
    <row r="2301">
      <c r="A2301" s="2" t="n">
        <v>2299</v>
      </c>
      <c r="B2301" s="2" t="inlineStr">
        <is>
          <t>length</t>
        </is>
      </c>
      <c r="C2301" s="2" t="inlineStr">
        <is>
          <t>browser firefox147</t>
        </is>
      </c>
      <c r="D2301" s="2" t="n">
        <v>1901</v>
      </c>
      <c r="E2301" s="2" t="n">
        <v>1901</v>
      </c>
      <c r="F2301" s="2" t="n">
        <v>1</v>
      </c>
      <c r="G2301" s="2" t="n">
        <v>0</v>
      </c>
      <c r="H2301" s="2" t="n">
        <v>0</v>
      </c>
      <c r="I2301" s="2" t="n">
        <v>0</v>
      </c>
    </row>
    <row r="2302">
      <c r="A2302" s="2" t="n">
        <v>2300</v>
      </c>
      <c r="B2302" s="2" t="inlineStr">
        <is>
          <t>insert</t>
        </is>
      </c>
      <c r="C2302" s="2" t="inlineStr">
        <is>
          <t>browser chrome150</t>
        </is>
      </c>
      <c r="D2302" s="2" t="n">
        <v>1766</v>
      </c>
      <c r="E2302" s="2" t="n">
        <v>1766</v>
      </c>
      <c r="F2302" s="2" t="n">
        <v>1</v>
      </c>
      <c r="G2302" s="2" t="n">
        <v>1</v>
      </c>
      <c r="H2302" s="2" t="n">
        <v>1</v>
      </c>
      <c r="I2302" s="2" t="n">
        <v>0</v>
      </c>
    </row>
    <row r="2303">
      <c r="A2303" s="2" t="n">
        <v>2301</v>
      </c>
      <c r="B2303" s="2" t="inlineStr">
        <is>
          <t>flip</t>
        </is>
      </c>
      <c r="C2303" s="2" t="inlineStr">
        <is>
          <t>browser firefox147</t>
        </is>
      </c>
      <c r="D2303" s="2" t="n">
        <v>1901</v>
      </c>
      <c r="E2303" s="2" t="n">
        <v>1901</v>
      </c>
      <c r="F2303" s="2" t="n">
        <v>1</v>
      </c>
      <c r="G2303" s="2" t="n">
        <v>1</v>
      </c>
      <c r="H2303" s="2" t="n">
        <v>0</v>
      </c>
      <c r="I2303" s="2" t="n">
        <v>0</v>
      </c>
    </row>
    <row r="2304">
      <c r="A2304" s="2" t="n">
        <v>2302</v>
      </c>
      <c r="B2304" s="2" t="inlineStr">
        <is>
          <t>truncate</t>
        </is>
      </c>
      <c r="C2304" s="2" t="inlineStr">
        <is>
          <t>openssl TLS 1.2 only</t>
        </is>
      </c>
      <c r="D2304" s="2" t="n">
        <v>83</v>
      </c>
      <c r="E2304" s="2" t="n">
        <v>83</v>
      </c>
      <c r="F2304" s="2" t="n">
        <v>1</v>
      </c>
      <c r="G2304" s="2" t="n">
        <v>0</v>
      </c>
      <c r="H2304" s="2" t="n">
        <v>0</v>
      </c>
      <c r="I2304" s="2" t="n">
        <v>0</v>
      </c>
    </row>
    <row r="2305">
      <c r="A2305" s="2" t="n">
        <v>2303</v>
      </c>
      <c r="B2305" s="2" t="inlineStr">
        <is>
          <t>length</t>
        </is>
      </c>
      <c r="C2305" s="2" t="inlineStr">
        <is>
          <t>openssl X25519 only (classical)</t>
        </is>
      </c>
      <c r="D2305" s="2" t="n">
        <v>314</v>
      </c>
      <c r="E2305" s="2" t="n">
        <v>314</v>
      </c>
      <c r="F2305" s="2" t="n">
        <v>1</v>
      </c>
      <c r="G2305" s="2" t="n">
        <v>1</v>
      </c>
      <c r="H2305" s="2" t="n">
        <v>1</v>
      </c>
      <c r="I2305" s="2" t="n">
        <v>0</v>
      </c>
    </row>
    <row r="2306">
      <c r="A2306" s="2" t="n">
        <v>2304</v>
      </c>
      <c r="B2306" s="2" t="inlineStr">
        <is>
          <t>insert</t>
        </is>
      </c>
      <c r="C2306" s="2" t="inlineStr">
        <is>
          <t>openssl X25519 only (classical)</t>
        </is>
      </c>
      <c r="D2306" s="2" t="n">
        <v>315</v>
      </c>
      <c r="E2306" s="2" t="n">
        <v>315</v>
      </c>
      <c r="F2306" s="2" t="n">
        <v>1</v>
      </c>
      <c r="G2306" s="2" t="n">
        <v>0</v>
      </c>
      <c r="H2306" s="2" t="n">
        <v>0</v>
      </c>
      <c r="I2306" s="2" t="n">
        <v>0</v>
      </c>
    </row>
    <row r="2307">
      <c r="A2307" s="2" t="n">
        <v>2305</v>
      </c>
      <c r="B2307" s="2" t="inlineStr">
        <is>
          <t>flip</t>
        </is>
      </c>
      <c r="C2307" s="2" t="inlineStr">
        <is>
          <t>openssl TLS 1.2 only</t>
        </is>
      </c>
      <c r="D2307" s="2" t="n">
        <v>215</v>
      </c>
      <c r="E2307" s="2" t="n">
        <v>215</v>
      </c>
      <c r="F2307" s="2" t="n">
        <v>1</v>
      </c>
      <c r="G2307" s="2" t="n">
        <v>1</v>
      </c>
      <c r="H2307" s="2" t="n">
        <v>1</v>
      </c>
      <c r="I2307" s="2" t="n">
        <v>0</v>
      </c>
    </row>
    <row r="2308">
      <c r="A2308" s="2" t="n">
        <v>2306</v>
      </c>
      <c r="B2308" s="2" t="inlineStr">
        <is>
          <t>truncate</t>
        </is>
      </c>
      <c r="C2308" s="2" t="inlineStr">
        <is>
          <t>openssl X25519 only (classical)</t>
        </is>
      </c>
      <c r="D2308" s="2" t="n">
        <v>288</v>
      </c>
      <c r="E2308" s="2" t="n">
        <v>288</v>
      </c>
      <c r="F2308" s="2" t="n">
        <v>1</v>
      </c>
      <c r="G2308" s="2" t="n">
        <v>1</v>
      </c>
      <c r="H2308" s="2" t="n">
        <v>1</v>
      </c>
      <c r="I2308" s="2" t="n">
        <v>0</v>
      </c>
    </row>
    <row r="2309">
      <c r="A2309" s="2" t="n">
        <v>2307</v>
      </c>
      <c r="B2309" s="2" t="inlineStr">
        <is>
          <t>length</t>
        </is>
      </c>
      <c r="C2309" s="2" t="inlineStr">
        <is>
          <t>openssl TLS 1.2 only</t>
        </is>
      </c>
      <c r="D2309" s="2" t="n">
        <v>215</v>
      </c>
      <c r="E2309" s="2" t="n">
        <v>215</v>
      </c>
      <c r="F2309" s="2" t="n">
        <v>1</v>
      </c>
      <c r="G2309" s="2" t="n">
        <v>1</v>
      </c>
      <c r="H2309" s="2" t="n">
        <v>1</v>
      </c>
      <c r="I2309" s="2" t="n">
        <v>0</v>
      </c>
    </row>
    <row r="2310">
      <c r="A2310" s="2" t="n">
        <v>2308</v>
      </c>
      <c r="B2310" s="2" t="inlineStr">
        <is>
          <t>insert</t>
        </is>
      </c>
      <c r="C2310" s="2" t="inlineStr">
        <is>
          <t>openssl TLS 1.2 only</t>
        </is>
      </c>
      <c r="D2310" s="2" t="n">
        <v>229</v>
      </c>
      <c r="E2310" s="2" t="n">
        <v>229</v>
      </c>
      <c r="F2310" s="2" t="n">
        <v>1</v>
      </c>
      <c r="G2310" s="2" t="n">
        <v>1</v>
      </c>
      <c r="H2310" s="2" t="n">
        <v>1</v>
      </c>
      <c r="I2310" s="2" t="n">
        <v>0</v>
      </c>
    </row>
    <row r="2311">
      <c r="A2311" s="2" t="n">
        <v>2309</v>
      </c>
      <c r="B2311" s="2" t="inlineStr">
        <is>
          <t>flip</t>
        </is>
      </c>
      <c r="C2311" s="2" t="inlineStr">
        <is>
          <t>browser chrome150</t>
        </is>
      </c>
      <c r="D2311" s="2" t="n">
        <v>1763</v>
      </c>
      <c r="E2311" s="2" t="n">
        <v>1763</v>
      </c>
      <c r="F2311" s="2" t="n">
        <v>1</v>
      </c>
      <c r="G2311" s="2" t="n">
        <v>1</v>
      </c>
      <c r="H2311" s="2" t="n">
        <v>1</v>
      </c>
      <c r="I2311" s="2" t="n">
        <v>0</v>
      </c>
    </row>
    <row r="2312">
      <c r="A2312" s="2" t="n">
        <v>2310</v>
      </c>
      <c r="B2312" s="2" t="inlineStr">
        <is>
          <t>truncate</t>
        </is>
      </c>
      <c r="C2312" s="2" t="inlineStr">
        <is>
          <t>browser firefox147</t>
        </is>
      </c>
      <c r="D2312" s="2" t="n">
        <v>461</v>
      </c>
      <c r="E2312" s="2" t="n">
        <v>461</v>
      </c>
      <c r="F2312" s="2" t="n">
        <v>1</v>
      </c>
      <c r="G2312" s="2" t="n">
        <v>1</v>
      </c>
      <c r="H2312" s="2" t="n">
        <v>0</v>
      </c>
      <c r="I2312" s="2" t="n">
        <v>0</v>
      </c>
    </row>
    <row r="2313">
      <c r="A2313" s="2" t="n">
        <v>2311</v>
      </c>
      <c r="B2313" s="2" t="inlineStr">
        <is>
          <t>length</t>
        </is>
      </c>
      <c r="C2313" s="2" t="inlineStr">
        <is>
          <t>browser firefox147</t>
        </is>
      </c>
      <c r="D2313" s="2" t="n">
        <v>1901</v>
      </c>
      <c r="E2313" s="2" t="n">
        <v>1901</v>
      </c>
      <c r="F2313" s="2" t="n">
        <v>1</v>
      </c>
      <c r="G2313" s="2" t="n">
        <v>1</v>
      </c>
      <c r="H2313" s="2" t="n">
        <v>1</v>
      </c>
      <c r="I2313" s="2" t="n">
        <v>0</v>
      </c>
    </row>
    <row r="2314">
      <c r="A2314" s="2" t="n">
        <v>2312</v>
      </c>
      <c r="B2314" s="2" t="inlineStr">
        <is>
          <t>insert</t>
        </is>
      </c>
      <c r="C2314" s="2" t="inlineStr">
        <is>
          <t>browser chrome150</t>
        </is>
      </c>
      <c r="D2314" s="2" t="n">
        <v>1769</v>
      </c>
      <c r="E2314" s="2" t="n">
        <v>1769</v>
      </c>
      <c r="F2314" s="2" t="n">
        <v>1</v>
      </c>
      <c r="G2314" s="2" t="n">
        <v>1</v>
      </c>
      <c r="H2314" s="2" t="n">
        <v>1</v>
      </c>
      <c r="I2314" s="2" t="n">
        <v>0</v>
      </c>
    </row>
    <row r="2315">
      <c r="A2315" s="2" t="n">
        <v>2313</v>
      </c>
      <c r="B2315" s="2" t="inlineStr">
        <is>
          <t>flip</t>
        </is>
      </c>
      <c r="C2315" s="2" t="inlineStr">
        <is>
          <t>openssl 3.5.8 default</t>
        </is>
      </c>
      <c r="D2315" s="2" t="n">
        <v>1548</v>
      </c>
      <c r="E2315" s="2" t="n">
        <v>1548</v>
      </c>
      <c r="F2315" s="2" t="n">
        <v>1</v>
      </c>
      <c r="G2315" s="2" t="n">
        <v>1</v>
      </c>
      <c r="H2315" s="2" t="n">
        <v>1</v>
      </c>
      <c r="I2315" s="2" t="n">
        <v>0</v>
      </c>
    </row>
    <row r="2316">
      <c r="A2316" s="2" t="n">
        <v>2314</v>
      </c>
      <c r="B2316" s="2" t="inlineStr">
        <is>
          <t>truncate</t>
        </is>
      </c>
      <c r="C2316" s="2" t="inlineStr">
        <is>
          <t>browser firefox147</t>
        </is>
      </c>
      <c r="D2316" s="2" t="n">
        <v>753</v>
      </c>
      <c r="E2316" s="2" t="n">
        <v>753</v>
      </c>
      <c r="F2316" s="2" t="n">
        <v>1</v>
      </c>
      <c r="G2316" s="2" t="n">
        <v>1</v>
      </c>
      <c r="H2316" s="2" t="n">
        <v>0</v>
      </c>
      <c r="I2316" s="2" t="n">
        <v>0</v>
      </c>
    </row>
    <row r="2317">
      <c r="A2317" s="2" t="n">
        <v>2315</v>
      </c>
      <c r="B2317" s="2" t="inlineStr">
        <is>
          <t>length</t>
        </is>
      </c>
      <c r="C2317" s="2" t="inlineStr">
        <is>
          <t>openssl X25519 only (classical)</t>
        </is>
      </c>
      <c r="D2317" s="2" t="n">
        <v>314</v>
      </c>
      <c r="E2317" s="2" t="n">
        <v>314</v>
      </c>
      <c r="F2317" s="2" t="n">
        <v>0</v>
      </c>
      <c r="G2317" s="2" t="n">
        <v>0</v>
      </c>
      <c r="H2317" s="2" t="n">
        <v>0</v>
      </c>
      <c r="I2317" s="2" t="n">
        <v>0</v>
      </c>
    </row>
    <row r="2318">
      <c r="A2318" s="2" t="n">
        <v>2316</v>
      </c>
      <c r="B2318" s="2" t="inlineStr">
        <is>
          <t>insert</t>
        </is>
      </c>
      <c r="C2318" s="2" t="inlineStr">
        <is>
          <t>openssl 3.5.8 default</t>
        </is>
      </c>
      <c r="D2318" s="2" t="n">
        <v>1552</v>
      </c>
      <c r="E2318" s="2" t="n">
        <v>1552</v>
      </c>
      <c r="F2318" s="2" t="n">
        <v>1</v>
      </c>
      <c r="G2318" s="2" t="n">
        <v>1</v>
      </c>
      <c r="H2318" s="2" t="n">
        <v>1</v>
      </c>
      <c r="I2318" s="2" t="n">
        <v>0</v>
      </c>
    </row>
    <row r="2319">
      <c r="A2319" s="2" t="n">
        <v>2317</v>
      </c>
      <c r="B2319" s="2" t="inlineStr">
        <is>
          <t>flip</t>
        </is>
      </c>
      <c r="C2319" s="2" t="inlineStr">
        <is>
          <t>openssl TLS 1.2 only</t>
        </is>
      </c>
      <c r="D2319" s="2" t="n">
        <v>215</v>
      </c>
      <c r="E2319" s="2" t="n">
        <v>215</v>
      </c>
      <c r="F2319" s="2" t="n">
        <v>1</v>
      </c>
      <c r="G2319" s="2" t="n">
        <v>0</v>
      </c>
      <c r="H2319" s="2" t="n">
        <v>0</v>
      </c>
      <c r="I2319" s="2" t="n">
        <v>0</v>
      </c>
    </row>
    <row r="2320">
      <c r="A2320" s="2" t="n">
        <v>2318</v>
      </c>
      <c r="B2320" s="2" t="inlineStr">
        <is>
          <t>truncate</t>
        </is>
      </c>
      <c r="C2320" s="2" t="inlineStr">
        <is>
          <t>openssl X25519 only (classical)</t>
        </is>
      </c>
      <c r="D2320" s="2" t="n">
        <v>124</v>
      </c>
      <c r="E2320" s="2" t="n">
        <v>124</v>
      </c>
      <c r="F2320" s="2" t="n">
        <v>1</v>
      </c>
      <c r="G2320" s="2" t="n">
        <v>0</v>
      </c>
      <c r="H2320" s="2" t="n">
        <v>0</v>
      </c>
      <c r="I2320" s="2" t="n">
        <v>0</v>
      </c>
    </row>
    <row r="2321">
      <c r="A2321" s="2" t="n">
        <v>2319</v>
      </c>
      <c r="B2321" s="2" t="inlineStr">
        <is>
          <t>length</t>
        </is>
      </c>
      <c r="C2321" s="2" t="inlineStr">
        <is>
          <t>browser chrome150</t>
        </is>
      </c>
      <c r="D2321" s="2" t="n">
        <v>1763</v>
      </c>
      <c r="E2321" s="2" t="n">
        <v>1763</v>
      </c>
      <c r="F2321" s="2" t="n">
        <v>1</v>
      </c>
      <c r="G2321" s="2" t="n">
        <v>1</v>
      </c>
      <c r="H2321" s="2" t="n">
        <v>1</v>
      </c>
      <c r="I2321" s="2" t="n">
        <v>0</v>
      </c>
    </row>
    <row r="2322">
      <c r="A2322" s="2" t="n">
        <v>2320</v>
      </c>
      <c r="B2322" s="2" t="inlineStr">
        <is>
          <t>insert</t>
        </is>
      </c>
      <c r="C2322" s="2" t="inlineStr">
        <is>
          <t>openssl X25519 only (classical)</t>
        </is>
      </c>
      <c r="D2322" s="2" t="n">
        <v>330</v>
      </c>
      <c r="E2322" s="2" t="n">
        <v>330</v>
      </c>
      <c r="F2322" s="2" t="n">
        <v>1</v>
      </c>
      <c r="G2322" s="2" t="n">
        <v>0</v>
      </c>
      <c r="H2322" s="2" t="n">
        <v>0</v>
      </c>
      <c r="I2322" s="2" t="n">
        <v>0</v>
      </c>
    </row>
    <row r="2323">
      <c r="A2323" s="2" t="n">
        <v>2321</v>
      </c>
      <c r="B2323" s="2" t="inlineStr">
        <is>
          <t>flip</t>
        </is>
      </c>
      <c r="C2323" s="2" t="inlineStr">
        <is>
          <t>browser chrome150</t>
        </is>
      </c>
      <c r="D2323" s="2" t="n">
        <v>1763</v>
      </c>
      <c r="E2323" s="2" t="n">
        <v>1763</v>
      </c>
      <c r="F2323" s="2" t="n">
        <v>1</v>
      </c>
      <c r="G2323" s="2" t="n">
        <v>1</v>
      </c>
      <c r="H2323" s="2" t="n">
        <v>1</v>
      </c>
      <c r="I2323" s="2" t="n">
        <v>0</v>
      </c>
    </row>
    <row r="2324">
      <c r="A2324" s="2" t="n">
        <v>2322</v>
      </c>
      <c r="B2324" s="2" t="inlineStr">
        <is>
          <t>truncate</t>
        </is>
      </c>
      <c r="C2324" s="2" t="inlineStr">
        <is>
          <t>openssl 3.5.8 default</t>
        </is>
      </c>
      <c r="D2324" s="2" t="n">
        <v>620</v>
      </c>
      <c r="E2324" s="2" t="n">
        <v>620</v>
      </c>
      <c r="F2324" s="2" t="n">
        <v>1</v>
      </c>
      <c r="G2324" s="2" t="n">
        <v>1</v>
      </c>
      <c r="H2324" s="2" t="n">
        <v>1</v>
      </c>
      <c r="I2324" s="2" t="n">
        <v>0</v>
      </c>
    </row>
    <row r="2325">
      <c r="A2325" s="2" t="n">
        <v>2323</v>
      </c>
      <c r="B2325" s="2" t="inlineStr">
        <is>
          <t>length</t>
        </is>
      </c>
      <c r="C2325" s="2" t="inlineStr">
        <is>
          <t>openssl TLS 1.2 only</t>
        </is>
      </c>
      <c r="D2325" s="2" t="n">
        <v>215</v>
      </c>
      <c r="E2325" s="2" t="n">
        <v>215</v>
      </c>
      <c r="F2325" s="2" t="n">
        <v>1</v>
      </c>
      <c r="G2325" s="2" t="n">
        <v>1</v>
      </c>
      <c r="H2325" s="2" t="n">
        <v>1</v>
      </c>
      <c r="I2325" s="2" t="n">
        <v>0</v>
      </c>
    </row>
    <row r="2326">
      <c r="A2326" s="2" t="n">
        <v>2324</v>
      </c>
      <c r="B2326" s="2" t="inlineStr">
        <is>
          <t>insert</t>
        </is>
      </c>
      <c r="C2326" s="2" t="inlineStr">
        <is>
          <t>openssl TLS 1.2 only</t>
        </is>
      </c>
      <c r="D2326" s="2" t="n">
        <v>226</v>
      </c>
      <c r="E2326" s="2" t="n">
        <v>226</v>
      </c>
      <c r="F2326" s="2" t="n">
        <v>0</v>
      </c>
      <c r="G2326" s="2" t="n">
        <v>0</v>
      </c>
      <c r="H2326" s="2" t="n">
        <v>0</v>
      </c>
      <c r="I2326" s="2" t="n">
        <v>0</v>
      </c>
    </row>
    <row r="2327">
      <c r="A2327" s="2" t="n">
        <v>2325</v>
      </c>
      <c r="B2327" s="2" t="inlineStr">
        <is>
          <t>flip</t>
        </is>
      </c>
      <c r="C2327" s="2" t="inlineStr">
        <is>
          <t>browser firefox147</t>
        </is>
      </c>
      <c r="D2327" s="2" t="n">
        <v>1901</v>
      </c>
      <c r="E2327" s="2" t="n">
        <v>1901</v>
      </c>
      <c r="F2327" s="2" t="n">
        <v>1</v>
      </c>
      <c r="G2327" s="2" t="n">
        <v>1</v>
      </c>
      <c r="H2327" s="2" t="n">
        <v>0</v>
      </c>
      <c r="I2327" s="2" t="n">
        <v>0</v>
      </c>
    </row>
    <row r="2328">
      <c r="A2328" s="2" t="n">
        <v>2326</v>
      </c>
      <c r="B2328" s="2" t="inlineStr">
        <is>
          <t>truncate</t>
        </is>
      </c>
      <c r="C2328" s="2" t="inlineStr">
        <is>
          <t>browser firefox147</t>
        </is>
      </c>
      <c r="D2328" s="2" t="n">
        <v>715</v>
      </c>
      <c r="E2328" s="2" t="n">
        <v>715</v>
      </c>
      <c r="F2328" s="2" t="n">
        <v>1</v>
      </c>
      <c r="G2328" s="2" t="n">
        <v>1</v>
      </c>
      <c r="H2328" s="2" t="n">
        <v>0</v>
      </c>
      <c r="I2328" s="2" t="n">
        <v>0</v>
      </c>
    </row>
    <row r="2329">
      <c r="A2329" s="2" t="n">
        <v>2327</v>
      </c>
      <c r="B2329" s="2" t="inlineStr">
        <is>
          <t>length</t>
        </is>
      </c>
      <c r="C2329" s="2" t="inlineStr">
        <is>
          <t>browser chrome150</t>
        </is>
      </c>
      <c r="D2329" s="2" t="n">
        <v>1763</v>
      </c>
      <c r="E2329" s="2" t="n">
        <v>1763</v>
      </c>
      <c r="F2329" s="2" t="n">
        <v>1</v>
      </c>
      <c r="G2329" s="2" t="n">
        <v>0</v>
      </c>
      <c r="H2329" s="2" t="n">
        <v>0</v>
      </c>
      <c r="I2329" s="2" t="n">
        <v>0</v>
      </c>
    </row>
    <row r="2330">
      <c r="A2330" s="2" t="n">
        <v>2328</v>
      </c>
      <c r="B2330" s="2" t="inlineStr">
        <is>
          <t>insert</t>
        </is>
      </c>
      <c r="C2330" s="2" t="inlineStr">
        <is>
          <t>browser chrome150</t>
        </is>
      </c>
      <c r="D2330" s="2" t="n">
        <v>1777</v>
      </c>
      <c r="E2330" s="2" t="n">
        <v>1777</v>
      </c>
      <c r="F2330" s="2" t="n">
        <v>1</v>
      </c>
      <c r="G2330" s="2" t="n">
        <v>1</v>
      </c>
      <c r="H2330" s="2" t="n">
        <v>1</v>
      </c>
      <c r="I2330" s="2" t="n">
        <v>0</v>
      </c>
    </row>
    <row r="2331">
      <c r="A2331" s="2" t="n">
        <v>2329</v>
      </c>
      <c r="B2331" s="2" t="inlineStr">
        <is>
          <t>flip</t>
        </is>
      </c>
      <c r="C2331" s="2" t="inlineStr">
        <is>
          <t>browser firefox147</t>
        </is>
      </c>
      <c r="D2331" s="2" t="n">
        <v>1901</v>
      </c>
      <c r="E2331" s="2" t="n">
        <v>1901</v>
      </c>
      <c r="F2331" s="2" t="n">
        <v>1</v>
      </c>
      <c r="G2331" s="2" t="n">
        <v>1</v>
      </c>
      <c r="H2331" s="2" t="n">
        <v>0</v>
      </c>
      <c r="I2331" s="2" t="n">
        <v>0</v>
      </c>
    </row>
    <row r="2332">
      <c r="A2332" s="2" t="n">
        <v>2330</v>
      </c>
      <c r="B2332" s="2" t="inlineStr">
        <is>
          <t>truncate</t>
        </is>
      </c>
      <c r="C2332" s="2" t="inlineStr">
        <is>
          <t>browser chrome150</t>
        </is>
      </c>
      <c r="D2332" s="2" t="n">
        <v>894</v>
      </c>
      <c r="E2332" s="2" t="n">
        <v>894</v>
      </c>
      <c r="F2332" s="2" t="n">
        <v>1</v>
      </c>
      <c r="G2332" s="2" t="n">
        <v>1</v>
      </c>
      <c r="H2332" s="2" t="n">
        <v>1</v>
      </c>
      <c r="I2332" s="2" t="n">
        <v>0</v>
      </c>
    </row>
    <row r="2333">
      <c r="A2333" s="2" t="n">
        <v>2331</v>
      </c>
      <c r="B2333" s="2" t="inlineStr">
        <is>
          <t>length</t>
        </is>
      </c>
      <c r="C2333" s="2" t="inlineStr">
        <is>
          <t>openssl TLS 1.2 only</t>
        </is>
      </c>
      <c r="D2333" s="2" t="n">
        <v>215</v>
      </c>
      <c r="E2333" s="2" t="n">
        <v>215</v>
      </c>
      <c r="F2333" s="2" t="n">
        <v>1</v>
      </c>
      <c r="G2333" s="2" t="n">
        <v>1</v>
      </c>
      <c r="H2333" s="2" t="n">
        <v>1</v>
      </c>
      <c r="I2333" s="2" t="n">
        <v>0</v>
      </c>
    </row>
    <row r="2334">
      <c r="A2334" s="2" t="n">
        <v>2332</v>
      </c>
      <c r="B2334" s="2" t="inlineStr">
        <is>
          <t>insert</t>
        </is>
      </c>
      <c r="C2334" s="2" t="inlineStr">
        <is>
          <t>openssl TLS 1.2 only</t>
        </is>
      </c>
      <c r="D2334" s="2" t="n">
        <v>220</v>
      </c>
      <c r="E2334" s="2" t="n">
        <v>220</v>
      </c>
      <c r="F2334" s="2" t="n">
        <v>1</v>
      </c>
      <c r="G2334" s="2" t="n">
        <v>0</v>
      </c>
      <c r="H2334" s="2" t="n">
        <v>0</v>
      </c>
      <c r="I2334" s="2" t="n">
        <v>0</v>
      </c>
    </row>
    <row r="2335">
      <c r="A2335" s="2" t="n">
        <v>2333</v>
      </c>
      <c r="B2335" s="2" t="inlineStr">
        <is>
          <t>flip</t>
        </is>
      </c>
      <c r="C2335" s="2" t="inlineStr">
        <is>
          <t>openssl 3.5.8 default</t>
        </is>
      </c>
      <c r="D2335" s="2" t="n">
        <v>1548</v>
      </c>
      <c r="E2335" s="2" t="n">
        <v>1548</v>
      </c>
      <c r="F2335" s="2" t="n">
        <v>1</v>
      </c>
      <c r="G2335" s="2" t="n">
        <v>1</v>
      </c>
      <c r="H2335" s="2" t="n">
        <v>1</v>
      </c>
      <c r="I2335" s="2" t="n">
        <v>0</v>
      </c>
    </row>
    <row r="2336">
      <c r="A2336" s="2" t="n">
        <v>2334</v>
      </c>
      <c r="B2336" s="2" t="inlineStr">
        <is>
          <t>truncate</t>
        </is>
      </c>
      <c r="C2336" s="2" t="inlineStr">
        <is>
          <t>browser chrome150</t>
        </is>
      </c>
      <c r="D2336" s="2" t="n">
        <v>195</v>
      </c>
      <c r="E2336" s="2" t="n">
        <v>195</v>
      </c>
      <c r="F2336" s="2" t="n">
        <v>1</v>
      </c>
      <c r="G2336" s="2" t="n">
        <v>1</v>
      </c>
      <c r="H2336" s="2" t="n">
        <v>1</v>
      </c>
      <c r="I2336" s="2" t="n">
        <v>0</v>
      </c>
    </row>
    <row r="2337">
      <c r="A2337" s="2" t="n">
        <v>2335</v>
      </c>
      <c r="B2337" s="2" t="inlineStr">
        <is>
          <t>length</t>
        </is>
      </c>
      <c r="C2337" s="2" t="inlineStr">
        <is>
          <t>openssl TLS 1.2 only</t>
        </is>
      </c>
      <c r="D2337" s="2" t="n">
        <v>215</v>
      </c>
      <c r="E2337" s="2" t="n">
        <v>215</v>
      </c>
      <c r="F2337" s="2" t="n">
        <v>1</v>
      </c>
      <c r="G2337" s="2" t="n">
        <v>0</v>
      </c>
      <c r="H2337" s="2" t="n">
        <v>0</v>
      </c>
      <c r="I2337" s="2" t="n">
        <v>0</v>
      </c>
    </row>
    <row r="2338">
      <c r="A2338" s="2" t="n">
        <v>2336</v>
      </c>
      <c r="B2338" s="2" t="inlineStr">
        <is>
          <t>insert</t>
        </is>
      </c>
      <c r="C2338" s="2" t="inlineStr">
        <is>
          <t>openssl 3.5.8 default</t>
        </is>
      </c>
      <c r="D2338" s="2" t="n">
        <v>1555</v>
      </c>
      <c r="E2338" s="2" t="n">
        <v>1555</v>
      </c>
      <c r="F2338" s="2" t="n">
        <v>1</v>
      </c>
      <c r="G2338" s="2" t="n">
        <v>1</v>
      </c>
      <c r="H2338" s="2" t="n">
        <v>1</v>
      </c>
      <c r="I2338" s="2" t="n">
        <v>0</v>
      </c>
    </row>
    <row r="2339">
      <c r="A2339" s="2" t="n">
        <v>2337</v>
      </c>
      <c r="B2339" s="2" t="inlineStr">
        <is>
          <t>flip</t>
        </is>
      </c>
      <c r="C2339" s="2" t="inlineStr">
        <is>
          <t>openssl X25519 only (classical)</t>
        </is>
      </c>
      <c r="D2339" s="2" t="n">
        <v>314</v>
      </c>
      <c r="E2339" s="2" t="n">
        <v>314</v>
      </c>
      <c r="F2339" s="2" t="n">
        <v>1</v>
      </c>
      <c r="G2339" s="2" t="n">
        <v>1</v>
      </c>
      <c r="H2339" s="2" t="n">
        <v>1</v>
      </c>
      <c r="I2339" s="2" t="n">
        <v>0</v>
      </c>
    </row>
    <row r="2340">
      <c r="A2340" s="2" t="n">
        <v>2338</v>
      </c>
      <c r="B2340" s="2" t="inlineStr">
        <is>
          <t>truncate</t>
        </is>
      </c>
      <c r="C2340" s="2" t="inlineStr">
        <is>
          <t>openssl X25519 only (classical)</t>
        </is>
      </c>
      <c r="D2340" s="2" t="n">
        <v>78</v>
      </c>
      <c r="E2340" s="2" t="n">
        <v>78</v>
      </c>
      <c r="F2340" s="2" t="n">
        <v>1</v>
      </c>
      <c r="G2340" s="2" t="n">
        <v>0</v>
      </c>
      <c r="H2340" s="2" t="n">
        <v>0</v>
      </c>
      <c r="I2340" s="2" t="n">
        <v>0</v>
      </c>
    </row>
    <row r="2341">
      <c r="A2341" s="2" t="n">
        <v>2339</v>
      </c>
      <c r="B2341" s="2" t="inlineStr">
        <is>
          <t>length</t>
        </is>
      </c>
      <c r="C2341" s="2" t="inlineStr">
        <is>
          <t>browser firefox147</t>
        </is>
      </c>
      <c r="D2341" s="2" t="n">
        <v>1901</v>
      </c>
      <c r="E2341" s="2" t="n">
        <v>1901</v>
      </c>
      <c r="F2341" s="2" t="n">
        <v>1</v>
      </c>
      <c r="G2341" s="2" t="n">
        <v>1</v>
      </c>
      <c r="H2341" s="2" t="n">
        <v>1</v>
      </c>
      <c r="I2341" s="2" t="n">
        <v>0</v>
      </c>
    </row>
    <row r="2342">
      <c r="A2342" s="2" t="n">
        <v>2340</v>
      </c>
      <c r="B2342" s="2" t="inlineStr">
        <is>
          <t>insert</t>
        </is>
      </c>
      <c r="C2342" s="2" t="inlineStr">
        <is>
          <t>openssl 3.5.8 default</t>
        </is>
      </c>
      <c r="D2342" s="2" t="n">
        <v>1551</v>
      </c>
      <c r="E2342" s="2" t="n">
        <v>1551</v>
      </c>
      <c r="F2342" s="2" t="n">
        <v>1</v>
      </c>
      <c r="G2342" s="2" t="n">
        <v>1</v>
      </c>
      <c r="H2342" s="2" t="n">
        <v>1</v>
      </c>
      <c r="I2342" s="2" t="n">
        <v>0</v>
      </c>
    </row>
    <row r="2343">
      <c r="A2343" s="2" t="n">
        <v>2341</v>
      </c>
      <c r="B2343" s="2" t="inlineStr">
        <is>
          <t>flip</t>
        </is>
      </c>
      <c r="C2343" s="2" t="inlineStr">
        <is>
          <t>openssl TLS 1.2 only</t>
        </is>
      </c>
      <c r="D2343" s="2" t="n">
        <v>215</v>
      </c>
      <c r="E2343" s="2" t="n">
        <v>215</v>
      </c>
      <c r="F2343" s="2" t="n">
        <v>0</v>
      </c>
      <c r="G2343" s="2" t="n">
        <v>0</v>
      </c>
      <c r="H2343" s="2" t="n">
        <v>0</v>
      </c>
      <c r="I2343" s="2" t="n">
        <v>0</v>
      </c>
    </row>
    <row r="2344">
      <c r="A2344" s="2" t="n">
        <v>2342</v>
      </c>
      <c r="B2344" s="2" t="inlineStr">
        <is>
          <t>truncate</t>
        </is>
      </c>
      <c r="C2344" s="2" t="inlineStr">
        <is>
          <t>browser chrome150</t>
        </is>
      </c>
      <c r="D2344" s="2" t="n">
        <v>1738</v>
      </c>
      <c r="E2344" s="2" t="n">
        <v>1738</v>
      </c>
      <c r="F2344" s="2" t="n">
        <v>1</v>
      </c>
      <c r="G2344" s="2" t="n">
        <v>1</v>
      </c>
      <c r="H2344" s="2" t="n">
        <v>1</v>
      </c>
      <c r="I2344" s="2" t="n">
        <v>0</v>
      </c>
    </row>
    <row r="2345">
      <c r="A2345" s="2" t="n">
        <v>2343</v>
      </c>
      <c r="B2345" s="2" t="inlineStr">
        <is>
          <t>length</t>
        </is>
      </c>
      <c r="C2345" s="2" t="inlineStr">
        <is>
          <t>openssl X25519 only (classical)</t>
        </is>
      </c>
      <c r="D2345" s="2" t="n">
        <v>314</v>
      </c>
      <c r="E2345" s="2" t="n">
        <v>314</v>
      </c>
      <c r="F2345" s="2" t="n">
        <v>1</v>
      </c>
      <c r="G2345" s="2" t="n">
        <v>1</v>
      </c>
      <c r="H2345" s="2" t="n">
        <v>1</v>
      </c>
      <c r="I2345" s="2" t="n">
        <v>0</v>
      </c>
    </row>
    <row r="2346">
      <c r="A2346" s="2" t="n">
        <v>2344</v>
      </c>
      <c r="B2346" s="2" t="inlineStr">
        <is>
          <t>insert</t>
        </is>
      </c>
      <c r="C2346" s="2" t="inlineStr">
        <is>
          <t>openssl 3.5.8 default</t>
        </is>
      </c>
      <c r="D2346" s="2" t="n">
        <v>1557</v>
      </c>
      <c r="E2346" s="2" t="n">
        <v>1557</v>
      </c>
      <c r="F2346" s="2" t="n">
        <v>1</v>
      </c>
      <c r="G2346" s="2" t="n">
        <v>1</v>
      </c>
      <c r="H2346" s="2" t="n">
        <v>1</v>
      </c>
      <c r="I2346" s="2" t="n">
        <v>0</v>
      </c>
    </row>
    <row r="2347">
      <c r="A2347" s="2" t="n">
        <v>2345</v>
      </c>
      <c r="B2347" s="2" t="inlineStr">
        <is>
          <t>flip</t>
        </is>
      </c>
      <c r="C2347" s="2" t="inlineStr">
        <is>
          <t>openssl TLS 1.2 only</t>
        </is>
      </c>
      <c r="D2347" s="2" t="n">
        <v>215</v>
      </c>
      <c r="E2347" s="2" t="n">
        <v>215</v>
      </c>
      <c r="F2347" s="2" t="n">
        <v>1</v>
      </c>
      <c r="G2347" s="2" t="n">
        <v>1</v>
      </c>
      <c r="H2347" s="2" t="n">
        <v>1</v>
      </c>
      <c r="I2347" s="2" t="n">
        <v>0</v>
      </c>
    </row>
    <row r="2348">
      <c r="A2348" s="2" t="n">
        <v>2346</v>
      </c>
      <c r="B2348" s="2" t="inlineStr">
        <is>
          <t>truncate</t>
        </is>
      </c>
      <c r="C2348" s="2" t="inlineStr">
        <is>
          <t>openssl 3.5.8 default</t>
        </is>
      </c>
      <c r="D2348" s="2" t="n">
        <v>1540</v>
      </c>
      <c r="E2348" s="2" t="n">
        <v>1540</v>
      </c>
      <c r="F2348" s="2" t="n">
        <v>1</v>
      </c>
      <c r="G2348" s="2" t="n">
        <v>1</v>
      </c>
      <c r="H2348" s="2" t="n">
        <v>1</v>
      </c>
      <c r="I2348" s="2" t="n">
        <v>0</v>
      </c>
    </row>
    <row r="2349">
      <c r="A2349" s="2" t="n">
        <v>2347</v>
      </c>
      <c r="B2349" s="2" t="inlineStr">
        <is>
          <t>length</t>
        </is>
      </c>
      <c r="C2349" s="2" t="inlineStr">
        <is>
          <t>openssl 3.5.8 default</t>
        </is>
      </c>
      <c r="D2349" s="2" t="n">
        <v>1548</v>
      </c>
      <c r="E2349" s="2" t="n">
        <v>1548</v>
      </c>
      <c r="F2349" s="2" t="n">
        <v>0</v>
      </c>
      <c r="G2349" s="2" t="n">
        <v>0</v>
      </c>
      <c r="H2349" s="2" t="n">
        <v>0</v>
      </c>
      <c r="I2349" s="2" t="n">
        <v>0</v>
      </c>
    </row>
    <row r="2350">
      <c r="A2350" s="2" t="n">
        <v>2348</v>
      </c>
      <c r="B2350" s="2" t="inlineStr">
        <is>
          <t>insert</t>
        </is>
      </c>
      <c r="C2350" s="2" t="inlineStr">
        <is>
          <t>browser chrome150</t>
        </is>
      </c>
      <c r="D2350" s="2" t="n">
        <v>1777</v>
      </c>
      <c r="E2350" s="2" t="n">
        <v>1777</v>
      </c>
      <c r="F2350" s="2" t="n">
        <v>1</v>
      </c>
      <c r="G2350" s="2" t="n">
        <v>1</v>
      </c>
      <c r="H2350" s="2" t="n">
        <v>1</v>
      </c>
      <c r="I2350" s="2" t="n">
        <v>0</v>
      </c>
    </row>
    <row r="2351">
      <c r="A2351" s="2" t="n">
        <v>2349</v>
      </c>
      <c r="B2351" s="2" t="inlineStr">
        <is>
          <t>flip</t>
        </is>
      </c>
      <c r="C2351" s="2" t="inlineStr">
        <is>
          <t>browser chrome150</t>
        </is>
      </c>
      <c r="D2351" s="2" t="n">
        <v>1763</v>
      </c>
      <c r="E2351" s="2" t="n">
        <v>1763</v>
      </c>
      <c r="F2351" s="2" t="n">
        <v>1</v>
      </c>
      <c r="G2351" s="2" t="n">
        <v>1</v>
      </c>
      <c r="H2351" s="2" t="n">
        <v>1</v>
      </c>
      <c r="I2351" s="2" t="n">
        <v>0</v>
      </c>
    </row>
    <row r="2352">
      <c r="A2352" s="2" t="n">
        <v>2350</v>
      </c>
      <c r="B2352" s="2" t="inlineStr">
        <is>
          <t>truncate</t>
        </is>
      </c>
      <c r="C2352" s="2" t="inlineStr">
        <is>
          <t>openssl X25519 only (classical)</t>
        </is>
      </c>
      <c r="D2352" s="2" t="n">
        <v>104</v>
      </c>
      <c r="E2352" s="2" t="n">
        <v>104</v>
      </c>
      <c r="F2352" s="2" t="n">
        <v>1</v>
      </c>
      <c r="G2352" s="2" t="n">
        <v>0</v>
      </c>
      <c r="H2352" s="2" t="n">
        <v>0</v>
      </c>
      <c r="I2352" s="2" t="n">
        <v>0</v>
      </c>
    </row>
    <row r="2353">
      <c r="A2353" s="2" t="n">
        <v>2351</v>
      </c>
      <c r="B2353" s="2" t="inlineStr">
        <is>
          <t>length</t>
        </is>
      </c>
      <c r="C2353" s="2" t="inlineStr">
        <is>
          <t>openssl TLS 1.2 only</t>
        </is>
      </c>
      <c r="D2353" s="2" t="n">
        <v>215</v>
      </c>
      <c r="E2353" s="2" t="n">
        <v>215</v>
      </c>
      <c r="F2353" s="2" t="n">
        <v>1</v>
      </c>
      <c r="G2353" s="2" t="n">
        <v>1</v>
      </c>
      <c r="H2353" s="2" t="n">
        <v>1</v>
      </c>
      <c r="I2353" s="2" t="n">
        <v>0</v>
      </c>
    </row>
    <row r="2354">
      <c r="A2354" s="2" t="n">
        <v>2352</v>
      </c>
      <c r="B2354" s="2" t="inlineStr">
        <is>
          <t>insert</t>
        </is>
      </c>
      <c r="C2354" s="2" t="inlineStr">
        <is>
          <t>openssl TLS 1.2 only</t>
        </is>
      </c>
      <c r="D2354" s="2" t="n">
        <v>216</v>
      </c>
      <c r="E2354" s="2" t="n">
        <v>216</v>
      </c>
      <c r="F2354" s="2" t="n">
        <v>1</v>
      </c>
      <c r="G2354" s="2" t="n">
        <v>0</v>
      </c>
      <c r="H2354" s="2" t="n">
        <v>0</v>
      </c>
      <c r="I2354" s="2" t="n">
        <v>0</v>
      </c>
    </row>
    <row r="2355">
      <c r="A2355" s="2" t="n">
        <v>2353</v>
      </c>
      <c r="B2355" s="2" t="inlineStr">
        <is>
          <t>flip</t>
        </is>
      </c>
      <c r="C2355" s="2" t="inlineStr">
        <is>
          <t>openssl TLS 1.2 only</t>
        </is>
      </c>
      <c r="D2355" s="2" t="n">
        <v>215</v>
      </c>
      <c r="E2355" s="2" t="n">
        <v>215</v>
      </c>
      <c r="F2355" s="2" t="n">
        <v>1</v>
      </c>
      <c r="G2355" s="2" t="n">
        <v>1</v>
      </c>
      <c r="H2355" s="2" t="n">
        <v>1</v>
      </c>
      <c r="I2355" s="2" t="n">
        <v>0</v>
      </c>
    </row>
    <row r="2356">
      <c r="A2356" s="2" t="n">
        <v>2354</v>
      </c>
      <c r="B2356" s="2" t="inlineStr">
        <is>
          <t>truncate</t>
        </is>
      </c>
      <c r="C2356" s="2" t="inlineStr">
        <is>
          <t>browser chrome150</t>
        </is>
      </c>
      <c r="D2356" s="2" t="n">
        <v>786</v>
      </c>
      <c r="E2356" s="2" t="n">
        <v>786</v>
      </c>
      <c r="F2356" s="2" t="n">
        <v>1</v>
      </c>
      <c r="G2356" s="2" t="n">
        <v>1</v>
      </c>
      <c r="H2356" s="2" t="n">
        <v>1</v>
      </c>
      <c r="I2356" s="2" t="n">
        <v>0</v>
      </c>
    </row>
    <row r="2357">
      <c r="A2357" s="2" t="n">
        <v>2355</v>
      </c>
      <c r="B2357" s="2" t="inlineStr">
        <is>
          <t>length</t>
        </is>
      </c>
      <c r="C2357" s="2" t="inlineStr">
        <is>
          <t>browser firefox147</t>
        </is>
      </c>
      <c r="D2357" s="2" t="n">
        <v>1901</v>
      </c>
      <c r="E2357" s="2" t="n">
        <v>1901</v>
      </c>
      <c r="F2357" s="2" t="n">
        <v>1</v>
      </c>
      <c r="G2357" s="2" t="n">
        <v>1</v>
      </c>
      <c r="H2357" s="2" t="n">
        <v>0</v>
      </c>
      <c r="I2357" s="2" t="n">
        <v>0</v>
      </c>
    </row>
    <row r="2358">
      <c r="A2358" s="2" t="n">
        <v>2356</v>
      </c>
      <c r="B2358" s="2" t="inlineStr">
        <is>
          <t>insert</t>
        </is>
      </c>
      <c r="C2358" s="2" t="inlineStr">
        <is>
          <t>openssl 3.5.8 default</t>
        </is>
      </c>
      <c r="D2358" s="2" t="n">
        <v>1557</v>
      </c>
      <c r="E2358" s="2" t="n">
        <v>1557</v>
      </c>
      <c r="F2358" s="2" t="n">
        <v>1</v>
      </c>
      <c r="G2358" s="2" t="n">
        <v>1</v>
      </c>
      <c r="H2358" s="2" t="n">
        <v>1</v>
      </c>
      <c r="I2358" s="2" t="n">
        <v>0</v>
      </c>
    </row>
    <row r="2359">
      <c r="A2359" s="2" t="n">
        <v>2357</v>
      </c>
      <c r="B2359" s="2" t="inlineStr">
        <is>
          <t>flip</t>
        </is>
      </c>
      <c r="C2359" s="2" t="inlineStr">
        <is>
          <t>openssl X25519 only (classical)</t>
        </is>
      </c>
      <c r="D2359" s="2" t="n">
        <v>314</v>
      </c>
      <c r="E2359" s="2" t="n">
        <v>314</v>
      </c>
      <c r="F2359" s="2" t="n">
        <v>1</v>
      </c>
      <c r="G2359" s="2" t="n">
        <v>1</v>
      </c>
      <c r="H2359" s="2" t="n">
        <v>1</v>
      </c>
      <c r="I2359" s="2" t="n">
        <v>0</v>
      </c>
    </row>
    <row r="2360">
      <c r="A2360" s="2" t="n">
        <v>2358</v>
      </c>
      <c r="B2360" s="2" t="inlineStr">
        <is>
          <t>truncate</t>
        </is>
      </c>
      <c r="C2360" s="2" t="inlineStr">
        <is>
          <t>browser firefox147</t>
        </is>
      </c>
      <c r="D2360" s="2" t="n">
        <v>1186</v>
      </c>
      <c r="E2360" s="2" t="n">
        <v>1186</v>
      </c>
      <c r="F2360" s="2" t="n">
        <v>1</v>
      </c>
      <c r="G2360" s="2" t="n">
        <v>1</v>
      </c>
      <c r="H2360" s="2" t="n">
        <v>0</v>
      </c>
      <c r="I2360" s="2" t="n">
        <v>0</v>
      </c>
    </row>
    <row r="2361">
      <c r="A2361" s="2" t="n">
        <v>2359</v>
      </c>
      <c r="B2361" s="2" t="inlineStr">
        <is>
          <t>length</t>
        </is>
      </c>
      <c r="C2361" s="2" t="inlineStr">
        <is>
          <t>browser firefox147</t>
        </is>
      </c>
      <c r="D2361" s="2" t="n">
        <v>1901</v>
      </c>
      <c r="E2361" s="2" t="n">
        <v>1901</v>
      </c>
      <c r="F2361" s="2" t="n">
        <v>1</v>
      </c>
      <c r="G2361" s="2" t="n">
        <v>0</v>
      </c>
      <c r="H2361" s="2" t="n">
        <v>0</v>
      </c>
      <c r="I2361" s="2" t="n">
        <v>0</v>
      </c>
    </row>
    <row r="2362">
      <c r="A2362" s="2" t="n">
        <v>2360</v>
      </c>
      <c r="B2362" s="2" t="inlineStr">
        <is>
          <t>insert</t>
        </is>
      </c>
      <c r="C2362" s="2" t="inlineStr">
        <is>
          <t>openssl 3.5.8 default</t>
        </is>
      </c>
      <c r="D2362" s="2" t="n">
        <v>1549</v>
      </c>
      <c r="E2362" s="2" t="n">
        <v>1549</v>
      </c>
      <c r="F2362" s="2" t="n">
        <v>1</v>
      </c>
      <c r="G2362" s="2" t="n">
        <v>1</v>
      </c>
      <c r="H2362" s="2" t="n">
        <v>1</v>
      </c>
      <c r="I2362" s="2" t="n">
        <v>0</v>
      </c>
    </row>
    <row r="2363">
      <c r="A2363" s="2" t="n">
        <v>2361</v>
      </c>
      <c r="B2363" s="2" t="inlineStr">
        <is>
          <t>flip</t>
        </is>
      </c>
      <c r="C2363" s="2" t="inlineStr">
        <is>
          <t>openssl 3.5.8 default</t>
        </is>
      </c>
      <c r="D2363" s="2" t="n">
        <v>1548</v>
      </c>
      <c r="E2363" s="2" t="n">
        <v>1548</v>
      </c>
      <c r="F2363" s="2" t="n">
        <v>1</v>
      </c>
      <c r="G2363" s="2" t="n">
        <v>1</v>
      </c>
      <c r="H2363" s="2" t="n">
        <v>1</v>
      </c>
      <c r="I2363" s="2" t="n">
        <v>0</v>
      </c>
    </row>
    <row r="2364">
      <c r="A2364" s="2" t="n">
        <v>2362</v>
      </c>
      <c r="B2364" s="2" t="inlineStr">
        <is>
          <t>truncate</t>
        </is>
      </c>
      <c r="C2364" s="2" t="inlineStr">
        <is>
          <t>openssl 3.5.8 default</t>
        </is>
      </c>
      <c r="D2364" s="2" t="n">
        <v>385</v>
      </c>
      <c r="E2364" s="2" t="n">
        <v>385</v>
      </c>
      <c r="F2364" s="2" t="n">
        <v>1</v>
      </c>
      <c r="G2364" s="2" t="n">
        <v>1</v>
      </c>
      <c r="H2364" s="2" t="n">
        <v>1</v>
      </c>
      <c r="I2364" s="2" t="n">
        <v>0</v>
      </c>
    </row>
    <row r="2365">
      <c r="A2365" s="2" t="n">
        <v>2363</v>
      </c>
      <c r="B2365" s="2" t="inlineStr">
        <is>
          <t>length</t>
        </is>
      </c>
      <c r="C2365" s="2" t="inlineStr">
        <is>
          <t>browser firefox147</t>
        </is>
      </c>
      <c r="D2365" s="2" t="n">
        <v>1901</v>
      </c>
      <c r="E2365" s="2" t="n">
        <v>1901</v>
      </c>
      <c r="F2365" s="2" t="n">
        <v>1</v>
      </c>
      <c r="G2365" s="2" t="n">
        <v>0</v>
      </c>
      <c r="H2365" s="2" t="n">
        <v>0</v>
      </c>
      <c r="I2365" s="2" t="n">
        <v>0</v>
      </c>
    </row>
    <row r="2366">
      <c r="A2366" s="2" t="n">
        <v>2364</v>
      </c>
      <c r="B2366" s="2" t="inlineStr">
        <is>
          <t>insert</t>
        </is>
      </c>
      <c r="C2366" s="2" t="inlineStr">
        <is>
          <t>openssl X25519 only (classical)</t>
        </is>
      </c>
      <c r="D2366" s="2" t="n">
        <v>318</v>
      </c>
      <c r="E2366" s="2" t="n">
        <v>318</v>
      </c>
      <c r="F2366" s="2" t="n">
        <v>1</v>
      </c>
      <c r="G2366" s="2" t="n">
        <v>1</v>
      </c>
      <c r="H2366" s="2" t="n">
        <v>1</v>
      </c>
      <c r="I2366" s="2" t="n">
        <v>0</v>
      </c>
    </row>
    <row r="2367">
      <c r="A2367" s="2" t="n">
        <v>2365</v>
      </c>
      <c r="B2367" s="2" t="inlineStr">
        <is>
          <t>flip</t>
        </is>
      </c>
      <c r="C2367" s="2" t="inlineStr">
        <is>
          <t>openssl X25519 only (classical)</t>
        </is>
      </c>
      <c r="D2367" s="2" t="n">
        <v>314</v>
      </c>
      <c r="E2367" s="2" t="n">
        <v>314</v>
      </c>
      <c r="F2367" s="2" t="n">
        <v>1</v>
      </c>
      <c r="G2367" s="2" t="n">
        <v>1</v>
      </c>
      <c r="H2367" s="2" t="n">
        <v>1</v>
      </c>
      <c r="I2367" s="2" t="n">
        <v>0</v>
      </c>
    </row>
    <row r="2368">
      <c r="A2368" s="2" t="n">
        <v>2366</v>
      </c>
      <c r="B2368" s="2" t="inlineStr">
        <is>
          <t>truncate</t>
        </is>
      </c>
      <c r="C2368" s="2" t="inlineStr">
        <is>
          <t>openssl TLS 1.2 only</t>
        </is>
      </c>
      <c r="D2368" s="2" t="n">
        <v>196</v>
      </c>
      <c r="E2368" s="2" t="n">
        <v>196</v>
      </c>
      <c r="F2368" s="2" t="n">
        <v>1</v>
      </c>
      <c r="G2368" s="2" t="n">
        <v>1</v>
      </c>
      <c r="H2368" s="2" t="n">
        <v>1</v>
      </c>
      <c r="I2368" s="2" t="n">
        <v>0</v>
      </c>
    </row>
    <row r="2369">
      <c r="A2369" s="2" t="n">
        <v>2367</v>
      </c>
      <c r="B2369" s="2" t="inlineStr">
        <is>
          <t>length</t>
        </is>
      </c>
      <c r="C2369" s="2" t="inlineStr">
        <is>
          <t>openssl X25519 only (classical)</t>
        </is>
      </c>
      <c r="D2369" s="2" t="n">
        <v>314</v>
      </c>
      <c r="E2369" s="2" t="n">
        <v>314</v>
      </c>
      <c r="F2369" s="2" t="n">
        <v>1</v>
      </c>
      <c r="G2369" s="2" t="n">
        <v>1</v>
      </c>
      <c r="H2369" s="2" t="n">
        <v>0</v>
      </c>
      <c r="I2369" s="2" t="n">
        <v>0</v>
      </c>
    </row>
    <row r="2370">
      <c r="A2370" s="2" t="n">
        <v>2368</v>
      </c>
      <c r="B2370" s="2" t="inlineStr">
        <is>
          <t>insert</t>
        </is>
      </c>
      <c r="C2370" s="2" t="inlineStr">
        <is>
          <t>browser firefox147</t>
        </is>
      </c>
      <c r="D2370" s="2" t="n">
        <v>1902</v>
      </c>
      <c r="E2370" s="2" t="n">
        <v>1902</v>
      </c>
      <c r="F2370" s="2" t="n">
        <v>1</v>
      </c>
      <c r="G2370" s="2" t="n">
        <v>1</v>
      </c>
      <c r="H2370" s="2" t="n">
        <v>1</v>
      </c>
      <c r="I2370" s="2" t="n">
        <v>0</v>
      </c>
    </row>
    <row r="2371">
      <c r="A2371" s="2" t="n">
        <v>2369</v>
      </c>
      <c r="B2371" s="2" t="inlineStr">
        <is>
          <t>flip</t>
        </is>
      </c>
      <c r="C2371" s="2" t="inlineStr">
        <is>
          <t>browser chrome150</t>
        </is>
      </c>
      <c r="D2371" s="2" t="n">
        <v>1763</v>
      </c>
      <c r="E2371" s="2" t="n">
        <v>1763</v>
      </c>
      <c r="F2371" s="2" t="n">
        <v>1</v>
      </c>
      <c r="G2371" s="2" t="n">
        <v>1</v>
      </c>
      <c r="H2371" s="2" t="n">
        <v>1</v>
      </c>
      <c r="I2371" s="2" t="n">
        <v>0</v>
      </c>
    </row>
    <row r="2372">
      <c r="A2372" s="2" t="n">
        <v>2370</v>
      </c>
      <c r="B2372" s="2" t="inlineStr">
        <is>
          <t>truncate</t>
        </is>
      </c>
      <c r="C2372" s="2" t="inlineStr">
        <is>
          <t>browser chrome150</t>
        </is>
      </c>
      <c r="D2372" s="2" t="n">
        <v>1646</v>
      </c>
      <c r="E2372" s="2" t="n">
        <v>1646</v>
      </c>
      <c r="F2372" s="2" t="n">
        <v>1</v>
      </c>
      <c r="G2372" s="2" t="n">
        <v>1</v>
      </c>
      <c r="H2372" s="2" t="n">
        <v>1</v>
      </c>
      <c r="I2372" s="2" t="n">
        <v>0</v>
      </c>
    </row>
    <row r="2373">
      <c r="A2373" s="2" t="n">
        <v>2371</v>
      </c>
      <c r="B2373" s="2" t="inlineStr">
        <is>
          <t>length</t>
        </is>
      </c>
      <c r="C2373" s="2" t="inlineStr">
        <is>
          <t>browser firefox147</t>
        </is>
      </c>
      <c r="D2373" s="2" t="n">
        <v>1901</v>
      </c>
      <c r="E2373" s="2" t="n">
        <v>1901</v>
      </c>
      <c r="F2373" s="2" t="n">
        <v>1</v>
      </c>
      <c r="G2373" s="2" t="n">
        <v>1</v>
      </c>
      <c r="H2373" s="2" t="n">
        <v>0</v>
      </c>
      <c r="I2373" s="2" t="n">
        <v>0</v>
      </c>
    </row>
    <row r="2374">
      <c r="A2374" s="2" t="n">
        <v>2372</v>
      </c>
      <c r="B2374" s="2" t="inlineStr">
        <is>
          <t>insert</t>
        </is>
      </c>
      <c r="C2374" s="2" t="inlineStr">
        <is>
          <t>browser chrome150</t>
        </is>
      </c>
      <c r="D2374" s="2" t="n">
        <v>1779</v>
      </c>
      <c r="E2374" s="2" t="n">
        <v>1779</v>
      </c>
      <c r="F2374" s="2" t="n">
        <v>1</v>
      </c>
      <c r="G2374" s="2" t="n">
        <v>1</v>
      </c>
      <c r="H2374" s="2" t="n">
        <v>1</v>
      </c>
      <c r="I2374" s="2" t="n">
        <v>0</v>
      </c>
    </row>
    <row r="2375">
      <c r="A2375" s="2" t="n">
        <v>2373</v>
      </c>
      <c r="B2375" s="2" t="inlineStr">
        <is>
          <t>flip</t>
        </is>
      </c>
      <c r="C2375" s="2" t="inlineStr">
        <is>
          <t>browser firefox147</t>
        </is>
      </c>
      <c r="D2375" s="2" t="n">
        <v>1901</v>
      </c>
      <c r="E2375" s="2" t="n">
        <v>1901</v>
      </c>
      <c r="F2375" s="2" t="n">
        <v>1</v>
      </c>
      <c r="G2375" s="2" t="n">
        <v>1</v>
      </c>
      <c r="H2375" s="2" t="n">
        <v>0</v>
      </c>
      <c r="I2375" s="2" t="n">
        <v>0</v>
      </c>
    </row>
    <row r="2376">
      <c r="A2376" s="2" t="n">
        <v>2374</v>
      </c>
      <c r="B2376" s="2" t="inlineStr">
        <is>
          <t>truncate</t>
        </is>
      </c>
      <c r="C2376" s="2" t="inlineStr">
        <is>
          <t>openssl 3.5.8 default</t>
        </is>
      </c>
      <c r="D2376" s="2" t="n">
        <v>402</v>
      </c>
      <c r="E2376" s="2" t="n">
        <v>402</v>
      </c>
      <c r="F2376" s="2" t="n">
        <v>1</v>
      </c>
      <c r="G2376" s="2" t="n">
        <v>1</v>
      </c>
      <c r="H2376" s="2" t="n">
        <v>1</v>
      </c>
      <c r="I2376" s="2" t="n">
        <v>0</v>
      </c>
    </row>
    <row r="2377">
      <c r="A2377" s="2" t="n">
        <v>2375</v>
      </c>
      <c r="B2377" s="2" t="inlineStr">
        <is>
          <t>length</t>
        </is>
      </c>
      <c r="C2377" s="2" t="inlineStr">
        <is>
          <t>openssl X25519 only (classical)</t>
        </is>
      </c>
      <c r="D2377" s="2" t="n">
        <v>314</v>
      </c>
      <c r="E2377" s="2" t="n">
        <v>314</v>
      </c>
      <c r="F2377" s="2" t="n">
        <v>1</v>
      </c>
      <c r="G2377" s="2" t="n">
        <v>1</v>
      </c>
      <c r="H2377" s="2" t="n">
        <v>0</v>
      </c>
      <c r="I2377" s="2" t="n">
        <v>0</v>
      </c>
    </row>
    <row r="2378">
      <c r="A2378" s="2" t="n">
        <v>2376</v>
      </c>
      <c r="B2378" s="2" t="inlineStr">
        <is>
          <t>insert</t>
        </is>
      </c>
      <c r="C2378" s="2" t="inlineStr">
        <is>
          <t>openssl X25519 only (classical)</t>
        </is>
      </c>
      <c r="D2378" s="2" t="n">
        <v>323</v>
      </c>
      <c r="E2378" s="2" t="n">
        <v>323</v>
      </c>
      <c r="F2378" s="2" t="n">
        <v>1</v>
      </c>
      <c r="G2378" s="2" t="n">
        <v>1</v>
      </c>
      <c r="H2378" s="2" t="n">
        <v>1</v>
      </c>
      <c r="I2378" s="2" t="n">
        <v>0</v>
      </c>
    </row>
    <row r="2379">
      <c r="A2379" s="2" t="n">
        <v>2377</v>
      </c>
      <c r="B2379" s="2" t="inlineStr">
        <is>
          <t>flip</t>
        </is>
      </c>
      <c r="C2379" s="2" t="inlineStr">
        <is>
          <t>openssl X25519 only (classical)</t>
        </is>
      </c>
      <c r="D2379" s="2" t="n">
        <v>314</v>
      </c>
      <c r="E2379" s="2" t="n">
        <v>314</v>
      </c>
      <c r="F2379" s="2" t="n">
        <v>1</v>
      </c>
      <c r="G2379" s="2" t="n">
        <v>1</v>
      </c>
      <c r="H2379" s="2" t="n">
        <v>1</v>
      </c>
      <c r="I2379" s="2" t="n">
        <v>0</v>
      </c>
    </row>
    <row r="2380">
      <c r="A2380" s="2" t="n">
        <v>2378</v>
      </c>
      <c r="B2380" s="2" t="inlineStr">
        <is>
          <t>truncate</t>
        </is>
      </c>
      <c r="C2380" s="2" t="inlineStr">
        <is>
          <t>browser chrome150</t>
        </is>
      </c>
      <c r="D2380" s="2" t="n">
        <v>357</v>
      </c>
      <c r="E2380" s="2" t="n">
        <v>357</v>
      </c>
      <c r="F2380" s="2" t="n">
        <v>1</v>
      </c>
      <c r="G2380" s="2" t="n">
        <v>1</v>
      </c>
      <c r="H2380" s="2" t="n">
        <v>1</v>
      </c>
      <c r="I2380" s="2" t="n">
        <v>0</v>
      </c>
    </row>
    <row r="2381">
      <c r="A2381" s="2" t="n">
        <v>2379</v>
      </c>
      <c r="B2381" s="2" t="inlineStr">
        <is>
          <t>length</t>
        </is>
      </c>
      <c r="C2381" s="2" t="inlineStr">
        <is>
          <t>browser chrome150</t>
        </is>
      </c>
      <c r="D2381" s="2" t="n">
        <v>1763</v>
      </c>
      <c r="E2381" s="2" t="n">
        <v>1763</v>
      </c>
      <c r="F2381" s="2" t="n">
        <v>1</v>
      </c>
      <c r="G2381" s="2" t="n">
        <v>1</v>
      </c>
      <c r="H2381" s="2" t="n">
        <v>1</v>
      </c>
      <c r="I2381" s="2" t="n">
        <v>0</v>
      </c>
    </row>
    <row r="2382">
      <c r="A2382" s="2" t="n">
        <v>2380</v>
      </c>
      <c r="B2382" s="2" t="inlineStr">
        <is>
          <t>insert</t>
        </is>
      </c>
      <c r="C2382" s="2" t="inlineStr">
        <is>
          <t>browser chrome150</t>
        </is>
      </c>
      <c r="D2382" s="2" t="n">
        <v>1770</v>
      </c>
      <c r="E2382" s="2" t="n">
        <v>1770</v>
      </c>
      <c r="F2382" s="2" t="n">
        <v>1</v>
      </c>
      <c r="G2382" s="2" t="n">
        <v>1</v>
      </c>
      <c r="H2382" s="2" t="n">
        <v>1</v>
      </c>
      <c r="I2382" s="2" t="n">
        <v>0</v>
      </c>
    </row>
    <row r="2383">
      <c r="A2383" s="2" t="n">
        <v>2381</v>
      </c>
      <c r="B2383" s="2" t="inlineStr">
        <is>
          <t>flip</t>
        </is>
      </c>
      <c r="C2383" s="2" t="inlineStr">
        <is>
          <t>browser firefox147</t>
        </is>
      </c>
      <c r="D2383" s="2" t="n">
        <v>1901</v>
      </c>
      <c r="E2383" s="2" t="n">
        <v>1901</v>
      </c>
      <c r="F2383" s="2" t="n">
        <v>1</v>
      </c>
      <c r="G2383" s="2" t="n">
        <v>1</v>
      </c>
      <c r="H2383" s="2" t="n">
        <v>0</v>
      </c>
      <c r="I2383" s="2" t="n">
        <v>0</v>
      </c>
    </row>
    <row r="2384">
      <c r="A2384" s="2" t="n">
        <v>2382</v>
      </c>
      <c r="B2384" s="2" t="inlineStr">
        <is>
          <t>truncate</t>
        </is>
      </c>
      <c r="C2384" s="2" t="inlineStr">
        <is>
          <t>openssl 3.5.8 default</t>
        </is>
      </c>
      <c r="D2384" s="2" t="n">
        <v>1265</v>
      </c>
      <c r="E2384" s="2" t="n">
        <v>1265</v>
      </c>
      <c r="F2384" s="2" t="n">
        <v>1</v>
      </c>
      <c r="G2384" s="2" t="n">
        <v>1</v>
      </c>
      <c r="H2384" s="2" t="n">
        <v>1</v>
      </c>
      <c r="I2384" s="2" t="n">
        <v>0</v>
      </c>
    </row>
    <row r="2385">
      <c r="A2385" s="2" t="n">
        <v>2383</v>
      </c>
      <c r="B2385" s="2" t="inlineStr">
        <is>
          <t>length</t>
        </is>
      </c>
      <c r="C2385" s="2" t="inlineStr">
        <is>
          <t>openssl 3.5.8 default</t>
        </is>
      </c>
      <c r="D2385" s="2" t="n">
        <v>1548</v>
      </c>
      <c r="E2385" s="2" t="n">
        <v>1548</v>
      </c>
      <c r="F2385" s="2" t="n">
        <v>1</v>
      </c>
      <c r="G2385" s="2" t="n">
        <v>1</v>
      </c>
      <c r="H2385" s="2" t="n">
        <v>1</v>
      </c>
      <c r="I2385" s="2" t="n">
        <v>0</v>
      </c>
    </row>
    <row r="2386">
      <c r="A2386" s="2" t="n">
        <v>2384</v>
      </c>
      <c r="B2386" s="2" t="inlineStr">
        <is>
          <t>insert</t>
        </is>
      </c>
      <c r="C2386" s="2" t="inlineStr">
        <is>
          <t>browser firefox147</t>
        </is>
      </c>
      <c r="D2386" s="2" t="n">
        <v>1907</v>
      </c>
      <c r="E2386" s="2" t="n">
        <v>1907</v>
      </c>
      <c r="F2386" s="2" t="n">
        <v>1</v>
      </c>
      <c r="G2386" s="2" t="n">
        <v>1</v>
      </c>
      <c r="H2386" s="2" t="n">
        <v>0</v>
      </c>
      <c r="I2386" s="2" t="n">
        <v>0</v>
      </c>
    </row>
    <row r="2387">
      <c r="A2387" s="2" t="n">
        <v>2385</v>
      </c>
      <c r="B2387" s="2" t="inlineStr">
        <is>
          <t>flip</t>
        </is>
      </c>
      <c r="C2387" s="2" t="inlineStr">
        <is>
          <t>openssl X25519 only (classical)</t>
        </is>
      </c>
      <c r="D2387" s="2" t="n">
        <v>314</v>
      </c>
      <c r="E2387" s="2" t="n">
        <v>314</v>
      </c>
      <c r="F2387" s="2" t="n">
        <v>1</v>
      </c>
      <c r="G2387" s="2" t="n">
        <v>1</v>
      </c>
      <c r="H2387" s="2" t="n">
        <v>1</v>
      </c>
      <c r="I2387" s="2" t="n">
        <v>0</v>
      </c>
    </row>
    <row r="2388">
      <c r="A2388" s="2" t="n">
        <v>2386</v>
      </c>
      <c r="B2388" s="2" t="inlineStr">
        <is>
          <t>truncate</t>
        </is>
      </c>
      <c r="C2388" s="2" t="inlineStr">
        <is>
          <t>browser chrome150</t>
        </is>
      </c>
      <c r="D2388" s="2" t="n">
        <v>1104</v>
      </c>
      <c r="E2388" s="2" t="n">
        <v>1104</v>
      </c>
      <c r="F2388" s="2" t="n">
        <v>1</v>
      </c>
      <c r="G2388" s="2" t="n">
        <v>1</v>
      </c>
      <c r="H2388" s="2" t="n">
        <v>1</v>
      </c>
      <c r="I2388" s="2" t="n">
        <v>0</v>
      </c>
    </row>
    <row r="2389">
      <c r="A2389" s="2" t="n">
        <v>2387</v>
      </c>
      <c r="B2389" s="2" t="inlineStr">
        <is>
          <t>length</t>
        </is>
      </c>
      <c r="C2389" s="2" t="inlineStr">
        <is>
          <t>browser chrome150</t>
        </is>
      </c>
      <c r="D2389" s="2" t="n">
        <v>1763</v>
      </c>
      <c r="E2389" s="2" t="n">
        <v>1763</v>
      </c>
      <c r="F2389" s="2" t="n">
        <v>1</v>
      </c>
      <c r="G2389" s="2" t="n">
        <v>1</v>
      </c>
      <c r="H2389" s="2" t="n">
        <v>1</v>
      </c>
      <c r="I2389" s="2" t="n">
        <v>0</v>
      </c>
    </row>
    <row r="2390">
      <c r="A2390" s="2" t="n">
        <v>2388</v>
      </c>
      <c r="B2390" s="2" t="inlineStr">
        <is>
          <t>insert</t>
        </is>
      </c>
      <c r="C2390" s="2" t="inlineStr">
        <is>
          <t>openssl X25519 only (classical)</t>
        </is>
      </c>
      <c r="D2390" s="2" t="n">
        <v>326</v>
      </c>
      <c r="E2390" s="2" t="n">
        <v>326</v>
      </c>
      <c r="F2390" s="2" t="n">
        <v>0</v>
      </c>
      <c r="G2390" s="2" t="n">
        <v>0</v>
      </c>
      <c r="H2390" s="2" t="n">
        <v>0</v>
      </c>
      <c r="I2390" s="2" t="n">
        <v>0</v>
      </c>
    </row>
    <row r="2391">
      <c r="A2391" s="2" t="n">
        <v>2389</v>
      </c>
      <c r="B2391" s="2" t="inlineStr">
        <is>
          <t>flip</t>
        </is>
      </c>
      <c r="C2391" s="2" t="inlineStr">
        <is>
          <t>openssl X25519 only (classical)</t>
        </is>
      </c>
      <c r="D2391" s="2" t="n">
        <v>314</v>
      </c>
      <c r="E2391" s="2" t="n">
        <v>314</v>
      </c>
      <c r="F2391" s="2" t="n">
        <v>1</v>
      </c>
      <c r="G2391" s="2" t="n">
        <v>1</v>
      </c>
      <c r="H2391" s="2" t="n">
        <v>1</v>
      </c>
      <c r="I2391" s="2" t="n">
        <v>0</v>
      </c>
    </row>
    <row r="2392">
      <c r="A2392" s="2" t="n">
        <v>2390</v>
      </c>
      <c r="B2392" s="2" t="inlineStr">
        <is>
          <t>truncate</t>
        </is>
      </c>
      <c r="C2392" s="2" t="inlineStr">
        <is>
          <t>openssl 3.5.8 default</t>
        </is>
      </c>
      <c r="D2392" s="2" t="n">
        <v>45</v>
      </c>
      <c r="E2392" s="2" t="n">
        <v>45</v>
      </c>
      <c r="F2392" s="2" t="n">
        <v>1</v>
      </c>
      <c r="G2392" s="2" t="n">
        <v>0</v>
      </c>
      <c r="H2392" s="2" t="n">
        <v>0</v>
      </c>
      <c r="I2392" s="2" t="n">
        <v>0</v>
      </c>
    </row>
    <row r="2393">
      <c r="A2393" s="2" t="n">
        <v>2391</v>
      </c>
      <c r="B2393" s="2" t="inlineStr">
        <is>
          <t>length</t>
        </is>
      </c>
      <c r="C2393" s="2" t="inlineStr">
        <is>
          <t>openssl TLS 1.2 only</t>
        </is>
      </c>
      <c r="D2393" s="2" t="n">
        <v>215</v>
      </c>
      <c r="E2393" s="2" t="n">
        <v>215</v>
      </c>
      <c r="F2393" s="2" t="n">
        <v>1</v>
      </c>
      <c r="G2393" s="2" t="n">
        <v>1</v>
      </c>
      <c r="H2393" s="2" t="n">
        <v>0</v>
      </c>
      <c r="I2393" s="2" t="n">
        <v>0</v>
      </c>
    </row>
    <row r="2394">
      <c r="A2394" s="2" t="n">
        <v>2392</v>
      </c>
      <c r="B2394" s="2" t="inlineStr">
        <is>
          <t>insert</t>
        </is>
      </c>
      <c r="C2394" s="2" t="inlineStr">
        <is>
          <t>openssl X25519 only (classical)</t>
        </is>
      </c>
      <c r="D2394" s="2" t="n">
        <v>328</v>
      </c>
      <c r="E2394" s="2" t="n">
        <v>328</v>
      </c>
      <c r="F2394" s="2" t="n">
        <v>1</v>
      </c>
      <c r="G2394" s="2" t="n">
        <v>1</v>
      </c>
      <c r="H2394" s="2" t="n">
        <v>1</v>
      </c>
      <c r="I2394" s="2" t="n">
        <v>0</v>
      </c>
    </row>
    <row r="2395">
      <c r="A2395" s="2" t="n">
        <v>2393</v>
      </c>
      <c r="B2395" s="2" t="inlineStr">
        <is>
          <t>flip</t>
        </is>
      </c>
      <c r="C2395" s="2" t="inlineStr">
        <is>
          <t>browser chrome150</t>
        </is>
      </c>
      <c r="D2395" s="2" t="n">
        <v>1763</v>
      </c>
      <c r="E2395" s="2" t="n">
        <v>1763</v>
      </c>
      <c r="F2395" s="2" t="n">
        <v>1</v>
      </c>
      <c r="G2395" s="2" t="n">
        <v>1</v>
      </c>
      <c r="H2395" s="2" t="n">
        <v>1</v>
      </c>
      <c r="I2395" s="2" t="n">
        <v>0</v>
      </c>
    </row>
    <row r="2396">
      <c r="A2396" s="2" t="n">
        <v>2394</v>
      </c>
      <c r="B2396" s="2" t="inlineStr">
        <is>
          <t>truncate</t>
        </is>
      </c>
      <c r="C2396" s="2" t="inlineStr">
        <is>
          <t>openssl 3.5.8 default</t>
        </is>
      </c>
      <c r="D2396" s="2" t="n">
        <v>828</v>
      </c>
      <c r="E2396" s="2" t="n">
        <v>828</v>
      </c>
      <c r="F2396" s="2" t="n">
        <v>1</v>
      </c>
      <c r="G2396" s="2" t="n">
        <v>1</v>
      </c>
      <c r="H2396" s="2" t="n">
        <v>1</v>
      </c>
      <c r="I2396" s="2" t="n">
        <v>0</v>
      </c>
    </row>
    <row r="2397">
      <c r="A2397" s="2" t="n">
        <v>2395</v>
      </c>
      <c r="B2397" s="2" t="inlineStr">
        <is>
          <t>length</t>
        </is>
      </c>
      <c r="C2397" s="2" t="inlineStr">
        <is>
          <t>openssl 3.5.8 default</t>
        </is>
      </c>
      <c r="D2397" s="2" t="n">
        <v>1548</v>
      </c>
      <c r="E2397" s="2" t="n">
        <v>1548</v>
      </c>
      <c r="F2397" s="2" t="n">
        <v>1</v>
      </c>
      <c r="G2397" s="2" t="n">
        <v>1</v>
      </c>
      <c r="H2397" s="2" t="n">
        <v>1</v>
      </c>
      <c r="I2397" s="2" t="n">
        <v>0</v>
      </c>
    </row>
    <row r="2398">
      <c r="A2398" s="2" t="n">
        <v>2396</v>
      </c>
      <c r="B2398" s="2" t="inlineStr">
        <is>
          <t>insert</t>
        </is>
      </c>
      <c r="C2398" s="2" t="inlineStr">
        <is>
          <t>openssl X25519 only (classical)</t>
        </is>
      </c>
      <c r="D2398" s="2" t="n">
        <v>320</v>
      </c>
      <c r="E2398" s="2" t="n">
        <v>320</v>
      </c>
      <c r="F2398" s="2" t="n">
        <v>1</v>
      </c>
      <c r="G2398" s="2" t="n">
        <v>1</v>
      </c>
      <c r="H2398" s="2" t="n">
        <v>0</v>
      </c>
      <c r="I2398" s="2" t="n">
        <v>0</v>
      </c>
    </row>
    <row r="2399">
      <c r="A2399" s="2" t="n">
        <v>2397</v>
      </c>
      <c r="B2399" s="2" t="inlineStr">
        <is>
          <t>flip</t>
        </is>
      </c>
      <c r="C2399" s="2" t="inlineStr">
        <is>
          <t>browser firefox147</t>
        </is>
      </c>
      <c r="D2399" s="2" t="n">
        <v>1901</v>
      </c>
      <c r="E2399" s="2" t="n">
        <v>1901</v>
      </c>
      <c r="F2399" s="2" t="n">
        <v>1</v>
      </c>
      <c r="G2399" s="2" t="n">
        <v>1</v>
      </c>
      <c r="H2399" s="2" t="n">
        <v>0</v>
      </c>
      <c r="I2399" s="2" t="n">
        <v>0</v>
      </c>
    </row>
    <row r="2400">
      <c r="A2400" s="2" t="n">
        <v>2398</v>
      </c>
      <c r="B2400" s="2" t="inlineStr">
        <is>
          <t>truncate</t>
        </is>
      </c>
      <c r="C2400" s="2" t="inlineStr">
        <is>
          <t>browser firefox147</t>
        </is>
      </c>
      <c r="D2400" s="2" t="n">
        <v>885</v>
      </c>
      <c r="E2400" s="2" t="n">
        <v>885</v>
      </c>
      <c r="F2400" s="2" t="n">
        <v>1</v>
      </c>
      <c r="G2400" s="2" t="n">
        <v>1</v>
      </c>
      <c r="H2400" s="2" t="n">
        <v>0</v>
      </c>
      <c r="I2400" s="2" t="n">
        <v>0</v>
      </c>
    </row>
    <row r="2401">
      <c r="A2401" s="2" t="n">
        <v>2399</v>
      </c>
      <c r="B2401" s="2" t="inlineStr">
        <is>
          <t>length</t>
        </is>
      </c>
      <c r="C2401" s="2" t="inlineStr">
        <is>
          <t>openssl TLS 1.2 only</t>
        </is>
      </c>
      <c r="D2401" s="2" t="n">
        <v>215</v>
      </c>
      <c r="E2401" s="2" t="n">
        <v>215</v>
      </c>
      <c r="F2401" s="2" t="n">
        <v>0</v>
      </c>
      <c r="G2401" s="2" t="n">
        <v>0</v>
      </c>
      <c r="H2401" s="2" t="n">
        <v>0</v>
      </c>
      <c r="I2401" s="2" t="n">
        <v>0</v>
      </c>
    </row>
    <row r="2402">
      <c r="A2402" s="2" t="n">
        <v>2400</v>
      </c>
      <c r="B2402" s="2" t="inlineStr">
        <is>
          <t>insert</t>
        </is>
      </c>
      <c r="C2402" s="2" t="inlineStr">
        <is>
          <t>browser chrome150</t>
        </is>
      </c>
      <c r="D2402" s="2" t="n">
        <v>1778</v>
      </c>
      <c r="E2402" s="2" t="n">
        <v>1778</v>
      </c>
      <c r="F2402" s="2" t="n">
        <v>1</v>
      </c>
      <c r="G2402" s="2" t="n">
        <v>1</v>
      </c>
      <c r="H2402" s="2" t="n">
        <v>1</v>
      </c>
      <c r="I2402" s="2" t="n">
        <v>0</v>
      </c>
    </row>
    <row r="2403">
      <c r="A2403" s="2" t="n">
        <v>2401</v>
      </c>
      <c r="B2403" s="2" t="inlineStr">
        <is>
          <t>flip</t>
        </is>
      </c>
      <c r="C2403" s="2" t="inlineStr">
        <is>
          <t>openssl X25519 only (classical)</t>
        </is>
      </c>
      <c r="D2403" s="2" t="n">
        <v>314</v>
      </c>
      <c r="E2403" s="2" t="n">
        <v>314</v>
      </c>
      <c r="F2403" s="2" t="n">
        <v>1</v>
      </c>
      <c r="G2403" s="2" t="n">
        <v>1</v>
      </c>
      <c r="H2403" s="2" t="n">
        <v>1</v>
      </c>
      <c r="I2403" s="2" t="n">
        <v>0</v>
      </c>
    </row>
    <row r="2404">
      <c r="A2404" s="2" t="n">
        <v>2402</v>
      </c>
      <c r="B2404" s="2" t="inlineStr">
        <is>
          <t>truncate</t>
        </is>
      </c>
      <c r="C2404" s="2" t="inlineStr">
        <is>
          <t>openssl 3.5.8 default</t>
        </is>
      </c>
      <c r="D2404" s="2" t="n">
        <v>1069</v>
      </c>
      <c r="E2404" s="2" t="n">
        <v>1069</v>
      </c>
      <c r="F2404" s="2" t="n">
        <v>1</v>
      </c>
      <c r="G2404" s="2" t="n">
        <v>1</v>
      </c>
      <c r="H2404" s="2" t="n">
        <v>1</v>
      </c>
      <c r="I2404" s="2" t="n">
        <v>0</v>
      </c>
    </row>
    <row r="2405">
      <c r="A2405" s="2" t="n">
        <v>2403</v>
      </c>
      <c r="B2405" s="2" t="inlineStr">
        <is>
          <t>length</t>
        </is>
      </c>
      <c r="C2405" s="2" t="inlineStr">
        <is>
          <t>openssl X25519 only (classical)</t>
        </is>
      </c>
      <c r="D2405" s="2" t="n">
        <v>314</v>
      </c>
      <c r="E2405" s="2" t="n">
        <v>314</v>
      </c>
      <c r="F2405" s="2" t="n">
        <v>0</v>
      </c>
      <c r="G2405" s="2" t="n">
        <v>0</v>
      </c>
      <c r="H2405" s="2" t="n">
        <v>0</v>
      </c>
      <c r="I2405" s="2" t="n">
        <v>0</v>
      </c>
    </row>
    <row r="2406">
      <c r="A2406" s="2" t="n">
        <v>2404</v>
      </c>
      <c r="B2406" s="2" t="inlineStr">
        <is>
          <t>insert</t>
        </is>
      </c>
      <c r="C2406" s="2" t="inlineStr">
        <is>
          <t>browser chrome150</t>
        </is>
      </c>
      <c r="D2406" s="2" t="n">
        <v>1768</v>
      </c>
      <c r="E2406" s="2" t="n">
        <v>1768</v>
      </c>
      <c r="F2406" s="2" t="n">
        <v>1</v>
      </c>
      <c r="G2406" s="2" t="n">
        <v>1</v>
      </c>
      <c r="H2406" s="2" t="n">
        <v>1</v>
      </c>
      <c r="I2406" s="2" t="n">
        <v>0</v>
      </c>
    </row>
    <row r="2407">
      <c r="A2407" s="2" t="n">
        <v>2405</v>
      </c>
      <c r="B2407" s="2" t="inlineStr">
        <is>
          <t>flip</t>
        </is>
      </c>
      <c r="C2407" s="2" t="inlineStr">
        <is>
          <t>openssl 3.5.8 default</t>
        </is>
      </c>
      <c r="D2407" s="2" t="n">
        <v>1548</v>
      </c>
      <c r="E2407" s="2" t="n">
        <v>1548</v>
      </c>
      <c r="F2407" s="2" t="n">
        <v>1</v>
      </c>
      <c r="G2407" s="2" t="n">
        <v>1</v>
      </c>
      <c r="H2407" s="2" t="n">
        <v>1</v>
      </c>
      <c r="I2407" s="2" t="n">
        <v>0</v>
      </c>
    </row>
    <row r="2408">
      <c r="A2408" s="2" t="n">
        <v>2406</v>
      </c>
      <c r="B2408" s="2" t="inlineStr">
        <is>
          <t>truncate</t>
        </is>
      </c>
      <c r="C2408" s="2" t="inlineStr">
        <is>
          <t>browser chrome150</t>
        </is>
      </c>
      <c r="D2408" s="2" t="n">
        <v>458</v>
      </c>
      <c r="E2408" s="2" t="n">
        <v>458</v>
      </c>
      <c r="F2408" s="2" t="n">
        <v>1</v>
      </c>
      <c r="G2408" s="2" t="n">
        <v>1</v>
      </c>
      <c r="H2408" s="2" t="n">
        <v>1</v>
      </c>
      <c r="I2408" s="2" t="n">
        <v>0</v>
      </c>
    </row>
    <row r="2409">
      <c r="A2409" s="2" t="n">
        <v>2407</v>
      </c>
      <c r="B2409" s="2" t="inlineStr">
        <is>
          <t>length</t>
        </is>
      </c>
      <c r="C2409" s="2" t="inlineStr">
        <is>
          <t>browser firefox147</t>
        </is>
      </c>
      <c r="D2409" s="2" t="n">
        <v>1901</v>
      </c>
      <c r="E2409" s="2" t="n">
        <v>1901</v>
      </c>
      <c r="F2409" s="2" t="n">
        <v>1</v>
      </c>
      <c r="G2409" s="2" t="n">
        <v>1</v>
      </c>
      <c r="H2409" s="2" t="n">
        <v>0</v>
      </c>
      <c r="I2409" s="2" t="n">
        <v>0</v>
      </c>
    </row>
    <row r="2410">
      <c r="A2410" s="2" t="n">
        <v>2408</v>
      </c>
      <c r="B2410" s="2" t="inlineStr">
        <is>
          <t>insert</t>
        </is>
      </c>
      <c r="C2410" s="2" t="inlineStr">
        <is>
          <t>openssl X25519 only (classical)</t>
        </is>
      </c>
      <c r="D2410" s="2" t="n">
        <v>326</v>
      </c>
      <c r="E2410" s="2" t="n">
        <v>326</v>
      </c>
      <c r="F2410" s="2" t="n">
        <v>1</v>
      </c>
      <c r="G2410" s="2" t="n">
        <v>1</v>
      </c>
      <c r="H2410" s="2" t="n">
        <v>0</v>
      </c>
      <c r="I2410" s="2" t="n">
        <v>0</v>
      </c>
    </row>
    <row r="2411">
      <c r="A2411" s="2" t="n">
        <v>2409</v>
      </c>
      <c r="B2411" s="2" t="inlineStr">
        <is>
          <t>flip</t>
        </is>
      </c>
      <c r="C2411" s="2" t="inlineStr">
        <is>
          <t>openssl TLS 1.2 only</t>
        </is>
      </c>
      <c r="D2411" s="2" t="n">
        <v>215</v>
      </c>
      <c r="E2411" s="2" t="n">
        <v>215</v>
      </c>
      <c r="F2411" s="2" t="n">
        <v>1</v>
      </c>
      <c r="G2411" s="2" t="n">
        <v>1</v>
      </c>
      <c r="H2411" s="2" t="n">
        <v>1</v>
      </c>
      <c r="I2411" s="2" t="n">
        <v>0</v>
      </c>
    </row>
    <row r="2412">
      <c r="A2412" s="2" t="n">
        <v>2410</v>
      </c>
      <c r="B2412" s="2" t="inlineStr">
        <is>
          <t>truncate</t>
        </is>
      </c>
      <c r="C2412" s="2" t="inlineStr">
        <is>
          <t>browser firefox147</t>
        </is>
      </c>
      <c r="D2412" s="2" t="n">
        <v>1579</v>
      </c>
      <c r="E2412" s="2" t="n">
        <v>1579</v>
      </c>
      <c r="F2412" s="2" t="n">
        <v>1</v>
      </c>
      <c r="G2412" s="2" t="n">
        <v>1</v>
      </c>
      <c r="H2412" s="2" t="n">
        <v>0</v>
      </c>
      <c r="I2412" s="2" t="n">
        <v>0</v>
      </c>
    </row>
    <row r="2413">
      <c r="A2413" s="2" t="n">
        <v>2411</v>
      </c>
      <c r="B2413" s="2" t="inlineStr">
        <is>
          <t>length</t>
        </is>
      </c>
      <c r="C2413" s="2" t="inlineStr">
        <is>
          <t>browser chrome150</t>
        </is>
      </c>
      <c r="D2413" s="2" t="n">
        <v>1763</v>
      </c>
      <c r="E2413" s="2" t="n">
        <v>1763</v>
      </c>
      <c r="F2413" s="2" t="n">
        <v>1</v>
      </c>
      <c r="G2413" s="2" t="n">
        <v>1</v>
      </c>
      <c r="H2413" s="2" t="n">
        <v>0</v>
      </c>
      <c r="I2413" s="2" t="n">
        <v>0</v>
      </c>
    </row>
    <row r="2414">
      <c r="A2414" s="2" t="n">
        <v>2412</v>
      </c>
      <c r="B2414" s="2" t="inlineStr">
        <is>
          <t>insert</t>
        </is>
      </c>
      <c r="C2414" s="2" t="inlineStr">
        <is>
          <t>browser firefox147</t>
        </is>
      </c>
      <c r="D2414" s="2" t="n">
        <v>1916</v>
      </c>
      <c r="E2414" s="2" t="n">
        <v>1916</v>
      </c>
      <c r="F2414" s="2" t="n">
        <v>1</v>
      </c>
      <c r="G2414" s="2" t="n">
        <v>1</v>
      </c>
      <c r="H2414" s="2" t="n">
        <v>0</v>
      </c>
      <c r="I2414" s="2" t="n">
        <v>0</v>
      </c>
    </row>
    <row r="2415">
      <c r="A2415" s="2" t="n">
        <v>2413</v>
      </c>
      <c r="B2415" s="2" t="inlineStr">
        <is>
          <t>flip</t>
        </is>
      </c>
      <c r="C2415" s="2" t="inlineStr">
        <is>
          <t>openssl X25519 only (classical)</t>
        </is>
      </c>
      <c r="D2415" s="2" t="n">
        <v>314</v>
      </c>
      <c r="E2415" s="2" t="n">
        <v>314</v>
      </c>
      <c r="F2415" s="2" t="n">
        <v>1</v>
      </c>
      <c r="G2415" s="2" t="n">
        <v>1</v>
      </c>
      <c r="H2415" s="2" t="n">
        <v>1</v>
      </c>
      <c r="I2415" s="2" t="n">
        <v>0</v>
      </c>
    </row>
    <row r="2416">
      <c r="A2416" s="2" t="n">
        <v>2414</v>
      </c>
      <c r="B2416" s="2" t="inlineStr">
        <is>
          <t>truncate</t>
        </is>
      </c>
      <c r="C2416" s="2" t="inlineStr">
        <is>
          <t>openssl TLS 1.2 only</t>
        </is>
      </c>
      <c r="D2416" s="2" t="n">
        <v>36</v>
      </c>
      <c r="E2416" s="2" t="n">
        <v>36</v>
      </c>
      <c r="F2416" s="2" t="n">
        <v>1</v>
      </c>
      <c r="G2416" s="2" t="n">
        <v>0</v>
      </c>
      <c r="H2416" s="2" t="n">
        <v>0</v>
      </c>
      <c r="I2416" s="2" t="n">
        <v>0</v>
      </c>
    </row>
    <row r="2417">
      <c r="A2417" s="2" t="n">
        <v>2415</v>
      </c>
      <c r="B2417" s="2" t="inlineStr">
        <is>
          <t>length</t>
        </is>
      </c>
      <c r="C2417" s="2" t="inlineStr">
        <is>
          <t>browser firefox147</t>
        </is>
      </c>
      <c r="D2417" s="2" t="n">
        <v>1901</v>
      </c>
      <c r="E2417" s="2" t="n">
        <v>1901</v>
      </c>
      <c r="F2417" s="2" t="n">
        <v>1</v>
      </c>
      <c r="G2417" s="2" t="n">
        <v>0</v>
      </c>
      <c r="H2417" s="2" t="n">
        <v>0</v>
      </c>
      <c r="I2417" s="2" t="n">
        <v>0</v>
      </c>
    </row>
    <row r="2418">
      <c r="A2418" s="2" t="n">
        <v>2416</v>
      </c>
      <c r="B2418" s="2" t="inlineStr">
        <is>
          <t>insert</t>
        </is>
      </c>
      <c r="C2418" s="2" t="inlineStr">
        <is>
          <t>openssl TLS 1.2 only</t>
        </is>
      </c>
      <c r="D2418" s="2" t="n">
        <v>228</v>
      </c>
      <c r="E2418" s="2" t="n">
        <v>228</v>
      </c>
      <c r="F2418" s="2" t="n">
        <v>1</v>
      </c>
      <c r="G2418" s="2" t="n">
        <v>1</v>
      </c>
      <c r="H2418" s="2" t="n">
        <v>1</v>
      </c>
      <c r="I2418" s="2" t="n">
        <v>0</v>
      </c>
    </row>
    <row r="2419">
      <c r="A2419" s="2" t="n">
        <v>2417</v>
      </c>
      <c r="B2419" s="2" t="inlineStr">
        <is>
          <t>flip</t>
        </is>
      </c>
      <c r="C2419" s="2" t="inlineStr">
        <is>
          <t>browser firefox147</t>
        </is>
      </c>
      <c r="D2419" s="2" t="n">
        <v>1901</v>
      </c>
      <c r="E2419" s="2" t="n">
        <v>1901</v>
      </c>
      <c r="F2419" s="2" t="n">
        <v>1</v>
      </c>
      <c r="G2419" s="2" t="n">
        <v>1</v>
      </c>
      <c r="H2419" s="2" t="n">
        <v>0</v>
      </c>
      <c r="I2419" s="2" t="n">
        <v>0</v>
      </c>
    </row>
    <row r="2420">
      <c r="A2420" s="2" t="n">
        <v>2418</v>
      </c>
      <c r="B2420" s="2" t="inlineStr">
        <is>
          <t>truncate</t>
        </is>
      </c>
      <c r="C2420" s="2" t="inlineStr">
        <is>
          <t>browser firefox147</t>
        </is>
      </c>
      <c r="D2420" s="2" t="n">
        <v>1516</v>
      </c>
      <c r="E2420" s="2" t="n">
        <v>1516</v>
      </c>
      <c r="F2420" s="2" t="n">
        <v>1</v>
      </c>
      <c r="G2420" s="2" t="n">
        <v>1</v>
      </c>
      <c r="H2420" s="2" t="n">
        <v>0</v>
      </c>
      <c r="I2420" s="2" t="n">
        <v>0</v>
      </c>
    </row>
    <row r="2421">
      <c r="A2421" s="2" t="n">
        <v>2419</v>
      </c>
      <c r="B2421" s="2" t="inlineStr">
        <is>
          <t>length</t>
        </is>
      </c>
      <c r="C2421" s="2" t="inlineStr">
        <is>
          <t>openssl X25519 only (classical)</t>
        </is>
      </c>
      <c r="D2421" s="2" t="n">
        <v>314</v>
      </c>
      <c r="E2421" s="2" t="n">
        <v>314</v>
      </c>
      <c r="F2421" s="2" t="n">
        <v>1</v>
      </c>
      <c r="G2421" s="2" t="n">
        <v>0</v>
      </c>
      <c r="H2421" s="2" t="n">
        <v>0</v>
      </c>
      <c r="I2421" s="2" t="n">
        <v>0</v>
      </c>
    </row>
    <row r="2422">
      <c r="A2422" s="2" t="n">
        <v>2420</v>
      </c>
      <c r="B2422" s="2" t="inlineStr">
        <is>
          <t>insert</t>
        </is>
      </c>
      <c r="C2422" s="2" t="inlineStr">
        <is>
          <t>openssl X25519 only (classical)</t>
        </is>
      </c>
      <c r="D2422" s="2" t="n">
        <v>319</v>
      </c>
      <c r="E2422" s="2" t="n">
        <v>319</v>
      </c>
      <c r="F2422" s="2" t="n">
        <v>1</v>
      </c>
      <c r="G2422" s="2" t="n">
        <v>0</v>
      </c>
      <c r="H2422" s="2" t="n">
        <v>0</v>
      </c>
      <c r="I2422" s="2" t="n">
        <v>0</v>
      </c>
    </row>
    <row r="2423">
      <c r="A2423" s="2" t="n">
        <v>2421</v>
      </c>
      <c r="B2423" s="2" t="inlineStr">
        <is>
          <t>flip</t>
        </is>
      </c>
      <c r="C2423" s="2" t="inlineStr">
        <is>
          <t>openssl X25519 only (classical)</t>
        </is>
      </c>
      <c r="D2423" s="2" t="n">
        <v>314</v>
      </c>
      <c r="E2423" s="2" t="n">
        <v>314</v>
      </c>
      <c r="F2423" s="2" t="n">
        <v>1</v>
      </c>
      <c r="G2423" s="2" t="n">
        <v>1</v>
      </c>
      <c r="H2423" s="2" t="n">
        <v>1</v>
      </c>
      <c r="I2423" s="2" t="n">
        <v>0</v>
      </c>
    </row>
    <row r="2424">
      <c r="A2424" s="2" t="n">
        <v>2422</v>
      </c>
      <c r="B2424" s="2" t="inlineStr">
        <is>
          <t>truncate</t>
        </is>
      </c>
      <c r="C2424" s="2" t="inlineStr">
        <is>
          <t>browser firefox147</t>
        </is>
      </c>
      <c r="D2424" s="2" t="n">
        <v>978</v>
      </c>
      <c r="E2424" s="2" t="n">
        <v>978</v>
      </c>
      <c r="F2424" s="2" t="n">
        <v>1</v>
      </c>
      <c r="G2424" s="2" t="n">
        <v>1</v>
      </c>
      <c r="H2424" s="2" t="n">
        <v>0</v>
      </c>
      <c r="I2424" s="2" t="n">
        <v>0</v>
      </c>
    </row>
    <row r="2425">
      <c r="A2425" s="2" t="n">
        <v>2423</v>
      </c>
      <c r="B2425" s="2" t="inlineStr">
        <is>
          <t>length</t>
        </is>
      </c>
      <c r="C2425" s="2" t="inlineStr">
        <is>
          <t>browser chrome150</t>
        </is>
      </c>
      <c r="D2425" s="2" t="n">
        <v>1763</v>
      </c>
      <c r="E2425" s="2" t="n">
        <v>1763</v>
      </c>
      <c r="F2425" s="2" t="n">
        <v>1</v>
      </c>
      <c r="G2425" s="2" t="n">
        <v>1</v>
      </c>
      <c r="H2425" s="2" t="n">
        <v>1</v>
      </c>
      <c r="I2425" s="2" t="n">
        <v>0</v>
      </c>
    </row>
    <row r="2426">
      <c r="A2426" s="2" t="n">
        <v>2424</v>
      </c>
      <c r="B2426" s="2" t="inlineStr">
        <is>
          <t>insert</t>
        </is>
      </c>
      <c r="C2426" s="2" t="inlineStr">
        <is>
          <t>openssl X25519 only (classical)</t>
        </is>
      </c>
      <c r="D2426" s="2" t="n">
        <v>323</v>
      </c>
      <c r="E2426" s="2" t="n">
        <v>323</v>
      </c>
      <c r="F2426" s="2" t="n">
        <v>1</v>
      </c>
      <c r="G2426" s="2" t="n">
        <v>1</v>
      </c>
      <c r="H2426" s="2" t="n">
        <v>1</v>
      </c>
      <c r="I2426" s="2" t="n">
        <v>0</v>
      </c>
    </row>
    <row r="2427">
      <c r="A2427" s="2" t="n">
        <v>2425</v>
      </c>
      <c r="B2427" s="2" t="inlineStr">
        <is>
          <t>flip</t>
        </is>
      </c>
      <c r="C2427" s="2" t="inlineStr">
        <is>
          <t>browser firefox147</t>
        </is>
      </c>
      <c r="D2427" s="2" t="n">
        <v>1901</v>
      </c>
      <c r="E2427" s="2" t="n">
        <v>1901</v>
      </c>
      <c r="F2427" s="2" t="n">
        <v>1</v>
      </c>
      <c r="G2427" s="2" t="n">
        <v>1</v>
      </c>
      <c r="H2427" s="2" t="n">
        <v>0</v>
      </c>
      <c r="I2427" s="2" t="n">
        <v>0</v>
      </c>
    </row>
    <row r="2428">
      <c r="A2428" s="2" t="n">
        <v>2426</v>
      </c>
      <c r="B2428" s="2" t="inlineStr">
        <is>
          <t>truncate</t>
        </is>
      </c>
      <c r="C2428" s="2" t="inlineStr">
        <is>
          <t>openssl 3.5.8 default</t>
        </is>
      </c>
      <c r="D2428" s="2" t="n">
        <v>264</v>
      </c>
      <c r="E2428" s="2" t="n">
        <v>264</v>
      </c>
      <c r="F2428" s="2" t="n">
        <v>1</v>
      </c>
      <c r="G2428" s="2" t="n">
        <v>1</v>
      </c>
      <c r="H2428" s="2" t="n">
        <v>0</v>
      </c>
      <c r="I2428" s="2" t="n">
        <v>0</v>
      </c>
    </row>
    <row r="2429">
      <c r="A2429" s="2" t="n">
        <v>2427</v>
      </c>
      <c r="B2429" s="2" t="inlineStr">
        <is>
          <t>length</t>
        </is>
      </c>
      <c r="C2429" s="2" t="inlineStr">
        <is>
          <t>browser firefox147</t>
        </is>
      </c>
      <c r="D2429" s="2" t="n">
        <v>1901</v>
      </c>
      <c r="E2429" s="2" t="n">
        <v>1901</v>
      </c>
      <c r="F2429" s="2" t="n">
        <v>1</v>
      </c>
      <c r="G2429" s="2" t="n">
        <v>1</v>
      </c>
      <c r="H2429" s="2" t="n">
        <v>1</v>
      </c>
      <c r="I2429" s="2" t="n">
        <v>0</v>
      </c>
    </row>
    <row r="2430">
      <c r="A2430" s="2" t="n">
        <v>2428</v>
      </c>
      <c r="B2430" s="2" t="inlineStr">
        <is>
          <t>insert</t>
        </is>
      </c>
      <c r="C2430" s="2" t="inlineStr">
        <is>
          <t>openssl X25519 only (classical)</t>
        </is>
      </c>
      <c r="D2430" s="2" t="n">
        <v>316</v>
      </c>
      <c r="E2430" s="2" t="n">
        <v>316</v>
      </c>
      <c r="F2430" s="2" t="n">
        <v>1</v>
      </c>
      <c r="G2430" s="2" t="n">
        <v>0</v>
      </c>
      <c r="H2430" s="2" t="n">
        <v>0</v>
      </c>
      <c r="I2430" s="2" t="n">
        <v>0</v>
      </c>
    </row>
    <row r="2431">
      <c r="A2431" s="2" t="n">
        <v>2429</v>
      </c>
      <c r="B2431" s="2" t="inlineStr">
        <is>
          <t>flip</t>
        </is>
      </c>
      <c r="C2431" s="2" t="inlineStr">
        <is>
          <t>openssl 3.5.8 default</t>
        </is>
      </c>
      <c r="D2431" s="2" t="n">
        <v>1548</v>
      </c>
      <c r="E2431" s="2" t="n">
        <v>1548</v>
      </c>
      <c r="F2431" s="2" t="n">
        <v>1</v>
      </c>
      <c r="G2431" s="2" t="n">
        <v>1</v>
      </c>
      <c r="H2431" s="2" t="n">
        <v>1</v>
      </c>
      <c r="I2431" s="2" t="n">
        <v>0</v>
      </c>
    </row>
    <row r="2432">
      <c r="A2432" s="2" t="n">
        <v>2430</v>
      </c>
      <c r="B2432" s="2" t="inlineStr">
        <is>
          <t>truncate</t>
        </is>
      </c>
      <c r="C2432" s="2" t="inlineStr">
        <is>
          <t>browser chrome150</t>
        </is>
      </c>
      <c r="D2432" s="2" t="n">
        <v>655</v>
      </c>
      <c r="E2432" s="2" t="n">
        <v>655</v>
      </c>
      <c r="F2432" s="2" t="n">
        <v>1</v>
      </c>
      <c r="G2432" s="2" t="n">
        <v>1</v>
      </c>
      <c r="H2432" s="2" t="n">
        <v>1</v>
      </c>
      <c r="I2432" s="2" t="n">
        <v>0</v>
      </c>
    </row>
    <row r="2433">
      <c r="A2433" s="2" t="n">
        <v>2431</v>
      </c>
      <c r="B2433" s="2" t="inlineStr">
        <is>
          <t>length</t>
        </is>
      </c>
      <c r="C2433" s="2" t="inlineStr">
        <is>
          <t>browser firefox147</t>
        </is>
      </c>
      <c r="D2433" s="2" t="n">
        <v>1901</v>
      </c>
      <c r="E2433" s="2" t="n">
        <v>1901</v>
      </c>
      <c r="F2433" s="2" t="n">
        <v>1</v>
      </c>
      <c r="G2433" s="2" t="n">
        <v>1</v>
      </c>
      <c r="H2433" s="2" t="n">
        <v>0</v>
      </c>
      <c r="I2433" s="2" t="n">
        <v>0</v>
      </c>
    </row>
    <row r="2434">
      <c r="A2434" s="2" t="n">
        <v>2432</v>
      </c>
      <c r="B2434" s="2" t="inlineStr">
        <is>
          <t>insert</t>
        </is>
      </c>
      <c r="C2434" s="2" t="inlineStr">
        <is>
          <t>openssl 3.5.8 default</t>
        </is>
      </c>
      <c r="D2434" s="2" t="n">
        <v>1563</v>
      </c>
      <c r="E2434" s="2" t="n">
        <v>1563</v>
      </c>
      <c r="F2434" s="2" t="n">
        <v>1</v>
      </c>
      <c r="G2434" s="2" t="n">
        <v>1</v>
      </c>
      <c r="H2434" s="2" t="n">
        <v>1</v>
      </c>
      <c r="I2434" s="2" t="n">
        <v>0</v>
      </c>
    </row>
    <row r="2435">
      <c r="A2435" s="2" t="n">
        <v>2433</v>
      </c>
      <c r="B2435" s="2" t="inlineStr">
        <is>
          <t>flip</t>
        </is>
      </c>
      <c r="C2435" s="2" t="inlineStr">
        <is>
          <t>browser chrome150</t>
        </is>
      </c>
      <c r="D2435" s="2" t="n">
        <v>1763</v>
      </c>
      <c r="E2435" s="2" t="n">
        <v>1763</v>
      </c>
      <c r="F2435" s="2" t="n">
        <v>1</v>
      </c>
      <c r="G2435" s="2" t="n">
        <v>1</v>
      </c>
      <c r="H2435" s="2" t="n">
        <v>1</v>
      </c>
      <c r="I2435" s="2" t="n">
        <v>0</v>
      </c>
    </row>
    <row r="2436">
      <c r="A2436" s="2" t="n">
        <v>2434</v>
      </c>
      <c r="B2436" s="2" t="inlineStr">
        <is>
          <t>truncate</t>
        </is>
      </c>
      <c r="C2436" s="2" t="inlineStr">
        <is>
          <t>openssl TLS 1.2 only</t>
        </is>
      </c>
      <c r="D2436" s="2" t="n">
        <v>184</v>
      </c>
      <c r="E2436" s="2" t="n">
        <v>184</v>
      </c>
      <c r="F2436" s="2" t="n">
        <v>1</v>
      </c>
      <c r="G2436" s="2" t="n">
        <v>1</v>
      </c>
      <c r="H2436" s="2" t="n">
        <v>1</v>
      </c>
      <c r="I2436" s="2" t="n">
        <v>0</v>
      </c>
    </row>
    <row r="2437">
      <c r="A2437" s="2" t="n">
        <v>2435</v>
      </c>
      <c r="B2437" s="2" t="inlineStr">
        <is>
          <t>length</t>
        </is>
      </c>
      <c r="C2437" s="2" t="inlineStr">
        <is>
          <t>browser firefox147</t>
        </is>
      </c>
      <c r="D2437" s="2" t="n">
        <v>1901</v>
      </c>
      <c r="E2437" s="2" t="n">
        <v>1901</v>
      </c>
      <c r="F2437" s="2" t="n">
        <v>1</v>
      </c>
      <c r="G2437" s="2" t="n">
        <v>1</v>
      </c>
      <c r="H2437" s="2" t="n">
        <v>0</v>
      </c>
      <c r="I2437" s="2" t="n">
        <v>0</v>
      </c>
    </row>
    <row r="2438">
      <c r="A2438" s="2" t="n">
        <v>2436</v>
      </c>
      <c r="B2438" s="2" t="inlineStr">
        <is>
          <t>insert</t>
        </is>
      </c>
      <c r="C2438" s="2" t="inlineStr">
        <is>
          <t>browser chrome150</t>
        </is>
      </c>
      <c r="D2438" s="2" t="n">
        <v>1766</v>
      </c>
      <c r="E2438" s="2" t="n">
        <v>1766</v>
      </c>
      <c r="F2438" s="2" t="n">
        <v>1</v>
      </c>
      <c r="G2438" s="2" t="n">
        <v>1</v>
      </c>
      <c r="H2438" s="2" t="n">
        <v>1</v>
      </c>
      <c r="I2438" s="2" t="n">
        <v>0</v>
      </c>
    </row>
    <row r="2439">
      <c r="A2439" s="2" t="n">
        <v>2437</v>
      </c>
      <c r="B2439" s="2" t="inlineStr">
        <is>
          <t>flip</t>
        </is>
      </c>
      <c r="C2439" s="2" t="inlineStr">
        <is>
          <t>openssl X25519 only (classical)</t>
        </is>
      </c>
      <c r="D2439" s="2" t="n">
        <v>314</v>
      </c>
      <c r="E2439" s="2" t="n">
        <v>314</v>
      </c>
      <c r="F2439" s="2" t="n">
        <v>1</v>
      </c>
      <c r="G2439" s="2" t="n">
        <v>1</v>
      </c>
      <c r="H2439" s="2" t="n">
        <v>1</v>
      </c>
      <c r="I2439" s="2" t="n">
        <v>0</v>
      </c>
    </row>
    <row r="2440">
      <c r="A2440" s="2" t="n">
        <v>2438</v>
      </c>
      <c r="B2440" s="2" t="inlineStr">
        <is>
          <t>truncate</t>
        </is>
      </c>
      <c r="C2440" s="2" t="inlineStr">
        <is>
          <t>browser chrome150</t>
        </is>
      </c>
      <c r="D2440" s="2" t="n">
        <v>180</v>
      </c>
      <c r="E2440" s="2" t="n">
        <v>180</v>
      </c>
      <c r="F2440" s="2" t="n">
        <v>1</v>
      </c>
      <c r="G2440" s="2" t="n">
        <v>1</v>
      </c>
      <c r="H2440" s="2" t="n">
        <v>1</v>
      </c>
      <c r="I2440" s="2" t="n">
        <v>0</v>
      </c>
    </row>
    <row r="2441">
      <c r="A2441" s="2" t="n">
        <v>2439</v>
      </c>
      <c r="B2441" s="2" t="inlineStr">
        <is>
          <t>length</t>
        </is>
      </c>
      <c r="C2441" s="2" t="inlineStr">
        <is>
          <t>browser firefox147</t>
        </is>
      </c>
      <c r="D2441" s="2" t="n">
        <v>1901</v>
      </c>
      <c r="E2441" s="2" t="n">
        <v>1901</v>
      </c>
      <c r="F2441" s="2" t="n">
        <v>1</v>
      </c>
      <c r="G2441" s="2" t="n">
        <v>1</v>
      </c>
      <c r="H2441" s="2" t="n">
        <v>0</v>
      </c>
      <c r="I2441" s="2" t="n">
        <v>0</v>
      </c>
    </row>
    <row r="2442">
      <c r="A2442" s="2" t="n">
        <v>2440</v>
      </c>
      <c r="B2442" s="2" t="inlineStr">
        <is>
          <t>insert</t>
        </is>
      </c>
      <c r="C2442" s="2" t="inlineStr">
        <is>
          <t>browser chrome150</t>
        </is>
      </c>
      <c r="D2442" s="2" t="n">
        <v>1772</v>
      </c>
      <c r="E2442" s="2" t="n">
        <v>1772</v>
      </c>
      <c r="F2442" s="2" t="n">
        <v>1</v>
      </c>
      <c r="G2442" s="2" t="n">
        <v>1</v>
      </c>
      <c r="H2442" s="2" t="n">
        <v>1</v>
      </c>
      <c r="I2442" s="2" t="n">
        <v>0</v>
      </c>
    </row>
    <row r="2443">
      <c r="A2443" s="2" t="n">
        <v>2441</v>
      </c>
      <c r="B2443" s="2" t="inlineStr">
        <is>
          <t>flip</t>
        </is>
      </c>
      <c r="C2443" s="2" t="inlineStr">
        <is>
          <t>browser chrome150</t>
        </is>
      </c>
      <c r="D2443" s="2" t="n">
        <v>1763</v>
      </c>
      <c r="E2443" s="2" t="n">
        <v>1763</v>
      </c>
      <c r="F2443" s="2" t="n">
        <v>1</v>
      </c>
      <c r="G2443" s="2" t="n">
        <v>1</v>
      </c>
      <c r="H2443" s="2" t="n">
        <v>1</v>
      </c>
      <c r="I2443" s="2" t="n">
        <v>0</v>
      </c>
    </row>
    <row r="2444">
      <c r="A2444" s="2" t="n">
        <v>2442</v>
      </c>
      <c r="B2444" s="2" t="inlineStr">
        <is>
          <t>truncate</t>
        </is>
      </c>
      <c r="C2444" s="2" t="inlineStr">
        <is>
          <t>browser firefox147</t>
        </is>
      </c>
      <c r="D2444" s="2" t="n">
        <v>1660</v>
      </c>
      <c r="E2444" s="2" t="n">
        <v>1660</v>
      </c>
      <c r="F2444" s="2" t="n">
        <v>1</v>
      </c>
      <c r="G2444" s="2" t="n">
        <v>1</v>
      </c>
      <c r="H2444" s="2" t="n">
        <v>0</v>
      </c>
      <c r="I2444" s="2" t="n">
        <v>0</v>
      </c>
    </row>
    <row r="2445">
      <c r="A2445" s="2" t="n">
        <v>2443</v>
      </c>
      <c r="B2445" s="2" t="inlineStr">
        <is>
          <t>length</t>
        </is>
      </c>
      <c r="C2445" s="2" t="inlineStr">
        <is>
          <t>browser chrome150</t>
        </is>
      </c>
      <c r="D2445" s="2" t="n">
        <v>1763</v>
      </c>
      <c r="E2445" s="2" t="n">
        <v>1763</v>
      </c>
      <c r="F2445" s="2" t="n">
        <v>1</v>
      </c>
      <c r="G2445" s="2" t="n">
        <v>0</v>
      </c>
      <c r="H2445" s="2" t="n">
        <v>0</v>
      </c>
      <c r="I2445" s="2" t="n">
        <v>0</v>
      </c>
    </row>
    <row r="2446">
      <c r="A2446" s="2" t="n">
        <v>2444</v>
      </c>
      <c r="B2446" s="2" t="inlineStr">
        <is>
          <t>insert</t>
        </is>
      </c>
      <c r="C2446" s="2" t="inlineStr">
        <is>
          <t>browser chrome150</t>
        </is>
      </c>
      <c r="D2446" s="2" t="n">
        <v>1767</v>
      </c>
      <c r="E2446" s="2" t="n">
        <v>1767</v>
      </c>
      <c r="F2446" s="2" t="n">
        <v>1</v>
      </c>
      <c r="G2446" s="2" t="n">
        <v>1</v>
      </c>
      <c r="H2446" s="2" t="n">
        <v>1</v>
      </c>
      <c r="I2446" s="2" t="n">
        <v>0</v>
      </c>
    </row>
    <row r="2447">
      <c r="A2447" s="2" t="n">
        <v>2445</v>
      </c>
      <c r="B2447" s="2" t="inlineStr">
        <is>
          <t>flip</t>
        </is>
      </c>
      <c r="C2447" s="2" t="inlineStr">
        <is>
          <t>browser chrome150</t>
        </is>
      </c>
      <c r="D2447" s="2" t="n">
        <v>1763</v>
      </c>
      <c r="E2447" s="2" t="n">
        <v>1763</v>
      </c>
      <c r="F2447" s="2" t="n">
        <v>1</v>
      </c>
      <c r="G2447" s="2" t="n">
        <v>1</v>
      </c>
      <c r="H2447" s="2" t="n">
        <v>1</v>
      </c>
      <c r="I2447" s="2" t="n">
        <v>0</v>
      </c>
    </row>
    <row r="2448">
      <c r="A2448" s="2" t="n">
        <v>2446</v>
      </c>
      <c r="B2448" s="2" t="inlineStr">
        <is>
          <t>truncate</t>
        </is>
      </c>
      <c r="C2448" s="2" t="inlineStr">
        <is>
          <t>openssl 3.5.8 default</t>
        </is>
      </c>
      <c r="D2448" s="2" t="n">
        <v>208</v>
      </c>
      <c r="E2448" s="2" t="n">
        <v>208</v>
      </c>
      <c r="F2448" s="2" t="n">
        <v>1</v>
      </c>
      <c r="G2448" s="2" t="n">
        <v>1</v>
      </c>
      <c r="H2448" s="2" t="n">
        <v>0</v>
      </c>
      <c r="I2448" s="2" t="n">
        <v>0</v>
      </c>
    </row>
    <row r="2449">
      <c r="A2449" s="2" t="n">
        <v>2447</v>
      </c>
      <c r="B2449" s="2" t="inlineStr">
        <is>
          <t>length</t>
        </is>
      </c>
      <c r="C2449" s="2" t="inlineStr">
        <is>
          <t>browser firefox147</t>
        </is>
      </c>
      <c r="D2449" s="2" t="n">
        <v>1901</v>
      </c>
      <c r="E2449" s="2" t="n">
        <v>1901</v>
      </c>
      <c r="F2449" s="2" t="n">
        <v>1</v>
      </c>
      <c r="G2449" s="2" t="n">
        <v>1</v>
      </c>
      <c r="H2449" s="2" t="n">
        <v>0</v>
      </c>
      <c r="I2449" s="2" t="n">
        <v>0</v>
      </c>
    </row>
    <row r="2450">
      <c r="A2450" s="2" t="n">
        <v>2448</v>
      </c>
      <c r="B2450" s="2" t="inlineStr">
        <is>
          <t>insert</t>
        </is>
      </c>
      <c r="C2450" s="2" t="inlineStr">
        <is>
          <t>openssl 3.5.8 default</t>
        </is>
      </c>
      <c r="D2450" s="2" t="n">
        <v>1562</v>
      </c>
      <c r="E2450" s="2" t="n">
        <v>1562</v>
      </c>
      <c r="F2450" s="2" t="n">
        <v>1</v>
      </c>
      <c r="G2450" s="2" t="n">
        <v>1</v>
      </c>
      <c r="H2450" s="2" t="n">
        <v>1</v>
      </c>
      <c r="I2450" s="2" t="n">
        <v>0</v>
      </c>
    </row>
    <row r="2451">
      <c r="A2451" s="2" t="n">
        <v>2449</v>
      </c>
      <c r="B2451" s="2" t="inlineStr">
        <is>
          <t>flip</t>
        </is>
      </c>
      <c r="C2451" s="2" t="inlineStr">
        <is>
          <t>openssl 3.5.8 default</t>
        </is>
      </c>
      <c r="D2451" s="2" t="n">
        <v>1548</v>
      </c>
      <c r="E2451" s="2" t="n">
        <v>1548</v>
      </c>
      <c r="F2451" s="2" t="n">
        <v>1</v>
      </c>
      <c r="G2451" s="2" t="n">
        <v>1</v>
      </c>
      <c r="H2451" s="2" t="n">
        <v>1</v>
      </c>
      <c r="I2451" s="2" t="n">
        <v>0</v>
      </c>
    </row>
    <row r="2452">
      <c r="A2452" s="2" t="n">
        <v>2450</v>
      </c>
      <c r="B2452" s="2" t="inlineStr">
        <is>
          <t>truncate</t>
        </is>
      </c>
      <c r="C2452" s="2" t="inlineStr">
        <is>
          <t>openssl X25519 only (classical)</t>
        </is>
      </c>
      <c r="D2452" s="2" t="n">
        <v>89</v>
      </c>
      <c r="E2452" s="2" t="n">
        <v>89</v>
      </c>
      <c r="F2452" s="2" t="n">
        <v>1</v>
      </c>
      <c r="G2452" s="2" t="n">
        <v>0</v>
      </c>
      <c r="H2452" s="2" t="n">
        <v>0</v>
      </c>
      <c r="I2452" s="2" t="n">
        <v>0</v>
      </c>
    </row>
    <row r="2453">
      <c r="A2453" s="2" t="n">
        <v>2451</v>
      </c>
      <c r="B2453" s="2" t="inlineStr">
        <is>
          <t>length</t>
        </is>
      </c>
      <c r="C2453" s="2" t="inlineStr">
        <is>
          <t>openssl X25519 only (classical)</t>
        </is>
      </c>
      <c r="D2453" s="2" t="n">
        <v>314</v>
      </c>
      <c r="E2453" s="2" t="n">
        <v>314</v>
      </c>
      <c r="F2453" s="2" t="n">
        <v>1</v>
      </c>
      <c r="G2453" s="2" t="n">
        <v>1</v>
      </c>
      <c r="H2453" s="2" t="n">
        <v>1</v>
      </c>
      <c r="I2453" s="2" t="n">
        <v>0</v>
      </c>
    </row>
    <row r="2454">
      <c r="A2454" s="2" t="n">
        <v>2452</v>
      </c>
      <c r="B2454" s="2" t="inlineStr">
        <is>
          <t>insert</t>
        </is>
      </c>
      <c r="C2454" s="2" t="inlineStr">
        <is>
          <t>browser chrome150</t>
        </is>
      </c>
      <c r="D2454" s="2" t="n">
        <v>1777</v>
      </c>
      <c r="E2454" s="2" t="n">
        <v>1777</v>
      </c>
      <c r="F2454" s="2" t="n">
        <v>1</v>
      </c>
      <c r="G2454" s="2" t="n">
        <v>1</v>
      </c>
      <c r="H2454" s="2" t="n">
        <v>1</v>
      </c>
      <c r="I2454" s="2" t="n">
        <v>0</v>
      </c>
    </row>
    <row r="2455">
      <c r="A2455" s="2" t="n">
        <v>2453</v>
      </c>
      <c r="B2455" s="2" t="inlineStr">
        <is>
          <t>flip</t>
        </is>
      </c>
      <c r="C2455" s="2" t="inlineStr">
        <is>
          <t>openssl X25519 only (classical)</t>
        </is>
      </c>
      <c r="D2455" s="2" t="n">
        <v>314</v>
      </c>
      <c r="E2455" s="2" t="n">
        <v>314</v>
      </c>
      <c r="F2455" s="2" t="n">
        <v>1</v>
      </c>
      <c r="G2455" s="2" t="n">
        <v>1</v>
      </c>
      <c r="H2455" s="2" t="n">
        <v>1</v>
      </c>
      <c r="I2455" s="2" t="n">
        <v>0</v>
      </c>
    </row>
    <row r="2456">
      <c r="A2456" s="2" t="n">
        <v>2454</v>
      </c>
      <c r="B2456" s="2" t="inlineStr">
        <is>
          <t>truncate</t>
        </is>
      </c>
      <c r="C2456" s="2" t="inlineStr">
        <is>
          <t>openssl TLS 1.2 only</t>
        </is>
      </c>
      <c r="D2456" s="2" t="n">
        <v>142</v>
      </c>
      <c r="E2456" s="2" t="n">
        <v>142</v>
      </c>
      <c r="F2456" s="2" t="n">
        <v>1</v>
      </c>
      <c r="G2456" s="2" t="n">
        <v>1</v>
      </c>
      <c r="H2456" s="2" t="n">
        <v>0</v>
      </c>
      <c r="I2456" s="2" t="n">
        <v>0</v>
      </c>
    </row>
    <row r="2457">
      <c r="A2457" s="2" t="n">
        <v>2455</v>
      </c>
      <c r="B2457" s="2" t="inlineStr">
        <is>
          <t>length</t>
        </is>
      </c>
      <c r="C2457" s="2" t="inlineStr">
        <is>
          <t>browser firefox147</t>
        </is>
      </c>
      <c r="D2457" s="2" t="n">
        <v>1901</v>
      </c>
      <c r="E2457" s="2" t="n">
        <v>1901</v>
      </c>
      <c r="F2457" s="2" t="n">
        <v>1</v>
      </c>
      <c r="G2457" s="2" t="n">
        <v>1</v>
      </c>
      <c r="H2457" s="2" t="n">
        <v>1</v>
      </c>
      <c r="I2457" s="2" t="n">
        <v>0</v>
      </c>
    </row>
    <row r="2458">
      <c r="A2458" s="2" t="n">
        <v>2456</v>
      </c>
      <c r="B2458" s="2" t="inlineStr">
        <is>
          <t>insert</t>
        </is>
      </c>
      <c r="C2458" s="2" t="inlineStr">
        <is>
          <t>browser firefox147</t>
        </is>
      </c>
      <c r="D2458" s="2" t="n">
        <v>1915</v>
      </c>
      <c r="E2458" s="2" t="n">
        <v>1915</v>
      </c>
      <c r="F2458" s="2" t="n">
        <v>1</v>
      </c>
      <c r="G2458" s="2" t="n">
        <v>1</v>
      </c>
      <c r="H2458" s="2" t="n">
        <v>0</v>
      </c>
      <c r="I2458" s="2" t="n">
        <v>0</v>
      </c>
    </row>
    <row r="2459">
      <c r="A2459" s="2" t="n">
        <v>2457</v>
      </c>
      <c r="B2459" s="2" t="inlineStr">
        <is>
          <t>flip</t>
        </is>
      </c>
      <c r="C2459" s="2" t="inlineStr">
        <is>
          <t>browser firefox147</t>
        </is>
      </c>
      <c r="D2459" s="2" t="n">
        <v>1901</v>
      </c>
      <c r="E2459" s="2" t="n">
        <v>1901</v>
      </c>
      <c r="F2459" s="2" t="n">
        <v>1</v>
      </c>
      <c r="G2459" s="2" t="n">
        <v>1</v>
      </c>
      <c r="H2459" s="2" t="n">
        <v>0</v>
      </c>
      <c r="I2459" s="2" t="n">
        <v>0</v>
      </c>
    </row>
    <row r="2460">
      <c r="A2460" s="2" t="n">
        <v>2458</v>
      </c>
      <c r="B2460" s="2" t="inlineStr">
        <is>
          <t>truncate</t>
        </is>
      </c>
      <c r="C2460" s="2" t="inlineStr">
        <is>
          <t>browser firefox147</t>
        </is>
      </c>
      <c r="D2460" s="2" t="n">
        <v>329</v>
      </c>
      <c r="E2460" s="2" t="n">
        <v>329</v>
      </c>
      <c r="F2460" s="2" t="n">
        <v>1</v>
      </c>
      <c r="G2460" s="2" t="n">
        <v>1</v>
      </c>
      <c r="H2460" s="2" t="n">
        <v>0</v>
      </c>
      <c r="I2460" s="2" t="n">
        <v>0</v>
      </c>
    </row>
    <row r="2461">
      <c r="A2461" s="2" t="n">
        <v>2459</v>
      </c>
      <c r="B2461" s="2" t="inlineStr">
        <is>
          <t>length</t>
        </is>
      </c>
      <c r="C2461" s="2" t="inlineStr">
        <is>
          <t>openssl TLS 1.2 only</t>
        </is>
      </c>
      <c r="D2461" s="2" t="n">
        <v>215</v>
      </c>
      <c r="E2461" s="2" t="n">
        <v>215</v>
      </c>
      <c r="F2461" s="2" t="n">
        <v>0</v>
      </c>
      <c r="G2461" s="2" t="n">
        <v>0</v>
      </c>
      <c r="H2461" s="2" t="n">
        <v>0</v>
      </c>
      <c r="I2461" s="2" t="n">
        <v>0</v>
      </c>
    </row>
    <row r="2462">
      <c r="A2462" s="2" t="n">
        <v>2460</v>
      </c>
      <c r="B2462" s="2" t="inlineStr">
        <is>
          <t>insert</t>
        </is>
      </c>
      <c r="C2462" s="2" t="inlineStr">
        <is>
          <t>browser chrome150</t>
        </is>
      </c>
      <c r="D2462" s="2" t="n">
        <v>1778</v>
      </c>
      <c r="E2462" s="2" t="n">
        <v>1778</v>
      </c>
      <c r="F2462" s="2" t="n">
        <v>1</v>
      </c>
      <c r="G2462" s="2" t="n">
        <v>1</v>
      </c>
      <c r="H2462" s="2" t="n">
        <v>1</v>
      </c>
      <c r="I2462" s="2" t="n">
        <v>0</v>
      </c>
    </row>
    <row r="2463">
      <c r="A2463" s="2" t="n">
        <v>2461</v>
      </c>
      <c r="B2463" s="2" t="inlineStr">
        <is>
          <t>flip</t>
        </is>
      </c>
      <c r="C2463" s="2" t="inlineStr">
        <is>
          <t>openssl TLS 1.2 only</t>
        </is>
      </c>
      <c r="D2463" s="2" t="n">
        <v>215</v>
      </c>
      <c r="E2463" s="2" t="n">
        <v>215</v>
      </c>
      <c r="F2463" s="2" t="n">
        <v>1</v>
      </c>
      <c r="G2463" s="2" t="n">
        <v>1</v>
      </c>
      <c r="H2463" s="2" t="n">
        <v>1</v>
      </c>
      <c r="I2463" s="2" t="n">
        <v>0</v>
      </c>
    </row>
    <row r="2464">
      <c r="A2464" s="2" t="n">
        <v>2462</v>
      </c>
      <c r="B2464" s="2" t="inlineStr">
        <is>
          <t>truncate</t>
        </is>
      </c>
      <c r="C2464" s="2" t="inlineStr">
        <is>
          <t>openssl X25519 only (classical)</t>
        </is>
      </c>
      <c r="D2464" s="2" t="n">
        <v>41</v>
      </c>
      <c r="E2464" s="2" t="n">
        <v>41</v>
      </c>
      <c r="F2464" s="2" t="n">
        <v>1</v>
      </c>
      <c r="G2464" s="2" t="n">
        <v>0</v>
      </c>
      <c r="H2464" s="2" t="n">
        <v>0</v>
      </c>
      <c r="I2464" s="2" t="n">
        <v>0</v>
      </c>
    </row>
    <row r="2465">
      <c r="A2465" s="2" t="n">
        <v>2463</v>
      </c>
      <c r="B2465" s="2" t="inlineStr">
        <is>
          <t>length</t>
        </is>
      </c>
      <c r="C2465" s="2" t="inlineStr">
        <is>
          <t>openssl TLS 1.2 only</t>
        </is>
      </c>
      <c r="D2465" s="2" t="n">
        <v>215</v>
      </c>
      <c r="E2465" s="2" t="n">
        <v>215</v>
      </c>
      <c r="F2465" s="2" t="n">
        <v>0</v>
      </c>
      <c r="G2465" s="2" t="n">
        <v>0</v>
      </c>
      <c r="H2465" s="2" t="n">
        <v>0</v>
      </c>
      <c r="I2465" s="2" t="n">
        <v>0</v>
      </c>
    </row>
    <row r="2466">
      <c r="A2466" s="2" t="n">
        <v>2464</v>
      </c>
      <c r="B2466" s="2" t="inlineStr">
        <is>
          <t>insert</t>
        </is>
      </c>
      <c r="C2466" s="2" t="inlineStr">
        <is>
          <t>browser firefox147</t>
        </is>
      </c>
      <c r="D2466" s="2" t="n">
        <v>1902</v>
      </c>
      <c r="E2466" s="2" t="n">
        <v>1902</v>
      </c>
      <c r="F2466" s="2" t="n">
        <v>1</v>
      </c>
      <c r="G2466" s="2" t="n">
        <v>1</v>
      </c>
      <c r="H2466" s="2" t="n">
        <v>0</v>
      </c>
      <c r="I2466" s="2" t="n">
        <v>0</v>
      </c>
    </row>
    <row r="2467">
      <c r="A2467" s="2" t="n">
        <v>2465</v>
      </c>
      <c r="B2467" s="2" t="inlineStr">
        <is>
          <t>flip</t>
        </is>
      </c>
      <c r="C2467" s="2" t="inlineStr">
        <is>
          <t>browser chrome150</t>
        </is>
      </c>
      <c r="D2467" s="2" t="n">
        <v>1763</v>
      </c>
      <c r="E2467" s="2" t="n">
        <v>1763</v>
      </c>
      <c r="F2467" s="2" t="n">
        <v>1</v>
      </c>
      <c r="G2467" s="2" t="n">
        <v>1</v>
      </c>
      <c r="H2467" s="2" t="n">
        <v>1</v>
      </c>
      <c r="I2467" s="2" t="n">
        <v>0</v>
      </c>
    </row>
    <row r="2468">
      <c r="A2468" s="2" t="n">
        <v>2466</v>
      </c>
      <c r="B2468" s="2" t="inlineStr">
        <is>
          <t>truncate</t>
        </is>
      </c>
      <c r="C2468" s="2" t="inlineStr">
        <is>
          <t>openssl TLS 1.2 only</t>
        </is>
      </c>
      <c r="D2468" s="2" t="n">
        <v>201</v>
      </c>
      <c r="E2468" s="2" t="n">
        <v>201</v>
      </c>
      <c r="F2468" s="2" t="n">
        <v>1</v>
      </c>
      <c r="G2468" s="2" t="n">
        <v>1</v>
      </c>
      <c r="H2468" s="2" t="n">
        <v>1</v>
      </c>
      <c r="I2468" s="2" t="n">
        <v>0</v>
      </c>
    </row>
    <row r="2469">
      <c r="A2469" s="2" t="n">
        <v>2467</v>
      </c>
      <c r="B2469" s="2" t="inlineStr">
        <is>
          <t>length</t>
        </is>
      </c>
      <c r="C2469" s="2" t="inlineStr">
        <is>
          <t>browser firefox147</t>
        </is>
      </c>
      <c r="D2469" s="2" t="n">
        <v>1901</v>
      </c>
      <c r="E2469" s="2" t="n">
        <v>1901</v>
      </c>
      <c r="F2469" s="2" t="n">
        <v>1</v>
      </c>
      <c r="G2469" s="2" t="n">
        <v>1</v>
      </c>
      <c r="H2469" s="2" t="n">
        <v>1</v>
      </c>
      <c r="I2469" s="2" t="n">
        <v>0</v>
      </c>
    </row>
    <row r="2470">
      <c r="A2470" s="2" t="n">
        <v>2468</v>
      </c>
      <c r="B2470" s="2" t="inlineStr">
        <is>
          <t>insert</t>
        </is>
      </c>
      <c r="C2470" s="2" t="inlineStr">
        <is>
          <t>browser firefox147</t>
        </is>
      </c>
      <c r="D2470" s="2" t="n">
        <v>1905</v>
      </c>
      <c r="E2470" s="2" t="n">
        <v>1905</v>
      </c>
      <c r="F2470" s="2" t="n">
        <v>1</v>
      </c>
      <c r="G2470" s="2" t="n">
        <v>1</v>
      </c>
      <c r="H2470" s="2" t="n">
        <v>0</v>
      </c>
      <c r="I2470" s="2" t="n">
        <v>0</v>
      </c>
    </row>
    <row r="2471">
      <c r="A2471" s="2" t="n">
        <v>2469</v>
      </c>
      <c r="B2471" s="2" t="inlineStr">
        <is>
          <t>flip</t>
        </is>
      </c>
      <c r="C2471" s="2" t="inlineStr">
        <is>
          <t>openssl X25519 only (classical)</t>
        </is>
      </c>
      <c r="D2471" s="2" t="n">
        <v>314</v>
      </c>
      <c r="E2471" s="2" t="n">
        <v>314</v>
      </c>
      <c r="F2471" s="2" t="n">
        <v>1</v>
      </c>
      <c r="G2471" s="2" t="n">
        <v>1</v>
      </c>
      <c r="H2471" s="2" t="n">
        <v>1</v>
      </c>
      <c r="I2471" s="2" t="n">
        <v>0</v>
      </c>
    </row>
    <row r="2472">
      <c r="A2472" s="2" t="n">
        <v>2470</v>
      </c>
      <c r="B2472" s="2" t="inlineStr">
        <is>
          <t>truncate</t>
        </is>
      </c>
      <c r="C2472" s="2" t="inlineStr">
        <is>
          <t>openssl TLS 1.2 only</t>
        </is>
      </c>
      <c r="D2472" s="2" t="n">
        <v>105</v>
      </c>
      <c r="E2472" s="2" t="n">
        <v>105</v>
      </c>
      <c r="F2472" s="2" t="n">
        <v>1</v>
      </c>
      <c r="G2472" s="2" t="n">
        <v>1</v>
      </c>
      <c r="H2472" s="2" t="n">
        <v>0</v>
      </c>
      <c r="I2472" s="2" t="n">
        <v>0</v>
      </c>
    </row>
    <row r="2473">
      <c r="A2473" s="2" t="n">
        <v>2471</v>
      </c>
      <c r="B2473" s="2" t="inlineStr">
        <is>
          <t>length</t>
        </is>
      </c>
      <c r="C2473" s="2" t="inlineStr">
        <is>
          <t>openssl X25519 only (classical)</t>
        </is>
      </c>
      <c r="D2473" s="2" t="n">
        <v>314</v>
      </c>
      <c r="E2473" s="2" t="n">
        <v>314</v>
      </c>
      <c r="F2473" s="2" t="n">
        <v>0</v>
      </c>
      <c r="G2473" s="2" t="n">
        <v>0</v>
      </c>
      <c r="H2473" s="2" t="n">
        <v>0</v>
      </c>
      <c r="I2473" s="2" t="n">
        <v>0</v>
      </c>
    </row>
    <row r="2474">
      <c r="A2474" s="2" t="n">
        <v>2472</v>
      </c>
      <c r="B2474" s="2" t="inlineStr">
        <is>
          <t>insert</t>
        </is>
      </c>
      <c r="C2474" s="2" t="inlineStr">
        <is>
          <t>openssl 3.5.8 default</t>
        </is>
      </c>
      <c r="D2474" s="2" t="n">
        <v>1549</v>
      </c>
      <c r="E2474" s="2" t="n">
        <v>1549</v>
      </c>
      <c r="F2474" s="2" t="n">
        <v>1</v>
      </c>
      <c r="G2474" s="2" t="n">
        <v>1</v>
      </c>
      <c r="H2474" s="2" t="n">
        <v>1</v>
      </c>
      <c r="I2474" s="2" t="n">
        <v>0</v>
      </c>
    </row>
    <row r="2475">
      <c r="A2475" s="2" t="n">
        <v>2473</v>
      </c>
      <c r="B2475" s="2" t="inlineStr">
        <is>
          <t>flip</t>
        </is>
      </c>
      <c r="C2475" s="2" t="inlineStr">
        <is>
          <t>openssl 3.5.8 default</t>
        </is>
      </c>
      <c r="D2475" s="2" t="n">
        <v>1548</v>
      </c>
      <c r="E2475" s="2" t="n">
        <v>1548</v>
      </c>
      <c r="F2475" s="2" t="n">
        <v>1</v>
      </c>
      <c r="G2475" s="2" t="n">
        <v>1</v>
      </c>
      <c r="H2475" s="2" t="n">
        <v>1</v>
      </c>
      <c r="I2475" s="2" t="n">
        <v>0</v>
      </c>
    </row>
    <row r="2476">
      <c r="A2476" s="2" t="n">
        <v>2474</v>
      </c>
      <c r="B2476" s="2" t="inlineStr">
        <is>
          <t>truncate</t>
        </is>
      </c>
      <c r="C2476" s="2" t="inlineStr">
        <is>
          <t>openssl X25519 only (classical)</t>
        </is>
      </c>
      <c r="D2476" s="2" t="n">
        <v>120</v>
      </c>
      <c r="E2476" s="2" t="n">
        <v>120</v>
      </c>
      <c r="F2476" s="2" t="n">
        <v>1</v>
      </c>
      <c r="G2476" s="2" t="n">
        <v>0</v>
      </c>
      <c r="H2476" s="2" t="n">
        <v>0</v>
      </c>
      <c r="I2476" s="2" t="n">
        <v>0</v>
      </c>
    </row>
    <row r="2477">
      <c r="A2477" s="2" t="n">
        <v>2475</v>
      </c>
      <c r="B2477" s="2" t="inlineStr">
        <is>
          <t>length</t>
        </is>
      </c>
      <c r="C2477" s="2" t="inlineStr">
        <is>
          <t>openssl X25519 only (classical)</t>
        </is>
      </c>
      <c r="D2477" s="2" t="n">
        <v>314</v>
      </c>
      <c r="E2477" s="2" t="n">
        <v>314</v>
      </c>
      <c r="F2477" s="2" t="n">
        <v>1</v>
      </c>
      <c r="G2477" s="2" t="n">
        <v>1</v>
      </c>
      <c r="H2477" s="2" t="n">
        <v>1</v>
      </c>
      <c r="I2477" s="2" t="n">
        <v>0</v>
      </c>
    </row>
    <row r="2478">
      <c r="A2478" s="2" t="n">
        <v>2476</v>
      </c>
      <c r="B2478" s="2" t="inlineStr">
        <is>
          <t>insert</t>
        </is>
      </c>
      <c r="C2478" s="2" t="inlineStr">
        <is>
          <t>openssl X25519 only (classical)</t>
        </is>
      </c>
      <c r="D2478" s="2" t="n">
        <v>328</v>
      </c>
      <c r="E2478" s="2" t="n">
        <v>328</v>
      </c>
      <c r="F2478" s="2" t="n">
        <v>1</v>
      </c>
      <c r="G2478" s="2" t="n">
        <v>1</v>
      </c>
      <c r="H2478" s="2" t="n">
        <v>0</v>
      </c>
      <c r="I2478" s="2" t="n">
        <v>0</v>
      </c>
    </row>
    <row r="2479">
      <c r="A2479" s="2" t="n">
        <v>2477</v>
      </c>
      <c r="B2479" s="2" t="inlineStr">
        <is>
          <t>flip</t>
        </is>
      </c>
      <c r="C2479" s="2" t="inlineStr">
        <is>
          <t>openssl X25519 only (classical)</t>
        </is>
      </c>
      <c r="D2479" s="2" t="n">
        <v>314</v>
      </c>
      <c r="E2479" s="2" t="n">
        <v>314</v>
      </c>
      <c r="F2479" s="2" t="n">
        <v>1</v>
      </c>
      <c r="G2479" s="2" t="n">
        <v>1</v>
      </c>
      <c r="H2479" s="2" t="n">
        <v>1</v>
      </c>
      <c r="I2479" s="2" t="n">
        <v>0</v>
      </c>
    </row>
    <row r="2480">
      <c r="A2480" s="2" t="n">
        <v>2478</v>
      </c>
      <c r="B2480" s="2" t="inlineStr">
        <is>
          <t>truncate</t>
        </is>
      </c>
      <c r="C2480" s="2" t="inlineStr">
        <is>
          <t>openssl 3.5.8 default</t>
        </is>
      </c>
      <c r="D2480" s="2" t="n">
        <v>966</v>
      </c>
      <c r="E2480" s="2" t="n">
        <v>966</v>
      </c>
      <c r="F2480" s="2" t="n">
        <v>1</v>
      </c>
      <c r="G2480" s="2" t="n">
        <v>1</v>
      </c>
      <c r="H2480" s="2" t="n">
        <v>1</v>
      </c>
      <c r="I2480" s="2" t="n">
        <v>0</v>
      </c>
    </row>
    <row r="2481">
      <c r="A2481" s="2" t="n">
        <v>2479</v>
      </c>
      <c r="B2481" s="2" t="inlineStr">
        <is>
          <t>length</t>
        </is>
      </c>
      <c r="C2481" s="2" t="inlineStr">
        <is>
          <t>openssl X25519 only (classical)</t>
        </is>
      </c>
      <c r="D2481" s="2" t="n">
        <v>314</v>
      </c>
      <c r="E2481" s="2" t="n">
        <v>314</v>
      </c>
      <c r="F2481" s="2" t="n">
        <v>1</v>
      </c>
      <c r="G2481" s="2" t="n">
        <v>1</v>
      </c>
      <c r="H2481" s="2" t="n">
        <v>1</v>
      </c>
      <c r="I2481" s="2" t="n">
        <v>0</v>
      </c>
    </row>
    <row r="2482">
      <c r="A2482" s="2" t="n">
        <v>2480</v>
      </c>
      <c r="B2482" s="2" t="inlineStr">
        <is>
          <t>insert</t>
        </is>
      </c>
      <c r="C2482" s="2" t="inlineStr">
        <is>
          <t>openssl X25519 only (classical)</t>
        </is>
      </c>
      <c r="D2482" s="2" t="n">
        <v>321</v>
      </c>
      <c r="E2482" s="2" t="n">
        <v>321</v>
      </c>
      <c r="F2482" s="2" t="n">
        <v>1</v>
      </c>
      <c r="G2482" s="2" t="n">
        <v>1</v>
      </c>
      <c r="H2482" s="2" t="n">
        <v>1</v>
      </c>
      <c r="I2482" s="2" t="n">
        <v>0</v>
      </c>
    </row>
    <row r="2483">
      <c r="A2483" s="2" t="n">
        <v>2481</v>
      </c>
      <c r="B2483" s="2" t="inlineStr">
        <is>
          <t>flip</t>
        </is>
      </c>
      <c r="C2483" s="2" t="inlineStr">
        <is>
          <t>openssl X25519 only (classical)</t>
        </is>
      </c>
      <c r="D2483" s="2" t="n">
        <v>314</v>
      </c>
      <c r="E2483" s="2" t="n">
        <v>314</v>
      </c>
      <c r="F2483" s="2" t="n">
        <v>1</v>
      </c>
      <c r="G2483" s="2" t="n">
        <v>1</v>
      </c>
      <c r="H2483" s="2" t="n">
        <v>1</v>
      </c>
      <c r="I2483" s="2" t="n">
        <v>0</v>
      </c>
    </row>
    <row r="2484">
      <c r="A2484" s="2" t="n">
        <v>2482</v>
      </c>
      <c r="B2484" s="2" t="inlineStr">
        <is>
          <t>truncate</t>
        </is>
      </c>
      <c r="C2484" s="2" t="inlineStr">
        <is>
          <t>browser chrome150</t>
        </is>
      </c>
      <c r="D2484" s="2" t="n">
        <v>1576</v>
      </c>
      <c r="E2484" s="2" t="n">
        <v>1576</v>
      </c>
      <c r="F2484" s="2" t="n">
        <v>1</v>
      </c>
      <c r="G2484" s="2" t="n">
        <v>1</v>
      </c>
      <c r="H2484" s="2" t="n">
        <v>1</v>
      </c>
      <c r="I2484" s="2" t="n">
        <v>0</v>
      </c>
    </row>
    <row r="2485">
      <c r="A2485" s="2" t="n">
        <v>2483</v>
      </c>
      <c r="B2485" s="2" t="inlineStr">
        <is>
          <t>length</t>
        </is>
      </c>
      <c r="C2485" s="2" t="inlineStr">
        <is>
          <t>browser chrome150</t>
        </is>
      </c>
      <c r="D2485" s="2" t="n">
        <v>1763</v>
      </c>
      <c r="E2485" s="2" t="n">
        <v>1763</v>
      </c>
      <c r="F2485" s="2" t="n">
        <v>0</v>
      </c>
      <c r="G2485" s="2" t="n">
        <v>0</v>
      </c>
      <c r="H2485" s="2" t="n">
        <v>0</v>
      </c>
      <c r="I2485" s="2" t="n">
        <v>0</v>
      </c>
    </row>
    <row r="2486">
      <c r="A2486" s="2" t="n">
        <v>2484</v>
      </c>
      <c r="B2486" s="2" t="inlineStr">
        <is>
          <t>insert</t>
        </is>
      </c>
      <c r="C2486" s="2" t="inlineStr">
        <is>
          <t>openssl X25519 only (classical)</t>
        </is>
      </c>
      <c r="D2486" s="2" t="n">
        <v>323</v>
      </c>
      <c r="E2486" s="2" t="n">
        <v>323</v>
      </c>
      <c r="F2486" s="2" t="n">
        <v>1</v>
      </c>
      <c r="G2486" s="2" t="n">
        <v>1</v>
      </c>
      <c r="H2486" s="2" t="n">
        <v>1</v>
      </c>
      <c r="I2486" s="2" t="n">
        <v>0</v>
      </c>
    </row>
    <row r="2487">
      <c r="A2487" s="2" t="n">
        <v>2485</v>
      </c>
      <c r="B2487" s="2" t="inlineStr">
        <is>
          <t>flip</t>
        </is>
      </c>
      <c r="C2487" s="2" t="inlineStr">
        <is>
          <t>openssl TLS 1.2 only</t>
        </is>
      </c>
      <c r="D2487" s="2" t="n">
        <v>215</v>
      </c>
      <c r="E2487" s="2" t="n">
        <v>215</v>
      </c>
      <c r="F2487" s="2" t="n">
        <v>1</v>
      </c>
      <c r="G2487" s="2" t="n">
        <v>1</v>
      </c>
      <c r="H2487" s="2" t="n">
        <v>1</v>
      </c>
      <c r="I2487" s="2" t="n">
        <v>0</v>
      </c>
    </row>
    <row r="2488">
      <c r="A2488" s="2" t="n">
        <v>2486</v>
      </c>
      <c r="B2488" s="2" t="inlineStr">
        <is>
          <t>truncate</t>
        </is>
      </c>
      <c r="C2488" s="2" t="inlineStr">
        <is>
          <t>browser firefox147</t>
        </is>
      </c>
      <c r="D2488" s="2" t="n">
        <v>845</v>
      </c>
      <c r="E2488" s="2" t="n">
        <v>845</v>
      </c>
      <c r="F2488" s="2" t="n">
        <v>1</v>
      </c>
      <c r="G2488" s="2" t="n">
        <v>1</v>
      </c>
      <c r="H2488" s="2" t="n">
        <v>0</v>
      </c>
      <c r="I2488" s="2" t="n">
        <v>0</v>
      </c>
    </row>
    <row r="2489">
      <c r="A2489" s="2" t="n">
        <v>2487</v>
      </c>
      <c r="B2489" s="2" t="inlineStr">
        <is>
          <t>length</t>
        </is>
      </c>
      <c r="C2489" s="2" t="inlineStr">
        <is>
          <t>openssl X25519 only (classical)</t>
        </is>
      </c>
      <c r="D2489" s="2" t="n">
        <v>314</v>
      </c>
      <c r="E2489" s="2" t="n">
        <v>314</v>
      </c>
      <c r="F2489" s="2" t="n">
        <v>1</v>
      </c>
      <c r="G2489" s="2" t="n">
        <v>0</v>
      </c>
      <c r="H2489" s="2" t="n">
        <v>0</v>
      </c>
      <c r="I2489" s="2" t="n">
        <v>0</v>
      </c>
    </row>
    <row r="2490">
      <c r="A2490" s="2" t="n">
        <v>2488</v>
      </c>
      <c r="B2490" s="2" t="inlineStr">
        <is>
          <t>insert</t>
        </is>
      </c>
      <c r="C2490" s="2" t="inlineStr">
        <is>
          <t>browser chrome150</t>
        </is>
      </c>
      <c r="D2490" s="2" t="n">
        <v>1767</v>
      </c>
      <c r="E2490" s="2" t="n">
        <v>1767</v>
      </c>
      <c r="F2490" s="2" t="n">
        <v>1</v>
      </c>
      <c r="G2490" s="2" t="n">
        <v>1</v>
      </c>
      <c r="H2490" s="2" t="n">
        <v>1</v>
      </c>
      <c r="I2490" s="2" t="n">
        <v>0</v>
      </c>
    </row>
    <row r="2491">
      <c r="A2491" s="2" t="n">
        <v>2489</v>
      </c>
      <c r="B2491" s="2" t="inlineStr">
        <is>
          <t>flip</t>
        </is>
      </c>
      <c r="C2491" s="2" t="inlineStr">
        <is>
          <t>openssl X25519 only (classical)</t>
        </is>
      </c>
      <c r="D2491" s="2" t="n">
        <v>314</v>
      </c>
      <c r="E2491" s="2" t="n">
        <v>314</v>
      </c>
      <c r="F2491" s="2" t="n">
        <v>1</v>
      </c>
      <c r="G2491" s="2" t="n">
        <v>1</v>
      </c>
      <c r="H2491" s="2" t="n">
        <v>1</v>
      </c>
      <c r="I2491" s="2" t="n">
        <v>0</v>
      </c>
    </row>
    <row r="2492">
      <c r="A2492" s="2" t="n">
        <v>2490</v>
      </c>
      <c r="B2492" s="2" t="inlineStr">
        <is>
          <t>truncate</t>
        </is>
      </c>
      <c r="C2492" s="2" t="inlineStr">
        <is>
          <t>openssl TLS 1.2 only</t>
        </is>
      </c>
      <c r="D2492" s="2" t="n">
        <v>161</v>
      </c>
      <c r="E2492" s="2" t="n">
        <v>161</v>
      </c>
      <c r="F2492" s="2" t="n">
        <v>1</v>
      </c>
      <c r="G2492" s="2" t="n">
        <v>1</v>
      </c>
      <c r="H2492" s="2" t="n">
        <v>0</v>
      </c>
      <c r="I2492" s="2" t="n">
        <v>0</v>
      </c>
    </row>
    <row r="2493">
      <c r="A2493" s="2" t="n">
        <v>2491</v>
      </c>
      <c r="B2493" s="2" t="inlineStr">
        <is>
          <t>length</t>
        </is>
      </c>
      <c r="C2493" s="2" t="inlineStr">
        <is>
          <t>browser firefox147</t>
        </is>
      </c>
      <c r="D2493" s="2" t="n">
        <v>1901</v>
      </c>
      <c r="E2493" s="2" t="n">
        <v>1901</v>
      </c>
      <c r="F2493" s="2" t="n">
        <v>1</v>
      </c>
      <c r="G2493" s="2" t="n">
        <v>0</v>
      </c>
      <c r="H2493" s="2" t="n">
        <v>0</v>
      </c>
      <c r="I2493" s="2" t="n">
        <v>0</v>
      </c>
    </row>
    <row r="2494">
      <c r="A2494" s="2" t="n">
        <v>2492</v>
      </c>
      <c r="B2494" s="2" t="inlineStr">
        <is>
          <t>insert</t>
        </is>
      </c>
      <c r="C2494" s="2" t="inlineStr">
        <is>
          <t>openssl X25519 only (classical)</t>
        </is>
      </c>
      <c r="D2494" s="2" t="n">
        <v>324</v>
      </c>
      <c r="E2494" s="2" t="n">
        <v>324</v>
      </c>
      <c r="F2494" s="2" t="n">
        <v>1</v>
      </c>
      <c r="G2494" s="2" t="n">
        <v>1</v>
      </c>
      <c r="H2494" s="2" t="n">
        <v>0</v>
      </c>
      <c r="I2494" s="2" t="n">
        <v>0</v>
      </c>
    </row>
    <row r="2495">
      <c r="A2495" s="2" t="n">
        <v>2493</v>
      </c>
      <c r="B2495" s="2" t="inlineStr">
        <is>
          <t>flip</t>
        </is>
      </c>
      <c r="C2495" s="2" t="inlineStr">
        <is>
          <t>browser chrome150</t>
        </is>
      </c>
      <c r="D2495" s="2" t="n">
        <v>1763</v>
      </c>
      <c r="E2495" s="2" t="n">
        <v>1763</v>
      </c>
      <c r="F2495" s="2" t="n">
        <v>1</v>
      </c>
      <c r="G2495" s="2" t="n">
        <v>1</v>
      </c>
      <c r="H2495" s="2" t="n">
        <v>1</v>
      </c>
      <c r="I2495" s="2" t="n">
        <v>0</v>
      </c>
    </row>
    <row r="2496">
      <c r="A2496" s="2" t="n">
        <v>2494</v>
      </c>
      <c r="B2496" s="2" t="inlineStr">
        <is>
          <t>truncate</t>
        </is>
      </c>
      <c r="C2496" s="2" t="inlineStr">
        <is>
          <t>browser firefox147</t>
        </is>
      </c>
      <c r="D2496" s="2" t="n">
        <v>1653</v>
      </c>
      <c r="E2496" s="2" t="n">
        <v>1653</v>
      </c>
      <c r="F2496" s="2" t="n">
        <v>1</v>
      </c>
      <c r="G2496" s="2" t="n">
        <v>1</v>
      </c>
      <c r="H2496" s="2" t="n">
        <v>0</v>
      </c>
      <c r="I2496" s="2" t="n">
        <v>0</v>
      </c>
    </row>
    <row r="2497">
      <c r="A2497" s="2" t="n">
        <v>2495</v>
      </c>
      <c r="B2497" s="2" t="inlineStr">
        <is>
          <t>length</t>
        </is>
      </c>
      <c r="C2497" s="2" t="inlineStr">
        <is>
          <t>openssl 3.5.8 default</t>
        </is>
      </c>
      <c r="D2497" s="2" t="n">
        <v>1548</v>
      </c>
      <c r="E2497" s="2" t="n">
        <v>1548</v>
      </c>
      <c r="F2497" s="2" t="n">
        <v>1</v>
      </c>
      <c r="G2497" s="2" t="n">
        <v>1</v>
      </c>
      <c r="H2497" s="2" t="n">
        <v>1</v>
      </c>
      <c r="I2497" s="2" t="n">
        <v>0</v>
      </c>
    </row>
    <row r="2498">
      <c r="A2498" s="2" t="n">
        <v>2496</v>
      </c>
      <c r="B2498" s="2" t="inlineStr">
        <is>
          <t>insert</t>
        </is>
      </c>
      <c r="C2498" s="2" t="inlineStr">
        <is>
          <t>openssl 3.5.8 default</t>
        </is>
      </c>
      <c r="D2498" s="2" t="n">
        <v>1549</v>
      </c>
      <c r="E2498" s="2" t="n">
        <v>1549</v>
      </c>
      <c r="F2498" s="2" t="n">
        <v>1</v>
      </c>
      <c r="G2498" s="2" t="n">
        <v>1</v>
      </c>
      <c r="H2498" s="2" t="n">
        <v>1</v>
      </c>
      <c r="I2498" s="2" t="n">
        <v>0</v>
      </c>
    </row>
    <row r="2499">
      <c r="A2499" s="2" t="n">
        <v>2497</v>
      </c>
      <c r="B2499" s="2" t="inlineStr">
        <is>
          <t>flip</t>
        </is>
      </c>
      <c r="C2499" s="2" t="inlineStr">
        <is>
          <t>openssl X25519 only (classical)</t>
        </is>
      </c>
      <c r="D2499" s="2" t="n">
        <v>314</v>
      </c>
      <c r="E2499" s="2" t="n">
        <v>314</v>
      </c>
      <c r="F2499" s="2" t="n">
        <v>1</v>
      </c>
      <c r="G2499" s="2" t="n">
        <v>0</v>
      </c>
      <c r="H2499" s="2" t="n">
        <v>0</v>
      </c>
      <c r="I2499" s="2" t="n">
        <v>0</v>
      </c>
    </row>
    <row r="2500">
      <c r="A2500" s="2" t="n">
        <v>2498</v>
      </c>
      <c r="B2500" s="2" t="inlineStr">
        <is>
          <t>truncate</t>
        </is>
      </c>
      <c r="C2500" s="2" t="inlineStr">
        <is>
          <t>openssl 3.5.8 default</t>
        </is>
      </c>
      <c r="D2500" s="2" t="n">
        <v>1435</v>
      </c>
      <c r="E2500" s="2" t="n">
        <v>1435</v>
      </c>
      <c r="F2500" s="2" t="n">
        <v>1</v>
      </c>
      <c r="G2500" s="2" t="n">
        <v>1</v>
      </c>
      <c r="H2500" s="2" t="n">
        <v>1</v>
      </c>
      <c r="I2500" s="2" t="n">
        <v>0</v>
      </c>
    </row>
    <row r="2501">
      <c r="A2501" s="2" t="n">
        <v>2499</v>
      </c>
      <c r="B2501" s="2" t="inlineStr">
        <is>
          <t>length</t>
        </is>
      </c>
      <c r="C2501" s="2" t="inlineStr">
        <is>
          <t>openssl 3.5.8 default</t>
        </is>
      </c>
      <c r="D2501" s="2" t="n">
        <v>1548</v>
      </c>
      <c r="E2501" s="2" t="n">
        <v>1548</v>
      </c>
      <c r="F2501" s="2" t="n">
        <v>0</v>
      </c>
      <c r="G2501" s="2" t="n">
        <v>0</v>
      </c>
      <c r="H2501" s="2" t="n">
        <v>0</v>
      </c>
      <c r="I2501" s="2" t="n">
        <v>0</v>
      </c>
    </row>
    <row r="2502">
      <c r="A2502" s="2" t="n">
        <v>2500</v>
      </c>
      <c r="B2502" s="2" t="inlineStr">
        <is>
          <t>insert</t>
        </is>
      </c>
      <c r="C2502" s="2" t="inlineStr">
        <is>
          <t>openssl TLS 1.2 only</t>
        </is>
      </c>
      <c r="D2502" s="2" t="n">
        <v>222</v>
      </c>
      <c r="E2502" s="2" t="n">
        <v>222</v>
      </c>
      <c r="F2502" s="2" t="n">
        <v>1</v>
      </c>
      <c r="G2502" s="2" t="n">
        <v>0</v>
      </c>
      <c r="H2502" s="2" t="n">
        <v>0</v>
      </c>
      <c r="I2502" s="2" t="n">
        <v>0</v>
      </c>
    </row>
    <row r="2503">
      <c r="A2503" s="2" t="n">
        <v>2501</v>
      </c>
      <c r="B2503" s="2" t="inlineStr">
        <is>
          <t>flip</t>
        </is>
      </c>
      <c r="C2503" s="2" t="inlineStr">
        <is>
          <t>openssl 3.5.8 default</t>
        </is>
      </c>
      <c r="D2503" s="2" t="n">
        <v>1548</v>
      </c>
      <c r="E2503" s="2" t="n">
        <v>1548</v>
      </c>
      <c r="F2503" s="2" t="n">
        <v>1</v>
      </c>
      <c r="G2503" s="2" t="n">
        <v>1</v>
      </c>
      <c r="H2503" s="2" t="n">
        <v>1</v>
      </c>
      <c r="I2503" s="2" t="n">
        <v>0</v>
      </c>
    </row>
    <row r="2504">
      <c r="A2504" s="2" t="n">
        <v>2502</v>
      </c>
      <c r="B2504" s="2" t="inlineStr">
        <is>
          <t>truncate</t>
        </is>
      </c>
      <c r="C2504" s="2" t="inlineStr">
        <is>
          <t>browser chrome150</t>
        </is>
      </c>
      <c r="D2504" s="2" t="n">
        <v>979</v>
      </c>
      <c r="E2504" s="2" t="n">
        <v>979</v>
      </c>
      <c r="F2504" s="2" t="n">
        <v>1</v>
      </c>
      <c r="G2504" s="2" t="n">
        <v>1</v>
      </c>
      <c r="H2504" s="2" t="n">
        <v>1</v>
      </c>
      <c r="I2504" s="2" t="n">
        <v>0</v>
      </c>
    </row>
    <row r="2505">
      <c r="A2505" s="2" t="n">
        <v>2503</v>
      </c>
      <c r="B2505" s="2" t="inlineStr">
        <is>
          <t>length</t>
        </is>
      </c>
      <c r="C2505" s="2" t="inlineStr">
        <is>
          <t>openssl 3.5.8 default</t>
        </is>
      </c>
      <c r="D2505" s="2" t="n">
        <v>1548</v>
      </c>
      <c r="E2505" s="2" t="n">
        <v>1548</v>
      </c>
      <c r="F2505" s="2" t="n">
        <v>1</v>
      </c>
      <c r="G2505" s="2" t="n">
        <v>1</v>
      </c>
      <c r="H2505" s="2" t="n">
        <v>1</v>
      </c>
      <c r="I2505" s="2" t="n">
        <v>0</v>
      </c>
    </row>
    <row r="2506">
      <c r="A2506" s="2" t="n">
        <v>2504</v>
      </c>
      <c r="B2506" s="2" t="inlineStr">
        <is>
          <t>insert</t>
        </is>
      </c>
      <c r="C2506" s="2" t="inlineStr">
        <is>
          <t>browser firefox147</t>
        </is>
      </c>
      <c r="D2506" s="2" t="n">
        <v>1917</v>
      </c>
      <c r="E2506" s="2" t="n">
        <v>1917</v>
      </c>
      <c r="F2506" s="2" t="n">
        <v>1</v>
      </c>
      <c r="G2506" s="2" t="n">
        <v>1</v>
      </c>
      <c r="H2506" s="2" t="n">
        <v>0</v>
      </c>
      <c r="I2506" s="2" t="n">
        <v>0</v>
      </c>
    </row>
    <row r="2507">
      <c r="A2507" s="2" t="n">
        <v>2505</v>
      </c>
      <c r="B2507" s="2" t="inlineStr">
        <is>
          <t>flip</t>
        </is>
      </c>
      <c r="C2507" s="2" t="inlineStr">
        <is>
          <t>openssl TLS 1.2 only</t>
        </is>
      </c>
      <c r="D2507" s="2" t="n">
        <v>215</v>
      </c>
      <c r="E2507" s="2" t="n">
        <v>215</v>
      </c>
      <c r="F2507" s="2" t="n">
        <v>1</v>
      </c>
      <c r="G2507" s="2" t="n">
        <v>1</v>
      </c>
      <c r="H2507" s="2" t="n">
        <v>1</v>
      </c>
      <c r="I2507" s="2" t="n">
        <v>0</v>
      </c>
    </row>
    <row r="2508">
      <c r="A2508" s="2" t="n">
        <v>2506</v>
      </c>
      <c r="B2508" s="2" t="inlineStr">
        <is>
          <t>truncate</t>
        </is>
      </c>
      <c r="C2508" s="2" t="inlineStr">
        <is>
          <t>browser chrome150</t>
        </is>
      </c>
      <c r="D2508" s="2" t="n">
        <v>1084</v>
      </c>
      <c r="E2508" s="2" t="n">
        <v>1084</v>
      </c>
      <c r="F2508" s="2" t="n">
        <v>1</v>
      </c>
      <c r="G2508" s="2" t="n">
        <v>1</v>
      </c>
      <c r="H2508" s="2" t="n">
        <v>1</v>
      </c>
      <c r="I2508" s="2" t="n">
        <v>0</v>
      </c>
    </row>
    <row r="2509">
      <c r="A2509" s="2" t="n">
        <v>2507</v>
      </c>
      <c r="B2509" s="2" t="inlineStr">
        <is>
          <t>length</t>
        </is>
      </c>
      <c r="C2509" s="2" t="inlineStr">
        <is>
          <t>openssl 3.5.8 default</t>
        </is>
      </c>
      <c r="D2509" s="2" t="n">
        <v>1548</v>
      </c>
      <c r="E2509" s="2" t="n">
        <v>1548</v>
      </c>
      <c r="F2509" s="2" t="n">
        <v>1</v>
      </c>
      <c r="G2509" s="2" t="n">
        <v>0</v>
      </c>
      <c r="H2509" s="2" t="n">
        <v>0</v>
      </c>
      <c r="I2509" s="2" t="n">
        <v>0</v>
      </c>
    </row>
    <row r="2510">
      <c r="A2510" s="2" t="n">
        <v>2508</v>
      </c>
      <c r="B2510" s="2" t="inlineStr">
        <is>
          <t>insert</t>
        </is>
      </c>
      <c r="C2510" s="2" t="inlineStr">
        <is>
          <t>openssl 3.5.8 default</t>
        </is>
      </c>
      <c r="D2510" s="2" t="n">
        <v>1557</v>
      </c>
      <c r="E2510" s="2" t="n">
        <v>1557</v>
      </c>
      <c r="F2510" s="2" t="n">
        <v>1</v>
      </c>
      <c r="G2510" s="2" t="n">
        <v>1</v>
      </c>
      <c r="H2510" s="2" t="n">
        <v>1</v>
      </c>
      <c r="I2510" s="2" t="n">
        <v>0</v>
      </c>
    </row>
    <row r="2511">
      <c r="A2511" s="2" t="n">
        <v>2509</v>
      </c>
      <c r="B2511" s="2" t="inlineStr">
        <is>
          <t>flip</t>
        </is>
      </c>
      <c r="C2511" s="2" t="inlineStr">
        <is>
          <t>openssl 3.5.8 default</t>
        </is>
      </c>
      <c r="D2511" s="2" t="n">
        <v>1548</v>
      </c>
      <c r="E2511" s="2" t="n">
        <v>1548</v>
      </c>
      <c r="F2511" s="2" t="n">
        <v>1</v>
      </c>
      <c r="G2511" s="2" t="n">
        <v>1</v>
      </c>
      <c r="H2511" s="2" t="n">
        <v>1</v>
      </c>
      <c r="I2511" s="2" t="n">
        <v>0</v>
      </c>
    </row>
    <row r="2512">
      <c r="A2512" s="2" t="n">
        <v>2510</v>
      </c>
      <c r="B2512" s="2" t="inlineStr">
        <is>
          <t>truncate</t>
        </is>
      </c>
      <c r="C2512" s="2" t="inlineStr">
        <is>
          <t>browser chrome150</t>
        </is>
      </c>
      <c r="D2512" s="2" t="n">
        <v>833</v>
      </c>
      <c r="E2512" s="2" t="n">
        <v>833</v>
      </c>
      <c r="F2512" s="2" t="n">
        <v>1</v>
      </c>
      <c r="G2512" s="2" t="n">
        <v>1</v>
      </c>
      <c r="H2512" s="2" t="n">
        <v>1</v>
      </c>
      <c r="I2512" s="2" t="n">
        <v>0</v>
      </c>
    </row>
    <row r="2513">
      <c r="A2513" s="2" t="n">
        <v>2511</v>
      </c>
      <c r="B2513" s="2" t="inlineStr">
        <is>
          <t>length</t>
        </is>
      </c>
      <c r="C2513" s="2" t="inlineStr">
        <is>
          <t>browser firefox147</t>
        </is>
      </c>
      <c r="D2513" s="2" t="n">
        <v>1901</v>
      </c>
      <c r="E2513" s="2" t="n">
        <v>1901</v>
      </c>
      <c r="F2513" s="2" t="n">
        <v>1</v>
      </c>
      <c r="G2513" s="2" t="n">
        <v>1</v>
      </c>
      <c r="H2513" s="2" t="n">
        <v>0</v>
      </c>
      <c r="I2513" s="2" t="n">
        <v>0</v>
      </c>
    </row>
    <row r="2514">
      <c r="A2514" s="2" t="n">
        <v>2512</v>
      </c>
      <c r="B2514" s="2" t="inlineStr">
        <is>
          <t>insert</t>
        </is>
      </c>
      <c r="C2514" s="2" t="inlineStr">
        <is>
          <t>browser firefox147</t>
        </is>
      </c>
      <c r="D2514" s="2" t="n">
        <v>1914</v>
      </c>
      <c r="E2514" s="2" t="n">
        <v>1914</v>
      </c>
      <c r="F2514" s="2" t="n">
        <v>1</v>
      </c>
      <c r="G2514" s="2" t="n">
        <v>1</v>
      </c>
      <c r="H2514" s="2" t="n">
        <v>0</v>
      </c>
      <c r="I2514" s="2" t="n">
        <v>0</v>
      </c>
    </row>
    <row r="2515">
      <c r="A2515" s="2" t="n">
        <v>2513</v>
      </c>
      <c r="B2515" s="2" t="inlineStr">
        <is>
          <t>flip</t>
        </is>
      </c>
      <c r="C2515" s="2" t="inlineStr">
        <is>
          <t>browser chrome150</t>
        </is>
      </c>
      <c r="D2515" s="2" t="n">
        <v>1763</v>
      </c>
      <c r="E2515" s="2" t="n">
        <v>1763</v>
      </c>
      <c r="F2515" s="2" t="n">
        <v>1</v>
      </c>
      <c r="G2515" s="2" t="n">
        <v>1</v>
      </c>
      <c r="H2515" s="2" t="n">
        <v>1</v>
      </c>
      <c r="I2515" s="2" t="n">
        <v>0</v>
      </c>
    </row>
    <row r="2516">
      <c r="A2516" s="2" t="n">
        <v>2514</v>
      </c>
      <c r="B2516" s="2" t="inlineStr">
        <is>
          <t>truncate</t>
        </is>
      </c>
      <c r="C2516" s="2" t="inlineStr">
        <is>
          <t>openssl 3.5.8 default</t>
        </is>
      </c>
      <c r="D2516" s="2" t="n">
        <v>1255</v>
      </c>
      <c r="E2516" s="2" t="n">
        <v>1255</v>
      </c>
      <c r="F2516" s="2" t="n">
        <v>1</v>
      </c>
      <c r="G2516" s="2" t="n">
        <v>1</v>
      </c>
      <c r="H2516" s="2" t="n">
        <v>1</v>
      </c>
      <c r="I2516" s="2" t="n">
        <v>0</v>
      </c>
    </row>
    <row r="2517">
      <c r="A2517" s="2" t="n">
        <v>2515</v>
      </c>
      <c r="B2517" s="2" t="inlineStr">
        <is>
          <t>length</t>
        </is>
      </c>
      <c r="C2517" s="2" t="inlineStr">
        <is>
          <t>browser chrome150</t>
        </is>
      </c>
      <c r="D2517" s="2" t="n">
        <v>1763</v>
      </c>
      <c r="E2517" s="2" t="n">
        <v>1763</v>
      </c>
      <c r="F2517" s="2" t="n">
        <v>1</v>
      </c>
      <c r="G2517" s="2" t="n">
        <v>1</v>
      </c>
      <c r="H2517" s="2" t="n">
        <v>0</v>
      </c>
      <c r="I2517" s="2" t="n">
        <v>0</v>
      </c>
    </row>
    <row r="2518">
      <c r="A2518" s="2" t="n">
        <v>2516</v>
      </c>
      <c r="B2518" s="2" t="inlineStr">
        <is>
          <t>insert</t>
        </is>
      </c>
      <c r="C2518" s="2" t="inlineStr">
        <is>
          <t>openssl X25519 only (classical)</t>
        </is>
      </c>
      <c r="D2518" s="2" t="n">
        <v>327</v>
      </c>
      <c r="E2518" s="2" t="n">
        <v>327</v>
      </c>
      <c r="F2518" s="2" t="n">
        <v>1</v>
      </c>
      <c r="G2518" s="2" t="n">
        <v>1</v>
      </c>
      <c r="H2518" s="2" t="n">
        <v>1</v>
      </c>
      <c r="I2518" s="2" t="n">
        <v>0</v>
      </c>
    </row>
    <row r="2519">
      <c r="A2519" s="2" t="n">
        <v>2517</v>
      </c>
      <c r="B2519" s="2" t="inlineStr">
        <is>
          <t>flip</t>
        </is>
      </c>
      <c r="C2519" s="2" t="inlineStr">
        <is>
          <t>openssl TLS 1.2 only</t>
        </is>
      </c>
      <c r="D2519" s="2" t="n">
        <v>215</v>
      </c>
      <c r="E2519" s="2" t="n">
        <v>215</v>
      </c>
      <c r="F2519" s="2" t="n">
        <v>1</v>
      </c>
      <c r="G2519" s="2" t="n">
        <v>1</v>
      </c>
      <c r="H2519" s="2" t="n">
        <v>1</v>
      </c>
      <c r="I2519" s="2" t="n">
        <v>0</v>
      </c>
    </row>
    <row r="2520">
      <c r="A2520" s="2" t="n">
        <v>2518</v>
      </c>
      <c r="B2520" s="2" t="inlineStr">
        <is>
          <t>truncate</t>
        </is>
      </c>
      <c r="C2520" s="2" t="inlineStr">
        <is>
          <t>openssl X25519 only (classical)</t>
        </is>
      </c>
      <c r="D2520" s="2" t="n">
        <v>129</v>
      </c>
      <c r="E2520" s="2" t="n">
        <v>129</v>
      </c>
      <c r="F2520" s="2" t="n">
        <v>1</v>
      </c>
      <c r="G2520" s="2" t="n">
        <v>0</v>
      </c>
      <c r="H2520" s="2" t="n">
        <v>0</v>
      </c>
      <c r="I2520" s="2" t="n">
        <v>0</v>
      </c>
    </row>
    <row r="2521">
      <c r="A2521" s="2" t="n">
        <v>2519</v>
      </c>
      <c r="B2521" s="2" t="inlineStr">
        <is>
          <t>length</t>
        </is>
      </c>
      <c r="C2521" s="2" t="inlineStr">
        <is>
          <t>browser firefox147</t>
        </is>
      </c>
      <c r="D2521" s="2" t="n">
        <v>1901</v>
      </c>
      <c r="E2521" s="2" t="n">
        <v>1901</v>
      </c>
      <c r="F2521" s="2" t="n">
        <v>1</v>
      </c>
      <c r="G2521" s="2" t="n">
        <v>1</v>
      </c>
      <c r="H2521" s="2" t="n">
        <v>0</v>
      </c>
      <c r="I2521" s="2" t="n">
        <v>0</v>
      </c>
    </row>
    <row r="2522">
      <c r="A2522" s="2" t="n">
        <v>2520</v>
      </c>
      <c r="B2522" s="2" t="inlineStr">
        <is>
          <t>insert</t>
        </is>
      </c>
      <c r="C2522" s="2" t="inlineStr">
        <is>
          <t>openssl X25519 only (classical)</t>
        </is>
      </c>
      <c r="D2522" s="2" t="n">
        <v>323</v>
      </c>
      <c r="E2522" s="2" t="n">
        <v>323</v>
      </c>
      <c r="F2522" s="2" t="n">
        <v>1</v>
      </c>
      <c r="G2522" s="2" t="n">
        <v>0</v>
      </c>
      <c r="H2522" s="2" t="n">
        <v>0</v>
      </c>
      <c r="I2522" s="2" t="n">
        <v>0</v>
      </c>
    </row>
    <row r="2523">
      <c r="A2523" s="2" t="n">
        <v>2521</v>
      </c>
      <c r="B2523" s="2" t="inlineStr">
        <is>
          <t>flip</t>
        </is>
      </c>
      <c r="C2523" s="2" t="inlineStr">
        <is>
          <t>openssl 3.5.8 default</t>
        </is>
      </c>
      <c r="D2523" s="2" t="n">
        <v>1548</v>
      </c>
      <c r="E2523" s="2" t="n">
        <v>1548</v>
      </c>
      <c r="F2523" s="2" t="n">
        <v>1</v>
      </c>
      <c r="G2523" s="2" t="n">
        <v>1</v>
      </c>
      <c r="H2523" s="2" t="n">
        <v>1</v>
      </c>
      <c r="I2523" s="2" t="n">
        <v>0</v>
      </c>
    </row>
    <row r="2524">
      <c r="A2524" s="2" t="n">
        <v>2522</v>
      </c>
      <c r="B2524" s="2" t="inlineStr">
        <is>
          <t>truncate</t>
        </is>
      </c>
      <c r="C2524" s="2" t="inlineStr">
        <is>
          <t>openssl TLS 1.2 only</t>
        </is>
      </c>
      <c r="D2524" s="2" t="n">
        <v>77</v>
      </c>
      <c r="E2524" s="2" t="n">
        <v>77</v>
      </c>
      <c r="F2524" s="2" t="n">
        <v>1</v>
      </c>
      <c r="G2524" s="2" t="n">
        <v>0</v>
      </c>
      <c r="H2524" s="2" t="n">
        <v>0</v>
      </c>
      <c r="I2524" s="2" t="n">
        <v>0</v>
      </c>
    </row>
    <row r="2525">
      <c r="A2525" s="2" t="n">
        <v>2523</v>
      </c>
      <c r="B2525" s="2" t="inlineStr">
        <is>
          <t>length</t>
        </is>
      </c>
      <c r="C2525" s="2" t="inlineStr">
        <is>
          <t>openssl 3.5.8 default</t>
        </is>
      </c>
      <c r="D2525" s="2" t="n">
        <v>1548</v>
      </c>
      <c r="E2525" s="2" t="n">
        <v>1548</v>
      </c>
      <c r="F2525" s="2" t="n">
        <v>0</v>
      </c>
      <c r="G2525" s="2" t="n">
        <v>0</v>
      </c>
      <c r="H2525" s="2" t="n">
        <v>0</v>
      </c>
      <c r="I2525" s="2" t="n">
        <v>0</v>
      </c>
    </row>
    <row r="2526">
      <c r="A2526" s="2" t="n">
        <v>2524</v>
      </c>
      <c r="B2526" s="2" t="inlineStr">
        <is>
          <t>insert</t>
        </is>
      </c>
      <c r="C2526" s="2" t="inlineStr">
        <is>
          <t>browser firefox147</t>
        </is>
      </c>
      <c r="D2526" s="2" t="n">
        <v>1912</v>
      </c>
      <c r="E2526" s="2" t="n">
        <v>1912</v>
      </c>
      <c r="F2526" s="2" t="n">
        <v>1</v>
      </c>
      <c r="G2526" s="2" t="n">
        <v>1</v>
      </c>
      <c r="H2526" s="2" t="n">
        <v>0</v>
      </c>
      <c r="I2526" s="2" t="n">
        <v>0</v>
      </c>
    </row>
    <row r="2527">
      <c r="A2527" s="2" t="n">
        <v>2525</v>
      </c>
      <c r="B2527" s="2" t="inlineStr">
        <is>
          <t>flip</t>
        </is>
      </c>
      <c r="C2527" s="2" t="inlineStr">
        <is>
          <t>browser firefox147</t>
        </is>
      </c>
      <c r="D2527" s="2" t="n">
        <v>1901</v>
      </c>
      <c r="E2527" s="2" t="n">
        <v>1901</v>
      </c>
      <c r="F2527" s="2" t="n">
        <v>1</v>
      </c>
      <c r="G2527" s="2" t="n">
        <v>1</v>
      </c>
      <c r="H2527" s="2" t="n">
        <v>0</v>
      </c>
      <c r="I2527" s="2" t="n">
        <v>0</v>
      </c>
    </row>
    <row r="2528">
      <c r="A2528" s="2" t="n">
        <v>2526</v>
      </c>
      <c r="B2528" s="2" t="inlineStr">
        <is>
          <t>truncate</t>
        </is>
      </c>
      <c r="C2528" s="2" t="inlineStr">
        <is>
          <t>browser firefox147</t>
        </is>
      </c>
      <c r="D2528" s="2" t="n">
        <v>928</v>
      </c>
      <c r="E2528" s="2" t="n">
        <v>928</v>
      </c>
      <c r="F2528" s="2" t="n">
        <v>1</v>
      </c>
      <c r="G2528" s="2" t="n">
        <v>1</v>
      </c>
      <c r="H2528" s="2" t="n">
        <v>0</v>
      </c>
      <c r="I2528" s="2" t="n">
        <v>0</v>
      </c>
    </row>
    <row r="2529">
      <c r="A2529" s="2" t="n">
        <v>2527</v>
      </c>
      <c r="B2529" s="2" t="inlineStr">
        <is>
          <t>length</t>
        </is>
      </c>
      <c r="C2529" s="2" t="inlineStr">
        <is>
          <t>browser chrome150</t>
        </is>
      </c>
      <c r="D2529" s="2" t="n">
        <v>1763</v>
      </c>
      <c r="E2529" s="2" t="n">
        <v>1763</v>
      </c>
      <c r="F2529" s="2" t="n">
        <v>1</v>
      </c>
      <c r="G2529" s="2" t="n">
        <v>1</v>
      </c>
      <c r="H2529" s="2" t="n">
        <v>1</v>
      </c>
      <c r="I2529" s="2" t="n">
        <v>0</v>
      </c>
    </row>
    <row r="2530">
      <c r="A2530" s="2" t="n">
        <v>2528</v>
      </c>
      <c r="B2530" s="2" t="inlineStr">
        <is>
          <t>insert</t>
        </is>
      </c>
      <c r="C2530" s="2" t="inlineStr">
        <is>
          <t>openssl 3.5.8 default</t>
        </is>
      </c>
      <c r="D2530" s="2" t="n">
        <v>1563</v>
      </c>
      <c r="E2530" s="2" t="n">
        <v>1563</v>
      </c>
      <c r="F2530" s="2" t="n">
        <v>0</v>
      </c>
      <c r="G2530" s="2" t="n">
        <v>0</v>
      </c>
      <c r="H2530" s="2" t="n">
        <v>0</v>
      </c>
      <c r="I2530" s="2" t="n">
        <v>0</v>
      </c>
    </row>
    <row r="2531">
      <c r="A2531" s="2" t="n">
        <v>2529</v>
      </c>
      <c r="B2531" s="2" t="inlineStr">
        <is>
          <t>flip</t>
        </is>
      </c>
      <c r="C2531" s="2" t="inlineStr">
        <is>
          <t>openssl 3.5.8 default</t>
        </is>
      </c>
      <c r="D2531" s="2" t="n">
        <v>1548</v>
      </c>
      <c r="E2531" s="2" t="n">
        <v>1548</v>
      </c>
      <c r="F2531" s="2" t="n">
        <v>1</v>
      </c>
      <c r="G2531" s="2" t="n">
        <v>1</v>
      </c>
      <c r="H2531" s="2" t="n">
        <v>1</v>
      </c>
      <c r="I2531" s="2" t="n">
        <v>0</v>
      </c>
    </row>
    <row r="2532">
      <c r="A2532" s="2" t="n">
        <v>2530</v>
      </c>
      <c r="B2532" s="2" t="inlineStr">
        <is>
          <t>truncate</t>
        </is>
      </c>
      <c r="C2532" s="2" t="inlineStr">
        <is>
          <t>openssl X25519 only (classical)</t>
        </is>
      </c>
      <c r="D2532" s="2" t="n">
        <v>3</v>
      </c>
      <c r="E2532" s="2" t="n">
        <v>3</v>
      </c>
      <c r="F2532" s="2" t="n">
        <v>0</v>
      </c>
      <c r="G2532" s="2" t="n">
        <v>0</v>
      </c>
      <c r="H2532" s="2" t="n">
        <v>0</v>
      </c>
      <c r="I2532" s="2" t="n">
        <v>0</v>
      </c>
    </row>
    <row r="2533">
      <c r="A2533" s="2" t="n">
        <v>2531</v>
      </c>
      <c r="B2533" s="2" t="inlineStr">
        <is>
          <t>length</t>
        </is>
      </c>
      <c r="C2533" s="2" t="inlineStr">
        <is>
          <t>browser firefox147</t>
        </is>
      </c>
      <c r="D2533" s="2" t="n">
        <v>1901</v>
      </c>
      <c r="E2533" s="2" t="n">
        <v>1901</v>
      </c>
      <c r="F2533" s="2" t="n">
        <v>1</v>
      </c>
      <c r="G2533" s="2" t="n">
        <v>1</v>
      </c>
      <c r="H2533" s="2" t="n">
        <v>1</v>
      </c>
      <c r="I2533" s="2" t="n">
        <v>0</v>
      </c>
    </row>
    <row r="2534">
      <c r="A2534" s="2" t="n">
        <v>2532</v>
      </c>
      <c r="B2534" s="2" t="inlineStr">
        <is>
          <t>insert</t>
        </is>
      </c>
      <c r="C2534" s="2" t="inlineStr">
        <is>
          <t>browser chrome150</t>
        </is>
      </c>
      <c r="D2534" s="2" t="n">
        <v>1777</v>
      </c>
      <c r="E2534" s="2" t="n">
        <v>1777</v>
      </c>
      <c r="F2534" s="2" t="n">
        <v>1</v>
      </c>
      <c r="G2534" s="2" t="n">
        <v>1</v>
      </c>
      <c r="H2534" s="2" t="n">
        <v>1</v>
      </c>
      <c r="I2534" s="2" t="n">
        <v>0</v>
      </c>
    </row>
    <row r="2535">
      <c r="A2535" s="2" t="n">
        <v>2533</v>
      </c>
      <c r="B2535" s="2" t="inlineStr">
        <is>
          <t>flip</t>
        </is>
      </c>
      <c r="C2535" s="2" t="inlineStr">
        <is>
          <t>openssl X25519 only (classical)</t>
        </is>
      </c>
      <c r="D2535" s="2" t="n">
        <v>314</v>
      </c>
      <c r="E2535" s="2" t="n">
        <v>314</v>
      </c>
      <c r="F2535" s="2" t="n">
        <v>1</v>
      </c>
      <c r="G2535" s="2" t="n">
        <v>1</v>
      </c>
      <c r="H2535" s="2" t="n">
        <v>1</v>
      </c>
      <c r="I2535" s="2" t="n">
        <v>0</v>
      </c>
    </row>
    <row r="2536">
      <c r="A2536" s="2" t="n">
        <v>2534</v>
      </c>
      <c r="B2536" s="2" t="inlineStr">
        <is>
          <t>truncate</t>
        </is>
      </c>
      <c r="C2536" s="2" t="inlineStr">
        <is>
          <t>openssl X25519 only (classical)</t>
        </is>
      </c>
      <c r="D2536" s="2" t="n">
        <v>244</v>
      </c>
      <c r="E2536" s="2" t="n">
        <v>244</v>
      </c>
      <c r="F2536" s="2" t="n">
        <v>1</v>
      </c>
      <c r="G2536" s="2" t="n">
        <v>1</v>
      </c>
      <c r="H2536" s="2" t="n">
        <v>0</v>
      </c>
      <c r="I2536" s="2" t="n">
        <v>0</v>
      </c>
    </row>
    <row r="2537">
      <c r="A2537" s="2" t="n">
        <v>2535</v>
      </c>
      <c r="B2537" s="2" t="inlineStr">
        <is>
          <t>length</t>
        </is>
      </c>
      <c r="C2537" s="2" t="inlineStr">
        <is>
          <t>openssl TLS 1.2 only</t>
        </is>
      </c>
      <c r="D2537" s="2" t="n">
        <v>215</v>
      </c>
      <c r="E2537" s="2" t="n">
        <v>215</v>
      </c>
      <c r="F2537" s="2" t="n">
        <v>1</v>
      </c>
      <c r="G2537" s="2" t="n">
        <v>1</v>
      </c>
      <c r="H2537" s="2" t="n">
        <v>0</v>
      </c>
      <c r="I2537" s="2" t="n">
        <v>0</v>
      </c>
    </row>
    <row r="2538">
      <c r="A2538" s="2" t="n">
        <v>2536</v>
      </c>
      <c r="B2538" s="2" t="inlineStr">
        <is>
          <t>insert</t>
        </is>
      </c>
      <c r="C2538" s="2" t="inlineStr">
        <is>
          <t>browser chrome150</t>
        </is>
      </c>
      <c r="D2538" s="2" t="n">
        <v>1779</v>
      </c>
      <c r="E2538" s="2" t="n">
        <v>1779</v>
      </c>
      <c r="F2538" s="2" t="n">
        <v>1</v>
      </c>
      <c r="G2538" s="2" t="n">
        <v>1</v>
      </c>
      <c r="H2538" s="2" t="n">
        <v>1</v>
      </c>
      <c r="I2538" s="2" t="n">
        <v>0</v>
      </c>
    </row>
    <row r="2539">
      <c r="A2539" s="2" t="n">
        <v>2537</v>
      </c>
      <c r="B2539" s="2" t="inlineStr">
        <is>
          <t>flip</t>
        </is>
      </c>
      <c r="C2539" s="2" t="inlineStr">
        <is>
          <t>openssl TLS 1.2 only</t>
        </is>
      </c>
      <c r="D2539" s="2" t="n">
        <v>215</v>
      </c>
      <c r="E2539" s="2" t="n">
        <v>215</v>
      </c>
      <c r="F2539" s="2" t="n">
        <v>1</v>
      </c>
      <c r="G2539" s="2" t="n">
        <v>1</v>
      </c>
      <c r="H2539" s="2" t="n">
        <v>1</v>
      </c>
      <c r="I2539" s="2" t="n">
        <v>0</v>
      </c>
    </row>
    <row r="2540">
      <c r="A2540" s="2" t="n">
        <v>2538</v>
      </c>
      <c r="B2540" s="2" t="inlineStr">
        <is>
          <t>truncate</t>
        </is>
      </c>
      <c r="C2540" s="2" t="inlineStr">
        <is>
          <t>openssl TLS 1.2 only</t>
        </is>
      </c>
      <c r="D2540" s="2" t="n">
        <v>89</v>
      </c>
      <c r="E2540" s="2" t="n">
        <v>89</v>
      </c>
      <c r="F2540" s="2" t="n">
        <v>1</v>
      </c>
      <c r="G2540" s="2" t="n">
        <v>0</v>
      </c>
      <c r="H2540" s="2" t="n">
        <v>0</v>
      </c>
      <c r="I2540" s="2" t="n">
        <v>0</v>
      </c>
    </row>
    <row r="2541">
      <c r="A2541" s="2" t="n">
        <v>2539</v>
      </c>
      <c r="B2541" s="2" t="inlineStr">
        <is>
          <t>length</t>
        </is>
      </c>
      <c r="C2541" s="2" t="inlineStr">
        <is>
          <t>openssl 3.5.8 default</t>
        </is>
      </c>
      <c r="D2541" s="2" t="n">
        <v>1548</v>
      </c>
      <c r="E2541" s="2" t="n">
        <v>1548</v>
      </c>
      <c r="F2541" s="2" t="n">
        <v>0</v>
      </c>
      <c r="G2541" s="2" t="n">
        <v>0</v>
      </c>
      <c r="H2541" s="2" t="n">
        <v>0</v>
      </c>
      <c r="I2541" s="2" t="n">
        <v>0</v>
      </c>
    </row>
    <row r="2542">
      <c r="A2542" s="2" t="n">
        <v>2540</v>
      </c>
      <c r="B2542" s="2" t="inlineStr">
        <is>
          <t>insert</t>
        </is>
      </c>
      <c r="C2542" s="2" t="inlineStr">
        <is>
          <t>openssl 3.5.8 default</t>
        </is>
      </c>
      <c r="D2542" s="2" t="n">
        <v>1550</v>
      </c>
      <c r="E2542" s="2" t="n">
        <v>1550</v>
      </c>
      <c r="F2542" s="2" t="n">
        <v>1</v>
      </c>
      <c r="G2542" s="2" t="n">
        <v>1</v>
      </c>
      <c r="H2542" s="2" t="n">
        <v>1</v>
      </c>
      <c r="I2542" s="2" t="n">
        <v>0</v>
      </c>
    </row>
    <row r="2543">
      <c r="A2543" s="2" t="n">
        <v>2541</v>
      </c>
      <c r="B2543" s="2" t="inlineStr">
        <is>
          <t>flip</t>
        </is>
      </c>
      <c r="C2543" s="2" t="inlineStr">
        <is>
          <t>openssl TLS 1.2 only</t>
        </is>
      </c>
      <c r="D2543" s="2" t="n">
        <v>215</v>
      </c>
      <c r="E2543" s="2" t="n">
        <v>215</v>
      </c>
      <c r="F2543" s="2" t="n">
        <v>1</v>
      </c>
      <c r="G2543" s="2" t="n">
        <v>1</v>
      </c>
      <c r="H2543" s="2" t="n">
        <v>1</v>
      </c>
      <c r="I2543" s="2" t="n">
        <v>0</v>
      </c>
    </row>
    <row r="2544">
      <c r="A2544" s="2" t="n">
        <v>2542</v>
      </c>
      <c r="B2544" s="2" t="inlineStr">
        <is>
          <t>truncate</t>
        </is>
      </c>
      <c r="C2544" s="2" t="inlineStr">
        <is>
          <t>openssl 3.5.8 default</t>
        </is>
      </c>
      <c r="D2544" s="2" t="n">
        <v>1354</v>
      </c>
      <c r="E2544" s="2" t="n">
        <v>1354</v>
      </c>
      <c r="F2544" s="2" t="n">
        <v>1</v>
      </c>
      <c r="G2544" s="2" t="n">
        <v>1</v>
      </c>
      <c r="H2544" s="2" t="n">
        <v>1</v>
      </c>
      <c r="I2544" s="2" t="n">
        <v>0</v>
      </c>
    </row>
    <row r="2545">
      <c r="A2545" s="2" t="n">
        <v>2543</v>
      </c>
      <c r="B2545" s="2" t="inlineStr">
        <is>
          <t>length</t>
        </is>
      </c>
      <c r="C2545" s="2" t="inlineStr">
        <is>
          <t>openssl X25519 only (classical)</t>
        </is>
      </c>
      <c r="D2545" s="2" t="n">
        <v>314</v>
      </c>
      <c r="E2545" s="2" t="n">
        <v>314</v>
      </c>
      <c r="F2545" s="2" t="n">
        <v>0</v>
      </c>
      <c r="G2545" s="2" t="n">
        <v>0</v>
      </c>
      <c r="H2545" s="2" t="n">
        <v>0</v>
      </c>
      <c r="I2545" s="2" t="n">
        <v>0</v>
      </c>
    </row>
    <row r="2546">
      <c r="A2546" s="2" t="n">
        <v>2544</v>
      </c>
      <c r="B2546" s="2" t="inlineStr">
        <is>
          <t>insert</t>
        </is>
      </c>
      <c r="C2546" s="2" t="inlineStr">
        <is>
          <t>openssl X25519 only (classical)</t>
        </is>
      </c>
      <c r="D2546" s="2" t="n">
        <v>323</v>
      </c>
      <c r="E2546" s="2" t="n">
        <v>323</v>
      </c>
      <c r="F2546" s="2" t="n">
        <v>1</v>
      </c>
      <c r="G2546" s="2" t="n">
        <v>1</v>
      </c>
      <c r="H2546" s="2" t="n">
        <v>1</v>
      </c>
      <c r="I2546" s="2" t="n">
        <v>0</v>
      </c>
    </row>
    <row r="2547">
      <c r="A2547" s="2" t="n">
        <v>2545</v>
      </c>
      <c r="B2547" s="2" t="inlineStr">
        <is>
          <t>flip</t>
        </is>
      </c>
      <c r="C2547" s="2" t="inlineStr">
        <is>
          <t>browser chrome150</t>
        </is>
      </c>
      <c r="D2547" s="2" t="n">
        <v>1763</v>
      </c>
      <c r="E2547" s="2" t="n">
        <v>1763</v>
      </c>
      <c r="F2547" s="2" t="n">
        <v>1</v>
      </c>
      <c r="G2547" s="2" t="n">
        <v>1</v>
      </c>
      <c r="H2547" s="2" t="n">
        <v>1</v>
      </c>
      <c r="I2547" s="2" t="n">
        <v>0</v>
      </c>
    </row>
    <row r="2548">
      <c r="A2548" s="2" t="n">
        <v>2546</v>
      </c>
      <c r="B2548" s="2" t="inlineStr">
        <is>
          <t>truncate</t>
        </is>
      </c>
      <c r="C2548" s="2" t="inlineStr">
        <is>
          <t>browser chrome150</t>
        </is>
      </c>
      <c r="D2548" s="2" t="n">
        <v>228</v>
      </c>
      <c r="E2548" s="2" t="n">
        <v>228</v>
      </c>
      <c r="F2548" s="2" t="n">
        <v>1</v>
      </c>
      <c r="G2548" s="2" t="n">
        <v>1</v>
      </c>
      <c r="H2548" s="2" t="n">
        <v>1</v>
      </c>
      <c r="I2548" s="2" t="n">
        <v>0</v>
      </c>
    </row>
    <row r="2549">
      <c r="A2549" s="2" t="n">
        <v>2547</v>
      </c>
      <c r="B2549" s="2" t="inlineStr">
        <is>
          <t>length</t>
        </is>
      </c>
      <c r="C2549" s="2" t="inlineStr">
        <is>
          <t>browser chrome150</t>
        </is>
      </c>
      <c r="D2549" s="2" t="n">
        <v>1763</v>
      </c>
      <c r="E2549" s="2" t="n">
        <v>1763</v>
      </c>
      <c r="F2549" s="2" t="n">
        <v>1</v>
      </c>
      <c r="G2549" s="2" t="n">
        <v>0</v>
      </c>
      <c r="H2549" s="2" t="n">
        <v>0</v>
      </c>
      <c r="I2549" s="2" t="n">
        <v>0</v>
      </c>
    </row>
    <row r="2550">
      <c r="A2550" s="2" t="n">
        <v>2548</v>
      </c>
      <c r="B2550" s="2" t="inlineStr">
        <is>
          <t>insert</t>
        </is>
      </c>
      <c r="C2550" s="2" t="inlineStr">
        <is>
          <t>browser chrome150</t>
        </is>
      </c>
      <c r="D2550" s="2" t="n">
        <v>1774</v>
      </c>
      <c r="E2550" s="2" t="n">
        <v>1774</v>
      </c>
      <c r="F2550" s="2" t="n">
        <v>1</v>
      </c>
      <c r="G2550" s="2" t="n">
        <v>1</v>
      </c>
      <c r="H2550" s="2" t="n">
        <v>1</v>
      </c>
      <c r="I2550" s="2" t="n">
        <v>0</v>
      </c>
    </row>
    <row r="2551">
      <c r="A2551" s="2" t="n">
        <v>2549</v>
      </c>
      <c r="B2551" s="2" t="inlineStr">
        <is>
          <t>flip</t>
        </is>
      </c>
      <c r="C2551" s="2" t="inlineStr">
        <is>
          <t>openssl TLS 1.2 only</t>
        </is>
      </c>
      <c r="D2551" s="2" t="n">
        <v>215</v>
      </c>
      <c r="E2551" s="2" t="n">
        <v>215</v>
      </c>
      <c r="F2551" s="2" t="n">
        <v>1</v>
      </c>
      <c r="G2551" s="2" t="n">
        <v>1</v>
      </c>
      <c r="H2551" s="2" t="n">
        <v>1</v>
      </c>
      <c r="I2551" s="2" t="n">
        <v>0</v>
      </c>
    </row>
    <row r="2552">
      <c r="A2552" s="2" t="n">
        <v>2550</v>
      </c>
      <c r="B2552" s="2" t="inlineStr">
        <is>
          <t>truncate</t>
        </is>
      </c>
      <c r="C2552" s="2" t="inlineStr">
        <is>
          <t>openssl 3.5.8 default</t>
        </is>
      </c>
      <c r="D2552" s="2" t="n">
        <v>241</v>
      </c>
      <c r="E2552" s="2" t="n">
        <v>241</v>
      </c>
      <c r="F2552" s="2" t="n">
        <v>1</v>
      </c>
      <c r="G2552" s="2" t="n">
        <v>1</v>
      </c>
      <c r="H2552" s="2" t="n">
        <v>0</v>
      </c>
      <c r="I2552" s="2" t="n">
        <v>0</v>
      </c>
    </row>
    <row r="2553">
      <c r="A2553" s="2" t="n">
        <v>2551</v>
      </c>
      <c r="B2553" s="2" t="inlineStr">
        <is>
          <t>length</t>
        </is>
      </c>
      <c r="C2553" s="2" t="inlineStr">
        <is>
          <t>browser chrome150</t>
        </is>
      </c>
      <c r="D2553" s="2" t="n">
        <v>1763</v>
      </c>
      <c r="E2553" s="2" t="n">
        <v>1763</v>
      </c>
      <c r="F2553" s="2" t="n">
        <v>1</v>
      </c>
      <c r="G2553" s="2" t="n">
        <v>1</v>
      </c>
      <c r="H2553" s="2" t="n">
        <v>1</v>
      </c>
      <c r="I2553" s="2" t="n">
        <v>0</v>
      </c>
    </row>
    <row r="2554">
      <c r="A2554" s="2" t="n">
        <v>2552</v>
      </c>
      <c r="B2554" s="2" t="inlineStr">
        <is>
          <t>insert</t>
        </is>
      </c>
      <c r="C2554" s="2" t="inlineStr">
        <is>
          <t>browser chrome150</t>
        </is>
      </c>
      <c r="D2554" s="2" t="n">
        <v>1777</v>
      </c>
      <c r="E2554" s="2" t="n">
        <v>1777</v>
      </c>
      <c r="F2554" s="2" t="n">
        <v>1</v>
      </c>
      <c r="G2554" s="2" t="n">
        <v>1</v>
      </c>
      <c r="H2554" s="2" t="n">
        <v>1</v>
      </c>
      <c r="I2554" s="2" t="n">
        <v>0</v>
      </c>
    </row>
    <row r="2555">
      <c r="A2555" s="2" t="n">
        <v>2553</v>
      </c>
      <c r="B2555" s="2" t="inlineStr">
        <is>
          <t>flip</t>
        </is>
      </c>
      <c r="C2555" s="2" t="inlineStr">
        <is>
          <t>browser chrome150</t>
        </is>
      </c>
      <c r="D2555" s="2" t="n">
        <v>1763</v>
      </c>
      <c r="E2555" s="2" t="n">
        <v>1763</v>
      </c>
      <c r="F2555" s="2" t="n">
        <v>1</v>
      </c>
      <c r="G2555" s="2" t="n">
        <v>1</v>
      </c>
      <c r="H2555" s="2" t="n">
        <v>1</v>
      </c>
      <c r="I2555" s="2" t="n">
        <v>0</v>
      </c>
    </row>
    <row r="2556">
      <c r="A2556" s="2" t="n">
        <v>2554</v>
      </c>
      <c r="B2556" s="2" t="inlineStr">
        <is>
          <t>truncate</t>
        </is>
      </c>
      <c r="C2556" s="2" t="inlineStr">
        <is>
          <t>browser firefox147</t>
        </is>
      </c>
      <c r="D2556" s="2" t="n">
        <v>407</v>
      </c>
      <c r="E2556" s="2" t="n">
        <v>407</v>
      </c>
      <c r="F2556" s="2" t="n">
        <v>1</v>
      </c>
      <c r="G2556" s="2" t="n">
        <v>1</v>
      </c>
      <c r="H2556" s="2" t="n">
        <v>0</v>
      </c>
      <c r="I2556" s="2" t="n">
        <v>0</v>
      </c>
    </row>
    <row r="2557">
      <c r="A2557" s="2" t="n">
        <v>2555</v>
      </c>
      <c r="B2557" s="2" t="inlineStr">
        <is>
          <t>length</t>
        </is>
      </c>
      <c r="C2557" s="2" t="inlineStr">
        <is>
          <t>browser firefox147</t>
        </is>
      </c>
      <c r="D2557" s="2" t="n">
        <v>1901</v>
      </c>
      <c r="E2557" s="2" t="n">
        <v>1901</v>
      </c>
      <c r="F2557" s="2" t="n">
        <v>1</v>
      </c>
      <c r="G2557" s="2" t="n">
        <v>1</v>
      </c>
      <c r="H2557" s="2" t="n">
        <v>0</v>
      </c>
      <c r="I2557" s="2" t="n">
        <v>0</v>
      </c>
    </row>
    <row r="2558">
      <c r="A2558" s="2" t="n">
        <v>2556</v>
      </c>
      <c r="B2558" s="2" t="inlineStr">
        <is>
          <t>insert</t>
        </is>
      </c>
      <c r="C2558" s="2" t="inlineStr">
        <is>
          <t>browser firefox147</t>
        </is>
      </c>
      <c r="D2558" s="2" t="n">
        <v>1906</v>
      </c>
      <c r="E2558" s="2" t="n">
        <v>1906</v>
      </c>
      <c r="F2558" s="2" t="n">
        <v>1</v>
      </c>
      <c r="G2558" s="2" t="n">
        <v>1</v>
      </c>
      <c r="H2558" s="2" t="n">
        <v>0</v>
      </c>
      <c r="I2558" s="2" t="n">
        <v>0</v>
      </c>
    </row>
    <row r="2559">
      <c r="A2559" s="2" t="n">
        <v>2557</v>
      </c>
      <c r="B2559" s="2" t="inlineStr">
        <is>
          <t>flip</t>
        </is>
      </c>
      <c r="C2559" s="2" t="inlineStr">
        <is>
          <t>openssl 3.5.8 default</t>
        </is>
      </c>
      <c r="D2559" s="2" t="n">
        <v>1548</v>
      </c>
      <c r="E2559" s="2" t="n">
        <v>1548</v>
      </c>
      <c r="F2559" s="2" t="n">
        <v>1</v>
      </c>
      <c r="G2559" s="2" t="n">
        <v>1</v>
      </c>
      <c r="H2559" s="2" t="n">
        <v>1</v>
      </c>
      <c r="I2559" s="2" t="n">
        <v>0</v>
      </c>
    </row>
    <row r="2560">
      <c r="A2560" s="2" t="n">
        <v>2558</v>
      </c>
      <c r="B2560" s="2" t="inlineStr">
        <is>
          <t>truncate</t>
        </is>
      </c>
      <c r="C2560" s="2" t="inlineStr">
        <is>
          <t>openssl 3.5.8 default</t>
        </is>
      </c>
      <c r="D2560" s="2" t="n">
        <v>501</v>
      </c>
      <c r="E2560" s="2" t="n">
        <v>501</v>
      </c>
      <c r="F2560" s="2" t="n">
        <v>1</v>
      </c>
      <c r="G2560" s="2" t="n">
        <v>1</v>
      </c>
      <c r="H2560" s="2" t="n">
        <v>1</v>
      </c>
      <c r="I2560" s="2" t="n">
        <v>0</v>
      </c>
    </row>
    <row r="2561">
      <c r="A2561" s="2" t="n">
        <v>2559</v>
      </c>
      <c r="B2561" s="2" t="inlineStr">
        <is>
          <t>length</t>
        </is>
      </c>
      <c r="C2561" s="2" t="inlineStr">
        <is>
          <t>browser chrome150</t>
        </is>
      </c>
      <c r="D2561" s="2" t="n">
        <v>1763</v>
      </c>
      <c r="E2561" s="2" t="n">
        <v>1763</v>
      </c>
      <c r="F2561" s="2" t="n">
        <v>1</v>
      </c>
      <c r="G2561" s="2" t="n">
        <v>1</v>
      </c>
      <c r="H2561" s="2" t="n">
        <v>0</v>
      </c>
      <c r="I2561" s="2" t="n">
        <v>0</v>
      </c>
    </row>
    <row r="2562">
      <c r="A2562" s="2" t="n">
        <v>2560</v>
      </c>
      <c r="B2562" s="2" t="inlineStr">
        <is>
          <t>insert</t>
        </is>
      </c>
      <c r="C2562" s="2" t="inlineStr">
        <is>
          <t>browser firefox147</t>
        </is>
      </c>
      <c r="D2562" s="2" t="n">
        <v>1912</v>
      </c>
      <c r="E2562" s="2" t="n">
        <v>1912</v>
      </c>
      <c r="F2562" s="2" t="n">
        <v>1</v>
      </c>
      <c r="G2562" s="2" t="n">
        <v>1</v>
      </c>
      <c r="H2562" s="2" t="n">
        <v>0</v>
      </c>
      <c r="I2562" s="2" t="n">
        <v>0</v>
      </c>
    </row>
    <row r="2563">
      <c r="A2563" s="2" t="n">
        <v>2561</v>
      </c>
      <c r="B2563" s="2" t="inlineStr">
        <is>
          <t>flip</t>
        </is>
      </c>
      <c r="C2563" s="2" t="inlineStr">
        <is>
          <t>openssl X25519 only (classical)</t>
        </is>
      </c>
      <c r="D2563" s="2" t="n">
        <v>314</v>
      </c>
      <c r="E2563" s="2" t="n">
        <v>314</v>
      </c>
      <c r="F2563" s="2" t="n">
        <v>1</v>
      </c>
      <c r="G2563" s="2" t="n">
        <v>1</v>
      </c>
      <c r="H2563" s="2" t="n">
        <v>1</v>
      </c>
      <c r="I2563" s="2" t="n">
        <v>0</v>
      </c>
    </row>
    <row r="2564">
      <c r="A2564" s="2" t="n">
        <v>2562</v>
      </c>
      <c r="B2564" s="2" t="inlineStr">
        <is>
          <t>truncate</t>
        </is>
      </c>
      <c r="C2564" s="2" t="inlineStr">
        <is>
          <t>openssl 3.5.8 default</t>
        </is>
      </c>
      <c r="D2564" s="2" t="n">
        <v>832</v>
      </c>
      <c r="E2564" s="2" t="n">
        <v>832</v>
      </c>
      <c r="F2564" s="2" t="n">
        <v>1</v>
      </c>
      <c r="G2564" s="2" t="n">
        <v>1</v>
      </c>
      <c r="H2564" s="2" t="n">
        <v>1</v>
      </c>
      <c r="I2564" s="2" t="n">
        <v>0</v>
      </c>
    </row>
    <row r="2565">
      <c r="A2565" s="2" t="n">
        <v>2563</v>
      </c>
      <c r="B2565" s="2" t="inlineStr">
        <is>
          <t>length</t>
        </is>
      </c>
      <c r="C2565" s="2" t="inlineStr">
        <is>
          <t>browser firefox147</t>
        </is>
      </c>
      <c r="D2565" s="2" t="n">
        <v>1901</v>
      </c>
      <c r="E2565" s="2" t="n">
        <v>1901</v>
      </c>
      <c r="F2565" s="2" t="n">
        <v>1</v>
      </c>
      <c r="G2565" s="2" t="n">
        <v>1</v>
      </c>
      <c r="H2565" s="2" t="n">
        <v>0</v>
      </c>
      <c r="I2565" s="2" t="n">
        <v>0</v>
      </c>
    </row>
    <row r="2566">
      <c r="A2566" s="2" t="n">
        <v>2564</v>
      </c>
      <c r="B2566" s="2" t="inlineStr">
        <is>
          <t>insert</t>
        </is>
      </c>
      <c r="C2566" s="2" t="inlineStr">
        <is>
          <t>browser firefox147</t>
        </is>
      </c>
      <c r="D2566" s="2" t="n">
        <v>1909</v>
      </c>
      <c r="E2566" s="2" t="n">
        <v>1909</v>
      </c>
      <c r="F2566" s="2" t="n">
        <v>1</v>
      </c>
      <c r="G2566" s="2" t="n">
        <v>1</v>
      </c>
      <c r="H2566" s="2" t="n">
        <v>0</v>
      </c>
      <c r="I2566" s="2" t="n">
        <v>0</v>
      </c>
    </row>
    <row r="2567">
      <c r="A2567" s="2" t="n">
        <v>2565</v>
      </c>
      <c r="B2567" s="2" t="inlineStr">
        <is>
          <t>flip</t>
        </is>
      </c>
      <c r="C2567" s="2" t="inlineStr">
        <is>
          <t>browser firefox147</t>
        </is>
      </c>
      <c r="D2567" s="2" t="n">
        <v>1901</v>
      </c>
      <c r="E2567" s="2" t="n">
        <v>1901</v>
      </c>
      <c r="F2567" s="2" t="n">
        <v>1</v>
      </c>
      <c r="G2567" s="2" t="n">
        <v>1</v>
      </c>
      <c r="H2567" s="2" t="n">
        <v>0</v>
      </c>
      <c r="I2567" s="2" t="n">
        <v>0</v>
      </c>
    </row>
    <row r="2568">
      <c r="A2568" s="2" t="n">
        <v>2566</v>
      </c>
      <c r="B2568" s="2" t="inlineStr">
        <is>
          <t>truncate</t>
        </is>
      </c>
      <c r="C2568" s="2" t="inlineStr">
        <is>
          <t>openssl TLS 1.2 only</t>
        </is>
      </c>
      <c r="D2568" s="2" t="n">
        <v>186</v>
      </c>
      <c r="E2568" s="2" t="n">
        <v>186</v>
      </c>
      <c r="F2568" s="2" t="n">
        <v>1</v>
      </c>
      <c r="G2568" s="2" t="n">
        <v>1</v>
      </c>
      <c r="H2568" s="2" t="n">
        <v>1</v>
      </c>
      <c r="I2568" s="2" t="n">
        <v>0</v>
      </c>
    </row>
    <row r="2569">
      <c r="A2569" s="2" t="n">
        <v>2567</v>
      </c>
      <c r="B2569" s="2" t="inlineStr">
        <is>
          <t>length</t>
        </is>
      </c>
      <c r="C2569" s="2" t="inlineStr">
        <is>
          <t>openssl TLS 1.2 only</t>
        </is>
      </c>
      <c r="D2569" s="2" t="n">
        <v>215</v>
      </c>
      <c r="E2569" s="2" t="n">
        <v>215</v>
      </c>
      <c r="F2569" s="2" t="n">
        <v>1</v>
      </c>
      <c r="G2569" s="2" t="n">
        <v>1</v>
      </c>
      <c r="H2569" s="2" t="n">
        <v>1</v>
      </c>
      <c r="I2569" s="2" t="n">
        <v>0</v>
      </c>
    </row>
    <row r="2570">
      <c r="A2570" s="2" t="n">
        <v>2568</v>
      </c>
      <c r="B2570" s="2" t="inlineStr">
        <is>
          <t>insert</t>
        </is>
      </c>
      <c r="C2570" s="2" t="inlineStr">
        <is>
          <t>browser chrome150</t>
        </is>
      </c>
      <c r="D2570" s="2" t="n">
        <v>1776</v>
      </c>
      <c r="E2570" s="2" t="n">
        <v>1776</v>
      </c>
      <c r="F2570" s="2" t="n">
        <v>1</v>
      </c>
      <c r="G2570" s="2" t="n">
        <v>0</v>
      </c>
      <c r="H2570" s="2" t="n">
        <v>0</v>
      </c>
      <c r="I2570" s="2" t="n">
        <v>0</v>
      </c>
    </row>
    <row r="2571">
      <c r="A2571" s="2" t="n">
        <v>2569</v>
      </c>
      <c r="B2571" s="2" t="inlineStr">
        <is>
          <t>flip</t>
        </is>
      </c>
      <c r="C2571" s="2" t="inlineStr">
        <is>
          <t>browser chrome150</t>
        </is>
      </c>
      <c r="D2571" s="2" t="n">
        <v>1763</v>
      </c>
      <c r="E2571" s="2" t="n">
        <v>1763</v>
      </c>
      <c r="F2571" s="2" t="n">
        <v>1</v>
      </c>
      <c r="G2571" s="2" t="n">
        <v>1</v>
      </c>
      <c r="H2571" s="2" t="n">
        <v>1</v>
      </c>
      <c r="I2571" s="2" t="n">
        <v>0</v>
      </c>
    </row>
    <row r="2572">
      <c r="A2572" s="2" t="n">
        <v>2570</v>
      </c>
      <c r="B2572" s="2" t="inlineStr">
        <is>
          <t>truncate</t>
        </is>
      </c>
      <c r="C2572" s="2" t="inlineStr">
        <is>
          <t>openssl 3.5.8 default</t>
        </is>
      </c>
      <c r="D2572" s="2" t="n">
        <v>1284</v>
      </c>
      <c r="E2572" s="2" t="n">
        <v>1284</v>
      </c>
      <c r="F2572" s="2" t="n">
        <v>1</v>
      </c>
      <c r="G2572" s="2" t="n">
        <v>1</v>
      </c>
      <c r="H2572" s="2" t="n">
        <v>1</v>
      </c>
      <c r="I2572" s="2" t="n">
        <v>0</v>
      </c>
    </row>
    <row r="2573">
      <c r="A2573" s="2" t="n">
        <v>2571</v>
      </c>
      <c r="B2573" s="2" t="inlineStr">
        <is>
          <t>length</t>
        </is>
      </c>
      <c r="C2573" s="2" t="inlineStr">
        <is>
          <t>browser chrome150</t>
        </is>
      </c>
      <c r="D2573" s="2" t="n">
        <v>1763</v>
      </c>
      <c r="E2573" s="2" t="n">
        <v>1763</v>
      </c>
      <c r="F2573" s="2" t="n">
        <v>1</v>
      </c>
      <c r="G2573" s="2" t="n">
        <v>1</v>
      </c>
      <c r="H2573" s="2" t="n">
        <v>1</v>
      </c>
      <c r="I2573" s="2" t="n">
        <v>0</v>
      </c>
    </row>
    <row r="2574">
      <c r="A2574" s="2" t="n">
        <v>2572</v>
      </c>
      <c r="B2574" s="2" t="inlineStr">
        <is>
          <t>insert</t>
        </is>
      </c>
      <c r="C2574" s="2" t="inlineStr">
        <is>
          <t>openssl 3.5.8 default</t>
        </is>
      </c>
      <c r="D2574" s="2" t="n">
        <v>1552</v>
      </c>
      <c r="E2574" s="2" t="n">
        <v>1552</v>
      </c>
      <c r="F2574" s="2" t="n">
        <v>1</v>
      </c>
      <c r="G2574" s="2" t="n">
        <v>1</v>
      </c>
      <c r="H2574" s="2" t="n">
        <v>1</v>
      </c>
      <c r="I2574" s="2" t="n">
        <v>0</v>
      </c>
    </row>
    <row r="2575">
      <c r="A2575" s="2" t="n">
        <v>2573</v>
      </c>
      <c r="B2575" s="2" t="inlineStr">
        <is>
          <t>flip</t>
        </is>
      </c>
      <c r="C2575" s="2" t="inlineStr">
        <is>
          <t>browser chrome150</t>
        </is>
      </c>
      <c r="D2575" s="2" t="n">
        <v>1763</v>
      </c>
      <c r="E2575" s="2" t="n">
        <v>1763</v>
      </c>
      <c r="F2575" s="2" t="n">
        <v>1</v>
      </c>
      <c r="G2575" s="2" t="n">
        <v>1</v>
      </c>
      <c r="H2575" s="2" t="n">
        <v>1</v>
      </c>
      <c r="I2575" s="2" t="n">
        <v>0</v>
      </c>
    </row>
    <row r="2576">
      <c r="A2576" s="2" t="n">
        <v>2574</v>
      </c>
      <c r="B2576" s="2" t="inlineStr">
        <is>
          <t>truncate</t>
        </is>
      </c>
      <c r="C2576" s="2" t="inlineStr">
        <is>
          <t>browser firefox147</t>
        </is>
      </c>
      <c r="D2576" s="2" t="n">
        <v>1747</v>
      </c>
      <c r="E2576" s="2" t="n">
        <v>1747</v>
      </c>
      <c r="F2576" s="2" t="n">
        <v>1</v>
      </c>
      <c r="G2576" s="2" t="n">
        <v>1</v>
      </c>
      <c r="H2576" s="2" t="n">
        <v>0</v>
      </c>
      <c r="I2576" s="2" t="n">
        <v>0</v>
      </c>
    </row>
    <row r="2577">
      <c r="A2577" s="2" t="n">
        <v>2575</v>
      </c>
      <c r="B2577" s="2" t="inlineStr">
        <is>
          <t>length</t>
        </is>
      </c>
      <c r="C2577" s="2" t="inlineStr">
        <is>
          <t>browser chrome150</t>
        </is>
      </c>
      <c r="D2577" s="2" t="n">
        <v>1763</v>
      </c>
      <c r="E2577" s="2" t="n">
        <v>1763</v>
      </c>
      <c r="F2577" s="2" t="n">
        <v>1</v>
      </c>
      <c r="G2577" s="2" t="n">
        <v>1</v>
      </c>
      <c r="H2577" s="2" t="n">
        <v>1</v>
      </c>
      <c r="I2577" s="2" t="n">
        <v>0</v>
      </c>
    </row>
    <row r="2578">
      <c r="A2578" s="2" t="n">
        <v>2576</v>
      </c>
      <c r="B2578" s="2" t="inlineStr">
        <is>
          <t>insert</t>
        </is>
      </c>
      <c r="C2578" s="2" t="inlineStr">
        <is>
          <t>browser chrome150</t>
        </is>
      </c>
      <c r="D2578" s="2" t="n">
        <v>1779</v>
      </c>
      <c r="E2578" s="2" t="n">
        <v>1779</v>
      </c>
      <c r="F2578" s="2" t="n">
        <v>1</v>
      </c>
      <c r="G2578" s="2" t="n">
        <v>1</v>
      </c>
      <c r="H2578" s="2" t="n">
        <v>1</v>
      </c>
      <c r="I2578" s="2" t="n">
        <v>0</v>
      </c>
    </row>
    <row r="2579">
      <c r="A2579" s="2" t="n">
        <v>2577</v>
      </c>
      <c r="B2579" s="2" t="inlineStr">
        <is>
          <t>flip</t>
        </is>
      </c>
      <c r="C2579" s="2" t="inlineStr">
        <is>
          <t>browser chrome150</t>
        </is>
      </c>
      <c r="D2579" s="2" t="n">
        <v>1763</v>
      </c>
      <c r="E2579" s="2" t="n">
        <v>1763</v>
      </c>
      <c r="F2579" s="2" t="n">
        <v>1</v>
      </c>
      <c r="G2579" s="2" t="n">
        <v>1</v>
      </c>
      <c r="H2579" s="2" t="n">
        <v>1</v>
      </c>
      <c r="I2579" s="2" t="n">
        <v>0</v>
      </c>
    </row>
    <row r="2580">
      <c r="A2580" s="2" t="n">
        <v>2578</v>
      </c>
      <c r="B2580" s="2" t="inlineStr">
        <is>
          <t>truncate</t>
        </is>
      </c>
      <c r="C2580" s="2" t="inlineStr">
        <is>
          <t>openssl TLS 1.2 only</t>
        </is>
      </c>
      <c r="D2580" s="2" t="n">
        <v>163</v>
      </c>
      <c r="E2580" s="2" t="n">
        <v>163</v>
      </c>
      <c r="F2580" s="2" t="n">
        <v>1</v>
      </c>
      <c r="G2580" s="2" t="n">
        <v>1</v>
      </c>
      <c r="H2580" s="2" t="n">
        <v>0</v>
      </c>
      <c r="I2580" s="2" t="n">
        <v>0</v>
      </c>
    </row>
    <row r="2581">
      <c r="A2581" s="2" t="n">
        <v>2579</v>
      </c>
      <c r="B2581" s="2" t="inlineStr">
        <is>
          <t>length</t>
        </is>
      </c>
      <c r="C2581" s="2" t="inlineStr">
        <is>
          <t>browser chrome150</t>
        </is>
      </c>
      <c r="D2581" s="2" t="n">
        <v>1763</v>
      </c>
      <c r="E2581" s="2" t="n">
        <v>1763</v>
      </c>
      <c r="F2581" s="2" t="n">
        <v>1</v>
      </c>
      <c r="G2581" s="2" t="n">
        <v>1</v>
      </c>
      <c r="H2581" s="2" t="n">
        <v>1</v>
      </c>
      <c r="I2581" s="2" t="n">
        <v>0</v>
      </c>
    </row>
    <row r="2582">
      <c r="A2582" s="2" t="n">
        <v>2580</v>
      </c>
      <c r="B2582" s="2" t="inlineStr">
        <is>
          <t>insert</t>
        </is>
      </c>
      <c r="C2582" s="2" t="inlineStr">
        <is>
          <t>openssl 3.5.8 default</t>
        </is>
      </c>
      <c r="D2582" s="2" t="n">
        <v>1553</v>
      </c>
      <c r="E2582" s="2" t="n">
        <v>1553</v>
      </c>
      <c r="F2582" s="2" t="n">
        <v>1</v>
      </c>
      <c r="G2582" s="2" t="n">
        <v>1</v>
      </c>
      <c r="H2582" s="2" t="n">
        <v>1</v>
      </c>
      <c r="I2582" s="2" t="n">
        <v>0</v>
      </c>
    </row>
    <row r="2583">
      <c r="A2583" s="2" t="n">
        <v>2581</v>
      </c>
      <c r="B2583" s="2" t="inlineStr">
        <is>
          <t>flip</t>
        </is>
      </c>
      <c r="C2583" s="2" t="inlineStr">
        <is>
          <t>openssl 3.5.8 default</t>
        </is>
      </c>
      <c r="D2583" s="2" t="n">
        <v>1548</v>
      </c>
      <c r="E2583" s="2" t="n">
        <v>1548</v>
      </c>
      <c r="F2583" s="2" t="n">
        <v>1</v>
      </c>
      <c r="G2583" s="2" t="n">
        <v>1</v>
      </c>
      <c r="H2583" s="2" t="n">
        <v>1</v>
      </c>
      <c r="I2583" s="2" t="n">
        <v>0</v>
      </c>
    </row>
    <row r="2584">
      <c r="A2584" s="2" t="n">
        <v>2582</v>
      </c>
      <c r="B2584" s="2" t="inlineStr">
        <is>
          <t>truncate</t>
        </is>
      </c>
      <c r="C2584" s="2" t="inlineStr">
        <is>
          <t>browser chrome150</t>
        </is>
      </c>
      <c r="D2584" s="2" t="n">
        <v>768</v>
      </c>
      <c r="E2584" s="2" t="n">
        <v>768</v>
      </c>
      <c r="F2584" s="2" t="n">
        <v>1</v>
      </c>
      <c r="G2584" s="2" t="n">
        <v>1</v>
      </c>
      <c r="H2584" s="2" t="n">
        <v>1</v>
      </c>
      <c r="I2584" s="2" t="n">
        <v>0</v>
      </c>
    </row>
    <row r="2585">
      <c r="A2585" s="2" t="n">
        <v>2583</v>
      </c>
      <c r="B2585" s="2" t="inlineStr">
        <is>
          <t>length</t>
        </is>
      </c>
      <c r="C2585" s="2" t="inlineStr">
        <is>
          <t>openssl TLS 1.2 only</t>
        </is>
      </c>
      <c r="D2585" s="2" t="n">
        <v>215</v>
      </c>
      <c r="E2585" s="2" t="n">
        <v>215</v>
      </c>
      <c r="F2585" s="2" t="n">
        <v>1</v>
      </c>
      <c r="G2585" s="2" t="n">
        <v>1</v>
      </c>
      <c r="H2585" s="2" t="n">
        <v>1</v>
      </c>
      <c r="I2585" s="2" t="n">
        <v>0</v>
      </c>
    </row>
    <row r="2586">
      <c r="A2586" s="2" t="n">
        <v>2584</v>
      </c>
      <c r="B2586" s="2" t="inlineStr">
        <is>
          <t>insert</t>
        </is>
      </c>
      <c r="C2586" s="2" t="inlineStr">
        <is>
          <t>openssl 3.5.8 default</t>
        </is>
      </c>
      <c r="D2586" s="2" t="n">
        <v>1562</v>
      </c>
      <c r="E2586" s="2" t="n">
        <v>1562</v>
      </c>
      <c r="F2586" s="2" t="n">
        <v>1</v>
      </c>
      <c r="G2586" s="2" t="n">
        <v>1</v>
      </c>
      <c r="H2586" s="2" t="n">
        <v>1</v>
      </c>
      <c r="I2586" s="2" t="n">
        <v>0</v>
      </c>
    </row>
    <row r="2587">
      <c r="A2587" s="2" t="n">
        <v>2585</v>
      </c>
      <c r="B2587" s="2" t="inlineStr">
        <is>
          <t>flip</t>
        </is>
      </c>
      <c r="C2587" s="2" t="inlineStr">
        <is>
          <t>browser firefox147</t>
        </is>
      </c>
      <c r="D2587" s="2" t="n">
        <v>1901</v>
      </c>
      <c r="E2587" s="2" t="n">
        <v>1901</v>
      </c>
      <c r="F2587" s="2" t="n">
        <v>1</v>
      </c>
      <c r="G2587" s="2" t="n">
        <v>1</v>
      </c>
      <c r="H2587" s="2" t="n">
        <v>0</v>
      </c>
      <c r="I2587" s="2" t="n">
        <v>0</v>
      </c>
    </row>
    <row r="2588">
      <c r="A2588" s="2" t="n">
        <v>2586</v>
      </c>
      <c r="B2588" s="2" t="inlineStr">
        <is>
          <t>truncate</t>
        </is>
      </c>
      <c r="C2588" s="2" t="inlineStr">
        <is>
          <t>openssl 3.5.8 default</t>
        </is>
      </c>
      <c r="D2588" s="2" t="n">
        <v>1239</v>
      </c>
      <c r="E2588" s="2" t="n">
        <v>1239</v>
      </c>
      <c r="F2588" s="2" t="n">
        <v>1</v>
      </c>
      <c r="G2588" s="2" t="n">
        <v>1</v>
      </c>
      <c r="H2588" s="2" t="n">
        <v>1</v>
      </c>
      <c r="I2588" s="2" t="n">
        <v>0</v>
      </c>
    </row>
    <row r="2589">
      <c r="A2589" s="2" t="n">
        <v>2587</v>
      </c>
      <c r="B2589" s="2" t="inlineStr">
        <is>
          <t>length</t>
        </is>
      </c>
      <c r="C2589" s="2" t="inlineStr">
        <is>
          <t>browser firefox147</t>
        </is>
      </c>
      <c r="D2589" s="2" t="n">
        <v>1901</v>
      </c>
      <c r="E2589" s="2" t="n">
        <v>1901</v>
      </c>
      <c r="F2589" s="2" t="n">
        <v>1</v>
      </c>
      <c r="G2589" s="2" t="n">
        <v>1</v>
      </c>
      <c r="H2589" s="2" t="n">
        <v>0</v>
      </c>
      <c r="I2589" s="2" t="n">
        <v>0</v>
      </c>
    </row>
    <row r="2590">
      <c r="A2590" s="2" t="n">
        <v>2588</v>
      </c>
      <c r="B2590" s="2" t="inlineStr">
        <is>
          <t>insert</t>
        </is>
      </c>
      <c r="C2590" s="2" t="inlineStr">
        <is>
          <t>browser chrome150</t>
        </is>
      </c>
      <c r="D2590" s="2" t="n">
        <v>1778</v>
      </c>
      <c r="E2590" s="2" t="n">
        <v>1778</v>
      </c>
      <c r="F2590" s="2" t="n">
        <v>1</v>
      </c>
      <c r="G2590" s="2" t="n">
        <v>1</v>
      </c>
      <c r="H2590" s="2" t="n">
        <v>1</v>
      </c>
      <c r="I2590" s="2" t="n">
        <v>0</v>
      </c>
    </row>
    <row r="2591">
      <c r="A2591" s="2" t="n">
        <v>2589</v>
      </c>
      <c r="B2591" s="2" t="inlineStr">
        <is>
          <t>flip</t>
        </is>
      </c>
      <c r="C2591" s="2" t="inlineStr">
        <is>
          <t>openssl X25519 only (classical)</t>
        </is>
      </c>
      <c r="D2591" s="2" t="n">
        <v>314</v>
      </c>
      <c r="E2591" s="2" t="n">
        <v>314</v>
      </c>
      <c r="F2591" s="2" t="n">
        <v>1</v>
      </c>
      <c r="G2591" s="2" t="n">
        <v>1</v>
      </c>
      <c r="H2591" s="2" t="n">
        <v>1</v>
      </c>
      <c r="I2591" s="2" t="n">
        <v>0</v>
      </c>
    </row>
    <row r="2592">
      <c r="A2592" s="2" t="n">
        <v>2590</v>
      </c>
      <c r="B2592" s="2" t="inlineStr">
        <is>
          <t>truncate</t>
        </is>
      </c>
      <c r="C2592" s="2" t="inlineStr">
        <is>
          <t>browser firefox147</t>
        </is>
      </c>
      <c r="D2592" s="2" t="n">
        <v>1412</v>
      </c>
      <c r="E2592" s="2" t="n">
        <v>1412</v>
      </c>
      <c r="F2592" s="2" t="n">
        <v>1</v>
      </c>
      <c r="G2592" s="2" t="n">
        <v>1</v>
      </c>
      <c r="H2592" s="2" t="n">
        <v>0</v>
      </c>
      <c r="I2592" s="2" t="n">
        <v>0</v>
      </c>
    </row>
    <row r="2593">
      <c r="A2593" s="2" t="n">
        <v>2591</v>
      </c>
      <c r="B2593" s="2" t="inlineStr">
        <is>
          <t>length</t>
        </is>
      </c>
      <c r="C2593" s="2" t="inlineStr">
        <is>
          <t>openssl TLS 1.2 only</t>
        </is>
      </c>
      <c r="D2593" s="2" t="n">
        <v>215</v>
      </c>
      <c r="E2593" s="2" t="n">
        <v>215</v>
      </c>
      <c r="F2593" s="2" t="n">
        <v>0</v>
      </c>
      <c r="G2593" s="2" t="n">
        <v>0</v>
      </c>
      <c r="H2593" s="2" t="n">
        <v>0</v>
      </c>
      <c r="I2593" s="2" t="n">
        <v>0</v>
      </c>
    </row>
    <row r="2594">
      <c r="A2594" s="2" t="n">
        <v>2592</v>
      </c>
      <c r="B2594" s="2" t="inlineStr">
        <is>
          <t>insert</t>
        </is>
      </c>
      <c r="C2594" s="2" t="inlineStr">
        <is>
          <t>openssl TLS 1.2 only</t>
        </is>
      </c>
      <c r="D2594" s="2" t="n">
        <v>231</v>
      </c>
      <c r="E2594" s="2" t="n">
        <v>231</v>
      </c>
      <c r="F2594" s="2" t="n">
        <v>0</v>
      </c>
      <c r="G2594" s="2" t="n">
        <v>0</v>
      </c>
      <c r="H2594" s="2" t="n">
        <v>0</v>
      </c>
      <c r="I2594" s="2" t="n">
        <v>0</v>
      </c>
    </row>
    <row r="2595">
      <c r="A2595" s="2" t="n">
        <v>2593</v>
      </c>
      <c r="B2595" s="2" t="inlineStr">
        <is>
          <t>flip</t>
        </is>
      </c>
      <c r="C2595" s="2" t="inlineStr">
        <is>
          <t>browser chrome150</t>
        </is>
      </c>
      <c r="D2595" s="2" t="n">
        <v>1763</v>
      </c>
      <c r="E2595" s="2" t="n">
        <v>1763</v>
      </c>
      <c r="F2595" s="2" t="n">
        <v>1</v>
      </c>
      <c r="G2595" s="2" t="n">
        <v>1</v>
      </c>
      <c r="H2595" s="2" t="n">
        <v>1</v>
      </c>
      <c r="I2595" s="2" t="n">
        <v>0</v>
      </c>
    </row>
    <row r="2596">
      <c r="A2596" s="2" t="n">
        <v>2594</v>
      </c>
      <c r="B2596" s="2" t="inlineStr">
        <is>
          <t>truncate</t>
        </is>
      </c>
      <c r="C2596" s="2" t="inlineStr">
        <is>
          <t>openssl TLS 1.2 only</t>
        </is>
      </c>
      <c r="D2596" s="2" t="n">
        <v>72</v>
      </c>
      <c r="E2596" s="2" t="n">
        <v>72</v>
      </c>
      <c r="F2596" s="2" t="n">
        <v>1</v>
      </c>
      <c r="G2596" s="2" t="n">
        <v>0</v>
      </c>
      <c r="H2596" s="2" t="n">
        <v>0</v>
      </c>
      <c r="I2596" s="2" t="n">
        <v>0</v>
      </c>
    </row>
    <row r="2597">
      <c r="A2597" s="2" t="n">
        <v>2595</v>
      </c>
      <c r="B2597" s="2" t="inlineStr">
        <is>
          <t>length</t>
        </is>
      </c>
      <c r="C2597" s="2" t="inlineStr">
        <is>
          <t>openssl 3.5.8 default</t>
        </is>
      </c>
      <c r="D2597" s="2" t="n">
        <v>1548</v>
      </c>
      <c r="E2597" s="2" t="n">
        <v>1548</v>
      </c>
      <c r="F2597" s="2" t="n">
        <v>1</v>
      </c>
      <c r="G2597" s="2" t="n">
        <v>1</v>
      </c>
      <c r="H2597" s="2" t="n">
        <v>0</v>
      </c>
      <c r="I2597" s="2" t="n">
        <v>0</v>
      </c>
    </row>
    <row r="2598">
      <c r="A2598" s="2" t="n">
        <v>2596</v>
      </c>
      <c r="B2598" s="2" t="inlineStr">
        <is>
          <t>insert</t>
        </is>
      </c>
      <c r="C2598" s="2" t="inlineStr">
        <is>
          <t>browser firefox147</t>
        </is>
      </c>
      <c r="D2598" s="2" t="n">
        <v>1916</v>
      </c>
      <c r="E2598" s="2" t="n">
        <v>1916</v>
      </c>
      <c r="F2598" s="2" t="n">
        <v>1</v>
      </c>
      <c r="G2598" s="2" t="n">
        <v>1</v>
      </c>
      <c r="H2598" s="2" t="n">
        <v>1</v>
      </c>
      <c r="I2598" s="2" t="n">
        <v>0</v>
      </c>
    </row>
    <row r="2599">
      <c r="A2599" s="2" t="n">
        <v>2597</v>
      </c>
      <c r="B2599" s="2" t="inlineStr">
        <is>
          <t>flip</t>
        </is>
      </c>
      <c r="C2599" s="2" t="inlineStr">
        <is>
          <t>browser chrome150</t>
        </is>
      </c>
      <c r="D2599" s="2" t="n">
        <v>1763</v>
      </c>
      <c r="E2599" s="2" t="n">
        <v>1763</v>
      </c>
      <c r="F2599" s="2" t="n">
        <v>1</v>
      </c>
      <c r="G2599" s="2" t="n">
        <v>1</v>
      </c>
      <c r="H2599" s="2" t="n">
        <v>1</v>
      </c>
      <c r="I2599" s="2" t="n">
        <v>0</v>
      </c>
    </row>
    <row r="2600">
      <c r="A2600" s="2" t="n">
        <v>2598</v>
      </c>
      <c r="B2600" s="2" t="inlineStr">
        <is>
          <t>truncate</t>
        </is>
      </c>
      <c r="C2600" s="2" t="inlineStr">
        <is>
          <t>openssl X25519 only (classical)</t>
        </is>
      </c>
      <c r="D2600" s="2" t="n">
        <v>73</v>
      </c>
      <c r="E2600" s="2" t="n">
        <v>73</v>
      </c>
      <c r="F2600" s="2" t="n">
        <v>1</v>
      </c>
      <c r="G2600" s="2" t="n">
        <v>0</v>
      </c>
      <c r="H2600" s="2" t="n">
        <v>0</v>
      </c>
      <c r="I2600" s="2" t="n">
        <v>0</v>
      </c>
    </row>
    <row r="2601">
      <c r="A2601" s="2" t="n">
        <v>2599</v>
      </c>
      <c r="B2601" s="2" t="inlineStr">
        <is>
          <t>length</t>
        </is>
      </c>
      <c r="C2601" s="2" t="inlineStr">
        <is>
          <t>openssl X25519 only (classical)</t>
        </is>
      </c>
      <c r="D2601" s="2" t="n">
        <v>314</v>
      </c>
      <c r="E2601" s="2" t="n">
        <v>314</v>
      </c>
      <c r="F2601" s="2" t="n">
        <v>1</v>
      </c>
      <c r="G2601" s="2" t="n">
        <v>1</v>
      </c>
      <c r="H2601" s="2" t="n">
        <v>1</v>
      </c>
      <c r="I2601" s="2" t="n">
        <v>0</v>
      </c>
    </row>
    <row r="2602">
      <c r="A2602" s="2" t="n">
        <v>2600</v>
      </c>
      <c r="B2602" s="2" t="inlineStr">
        <is>
          <t>insert</t>
        </is>
      </c>
      <c r="C2602" s="2" t="inlineStr">
        <is>
          <t>browser chrome150</t>
        </is>
      </c>
      <c r="D2602" s="2" t="n">
        <v>1777</v>
      </c>
      <c r="E2602" s="2" t="n">
        <v>1777</v>
      </c>
      <c r="F2602" s="2" t="n">
        <v>1</v>
      </c>
      <c r="G2602" s="2" t="n">
        <v>1</v>
      </c>
      <c r="H2602" s="2" t="n">
        <v>1</v>
      </c>
      <c r="I2602" s="2" t="n">
        <v>0</v>
      </c>
    </row>
    <row r="2603">
      <c r="A2603" s="2" t="n">
        <v>2601</v>
      </c>
      <c r="B2603" s="2" t="inlineStr">
        <is>
          <t>flip</t>
        </is>
      </c>
      <c r="C2603" s="2" t="inlineStr">
        <is>
          <t>openssl 3.5.8 default</t>
        </is>
      </c>
      <c r="D2603" s="2" t="n">
        <v>1548</v>
      </c>
      <c r="E2603" s="2" t="n">
        <v>1548</v>
      </c>
      <c r="F2603" s="2" t="n">
        <v>1</v>
      </c>
      <c r="G2603" s="2" t="n">
        <v>1</v>
      </c>
      <c r="H2603" s="2" t="n">
        <v>1</v>
      </c>
      <c r="I2603" s="2" t="n">
        <v>0</v>
      </c>
    </row>
    <row r="2604">
      <c r="A2604" s="2" t="n">
        <v>2602</v>
      </c>
      <c r="B2604" s="2" t="inlineStr">
        <is>
          <t>truncate</t>
        </is>
      </c>
      <c r="C2604" s="2" t="inlineStr">
        <is>
          <t>openssl TLS 1.2 only</t>
        </is>
      </c>
      <c r="D2604" s="2" t="n">
        <v>130</v>
      </c>
      <c r="E2604" s="2" t="n">
        <v>130</v>
      </c>
      <c r="F2604" s="2" t="n">
        <v>1</v>
      </c>
      <c r="G2604" s="2" t="n">
        <v>1</v>
      </c>
      <c r="H2604" s="2" t="n">
        <v>0</v>
      </c>
      <c r="I2604" s="2" t="n">
        <v>0</v>
      </c>
    </row>
    <row r="2605">
      <c r="A2605" s="2" t="n">
        <v>2603</v>
      </c>
      <c r="B2605" s="2" t="inlineStr">
        <is>
          <t>length</t>
        </is>
      </c>
      <c r="C2605" s="2" t="inlineStr">
        <is>
          <t>browser chrome150</t>
        </is>
      </c>
      <c r="D2605" s="2" t="n">
        <v>1763</v>
      </c>
      <c r="E2605" s="2" t="n">
        <v>1763</v>
      </c>
      <c r="F2605" s="2" t="n">
        <v>0</v>
      </c>
      <c r="G2605" s="2" t="n">
        <v>0</v>
      </c>
      <c r="H2605" s="2" t="n">
        <v>0</v>
      </c>
      <c r="I2605" s="2" t="n">
        <v>0</v>
      </c>
    </row>
    <row r="2606">
      <c r="A2606" s="2" t="n">
        <v>2604</v>
      </c>
      <c r="B2606" s="2" t="inlineStr">
        <is>
          <t>insert</t>
        </is>
      </c>
      <c r="C2606" s="2" t="inlineStr">
        <is>
          <t>browser chrome150</t>
        </is>
      </c>
      <c r="D2606" s="2" t="n">
        <v>1774</v>
      </c>
      <c r="E2606" s="2" t="n">
        <v>1774</v>
      </c>
      <c r="F2606" s="2" t="n">
        <v>1</v>
      </c>
      <c r="G2606" s="2" t="n">
        <v>1</v>
      </c>
      <c r="H2606" s="2" t="n">
        <v>1</v>
      </c>
      <c r="I2606" s="2" t="n">
        <v>0</v>
      </c>
    </row>
    <row r="2607">
      <c r="A2607" s="2" t="n">
        <v>2605</v>
      </c>
      <c r="B2607" s="2" t="inlineStr">
        <is>
          <t>flip</t>
        </is>
      </c>
      <c r="C2607" s="2" t="inlineStr">
        <is>
          <t>openssl 3.5.8 default</t>
        </is>
      </c>
      <c r="D2607" s="2" t="n">
        <v>1548</v>
      </c>
      <c r="E2607" s="2" t="n">
        <v>1548</v>
      </c>
      <c r="F2607" s="2" t="n">
        <v>1</v>
      </c>
      <c r="G2607" s="2" t="n">
        <v>1</v>
      </c>
      <c r="H2607" s="2" t="n">
        <v>1</v>
      </c>
      <c r="I2607" s="2" t="n">
        <v>0</v>
      </c>
    </row>
    <row r="2608">
      <c r="A2608" s="2" t="n">
        <v>2606</v>
      </c>
      <c r="B2608" s="2" t="inlineStr">
        <is>
          <t>truncate</t>
        </is>
      </c>
      <c r="C2608" s="2" t="inlineStr">
        <is>
          <t>openssl X25519 only (classical)</t>
        </is>
      </c>
      <c r="D2608" s="2" t="n">
        <v>224</v>
      </c>
      <c r="E2608" s="2" t="n">
        <v>224</v>
      </c>
      <c r="F2608" s="2" t="n">
        <v>1</v>
      </c>
      <c r="G2608" s="2" t="n">
        <v>1</v>
      </c>
      <c r="H2608" s="2" t="n">
        <v>0</v>
      </c>
      <c r="I2608" s="2" t="n">
        <v>0</v>
      </c>
    </row>
    <row r="2609">
      <c r="A2609" s="2" t="n">
        <v>2607</v>
      </c>
      <c r="B2609" s="2" t="inlineStr">
        <is>
          <t>length</t>
        </is>
      </c>
      <c r="C2609" s="2" t="inlineStr">
        <is>
          <t>browser firefox147</t>
        </is>
      </c>
      <c r="D2609" s="2" t="n">
        <v>1901</v>
      </c>
      <c r="E2609" s="2" t="n">
        <v>1901</v>
      </c>
      <c r="F2609" s="2" t="n">
        <v>1</v>
      </c>
      <c r="G2609" s="2" t="n">
        <v>1</v>
      </c>
      <c r="H2609" s="2" t="n">
        <v>0</v>
      </c>
      <c r="I2609" s="2" t="n">
        <v>0</v>
      </c>
    </row>
    <row r="2610">
      <c r="A2610" s="2" t="n">
        <v>2608</v>
      </c>
      <c r="B2610" s="2" t="inlineStr">
        <is>
          <t>insert</t>
        </is>
      </c>
      <c r="C2610" s="2" t="inlineStr">
        <is>
          <t>openssl X25519 only (classical)</t>
        </is>
      </c>
      <c r="D2610" s="2" t="n">
        <v>324</v>
      </c>
      <c r="E2610" s="2" t="n">
        <v>324</v>
      </c>
      <c r="F2610" s="2" t="n">
        <v>1</v>
      </c>
      <c r="G2610" s="2" t="n">
        <v>1</v>
      </c>
      <c r="H2610" s="2" t="n">
        <v>1</v>
      </c>
      <c r="I2610" s="2" t="n">
        <v>0</v>
      </c>
    </row>
    <row r="2611">
      <c r="A2611" s="2" t="n">
        <v>2609</v>
      </c>
      <c r="B2611" s="2" t="inlineStr">
        <is>
          <t>flip</t>
        </is>
      </c>
      <c r="C2611" s="2" t="inlineStr">
        <is>
          <t>browser firefox147</t>
        </is>
      </c>
      <c r="D2611" s="2" t="n">
        <v>1901</v>
      </c>
      <c r="E2611" s="2" t="n">
        <v>1901</v>
      </c>
      <c r="F2611" s="2" t="n">
        <v>1</v>
      </c>
      <c r="G2611" s="2" t="n">
        <v>1</v>
      </c>
      <c r="H2611" s="2" t="n">
        <v>0</v>
      </c>
      <c r="I2611" s="2" t="n">
        <v>0</v>
      </c>
    </row>
    <row r="2612">
      <c r="A2612" s="2" t="n">
        <v>2610</v>
      </c>
      <c r="B2612" s="2" t="inlineStr">
        <is>
          <t>truncate</t>
        </is>
      </c>
      <c r="C2612" s="2" t="inlineStr">
        <is>
          <t>browser chrome150</t>
        </is>
      </c>
      <c r="D2612" s="2" t="n">
        <v>431</v>
      </c>
      <c r="E2612" s="2" t="n">
        <v>431</v>
      </c>
      <c r="F2612" s="2" t="n">
        <v>1</v>
      </c>
      <c r="G2612" s="2" t="n">
        <v>1</v>
      </c>
      <c r="H2612" s="2" t="n">
        <v>1</v>
      </c>
      <c r="I2612" s="2" t="n">
        <v>0</v>
      </c>
    </row>
    <row r="2613">
      <c r="A2613" s="2" t="n">
        <v>2611</v>
      </c>
      <c r="B2613" s="2" t="inlineStr">
        <is>
          <t>length</t>
        </is>
      </c>
      <c r="C2613" s="2" t="inlineStr">
        <is>
          <t>openssl 3.5.8 default</t>
        </is>
      </c>
      <c r="D2613" s="2" t="n">
        <v>1548</v>
      </c>
      <c r="E2613" s="2" t="n">
        <v>1548</v>
      </c>
      <c r="F2613" s="2" t="n">
        <v>1</v>
      </c>
      <c r="G2613" s="2" t="n">
        <v>1</v>
      </c>
      <c r="H2613" s="2" t="n">
        <v>1</v>
      </c>
      <c r="I2613" s="2" t="n">
        <v>0</v>
      </c>
    </row>
    <row r="2614">
      <c r="A2614" s="2" t="n">
        <v>2612</v>
      </c>
      <c r="B2614" s="2" t="inlineStr">
        <is>
          <t>insert</t>
        </is>
      </c>
      <c r="C2614" s="2" t="inlineStr">
        <is>
          <t>openssl 3.5.8 default</t>
        </is>
      </c>
      <c r="D2614" s="2" t="n">
        <v>1554</v>
      </c>
      <c r="E2614" s="2" t="n">
        <v>1554</v>
      </c>
      <c r="F2614" s="2" t="n">
        <v>1</v>
      </c>
      <c r="G2614" s="2" t="n">
        <v>1</v>
      </c>
      <c r="H2614" s="2" t="n">
        <v>1</v>
      </c>
      <c r="I2614" s="2" t="n">
        <v>0</v>
      </c>
    </row>
    <row r="2615">
      <c r="A2615" s="2" t="n">
        <v>2613</v>
      </c>
      <c r="B2615" s="2" t="inlineStr">
        <is>
          <t>flip</t>
        </is>
      </c>
      <c r="C2615" s="2" t="inlineStr">
        <is>
          <t>openssl X25519 only (classical)</t>
        </is>
      </c>
      <c r="D2615" s="2" t="n">
        <v>314</v>
      </c>
      <c r="E2615" s="2" t="n">
        <v>314</v>
      </c>
      <c r="F2615" s="2" t="n">
        <v>1</v>
      </c>
      <c r="G2615" s="2" t="n">
        <v>1</v>
      </c>
      <c r="H2615" s="2" t="n">
        <v>1</v>
      </c>
      <c r="I2615" s="2" t="n">
        <v>0</v>
      </c>
    </row>
    <row r="2616">
      <c r="A2616" s="2" t="n">
        <v>2614</v>
      </c>
      <c r="B2616" s="2" t="inlineStr">
        <is>
          <t>truncate</t>
        </is>
      </c>
      <c r="C2616" s="2" t="inlineStr">
        <is>
          <t>browser chrome150</t>
        </is>
      </c>
      <c r="D2616" s="2" t="n">
        <v>300</v>
      </c>
      <c r="E2616" s="2" t="n">
        <v>300</v>
      </c>
      <c r="F2616" s="2" t="n">
        <v>1</v>
      </c>
      <c r="G2616" s="2" t="n">
        <v>1</v>
      </c>
      <c r="H2616" s="2" t="n">
        <v>1</v>
      </c>
      <c r="I2616" s="2" t="n">
        <v>0</v>
      </c>
    </row>
    <row r="2617">
      <c r="A2617" s="2" t="n">
        <v>2615</v>
      </c>
      <c r="B2617" s="2" t="inlineStr">
        <is>
          <t>length</t>
        </is>
      </c>
      <c r="C2617" s="2" t="inlineStr">
        <is>
          <t>browser chrome150</t>
        </is>
      </c>
      <c r="D2617" s="2" t="n">
        <v>1763</v>
      </c>
      <c r="E2617" s="2" t="n">
        <v>1763</v>
      </c>
      <c r="F2617" s="2" t="n">
        <v>1</v>
      </c>
      <c r="G2617" s="2" t="n">
        <v>0</v>
      </c>
      <c r="H2617" s="2" t="n">
        <v>0</v>
      </c>
      <c r="I2617" s="2" t="n">
        <v>0</v>
      </c>
    </row>
    <row r="2618">
      <c r="A2618" s="2" t="n">
        <v>2616</v>
      </c>
      <c r="B2618" s="2" t="inlineStr">
        <is>
          <t>insert</t>
        </is>
      </c>
      <c r="C2618" s="2" t="inlineStr">
        <is>
          <t>openssl TLS 1.2 only</t>
        </is>
      </c>
      <c r="D2618" s="2" t="n">
        <v>229</v>
      </c>
      <c r="E2618" s="2" t="n">
        <v>229</v>
      </c>
      <c r="F2618" s="2" t="n">
        <v>1</v>
      </c>
      <c r="G2618" s="2" t="n">
        <v>1</v>
      </c>
      <c r="H2618" s="2" t="n">
        <v>0</v>
      </c>
      <c r="I2618" s="2" t="n">
        <v>0</v>
      </c>
    </row>
    <row r="2619">
      <c r="A2619" s="2" t="n">
        <v>2617</v>
      </c>
      <c r="B2619" s="2" t="inlineStr">
        <is>
          <t>flip</t>
        </is>
      </c>
      <c r="C2619" s="2" t="inlineStr">
        <is>
          <t>browser firefox147</t>
        </is>
      </c>
      <c r="D2619" s="2" t="n">
        <v>1901</v>
      </c>
      <c r="E2619" s="2" t="n">
        <v>1901</v>
      </c>
      <c r="F2619" s="2" t="n">
        <v>1</v>
      </c>
      <c r="G2619" s="2" t="n">
        <v>1</v>
      </c>
      <c r="H2619" s="2" t="n">
        <v>0</v>
      </c>
      <c r="I2619" s="2" t="n">
        <v>0</v>
      </c>
    </row>
    <row r="2620">
      <c r="A2620" s="2" t="n">
        <v>2618</v>
      </c>
      <c r="B2620" s="2" t="inlineStr">
        <is>
          <t>truncate</t>
        </is>
      </c>
      <c r="C2620" s="2" t="inlineStr">
        <is>
          <t>openssl 3.5.8 default</t>
        </is>
      </c>
      <c r="D2620" s="2" t="n">
        <v>317</v>
      </c>
      <c r="E2620" s="2" t="n">
        <v>317</v>
      </c>
      <c r="F2620" s="2" t="n">
        <v>1</v>
      </c>
      <c r="G2620" s="2" t="n">
        <v>1</v>
      </c>
      <c r="H2620" s="2" t="n">
        <v>1</v>
      </c>
      <c r="I2620" s="2" t="n">
        <v>0</v>
      </c>
    </row>
    <row r="2621">
      <c r="A2621" s="2" t="n">
        <v>2619</v>
      </c>
      <c r="B2621" s="2" t="inlineStr">
        <is>
          <t>length</t>
        </is>
      </c>
      <c r="C2621" s="2" t="inlineStr">
        <is>
          <t>openssl TLS 1.2 only</t>
        </is>
      </c>
      <c r="D2621" s="2" t="n">
        <v>215</v>
      </c>
      <c r="E2621" s="2" t="n">
        <v>215</v>
      </c>
      <c r="F2621" s="2" t="n">
        <v>0</v>
      </c>
      <c r="G2621" s="2" t="n">
        <v>0</v>
      </c>
      <c r="H2621" s="2" t="n">
        <v>0</v>
      </c>
      <c r="I2621" s="2" t="n">
        <v>0</v>
      </c>
    </row>
    <row r="2622">
      <c r="A2622" s="2" t="n">
        <v>2620</v>
      </c>
      <c r="B2622" s="2" t="inlineStr">
        <is>
          <t>insert</t>
        </is>
      </c>
      <c r="C2622" s="2" t="inlineStr">
        <is>
          <t>browser chrome150</t>
        </is>
      </c>
      <c r="D2622" s="2" t="n">
        <v>1767</v>
      </c>
      <c r="E2622" s="2" t="n">
        <v>1767</v>
      </c>
      <c r="F2622" s="2" t="n">
        <v>1</v>
      </c>
      <c r="G2622" s="2" t="n">
        <v>1</v>
      </c>
      <c r="H2622" s="2" t="n">
        <v>1</v>
      </c>
      <c r="I2622" s="2" t="n">
        <v>0</v>
      </c>
    </row>
    <row r="2623">
      <c r="A2623" s="2" t="n">
        <v>2621</v>
      </c>
      <c r="B2623" s="2" t="inlineStr">
        <is>
          <t>flip</t>
        </is>
      </c>
      <c r="C2623" s="2" t="inlineStr">
        <is>
          <t>browser firefox147</t>
        </is>
      </c>
      <c r="D2623" s="2" t="n">
        <v>1901</v>
      </c>
      <c r="E2623" s="2" t="n">
        <v>1901</v>
      </c>
      <c r="F2623" s="2" t="n">
        <v>1</v>
      </c>
      <c r="G2623" s="2" t="n">
        <v>1</v>
      </c>
      <c r="H2623" s="2" t="n">
        <v>0</v>
      </c>
      <c r="I2623" s="2" t="n">
        <v>0</v>
      </c>
    </row>
    <row r="2624">
      <c r="A2624" s="2" t="n">
        <v>2622</v>
      </c>
      <c r="B2624" s="2" t="inlineStr">
        <is>
          <t>truncate</t>
        </is>
      </c>
      <c r="C2624" s="2" t="inlineStr">
        <is>
          <t>openssl 3.5.8 default</t>
        </is>
      </c>
      <c r="D2624" s="2" t="n">
        <v>676</v>
      </c>
      <c r="E2624" s="2" t="n">
        <v>676</v>
      </c>
      <c r="F2624" s="2" t="n">
        <v>1</v>
      </c>
      <c r="G2624" s="2" t="n">
        <v>1</v>
      </c>
      <c r="H2624" s="2" t="n">
        <v>1</v>
      </c>
      <c r="I2624" s="2" t="n">
        <v>0</v>
      </c>
    </row>
    <row r="2625">
      <c r="A2625" s="2" t="n">
        <v>2623</v>
      </c>
      <c r="B2625" s="2" t="inlineStr">
        <is>
          <t>length</t>
        </is>
      </c>
      <c r="C2625" s="2" t="inlineStr">
        <is>
          <t>openssl 3.5.8 default</t>
        </is>
      </c>
      <c r="D2625" s="2" t="n">
        <v>1548</v>
      </c>
      <c r="E2625" s="2" t="n">
        <v>1548</v>
      </c>
      <c r="F2625" s="2" t="n">
        <v>1</v>
      </c>
      <c r="G2625" s="2" t="n">
        <v>1</v>
      </c>
      <c r="H2625" s="2" t="n">
        <v>1</v>
      </c>
      <c r="I2625" s="2" t="n">
        <v>0</v>
      </c>
    </row>
    <row r="2626">
      <c r="A2626" s="2" t="n">
        <v>2624</v>
      </c>
      <c r="B2626" s="2" t="inlineStr">
        <is>
          <t>insert</t>
        </is>
      </c>
      <c r="C2626" s="2" t="inlineStr">
        <is>
          <t>openssl X25519 only (classical)</t>
        </is>
      </c>
      <c r="D2626" s="2" t="n">
        <v>316</v>
      </c>
      <c r="E2626" s="2" t="n">
        <v>316</v>
      </c>
      <c r="F2626" s="2" t="n">
        <v>1</v>
      </c>
      <c r="G2626" s="2" t="n">
        <v>1</v>
      </c>
      <c r="H2626" s="2" t="n">
        <v>1</v>
      </c>
      <c r="I2626" s="2" t="n">
        <v>0</v>
      </c>
    </row>
    <row r="2627">
      <c r="A2627" s="2" t="n">
        <v>2625</v>
      </c>
      <c r="B2627" s="2" t="inlineStr">
        <is>
          <t>flip</t>
        </is>
      </c>
      <c r="C2627" s="2" t="inlineStr">
        <is>
          <t>browser chrome150</t>
        </is>
      </c>
      <c r="D2627" s="2" t="n">
        <v>1763</v>
      </c>
      <c r="E2627" s="2" t="n">
        <v>1763</v>
      </c>
      <c r="F2627" s="2" t="n">
        <v>1</v>
      </c>
      <c r="G2627" s="2" t="n">
        <v>1</v>
      </c>
      <c r="H2627" s="2" t="n">
        <v>1</v>
      </c>
      <c r="I2627" s="2" t="n">
        <v>0</v>
      </c>
    </row>
    <row r="2628">
      <c r="A2628" s="2" t="n">
        <v>2626</v>
      </c>
      <c r="B2628" s="2" t="inlineStr">
        <is>
          <t>truncate</t>
        </is>
      </c>
      <c r="C2628" s="2" t="inlineStr">
        <is>
          <t>openssl TLS 1.2 only</t>
        </is>
      </c>
      <c r="D2628" s="2" t="n">
        <v>170</v>
      </c>
      <c r="E2628" s="2" t="n">
        <v>170</v>
      </c>
      <c r="F2628" s="2" t="n">
        <v>1</v>
      </c>
      <c r="G2628" s="2" t="n">
        <v>1</v>
      </c>
      <c r="H2628" s="2" t="n">
        <v>0</v>
      </c>
      <c r="I2628" s="2" t="n">
        <v>0</v>
      </c>
    </row>
    <row r="2629">
      <c r="A2629" s="2" t="n">
        <v>2627</v>
      </c>
      <c r="B2629" s="2" t="inlineStr">
        <is>
          <t>length</t>
        </is>
      </c>
      <c r="C2629" s="2" t="inlineStr">
        <is>
          <t>openssl TLS 1.2 only</t>
        </is>
      </c>
      <c r="D2629" s="2" t="n">
        <v>215</v>
      </c>
      <c r="E2629" s="2" t="n">
        <v>215</v>
      </c>
      <c r="F2629" s="2" t="n">
        <v>1</v>
      </c>
      <c r="G2629" s="2" t="n">
        <v>0</v>
      </c>
      <c r="H2629" s="2" t="n">
        <v>0</v>
      </c>
      <c r="I2629" s="2" t="n">
        <v>0</v>
      </c>
    </row>
    <row r="2630">
      <c r="A2630" s="2" t="n">
        <v>2628</v>
      </c>
      <c r="B2630" s="2" t="inlineStr">
        <is>
          <t>insert</t>
        </is>
      </c>
      <c r="C2630" s="2" t="inlineStr">
        <is>
          <t>openssl 3.5.8 default</t>
        </is>
      </c>
      <c r="D2630" s="2" t="n">
        <v>1563</v>
      </c>
      <c r="E2630" s="2" t="n">
        <v>1563</v>
      </c>
      <c r="F2630" s="2" t="n">
        <v>1</v>
      </c>
      <c r="G2630" s="2" t="n">
        <v>1</v>
      </c>
      <c r="H2630" s="2" t="n">
        <v>1</v>
      </c>
      <c r="I2630" s="2" t="n">
        <v>0</v>
      </c>
    </row>
    <row r="2631">
      <c r="A2631" s="2" t="n">
        <v>2629</v>
      </c>
      <c r="B2631" s="2" t="inlineStr">
        <is>
          <t>flip</t>
        </is>
      </c>
      <c r="C2631" s="2" t="inlineStr">
        <is>
          <t>openssl X25519 only (classical)</t>
        </is>
      </c>
      <c r="D2631" s="2" t="n">
        <v>314</v>
      </c>
      <c r="E2631" s="2" t="n">
        <v>314</v>
      </c>
      <c r="F2631" s="2" t="n">
        <v>1</v>
      </c>
      <c r="G2631" s="2" t="n">
        <v>1</v>
      </c>
      <c r="H2631" s="2" t="n">
        <v>1</v>
      </c>
      <c r="I2631" s="2" t="n">
        <v>0</v>
      </c>
    </row>
    <row r="2632">
      <c r="A2632" s="2" t="n">
        <v>2630</v>
      </c>
      <c r="B2632" s="2" t="inlineStr">
        <is>
          <t>truncate</t>
        </is>
      </c>
      <c r="C2632" s="2" t="inlineStr">
        <is>
          <t>openssl X25519 only (classical)</t>
        </is>
      </c>
      <c r="D2632" s="2" t="n">
        <v>49</v>
      </c>
      <c r="E2632" s="2" t="n">
        <v>49</v>
      </c>
      <c r="F2632" s="2" t="n">
        <v>1</v>
      </c>
      <c r="G2632" s="2" t="n">
        <v>0</v>
      </c>
      <c r="H2632" s="2" t="n">
        <v>0</v>
      </c>
      <c r="I2632" s="2" t="n">
        <v>0</v>
      </c>
    </row>
    <row r="2633">
      <c r="A2633" s="2" t="n">
        <v>2631</v>
      </c>
      <c r="B2633" s="2" t="inlineStr">
        <is>
          <t>length</t>
        </is>
      </c>
      <c r="C2633" s="2" t="inlineStr">
        <is>
          <t>openssl TLS 1.2 only</t>
        </is>
      </c>
      <c r="D2633" s="2" t="n">
        <v>215</v>
      </c>
      <c r="E2633" s="2" t="n">
        <v>215</v>
      </c>
      <c r="F2633" s="2" t="n">
        <v>1</v>
      </c>
      <c r="G2633" s="2" t="n">
        <v>1</v>
      </c>
      <c r="H2633" s="2" t="n">
        <v>1</v>
      </c>
      <c r="I2633" s="2" t="n">
        <v>0</v>
      </c>
    </row>
    <row r="2634">
      <c r="A2634" s="2" t="n">
        <v>2632</v>
      </c>
      <c r="B2634" s="2" t="inlineStr">
        <is>
          <t>insert</t>
        </is>
      </c>
      <c r="C2634" s="2" t="inlineStr">
        <is>
          <t>openssl TLS 1.2 only</t>
        </is>
      </c>
      <c r="D2634" s="2" t="n">
        <v>216</v>
      </c>
      <c r="E2634" s="2" t="n">
        <v>216</v>
      </c>
      <c r="F2634" s="2" t="n">
        <v>1</v>
      </c>
      <c r="G2634" s="2" t="n">
        <v>1</v>
      </c>
      <c r="H2634" s="2" t="n">
        <v>1</v>
      </c>
      <c r="I2634" s="2" t="n">
        <v>0</v>
      </c>
    </row>
    <row r="2635">
      <c r="A2635" s="2" t="n">
        <v>2633</v>
      </c>
      <c r="B2635" s="2" t="inlineStr">
        <is>
          <t>flip</t>
        </is>
      </c>
      <c r="C2635" s="2" t="inlineStr">
        <is>
          <t>browser firefox147</t>
        </is>
      </c>
      <c r="D2635" s="2" t="n">
        <v>1901</v>
      </c>
      <c r="E2635" s="2" t="n">
        <v>1901</v>
      </c>
      <c r="F2635" s="2" t="n">
        <v>1</v>
      </c>
      <c r="G2635" s="2" t="n">
        <v>1</v>
      </c>
      <c r="H2635" s="2" t="n">
        <v>0</v>
      </c>
      <c r="I2635" s="2" t="n">
        <v>0</v>
      </c>
    </row>
    <row r="2636">
      <c r="A2636" s="2" t="n">
        <v>2634</v>
      </c>
      <c r="B2636" s="2" t="inlineStr">
        <is>
          <t>truncate</t>
        </is>
      </c>
      <c r="C2636" s="2" t="inlineStr">
        <is>
          <t>browser chrome150</t>
        </is>
      </c>
      <c r="D2636" s="2" t="n">
        <v>276</v>
      </c>
      <c r="E2636" s="2" t="n">
        <v>276</v>
      </c>
      <c r="F2636" s="2" t="n">
        <v>1</v>
      </c>
      <c r="G2636" s="2" t="n">
        <v>1</v>
      </c>
      <c r="H2636" s="2" t="n">
        <v>1</v>
      </c>
      <c r="I2636" s="2" t="n">
        <v>0</v>
      </c>
    </row>
    <row r="2637">
      <c r="A2637" s="2" t="n">
        <v>2635</v>
      </c>
      <c r="B2637" s="2" t="inlineStr">
        <is>
          <t>length</t>
        </is>
      </c>
      <c r="C2637" s="2" t="inlineStr">
        <is>
          <t>openssl 3.5.8 default</t>
        </is>
      </c>
      <c r="D2637" s="2" t="n">
        <v>1548</v>
      </c>
      <c r="E2637" s="2" t="n">
        <v>1548</v>
      </c>
      <c r="F2637" s="2" t="n">
        <v>1</v>
      </c>
      <c r="G2637" s="2" t="n">
        <v>1</v>
      </c>
      <c r="H2637" s="2" t="n">
        <v>1</v>
      </c>
      <c r="I2637" s="2" t="n">
        <v>0</v>
      </c>
    </row>
    <row r="2638">
      <c r="A2638" s="2" t="n">
        <v>2636</v>
      </c>
      <c r="B2638" s="2" t="inlineStr">
        <is>
          <t>insert</t>
        </is>
      </c>
      <c r="C2638" s="2" t="inlineStr">
        <is>
          <t>browser chrome150</t>
        </is>
      </c>
      <c r="D2638" s="2" t="n">
        <v>1778</v>
      </c>
      <c r="E2638" s="2" t="n">
        <v>1778</v>
      </c>
      <c r="F2638" s="2" t="n">
        <v>1</v>
      </c>
      <c r="G2638" s="2" t="n">
        <v>1</v>
      </c>
      <c r="H2638" s="2" t="n">
        <v>1</v>
      </c>
      <c r="I2638" s="2" t="n">
        <v>0</v>
      </c>
    </row>
    <row r="2639">
      <c r="A2639" s="2" t="n">
        <v>2637</v>
      </c>
      <c r="B2639" s="2" t="inlineStr">
        <is>
          <t>flip</t>
        </is>
      </c>
      <c r="C2639" s="2" t="inlineStr">
        <is>
          <t>openssl X25519 only (classical)</t>
        </is>
      </c>
      <c r="D2639" s="2" t="n">
        <v>314</v>
      </c>
      <c r="E2639" s="2" t="n">
        <v>314</v>
      </c>
      <c r="F2639" s="2" t="n">
        <v>1</v>
      </c>
      <c r="G2639" s="2" t="n">
        <v>1</v>
      </c>
      <c r="H2639" s="2" t="n">
        <v>1</v>
      </c>
      <c r="I2639" s="2" t="n">
        <v>0</v>
      </c>
    </row>
    <row r="2640">
      <c r="A2640" s="2" t="n">
        <v>2638</v>
      </c>
      <c r="B2640" s="2" t="inlineStr">
        <is>
          <t>truncate</t>
        </is>
      </c>
      <c r="C2640" s="2" t="inlineStr">
        <is>
          <t>openssl TLS 1.2 only</t>
        </is>
      </c>
      <c r="D2640" s="2" t="n">
        <v>9</v>
      </c>
      <c r="E2640" s="2" t="n">
        <v>9</v>
      </c>
      <c r="F2640" s="2" t="n">
        <v>1</v>
      </c>
      <c r="G2640" s="2" t="n">
        <v>0</v>
      </c>
      <c r="H2640" s="2" t="n">
        <v>0</v>
      </c>
      <c r="I2640" s="2" t="n">
        <v>0</v>
      </c>
    </row>
    <row r="2641">
      <c r="A2641" s="2" t="n">
        <v>2639</v>
      </c>
      <c r="B2641" s="2" t="inlineStr">
        <is>
          <t>length</t>
        </is>
      </c>
      <c r="C2641" s="2" t="inlineStr">
        <is>
          <t>openssl TLS 1.2 only</t>
        </is>
      </c>
      <c r="D2641" s="2" t="n">
        <v>215</v>
      </c>
      <c r="E2641" s="2" t="n">
        <v>215</v>
      </c>
      <c r="F2641" s="2" t="n">
        <v>1</v>
      </c>
      <c r="G2641" s="2" t="n">
        <v>1</v>
      </c>
      <c r="H2641" s="2" t="n">
        <v>0</v>
      </c>
      <c r="I2641" s="2" t="n">
        <v>0</v>
      </c>
    </row>
    <row r="2642">
      <c r="A2642" s="2" t="n">
        <v>2640</v>
      </c>
      <c r="B2642" s="2" t="inlineStr">
        <is>
          <t>insert</t>
        </is>
      </c>
      <c r="C2642" s="2" t="inlineStr">
        <is>
          <t>browser firefox147</t>
        </is>
      </c>
      <c r="D2642" s="2" t="n">
        <v>1907</v>
      </c>
      <c r="E2642" s="2" t="n">
        <v>1907</v>
      </c>
      <c r="F2642" s="2" t="n">
        <v>1</v>
      </c>
      <c r="G2642" s="2" t="n">
        <v>1</v>
      </c>
      <c r="H2642" s="2" t="n">
        <v>0</v>
      </c>
      <c r="I2642" s="2" t="n">
        <v>0</v>
      </c>
    </row>
    <row r="2643">
      <c r="A2643" s="2" t="n">
        <v>2641</v>
      </c>
      <c r="B2643" s="2" t="inlineStr">
        <is>
          <t>flip</t>
        </is>
      </c>
      <c r="C2643" s="2" t="inlineStr">
        <is>
          <t>browser firefox147</t>
        </is>
      </c>
      <c r="D2643" s="2" t="n">
        <v>1901</v>
      </c>
      <c r="E2643" s="2" t="n">
        <v>1901</v>
      </c>
      <c r="F2643" s="2" t="n">
        <v>0</v>
      </c>
      <c r="G2643" s="2" t="n">
        <v>0</v>
      </c>
      <c r="H2643" s="2" t="n">
        <v>0</v>
      </c>
      <c r="I2643" s="2" t="n">
        <v>0</v>
      </c>
    </row>
    <row r="2644">
      <c r="A2644" s="2" t="n">
        <v>2642</v>
      </c>
      <c r="B2644" s="2" t="inlineStr">
        <is>
          <t>truncate</t>
        </is>
      </c>
      <c r="C2644" s="2" t="inlineStr">
        <is>
          <t>browser chrome150</t>
        </is>
      </c>
      <c r="D2644" s="2" t="n">
        <v>911</v>
      </c>
      <c r="E2644" s="2" t="n">
        <v>911</v>
      </c>
      <c r="F2644" s="2" t="n">
        <v>1</v>
      </c>
      <c r="G2644" s="2" t="n">
        <v>1</v>
      </c>
      <c r="H2644" s="2" t="n">
        <v>1</v>
      </c>
      <c r="I2644" s="2" t="n">
        <v>0</v>
      </c>
    </row>
    <row r="2645">
      <c r="A2645" s="2" t="n">
        <v>2643</v>
      </c>
      <c r="B2645" s="2" t="inlineStr">
        <is>
          <t>length</t>
        </is>
      </c>
      <c r="C2645" s="2" t="inlineStr">
        <is>
          <t>openssl 3.5.8 default</t>
        </is>
      </c>
      <c r="D2645" s="2" t="n">
        <v>1548</v>
      </c>
      <c r="E2645" s="2" t="n">
        <v>1548</v>
      </c>
      <c r="F2645" s="2" t="n">
        <v>1</v>
      </c>
      <c r="G2645" s="2" t="n">
        <v>1</v>
      </c>
      <c r="H2645" s="2" t="n">
        <v>1</v>
      </c>
      <c r="I2645" s="2" t="n">
        <v>0</v>
      </c>
    </row>
    <row r="2646">
      <c r="A2646" s="2" t="n">
        <v>2644</v>
      </c>
      <c r="B2646" s="2" t="inlineStr">
        <is>
          <t>insert</t>
        </is>
      </c>
      <c r="C2646" s="2" t="inlineStr">
        <is>
          <t>browser firefox147</t>
        </is>
      </c>
      <c r="D2646" s="2" t="n">
        <v>1916</v>
      </c>
      <c r="E2646" s="2" t="n">
        <v>1916</v>
      </c>
      <c r="F2646" s="2" t="n">
        <v>1</v>
      </c>
      <c r="G2646" s="2" t="n">
        <v>1</v>
      </c>
      <c r="H2646" s="2" t="n">
        <v>0</v>
      </c>
      <c r="I2646" s="2" t="n">
        <v>0</v>
      </c>
    </row>
    <row r="2647">
      <c r="A2647" s="2" t="n">
        <v>2645</v>
      </c>
      <c r="B2647" s="2" t="inlineStr">
        <is>
          <t>flip</t>
        </is>
      </c>
      <c r="C2647" s="2" t="inlineStr">
        <is>
          <t>openssl X25519 only (classical)</t>
        </is>
      </c>
      <c r="D2647" s="2" t="n">
        <v>314</v>
      </c>
      <c r="E2647" s="2" t="n">
        <v>314</v>
      </c>
      <c r="F2647" s="2" t="n">
        <v>1</v>
      </c>
      <c r="G2647" s="2" t="n">
        <v>1</v>
      </c>
      <c r="H2647" s="2" t="n">
        <v>1</v>
      </c>
      <c r="I2647" s="2" t="n">
        <v>0</v>
      </c>
    </row>
    <row r="2648">
      <c r="A2648" s="2" t="n">
        <v>2646</v>
      </c>
      <c r="B2648" s="2" t="inlineStr">
        <is>
          <t>truncate</t>
        </is>
      </c>
      <c r="C2648" s="2" t="inlineStr">
        <is>
          <t>openssl TLS 1.2 only</t>
        </is>
      </c>
      <c r="D2648" s="2" t="n">
        <v>134</v>
      </c>
      <c r="E2648" s="2" t="n">
        <v>134</v>
      </c>
      <c r="F2648" s="2" t="n">
        <v>1</v>
      </c>
      <c r="G2648" s="2" t="n">
        <v>1</v>
      </c>
      <c r="H2648" s="2" t="n">
        <v>0</v>
      </c>
      <c r="I2648" s="2" t="n">
        <v>0</v>
      </c>
    </row>
    <row r="2649">
      <c r="A2649" s="2" t="n">
        <v>2647</v>
      </c>
      <c r="B2649" s="2" t="inlineStr">
        <is>
          <t>length</t>
        </is>
      </c>
      <c r="C2649" s="2" t="inlineStr">
        <is>
          <t>browser firefox147</t>
        </is>
      </c>
      <c r="D2649" s="2" t="n">
        <v>1901</v>
      </c>
      <c r="E2649" s="2" t="n">
        <v>1901</v>
      </c>
      <c r="F2649" s="2" t="n">
        <v>1</v>
      </c>
      <c r="G2649" s="2" t="n">
        <v>0</v>
      </c>
      <c r="H2649" s="2" t="n">
        <v>0</v>
      </c>
      <c r="I2649" s="2" t="n">
        <v>0</v>
      </c>
    </row>
    <row r="2650">
      <c r="A2650" s="2" t="n">
        <v>2648</v>
      </c>
      <c r="B2650" s="2" t="inlineStr">
        <is>
          <t>insert</t>
        </is>
      </c>
      <c r="C2650" s="2" t="inlineStr">
        <is>
          <t>browser chrome150</t>
        </is>
      </c>
      <c r="D2650" s="2" t="n">
        <v>1769</v>
      </c>
      <c r="E2650" s="2" t="n">
        <v>1769</v>
      </c>
      <c r="F2650" s="2" t="n">
        <v>1</v>
      </c>
      <c r="G2650" s="2" t="n">
        <v>1</v>
      </c>
      <c r="H2650" s="2" t="n">
        <v>1</v>
      </c>
      <c r="I2650" s="2" t="n">
        <v>0</v>
      </c>
    </row>
    <row r="2651">
      <c r="A2651" s="2" t="n">
        <v>2649</v>
      </c>
      <c r="B2651" s="2" t="inlineStr">
        <is>
          <t>flip</t>
        </is>
      </c>
      <c r="C2651" s="2" t="inlineStr">
        <is>
          <t>browser firefox147</t>
        </is>
      </c>
      <c r="D2651" s="2" t="n">
        <v>1901</v>
      </c>
      <c r="E2651" s="2" t="n">
        <v>1901</v>
      </c>
      <c r="F2651" s="2" t="n">
        <v>1</v>
      </c>
      <c r="G2651" s="2" t="n">
        <v>1</v>
      </c>
      <c r="H2651" s="2" t="n">
        <v>0</v>
      </c>
      <c r="I2651" s="2" t="n">
        <v>0</v>
      </c>
    </row>
    <row r="2652">
      <c r="A2652" s="2" t="n">
        <v>2650</v>
      </c>
      <c r="B2652" s="2" t="inlineStr">
        <is>
          <t>truncate</t>
        </is>
      </c>
      <c r="C2652" s="2" t="inlineStr">
        <is>
          <t>browser chrome150</t>
        </is>
      </c>
      <c r="D2652" s="2" t="n">
        <v>354</v>
      </c>
      <c r="E2652" s="2" t="n">
        <v>354</v>
      </c>
      <c r="F2652" s="2" t="n">
        <v>1</v>
      </c>
      <c r="G2652" s="2" t="n">
        <v>1</v>
      </c>
      <c r="H2652" s="2" t="n">
        <v>1</v>
      </c>
      <c r="I2652" s="2" t="n">
        <v>0</v>
      </c>
    </row>
    <row r="2653">
      <c r="A2653" s="2" t="n">
        <v>2651</v>
      </c>
      <c r="B2653" s="2" t="inlineStr">
        <is>
          <t>length</t>
        </is>
      </c>
      <c r="C2653" s="2" t="inlineStr">
        <is>
          <t>browser chrome150</t>
        </is>
      </c>
      <c r="D2653" s="2" t="n">
        <v>1763</v>
      </c>
      <c r="E2653" s="2" t="n">
        <v>1763</v>
      </c>
      <c r="F2653" s="2" t="n">
        <v>1</v>
      </c>
      <c r="G2653" s="2" t="n">
        <v>1</v>
      </c>
      <c r="H2653" s="2" t="n">
        <v>1</v>
      </c>
      <c r="I2653" s="2" t="n">
        <v>0</v>
      </c>
    </row>
    <row r="2654">
      <c r="A2654" s="2" t="n">
        <v>2652</v>
      </c>
      <c r="B2654" s="2" t="inlineStr">
        <is>
          <t>insert</t>
        </is>
      </c>
      <c r="C2654" s="2" t="inlineStr">
        <is>
          <t>openssl X25519 only (classical)</t>
        </is>
      </c>
      <c r="D2654" s="2" t="n">
        <v>321</v>
      </c>
      <c r="E2654" s="2" t="n">
        <v>321</v>
      </c>
      <c r="F2654" s="2" t="n">
        <v>1</v>
      </c>
      <c r="G2654" s="2" t="n">
        <v>1</v>
      </c>
      <c r="H2654" s="2" t="n">
        <v>1</v>
      </c>
      <c r="I2654" s="2" t="n">
        <v>0</v>
      </c>
    </row>
    <row r="2655">
      <c r="A2655" s="2" t="n">
        <v>2653</v>
      </c>
      <c r="B2655" s="2" t="inlineStr">
        <is>
          <t>flip</t>
        </is>
      </c>
      <c r="C2655" s="2" t="inlineStr">
        <is>
          <t>openssl TLS 1.2 only</t>
        </is>
      </c>
      <c r="D2655" s="2" t="n">
        <v>215</v>
      </c>
      <c r="E2655" s="2" t="n">
        <v>215</v>
      </c>
      <c r="F2655" s="2" t="n">
        <v>1</v>
      </c>
      <c r="G2655" s="2" t="n">
        <v>1</v>
      </c>
      <c r="H2655" s="2" t="n">
        <v>1</v>
      </c>
      <c r="I2655" s="2" t="n">
        <v>0</v>
      </c>
    </row>
    <row r="2656">
      <c r="A2656" s="2" t="n">
        <v>2654</v>
      </c>
      <c r="B2656" s="2" t="inlineStr">
        <is>
          <t>truncate</t>
        </is>
      </c>
      <c r="C2656" s="2" t="inlineStr">
        <is>
          <t>openssl X25519 only (classical)</t>
        </is>
      </c>
      <c r="D2656" s="2" t="n">
        <v>161</v>
      </c>
      <c r="E2656" s="2" t="n">
        <v>161</v>
      </c>
      <c r="F2656" s="2" t="n">
        <v>1</v>
      </c>
      <c r="G2656" s="2" t="n">
        <v>1</v>
      </c>
      <c r="H2656" s="2" t="n">
        <v>0</v>
      </c>
      <c r="I2656" s="2" t="n">
        <v>0</v>
      </c>
    </row>
    <row r="2657">
      <c r="A2657" s="2" t="n">
        <v>2655</v>
      </c>
      <c r="B2657" s="2" t="inlineStr">
        <is>
          <t>length</t>
        </is>
      </c>
      <c r="C2657" s="2" t="inlineStr">
        <is>
          <t>browser chrome150</t>
        </is>
      </c>
      <c r="D2657" s="2" t="n">
        <v>1763</v>
      </c>
      <c r="E2657" s="2" t="n">
        <v>1763</v>
      </c>
      <c r="F2657" s="2" t="n">
        <v>1</v>
      </c>
      <c r="G2657" s="2" t="n">
        <v>1</v>
      </c>
      <c r="H2657" s="2" t="n">
        <v>1</v>
      </c>
      <c r="I2657" s="2" t="n">
        <v>0</v>
      </c>
    </row>
    <row r="2658">
      <c r="A2658" s="2" t="n">
        <v>2656</v>
      </c>
      <c r="B2658" s="2" t="inlineStr">
        <is>
          <t>insert</t>
        </is>
      </c>
      <c r="C2658" s="2" t="inlineStr">
        <is>
          <t>browser firefox147</t>
        </is>
      </c>
      <c r="D2658" s="2" t="n">
        <v>1904</v>
      </c>
      <c r="E2658" s="2" t="n">
        <v>1904</v>
      </c>
      <c r="F2658" s="2" t="n">
        <v>1</v>
      </c>
      <c r="G2658" s="2" t="n">
        <v>1</v>
      </c>
      <c r="H2658" s="2" t="n">
        <v>0</v>
      </c>
      <c r="I2658" s="2" t="n">
        <v>0</v>
      </c>
    </row>
    <row r="2659">
      <c r="A2659" s="2" t="n">
        <v>2657</v>
      </c>
      <c r="B2659" s="2" t="inlineStr">
        <is>
          <t>flip</t>
        </is>
      </c>
      <c r="C2659" s="2" t="inlineStr">
        <is>
          <t>openssl TLS 1.2 only</t>
        </is>
      </c>
      <c r="D2659" s="2" t="n">
        <v>215</v>
      </c>
      <c r="E2659" s="2" t="n">
        <v>215</v>
      </c>
      <c r="F2659" s="2" t="n">
        <v>1</v>
      </c>
      <c r="G2659" s="2" t="n">
        <v>1</v>
      </c>
      <c r="H2659" s="2" t="n">
        <v>1</v>
      </c>
      <c r="I2659" s="2" t="n">
        <v>0</v>
      </c>
    </row>
    <row r="2660">
      <c r="A2660" s="2" t="n">
        <v>2658</v>
      </c>
      <c r="B2660" s="2" t="inlineStr">
        <is>
          <t>truncate</t>
        </is>
      </c>
      <c r="C2660" s="2" t="inlineStr">
        <is>
          <t>browser chrome150</t>
        </is>
      </c>
      <c r="D2660" s="2" t="n">
        <v>618</v>
      </c>
      <c r="E2660" s="2" t="n">
        <v>618</v>
      </c>
      <c r="F2660" s="2" t="n">
        <v>1</v>
      </c>
      <c r="G2660" s="2" t="n">
        <v>1</v>
      </c>
      <c r="H2660" s="2" t="n">
        <v>1</v>
      </c>
      <c r="I2660" s="2" t="n">
        <v>0</v>
      </c>
    </row>
    <row r="2661">
      <c r="A2661" s="2" t="n">
        <v>2659</v>
      </c>
      <c r="B2661" s="2" t="inlineStr">
        <is>
          <t>length</t>
        </is>
      </c>
      <c r="C2661" s="2" t="inlineStr">
        <is>
          <t>openssl TLS 1.2 only</t>
        </is>
      </c>
      <c r="D2661" s="2" t="n">
        <v>215</v>
      </c>
      <c r="E2661" s="2" t="n">
        <v>215</v>
      </c>
      <c r="F2661" s="2" t="n">
        <v>1</v>
      </c>
      <c r="G2661" s="2" t="n">
        <v>1</v>
      </c>
      <c r="H2661" s="2" t="n">
        <v>1</v>
      </c>
      <c r="I2661" s="2" t="n">
        <v>0</v>
      </c>
    </row>
    <row r="2662">
      <c r="A2662" s="2" t="n">
        <v>2660</v>
      </c>
      <c r="B2662" s="2" t="inlineStr">
        <is>
          <t>insert</t>
        </is>
      </c>
      <c r="C2662" s="2" t="inlineStr">
        <is>
          <t>openssl X25519 only (classical)</t>
        </is>
      </c>
      <c r="D2662" s="2" t="n">
        <v>330</v>
      </c>
      <c r="E2662" s="2" t="n">
        <v>330</v>
      </c>
      <c r="F2662" s="2" t="n">
        <v>1</v>
      </c>
      <c r="G2662" s="2" t="n">
        <v>1</v>
      </c>
      <c r="H2662" s="2" t="n">
        <v>0</v>
      </c>
      <c r="I2662" s="2" t="n">
        <v>0</v>
      </c>
    </row>
    <row r="2663">
      <c r="A2663" s="2" t="n">
        <v>2661</v>
      </c>
      <c r="B2663" s="2" t="inlineStr">
        <is>
          <t>flip</t>
        </is>
      </c>
      <c r="C2663" s="2" t="inlineStr">
        <is>
          <t>browser chrome150</t>
        </is>
      </c>
      <c r="D2663" s="2" t="n">
        <v>1763</v>
      </c>
      <c r="E2663" s="2" t="n">
        <v>1763</v>
      </c>
      <c r="F2663" s="2" t="n">
        <v>1</v>
      </c>
      <c r="G2663" s="2" t="n">
        <v>1</v>
      </c>
      <c r="H2663" s="2" t="n">
        <v>1</v>
      </c>
      <c r="I2663" s="2" t="n">
        <v>0</v>
      </c>
    </row>
    <row r="2664">
      <c r="A2664" s="2" t="n">
        <v>2662</v>
      </c>
      <c r="B2664" s="2" t="inlineStr">
        <is>
          <t>truncate</t>
        </is>
      </c>
      <c r="C2664" s="2" t="inlineStr">
        <is>
          <t>browser firefox147</t>
        </is>
      </c>
      <c r="D2664" s="2" t="n">
        <v>764</v>
      </c>
      <c r="E2664" s="2" t="n">
        <v>764</v>
      </c>
      <c r="F2664" s="2" t="n">
        <v>1</v>
      </c>
      <c r="G2664" s="2" t="n">
        <v>1</v>
      </c>
      <c r="H2664" s="2" t="n">
        <v>0</v>
      </c>
      <c r="I2664" s="2" t="n">
        <v>0</v>
      </c>
    </row>
    <row r="2665">
      <c r="A2665" s="2" t="n">
        <v>2663</v>
      </c>
      <c r="B2665" s="2" t="inlineStr">
        <is>
          <t>length</t>
        </is>
      </c>
      <c r="C2665" s="2" t="inlineStr">
        <is>
          <t>browser firefox147</t>
        </is>
      </c>
      <c r="D2665" s="2" t="n">
        <v>1901</v>
      </c>
      <c r="E2665" s="2" t="n">
        <v>1901</v>
      </c>
      <c r="F2665" s="2" t="n">
        <v>1</v>
      </c>
      <c r="G2665" s="2" t="n">
        <v>1</v>
      </c>
      <c r="H2665" s="2" t="n">
        <v>1</v>
      </c>
      <c r="I2665" s="2" t="n">
        <v>0</v>
      </c>
    </row>
    <row r="2666">
      <c r="A2666" s="2" t="n">
        <v>2664</v>
      </c>
      <c r="B2666" s="2" t="inlineStr">
        <is>
          <t>insert</t>
        </is>
      </c>
      <c r="C2666" s="2" t="inlineStr">
        <is>
          <t>browser chrome150</t>
        </is>
      </c>
      <c r="D2666" s="2" t="n">
        <v>1767</v>
      </c>
      <c r="E2666" s="2" t="n">
        <v>1767</v>
      </c>
      <c r="F2666" s="2" t="n">
        <v>1</v>
      </c>
      <c r="G2666" s="2" t="n">
        <v>1</v>
      </c>
      <c r="H2666" s="2" t="n">
        <v>1</v>
      </c>
      <c r="I2666" s="2" t="n">
        <v>0</v>
      </c>
    </row>
    <row r="2667">
      <c r="A2667" s="2" t="n">
        <v>2665</v>
      </c>
      <c r="B2667" s="2" t="inlineStr">
        <is>
          <t>flip</t>
        </is>
      </c>
      <c r="C2667" s="2" t="inlineStr">
        <is>
          <t>browser firefox147</t>
        </is>
      </c>
      <c r="D2667" s="2" t="n">
        <v>1901</v>
      </c>
      <c r="E2667" s="2" t="n">
        <v>1901</v>
      </c>
      <c r="F2667" s="2" t="n">
        <v>1</v>
      </c>
      <c r="G2667" s="2" t="n">
        <v>1</v>
      </c>
      <c r="H2667" s="2" t="n">
        <v>0</v>
      </c>
      <c r="I2667" s="2" t="n">
        <v>0</v>
      </c>
    </row>
    <row r="2668">
      <c r="A2668" s="2" t="n">
        <v>2666</v>
      </c>
      <c r="B2668" s="2" t="inlineStr">
        <is>
          <t>truncate</t>
        </is>
      </c>
      <c r="C2668" s="2" t="inlineStr">
        <is>
          <t>openssl TLS 1.2 only</t>
        </is>
      </c>
      <c r="D2668" s="2" t="n">
        <v>63</v>
      </c>
      <c r="E2668" s="2" t="n">
        <v>63</v>
      </c>
      <c r="F2668" s="2" t="n">
        <v>1</v>
      </c>
      <c r="G2668" s="2" t="n">
        <v>0</v>
      </c>
      <c r="H2668" s="2" t="n">
        <v>0</v>
      </c>
      <c r="I2668" s="2" t="n">
        <v>0</v>
      </c>
    </row>
    <row r="2669">
      <c r="A2669" s="2" t="n">
        <v>2667</v>
      </c>
      <c r="B2669" s="2" t="inlineStr">
        <is>
          <t>length</t>
        </is>
      </c>
      <c r="C2669" s="2" t="inlineStr">
        <is>
          <t>openssl X25519 only (classical)</t>
        </is>
      </c>
      <c r="D2669" s="2" t="n">
        <v>314</v>
      </c>
      <c r="E2669" s="2" t="n">
        <v>314</v>
      </c>
      <c r="F2669" s="2" t="n">
        <v>1</v>
      </c>
      <c r="G2669" s="2" t="n">
        <v>1</v>
      </c>
      <c r="H2669" s="2" t="n">
        <v>1</v>
      </c>
      <c r="I2669" s="2" t="n">
        <v>0</v>
      </c>
    </row>
    <row r="2670">
      <c r="A2670" s="2" t="n">
        <v>2668</v>
      </c>
      <c r="B2670" s="2" t="inlineStr">
        <is>
          <t>insert</t>
        </is>
      </c>
      <c r="C2670" s="2" t="inlineStr">
        <is>
          <t>browser firefox147</t>
        </is>
      </c>
      <c r="D2670" s="2" t="n">
        <v>1917</v>
      </c>
      <c r="E2670" s="2" t="n">
        <v>1917</v>
      </c>
      <c r="F2670" s="2" t="n">
        <v>1</v>
      </c>
      <c r="G2670" s="2" t="n">
        <v>1</v>
      </c>
      <c r="H2670" s="2" t="n">
        <v>0</v>
      </c>
      <c r="I2670" s="2" t="n">
        <v>0</v>
      </c>
    </row>
    <row r="2671">
      <c r="A2671" s="2" t="n">
        <v>2669</v>
      </c>
      <c r="B2671" s="2" t="inlineStr">
        <is>
          <t>flip</t>
        </is>
      </c>
      <c r="C2671" s="2" t="inlineStr">
        <is>
          <t>openssl TLS 1.2 only</t>
        </is>
      </c>
      <c r="D2671" s="2" t="n">
        <v>215</v>
      </c>
      <c r="E2671" s="2" t="n">
        <v>215</v>
      </c>
      <c r="F2671" s="2" t="n">
        <v>1</v>
      </c>
      <c r="G2671" s="2" t="n">
        <v>1</v>
      </c>
      <c r="H2671" s="2" t="n">
        <v>1</v>
      </c>
      <c r="I2671" s="2" t="n">
        <v>0</v>
      </c>
    </row>
    <row r="2672">
      <c r="A2672" s="2" t="n">
        <v>2670</v>
      </c>
      <c r="B2672" s="2" t="inlineStr">
        <is>
          <t>truncate</t>
        </is>
      </c>
      <c r="C2672" s="2" t="inlineStr">
        <is>
          <t>openssl X25519 only (classical)</t>
        </is>
      </c>
      <c r="D2672" s="2" t="n">
        <v>145</v>
      </c>
      <c r="E2672" s="2" t="n">
        <v>145</v>
      </c>
      <c r="F2672" s="2" t="n">
        <v>1</v>
      </c>
      <c r="G2672" s="2" t="n">
        <v>1</v>
      </c>
      <c r="H2672" s="2" t="n">
        <v>0</v>
      </c>
      <c r="I2672" s="2" t="n">
        <v>0</v>
      </c>
    </row>
    <row r="2673">
      <c r="A2673" s="2" t="n">
        <v>2671</v>
      </c>
      <c r="B2673" s="2" t="inlineStr">
        <is>
          <t>length</t>
        </is>
      </c>
      <c r="C2673" s="2" t="inlineStr">
        <is>
          <t>openssl TLS 1.2 only</t>
        </is>
      </c>
      <c r="D2673" s="2" t="n">
        <v>215</v>
      </c>
      <c r="E2673" s="2" t="n">
        <v>215</v>
      </c>
      <c r="F2673" s="2" t="n">
        <v>1</v>
      </c>
      <c r="G2673" s="2" t="n">
        <v>1</v>
      </c>
      <c r="H2673" s="2" t="n">
        <v>0</v>
      </c>
      <c r="I2673" s="2" t="n">
        <v>0</v>
      </c>
    </row>
    <row r="2674">
      <c r="A2674" s="2" t="n">
        <v>2672</v>
      </c>
      <c r="B2674" s="2" t="inlineStr">
        <is>
          <t>insert</t>
        </is>
      </c>
      <c r="C2674" s="2" t="inlineStr">
        <is>
          <t>browser chrome150</t>
        </is>
      </c>
      <c r="D2674" s="2" t="n">
        <v>1766</v>
      </c>
      <c r="E2674" s="2" t="n">
        <v>1766</v>
      </c>
      <c r="F2674" s="2" t="n">
        <v>1</v>
      </c>
      <c r="G2674" s="2" t="n">
        <v>1</v>
      </c>
      <c r="H2674" s="2" t="n">
        <v>1</v>
      </c>
      <c r="I2674" s="2" t="n">
        <v>0</v>
      </c>
    </row>
    <row r="2675">
      <c r="A2675" s="2" t="n">
        <v>2673</v>
      </c>
      <c r="B2675" s="2" t="inlineStr">
        <is>
          <t>flip</t>
        </is>
      </c>
      <c r="C2675" s="2" t="inlineStr">
        <is>
          <t>openssl TLS 1.2 only</t>
        </is>
      </c>
      <c r="D2675" s="2" t="n">
        <v>215</v>
      </c>
      <c r="E2675" s="2" t="n">
        <v>215</v>
      </c>
      <c r="F2675" s="2" t="n">
        <v>0</v>
      </c>
      <c r="G2675" s="2" t="n">
        <v>0</v>
      </c>
      <c r="H2675" s="2" t="n">
        <v>0</v>
      </c>
      <c r="I2675" s="2" t="n">
        <v>0</v>
      </c>
    </row>
    <row r="2676">
      <c r="A2676" s="2" t="n">
        <v>2674</v>
      </c>
      <c r="B2676" s="2" t="inlineStr">
        <is>
          <t>truncate</t>
        </is>
      </c>
      <c r="C2676" s="2" t="inlineStr">
        <is>
          <t>browser firefox147</t>
        </is>
      </c>
      <c r="D2676" s="2" t="n">
        <v>1607</v>
      </c>
      <c r="E2676" s="2" t="n">
        <v>1607</v>
      </c>
      <c r="F2676" s="2" t="n">
        <v>1</v>
      </c>
      <c r="G2676" s="2" t="n">
        <v>1</v>
      </c>
      <c r="H2676" s="2" t="n">
        <v>0</v>
      </c>
      <c r="I2676" s="2" t="n">
        <v>0</v>
      </c>
    </row>
    <row r="2677">
      <c r="A2677" s="2" t="n">
        <v>2675</v>
      </c>
      <c r="B2677" s="2" t="inlineStr">
        <is>
          <t>length</t>
        </is>
      </c>
      <c r="C2677" s="2" t="inlineStr">
        <is>
          <t>openssl X25519 only (classical)</t>
        </is>
      </c>
      <c r="D2677" s="2" t="n">
        <v>314</v>
      </c>
      <c r="E2677" s="2" t="n">
        <v>314</v>
      </c>
      <c r="F2677" s="2" t="n">
        <v>0</v>
      </c>
      <c r="G2677" s="2" t="n">
        <v>0</v>
      </c>
      <c r="H2677" s="2" t="n">
        <v>0</v>
      </c>
      <c r="I2677" s="2" t="n">
        <v>0</v>
      </c>
    </row>
    <row r="2678">
      <c r="A2678" s="2" t="n">
        <v>2676</v>
      </c>
      <c r="B2678" s="2" t="inlineStr">
        <is>
          <t>insert</t>
        </is>
      </c>
      <c r="C2678" s="2" t="inlineStr">
        <is>
          <t>openssl 3.5.8 default</t>
        </is>
      </c>
      <c r="D2678" s="2" t="n">
        <v>1560</v>
      </c>
      <c r="E2678" s="2" t="n">
        <v>1560</v>
      </c>
      <c r="F2678" s="2" t="n">
        <v>1</v>
      </c>
      <c r="G2678" s="2" t="n">
        <v>1</v>
      </c>
      <c r="H2678" s="2" t="n">
        <v>1</v>
      </c>
      <c r="I2678" s="2" t="n">
        <v>0</v>
      </c>
    </row>
    <row r="2679">
      <c r="A2679" s="2" t="n">
        <v>2677</v>
      </c>
      <c r="B2679" s="2" t="inlineStr">
        <is>
          <t>flip</t>
        </is>
      </c>
      <c r="C2679" s="2" t="inlineStr">
        <is>
          <t>openssl 3.5.8 default</t>
        </is>
      </c>
      <c r="D2679" s="2" t="n">
        <v>1548</v>
      </c>
      <c r="E2679" s="2" t="n">
        <v>1548</v>
      </c>
      <c r="F2679" s="2" t="n">
        <v>1</v>
      </c>
      <c r="G2679" s="2" t="n">
        <v>1</v>
      </c>
      <c r="H2679" s="2" t="n">
        <v>1</v>
      </c>
      <c r="I2679" s="2" t="n">
        <v>0</v>
      </c>
    </row>
    <row r="2680">
      <c r="A2680" s="2" t="n">
        <v>2678</v>
      </c>
      <c r="B2680" s="2" t="inlineStr">
        <is>
          <t>truncate</t>
        </is>
      </c>
      <c r="C2680" s="2" t="inlineStr">
        <is>
          <t>openssl TLS 1.2 only</t>
        </is>
      </c>
      <c r="D2680" s="2" t="n">
        <v>72</v>
      </c>
      <c r="E2680" s="2" t="n">
        <v>72</v>
      </c>
      <c r="F2680" s="2" t="n">
        <v>1</v>
      </c>
      <c r="G2680" s="2" t="n">
        <v>0</v>
      </c>
      <c r="H2680" s="2" t="n">
        <v>0</v>
      </c>
      <c r="I2680" s="2" t="n">
        <v>0</v>
      </c>
    </row>
    <row r="2681">
      <c r="A2681" s="2" t="n">
        <v>2679</v>
      </c>
      <c r="B2681" s="2" t="inlineStr">
        <is>
          <t>length</t>
        </is>
      </c>
      <c r="C2681" s="2" t="inlineStr">
        <is>
          <t>browser chrome150</t>
        </is>
      </c>
      <c r="D2681" s="2" t="n">
        <v>1763</v>
      </c>
      <c r="E2681" s="2" t="n">
        <v>1763</v>
      </c>
      <c r="F2681" s="2" t="n">
        <v>1</v>
      </c>
      <c r="G2681" s="2" t="n">
        <v>1</v>
      </c>
      <c r="H2681" s="2" t="n">
        <v>1</v>
      </c>
      <c r="I2681" s="2" t="n">
        <v>0</v>
      </c>
    </row>
    <row r="2682">
      <c r="A2682" s="2" t="n">
        <v>2680</v>
      </c>
      <c r="B2682" s="2" t="inlineStr">
        <is>
          <t>insert</t>
        </is>
      </c>
      <c r="C2682" s="2" t="inlineStr">
        <is>
          <t>openssl X25519 only (classical)</t>
        </is>
      </c>
      <c r="D2682" s="2" t="n">
        <v>316</v>
      </c>
      <c r="E2682" s="2" t="n">
        <v>316</v>
      </c>
      <c r="F2682" s="2" t="n">
        <v>1</v>
      </c>
      <c r="G2682" s="2" t="n">
        <v>1</v>
      </c>
      <c r="H2682" s="2" t="n">
        <v>1</v>
      </c>
      <c r="I2682" s="2" t="n">
        <v>0</v>
      </c>
    </row>
    <row r="2683">
      <c r="A2683" s="2" t="n">
        <v>2681</v>
      </c>
      <c r="B2683" s="2" t="inlineStr">
        <is>
          <t>flip</t>
        </is>
      </c>
      <c r="C2683" s="2" t="inlineStr">
        <is>
          <t>openssl 3.5.8 default</t>
        </is>
      </c>
      <c r="D2683" s="2" t="n">
        <v>1548</v>
      </c>
      <c r="E2683" s="2" t="n">
        <v>1548</v>
      </c>
      <c r="F2683" s="2" t="n">
        <v>1</v>
      </c>
      <c r="G2683" s="2" t="n">
        <v>1</v>
      </c>
      <c r="H2683" s="2" t="n">
        <v>1</v>
      </c>
      <c r="I2683" s="2" t="n">
        <v>0</v>
      </c>
    </row>
    <row r="2684">
      <c r="A2684" s="2" t="n">
        <v>2682</v>
      </c>
      <c r="B2684" s="2" t="inlineStr">
        <is>
          <t>truncate</t>
        </is>
      </c>
      <c r="C2684" s="2" t="inlineStr">
        <is>
          <t>browser chrome150</t>
        </is>
      </c>
      <c r="D2684" s="2" t="n">
        <v>939</v>
      </c>
      <c r="E2684" s="2" t="n">
        <v>939</v>
      </c>
      <c r="F2684" s="2" t="n">
        <v>1</v>
      </c>
      <c r="G2684" s="2" t="n">
        <v>1</v>
      </c>
      <c r="H2684" s="2" t="n">
        <v>1</v>
      </c>
      <c r="I2684" s="2" t="n">
        <v>0</v>
      </c>
    </row>
    <row r="2685">
      <c r="A2685" s="2" t="n">
        <v>2683</v>
      </c>
      <c r="B2685" s="2" t="inlineStr">
        <is>
          <t>length</t>
        </is>
      </c>
      <c r="C2685" s="2" t="inlineStr">
        <is>
          <t>openssl 3.5.8 default</t>
        </is>
      </c>
      <c r="D2685" s="2" t="n">
        <v>1548</v>
      </c>
      <c r="E2685" s="2" t="n">
        <v>1548</v>
      </c>
      <c r="F2685" s="2" t="n">
        <v>1</v>
      </c>
      <c r="G2685" s="2" t="n">
        <v>0</v>
      </c>
      <c r="H2685" s="2" t="n">
        <v>0</v>
      </c>
      <c r="I2685" s="2" t="n">
        <v>0</v>
      </c>
    </row>
    <row r="2686">
      <c r="A2686" s="2" t="n">
        <v>2684</v>
      </c>
      <c r="B2686" s="2" t="inlineStr">
        <is>
          <t>insert</t>
        </is>
      </c>
      <c r="C2686" s="2" t="inlineStr">
        <is>
          <t>openssl TLS 1.2 only</t>
        </is>
      </c>
      <c r="D2686" s="2" t="n">
        <v>217</v>
      </c>
      <c r="E2686" s="2" t="n">
        <v>217</v>
      </c>
      <c r="F2686" s="2" t="n">
        <v>1</v>
      </c>
      <c r="G2686" s="2" t="n">
        <v>1</v>
      </c>
      <c r="H2686" s="2" t="n">
        <v>1</v>
      </c>
      <c r="I2686" s="2" t="n">
        <v>0</v>
      </c>
    </row>
    <row r="2687">
      <c r="A2687" s="2" t="n">
        <v>2685</v>
      </c>
      <c r="B2687" s="2" t="inlineStr">
        <is>
          <t>flip</t>
        </is>
      </c>
      <c r="C2687" s="2" t="inlineStr">
        <is>
          <t>openssl TLS 1.2 only</t>
        </is>
      </c>
      <c r="D2687" s="2" t="n">
        <v>215</v>
      </c>
      <c r="E2687" s="2" t="n">
        <v>215</v>
      </c>
      <c r="F2687" s="2" t="n">
        <v>1</v>
      </c>
      <c r="G2687" s="2" t="n">
        <v>1</v>
      </c>
      <c r="H2687" s="2" t="n">
        <v>1</v>
      </c>
      <c r="I2687" s="2" t="n">
        <v>0</v>
      </c>
    </row>
    <row r="2688">
      <c r="A2688" s="2" t="n">
        <v>2686</v>
      </c>
      <c r="B2688" s="2" t="inlineStr">
        <is>
          <t>truncate</t>
        </is>
      </c>
      <c r="C2688" s="2" t="inlineStr">
        <is>
          <t>openssl 3.5.8 default</t>
        </is>
      </c>
      <c r="D2688" s="2" t="n">
        <v>172</v>
      </c>
      <c r="E2688" s="2" t="n">
        <v>172</v>
      </c>
      <c r="F2688" s="2" t="n">
        <v>1</v>
      </c>
      <c r="G2688" s="2" t="n">
        <v>1</v>
      </c>
      <c r="H2688" s="2" t="n">
        <v>0</v>
      </c>
      <c r="I2688" s="2" t="n">
        <v>0</v>
      </c>
    </row>
    <row r="2689">
      <c r="A2689" s="2" t="n">
        <v>2687</v>
      </c>
      <c r="B2689" s="2" t="inlineStr">
        <is>
          <t>length</t>
        </is>
      </c>
      <c r="C2689" s="2" t="inlineStr">
        <is>
          <t>openssl X25519 only (classical)</t>
        </is>
      </c>
      <c r="D2689" s="2" t="n">
        <v>314</v>
      </c>
      <c r="E2689" s="2" t="n">
        <v>314</v>
      </c>
      <c r="F2689" s="2" t="n">
        <v>1</v>
      </c>
      <c r="G2689" s="2" t="n">
        <v>1</v>
      </c>
      <c r="H2689" s="2" t="n">
        <v>0</v>
      </c>
      <c r="I2689" s="2" t="n">
        <v>0</v>
      </c>
    </row>
    <row r="2690">
      <c r="A2690" s="2" t="n">
        <v>2688</v>
      </c>
      <c r="B2690" s="2" t="inlineStr">
        <is>
          <t>insert</t>
        </is>
      </c>
      <c r="C2690" s="2" t="inlineStr">
        <is>
          <t>openssl 3.5.8 default</t>
        </is>
      </c>
      <c r="D2690" s="2" t="n">
        <v>1549</v>
      </c>
      <c r="E2690" s="2" t="n">
        <v>1549</v>
      </c>
      <c r="F2690" s="2" t="n">
        <v>1</v>
      </c>
      <c r="G2690" s="2" t="n">
        <v>1</v>
      </c>
      <c r="H2690" s="2" t="n">
        <v>1</v>
      </c>
      <c r="I2690" s="2" t="n">
        <v>0</v>
      </c>
    </row>
    <row r="2691">
      <c r="A2691" s="2" t="n">
        <v>2689</v>
      </c>
      <c r="B2691" s="2" t="inlineStr">
        <is>
          <t>flip</t>
        </is>
      </c>
      <c r="C2691" s="2" t="inlineStr">
        <is>
          <t>openssl 3.5.8 default</t>
        </is>
      </c>
      <c r="D2691" s="2" t="n">
        <v>1548</v>
      </c>
      <c r="E2691" s="2" t="n">
        <v>1548</v>
      </c>
      <c r="F2691" s="2" t="n">
        <v>1</v>
      </c>
      <c r="G2691" s="2" t="n">
        <v>1</v>
      </c>
      <c r="H2691" s="2" t="n">
        <v>1</v>
      </c>
      <c r="I2691" s="2" t="n">
        <v>0</v>
      </c>
    </row>
    <row r="2692">
      <c r="A2692" s="2" t="n">
        <v>2690</v>
      </c>
      <c r="B2692" s="2" t="inlineStr">
        <is>
          <t>truncate</t>
        </is>
      </c>
      <c r="C2692" s="2" t="inlineStr">
        <is>
          <t>browser firefox147</t>
        </is>
      </c>
      <c r="D2692" s="2" t="n">
        <v>763</v>
      </c>
      <c r="E2692" s="2" t="n">
        <v>763</v>
      </c>
      <c r="F2692" s="2" t="n">
        <v>1</v>
      </c>
      <c r="G2692" s="2" t="n">
        <v>1</v>
      </c>
      <c r="H2692" s="2" t="n">
        <v>0</v>
      </c>
      <c r="I2692" s="2" t="n">
        <v>0</v>
      </c>
    </row>
    <row r="2693">
      <c r="A2693" s="2" t="n">
        <v>2691</v>
      </c>
      <c r="B2693" s="2" t="inlineStr">
        <is>
          <t>length</t>
        </is>
      </c>
      <c r="C2693" s="2" t="inlineStr">
        <is>
          <t>openssl X25519 only (classical)</t>
        </is>
      </c>
      <c r="D2693" s="2" t="n">
        <v>314</v>
      </c>
      <c r="E2693" s="2" t="n">
        <v>314</v>
      </c>
      <c r="F2693" s="2" t="n">
        <v>1</v>
      </c>
      <c r="G2693" s="2" t="n">
        <v>1</v>
      </c>
      <c r="H2693" s="2" t="n">
        <v>1</v>
      </c>
      <c r="I2693" s="2" t="n">
        <v>0</v>
      </c>
    </row>
    <row r="2694">
      <c r="A2694" s="2" t="n">
        <v>2692</v>
      </c>
      <c r="B2694" s="2" t="inlineStr">
        <is>
          <t>insert</t>
        </is>
      </c>
      <c r="C2694" s="2" t="inlineStr">
        <is>
          <t>openssl TLS 1.2 only</t>
        </is>
      </c>
      <c r="D2694" s="2" t="n">
        <v>224</v>
      </c>
      <c r="E2694" s="2" t="n">
        <v>224</v>
      </c>
      <c r="F2694" s="2" t="n">
        <v>1</v>
      </c>
      <c r="G2694" s="2" t="n">
        <v>0</v>
      </c>
      <c r="H2694" s="2" t="n">
        <v>0</v>
      </c>
      <c r="I2694" s="2" t="n">
        <v>0</v>
      </c>
    </row>
    <row r="2695">
      <c r="A2695" s="2" t="n">
        <v>2693</v>
      </c>
      <c r="B2695" s="2" t="inlineStr">
        <is>
          <t>flip</t>
        </is>
      </c>
      <c r="C2695" s="2" t="inlineStr">
        <is>
          <t>browser firefox147</t>
        </is>
      </c>
      <c r="D2695" s="2" t="n">
        <v>1901</v>
      </c>
      <c r="E2695" s="2" t="n">
        <v>1901</v>
      </c>
      <c r="F2695" s="2" t="n">
        <v>1</v>
      </c>
      <c r="G2695" s="2" t="n">
        <v>0</v>
      </c>
      <c r="H2695" s="2" t="n">
        <v>0</v>
      </c>
      <c r="I2695" s="2" t="n">
        <v>0</v>
      </c>
    </row>
    <row r="2696">
      <c r="A2696" s="2" t="n">
        <v>2694</v>
      </c>
      <c r="B2696" s="2" t="inlineStr">
        <is>
          <t>truncate</t>
        </is>
      </c>
      <c r="C2696" s="2" t="inlineStr">
        <is>
          <t>browser firefox147</t>
        </is>
      </c>
      <c r="D2696" s="2" t="n">
        <v>1182</v>
      </c>
      <c r="E2696" s="2" t="n">
        <v>1182</v>
      </c>
      <c r="F2696" s="2" t="n">
        <v>1</v>
      </c>
      <c r="G2696" s="2" t="n">
        <v>1</v>
      </c>
      <c r="H2696" s="2" t="n">
        <v>0</v>
      </c>
      <c r="I2696" s="2" t="n">
        <v>0</v>
      </c>
    </row>
    <row r="2697">
      <c r="A2697" s="2" t="n">
        <v>2695</v>
      </c>
      <c r="B2697" s="2" t="inlineStr">
        <is>
          <t>length</t>
        </is>
      </c>
      <c r="C2697" s="2" t="inlineStr">
        <is>
          <t>browser chrome150</t>
        </is>
      </c>
      <c r="D2697" s="2" t="n">
        <v>1763</v>
      </c>
      <c r="E2697" s="2" t="n">
        <v>1763</v>
      </c>
      <c r="F2697" s="2" t="n">
        <v>1</v>
      </c>
      <c r="G2697" s="2" t="n">
        <v>1</v>
      </c>
      <c r="H2697" s="2" t="n">
        <v>0</v>
      </c>
      <c r="I2697" s="2" t="n">
        <v>0</v>
      </c>
    </row>
    <row r="2698">
      <c r="A2698" s="2" t="n">
        <v>2696</v>
      </c>
      <c r="B2698" s="2" t="inlineStr">
        <is>
          <t>insert</t>
        </is>
      </c>
      <c r="C2698" s="2" t="inlineStr">
        <is>
          <t>openssl TLS 1.2 only</t>
        </is>
      </c>
      <c r="D2698" s="2" t="n">
        <v>223</v>
      </c>
      <c r="E2698" s="2" t="n">
        <v>223</v>
      </c>
      <c r="F2698" s="2" t="n">
        <v>1</v>
      </c>
      <c r="G2698" s="2" t="n">
        <v>0</v>
      </c>
      <c r="H2698" s="2" t="n">
        <v>0</v>
      </c>
      <c r="I2698" s="2" t="n">
        <v>0</v>
      </c>
    </row>
    <row r="2699">
      <c r="A2699" s="2" t="n">
        <v>2697</v>
      </c>
      <c r="B2699" s="2" t="inlineStr">
        <is>
          <t>flip</t>
        </is>
      </c>
      <c r="C2699" s="2" t="inlineStr">
        <is>
          <t>browser chrome150</t>
        </is>
      </c>
      <c r="D2699" s="2" t="n">
        <v>1763</v>
      </c>
      <c r="E2699" s="2" t="n">
        <v>1763</v>
      </c>
      <c r="F2699" s="2" t="n">
        <v>1</v>
      </c>
      <c r="G2699" s="2" t="n">
        <v>1</v>
      </c>
      <c r="H2699" s="2" t="n">
        <v>1</v>
      </c>
      <c r="I2699" s="2" t="n">
        <v>0</v>
      </c>
    </row>
    <row r="2700">
      <c r="A2700" s="2" t="n">
        <v>2698</v>
      </c>
      <c r="B2700" s="2" t="inlineStr">
        <is>
          <t>truncate</t>
        </is>
      </c>
      <c r="C2700" s="2" t="inlineStr">
        <is>
          <t>browser firefox147</t>
        </is>
      </c>
      <c r="D2700" s="2" t="n">
        <v>1271</v>
      </c>
      <c r="E2700" s="2" t="n">
        <v>1271</v>
      </c>
      <c r="F2700" s="2" t="n">
        <v>1</v>
      </c>
      <c r="G2700" s="2" t="n">
        <v>1</v>
      </c>
      <c r="H2700" s="2" t="n">
        <v>0</v>
      </c>
      <c r="I2700" s="2" t="n">
        <v>0</v>
      </c>
    </row>
    <row r="2701">
      <c r="A2701" s="2" t="n">
        <v>2699</v>
      </c>
      <c r="B2701" s="2" t="inlineStr">
        <is>
          <t>length</t>
        </is>
      </c>
      <c r="C2701" s="2" t="inlineStr">
        <is>
          <t>browser firefox147</t>
        </is>
      </c>
      <c r="D2701" s="2" t="n">
        <v>1901</v>
      </c>
      <c r="E2701" s="2" t="n">
        <v>1901</v>
      </c>
      <c r="F2701" s="2" t="n">
        <v>1</v>
      </c>
      <c r="G2701" s="2" t="n">
        <v>1</v>
      </c>
      <c r="H2701" s="2" t="n">
        <v>0</v>
      </c>
      <c r="I2701" s="2" t="n">
        <v>0</v>
      </c>
    </row>
    <row r="2702">
      <c r="A2702" s="2" t="n">
        <v>2700</v>
      </c>
      <c r="B2702" s="2" t="inlineStr">
        <is>
          <t>insert</t>
        </is>
      </c>
      <c r="C2702" s="2" t="inlineStr">
        <is>
          <t>openssl 3.5.8 default</t>
        </is>
      </c>
      <c r="D2702" s="2" t="n">
        <v>1560</v>
      </c>
      <c r="E2702" s="2" t="n">
        <v>1560</v>
      </c>
      <c r="F2702" s="2" t="n">
        <v>1</v>
      </c>
      <c r="G2702" s="2" t="n">
        <v>1</v>
      </c>
      <c r="H2702" s="2" t="n">
        <v>1</v>
      </c>
      <c r="I2702" s="2" t="n">
        <v>0</v>
      </c>
    </row>
    <row r="2703">
      <c r="A2703" s="2" t="n">
        <v>2701</v>
      </c>
      <c r="B2703" s="2" t="inlineStr">
        <is>
          <t>flip</t>
        </is>
      </c>
      <c r="C2703" s="2" t="inlineStr">
        <is>
          <t>openssl X25519 only (classical)</t>
        </is>
      </c>
      <c r="D2703" s="2" t="n">
        <v>314</v>
      </c>
      <c r="E2703" s="2" t="n">
        <v>314</v>
      </c>
      <c r="F2703" s="2" t="n">
        <v>1</v>
      </c>
      <c r="G2703" s="2" t="n">
        <v>1</v>
      </c>
      <c r="H2703" s="2" t="n">
        <v>1</v>
      </c>
      <c r="I2703" s="2" t="n">
        <v>0</v>
      </c>
    </row>
    <row r="2704">
      <c r="A2704" s="2" t="n">
        <v>2702</v>
      </c>
      <c r="B2704" s="2" t="inlineStr">
        <is>
          <t>truncate</t>
        </is>
      </c>
      <c r="C2704" s="2" t="inlineStr">
        <is>
          <t>browser chrome150</t>
        </is>
      </c>
      <c r="D2704" s="2" t="n">
        <v>783</v>
      </c>
      <c r="E2704" s="2" t="n">
        <v>783</v>
      </c>
      <c r="F2704" s="2" t="n">
        <v>1</v>
      </c>
      <c r="G2704" s="2" t="n">
        <v>1</v>
      </c>
      <c r="H2704" s="2" t="n">
        <v>1</v>
      </c>
      <c r="I2704" s="2" t="n">
        <v>0</v>
      </c>
    </row>
    <row r="2705">
      <c r="A2705" s="2" t="n">
        <v>2703</v>
      </c>
      <c r="B2705" s="2" t="inlineStr">
        <is>
          <t>length</t>
        </is>
      </c>
      <c r="C2705" s="2" t="inlineStr">
        <is>
          <t>openssl 3.5.8 default</t>
        </is>
      </c>
      <c r="D2705" s="2" t="n">
        <v>1548</v>
      </c>
      <c r="E2705" s="2" t="n">
        <v>1548</v>
      </c>
      <c r="F2705" s="2" t="n">
        <v>1</v>
      </c>
      <c r="G2705" s="2" t="n">
        <v>1</v>
      </c>
      <c r="H2705" s="2" t="n">
        <v>1</v>
      </c>
      <c r="I2705" s="2" t="n">
        <v>0</v>
      </c>
    </row>
    <row r="2706">
      <c r="A2706" s="2" t="n">
        <v>2704</v>
      </c>
      <c r="B2706" s="2" t="inlineStr">
        <is>
          <t>insert</t>
        </is>
      </c>
      <c r="C2706" s="2" t="inlineStr">
        <is>
          <t>browser firefox147</t>
        </is>
      </c>
      <c r="D2706" s="2" t="n">
        <v>1909</v>
      </c>
      <c r="E2706" s="2" t="n">
        <v>1909</v>
      </c>
      <c r="F2706" s="2" t="n">
        <v>1</v>
      </c>
      <c r="G2706" s="2" t="n">
        <v>1</v>
      </c>
      <c r="H2706" s="2" t="n">
        <v>0</v>
      </c>
      <c r="I2706" s="2" t="n">
        <v>0</v>
      </c>
    </row>
    <row r="2707">
      <c r="A2707" s="2" t="n">
        <v>2705</v>
      </c>
      <c r="B2707" s="2" t="inlineStr">
        <is>
          <t>flip</t>
        </is>
      </c>
      <c r="C2707" s="2" t="inlineStr">
        <is>
          <t>openssl X25519 only (classical)</t>
        </is>
      </c>
      <c r="D2707" s="2" t="n">
        <v>314</v>
      </c>
      <c r="E2707" s="2" t="n">
        <v>314</v>
      </c>
      <c r="F2707" s="2" t="n">
        <v>1</v>
      </c>
      <c r="G2707" s="2" t="n">
        <v>1</v>
      </c>
      <c r="H2707" s="2" t="n">
        <v>1</v>
      </c>
      <c r="I2707" s="2" t="n">
        <v>0</v>
      </c>
    </row>
    <row r="2708">
      <c r="A2708" s="2" t="n">
        <v>2706</v>
      </c>
      <c r="B2708" s="2" t="inlineStr">
        <is>
          <t>truncate</t>
        </is>
      </c>
      <c r="C2708" s="2" t="inlineStr">
        <is>
          <t>browser firefox147</t>
        </is>
      </c>
      <c r="D2708" s="2" t="n">
        <v>804</v>
      </c>
      <c r="E2708" s="2" t="n">
        <v>804</v>
      </c>
      <c r="F2708" s="2" t="n">
        <v>1</v>
      </c>
      <c r="G2708" s="2" t="n">
        <v>1</v>
      </c>
      <c r="H2708" s="2" t="n">
        <v>0</v>
      </c>
      <c r="I2708" s="2" t="n">
        <v>0</v>
      </c>
    </row>
    <row r="2709">
      <c r="A2709" s="2" t="n">
        <v>2707</v>
      </c>
      <c r="B2709" s="2" t="inlineStr">
        <is>
          <t>length</t>
        </is>
      </c>
      <c r="C2709" s="2" t="inlineStr">
        <is>
          <t>openssl 3.5.8 default</t>
        </is>
      </c>
      <c r="D2709" s="2" t="n">
        <v>1548</v>
      </c>
      <c r="E2709" s="2" t="n">
        <v>1548</v>
      </c>
      <c r="F2709" s="2" t="n">
        <v>1</v>
      </c>
      <c r="G2709" s="2" t="n">
        <v>1</v>
      </c>
      <c r="H2709" s="2" t="n">
        <v>1</v>
      </c>
      <c r="I2709" s="2" t="n">
        <v>0</v>
      </c>
    </row>
    <row r="2710">
      <c r="A2710" s="2" t="n">
        <v>2708</v>
      </c>
      <c r="B2710" s="2" t="inlineStr">
        <is>
          <t>insert</t>
        </is>
      </c>
      <c r="C2710" s="2" t="inlineStr">
        <is>
          <t>browser chrome150</t>
        </is>
      </c>
      <c r="D2710" s="2" t="n">
        <v>1770</v>
      </c>
      <c r="E2710" s="2" t="n">
        <v>1770</v>
      </c>
      <c r="F2710" s="2" t="n">
        <v>1</v>
      </c>
      <c r="G2710" s="2" t="n">
        <v>1</v>
      </c>
      <c r="H2710" s="2" t="n">
        <v>1</v>
      </c>
      <c r="I2710" s="2" t="n">
        <v>0</v>
      </c>
    </row>
    <row r="2711">
      <c r="A2711" s="2" t="n">
        <v>2709</v>
      </c>
      <c r="B2711" s="2" t="inlineStr">
        <is>
          <t>flip</t>
        </is>
      </c>
      <c r="C2711" s="2" t="inlineStr">
        <is>
          <t>openssl TLS 1.2 only</t>
        </is>
      </c>
      <c r="D2711" s="2" t="n">
        <v>215</v>
      </c>
      <c r="E2711" s="2" t="n">
        <v>215</v>
      </c>
      <c r="F2711" s="2" t="n">
        <v>1</v>
      </c>
      <c r="G2711" s="2" t="n">
        <v>1</v>
      </c>
      <c r="H2711" s="2" t="n">
        <v>1</v>
      </c>
      <c r="I2711" s="2" t="n">
        <v>0</v>
      </c>
    </row>
    <row r="2712">
      <c r="A2712" s="2" t="n">
        <v>2710</v>
      </c>
      <c r="B2712" s="2" t="inlineStr">
        <is>
          <t>truncate</t>
        </is>
      </c>
      <c r="C2712" s="2" t="inlineStr">
        <is>
          <t>openssl TLS 1.2 only</t>
        </is>
      </c>
      <c r="D2712" s="2" t="n">
        <v>86</v>
      </c>
      <c r="E2712" s="2" t="n">
        <v>86</v>
      </c>
      <c r="F2712" s="2" t="n">
        <v>1</v>
      </c>
      <c r="G2712" s="2" t="n">
        <v>0</v>
      </c>
      <c r="H2712" s="2" t="n">
        <v>0</v>
      </c>
      <c r="I2712" s="2" t="n">
        <v>0</v>
      </c>
    </row>
    <row r="2713">
      <c r="A2713" s="2" t="n">
        <v>2711</v>
      </c>
      <c r="B2713" s="2" t="inlineStr">
        <is>
          <t>length</t>
        </is>
      </c>
      <c r="C2713" s="2" t="inlineStr">
        <is>
          <t>browser firefox147</t>
        </is>
      </c>
      <c r="D2713" s="2" t="n">
        <v>1901</v>
      </c>
      <c r="E2713" s="2" t="n">
        <v>1901</v>
      </c>
      <c r="F2713" s="2" t="n">
        <v>1</v>
      </c>
      <c r="G2713" s="2" t="n">
        <v>1</v>
      </c>
      <c r="H2713" s="2" t="n">
        <v>1</v>
      </c>
      <c r="I2713" s="2" t="n">
        <v>0</v>
      </c>
    </row>
    <row r="2714">
      <c r="A2714" s="2" t="n">
        <v>2712</v>
      </c>
      <c r="B2714" s="2" t="inlineStr">
        <is>
          <t>insert</t>
        </is>
      </c>
      <c r="C2714" s="2" t="inlineStr">
        <is>
          <t>openssl TLS 1.2 only</t>
        </is>
      </c>
      <c r="D2714" s="2" t="n">
        <v>223</v>
      </c>
      <c r="E2714" s="2" t="n">
        <v>223</v>
      </c>
      <c r="F2714" s="2" t="n">
        <v>1</v>
      </c>
      <c r="G2714" s="2" t="n">
        <v>1</v>
      </c>
      <c r="H2714" s="2" t="n">
        <v>1</v>
      </c>
      <c r="I2714" s="2" t="n">
        <v>0</v>
      </c>
    </row>
    <row r="2715">
      <c r="A2715" s="2" t="n">
        <v>2713</v>
      </c>
      <c r="B2715" s="2" t="inlineStr">
        <is>
          <t>flip</t>
        </is>
      </c>
      <c r="C2715" s="2" t="inlineStr">
        <is>
          <t>openssl TLS 1.2 only</t>
        </is>
      </c>
      <c r="D2715" s="2" t="n">
        <v>215</v>
      </c>
      <c r="E2715" s="2" t="n">
        <v>215</v>
      </c>
      <c r="F2715" s="2" t="n">
        <v>0</v>
      </c>
      <c r="G2715" s="2" t="n">
        <v>0</v>
      </c>
      <c r="H2715" s="2" t="n">
        <v>0</v>
      </c>
      <c r="I2715" s="2" t="n">
        <v>0</v>
      </c>
    </row>
    <row r="2716">
      <c r="A2716" s="2" t="n">
        <v>2714</v>
      </c>
      <c r="B2716" s="2" t="inlineStr">
        <is>
          <t>truncate</t>
        </is>
      </c>
      <c r="C2716" s="2" t="inlineStr">
        <is>
          <t>browser firefox147</t>
        </is>
      </c>
      <c r="D2716" s="2" t="n">
        <v>919</v>
      </c>
      <c r="E2716" s="2" t="n">
        <v>919</v>
      </c>
      <c r="F2716" s="2" t="n">
        <v>1</v>
      </c>
      <c r="G2716" s="2" t="n">
        <v>1</v>
      </c>
      <c r="H2716" s="2" t="n">
        <v>0</v>
      </c>
      <c r="I2716" s="2" t="n">
        <v>0</v>
      </c>
    </row>
    <row r="2717">
      <c r="A2717" s="2" t="n">
        <v>2715</v>
      </c>
      <c r="B2717" s="2" t="inlineStr">
        <is>
          <t>length</t>
        </is>
      </c>
      <c r="C2717" s="2" t="inlineStr">
        <is>
          <t>openssl X25519 only (classical)</t>
        </is>
      </c>
      <c r="D2717" s="2" t="n">
        <v>314</v>
      </c>
      <c r="E2717" s="2" t="n">
        <v>314</v>
      </c>
      <c r="F2717" s="2" t="n">
        <v>1</v>
      </c>
      <c r="G2717" s="2" t="n">
        <v>0</v>
      </c>
      <c r="H2717" s="2" t="n">
        <v>0</v>
      </c>
      <c r="I2717" s="2" t="n">
        <v>0</v>
      </c>
    </row>
    <row r="2718">
      <c r="A2718" s="2" t="n">
        <v>2716</v>
      </c>
      <c r="B2718" s="2" t="inlineStr">
        <is>
          <t>insert</t>
        </is>
      </c>
      <c r="C2718" s="2" t="inlineStr">
        <is>
          <t>openssl 3.5.8 default</t>
        </is>
      </c>
      <c r="D2718" s="2" t="n">
        <v>1559</v>
      </c>
      <c r="E2718" s="2" t="n">
        <v>1559</v>
      </c>
      <c r="F2718" s="2" t="n">
        <v>1</v>
      </c>
      <c r="G2718" s="2" t="n">
        <v>1</v>
      </c>
      <c r="H2718" s="2" t="n">
        <v>1</v>
      </c>
      <c r="I2718" s="2" t="n">
        <v>0</v>
      </c>
    </row>
    <row r="2719">
      <c r="A2719" s="2" t="n">
        <v>2717</v>
      </c>
      <c r="B2719" s="2" t="inlineStr">
        <is>
          <t>flip</t>
        </is>
      </c>
      <c r="C2719" s="2" t="inlineStr">
        <is>
          <t>browser chrome150</t>
        </is>
      </c>
      <c r="D2719" s="2" t="n">
        <v>1763</v>
      </c>
      <c r="E2719" s="2" t="n">
        <v>1763</v>
      </c>
      <c r="F2719" s="2" t="n">
        <v>1</v>
      </c>
      <c r="G2719" s="2" t="n">
        <v>1</v>
      </c>
      <c r="H2719" s="2" t="n">
        <v>1</v>
      </c>
      <c r="I2719" s="2" t="n">
        <v>0</v>
      </c>
    </row>
    <row r="2720">
      <c r="A2720" s="2" t="n">
        <v>2718</v>
      </c>
      <c r="B2720" s="2" t="inlineStr">
        <is>
          <t>truncate</t>
        </is>
      </c>
      <c r="C2720" s="2" t="inlineStr">
        <is>
          <t>openssl TLS 1.2 only</t>
        </is>
      </c>
      <c r="D2720" s="2" t="n">
        <v>6</v>
      </c>
      <c r="E2720" s="2" t="n">
        <v>6</v>
      </c>
      <c r="F2720" s="2" t="n">
        <v>1</v>
      </c>
      <c r="G2720" s="2" t="n">
        <v>0</v>
      </c>
      <c r="H2720" s="2" t="n">
        <v>0</v>
      </c>
      <c r="I2720" s="2" t="n">
        <v>0</v>
      </c>
    </row>
    <row r="2721">
      <c r="A2721" s="2" t="n">
        <v>2719</v>
      </c>
      <c r="B2721" s="2" t="inlineStr">
        <is>
          <t>length</t>
        </is>
      </c>
      <c r="C2721" s="2" t="inlineStr">
        <is>
          <t>browser firefox147</t>
        </is>
      </c>
      <c r="D2721" s="2" t="n">
        <v>1901</v>
      </c>
      <c r="E2721" s="2" t="n">
        <v>1901</v>
      </c>
      <c r="F2721" s="2" t="n">
        <v>1</v>
      </c>
      <c r="G2721" s="2" t="n">
        <v>1</v>
      </c>
      <c r="H2721" s="2" t="n">
        <v>1</v>
      </c>
      <c r="I2721" s="2" t="n">
        <v>0</v>
      </c>
    </row>
    <row r="2722">
      <c r="A2722" s="2" t="n">
        <v>2720</v>
      </c>
      <c r="B2722" s="2" t="inlineStr">
        <is>
          <t>insert</t>
        </is>
      </c>
      <c r="C2722" s="2" t="inlineStr">
        <is>
          <t>openssl X25519 only (classical)</t>
        </is>
      </c>
      <c r="D2722" s="2" t="n">
        <v>324</v>
      </c>
      <c r="E2722" s="2" t="n">
        <v>324</v>
      </c>
      <c r="F2722" s="2" t="n">
        <v>1</v>
      </c>
      <c r="G2722" s="2" t="n">
        <v>1</v>
      </c>
      <c r="H2722" s="2" t="n">
        <v>1</v>
      </c>
      <c r="I2722" s="2" t="n">
        <v>0</v>
      </c>
    </row>
    <row r="2723">
      <c r="A2723" s="2" t="n">
        <v>2721</v>
      </c>
      <c r="B2723" s="2" t="inlineStr">
        <is>
          <t>flip</t>
        </is>
      </c>
      <c r="C2723" s="2" t="inlineStr">
        <is>
          <t>browser chrome150</t>
        </is>
      </c>
      <c r="D2723" s="2" t="n">
        <v>1763</v>
      </c>
      <c r="E2723" s="2" t="n">
        <v>1763</v>
      </c>
      <c r="F2723" s="2" t="n">
        <v>1</v>
      </c>
      <c r="G2723" s="2" t="n">
        <v>1</v>
      </c>
      <c r="H2723" s="2" t="n">
        <v>1</v>
      </c>
      <c r="I2723" s="2" t="n">
        <v>0</v>
      </c>
    </row>
    <row r="2724">
      <c r="A2724" s="2" t="n">
        <v>2722</v>
      </c>
      <c r="B2724" s="2" t="inlineStr">
        <is>
          <t>truncate</t>
        </is>
      </c>
      <c r="C2724" s="2" t="inlineStr">
        <is>
          <t>browser firefox147</t>
        </is>
      </c>
      <c r="D2724" s="2" t="n">
        <v>1677</v>
      </c>
      <c r="E2724" s="2" t="n">
        <v>1677</v>
      </c>
      <c r="F2724" s="2" t="n">
        <v>1</v>
      </c>
      <c r="G2724" s="2" t="n">
        <v>1</v>
      </c>
      <c r="H2724" s="2" t="n">
        <v>0</v>
      </c>
      <c r="I2724" s="2" t="n">
        <v>0</v>
      </c>
    </row>
    <row r="2725">
      <c r="A2725" s="2" t="n">
        <v>2723</v>
      </c>
      <c r="B2725" s="2" t="inlineStr">
        <is>
          <t>length</t>
        </is>
      </c>
      <c r="C2725" s="2" t="inlineStr">
        <is>
          <t>browser chrome150</t>
        </is>
      </c>
      <c r="D2725" s="2" t="n">
        <v>1763</v>
      </c>
      <c r="E2725" s="2" t="n">
        <v>1763</v>
      </c>
      <c r="F2725" s="2" t="n">
        <v>0</v>
      </c>
      <c r="G2725" s="2" t="n">
        <v>0</v>
      </c>
      <c r="H2725" s="2" t="n">
        <v>0</v>
      </c>
      <c r="I2725" s="2" t="n">
        <v>0</v>
      </c>
    </row>
    <row r="2726">
      <c r="A2726" s="2" t="n">
        <v>2724</v>
      </c>
      <c r="B2726" s="2" t="inlineStr">
        <is>
          <t>insert</t>
        </is>
      </c>
      <c r="C2726" s="2" t="inlineStr">
        <is>
          <t>browser firefox147</t>
        </is>
      </c>
      <c r="D2726" s="2" t="n">
        <v>1907</v>
      </c>
      <c r="E2726" s="2" t="n">
        <v>1907</v>
      </c>
      <c r="F2726" s="2" t="n">
        <v>1</v>
      </c>
      <c r="G2726" s="2" t="n">
        <v>1</v>
      </c>
      <c r="H2726" s="2" t="n">
        <v>0</v>
      </c>
      <c r="I2726" s="2" t="n">
        <v>0</v>
      </c>
    </row>
    <row r="2727">
      <c r="A2727" s="2" t="n">
        <v>2725</v>
      </c>
      <c r="B2727" s="2" t="inlineStr">
        <is>
          <t>flip</t>
        </is>
      </c>
      <c r="C2727" s="2" t="inlineStr">
        <is>
          <t>browser firefox147</t>
        </is>
      </c>
      <c r="D2727" s="2" t="n">
        <v>1901</v>
      </c>
      <c r="E2727" s="2" t="n">
        <v>1901</v>
      </c>
      <c r="F2727" s="2" t="n">
        <v>1</v>
      </c>
      <c r="G2727" s="2" t="n">
        <v>1</v>
      </c>
      <c r="H2727" s="2" t="n">
        <v>0</v>
      </c>
      <c r="I2727" s="2" t="n">
        <v>0</v>
      </c>
    </row>
    <row r="2728">
      <c r="A2728" s="2" t="n">
        <v>2726</v>
      </c>
      <c r="B2728" s="2" t="inlineStr">
        <is>
          <t>truncate</t>
        </is>
      </c>
      <c r="C2728" s="2" t="inlineStr">
        <is>
          <t>browser firefox147</t>
        </is>
      </c>
      <c r="D2728" s="2" t="n">
        <v>1750</v>
      </c>
      <c r="E2728" s="2" t="n">
        <v>1750</v>
      </c>
      <c r="F2728" s="2" t="n">
        <v>1</v>
      </c>
      <c r="G2728" s="2" t="n">
        <v>1</v>
      </c>
      <c r="H2728" s="2" t="n">
        <v>0</v>
      </c>
      <c r="I2728" s="2" t="n">
        <v>0</v>
      </c>
    </row>
    <row r="2729">
      <c r="A2729" s="2" t="n">
        <v>2727</v>
      </c>
      <c r="B2729" s="2" t="inlineStr">
        <is>
          <t>length</t>
        </is>
      </c>
      <c r="C2729" s="2" t="inlineStr">
        <is>
          <t>browser firefox147</t>
        </is>
      </c>
      <c r="D2729" s="2" t="n">
        <v>1901</v>
      </c>
      <c r="E2729" s="2" t="n">
        <v>1901</v>
      </c>
      <c r="F2729" s="2" t="n">
        <v>1</v>
      </c>
      <c r="G2729" s="2" t="n">
        <v>0</v>
      </c>
      <c r="H2729" s="2" t="n">
        <v>0</v>
      </c>
      <c r="I2729" s="2" t="n">
        <v>0</v>
      </c>
    </row>
    <row r="2730">
      <c r="A2730" s="2" t="n">
        <v>2728</v>
      </c>
      <c r="B2730" s="2" t="inlineStr">
        <is>
          <t>insert</t>
        </is>
      </c>
      <c r="C2730" s="2" t="inlineStr">
        <is>
          <t>openssl TLS 1.2 only</t>
        </is>
      </c>
      <c r="D2730" s="2" t="n">
        <v>225</v>
      </c>
      <c r="E2730" s="2" t="n">
        <v>225</v>
      </c>
      <c r="F2730" s="2" t="n">
        <v>1</v>
      </c>
      <c r="G2730" s="2" t="n">
        <v>1</v>
      </c>
      <c r="H2730" s="2" t="n">
        <v>1</v>
      </c>
      <c r="I2730" s="2" t="n">
        <v>0</v>
      </c>
    </row>
    <row r="2731">
      <c r="A2731" s="2" t="n">
        <v>2729</v>
      </c>
      <c r="B2731" s="2" t="inlineStr">
        <is>
          <t>flip</t>
        </is>
      </c>
      <c r="C2731" s="2" t="inlineStr">
        <is>
          <t>openssl X25519 only (classical)</t>
        </is>
      </c>
      <c r="D2731" s="2" t="n">
        <v>314</v>
      </c>
      <c r="E2731" s="2" t="n">
        <v>314</v>
      </c>
      <c r="F2731" s="2" t="n">
        <v>1</v>
      </c>
      <c r="G2731" s="2" t="n">
        <v>1</v>
      </c>
      <c r="H2731" s="2" t="n">
        <v>1</v>
      </c>
      <c r="I2731" s="2" t="n">
        <v>0</v>
      </c>
    </row>
    <row r="2732">
      <c r="A2732" s="2" t="n">
        <v>2730</v>
      </c>
      <c r="B2732" s="2" t="inlineStr">
        <is>
          <t>truncate</t>
        </is>
      </c>
      <c r="C2732" s="2" t="inlineStr">
        <is>
          <t>openssl X25519 only (classical)</t>
        </is>
      </c>
      <c r="D2732" s="2" t="n">
        <v>55</v>
      </c>
      <c r="E2732" s="2" t="n">
        <v>55</v>
      </c>
      <c r="F2732" s="2" t="n">
        <v>1</v>
      </c>
      <c r="G2732" s="2" t="n">
        <v>0</v>
      </c>
      <c r="H2732" s="2" t="n">
        <v>0</v>
      </c>
      <c r="I2732" s="2" t="n">
        <v>0</v>
      </c>
    </row>
    <row r="2733">
      <c r="A2733" s="2" t="n">
        <v>2731</v>
      </c>
      <c r="B2733" s="2" t="inlineStr">
        <is>
          <t>length</t>
        </is>
      </c>
      <c r="C2733" s="2" t="inlineStr">
        <is>
          <t>browser firefox147</t>
        </is>
      </c>
      <c r="D2733" s="2" t="n">
        <v>1901</v>
      </c>
      <c r="E2733" s="2" t="n">
        <v>1901</v>
      </c>
      <c r="F2733" s="2" t="n">
        <v>1</v>
      </c>
      <c r="G2733" s="2" t="n">
        <v>1</v>
      </c>
      <c r="H2733" s="2" t="n">
        <v>0</v>
      </c>
      <c r="I2733" s="2" t="n">
        <v>0</v>
      </c>
    </row>
    <row r="2734">
      <c r="A2734" s="2" t="n">
        <v>2732</v>
      </c>
      <c r="B2734" s="2" t="inlineStr">
        <is>
          <t>insert</t>
        </is>
      </c>
      <c r="C2734" s="2" t="inlineStr">
        <is>
          <t>openssl 3.5.8 default</t>
        </is>
      </c>
      <c r="D2734" s="2" t="n">
        <v>1558</v>
      </c>
      <c r="E2734" s="2" t="n">
        <v>1558</v>
      </c>
      <c r="F2734" s="2" t="n">
        <v>1</v>
      </c>
      <c r="G2734" s="2" t="n">
        <v>1</v>
      </c>
      <c r="H2734" s="2" t="n">
        <v>1</v>
      </c>
      <c r="I2734" s="2" t="n">
        <v>0</v>
      </c>
    </row>
    <row r="2735">
      <c r="A2735" s="2" t="n">
        <v>2733</v>
      </c>
      <c r="B2735" s="2" t="inlineStr">
        <is>
          <t>flip</t>
        </is>
      </c>
      <c r="C2735" s="2" t="inlineStr">
        <is>
          <t>browser firefox147</t>
        </is>
      </c>
      <c r="D2735" s="2" t="n">
        <v>1901</v>
      </c>
      <c r="E2735" s="2" t="n">
        <v>1901</v>
      </c>
      <c r="F2735" s="2" t="n">
        <v>1</v>
      </c>
      <c r="G2735" s="2" t="n">
        <v>1</v>
      </c>
      <c r="H2735" s="2" t="n">
        <v>0</v>
      </c>
      <c r="I2735" s="2" t="n">
        <v>0</v>
      </c>
    </row>
    <row r="2736">
      <c r="A2736" s="2" t="n">
        <v>2734</v>
      </c>
      <c r="B2736" s="2" t="inlineStr">
        <is>
          <t>truncate</t>
        </is>
      </c>
      <c r="C2736" s="2" t="inlineStr">
        <is>
          <t>openssl TLS 1.2 only</t>
        </is>
      </c>
      <c r="D2736" s="2" t="n">
        <v>50</v>
      </c>
      <c r="E2736" s="2" t="n">
        <v>50</v>
      </c>
      <c r="F2736" s="2" t="n">
        <v>1</v>
      </c>
      <c r="G2736" s="2" t="n">
        <v>0</v>
      </c>
      <c r="H2736" s="2" t="n">
        <v>0</v>
      </c>
      <c r="I2736" s="2" t="n">
        <v>0</v>
      </c>
    </row>
    <row r="2737">
      <c r="A2737" s="2" t="n">
        <v>2735</v>
      </c>
      <c r="B2737" s="2" t="inlineStr">
        <is>
          <t>length</t>
        </is>
      </c>
      <c r="C2737" s="2" t="inlineStr">
        <is>
          <t>openssl TLS 1.2 only</t>
        </is>
      </c>
      <c r="D2737" s="2" t="n">
        <v>215</v>
      </c>
      <c r="E2737" s="2" t="n">
        <v>215</v>
      </c>
      <c r="F2737" s="2" t="n">
        <v>1</v>
      </c>
      <c r="G2737" s="2" t="n">
        <v>1</v>
      </c>
      <c r="H2737" s="2" t="n">
        <v>0</v>
      </c>
      <c r="I2737" s="2" t="n">
        <v>0</v>
      </c>
    </row>
    <row r="2738">
      <c r="A2738" s="2" t="n">
        <v>2736</v>
      </c>
      <c r="B2738" s="2" t="inlineStr">
        <is>
          <t>insert</t>
        </is>
      </c>
      <c r="C2738" s="2" t="inlineStr">
        <is>
          <t>browser firefox147</t>
        </is>
      </c>
      <c r="D2738" s="2" t="n">
        <v>1914</v>
      </c>
      <c r="E2738" s="2" t="n">
        <v>1914</v>
      </c>
      <c r="F2738" s="2" t="n">
        <v>1</v>
      </c>
      <c r="G2738" s="2" t="n">
        <v>1</v>
      </c>
      <c r="H2738" s="2" t="n">
        <v>0</v>
      </c>
      <c r="I2738" s="2" t="n">
        <v>0</v>
      </c>
    </row>
    <row r="2739">
      <c r="A2739" s="2" t="n">
        <v>2737</v>
      </c>
      <c r="B2739" s="2" t="inlineStr">
        <is>
          <t>flip</t>
        </is>
      </c>
      <c r="C2739" s="2" t="inlineStr">
        <is>
          <t>browser chrome150</t>
        </is>
      </c>
      <c r="D2739" s="2" t="n">
        <v>1763</v>
      </c>
      <c r="E2739" s="2" t="n">
        <v>1763</v>
      </c>
      <c r="F2739" s="2" t="n">
        <v>1</v>
      </c>
      <c r="G2739" s="2" t="n">
        <v>1</v>
      </c>
      <c r="H2739" s="2" t="n">
        <v>1</v>
      </c>
      <c r="I2739" s="2" t="n">
        <v>0</v>
      </c>
    </row>
    <row r="2740">
      <c r="A2740" s="2" t="n">
        <v>2738</v>
      </c>
      <c r="B2740" s="2" t="inlineStr">
        <is>
          <t>truncate</t>
        </is>
      </c>
      <c r="C2740" s="2" t="inlineStr">
        <is>
          <t>browser chrome150</t>
        </is>
      </c>
      <c r="D2740" s="2" t="n">
        <v>1312</v>
      </c>
      <c r="E2740" s="2" t="n">
        <v>1312</v>
      </c>
      <c r="F2740" s="2" t="n">
        <v>1</v>
      </c>
      <c r="G2740" s="2" t="n">
        <v>1</v>
      </c>
      <c r="H2740" s="2" t="n">
        <v>1</v>
      </c>
      <c r="I2740" s="2" t="n">
        <v>0</v>
      </c>
    </row>
    <row r="2741">
      <c r="A2741" s="2" t="n">
        <v>2739</v>
      </c>
      <c r="B2741" s="2" t="inlineStr">
        <is>
          <t>length</t>
        </is>
      </c>
      <c r="C2741" s="2" t="inlineStr">
        <is>
          <t>openssl TLS 1.2 only</t>
        </is>
      </c>
      <c r="D2741" s="2" t="n">
        <v>215</v>
      </c>
      <c r="E2741" s="2" t="n">
        <v>215</v>
      </c>
      <c r="F2741" s="2" t="n">
        <v>1</v>
      </c>
      <c r="G2741" s="2" t="n">
        <v>1</v>
      </c>
      <c r="H2741" s="2" t="n">
        <v>1</v>
      </c>
      <c r="I2741" s="2" t="n">
        <v>0</v>
      </c>
    </row>
    <row r="2742">
      <c r="A2742" s="2" t="n">
        <v>2740</v>
      </c>
      <c r="B2742" s="2" t="inlineStr">
        <is>
          <t>insert</t>
        </is>
      </c>
      <c r="C2742" s="2" t="inlineStr">
        <is>
          <t>openssl TLS 1.2 only</t>
        </is>
      </c>
      <c r="D2742" s="2" t="n">
        <v>217</v>
      </c>
      <c r="E2742" s="2" t="n">
        <v>217</v>
      </c>
      <c r="F2742" s="2" t="n">
        <v>1</v>
      </c>
      <c r="G2742" s="2" t="n">
        <v>1</v>
      </c>
      <c r="H2742" s="2" t="n">
        <v>1</v>
      </c>
      <c r="I2742" s="2" t="n">
        <v>0</v>
      </c>
    </row>
    <row r="2743">
      <c r="A2743" s="2" t="n">
        <v>2741</v>
      </c>
      <c r="B2743" s="2" t="inlineStr">
        <is>
          <t>flip</t>
        </is>
      </c>
      <c r="C2743" s="2" t="inlineStr">
        <is>
          <t>browser chrome150</t>
        </is>
      </c>
      <c r="D2743" s="2" t="n">
        <v>1763</v>
      </c>
      <c r="E2743" s="2" t="n">
        <v>1763</v>
      </c>
      <c r="F2743" s="2" t="n">
        <v>1</v>
      </c>
      <c r="G2743" s="2" t="n">
        <v>1</v>
      </c>
      <c r="H2743" s="2" t="n">
        <v>1</v>
      </c>
      <c r="I2743" s="2" t="n">
        <v>0</v>
      </c>
    </row>
    <row r="2744">
      <c r="A2744" s="2" t="n">
        <v>2742</v>
      </c>
      <c r="B2744" s="2" t="inlineStr">
        <is>
          <t>truncate</t>
        </is>
      </c>
      <c r="C2744" s="2" t="inlineStr">
        <is>
          <t>browser firefox147</t>
        </is>
      </c>
      <c r="D2744" s="2" t="n">
        <v>330</v>
      </c>
      <c r="E2744" s="2" t="n">
        <v>330</v>
      </c>
      <c r="F2744" s="2" t="n">
        <v>1</v>
      </c>
      <c r="G2744" s="2" t="n">
        <v>1</v>
      </c>
      <c r="H2744" s="2" t="n">
        <v>0</v>
      </c>
      <c r="I2744" s="2" t="n">
        <v>0</v>
      </c>
    </row>
    <row r="2745">
      <c r="A2745" s="2" t="n">
        <v>2743</v>
      </c>
      <c r="B2745" s="2" t="inlineStr">
        <is>
          <t>length</t>
        </is>
      </c>
      <c r="C2745" s="2" t="inlineStr">
        <is>
          <t>openssl 3.5.8 default</t>
        </is>
      </c>
      <c r="D2745" s="2" t="n">
        <v>1548</v>
      </c>
      <c r="E2745" s="2" t="n">
        <v>1548</v>
      </c>
      <c r="F2745" s="2" t="n">
        <v>1</v>
      </c>
      <c r="G2745" s="2" t="n">
        <v>1</v>
      </c>
      <c r="H2745" s="2" t="n">
        <v>1</v>
      </c>
      <c r="I2745" s="2" t="n">
        <v>0</v>
      </c>
    </row>
    <row r="2746">
      <c r="A2746" s="2" t="n">
        <v>2744</v>
      </c>
      <c r="B2746" s="2" t="inlineStr">
        <is>
          <t>insert</t>
        </is>
      </c>
      <c r="C2746" s="2" t="inlineStr">
        <is>
          <t>browser chrome150</t>
        </is>
      </c>
      <c r="D2746" s="2" t="n">
        <v>1768</v>
      </c>
      <c r="E2746" s="2" t="n">
        <v>1768</v>
      </c>
      <c r="F2746" s="2" t="n">
        <v>1</v>
      </c>
      <c r="G2746" s="2" t="n">
        <v>1</v>
      </c>
      <c r="H2746" s="2" t="n">
        <v>1</v>
      </c>
      <c r="I2746" s="2" t="n">
        <v>0</v>
      </c>
    </row>
    <row r="2747">
      <c r="A2747" s="2" t="n">
        <v>2745</v>
      </c>
      <c r="B2747" s="2" t="inlineStr">
        <is>
          <t>flip</t>
        </is>
      </c>
      <c r="C2747" s="2" t="inlineStr">
        <is>
          <t>openssl TLS 1.2 only</t>
        </is>
      </c>
      <c r="D2747" s="2" t="n">
        <v>215</v>
      </c>
      <c r="E2747" s="2" t="n">
        <v>215</v>
      </c>
      <c r="F2747" s="2" t="n">
        <v>1</v>
      </c>
      <c r="G2747" s="2" t="n">
        <v>1</v>
      </c>
      <c r="H2747" s="2" t="n">
        <v>1</v>
      </c>
      <c r="I2747" s="2" t="n">
        <v>0</v>
      </c>
    </row>
    <row r="2748">
      <c r="A2748" s="2" t="n">
        <v>2746</v>
      </c>
      <c r="B2748" s="2" t="inlineStr">
        <is>
          <t>truncate</t>
        </is>
      </c>
      <c r="C2748" s="2" t="inlineStr">
        <is>
          <t>browser chrome150</t>
        </is>
      </c>
      <c r="D2748" s="2" t="n">
        <v>910</v>
      </c>
      <c r="E2748" s="2" t="n">
        <v>910</v>
      </c>
      <c r="F2748" s="2" t="n">
        <v>1</v>
      </c>
      <c r="G2748" s="2" t="n">
        <v>1</v>
      </c>
      <c r="H2748" s="2" t="n">
        <v>1</v>
      </c>
      <c r="I2748" s="2" t="n">
        <v>0</v>
      </c>
    </row>
    <row r="2749">
      <c r="A2749" s="2" t="n">
        <v>2747</v>
      </c>
      <c r="B2749" s="2" t="inlineStr">
        <is>
          <t>length</t>
        </is>
      </c>
      <c r="C2749" s="2" t="inlineStr">
        <is>
          <t>browser firefox147</t>
        </is>
      </c>
      <c r="D2749" s="2" t="n">
        <v>1901</v>
      </c>
      <c r="E2749" s="2" t="n">
        <v>1901</v>
      </c>
      <c r="F2749" s="2" t="n">
        <v>1</v>
      </c>
      <c r="G2749" s="2" t="n">
        <v>1</v>
      </c>
      <c r="H2749" s="2" t="n">
        <v>0</v>
      </c>
      <c r="I2749" s="2" t="n">
        <v>0</v>
      </c>
    </row>
    <row r="2750">
      <c r="A2750" s="2" t="n">
        <v>2748</v>
      </c>
      <c r="B2750" s="2" t="inlineStr">
        <is>
          <t>insert</t>
        </is>
      </c>
      <c r="C2750" s="2" t="inlineStr">
        <is>
          <t>browser chrome150</t>
        </is>
      </c>
      <c r="D2750" s="2" t="n">
        <v>1779</v>
      </c>
      <c r="E2750" s="2" t="n">
        <v>1779</v>
      </c>
      <c r="F2750" s="2" t="n">
        <v>1</v>
      </c>
      <c r="G2750" s="2" t="n">
        <v>1</v>
      </c>
      <c r="H2750" s="2" t="n">
        <v>1</v>
      </c>
      <c r="I2750" s="2" t="n">
        <v>0</v>
      </c>
    </row>
    <row r="2751">
      <c r="A2751" s="2" t="n">
        <v>2749</v>
      </c>
      <c r="B2751" s="2" t="inlineStr">
        <is>
          <t>flip</t>
        </is>
      </c>
      <c r="C2751" s="2" t="inlineStr">
        <is>
          <t>browser chrome150</t>
        </is>
      </c>
      <c r="D2751" s="2" t="n">
        <v>1763</v>
      </c>
      <c r="E2751" s="2" t="n">
        <v>1763</v>
      </c>
      <c r="F2751" s="2" t="n">
        <v>1</v>
      </c>
      <c r="G2751" s="2" t="n">
        <v>1</v>
      </c>
      <c r="H2751" s="2" t="n">
        <v>1</v>
      </c>
      <c r="I2751" s="2" t="n">
        <v>0</v>
      </c>
    </row>
    <row r="2752">
      <c r="A2752" s="2" t="n">
        <v>2750</v>
      </c>
      <c r="B2752" s="2" t="inlineStr">
        <is>
          <t>truncate</t>
        </is>
      </c>
      <c r="C2752" s="2" t="inlineStr">
        <is>
          <t>browser firefox147</t>
        </is>
      </c>
      <c r="D2752" s="2" t="n">
        <v>1433</v>
      </c>
      <c r="E2752" s="2" t="n">
        <v>1433</v>
      </c>
      <c r="F2752" s="2" t="n">
        <v>1</v>
      </c>
      <c r="G2752" s="2" t="n">
        <v>1</v>
      </c>
      <c r="H2752" s="2" t="n">
        <v>0</v>
      </c>
      <c r="I2752" s="2" t="n">
        <v>0</v>
      </c>
    </row>
    <row r="2753">
      <c r="A2753" s="2" t="n">
        <v>2751</v>
      </c>
      <c r="B2753" s="2" t="inlineStr">
        <is>
          <t>length</t>
        </is>
      </c>
      <c r="C2753" s="2" t="inlineStr">
        <is>
          <t>openssl 3.5.8 default</t>
        </is>
      </c>
      <c r="D2753" s="2" t="n">
        <v>1548</v>
      </c>
      <c r="E2753" s="2" t="n">
        <v>1548</v>
      </c>
      <c r="F2753" s="2" t="n">
        <v>0</v>
      </c>
      <c r="G2753" s="2" t="n">
        <v>0</v>
      </c>
      <c r="H2753" s="2" t="n">
        <v>0</v>
      </c>
      <c r="I2753" s="2" t="n">
        <v>0</v>
      </c>
    </row>
    <row r="2754">
      <c r="A2754" s="2" t="n">
        <v>2752</v>
      </c>
      <c r="B2754" s="2" t="inlineStr">
        <is>
          <t>insert</t>
        </is>
      </c>
      <c r="C2754" s="2" t="inlineStr">
        <is>
          <t>openssl TLS 1.2 only</t>
        </is>
      </c>
      <c r="D2754" s="2" t="n">
        <v>224</v>
      </c>
      <c r="E2754" s="2" t="n">
        <v>224</v>
      </c>
      <c r="F2754" s="2" t="n">
        <v>1</v>
      </c>
      <c r="G2754" s="2" t="n">
        <v>0</v>
      </c>
      <c r="H2754" s="2" t="n">
        <v>0</v>
      </c>
      <c r="I2754" s="2" t="n">
        <v>0</v>
      </c>
    </row>
    <row r="2755">
      <c r="A2755" s="2" t="n">
        <v>2753</v>
      </c>
      <c r="B2755" s="2" t="inlineStr">
        <is>
          <t>flip</t>
        </is>
      </c>
      <c r="C2755" s="2" t="inlineStr">
        <is>
          <t>browser firefox147</t>
        </is>
      </c>
      <c r="D2755" s="2" t="n">
        <v>1901</v>
      </c>
      <c r="E2755" s="2" t="n">
        <v>1901</v>
      </c>
      <c r="F2755" s="2" t="n">
        <v>1</v>
      </c>
      <c r="G2755" s="2" t="n">
        <v>1</v>
      </c>
      <c r="H2755" s="2" t="n">
        <v>0</v>
      </c>
      <c r="I2755" s="2" t="n">
        <v>0</v>
      </c>
    </row>
    <row r="2756">
      <c r="A2756" s="2" t="n">
        <v>2754</v>
      </c>
      <c r="B2756" s="2" t="inlineStr">
        <is>
          <t>truncate</t>
        </is>
      </c>
      <c r="C2756" s="2" t="inlineStr">
        <is>
          <t>openssl 3.5.8 default</t>
        </is>
      </c>
      <c r="D2756" s="2" t="n">
        <v>1364</v>
      </c>
      <c r="E2756" s="2" t="n">
        <v>1364</v>
      </c>
      <c r="F2756" s="2" t="n">
        <v>1</v>
      </c>
      <c r="G2756" s="2" t="n">
        <v>1</v>
      </c>
      <c r="H2756" s="2" t="n">
        <v>1</v>
      </c>
      <c r="I2756" s="2" t="n">
        <v>0</v>
      </c>
    </row>
    <row r="2757">
      <c r="A2757" s="2" t="n">
        <v>2755</v>
      </c>
      <c r="B2757" s="2" t="inlineStr">
        <is>
          <t>length</t>
        </is>
      </c>
      <c r="C2757" s="2" t="inlineStr">
        <is>
          <t>openssl TLS 1.2 only</t>
        </is>
      </c>
      <c r="D2757" s="2" t="n">
        <v>215</v>
      </c>
      <c r="E2757" s="2" t="n">
        <v>215</v>
      </c>
      <c r="F2757" s="2" t="n">
        <v>1</v>
      </c>
      <c r="G2757" s="2" t="n">
        <v>0</v>
      </c>
      <c r="H2757" s="2" t="n">
        <v>0</v>
      </c>
      <c r="I2757" s="2" t="n">
        <v>0</v>
      </c>
    </row>
    <row r="2758">
      <c r="A2758" s="2" t="n">
        <v>2756</v>
      </c>
      <c r="B2758" s="2" t="inlineStr">
        <is>
          <t>insert</t>
        </is>
      </c>
      <c r="C2758" s="2" t="inlineStr">
        <is>
          <t>openssl TLS 1.2 only</t>
        </is>
      </c>
      <c r="D2758" s="2" t="n">
        <v>225</v>
      </c>
      <c r="E2758" s="2" t="n">
        <v>225</v>
      </c>
      <c r="F2758" s="2" t="n">
        <v>1</v>
      </c>
      <c r="G2758" s="2" t="n">
        <v>1</v>
      </c>
      <c r="H2758" s="2" t="n">
        <v>1</v>
      </c>
      <c r="I2758" s="2" t="n">
        <v>0</v>
      </c>
    </row>
    <row r="2759">
      <c r="A2759" s="2" t="n">
        <v>2757</v>
      </c>
      <c r="B2759" s="2" t="inlineStr">
        <is>
          <t>flip</t>
        </is>
      </c>
      <c r="C2759" s="2" t="inlineStr">
        <is>
          <t>openssl X25519 only (classical)</t>
        </is>
      </c>
      <c r="D2759" s="2" t="n">
        <v>314</v>
      </c>
      <c r="E2759" s="2" t="n">
        <v>314</v>
      </c>
      <c r="F2759" s="2" t="n">
        <v>1</v>
      </c>
      <c r="G2759" s="2" t="n">
        <v>1</v>
      </c>
      <c r="H2759" s="2" t="n">
        <v>1</v>
      </c>
      <c r="I2759" s="2" t="n">
        <v>0</v>
      </c>
    </row>
    <row r="2760">
      <c r="A2760" s="2" t="n">
        <v>2758</v>
      </c>
      <c r="B2760" s="2" t="inlineStr">
        <is>
          <t>truncate</t>
        </is>
      </c>
      <c r="C2760" s="2" t="inlineStr">
        <is>
          <t>openssl 3.5.8 default</t>
        </is>
      </c>
      <c r="D2760" s="2" t="n">
        <v>1530</v>
      </c>
      <c r="E2760" s="2" t="n">
        <v>1530</v>
      </c>
      <c r="F2760" s="2" t="n">
        <v>1</v>
      </c>
      <c r="G2760" s="2" t="n">
        <v>1</v>
      </c>
      <c r="H2760" s="2" t="n">
        <v>1</v>
      </c>
      <c r="I2760" s="2" t="n">
        <v>0</v>
      </c>
    </row>
    <row r="2761">
      <c r="A2761" s="2" t="n">
        <v>2759</v>
      </c>
      <c r="B2761" s="2" t="inlineStr">
        <is>
          <t>length</t>
        </is>
      </c>
      <c r="C2761" s="2" t="inlineStr">
        <is>
          <t>openssl X25519 only (classical)</t>
        </is>
      </c>
      <c r="D2761" s="2" t="n">
        <v>314</v>
      </c>
      <c r="E2761" s="2" t="n">
        <v>314</v>
      </c>
      <c r="F2761" s="2" t="n">
        <v>1</v>
      </c>
      <c r="G2761" s="2" t="n">
        <v>1</v>
      </c>
      <c r="H2761" s="2" t="n">
        <v>1</v>
      </c>
      <c r="I2761" s="2" t="n">
        <v>0</v>
      </c>
    </row>
    <row r="2762">
      <c r="A2762" s="2" t="n">
        <v>2760</v>
      </c>
      <c r="B2762" s="2" t="inlineStr">
        <is>
          <t>insert</t>
        </is>
      </c>
      <c r="C2762" s="2" t="inlineStr">
        <is>
          <t>openssl X25519 only (classical)</t>
        </is>
      </c>
      <c r="D2762" s="2" t="n">
        <v>320</v>
      </c>
      <c r="E2762" s="2" t="n">
        <v>320</v>
      </c>
      <c r="F2762" s="2" t="n">
        <v>1</v>
      </c>
      <c r="G2762" s="2" t="n">
        <v>1</v>
      </c>
      <c r="H2762" s="2" t="n">
        <v>1</v>
      </c>
      <c r="I2762" s="2" t="n">
        <v>0</v>
      </c>
    </row>
    <row r="2763">
      <c r="A2763" s="2" t="n">
        <v>2761</v>
      </c>
      <c r="B2763" s="2" t="inlineStr">
        <is>
          <t>flip</t>
        </is>
      </c>
      <c r="C2763" s="2" t="inlineStr">
        <is>
          <t>browser firefox147</t>
        </is>
      </c>
      <c r="D2763" s="2" t="n">
        <v>1901</v>
      </c>
      <c r="E2763" s="2" t="n">
        <v>1901</v>
      </c>
      <c r="F2763" s="2" t="n">
        <v>1</v>
      </c>
      <c r="G2763" s="2" t="n">
        <v>1</v>
      </c>
      <c r="H2763" s="2" t="n">
        <v>0</v>
      </c>
      <c r="I2763" s="2" t="n">
        <v>0</v>
      </c>
    </row>
    <row r="2764">
      <c r="A2764" s="2" t="n">
        <v>2762</v>
      </c>
      <c r="B2764" s="2" t="inlineStr">
        <is>
          <t>truncate</t>
        </is>
      </c>
      <c r="C2764" s="2" t="inlineStr">
        <is>
          <t>browser firefox147</t>
        </is>
      </c>
      <c r="D2764" s="2" t="n">
        <v>1027</v>
      </c>
      <c r="E2764" s="2" t="n">
        <v>1027</v>
      </c>
      <c r="F2764" s="2" t="n">
        <v>1</v>
      </c>
      <c r="G2764" s="2" t="n">
        <v>1</v>
      </c>
      <c r="H2764" s="2" t="n">
        <v>0</v>
      </c>
      <c r="I2764" s="2" t="n">
        <v>0</v>
      </c>
    </row>
    <row r="2765">
      <c r="A2765" s="2" t="n">
        <v>2763</v>
      </c>
      <c r="B2765" s="2" t="inlineStr">
        <is>
          <t>length</t>
        </is>
      </c>
      <c r="C2765" s="2" t="inlineStr">
        <is>
          <t>openssl TLS 1.2 only</t>
        </is>
      </c>
      <c r="D2765" s="2" t="n">
        <v>215</v>
      </c>
      <c r="E2765" s="2" t="n">
        <v>215</v>
      </c>
      <c r="F2765" s="2" t="n">
        <v>1</v>
      </c>
      <c r="G2765" s="2" t="n">
        <v>1</v>
      </c>
      <c r="H2765" s="2" t="n">
        <v>1</v>
      </c>
      <c r="I2765" s="2" t="n">
        <v>0</v>
      </c>
    </row>
    <row r="2766">
      <c r="A2766" s="2" t="n">
        <v>2764</v>
      </c>
      <c r="B2766" s="2" t="inlineStr">
        <is>
          <t>insert</t>
        </is>
      </c>
      <c r="C2766" s="2" t="inlineStr">
        <is>
          <t>openssl 3.5.8 default</t>
        </is>
      </c>
      <c r="D2766" s="2" t="n">
        <v>1558</v>
      </c>
      <c r="E2766" s="2" t="n">
        <v>1558</v>
      </c>
      <c r="F2766" s="2" t="n">
        <v>1</v>
      </c>
      <c r="G2766" s="2" t="n">
        <v>1</v>
      </c>
      <c r="H2766" s="2" t="n">
        <v>1</v>
      </c>
      <c r="I2766" s="2" t="n">
        <v>0</v>
      </c>
    </row>
    <row r="2767">
      <c r="A2767" s="2" t="n">
        <v>2765</v>
      </c>
      <c r="B2767" s="2" t="inlineStr">
        <is>
          <t>flip</t>
        </is>
      </c>
      <c r="C2767" s="2" t="inlineStr">
        <is>
          <t>openssl TLS 1.2 only</t>
        </is>
      </c>
      <c r="D2767" s="2" t="n">
        <v>215</v>
      </c>
      <c r="E2767" s="2" t="n">
        <v>215</v>
      </c>
      <c r="F2767" s="2" t="n">
        <v>1</v>
      </c>
      <c r="G2767" s="2" t="n">
        <v>1</v>
      </c>
      <c r="H2767" s="2" t="n">
        <v>1</v>
      </c>
      <c r="I2767" s="2" t="n">
        <v>0</v>
      </c>
    </row>
    <row r="2768">
      <c r="A2768" s="2" t="n">
        <v>2766</v>
      </c>
      <c r="B2768" s="2" t="inlineStr">
        <is>
          <t>truncate</t>
        </is>
      </c>
      <c r="C2768" s="2" t="inlineStr">
        <is>
          <t>openssl 3.5.8 default</t>
        </is>
      </c>
      <c r="D2768" s="2" t="n">
        <v>1172</v>
      </c>
      <c r="E2768" s="2" t="n">
        <v>1172</v>
      </c>
      <c r="F2768" s="2" t="n">
        <v>1</v>
      </c>
      <c r="G2768" s="2" t="n">
        <v>1</v>
      </c>
      <c r="H2768" s="2" t="n">
        <v>1</v>
      </c>
      <c r="I2768" s="2" t="n">
        <v>0</v>
      </c>
    </row>
    <row r="2769">
      <c r="A2769" s="2" t="n">
        <v>2767</v>
      </c>
      <c r="B2769" s="2" t="inlineStr">
        <is>
          <t>length</t>
        </is>
      </c>
      <c r="C2769" s="2" t="inlineStr">
        <is>
          <t>openssl X25519 only (classical)</t>
        </is>
      </c>
      <c r="D2769" s="2" t="n">
        <v>314</v>
      </c>
      <c r="E2769" s="2" t="n">
        <v>314</v>
      </c>
      <c r="F2769" s="2" t="n">
        <v>1</v>
      </c>
      <c r="G2769" s="2" t="n">
        <v>1</v>
      </c>
      <c r="H2769" s="2" t="n">
        <v>1</v>
      </c>
      <c r="I2769" s="2" t="n">
        <v>0</v>
      </c>
    </row>
    <row r="2770">
      <c r="A2770" s="2" t="n">
        <v>2768</v>
      </c>
      <c r="B2770" s="2" t="inlineStr">
        <is>
          <t>insert</t>
        </is>
      </c>
      <c r="C2770" s="2" t="inlineStr">
        <is>
          <t>openssl TLS 1.2 only</t>
        </is>
      </c>
      <c r="D2770" s="2" t="n">
        <v>231</v>
      </c>
      <c r="E2770" s="2" t="n">
        <v>231</v>
      </c>
      <c r="F2770" s="2" t="n">
        <v>1</v>
      </c>
      <c r="G2770" s="2" t="n">
        <v>1</v>
      </c>
      <c r="H2770" s="2" t="n">
        <v>1</v>
      </c>
      <c r="I2770" s="2" t="n">
        <v>0</v>
      </c>
    </row>
    <row r="2771">
      <c r="A2771" s="2" t="n">
        <v>2769</v>
      </c>
      <c r="B2771" s="2" t="inlineStr">
        <is>
          <t>flip</t>
        </is>
      </c>
      <c r="C2771" s="2" t="inlineStr">
        <is>
          <t>browser firefox147</t>
        </is>
      </c>
      <c r="D2771" s="2" t="n">
        <v>1901</v>
      </c>
      <c r="E2771" s="2" t="n">
        <v>1901</v>
      </c>
      <c r="F2771" s="2" t="n">
        <v>0</v>
      </c>
      <c r="G2771" s="2" t="n">
        <v>0</v>
      </c>
      <c r="H2771" s="2" t="n">
        <v>0</v>
      </c>
      <c r="I2771" s="2" t="n">
        <v>0</v>
      </c>
    </row>
    <row r="2772">
      <c r="A2772" s="2" t="n">
        <v>2770</v>
      </c>
      <c r="B2772" s="2" t="inlineStr">
        <is>
          <t>truncate</t>
        </is>
      </c>
      <c r="C2772" s="2" t="inlineStr">
        <is>
          <t>browser chrome150</t>
        </is>
      </c>
      <c r="D2772" s="2" t="n">
        <v>849</v>
      </c>
      <c r="E2772" s="2" t="n">
        <v>849</v>
      </c>
      <c r="F2772" s="2" t="n">
        <v>1</v>
      </c>
      <c r="G2772" s="2" t="n">
        <v>1</v>
      </c>
      <c r="H2772" s="2" t="n">
        <v>1</v>
      </c>
      <c r="I2772" s="2" t="n">
        <v>0</v>
      </c>
    </row>
    <row r="2773">
      <c r="A2773" s="2" t="n">
        <v>2771</v>
      </c>
      <c r="B2773" s="2" t="inlineStr">
        <is>
          <t>length</t>
        </is>
      </c>
      <c r="C2773" s="2" t="inlineStr">
        <is>
          <t>browser firefox147</t>
        </is>
      </c>
      <c r="D2773" s="2" t="n">
        <v>1901</v>
      </c>
      <c r="E2773" s="2" t="n">
        <v>1901</v>
      </c>
      <c r="F2773" s="2" t="n">
        <v>1</v>
      </c>
      <c r="G2773" s="2" t="n">
        <v>1</v>
      </c>
      <c r="H2773" s="2" t="n">
        <v>1</v>
      </c>
      <c r="I2773" s="2" t="n">
        <v>0</v>
      </c>
    </row>
    <row r="2774">
      <c r="A2774" s="2" t="n">
        <v>2772</v>
      </c>
      <c r="B2774" s="2" t="inlineStr">
        <is>
          <t>insert</t>
        </is>
      </c>
      <c r="C2774" s="2" t="inlineStr">
        <is>
          <t>openssl 3.5.8 default</t>
        </is>
      </c>
      <c r="D2774" s="2" t="n">
        <v>1560</v>
      </c>
      <c r="E2774" s="2" t="n">
        <v>1560</v>
      </c>
      <c r="F2774" s="2" t="n">
        <v>1</v>
      </c>
      <c r="G2774" s="2" t="n">
        <v>1</v>
      </c>
      <c r="H2774" s="2" t="n">
        <v>1</v>
      </c>
      <c r="I2774" s="2" t="n">
        <v>0</v>
      </c>
    </row>
    <row r="2775">
      <c r="A2775" s="2" t="n">
        <v>2773</v>
      </c>
      <c r="B2775" s="2" t="inlineStr">
        <is>
          <t>flip</t>
        </is>
      </c>
      <c r="C2775" s="2" t="inlineStr">
        <is>
          <t>openssl 3.5.8 default</t>
        </is>
      </c>
      <c r="D2775" s="2" t="n">
        <v>1548</v>
      </c>
      <c r="E2775" s="2" t="n">
        <v>1548</v>
      </c>
      <c r="F2775" s="2" t="n">
        <v>1</v>
      </c>
      <c r="G2775" s="2" t="n">
        <v>1</v>
      </c>
      <c r="H2775" s="2" t="n">
        <v>1</v>
      </c>
      <c r="I2775" s="2" t="n">
        <v>0</v>
      </c>
    </row>
    <row r="2776">
      <c r="A2776" s="2" t="n">
        <v>2774</v>
      </c>
      <c r="B2776" s="2" t="inlineStr">
        <is>
          <t>truncate</t>
        </is>
      </c>
      <c r="C2776" s="2" t="inlineStr">
        <is>
          <t>openssl X25519 only (classical)</t>
        </is>
      </c>
      <c r="D2776" s="2" t="n">
        <v>100</v>
      </c>
      <c r="E2776" s="2" t="n">
        <v>100</v>
      </c>
      <c r="F2776" s="2" t="n">
        <v>1</v>
      </c>
      <c r="G2776" s="2" t="n">
        <v>0</v>
      </c>
      <c r="H2776" s="2" t="n">
        <v>0</v>
      </c>
      <c r="I2776" s="2" t="n">
        <v>0</v>
      </c>
    </row>
    <row r="2777">
      <c r="A2777" s="2" t="n">
        <v>2775</v>
      </c>
      <c r="B2777" s="2" t="inlineStr">
        <is>
          <t>length</t>
        </is>
      </c>
      <c r="C2777" s="2" t="inlineStr">
        <is>
          <t>openssl TLS 1.2 only</t>
        </is>
      </c>
      <c r="D2777" s="2" t="n">
        <v>215</v>
      </c>
      <c r="E2777" s="2" t="n">
        <v>215</v>
      </c>
      <c r="F2777" s="2" t="n">
        <v>0</v>
      </c>
      <c r="G2777" s="2" t="n">
        <v>0</v>
      </c>
      <c r="H2777" s="2" t="n">
        <v>0</v>
      </c>
      <c r="I2777" s="2" t="n">
        <v>0</v>
      </c>
    </row>
    <row r="2778">
      <c r="A2778" s="2" t="n">
        <v>2776</v>
      </c>
      <c r="B2778" s="2" t="inlineStr">
        <is>
          <t>insert</t>
        </is>
      </c>
      <c r="C2778" s="2" t="inlineStr">
        <is>
          <t>openssl X25519 only (classical)</t>
        </is>
      </c>
      <c r="D2778" s="2" t="n">
        <v>330</v>
      </c>
      <c r="E2778" s="2" t="n">
        <v>330</v>
      </c>
      <c r="F2778" s="2" t="n">
        <v>1</v>
      </c>
      <c r="G2778" s="2" t="n">
        <v>1</v>
      </c>
      <c r="H2778" s="2" t="n">
        <v>1</v>
      </c>
      <c r="I2778" s="2" t="n">
        <v>0</v>
      </c>
    </row>
    <row r="2779">
      <c r="A2779" s="2" t="n">
        <v>2777</v>
      </c>
      <c r="B2779" s="2" t="inlineStr">
        <is>
          <t>flip</t>
        </is>
      </c>
      <c r="C2779" s="2" t="inlineStr">
        <is>
          <t>openssl X25519 only (classical)</t>
        </is>
      </c>
      <c r="D2779" s="2" t="n">
        <v>314</v>
      </c>
      <c r="E2779" s="2" t="n">
        <v>314</v>
      </c>
      <c r="F2779" s="2" t="n">
        <v>1</v>
      </c>
      <c r="G2779" s="2" t="n">
        <v>1</v>
      </c>
      <c r="H2779" s="2" t="n">
        <v>1</v>
      </c>
      <c r="I2779" s="2" t="n">
        <v>0</v>
      </c>
    </row>
    <row r="2780">
      <c r="A2780" s="2" t="n">
        <v>2778</v>
      </c>
      <c r="B2780" s="2" t="inlineStr">
        <is>
          <t>truncate</t>
        </is>
      </c>
      <c r="C2780" s="2" t="inlineStr">
        <is>
          <t>openssl X25519 only (classical)</t>
        </is>
      </c>
      <c r="D2780" s="2" t="n">
        <v>304</v>
      </c>
      <c r="E2780" s="2" t="n">
        <v>304</v>
      </c>
      <c r="F2780" s="2" t="n">
        <v>1</v>
      </c>
      <c r="G2780" s="2" t="n">
        <v>1</v>
      </c>
      <c r="H2780" s="2" t="n">
        <v>1</v>
      </c>
      <c r="I2780" s="2" t="n">
        <v>0</v>
      </c>
    </row>
    <row r="2781">
      <c r="A2781" s="2" t="n">
        <v>2779</v>
      </c>
      <c r="B2781" s="2" t="inlineStr">
        <is>
          <t>length</t>
        </is>
      </c>
      <c r="C2781" s="2" t="inlineStr">
        <is>
          <t>openssl X25519 only (classical)</t>
        </is>
      </c>
      <c r="D2781" s="2" t="n">
        <v>314</v>
      </c>
      <c r="E2781" s="2" t="n">
        <v>314</v>
      </c>
      <c r="F2781" s="2" t="n">
        <v>1</v>
      </c>
      <c r="G2781" s="2" t="n">
        <v>0</v>
      </c>
      <c r="H2781" s="2" t="n">
        <v>0</v>
      </c>
      <c r="I2781" s="2" t="n">
        <v>0</v>
      </c>
    </row>
    <row r="2782">
      <c r="A2782" s="2" t="n">
        <v>2780</v>
      </c>
      <c r="B2782" s="2" t="inlineStr">
        <is>
          <t>insert</t>
        </is>
      </c>
      <c r="C2782" s="2" t="inlineStr">
        <is>
          <t>openssl 3.5.8 default</t>
        </is>
      </c>
      <c r="D2782" s="2" t="n">
        <v>1563</v>
      </c>
      <c r="E2782" s="2" t="n">
        <v>1563</v>
      </c>
      <c r="F2782" s="2" t="n">
        <v>1</v>
      </c>
      <c r="G2782" s="2" t="n">
        <v>1</v>
      </c>
      <c r="H2782" s="2" t="n">
        <v>1</v>
      </c>
      <c r="I2782" s="2" t="n">
        <v>0</v>
      </c>
    </row>
    <row r="2783">
      <c r="A2783" s="2" t="n">
        <v>2781</v>
      </c>
      <c r="B2783" s="2" t="inlineStr">
        <is>
          <t>flip</t>
        </is>
      </c>
      <c r="C2783" s="2" t="inlineStr">
        <is>
          <t>browser chrome150</t>
        </is>
      </c>
      <c r="D2783" s="2" t="n">
        <v>1763</v>
      </c>
      <c r="E2783" s="2" t="n">
        <v>1763</v>
      </c>
      <c r="F2783" s="2" t="n">
        <v>1</v>
      </c>
      <c r="G2783" s="2" t="n">
        <v>1</v>
      </c>
      <c r="H2783" s="2" t="n">
        <v>1</v>
      </c>
      <c r="I2783" s="2" t="n">
        <v>0</v>
      </c>
    </row>
    <row r="2784">
      <c r="A2784" s="2" t="n">
        <v>2782</v>
      </c>
      <c r="B2784" s="2" t="inlineStr">
        <is>
          <t>truncate</t>
        </is>
      </c>
      <c r="C2784" s="2" t="inlineStr">
        <is>
          <t>openssl 3.5.8 default</t>
        </is>
      </c>
      <c r="D2784" s="2" t="n">
        <v>791</v>
      </c>
      <c r="E2784" s="2" t="n">
        <v>791</v>
      </c>
      <c r="F2784" s="2" t="n">
        <v>1</v>
      </c>
      <c r="G2784" s="2" t="n">
        <v>1</v>
      </c>
      <c r="H2784" s="2" t="n">
        <v>1</v>
      </c>
      <c r="I2784" s="2" t="n">
        <v>0</v>
      </c>
    </row>
    <row r="2785">
      <c r="A2785" s="2" t="n">
        <v>2783</v>
      </c>
      <c r="B2785" s="2" t="inlineStr">
        <is>
          <t>length</t>
        </is>
      </c>
      <c r="C2785" s="2" t="inlineStr">
        <is>
          <t>browser chrome150</t>
        </is>
      </c>
      <c r="D2785" s="2" t="n">
        <v>1763</v>
      </c>
      <c r="E2785" s="2" t="n">
        <v>1763</v>
      </c>
      <c r="F2785" s="2" t="n">
        <v>1</v>
      </c>
      <c r="G2785" s="2" t="n">
        <v>0</v>
      </c>
      <c r="H2785" s="2" t="n">
        <v>0</v>
      </c>
      <c r="I2785" s="2" t="n">
        <v>0</v>
      </c>
    </row>
    <row r="2786">
      <c r="A2786" s="2" t="n">
        <v>2784</v>
      </c>
      <c r="B2786" s="2" t="inlineStr">
        <is>
          <t>insert</t>
        </is>
      </c>
      <c r="C2786" s="2" t="inlineStr">
        <is>
          <t>openssl 3.5.8 default</t>
        </is>
      </c>
      <c r="D2786" s="2" t="n">
        <v>1558</v>
      </c>
      <c r="E2786" s="2" t="n">
        <v>1558</v>
      </c>
      <c r="F2786" s="2" t="n">
        <v>1</v>
      </c>
      <c r="G2786" s="2" t="n">
        <v>1</v>
      </c>
      <c r="H2786" s="2" t="n">
        <v>1</v>
      </c>
      <c r="I2786" s="2" t="n">
        <v>0</v>
      </c>
    </row>
    <row r="2787">
      <c r="A2787" s="2" t="n">
        <v>2785</v>
      </c>
      <c r="B2787" s="2" t="inlineStr">
        <is>
          <t>flip</t>
        </is>
      </c>
      <c r="C2787" s="2" t="inlineStr">
        <is>
          <t>openssl X25519 only (classical)</t>
        </is>
      </c>
      <c r="D2787" s="2" t="n">
        <v>314</v>
      </c>
      <c r="E2787" s="2" t="n">
        <v>314</v>
      </c>
      <c r="F2787" s="2" t="n">
        <v>1</v>
      </c>
      <c r="G2787" s="2" t="n">
        <v>1</v>
      </c>
      <c r="H2787" s="2" t="n">
        <v>1</v>
      </c>
      <c r="I2787" s="2" t="n">
        <v>0</v>
      </c>
    </row>
    <row r="2788">
      <c r="A2788" s="2" t="n">
        <v>2786</v>
      </c>
      <c r="B2788" s="2" t="inlineStr">
        <is>
          <t>truncate</t>
        </is>
      </c>
      <c r="C2788" s="2" t="inlineStr">
        <is>
          <t>openssl 3.5.8 default</t>
        </is>
      </c>
      <c r="D2788" s="2" t="n">
        <v>708</v>
      </c>
      <c r="E2788" s="2" t="n">
        <v>708</v>
      </c>
      <c r="F2788" s="2" t="n">
        <v>1</v>
      </c>
      <c r="G2788" s="2" t="n">
        <v>1</v>
      </c>
      <c r="H2788" s="2" t="n">
        <v>1</v>
      </c>
      <c r="I2788" s="2" t="n">
        <v>0</v>
      </c>
    </row>
    <row r="2789">
      <c r="A2789" s="2" t="n">
        <v>2787</v>
      </c>
      <c r="B2789" s="2" t="inlineStr">
        <is>
          <t>length</t>
        </is>
      </c>
      <c r="C2789" s="2" t="inlineStr">
        <is>
          <t>openssl X25519 only (classical)</t>
        </is>
      </c>
      <c r="D2789" s="2" t="n">
        <v>314</v>
      </c>
      <c r="E2789" s="2" t="n">
        <v>314</v>
      </c>
      <c r="F2789" s="2" t="n">
        <v>1</v>
      </c>
      <c r="G2789" s="2" t="n">
        <v>1</v>
      </c>
      <c r="H2789" s="2" t="n">
        <v>0</v>
      </c>
      <c r="I2789" s="2" t="n">
        <v>0</v>
      </c>
    </row>
    <row r="2790">
      <c r="A2790" s="2" t="n">
        <v>2788</v>
      </c>
      <c r="B2790" s="2" t="inlineStr">
        <is>
          <t>insert</t>
        </is>
      </c>
      <c r="C2790" s="2" t="inlineStr">
        <is>
          <t>browser firefox147</t>
        </is>
      </c>
      <c r="D2790" s="2" t="n">
        <v>1904</v>
      </c>
      <c r="E2790" s="2" t="n">
        <v>1904</v>
      </c>
      <c r="F2790" s="2" t="n">
        <v>1</v>
      </c>
      <c r="G2790" s="2" t="n">
        <v>1</v>
      </c>
      <c r="H2790" s="2" t="n">
        <v>0</v>
      </c>
      <c r="I2790" s="2" t="n">
        <v>0</v>
      </c>
    </row>
    <row r="2791">
      <c r="A2791" s="2" t="n">
        <v>2789</v>
      </c>
      <c r="B2791" s="2" t="inlineStr">
        <is>
          <t>flip</t>
        </is>
      </c>
      <c r="C2791" s="2" t="inlineStr">
        <is>
          <t>openssl TLS 1.2 only</t>
        </is>
      </c>
      <c r="D2791" s="2" t="n">
        <v>215</v>
      </c>
      <c r="E2791" s="2" t="n">
        <v>215</v>
      </c>
      <c r="F2791" s="2" t="n">
        <v>1</v>
      </c>
      <c r="G2791" s="2" t="n">
        <v>1</v>
      </c>
      <c r="H2791" s="2" t="n">
        <v>1</v>
      </c>
      <c r="I2791" s="2" t="n">
        <v>0</v>
      </c>
    </row>
    <row r="2792">
      <c r="A2792" s="2" t="n">
        <v>2790</v>
      </c>
      <c r="B2792" s="2" t="inlineStr">
        <is>
          <t>truncate</t>
        </is>
      </c>
      <c r="C2792" s="2" t="inlineStr">
        <is>
          <t>openssl TLS 1.2 only</t>
        </is>
      </c>
      <c r="D2792" s="2" t="n">
        <v>21</v>
      </c>
      <c r="E2792" s="2" t="n">
        <v>21</v>
      </c>
      <c r="F2792" s="2" t="n">
        <v>1</v>
      </c>
      <c r="G2792" s="2" t="n">
        <v>0</v>
      </c>
      <c r="H2792" s="2" t="n">
        <v>0</v>
      </c>
      <c r="I2792" s="2" t="n">
        <v>0</v>
      </c>
    </row>
    <row r="2793">
      <c r="A2793" s="2" t="n">
        <v>2791</v>
      </c>
      <c r="B2793" s="2" t="inlineStr">
        <is>
          <t>length</t>
        </is>
      </c>
      <c r="C2793" s="2" t="inlineStr">
        <is>
          <t>openssl 3.5.8 default</t>
        </is>
      </c>
      <c r="D2793" s="2" t="n">
        <v>1548</v>
      </c>
      <c r="E2793" s="2" t="n">
        <v>1548</v>
      </c>
      <c r="F2793" s="2" t="n">
        <v>1</v>
      </c>
      <c r="G2793" s="2" t="n">
        <v>0</v>
      </c>
      <c r="H2793" s="2" t="n">
        <v>0</v>
      </c>
      <c r="I2793" s="2" t="n">
        <v>0</v>
      </c>
    </row>
    <row r="2794">
      <c r="A2794" s="2" t="n">
        <v>2792</v>
      </c>
      <c r="B2794" s="2" t="inlineStr">
        <is>
          <t>insert</t>
        </is>
      </c>
      <c r="C2794" s="2" t="inlineStr">
        <is>
          <t>openssl TLS 1.2 only</t>
        </is>
      </c>
      <c r="D2794" s="2" t="n">
        <v>224</v>
      </c>
      <c r="E2794" s="2" t="n">
        <v>224</v>
      </c>
      <c r="F2794" s="2" t="n">
        <v>1</v>
      </c>
      <c r="G2794" s="2" t="n">
        <v>1</v>
      </c>
      <c r="H2794" s="2" t="n">
        <v>1</v>
      </c>
      <c r="I2794" s="2" t="n">
        <v>0</v>
      </c>
    </row>
    <row r="2795">
      <c r="A2795" s="2" t="n">
        <v>2793</v>
      </c>
      <c r="B2795" s="2" t="inlineStr">
        <is>
          <t>flip</t>
        </is>
      </c>
      <c r="C2795" s="2" t="inlineStr">
        <is>
          <t>browser firefox147</t>
        </is>
      </c>
      <c r="D2795" s="2" t="n">
        <v>1901</v>
      </c>
      <c r="E2795" s="2" t="n">
        <v>1901</v>
      </c>
      <c r="F2795" s="2" t="n">
        <v>1</v>
      </c>
      <c r="G2795" s="2" t="n">
        <v>1</v>
      </c>
      <c r="H2795" s="2" t="n">
        <v>0</v>
      </c>
      <c r="I2795" s="2" t="n">
        <v>0</v>
      </c>
    </row>
    <row r="2796">
      <c r="A2796" s="2" t="n">
        <v>2794</v>
      </c>
      <c r="B2796" s="2" t="inlineStr">
        <is>
          <t>truncate</t>
        </is>
      </c>
      <c r="C2796" s="2" t="inlineStr">
        <is>
          <t>openssl X25519 only (classical)</t>
        </is>
      </c>
      <c r="D2796" s="2" t="n">
        <v>302</v>
      </c>
      <c r="E2796" s="2" t="n">
        <v>302</v>
      </c>
      <c r="F2796" s="2" t="n">
        <v>1</v>
      </c>
      <c r="G2796" s="2" t="n">
        <v>1</v>
      </c>
      <c r="H2796" s="2" t="n">
        <v>1</v>
      </c>
      <c r="I2796" s="2" t="n">
        <v>0</v>
      </c>
    </row>
    <row r="2797">
      <c r="A2797" s="2" t="n">
        <v>2795</v>
      </c>
      <c r="B2797" s="2" t="inlineStr">
        <is>
          <t>length</t>
        </is>
      </c>
      <c r="C2797" s="2" t="inlineStr">
        <is>
          <t>openssl X25519 only (classical)</t>
        </is>
      </c>
      <c r="D2797" s="2" t="n">
        <v>314</v>
      </c>
      <c r="E2797" s="2" t="n">
        <v>314</v>
      </c>
      <c r="F2797" s="2" t="n">
        <v>1</v>
      </c>
      <c r="G2797" s="2" t="n">
        <v>1</v>
      </c>
      <c r="H2797" s="2" t="n">
        <v>0</v>
      </c>
      <c r="I2797" s="2" t="n">
        <v>0</v>
      </c>
    </row>
    <row r="2798">
      <c r="A2798" s="2" t="n">
        <v>2796</v>
      </c>
      <c r="B2798" s="2" t="inlineStr">
        <is>
          <t>insert</t>
        </is>
      </c>
      <c r="C2798" s="2" t="inlineStr">
        <is>
          <t>browser chrome150</t>
        </is>
      </c>
      <c r="D2798" s="2" t="n">
        <v>1774</v>
      </c>
      <c r="E2798" s="2" t="n">
        <v>1774</v>
      </c>
      <c r="F2798" s="2" t="n">
        <v>1</v>
      </c>
      <c r="G2798" s="2" t="n">
        <v>1</v>
      </c>
      <c r="H2798" s="2" t="n">
        <v>1</v>
      </c>
      <c r="I2798" s="2" t="n">
        <v>0</v>
      </c>
    </row>
    <row r="2799">
      <c r="A2799" s="2" t="n">
        <v>2797</v>
      </c>
      <c r="B2799" s="2" t="inlineStr">
        <is>
          <t>flip</t>
        </is>
      </c>
      <c r="C2799" s="2" t="inlineStr">
        <is>
          <t>openssl 3.5.8 default</t>
        </is>
      </c>
      <c r="D2799" s="2" t="n">
        <v>1548</v>
      </c>
      <c r="E2799" s="2" t="n">
        <v>1548</v>
      </c>
      <c r="F2799" s="2" t="n">
        <v>1</v>
      </c>
      <c r="G2799" s="2" t="n">
        <v>1</v>
      </c>
      <c r="H2799" s="2" t="n">
        <v>1</v>
      </c>
      <c r="I2799" s="2" t="n">
        <v>0</v>
      </c>
    </row>
    <row r="2800">
      <c r="A2800" s="2" t="n">
        <v>2798</v>
      </c>
      <c r="B2800" s="2" t="inlineStr">
        <is>
          <t>truncate</t>
        </is>
      </c>
      <c r="C2800" s="2" t="inlineStr">
        <is>
          <t>browser chrome150</t>
        </is>
      </c>
      <c r="D2800" s="2" t="n">
        <v>238</v>
      </c>
      <c r="E2800" s="2" t="n">
        <v>238</v>
      </c>
      <c r="F2800" s="2" t="n">
        <v>1</v>
      </c>
      <c r="G2800" s="2" t="n">
        <v>1</v>
      </c>
      <c r="H2800" s="2" t="n">
        <v>1</v>
      </c>
      <c r="I2800" s="2" t="n">
        <v>0</v>
      </c>
    </row>
    <row r="2801">
      <c r="A2801" s="2" t="n">
        <v>2799</v>
      </c>
      <c r="B2801" s="2" t="inlineStr">
        <is>
          <t>length</t>
        </is>
      </c>
      <c r="C2801" s="2" t="inlineStr">
        <is>
          <t>browser chrome150</t>
        </is>
      </c>
      <c r="D2801" s="2" t="n">
        <v>1763</v>
      </c>
      <c r="E2801" s="2" t="n">
        <v>1763</v>
      </c>
      <c r="F2801" s="2" t="n">
        <v>0</v>
      </c>
      <c r="G2801" s="2" t="n">
        <v>0</v>
      </c>
      <c r="H2801" s="2" t="n">
        <v>0</v>
      </c>
      <c r="I2801" s="2" t="n">
        <v>0</v>
      </c>
    </row>
    <row r="2802">
      <c r="A2802" s="2" t="n">
        <v>2800</v>
      </c>
      <c r="B2802" s="2" t="inlineStr">
        <is>
          <t>insert</t>
        </is>
      </c>
      <c r="C2802" s="2" t="inlineStr">
        <is>
          <t>openssl X25519 only (classical)</t>
        </is>
      </c>
      <c r="D2802" s="2" t="n">
        <v>319</v>
      </c>
      <c r="E2802" s="2" t="n">
        <v>319</v>
      </c>
      <c r="F2802" s="2" t="n">
        <v>1</v>
      </c>
      <c r="G2802" s="2" t="n">
        <v>1</v>
      </c>
      <c r="H2802" s="2" t="n">
        <v>1</v>
      </c>
      <c r="I2802" s="2" t="n">
        <v>0</v>
      </c>
    </row>
    <row r="2803">
      <c r="A2803" s="2" t="n">
        <v>2801</v>
      </c>
      <c r="B2803" s="2" t="inlineStr">
        <is>
          <t>flip</t>
        </is>
      </c>
      <c r="C2803" s="2" t="inlineStr">
        <is>
          <t>browser chrome150</t>
        </is>
      </c>
      <c r="D2803" s="2" t="n">
        <v>1763</v>
      </c>
      <c r="E2803" s="2" t="n">
        <v>1763</v>
      </c>
      <c r="F2803" s="2" t="n">
        <v>1</v>
      </c>
      <c r="G2803" s="2" t="n">
        <v>1</v>
      </c>
      <c r="H2803" s="2" t="n">
        <v>1</v>
      </c>
      <c r="I2803" s="2" t="n">
        <v>0</v>
      </c>
    </row>
    <row r="2804">
      <c r="A2804" s="2" t="n">
        <v>2802</v>
      </c>
      <c r="B2804" s="2" t="inlineStr">
        <is>
          <t>truncate</t>
        </is>
      </c>
      <c r="C2804" s="2" t="inlineStr">
        <is>
          <t>openssl X25519 only (classical)</t>
        </is>
      </c>
      <c r="D2804" s="2" t="n">
        <v>266</v>
      </c>
      <c r="E2804" s="2" t="n">
        <v>266</v>
      </c>
      <c r="F2804" s="2" t="n">
        <v>1</v>
      </c>
      <c r="G2804" s="2" t="n">
        <v>1</v>
      </c>
      <c r="H2804" s="2" t="n">
        <v>1</v>
      </c>
      <c r="I2804" s="2" t="n">
        <v>0</v>
      </c>
    </row>
    <row r="2805">
      <c r="A2805" s="2" t="n">
        <v>2803</v>
      </c>
      <c r="B2805" s="2" t="inlineStr">
        <is>
          <t>length</t>
        </is>
      </c>
      <c r="C2805" s="2" t="inlineStr">
        <is>
          <t>openssl TLS 1.2 only</t>
        </is>
      </c>
      <c r="D2805" s="2" t="n">
        <v>215</v>
      </c>
      <c r="E2805" s="2" t="n">
        <v>215</v>
      </c>
      <c r="F2805" s="2" t="n">
        <v>1</v>
      </c>
      <c r="G2805" s="2" t="n">
        <v>1</v>
      </c>
      <c r="H2805" s="2" t="n">
        <v>0</v>
      </c>
      <c r="I2805" s="2" t="n">
        <v>0</v>
      </c>
    </row>
    <row r="2806">
      <c r="A2806" s="2" t="n">
        <v>2804</v>
      </c>
      <c r="B2806" s="2" t="inlineStr">
        <is>
          <t>insert</t>
        </is>
      </c>
      <c r="C2806" s="2" t="inlineStr">
        <is>
          <t>browser firefox147</t>
        </is>
      </c>
      <c r="D2806" s="2" t="n">
        <v>1910</v>
      </c>
      <c r="E2806" s="2" t="n">
        <v>1910</v>
      </c>
      <c r="F2806" s="2" t="n">
        <v>1</v>
      </c>
      <c r="G2806" s="2" t="n">
        <v>1</v>
      </c>
      <c r="H2806" s="2" t="n">
        <v>0</v>
      </c>
      <c r="I2806" s="2" t="n">
        <v>0</v>
      </c>
    </row>
    <row r="2807">
      <c r="A2807" s="2" t="n">
        <v>2805</v>
      </c>
      <c r="B2807" s="2" t="inlineStr">
        <is>
          <t>flip</t>
        </is>
      </c>
      <c r="C2807" s="2" t="inlineStr">
        <is>
          <t>openssl TLS 1.2 only</t>
        </is>
      </c>
      <c r="D2807" s="2" t="n">
        <v>215</v>
      </c>
      <c r="E2807" s="2" t="n">
        <v>215</v>
      </c>
      <c r="F2807" s="2" t="n">
        <v>1</v>
      </c>
      <c r="G2807" s="2" t="n">
        <v>1</v>
      </c>
      <c r="H2807" s="2" t="n">
        <v>1</v>
      </c>
      <c r="I2807" s="2" t="n">
        <v>0</v>
      </c>
    </row>
    <row r="2808">
      <c r="A2808" s="2" t="n">
        <v>2806</v>
      </c>
      <c r="B2808" s="2" t="inlineStr">
        <is>
          <t>truncate</t>
        </is>
      </c>
      <c r="C2808" s="2" t="inlineStr">
        <is>
          <t>browser chrome150</t>
        </is>
      </c>
      <c r="D2808" s="2" t="n">
        <v>206</v>
      </c>
      <c r="E2808" s="2" t="n">
        <v>206</v>
      </c>
      <c r="F2808" s="2" t="n">
        <v>1</v>
      </c>
      <c r="G2808" s="2" t="n">
        <v>1</v>
      </c>
      <c r="H2808" s="2" t="n">
        <v>1</v>
      </c>
      <c r="I2808" s="2" t="n">
        <v>0</v>
      </c>
    </row>
    <row r="2809">
      <c r="A2809" s="2" t="n">
        <v>2807</v>
      </c>
      <c r="B2809" s="2" t="inlineStr">
        <is>
          <t>length</t>
        </is>
      </c>
      <c r="C2809" s="2" t="inlineStr">
        <is>
          <t>browser firefox147</t>
        </is>
      </c>
      <c r="D2809" s="2" t="n">
        <v>1901</v>
      </c>
      <c r="E2809" s="2" t="n">
        <v>1901</v>
      </c>
      <c r="F2809" s="2" t="n">
        <v>1</v>
      </c>
      <c r="G2809" s="2" t="n">
        <v>1</v>
      </c>
      <c r="H2809" s="2" t="n">
        <v>1</v>
      </c>
      <c r="I2809" s="2" t="n">
        <v>0</v>
      </c>
    </row>
    <row r="2810">
      <c r="A2810" s="2" t="n">
        <v>2808</v>
      </c>
      <c r="B2810" s="2" t="inlineStr">
        <is>
          <t>insert</t>
        </is>
      </c>
      <c r="C2810" s="2" t="inlineStr">
        <is>
          <t>openssl 3.5.8 default</t>
        </is>
      </c>
      <c r="D2810" s="2" t="n">
        <v>1557</v>
      </c>
      <c r="E2810" s="2" t="n">
        <v>1557</v>
      </c>
      <c r="F2810" s="2" t="n">
        <v>1</v>
      </c>
      <c r="G2810" s="2" t="n">
        <v>1</v>
      </c>
      <c r="H2810" s="2" t="n">
        <v>1</v>
      </c>
      <c r="I2810" s="2" t="n">
        <v>0</v>
      </c>
    </row>
    <row r="2811">
      <c r="A2811" s="2" t="n">
        <v>2809</v>
      </c>
      <c r="B2811" s="2" t="inlineStr">
        <is>
          <t>flip</t>
        </is>
      </c>
      <c r="C2811" s="2" t="inlineStr">
        <is>
          <t>browser chrome150</t>
        </is>
      </c>
      <c r="D2811" s="2" t="n">
        <v>1763</v>
      </c>
      <c r="E2811" s="2" t="n">
        <v>1763</v>
      </c>
      <c r="F2811" s="2" t="n">
        <v>1</v>
      </c>
      <c r="G2811" s="2" t="n">
        <v>1</v>
      </c>
      <c r="H2811" s="2" t="n">
        <v>1</v>
      </c>
      <c r="I2811" s="2" t="n">
        <v>0</v>
      </c>
    </row>
    <row r="2812">
      <c r="A2812" s="2" t="n">
        <v>2810</v>
      </c>
      <c r="B2812" s="2" t="inlineStr">
        <is>
          <t>truncate</t>
        </is>
      </c>
      <c r="C2812" s="2" t="inlineStr">
        <is>
          <t>openssl 3.5.8 default</t>
        </is>
      </c>
      <c r="D2812" s="2" t="n">
        <v>698</v>
      </c>
      <c r="E2812" s="2" t="n">
        <v>698</v>
      </c>
      <c r="F2812" s="2" t="n">
        <v>1</v>
      </c>
      <c r="G2812" s="2" t="n">
        <v>1</v>
      </c>
      <c r="H2812" s="2" t="n">
        <v>1</v>
      </c>
      <c r="I2812" s="2" t="n">
        <v>0</v>
      </c>
    </row>
    <row r="2813">
      <c r="A2813" s="2" t="n">
        <v>2811</v>
      </c>
      <c r="B2813" s="2" t="inlineStr">
        <is>
          <t>length</t>
        </is>
      </c>
      <c r="C2813" s="2" t="inlineStr">
        <is>
          <t>openssl TLS 1.2 only</t>
        </is>
      </c>
      <c r="D2813" s="2" t="n">
        <v>215</v>
      </c>
      <c r="E2813" s="2" t="n">
        <v>215</v>
      </c>
      <c r="F2813" s="2" t="n">
        <v>0</v>
      </c>
      <c r="G2813" s="2" t="n">
        <v>0</v>
      </c>
      <c r="H2813" s="2" t="n">
        <v>0</v>
      </c>
      <c r="I2813" s="2" t="n">
        <v>0</v>
      </c>
    </row>
    <row r="2814">
      <c r="A2814" s="2" t="n">
        <v>2812</v>
      </c>
      <c r="B2814" s="2" t="inlineStr">
        <is>
          <t>insert</t>
        </is>
      </c>
      <c r="C2814" s="2" t="inlineStr">
        <is>
          <t>openssl 3.5.8 default</t>
        </is>
      </c>
      <c r="D2814" s="2" t="n">
        <v>1562</v>
      </c>
      <c r="E2814" s="2" t="n">
        <v>1562</v>
      </c>
      <c r="F2814" s="2" t="n">
        <v>1</v>
      </c>
      <c r="G2814" s="2" t="n">
        <v>1</v>
      </c>
      <c r="H2814" s="2" t="n">
        <v>1</v>
      </c>
      <c r="I2814" s="2" t="n">
        <v>0</v>
      </c>
    </row>
    <row r="2815">
      <c r="A2815" s="2" t="n">
        <v>2813</v>
      </c>
      <c r="B2815" s="2" t="inlineStr">
        <is>
          <t>flip</t>
        </is>
      </c>
      <c r="C2815" s="2" t="inlineStr">
        <is>
          <t>openssl X25519 only (classical)</t>
        </is>
      </c>
      <c r="D2815" s="2" t="n">
        <v>314</v>
      </c>
      <c r="E2815" s="2" t="n">
        <v>314</v>
      </c>
      <c r="F2815" s="2" t="n">
        <v>1</v>
      </c>
      <c r="G2815" s="2" t="n">
        <v>1</v>
      </c>
      <c r="H2815" s="2" t="n">
        <v>1</v>
      </c>
      <c r="I2815" s="2" t="n">
        <v>0</v>
      </c>
    </row>
    <row r="2816">
      <c r="A2816" s="2" t="n">
        <v>2814</v>
      </c>
      <c r="B2816" s="2" t="inlineStr">
        <is>
          <t>truncate</t>
        </is>
      </c>
      <c r="C2816" s="2" t="inlineStr">
        <is>
          <t>browser chrome150</t>
        </is>
      </c>
      <c r="D2816" s="2" t="n">
        <v>149</v>
      </c>
      <c r="E2816" s="2" t="n">
        <v>149</v>
      </c>
      <c r="F2816" s="2" t="n">
        <v>1</v>
      </c>
      <c r="G2816" s="2" t="n">
        <v>1</v>
      </c>
      <c r="H2816" s="2" t="n">
        <v>0</v>
      </c>
      <c r="I2816" s="2" t="n">
        <v>0</v>
      </c>
    </row>
    <row r="2817">
      <c r="A2817" s="2" t="n">
        <v>2815</v>
      </c>
      <c r="B2817" s="2" t="inlineStr">
        <is>
          <t>length</t>
        </is>
      </c>
      <c r="C2817" s="2" t="inlineStr">
        <is>
          <t>browser firefox147</t>
        </is>
      </c>
      <c r="D2817" s="2" t="n">
        <v>1901</v>
      </c>
      <c r="E2817" s="2" t="n">
        <v>1901</v>
      </c>
      <c r="F2817" s="2" t="n">
        <v>1</v>
      </c>
      <c r="G2817" s="2" t="n">
        <v>1</v>
      </c>
      <c r="H2817" s="2" t="n">
        <v>1</v>
      </c>
      <c r="I2817" s="2" t="n">
        <v>0</v>
      </c>
    </row>
    <row r="2818">
      <c r="A2818" s="2" t="n">
        <v>2816</v>
      </c>
      <c r="B2818" s="2" t="inlineStr">
        <is>
          <t>insert</t>
        </is>
      </c>
      <c r="C2818" s="2" t="inlineStr">
        <is>
          <t>openssl X25519 only (classical)</t>
        </is>
      </c>
      <c r="D2818" s="2" t="n">
        <v>327</v>
      </c>
      <c r="E2818" s="2" t="n">
        <v>327</v>
      </c>
      <c r="F2818" s="2" t="n">
        <v>1</v>
      </c>
      <c r="G2818" s="2" t="n">
        <v>1</v>
      </c>
      <c r="H2818" s="2" t="n">
        <v>1</v>
      </c>
      <c r="I2818" s="2" t="n">
        <v>0</v>
      </c>
    </row>
    <row r="2819">
      <c r="A2819" s="2" t="n">
        <v>2817</v>
      </c>
      <c r="B2819" s="2" t="inlineStr">
        <is>
          <t>flip</t>
        </is>
      </c>
      <c r="C2819" s="2" t="inlineStr">
        <is>
          <t>openssl X25519 only (classical)</t>
        </is>
      </c>
      <c r="D2819" s="2" t="n">
        <v>314</v>
      </c>
      <c r="E2819" s="2" t="n">
        <v>314</v>
      </c>
      <c r="F2819" s="2" t="n">
        <v>1</v>
      </c>
      <c r="G2819" s="2" t="n">
        <v>1</v>
      </c>
      <c r="H2819" s="2" t="n">
        <v>1</v>
      </c>
      <c r="I2819" s="2" t="n">
        <v>0</v>
      </c>
    </row>
    <row r="2820">
      <c r="A2820" s="2" t="n">
        <v>2818</v>
      </c>
      <c r="B2820" s="2" t="inlineStr">
        <is>
          <t>truncate</t>
        </is>
      </c>
      <c r="C2820" s="2" t="inlineStr">
        <is>
          <t>browser chrome150</t>
        </is>
      </c>
      <c r="D2820" s="2" t="n">
        <v>498</v>
      </c>
      <c r="E2820" s="2" t="n">
        <v>498</v>
      </c>
      <c r="F2820" s="2" t="n">
        <v>1</v>
      </c>
      <c r="G2820" s="2" t="n">
        <v>1</v>
      </c>
      <c r="H2820" s="2" t="n">
        <v>1</v>
      </c>
      <c r="I2820" s="2" t="n">
        <v>0</v>
      </c>
    </row>
    <row r="2821">
      <c r="A2821" s="2" t="n">
        <v>2819</v>
      </c>
      <c r="B2821" s="2" t="inlineStr">
        <is>
          <t>length</t>
        </is>
      </c>
      <c r="C2821" s="2" t="inlineStr">
        <is>
          <t>openssl TLS 1.2 only</t>
        </is>
      </c>
      <c r="D2821" s="2" t="n">
        <v>215</v>
      </c>
      <c r="E2821" s="2" t="n">
        <v>215</v>
      </c>
      <c r="F2821" s="2" t="n">
        <v>0</v>
      </c>
      <c r="G2821" s="2" t="n">
        <v>0</v>
      </c>
      <c r="H2821" s="2" t="n">
        <v>0</v>
      </c>
      <c r="I2821" s="2" t="n">
        <v>0</v>
      </c>
    </row>
    <row r="2822">
      <c r="A2822" s="2" t="n">
        <v>2820</v>
      </c>
      <c r="B2822" s="2" t="inlineStr">
        <is>
          <t>insert</t>
        </is>
      </c>
      <c r="C2822" s="2" t="inlineStr">
        <is>
          <t>openssl TLS 1.2 only</t>
        </is>
      </c>
      <c r="D2822" s="2" t="n">
        <v>222</v>
      </c>
      <c r="E2822" s="2" t="n">
        <v>222</v>
      </c>
      <c r="F2822" s="2" t="n">
        <v>1</v>
      </c>
      <c r="G2822" s="2" t="n">
        <v>1</v>
      </c>
      <c r="H2822" s="2" t="n">
        <v>1</v>
      </c>
      <c r="I2822" s="2" t="n">
        <v>0</v>
      </c>
    </row>
    <row r="2823">
      <c r="A2823" s="2" t="n">
        <v>2821</v>
      </c>
      <c r="B2823" s="2" t="inlineStr">
        <is>
          <t>flip</t>
        </is>
      </c>
      <c r="C2823" s="2" t="inlineStr">
        <is>
          <t>browser chrome150</t>
        </is>
      </c>
      <c r="D2823" s="2" t="n">
        <v>1763</v>
      </c>
      <c r="E2823" s="2" t="n">
        <v>1763</v>
      </c>
      <c r="F2823" s="2" t="n">
        <v>1</v>
      </c>
      <c r="G2823" s="2" t="n">
        <v>1</v>
      </c>
      <c r="H2823" s="2" t="n">
        <v>1</v>
      </c>
      <c r="I2823" s="2" t="n">
        <v>0</v>
      </c>
    </row>
    <row r="2824">
      <c r="A2824" s="2" t="n">
        <v>2822</v>
      </c>
      <c r="B2824" s="2" t="inlineStr">
        <is>
          <t>truncate</t>
        </is>
      </c>
      <c r="C2824" s="2" t="inlineStr">
        <is>
          <t>browser firefox147</t>
        </is>
      </c>
      <c r="D2824" s="2" t="n">
        <v>119</v>
      </c>
      <c r="E2824" s="2" t="n">
        <v>119</v>
      </c>
      <c r="F2824" s="2" t="n">
        <v>1</v>
      </c>
      <c r="G2824" s="2" t="n">
        <v>1</v>
      </c>
      <c r="H2824" s="2" t="n">
        <v>0</v>
      </c>
      <c r="I2824" s="2" t="n">
        <v>0</v>
      </c>
    </row>
    <row r="2825">
      <c r="A2825" s="2" t="n">
        <v>2823</v>
      </c>
      <c r="B2825" s="2" t="inlineStr">
        <is>
          <t>length</t>
        </is>
      </c>
      <c r="C2825" s="2" t="inlineStr">
        <is>
          <t>openssl X25519 only (classical)</t>
        </is>
      </c>
      <c r="D2825" s="2" t="n">
        <v>314</v>
      </c>
      <c r="E2825" s="2" t="n">
        <v>314</v>
      </c>
      <c r="F2825" s="2" t="n">
        <v>1</v>
      </c>
      <c r="G2825" s="2" t="n">
        <v>1</v>
      </c>
      <c r="H2825" s="2" t="n">
        <v>1</v>
      </c>
      <c r="I2825" s="2" t="n">
        <v>0</v>
      </c>
    </row>
    <row r="2826">
      <c r="A2826" s="2" t="n">
        <v>2824</v>
      </c>
      <c r="B2826" s="2" t="inlineStr">
        <is>
          <t>insert</t>
        </is>
      </c>
      <c r="C2826" s="2" t="inlineStr">
        <is>
          <t>browser chrome150</t>
        </is>
      </c>
      <c r="D2826" s="2" t="n">
        <v>1764</v>
      </c>
      <c r="E2826" s="2" t="n">
        <v>1764</v>
      </c>
      <c r="F2826" s="2" t="n">
        <v>1</v>
      </c>
      <c r="G2826" s="2" t="n">
        <v>1</v>
      </c>
      <c r="H2826" s="2" t="n">
        <v>1</v>
      </c>
      <c r="I2826" s="2" t="n">
        <v>0</v>
      </c>
    </row>
    <row r="2827">
      <c r="A2827" s="2" t="n">
        <v>2825</v>
      </c>
      <c r="B2827" s="2" t="inlineStr">
        <is>
          <t>flip</t>
        </is>
      </c>
      <c r="C2827" s="2" t="inlineStr">
        <is>
          <t>openssl X25519 only (classical)</t>
        </is>
      </c>
      <c r="D2827" s="2" t="n">
        <v>314</v>
      </c>
      <c r="E2827" s="2" t="n">
        <v>314</v>
      </c>
      <c r="F2827" s="2" t="n">
        <v>1</v>
      </c>
      <c r="G2827" s="2" t="n">
        <v>1</v>
      </c>
      <c r="H2827" s="2" t="n">
        <v>1</v>
      </c>
      <c r="I2827" s="2" t="n">
        <v>0</v>
      </c>
    </row>
    <row r="2828">
      <c r="A2828" s="2" t="n">
        <v>2826</v>
      </c>
      <c r="B2828" s="2" t="inlineStr">
        <is>
          <t>truncate</t>
        </is>
      </c>
      <c r="C2828" s="2" t="inlineStr">
        <is>
          <t>openssl TLS 1.2 only</t>
        </is>
      </c>
      <c r="D2828" s="2" t="n">
        <v>38</v>
      </c>
      <c r="E2828" s="2" t="n">
        <v>38</v>
      </c>
      <c r="F2828" s="2" t="n">
        <v>1</v>
      </c>
      <c r="G2828" s="2" t="n">
        <v>0</v>
      </c>
      <c r="H2828" s="2" t="n">
        <v>0</v>
      </c>
      <c r="I2828" s="2" t="n">
        <v>0</v>
      </c>
    </row>
    <row r="2829">
      <c r="A2829" s="2" t="n">
        <v>2827</v>
      </c>
      <c r="B2829" s="2" t="inlineStr">
        <is>
          <t>length</t>
        </is>
      </c>
      <c r="C2829" s="2" t="inlineStr">
        <is>
          <t>browser firefox147</t>
        </is>
      </c>
      <c r="D2829" s="2" t="n">
        <v>1901</v>
      </c>
      <c r="E2829" s="2" t="n">
        <v>1901</v>
      </c>
      <c r="F2829" s="2" t="n">
        <v>1</v>
      </c>
      <c r="G2829" s="2" t="n">
        <v>1</v>
      </c>
      <c r="H2829" s="2" t="n">
        <v>0</v>
      </c>
      <c r="I2829" s="2" t="n">
        <v>0</v>
      </c>
    </row>
    <row r="2830">
      <c r="A2830" s="2" t="n">
        <v>2828</v>
      </c>
      <c r="B2830" s="2" t="inlineStr">
        <is>
          <t>insert</t>
        </is>
      </c>
      <c r="C2830" s="2" t="inlineStr">
        <is>
          <t>openssl X25519 only (classical)</t>
        </is>
      </c>
      <c r="D2830" s="2" t="n">
        <v>325</v>
      </c>
      <c r="E2830" s="2" t="n">
        <v>325</v>
      </c>
      <c r="F2830" s="2" t="n">
        <v>1</v>
      </c>
      <c r="G2830" s="2" t="n">
        <v>1</v>
      </c>
      <c r="H2830" s="2" t="n">
        <v>1</v>
      </c>
      <c r="I2830" s="2" t="n">
        <v>0</v>
      </c>
    </row>
    <row r="2831">
      <c r="A2831" s="2" t="n">
        <v>2829</v>
      </c>
      <c r="B2831" s="2" t="inlineStr">
        <is>
          <t>flip</t>
        </is>
      </c>
      <c r="C2831" s="2" t="inlineStr">
        <is>
          <t>openssl 3.5.8 default</t>
        </is>
      </c>
      <c r="D2831" s="2" t="n">
        <v>1548</v>
      </c>
      <c r="E2831" s="2" t="n">
        <v>1548</v>
      </c>
      <c r="F2831" s="2" t="n">
        <v>1</v>
      </c>
      <c r="G2831" s="2" t="n">
        <v>1</v>
      </c>
      <c r="H2831" s="2" t="n">
        <v>1</v>
      </c>
      <c r="I2831" s="2" t="n">
        <v>0</v>
      </c>
    </row>
    <row r="2832">
      <c r="A2832" s="2" t="n">
        <v>2830</v>
      </c>
      <c r="B2832" s="2" t="inlineStr">
        <is>
          <t>truncate</t>
        </is>
      </c>
      <c r="C2832" s="2" t="inlineStr">
        <is>
          <t>browser firefox147</t>
        </is>
      </c>
      <c r="D2832" s="2" t="n">
        <v>1192</v>
      </c>
      <c r="E2832" s="2" t="n">
        <v>1192</v>
      </c>
      <c r="F2832" s="2" t="n">
        <v>1</v>
      </c>
      <c r="G2832" s="2" t="n">
        <v>1</v>
      </c>
      <c r="H2832" s="2" t="n">
        <v>0</v>
      </c>
      <c r="I2832" s="2" t="n">
        <v>0</v>
      </c>
    </row>
    <row r="2833">
      <c r="A2833" s="2" t="n">
        <v>2831</v>
      </c>
      <c r="B2833" s="2" t="inlineStr">
        <is>
          <t>length</t>
        </is>
      </c>
      <c r="C2833" s="2" t="inlineStr">
        <is>
          <t>openssl TLS 1.2 only</t>
        </is>
      </c>
      <c r="D2833" s="2" t="n">
        <v>215</v>
      </c>
      <c r="E2833" s="2" t="n">
        <v>215</v>
      </c>
      <c r="F2833" s="2" t="n">
        <v>1</v>
      </c>
      <c r="G2833" s="2" t="n">
        <v>1</v>
      </c>
      <c r="H2833" s="2" t="n">
        <v>0</v>
      </c>
      <c r="I2833" s="2" t="n">
        <v>0</v>
      </c>
    </row>
    <row r="2834">
      <c r="A2834" s="2" t="n">
        <v>2832</v>
      </c>
      <c r="B2834" s="2" t="inlineStr">
        <is>
          <t>insert</t>
        </is>
      </c>
      <c r="C2834" s="2" t="inlineStr">
        <is>
          <t>openssl 3.5.8 default</t>
        </is>
      </c>
      <c r="D2834" s="2" t="n">
        <v>1555</v>
      </c>
      <c r="E2834" s="2" t="n">
        <v>1555</v>
      </c>
      <c r="F2834" s="2" t="n">
        <v>1</v>
      </c>
      <c r="G2834" s="2" t="n">
        <v>1</v>
      </c>
      <c r="H2834" s="2" t="n">
        <v>1</v>
      </c>
      <c r="I2834" s="2" t="n">
        <v>0</v>
      </c>
    </row>
    <row r="2835">
      <c r="A2835" s="2" t="n">
        <v>2833</v>
      </c>
      <c r="B2835" s="2" t="inlineStr">
        <is>
          <t>flip</t>
        </is>
      </c>
      <c r="C2835" s="2" t="inlineStr">
        <is>
          <t>openssl TLS 1.2 only</t>
        </is>
      </c>
      <c r="D2835" s="2" t="n">
        <v>215</v>
      </c>
      <c r="E2835" s="2" t="n">
        <v>215</v>
      </c>
      <c r="F2835" s="2" t="n">
        <v>1</v>
      </c>
      <c r="G2835" s="2" t="n">
        <v>1</v>
      </c>
      <c r="H2835" s="2" t="n">
        <v>1</v>
      </c>
      <c r="I2835" s="2" t="n">
        <v>0</v>
      </c>
    </row>
    <row r="2836">
      <c r="A2836" s="2" t="n">
        <v>2834</v>
      </c>
      <c r="B2836" s="2" t="inlineStr">
        <is>
          <t>truncate</t>
        </is>
      </c>
      <c r="C2836" s="2" t="inlineStr">
        <is>
          <t>browser chrome150</t>
        </is>
      </c>
      <c r="D2836" s="2" t="n">
        <v>797</v>
      </c>
      <c r="E2836" s="2" t="n">
        <v>797</v>
      </c>
      <c r="F2836" s="2" t="n">
        <v>1</v>
      </c>
      <c r="G2836" s="2" t="n">
        <v>1</v>
      </c>
      <c r="H2836" s="2" t="n">
        <v>1</v>
      </c>
      <c r="I2836" s="2" t="n">
        <v>0</v>
      </c>
    </row>
    <row r="2837">
      <c r="A2837" s="2" t="n">
        <v>2835</v>
      </c>
      <c r="B2837" s="2" t="inlineStr">
        <is>
          <t>length</t>
        </is>
      </c>
      <c r="C2837" s="2" t="inlineStr">
        <is>
          <t>openssl TLS 1.2 only</t>
        </is>
      </c>
      <c r="D2837" s="2" t="n">
        <v>215</v>
      </c>
      <c r="E2837" s="2" t="n">
        <v>215</v>
      </c>
      <c r="F2837" s="2" t="n">
        <v>1</v>
      </c>
      <c r="G2837" s="2" t="n">
        <v>1</v>
      </c>
      <c r="H2837" s="2" t="n">
        <v>1</v>
      </c>
      <c r="I2837" s="2" t="n">
        <v>0</v>
      </c>
    </row>
    <row r="2838">
      <c r="A2838" s="2" t="n">
        <v>2836</v>
      </c>
      <c r="B2838" s="2" t="inlineStr">
        <is>
          <t>insert</t>
        </is>
      </c>
      <c r="C2838" s="2" t="inlineStr">
        <is>
          <t>browser chrome150</t>
        </is>
      </c>
      <c r="D2838" s="2" t="n">
        <v>1779</v>
      </c>
      <c r="E2838" s="2" t="n">
        <v>1779</v>
      </c>
      <c r="F2838" s="2" t="n">
        <v>1</v>
      </c>
      <c r="G2838" s="2" t="n">
        <v>1</v>
      </c>
      <c r="H2838" s="2" t="n">
        <v>1</v>
      </c>
      <c r="I2838" s="2" t="n">
        <v>0</v>
      </c>
    </row>
    <row r="2839">
      <c r="A2839" s="2" t="n">
        <v>2837</v>
      </c>
      <c r="B2839" s="2" t="inlineStr">
        <is>
          <t>flip</t>
        </is>
      </c>
      <c r="C2839" s="2" t="inlineStr">
        <is>
          <t>openssl X25519 only (classical)</t>
        </is>
      </c>
      <c r="D2839" s="2" t="n">
        <v>314</v>
      </c>
      <c r="E2839" s="2" t="n">
        <v>314</v>
      </c>
      <c r="F2839" s="2" t="n">
        <v>1</v>
      </c>
      <c r="G2839" s="2" t="n">
        <v>1</v>
      </c>
      <c r="H2839" s="2" t="n">
        <v>1</v>
      </c>
      <c r="I2839" s="2" t="n">
        <v>0</v>
      </c>
    </row>
    <row r="2840">
      <c r="A2840" s="2" t="n">
        <v>2838</v>
      </c>
      <c r="B2840" s="2" t="inlineStr">
        <is>
          <t>truncate</t>
        </is>
      </c>
      <c r="C2840" s="2" t="inlineStr">
        <is>
          <t>openssl TLS 1.2 only</t>
        </is>
      </c>
      <c r="D2840" s="2" t="n">
        <v>126</v>
      </c>
      <c r="E2840" s="2" t="n">
        <v>126</v>
      </c>
      <c r="F2840" s="2" t="n">
        <v>1</v>
      </c>
      <c r="G2840" s="2" t="n">
        <v>1</v>
      </c>
      <c r="H2840" s="2" t="n">
        <v>0</v>
      </c>
      <c r="I2840" s="2" t="n">
        <v>0</v>
      </c>
    </row>
    <row r="2841">
      <c r="A2841" s="2" t="n">
        <v>2839</v>
      </c>
      <c r="B2841" s="2" t="inlineStr">
        <is>
          <t>length</t>
        </is>
      </c>
      <c r="C2841" s="2" t="inlineStr">
        <is>
          <t>openssl TLS 1.2 only</t>
        </is>
      </c>
      <c r="D2841" s="2" t="n">
        <v>215</v>
      </c>
      <c r="E2841" s="2" t="n">
        <v>215</v>
      </c>
      <c r="F2841" s="2" t="n">
        <v>1</v>
      </c>
      <c r="G2841" s="2" t="n">
        <v>0</v>
      </c>
      <c r="H2841" s="2" t="n">
        <v>0</v>
      </c>
      <c r="I2841" s="2" t="n">
        <v>0</v>
      </c>
    </row>
    <row r="2842">
      <c r="A2842" s="2" t="n">
        <v>2840</v>
      </c>
      <c r="B2842" s="2" t="inlineStr">
        <is>
          <t>insert</t>
        </is>
      </c>
      <c r="C2842" s="2" t="inlineStr">
        <is>
          <t>openssl X25519 only (classical)</t>
        </is>
      </c>
      <c r="D2842" s="2" t="n">
        <v>330</v>
      </c>
      <c r="E2842" s="2" t="n">
        <v>330</v>
      </c>
      <c r="F2842" s="2" t="n">
        <v>1</v>
      </c>
      <c r="G2842" s="2" t="n">
        <v>1</v>
      </c>
      <c r="H2842" s="2" t="n">
        <v>0</v>
      </c>
      <c r="I2842" s="2" t="n">
        <v>0</v>
      </c>
    </row>
    <row r="2843">
      <c r="A2843" s="2" t="n">
        <v>2841</v>
      </c>
      <c r="B2843" s="2" t="inlineStr">
        <is>
          <t>flip</t>
        </is>
      </c>
      <c r="C2843" s="2" t="inlineStr">
        <is>
          <t>openssl TLS 1.2 only</t>
        </is>
      </c>
      <c r="D2843" s="2" t="n">
        <v>215</v>
      </c>
      <c r="E2843" s="2" t="n">
        <v>215</v>
      </c>
      <c r="F2843" s="2" t="n">
        <v>1</v>
      </c>
      <c r="G2843" s="2" t="n">
        <v>1</v>
      </c>
      <c r="H2843" s="2" t="n">
        <v>1</v>
      </c>
      <c r="I2843" s="2" t="n">
        <v>0</v>
      </c>
    </row>
    <row r="2844">
      <c r="A2844" s="2" t="n">
        <v>2842</v>
      </c>
      <c r="B2844" s="2" t="inlineStr">
        <is>
          <t>truncate</t>
        </is>
      </c>
      <c r="C2844" s="2" t="inlineStr">
        <is>
          <t>browser chrome150</t>
        </is>
      </c>
      <c r="D2844" s="2" t="n">
        <v>1182</v>
      </c>
      <c r="E2844" s="2" t="n">
        <v>1182</v>
      </c>
      <c r="F2844" s="2" t="n">
        <v>1</v>
      </c>
      <c r="G2844" s="2" t="n">
        <v>1</v>
      </c>
      <c r="H2844" s="2" t="n">
        <v>1</v>
      </c>
      <c r="I2844" s="2" t="n">
        <v>0</v>
      </c>
    </row>
    <row r="2845">
      <c r="A2845" s="2" t="n">
        <v>2843</v>
      </c>
      <c r="B2845" s="2" t="inlineStr">
        <is>
          <t>length</t>
        </is>
      </c>
      <c r="C2845" s="2" t="inlineStr">
        <is>
          <t>browser chrome150</t>
        </is>
      </c>
      <c r="D2845" s="2" t="n">
        <v>1763</v>
      </c>
      <c r="E2845" s="2" t="n">
        <v>1763</v>
      </c>
      <c r="F2845" s="2" t="n">
        <v>1</v>
      </c>
      <c r="G2845" s="2" t="n">
        <v>1</v>
      </c>
      <c r="H2845" s="2" t="n">
        <v>1</v>
      </c>
      <c r="I2845" s="2" t="n">
        <v>0</v>
      </c>
    </row>
    <row r="2846">
      <c r="A2846" s="2" t="n">
        <v>2844</v>
      </c>
      <c r="B2846" s="2" t="inlineStr">
        <is>
          <t>insert</t>
        </is>
      </c>
      <c r="C2846" s="2" t="inlineStr">
        <is>
          <t>browser firefox147</t>
        </is>
      </c>
      <c r="D2846" s="2" t="n">
        <v>1908</v>
      </c>
      <c r="E2846" s="2" t="n">
        <v>1908</v>
      </c>
      <c r="F2846" s="2" t="n">
        <v>1</v>
      </c>
      <c r="G2846" s="2" t="n">
        <v>0</v>
      </c>
      <c r="H2846" s="2" t="n">
        <v>0</v>
      </c>
      <c r="I2846" s="2" t="n">
        <v>0</v>
      </c>
    </row>
    <row r="2847">
      <c r="A2847" s="2" t="n">
        <v>2845</v>
      </c>
      <c r="B2847" s="2" t="inlineStr">
        <is>
          <t>flip</t>
        </is>
      </c>
      <c r="C2847" s="2" t="inlineStr">
        <is>
          <t>browser firefox147</t>
        </is>
      </c>
      <c r="D2847" s="2" t="n">
        <v>1901</v>
      </c>
      <c r="E2847" s="2" t="n">
        <v>1901</v>
      </c>
      <c r="F2847" s="2" t="n">
        <v>1</v>
      </c>
      <c r="G2847" s="2" t="n">
        <v>1</v>
      </c>
      <c r="H2847" s="2" t="n">
        <v>0</v>
      </c>
      <c r="I2847" s="2" t="n">
        <v>0</v>
      </c>
    </row>
    <row r="2848">
      <c r="A2848" s="2" t="n">
        <v>2846</v>
      </c>
      <c r="B2848" s="2" t="inlineStr">
        <is>
          <t>truncate</t>
        </is>
      </c>
      <c r="C2848" s="2" t="inlineStr">
        <is>
          <t>openssl 3.5.8 default</t>
        </is>
      </c>
      <c r="D2848" s="2" t="n">
        <v>1267</v>
      </c>
      <c r="E2848" s="2" t="n">
        <v>1267</v>
      </c>
      <c r="F2848" s="2" t="n">
        <v>1</v>
      </c>
      <c r="G2848" s="2" t="n">
        <v>1</v>
      </c>
      <c r="H2848" s="2" t="n">
        <v>1</v>
      </c>
      <c r="I2848" s="2" t="n">
        <v>0</v>
      </c>
    </row>
    <row r="2849">
      <c r="A2849" s="2" t="n">
        <v>2847</v>
      </c>
      <c r="B2849" s="2" t="inlineStr">
        <is>
          <t>length</t>
        </is>
      </c>
      <c r="C2849" s="2" t="inlineStr">
        <is>
          <t>openssl TLS 1.2 only</t>
        </is>
      </c>
      <c r="D2849" s="2" t="n">
        <v>215</v>
      </c>
      <c r="E2849" s="2" t="n">
        <v>215</v>
      </c>
      <c r="F2849" s="2" t="n">
        <v>1</v>
      </c>
      <c r="G2849" s="2" t="n">
        <v>1</v>
      </c>
      <c r="H2849" s="2" t="n">
        <v>1</v>
      </c>
      <c r="I2849" s="2" t="n">
        <v>0</v>
      </c>
    </row>
    <row r="2850">
      <c r="A2850" s="2" t="n">
        <v>2848</v>
      </c>
      <c r="B2850" s="2" t="inlineStr">
        <is>
          <t>insert</t>
        </is>
      </c>
      <c r="C2850" s="2" t="inlineStr">
        <is>
          <t>openssl X25519 only (classical)</t>
        </is>
      </c>
      <c r="D2850" s="2" t="n">
        <v>315</v>
      </c>
      <c r="E2850" s="2" t="n">
        <v>315</v>
      </c>
      <c r="F2850" s="2" t="n">
        <v>1</v>
      </c>
      <c r="G2850" s="2" t="n">
        <v>1</v>
      </c>
      <c r="H2850" s="2" t="n">
        <v>1</v>
      </c>
      <c r="I2850" s="2" t="n">
        <v>0</v>
      </c>
    </row>
    <row r="2851">
      <c r="A2851" s="2" t="n">
        <v>2849</v>
      </c>
      <c r="B2851" s="2" t="inlineStr">
        <is>
          <t>flip</t>
        </is>
      </c>
      <c r="C2851" s="2" t="inlineStr">
        <is>
          <t>openssl TLS 1.2 only</t>
        </is>
      </c>
      <c r="D2851" s="2" t="n">
        <v>215</v>
      </c>
      <c r="E2851" s="2" t="n">
        <v>215</v>
      </c>
      <c r="F2851" s="2" t="n">
        <v>1</v>
      </c>
      <c r="G2851" s="2" t="n">
        <v>1</v>
      </c>
      <c r="H2851" s="2" t="n">
        <v>1</v>
      </c>
      <c r="I2851" s="2" t="n">
        <v>0</v>
      </c>
    </row>
    <row r="2852">
      <c r="A2852" s="2" t="n">
        <v>2850</v>
      </c>
      <c r="B2852" s="2" t="inlineStr">
        <is>
          <t>truncate</t>
        </is>
      </c>
      <c r="C2852" s="2" t="inlineStr">
        <is>
          <t>openssl 3.5.8 default</t>
        </is>
      </c>
      <c r="D2852" s="2" t="n">
        <v>944</v>
      </c>
      <c r="E2852" s="2" t="n">
        <v>944</v>
      </c>
      <c r="F2852" s="2" t="n">
        <v>1</v>
      </c>
      <c r="G2852" s="2" t="n">
        <v>1</v>
      </c>
      <c r="H2852" s="2" t="n">
        <v>1</v>
      </c>
      <c r="I2852" s="2" t="n">
        <v>0</v>
      </c>
    </row>
    <row r="2853">
      <c r="A2853" s="2" t="n">
        <v>2851</v>
      </c>
      <c r="B2853" s="2" t="inlineStr">
        <is>
          <t>length</t>
        </is>
      </c>
      <c r="C2853" s="2" t="inlineStr">
        <is>
          <t>openssl 3.5.8 default</t>
        </is>
      </c>
      <c r="D2853" s="2" t="n">
        <v>1548</v>
      </c>
      <c r="E2853" s="2" t="n">
        <v>1548</v>
      </c>
      <c r="F2853" s="2" t="n">
        <v>1</v>
      </c>
      <c r="G2853" s="2" t="n">
        <v>1</v>
      </c>
      <c r="H2853" s="2" t="n">
        <v>1</v>
      </c>
      <c r="I2853" s="2" t="n">
        <v>0</v>
      </c>
    </row>
    <row r="2854">
      <c r="A2854" s="2" t="n">
        <v>2852</v>
      </c>
      <c r="B2854" s="2" t="inlineStr">
        <is>
          <t>insert</t>
        </is>
      </c>
      <c r="C2854" s="2" t="inlineStr">
        <is>
          <t>openssl X25519 only (classical)</t>
        </is>
      </c>
      <c r="D2854" s="2" t="n">
        <v>315</v>
      </c>
      <c r="E2854" s="2" t="n">
        <v>315</v>
      </c>
      <c r="F2854" s="2" t="n">
        <v>1</v>
      </c>
      <c r="G2854" s="2" t="n">
        <v>0</v>
      </c>
      <c r="H2854" s="2" t="n">
        <v>0</v>
      </c>
      <c r="I2854" s="2" t="n">
        <v>0</v>
      </c>
    </row>
    <row r="2855">
      <c r="A2855" s="2" t="n">
        <v>2853</v>
      </c>
      <c r="B2855" s="2" t="inlineStr">
        <is>
          <t>flip</t>
        </is>
      </c>
      <c r="C2855" s="2" t="inlineStr">
        <is>
          <t>browser firefox147</t>
        </is>
      </c>
      <c r="D2855" s="2" t="n">
        <v>1901</v>
      </c>
      <c r="E2855" s="2" t="n">
        <v>1901</v>
      </c>
      <c r="F2855" s="2" t="n">
        <v>1</v>
      </c>
      <c r="G2855" s="2" t="n">
        <v>1</v>
      </c>
      <c r="H2855" s="2" t="n">
        <v>0</v>
      </c>
      <c r="I2855" s="2" t="n">
        <v>0</v>
      </c>
    </row>
    <row r="2856">
      <c r="A2856" s="2" t="n">
        <v>2854</v>
      </c>
      <c r="B2856" s="2" t="inlineStr">
        <is>
          <t>truncate</t>
        </is>
      </c>
      <c r="C2856" s="2" t="inlineStr">
        <is>
          <t>openssl X25519 only (classical)</t>
        </is>
      </c>
      <c r="D2856" s="2" t="n">
        <v>175</v>
      </c>
      <c r="E2856" s="2" t="n">
        <v>175</v>
      </c>
      <c r="F2856" s="2" t="n">
        <v>1</v>
      </c>
      <c r="G2856" s="2" t="n">
        <v>1</v>
      </c>
      <c r="H2856" s="2" t="n">
        <v>0</v>
      </c>
      <c r="I2856" s="2" t="n">
        <v>0</v>
      </c>
    </row>
    <row r="2857">
      <c r="A2857" s="2" t="n">
        <v>2855</v>
      </c>
      <c r="B2857" s="2" t="inlineStr">
        <is>
          <t>length</t>
        </is>
      </c>
      <c r="C2857" s="2" t="inlineStr">
        <is>
          <t>browser firefox147</t>
        </is>
      </c>
      <c r="D2857" s="2" t="n">
        <v>1901</v>
      </c>
      <c r="E2857" s="2" t="n">
        <v>1901</v>
      </c>
      <c r="F2857" s="2" t="n">
        <v>1</v>
      </c>
      <c r="G2857" s="2" t="n">
        <v>1</v>
      </c>
      <c r="H2857" s="2" t="n">
        <v>0</v>
      </c>
      <c r="I2857" s="2" t="n">
        <v>0</v>
      </c>
    </row>
    <row r="2858">
      <c r="A2858" s="2" t="n">
        <v>2856</v>
      </c>
      <c r="B2858" s="2" t="inlineStr">
        <is>
          <t>insert</t>
        </is>
      </c>
      <c r="C2858" s="2" t="inlineStr">
        <is>
          <t>browser firefox147</t>
        </is>
      </c>
      <c r="D2858" s="2" t="n">
        <v>1903</v>
      </c>
      <c r="E2858" s="2" t="n">
        <v>1903</v>
      </c>
      <c r="F2858" s="2" t="n">
        <v>1</v>
      </c>
      <c r="G2858" s="2" t="n">
        <v>1</v>
      </c>
      <c r="H2858" s="2" t="n">
        <v>1</v>
      </c>
      <c r="I2858" s="2" t="n">
        <v>0</v>
      </c>
    </row>
    <row r="2859">
      <c r="A2859" s="2" t="n">
        <v>2857</v>
      </c>
      <c r="B2859" s="2" t="inlineStr">
        <is>
          <t>flip</t>
        </is>
      </c>
      <c r="C2859" s="2" t="inlineStr">
        <is>
          <t>browser chrome150</t>
        </is>
      </c>
      <c r="D2859" s="2" t="n">
        <v>1763</v>
      </c>
      <c r="E2859" s="2" t="n">
        <v>1763</v>
      </c>
      <c r="F2859" s="2" t="n">
        <v>1</v>
      </c>
      <c r="G2859" s="2" t="n">
        <v>1</v>
      </c>
      <c r="H2859" s="2" t="n">
        <v>1</v>
      </c>
      <c r="I2859" s="2" t="n">
        <v>0</v>
      </c>
    </row>
    <row r="2860">
      <c r="A2860" s="2" t="n">
        <v>2858</v>
      </c>
      <c r="B2860" s="2" t="inlineStr">
        <is>
          <t>truncate</t>
        </is>
      </c>
      <c r="C2860" s="2" t="inlineStr">
        <is>
          <t>openssl TLS 1.2 only</t>
        </is>
      </c>
      <c r="D2860" s="2" t="n">
        <v>152</v>
      </c>
      <c r="E2860" s="2" t="n">
        <v>152</v>
      </c>
      <c r="F2860" s="2" t="n">
        <v>1</v>
      </c>
      <c r="G2860" s="2" t="n">
        <v>1</v>
      </c>
      <c r="H2860" s="2" t="n">
        <v>0</v>
      </c>
      <c r="I2860" s="2" t="n">
        <v>0</v>
      </c>
    </row>
    <row r="2861">
      <c r="A2861" s="2" t="n">
        <v>2859</v>
      </c>
      <c r="B2861" s="2" t="inlineStr">
        <is>
          <t>length</t>
        </is>
      </c>
      <c r="C2861" s="2" t="inlineStr">
        <is>
          <t>openssl 3.5.8 default</t>
        </is>
      </c>
      <c r="D2861" s="2" t="n">
        <v>1548</v>
      </c>
      <c r="E2861" s="2" t="n">
        <v>1548</v>
      </c>
      <c r="F2861" s="2" t="n">
        <v>1</v>
      </c>
      <c r="G2861" s="2" t="n">
        <v>1</v>
      </c>
      <c r="H2861" s="2" t="n">
        <v>1</v>
      </c>
      <c r="I2861" s="2" t="n">
        <v>0</v>
      </c>
    </row>
    <row r="2862">
      <c r="A2862" s="2" t="n">
        <v>2860</v>
      </c>
      <c r="B2862" s="2" t="inlineStr">
        <is>
          <t>insert</t>
        </is>
      </c>
      <c r="C2862" s="2" t="inlineStr">
        <is>
          <t>browser firefox147</t>
        </is>
      </c>
      <c r="D2862" s="2" t="n">
        <v>1910</v>
      </c>
      <c r="E2862" s="2" t="n">
        <v>1910</v>
      </c>
      <c r="F2862" s="2" t="n">
        <v>1</v>
      </c>
      <c r="G2862" s="2" t="n">
        <v>0</v>
      </c>
      <c r="H2862" s="2" t="n">
        <v>0</v>
      </c>
      <c r="I2862" s="2" t="n">
        <v>0</v>
      </c>
    </row>
    <row r="2863">
      <c r="A2863" s="2" t="n">
        <v>2861</v>
      </c>
      <c r="B2863" s="2" t="inlineStr">
        <is>
          <t>flip</t>
        </is>
      </c>
      <c r="C2863" s="2" t="inlineStr">
        <is>
          <t>openssl X25519 only (classical)</t>
        </is>
      </c>
      <c r="D2863" s="2" t="n">
        <v>314</v>
      </c>
      <c r="E2863" s="2" t="n">
        <v>314</v>
      </c>
      <c r="F2863" s="2" t="n">
        <v>1</v>
      </c>
      <c r="G2863" s="2" t="n">
        <v>1</v>
      </c>
      <c r="H2863" s="2" t="n">
        <v>1</v>
      </c>
      <c r="I2863" s="2" t="n">
        <v>0</v>
      </c>
    </row>
    <row r="2864">
      <c r="A2864" s="2" t="n">
        <v>2862</v>
      </c>
      <c r="B2864" s="2" t="inlineStr">
        <is>
          <t>truncate</t>
        </is>
      </c>
      <c r="C2864" s="2" t="inlineStr">
        <is>
          <t>browser chrome150</t>
        </is>
      </c>
      <c r="D2864" s="2" t="n">
        <v>1253</v>
      </c>
      <c r="E2864" s="2" t="n">
        <v>1253</v>
      </c>
      <c r="F2864" s="2" t="n">
        <v>1</v>
      </c>
      <c r="G2864" s="2" t="n">
        <v>1</v>
      </c>
      <c r="H2864" s="2" t="n">
        <v>1</v>
      </c>
      <c r="I2864" s="2" t="n">
        <v>0</v>
      </c>
    </row>
    <row r="2865">
      <c r="A2865" s="2" t="n">
        <v>2863</v>
      </c>
      <c r="B2865" s="2" t="inlineStr">
        <is>
          <t>length</t>
        </is>
      </c>
      <c r="C2865" s="2" t="inlineStr">
        <is>
          <t>openssl X25519 only (classical)</t>
        </is>
      </c>
      <c r="D2865" s="2" t="n">
        <v>314</v>
      </c>
      <c r="E2865" s="2" t="n">
        <v>314</v>
      </c>
      <c r="F2865" s="2" t="n">
        <v>0</v>
      </c>
      <c r="G2865" s="2" t="n">
        <v>0</v>
      </c>
      <c r="H2865" s="2" t="n">
        <v>0</v>
      </c>
      <c r="I2865" s="2" t="n">
        <v>0</v>
      </c>
    </row>
    <row r="2866">
      <c r="A2866" s="2" t="n">
        <v>2864</v>
      </c>
      <c r="B2866" s="2" t="inlineStr">
        <is>
          <t>insert</t>
        </is>
      </c>
      <c r="C2866" s="2" t="inlineStr">
        <is>
          <t>openssl TLS 1.2 only</t>
        </is>
      </c>
      <c r="D2866" s="2" t="n">
        <v>216</v>
      </c>
      <c r="E2866" s="2" t="n">
        <v>216</v>
      </c>
      <c r="F2866" s="2" t="n">
        <v>1</v>
      </c>
      <c r="G2866" s="2" t="n">
        <v>1</v>
      </c>
      <c r="H2866" s="2" t="n">
        <v>1</v>
      </c>
      <c r="I2866" s="2" t="n">
        <v>0</v>
      </c>
    </row>
    <row r="2867">
      <c r="A2867" s="2" t="n">
        <v>2865</v>
      </c>
      <c r="B2867" s="2" t="inlineStr">
        <is>
          <t>flip</t>
        </is>
      </c>
      <c r="C2867" s="2" t="inlineStr">
        <is>
          <t>browser firefox147</t>
        </is>
      </c>
      <c r="D2867" s="2" t="n">
        <v>1901</v>
      </c>
      <c r="E2867" s="2" t="n">
        <v>1901</v>
      </c>
      <c r="F2867" s="2" t="n">
        <v>1</v>
      </c>
      <c r="G2867" s="2" t="n">
        <v>1</v>
      </c>
      <c r="H2867" s="2" t="n">
        <v>0</v>
      </c>
      <c r="I2867" s="2" t="n">
        <v>0</v>
      </c>
    </row>
    <row r="2868">
      <c r="A2868" s="2" t="n">
        <v>2866</v>
      </c>
      <c r="B2868" s="2" t="inlineStr">
        <is>
          <t>truncate</t>
        </is>
      </c>
      <c r="C2868" s="2" t="inlineStr">
        <is>
          <t>openssl X25519 only (classical)</t>
        </is>
      </c>
      <c r="D2868" s="2" t="n">
        <v>309</v>
      </c>
      <c r="E2868" s="2" t="n">
        <v>309</v>
      </c>
      <c r="F2868" s="2" t="n">
        <v>1</v>
      </c>
      <c r="G2868" s="2" t="n">
        <v>1</v>
      </c>
      <c r="H2868" s="2" t="n">
        <v>1</v>
      </c>
      <c r="I2868" s="2" t="n">
        <v>0</v>
      </c>
    </row>
    <row r="2869">
      <c r="A2869" s="2" t="n">
        <v>2867</v>
      </c>
      <c r="B2869" s="2" t="inlineStr">
        <is>
          <t>length</t>
        </is>
      </c>
      <c r="C2869" s="2" t="inlineStr">
        <is>
          <t>openssl X25519 only (classical)</t>
        </is>
      </c>
      <c r="D2869" s="2" t="n">
        <v>314</v>
      </c>
      <c r="E2869" s="2" t="n">
        <v>314</v>
      </c>
      <c r="F2869" s="2" t="n">
        <v>1</v>
      </c>
      <c r="G2869" s="2" t="n">
        <v>1</v>
      </c>
      <c r="H2869" s="2" t="n">
        <v>1</v>
      </c>
      <c r="I2869" s="2" t="n">
        <v>0</v>
      </c>
    </row>
    <row r="2870">
      <c r="A2870" s="2" t="n">
        <v>2868</v>
      </c>
      <c r="B2870" s="2" t="inlineStr">
        <is>
          <t>insert</t>
        </is>
      </c>
      <c r="C2870" s="2" t="inlineStr">
        <is>
          <t>browser firefox147</t>
        </is>
      </c>
      <c r="D2870" s="2" t="n">
        <v>1917</v>
      </c>
      <c r="E2870" s="2" t="n">
        <v>1917</v>
      </c>
      <c r="F2870" s="2" t="n">
        <v>1</v>
      </c>
      <c r="G2870" s="2" t="n">
        <v>1</v>
      </c>
      <c r="H2870" s="2" t="n">
        <v>0</v>
      </c>
      <c r="I2870" s="2" t="n">
        <v>0</v>
      </c>
    </row>
    <row r="2871">
      <c r="A2871" s="2" t="n">
        <v>2869</v>
      </c>
      <c r="B2871" s="2" t="inlineStr">
        <is>
          <t>flip</t>
        </is>
      </c>
      <c r="C2871" s="2" t="inlineStr">
        <is>
          <t>openssl 3.5.8 default</t>
        </is>
      </c>
      <c r="D2871" s="2" t="n">
        <v>1548</v>
      </c>
      <c r="E2871" s="2" t="n">
        <v>1548</v>
      </c>
      <c r="F2871" s="2" t="n">
        <v>1</v>
      </c>
      <c r="G2871" s="2" t="n">
        <v>1</v>
      </c>
      <c r="H2871" s="2" t="n">
        <v>0</v>
      </c>
      <c r="I2871" s="2" t="n">
        <v>0</v>
      </c>
    </row>
    <row r="2872">
      <c r="A2872" s="2" t="n">
        <v>2870</v>
      </c>
      <c r="B2872" s="2" t="inlineStr">
        <is>
          <t>truncate</t>
        </is>
      </c>
      <c r="C2872" s="2" t="inlineStr">
        <is>
          <t>browser firefox147</t>
        </is>
      </c>
      <c r="D2872" s="2" t="n">
        <v>324</v>
      </c>
      <c r="E2872" s="2" t="n">
        <v>324</v>
      </c>
      <c r="F2872" s="2" t="n">
        <v>1</v>
      </c>
      <c r="G2872" s="2" t="n">
        <v>1</v>
      </c>
      <c r="H2872" s="2" t="n">
        <v>0</v>
      </c>
      <c r="I2872" s="2" t="n">
        <v>0</v>
      </c>
    </row>
    <row r="2873">
      <c r="A2873" s="2" t="n">
        <v>2871</v>
      </c>
      <c r="B2873" s="2" t="inlineStr">
        <is>
          <t>length</t>
        </is>
      </c>
      <c r="C2873" s="2" t="inlineStr">
        <is>
          <t>openssl 3.5.8 default</t>
        </is>
      </c>
      <c r="D2873" s="2" t="n">
        <v>1548</v>
      </c>
      <c r="E2873" s="2" t="n">
        <v>1548</v>
      </c>
      <c r="F2873" s="2" t="n">
        <v>0</v>
      </c>
      <c r="G2873" s="2" t="n">
        <v>0</v>
      </c>
      <c r="H2873" s="2" t="n">
        <v>0</v>
      </c>
      <c r="I2873" s="2" t="n">
        <v>0</v>
      </c>
    </row>
    <row r="2874">
      <c r="A2874" s="2" t="n">
        <v>2872</v>
      </c>
      <c r="B2874" s="2" t="inlineStr">
        <is>
          <t>insert</t>
        </is>
      </c>
      <c r="C2874" s="2" t="inlineStr">
        <is>
          <t>openssl TLS 1.2 only</t>
        </is>
      </c>
      <c r="D2874" s="2" t="n">
        <v>229</v>
      </c>
      <c r="E2874" s="2" t="n">
        <v>229</v>
      </c>
      <c r="F2874" s="2" t="n">
        <v>1</v>
      </c>
      <c r="G2874" s="2" t="n">
        <v>1</v>
      </c>
      <c r="H2874" s="2" t="n">
        <v>1</v>
      </c>
      <c r="I2874" s="2" t="n">
        <v>0</v>
      </c>
    </row>
    <row r="2875">
      <c r="A2875" s="2" t="n">
        <v>2873</v>
      </c>
      <c r="B2875" s="2" t="inlineStr">
        <is>
          <t>flip</t>
        </is>
      </c>
      <c r="C2875" s="2" t="inlineStr">
        <is>
          <t>browser firefox147</t>
        </is>
      </c>
      <c r="D2875" s="2" t="n">
        <v>1901</v>
      </c>
      <c r="E2875" s="2" t="n">
        <v>1901</v>
      </c>
      <c r="F2875" s="2" t="n">
        <v>1</v>
      </c>
      <c r="G2875" s="2" t="n">
        <v>1</v>
      </c>
      <c r="H2875" s="2" t="n">
        <v>0</v>
      </c>
      <c r="I2875" s="2" t="n">
        <v>0</v>
      </c>
    </row>
    <row r="2876">
      <c r="A2876" s="2" t="n">
        <v>2874</v>
      </c>
      <c r="B2876" s="2" t="inlineStr">
        <is>
          <t>truncate</t>
        </is>
      </c>
      <c r="C2876" s="2" t="inlineStr">
        <is>
          <t>openssl TLS 1.2 only</t>
        </is>
      </c>
      <c r="D2876" s="2" t="n">
        <v>105</v>
      </c>
      <c r="E2876" s="2" t="n">
        <v>105</v>
      </c>
      <c r="F2876" s="2" t="n">
        <v>1</v>
      </c>
      <c r="G2876" s="2" t="n">
        <v>1</v>
      </c>
      <c r="H2876" s="2" t="n">
        <v>0</v>
      </c>
      <c r="I2876" s="2" t="n">
        <v>0</v>
      </c>
    </row>
    <row r="2877">
      <c r="A2877" s="2" t="n">
        <v>2875</v>
      </c>
      <c r="B2877" s="2" t="inlineStr">
        <is>
          <t>length</t>
        </is>
      </c>
      <c r="C2877" s="2" t="inlineStr">
        <is>
          <t>browser chrome150</t>
        </is>
      </c>
      <c r="D2877" s="2" t="n">
        <v>1763</v>
      </c>
      <c r="E2877" s="2" t="n">
        <v>1763</v>
      </c>
      <c r="F2877" s="2" t="n">
        <v>1</v>
      </c>
      <c r="G2877" s="2" t="n">
        <v>0</v>
      </c>
      <c r="H2877" s="2" t="n">
        <v>0</v>
      </c>
      <c r="I2877" s="2" t="n">
        <v>0</v>
      </c>
    </row>
    <row r="2878">
      <c r="A2878" s="2" t="n">
        <v>2876</v>
      </c>
      <c r="B2878" s="2" t="inlineStr">
        <is>
          <t>insert</t>
        </is>
      </c>
      <c r="C2878" s="2" t="inlineStr">
        <is>
          <t>openssl X25519 only (classical)</t>
        </is>
      </c>
      <c r="D2878" s="2" t="n">
        <v>330</v>
      </c>
      <c r="E2878" s="2" t="n">
        <v>330</v>
      </c>
      <c r="F2878" s="2" t="n">
        <v>1</v>
      </c>
      <c r="G2878" s="2" t="n">
        <v>0</v>
      </c>
      <c r="H2878" s="2" t="n">
        <v>0</v>
      </c>
      <c r="I2878" s="2" t="n">
        <v>0</v>
      </c>
    </row>
    <row r="2879">
      <c r="A2879" s="2" t="n">
        <v>2877</v>
      </c>
      <c r="B2879" s="2" t="inlineStr">
        <is>
          <t>flip</t>
        </is>
      </c>
      <c r="C2879" s="2" t="inlineStr">
        <is>
          <t>browser firefox147</t>
        </is>
      </c>
      <c r="D2879" s="2" t="n">
        <v>1901</v>
      </c>
      <c r="E2879" s="2" t="n">
        <v>1901</v>
      </c>
      <c r="F2879" s="2" t="n">
        <v>1</v>
      </c>
      <c r="G2879" s="2" t="n">
        <v>1</v>
      </c>
      <c r="H2879" s="2" t="n">
        <v>0</v>
      </c>
      <c r="I2879" s="2" t="n">
        <v>0</v>
      </c>
    </row>
    <row r="2880">
      <c r="A2880" s="2" t="n">
        <v>2878</v>
      </c>
      <c r="B2880" s="2" t="inlineStr">
        <is>
          <t>truncate</t>
        </is>
      </c>
      <c r="C2880" s="2" t="inlineStr">
        <is>
          <t>openssl 3.5.8 default</t>
        </is>
      </c>
      <c r="D2880" s="2" t="n">
        <v>153</v>
      </c>
      <c r="E2880" s="2" t="n">
        <v>153</v>
      </c>
      <c r="F2880" s="2" t="n">
        <v>1</v>
      </c>
      <c r="G2880" s="2" t="n">
        <v>1</v>
      </c>
      <c r="H2880" s="2" t="n">
        <v>0</v>
      </c>
      <c r="I2880" s="2" t="n">
        <v>0</v>
      </c>
    </row>
    <row r="2881">
      <c r="A2881" s="2" t="n">
        <v>2879</v>
      </c>
      <c r="B2881" s="2" t="inlineStr">
        <is>
          <t>length</t>
        </is>
      </c>
      <c r="C2881" s="2" t="inlineStr">
        <is>
          <t>browser chrome150</t>
        </is>
      </c>
      <c r="D2881" s="2" t="n">
        <v>1763</v>
      </c>
      <c r="E2881" s="2" t="n">
        <v>1763</v>
      </c>
      <c r="F2881" s="2" t="n">
        <v>1</v>
      </c>
      <c r="G2881" s="2" t="n">
        <v>1</v>
      </c>
      <c r="H2881" s="2" t="n">
        <v>1</v>
      </c>
      <c r="I2881" s="2" t="n">
        <v>0</v>
      </c>
    </row>
    <row r="2882">
      <c r="A2882" s="2" t="n">
        <v>2880</v>
      </c>
      <c r="B2882" s="2" t="inlineStr">
        <is>
          <t>insert</t>
        </is>
      </c>
      <c r="C2882" s="2" t="inlineStr">
        <is>
          <t>browser chrome150</t>
        </is>
      </c>
      <c r="D2882" s="2" t="n">
        <v>1772</v>
      </c>
      <c r="E2882" s="2" t="n">
        <v>1772</v>
      </c>
      <c r="F2882" s="2" t="n">
        <v>1</v>
      </c>
      <c r="G2882" s="2" t="n">
        <v>0</v>
      </c>
      <c r="H2882" s="2" t="n">
        <v>0</v>
      </c>
      <c r="I2882" s="2" t="n">
        <v>0</v>
      </c>
    </row>
    <row r="2883">
      <c r="A2883" s="2" t="n">
        <v>2881</v>
      </c>
      <c r="B2883" s="2" t="inlineStr">
        <is>
          <t>flip</t>
        </is>
      </c>
      <c r="C2883" s="2" t="inlineStr">
        <is>
          <t>openssl TLS 1.2 only</t>
        </is>
      </c>
      <c r="D2883" s="2" t="n">
        <v>215</v>
      </c>
      <c r="E2883" s="2" t="n">
        <v>215</v>
      </c>
      <c r="F2883" s="2" t="n">
        <v>1</v>
      </c>
      <c r="G2883" s="2" t="n">
        <v>1</v>
      </c>
      <c r="H2883" s="2" t="n">
        <v>0</v>
      </c>
      <c r="I2883" s="2" t="n">
        <v>0</v>
      </c>
    </row>
    <row r="2884">
      <c r="A2884" s="2" t="n">
        <v>2882</v>
      </c>
      <c r="B2884" s="2" t="inlineStr">
        <is>
          <t>truncate</t>
        </is>
      </c>
      <c r="C2884" s="2" t="inlineStr">
        <is>
          <t>openssl X25519 only (classical)</t>
        </is>
      </c>
      <c r="D2884" s="2" t="n">
        <v>169</v>
      </c>
      <c r="E2884" s="2" t="n">
        <v>169</v>
      </c>
      <c r="F2884" s="2" t="n">
        <v>1</v>
      </c>
      <c r="G2884" s="2" t="n">
        <v>1</v>
      </c>
      <c r="H2884" s="2" t="n">
        <v>0</v>
      </c>
      <c r="I2884" s="2" t="n">
        <v>0</v>
      </c>
    </row>
    <row r="2885">
      <c r="A2885" s="2" t="n">
        <v>2883</v>
      </c>
      <c r="B2885" s="2" t="inlineStr">
        <is>
          <t>length</t>
        </is>
      </c>
      <c r="C2885" s="2" t="inlineStr">
        <is>
          <t>browser chrome150</t>
        </is>
      </c>
      <c r="D2885" s="2" t="n">
        <v>1763</v>
      </c>
      <c r="E2885" s="2" t="n">
        <v>1763</v>
      </c>
      <c r="F2885" s="2" t="n">
        <v>1</v>
      </c>
      <c r="G2885" s="2" t="n">
        <v>0</v>
      </c>
      <c r="H2885" s="2" t="n">
        <v>0</v>
      </c>
      <c r="I2885" s="2" t="n">
        <v>0</v>
      </c>
    </row>
    <row r="2886">
      <c r="A2886" s="2" t="n">
        <v>2884</v>
      </c>
      <c r="B2886" s="2" t="inlineStr">
        <is>
          <t>insert</t>
        </is>
      </c>
      <c r="C2886" s="2" t="inlineStr">
        <is>
          <t>openssl X25519 only (classical)</t>
        </is>
      </c>
      <c r="D2886" s="2" t="n">
        <v>317</v>
      </c>
      <c r="E2886" s="2" t="n">
        <v>317</v>
      </c>
      <c r="F2886" s="2" t="n">
        <v>1</v>
      </c>
      <c r="G2886" s="2" t="n">
        <v>1</v>
      </c>
      <c r="H2886" s="2" t="n">
        <v>1</v>
      </c>
      <c r="I2886" s="2" t="n">
        <v>0</v>
      </c>
    </row>
    <row r="2887">
      <c r="A2887" s="2" t="n">
        <v>2885</v>
      </c>
      <c r="B2887" s="2" t="inlineStr">
        <is>
          <t>flip</t>
        </is>
      </c>
      <c r="C2887" s="2" t="inlineStr">
        <is>
          <t>openssl X25519 only (classical)</t>
        </is>
      </c>
      <c r="D2887" s="2" t="n">
        <v>314</v>
      </c>
      <c r="E2887" s="2" t="n">
        <v>314</v>
      </c>
      <c r="F2887" s="2" t="n">
        <v>1</v>
      </c>
      <c r="G2887" s="2" t="n">
        <v>1</v>
      </c>
      <c r="H2887" s="2" t="n">
        <v>1</v>
      </c>
      <c r="I2887" s="2" t="n">
        <v>0</v>
      </c>
    </row>
    <row r="2888">
      <c r="A2888" s="2" t="n">
        <v>2886</v>
      </c>
      <c r="B2888" s="2" t="inlineStr">
        <is>
          <t>truncate</t>
        </is>
      </c>
      <c r="C2888" s="2" t="inlineStr">
        <is>
          <t>openssl 3.5.8 default</t>
        </is>
      </c>
      <c r="D2888" s="2" t="n">
        <v>1542</v>
      </c>
      <c r="E2888" s="2" t="n">
        <v>1542</v>
      </c>
      <c r="F2888" s="2" t="n">
        <v>1</v>
      </c>
      <c r="G2888" s="2" t="n">
        <v>1</v>
      </c>
      <c r="H2888" s="2" t="n">
        <v>1</v>
      </c>
      <c r="I2888" s="2" t="n">
        <v>0</v>
      </c>
    </row>
    <row r="2889">
      <c r="A2889" s="2" t="n">
        <v>2887</v>
      </c>
      <c r="B2889" s="2" t="inlineStr">
        <is>
          <t>length</t>
        </is>
      </c>
      <c r="C2889" s="2" t="inlineStr">
        <is>
          <t>browser firefox147</t>
        </is>
      </c>
      <c r="D2889" s="2" t="n">
        <v>1901</v>
      </c>
      <c r="E2889" s="2" t="n">
        <v>1901</v>
      </c>
      <c r="F2889" s="2" t="n">
        <v>1</v>
      </c>
      <c r="G2889" s="2" t="n">
        <v>0</v>
      </c>
      <c r="H2889" s="2" t="n">
        <v>0</v>
      </c>
      <c r="I2889" s="2" t="n">
        <v>0</v>
      </c>
    </row>
    <row r="2890">
      <c r="A2890" s="2" t="n">
        <v>2888</v>
      </c>
      <c r="B2890" s="2" t="inlineStr">
        <is>
          <t>insert</t>
        </is>
      </c>
      <c r="C2890" s="2" t="inlineStr">
        <is>
          <t>browser firefox147</t>
        </is>
      </c>
      <c r="D2890" s="2" t="n">
        <v>1904</v>
      </c>
      <c r="E2890" s="2" t="n">
        <v>1904</v>
      </c>
      <c r="F2890" s="2" t="n">
        <v>1</v>
      </c>
      <c r="G2890" s="2" t="n">
        <v>1</v>
      </c>
      <c r="H2890" s="2" t="n">
        <v>0</v>
      </c>
      <c r="I2890" s="2" t="n">
        <v>0</v>
      </c>
    </row>
    <row r="2891">
      <c r="A2891" s="2" t="n">
        <v>2889</v>
      </c>
      <c r="B2891" s="2" t="inlineStr">
        <is>
          <t>flip</t>
        </is>
      </c>
      <c r="C2891" s="2" t="inlineStr">
        <is>
          <t>browser chrome150</t>
        </is>
      </c>
      <c r="D2891" s="2" t="n">
        <v>1763</v>
      </c>
      <c r="E2891" s="2" t="n">
        <v>1763</v>
      </c>
      <c r="F2891" s="2" t="n">
        <v>1</v>
      </c>
      <c r="G2891" s="2" t="n">
        <v>1</v>
      </c>
      <c r="H2891" s="2" t="n">
        <v>1</v>
      </c>
      <c r="I2891" s="2" t="n">
        <v>0</v>
      </c>
    </row>
    <row r="2892">
      <c r="A2892" s="2" t="n">
        <v>2890</v>
      </c>
      <c r="B2892" s="2" t="inlineStr">
        <is>
          <t>truncate</t>
        </is>
      </c>
      <c r="C2892" s="2" t="inlineStr">
        <is>
          <t>openssl TLS 1.2 only</t>
        </is>
      </c>
      <c r="D2892" s="2" t="n">
        <v>198</v>
      </c>
      <c r="E2892" s="2" t="n">
        <v>198</v>
      </c>
      <c r="F2892" s="2" t="n">
        <v>1</v>
      </c>
      <c r="G2892" s="2" t="n">
        <v>1</v>
      </c>
      <c r="H2892" s="2" t="n">
        <v>1</v>
      </c>
      <c r="I2892" s="2" t="n">
        <v>0</v>
      </c>
    </row>
    <row r="2893">
      <c r="A2893" s="2" t="n">
        <v>2891</v>
      </c>
      <c r="B2893" s="2" t="inlineStr">
        <is>
          <t>length</t>
        </is>
      </c>
      <c r="C2893" s="2" t="inlineStr">
        <is>
          <t>openssl 3.5.8 default</t>
        </is>
      </c>
      <c r="D2893" s="2" t="n">
        <v>1548</v>
      </c>
      <c r="E2893" s="2" t="n">
        <v>1548</v>
      </c>
      <c r="F2893" s="2" t="n">
        <v>0</v>
      </c>
      <c r="G2893" s="2" t="n">
        <v>0</v>
      </c>
      <c r="H2893" s="2" t="n">
        <v>0</v>
      </c>
      <c r="I2893" s="2" t="n">
        <v>0</v>
      </c>
    </row>
    <row r="2894">
      <c r="A2894" s="2" t="n">
        <v>2892</v>
      </c>
      <c r="B2894" s="2" t="inlineStr">
        <is>
          <t>insert</t>
        </is>
      </c>
      <c r="C2894" s="2" t="inlineStr">
        <is>
          <t>openssl TLS 1.2 only</t>
        </is>
      </c>
      <c r="D2894" s="2" t="n">
        <v>223</v>
      </c>
      <c r="E2894" s="2" t="n">
        <v>223</v>
      </c>
      <c r="F2894" s="2" t="n">
        <v>1</v>
      </c>
      <c r="G2894" s="2" t="n">
        <v>1</v>
      </c>
      <c r="H2894" s="2" t="n">
        <v>0</v>
      </c>
      <c r="I2894" s="2" t="n">
        <v>0</v>
      </c>
    </row>
    <row r="2895">
      <c r="A2895" s="2" t="n">
        <v>2893</v>
      </c>
      <c r="B2895" s="2" t="inlineStr">
        <is>
          <t>flip</t>
        </is>
      </c>
      <c r="C2895" s="2" t="inlineStr">
        <is>
          <t>browser chrome150</t>
        </is>
      </c>
      <c r="D2895" s="2" t="n">
        <v>1763</v>
      </c>
      <c r="E2895" s="2" t="n">
        <v>1763</v>
      </c>
      <c r="F2895" s="2" t="n">
        <v>1</v>
      </c>
      <c r="G2895" s="2" t="n">
        <v>1</v>
      </c>
      <c r="H2895" s="2" t="n">
        <v>1</v>
      </c>
      <c r="I2895" s="2" t="n">
        <v>0</v>
      </c>
    </row>
    <row r="2896">
      <c r="A2896" s="2" t="n">
        <v>2894</v>
      </c>
      <c r="B2896" s="2" t="inlineStr">
        <is>
          <t>truncate</t>
        </is>
      </c>
      <c r="C2896" s="2" t="inlineStr">
        <is>
          <t>openssl TLS 1.2 only</t>
        </is>
      </c>
      <c r="D2896" s="2" t="n">
        <v>155</v>
      </c>
      <c r="E2896" s="2" t="n">
        <v>155</v>
      </c>
      <c r="F2896" s="2" t="n">
        <v>1</v>
      </c>
      <c r="G2896" s="2" t="n">
        <v>1</v>
      </c>
      <c r="H2896" s="2" t="n">
        <v>0</v>
      </c>
      <c r="I2896" s="2" t="n">
        <v>0</v>
      </c>
    </row>
    <row r="2897">
      <c r="A2897" s="2" t="n">
        <v>2895</v>
      </c>
      <c r="B2897" s="2" t="inlineStr">
        <is>
          <t>length</t>
        </is>
      </c>
      <c r="C2897" s="2" t="inlineStr">
        <is>
          <t>browser chrome150</t>
        </is>
      </c>
      <c r="D2897" s="2" t="n">
        <v>1763</v>
      </c>
      <c r="E2897" s="2" t="n">
        <v>1763</v>
      </c>
      <c r="F2897" s="2" t="n">
        <v>0</v>
      </c>
      <c r="G2897" s="2" t="n">
        <v>0</v>
      </c>
      <c r="H2897" s="2" t="n">
        <v>0</v>
      </c>
      <c r="I2897" s="2" t="n">
        <v>0</v>
      </c>
    </row>
    <row r="2898">
      <c r="A2898" s="2" t="n">
        <v>2896</v>
      </c>
      <c r="B2898" s="2" t="inlineStr">
        <is>
          <t>insert</t>
        </is>
      </c>
      <c r="C2898" s="2" t="inlineStr">
        <is>
          <t>openssl TLS 1.2 only</t>
        </is>
      </c>
      <c r="D2898" s="2" t="n">
        <v>223</v>
      </c>
      <c r="E2898" s="2" t="n">
        <v>223</v>
      </c>
      <c r="F2898" s="2" t="n">
        <v>1</v>
      </c>
      <c r="G2898" s="2" t="n">
        <v>1</v>
      </c>
      <c r="H2898" s="2" t="n">
        <v>0</v>
      </c>
      <c r="I2898" s="2" t="n">
        <v>0</v>
      </c>
    </row>
    <row r="2899">
      <c r="A2899" s="2" t="n">
        <v>2897</v>
      </c>
      <c r="B2899" s="2" t="inlineStr">
        <is>
          <t>flip</t>
        </is>
      </c>
      <c r="C2899" s="2" t="inlineStr">
        <is>
          <t>browser firefox147</t>
        </is>
      </c>
      <c r="D2899" s="2" t="n">
        <v>1901</v>
      </c>
      <c r="E2899" s="2" t="n">
        <v>1901</v>
      </c>
      <c r="F2899" s="2" t="n">
        <v>1</v>
      </c>
      <c r="G2899" s="2" t="n">
        <v>1</v>
      </c>
      <c r="H2899" s="2" t="n">
        <v>0</v>
      </c>
      <c r="I2899" s="2" t="n">
        <v>0</v>
      </c>
    </row>
    <row r="2900">
      <c r="A2900" s="2" t="n">
        <v>2898</v>
      </c>
      <c r="B2900" s="2" t="inlineStr">
        <is>
          <t>truncate</t>
        </is>
      </c>
      <c r="C2900" s="2" t="inlineStr">
        <is>
          <t>openssl TLS 1.2 only</t>
        </is>
      </c>
      <c r="D2900" s="2" t="n">
        <v>71</v>
      </c>
      <c r="E2900" s="2" t="n">
        <v>71</v>
      </c>
      <c r="F2900" s="2" t="n">
        <v>1</v>
      </c>
      <c r="G2900" s="2" t="n">
        <v>0</v>
      </c>
      <c r="H2900" s="2" t="n">
        <v>0</v>
      </c>
      <c r="I2900" s="2" t="n">
        <v>0</v>
      </c>
    </row>
    <row r="2901">
      <c r="A2901" s="2" t="n">
        <v>2899</v>
      </c>
      <c r="B2901" s="2" t="inlineStr">
        <is>
          <t>length</t>
        </is>
      </c>
      <c r="C2901" s="2" t="inlineStr">
        <is>
          <t>browser chrome150</t>
        </is>
      </c>
      <c r="D2901" s="2" t="n">
        <v>1763</v>
      </c>
      <c r="E2901" s="2" t="n">
        <v>1763</v>
      </c>
      <c r="F2901" s="2" t="n">
        <v>1</v>
      </c>
      <c r="G2901" s="2" t="n">
        <v>0</v>
      </c>
      <c r="H2901" s="2" t="n">
        <v>0</v>
      </c>
      <c r="I2901" s="2" t="n">
        <v>0</v>
      </c>
    </row>
    <row r="2902">
      <c r="A2902" s="2" t="n">
        <v>2900</v>
      </c>
      <c r="B2902" s="2" t="inlineStr">
        <is>
          <t>insert</t>
        </is>
      </c>
      <c r="C2902" s="2" t="inlineStr">
        <is>
          <t>openssl X25519 only (classical)</t>
        </is>
      </c>
      <c r="D2902" s="2" t="n">
        <v>324</v>
      </c>
      <c r="E2902" s="2" t="n">
        <v>324</v>
      </c>
      <c r="F2902" s="2" t="n">
        <v>1</v>
      </c>
      <c r="G2902" s="2" t="n">
        <v>0</v>
      </c>
      <c r="H2902" s="2" t="n">
        <v>0</v>
      </c>
      <c r="I2902" s="2" t="n">
        <v>0</v>
      </c>
    </row>
    <row r="2903">
      <c r="A2903" s="2" t="n">
        <v>2901</v>
      </c>
      <c r="B2903" s="2" t="inlineStr">
        <is>
          <t>flip</t>
        </is>
      </c>
      <c r="C2903" s="2" t="inlineStr">
        <is>
          <t>browser chrome150</t>
        </is>
      </c>
      <c r="D2903" s="2" t="n">
        <v>1763</v>
      </c>
      <c r="E2903" s="2" t="n">
        <v>1763</v>
      </c>
      <c r="F2903" s="2" t="n">
        <v>1</v>
      </c>
      <c r="G2903" s="2" t="n">
        <v>1</v>
      </c>
      <c r="H2903" s="2" t="n">
        <v>1</v>
      </c>
      <c r="I2903" s="2" t="n">
        <v>0</v>
      </c>
    </row>
    <row r="2904">
      <c r="A2904" s="2" t="n">
        <v>2902</v>
      </c>
      <c r="B2904" s="2" t="inlineStr">
        <is>
          <t>truncate</t>
        </is>
      </c>
      <c r="C2904" s="2" t="inlineStr">
        <is>
          <t>browser chrome150</t>
        </is>
      </c>
      <c r="D2904" s="2" t="n">
        <v>1384</v>
      </c>
      <c r="E2904" s="2" t="n">
        <v>1384</v>
      </c>
      <c r="F2904" s="2" t="n">
        <v>1</v>
      </c>
      <c r="G2904" s="2" t="n">
        <v>1</v>
      </c>
      <c r="H2904" s="2" t="n">
        <v>1</v>
      </c>
      <c r="I2904" s="2" t="n">
        <v>0</v>
      </c>
    </row>
    <row r="2905">
      <c r="A2905" s="2" t="n">
        <v>2903</v>
      </c>
      <c r="B2905" s="2" t="inlineStr">
        <is>
          <t>length</t>
        </is>
      </c>
      <c r="C2905" s="2" t="inlineStr">
        <is>
          <t>browser chrome150</t>
        </is>
      </c>
      <c r="D2905" s="2" t="n">
        <v>1763</v>
      </c>
      <c r="E2905" s="2" t="n">
        <v>1763</v>
      </c>
      <c r="F2905" s="2" t="n">
        <v>1</v>
      </c>
      <c r="G2905" s="2" t="n">
        <v>0</v>
      </c>
      <c r="H2905" s="2" t="n">
        <v>0</v>
      </c>
      <c r="I2905" s="2" t="n">
        <v>0</v>
      </c>
    </row>
    <row r="2906">
      <c r="A2906" s="2" t="n">
        <v>2904</v>
      </c>
      <c r="B2906" s="2" t="inlineStr">
        <is>
          <t>insert</t>
        </is>
      </c>
      <c r="C2906" s="2" t="inlineStr">
        <is>
          <t>openssl X25519 only (classical)</t>
        </is>
      </c>
      <c r="D2906" s="2" t="n">
        <v>328</v>
      </c>
      <c r="E2906" s="2" t="n">
        <v>328</v>
      </c>
      <c r="F2906" s="2" t="n">
        <v>1</v>
      </c>
      <c r="G2906" s="2" t="n">
        <v>1</v>
      </c>
      <c r="H2906" s="2" t="n">
        <v>1</v>
      </c>
      <c r="I2906" s="2" t="n">
        <v>0</v>
      </c>
    </row>
    <row r="2907">
      <c r="A2907" s="2" t="n">
        <v>2905</v>
      </c>
      <c r="B2907" s="2" t="inlineStr">
        <is>
          <t>flip</t>
        </is>
      </c>
      <c r="C2907" s="2" t="inlineStr">
        <is>
          <t>openssl 3.5.8 default</t>
        </is>
      </c>
      <c r="D2907" s="2" t="n">
        <v>1548</v>
      </c>
      <c r="E2907" s="2" t="n">
        <v>1548</v>
      </c>
      <c r="F2907" s="2" t="n">
        <v>1</v>
      </c>
      <c r="G2907" s="2" t="n">
        <v>1</v>
      </c>
      <c r="H2907" s="2" t="n">
        <v>1</v>
      </c>
      <c r="I2907" s="2" t="n">
        <v>0</v>
      </c>
    </row>
    <row r="2908">
      <c r="A2908" s="2" t="n">
        <v>2906</v>
      </c>
      <c r="B2908" s="2" t="inlineStr">
        <is>
          <t>truncate</t>
        </is>
      </c>
      <c r="C2908" s="2" t="inlineStr">
        <is>
          <t>browser chrome150</t>
        </is>
      </c>
      <c r="D2908" s="2" t="n">
        <v>335</v>
      </c>
      <c r="E2908" s="2" t="n">
        <v>335</v>
      </c>
      <c r="F2908" s="2" t="n">
        <v>1</v>
      </c>
      <c r="G2908" s="2" t="n">
        <v>1</v>
      </c>
      <c r="H2908" s="2" t="n">
        <v>1</v>
      </c>
      <c r="I2908" s="2" t="n">
        <v>0</v>
      </c>
    </row>
    <row r="2909">
      <c r="A2909" s="2" t="n">
        <v>2907</v>
      </c>
      <c r="B2909" s="2" t="inlineStr">
        <is>
          <t>length</t>
        </is>
      </c>
      <c r="C2909" s="2" t="inlineStr">
        <is>
          <t>browser chrome150</t>
        </is>
      </c>
      <c r="D2909" s="2" t="n">
        <v>1763</v>
      </c>
      <c r="E2909" s="2" t="n">
        <v>1763</v>
      </c>
      <c r="F2909" s="2" t="n">
        <v>1</v>
      </c>
      <c r="G2909" s="2" t="n">
        <v>1</v>
      </c>
      <c r="H2909" s="2" t="n">
        <v>1</v>
      </c>
      <c r="I2909" s="2" t="n">
        <v>0</v>
      </c>
    </row>
    <row r="2910">
      <c r="A2910" s="2" t="n">
        <v>2908</v>
      </c>
      <c r="B2910" s="2" t="inlineStr">
        <is>
          <t>insert</t>
        </is>
      </c>
      <c r="C2910" s="2" t="inlineStr">
        <is>
          <t>openssl 3.5.8 default</t>
        </is>
      </c>
      <c r="D2910" s="2" t="n">
        <v>1556</v>
      </c>
      <c r="E2910" s="2" t="n">
        <v>1556</v>
      </c>
      <c r="F2910" s="2" t="n">
        <v>1</v>
      </c>
      <c r="G2910" s="2" t="n">
        <v>1</v>
      </c>
      <c r="H2910" s="2" t="n">
        <v>1</v>
      </c>
      <c r="I2910" s="2" t="n">
        <v>0</v>
      </c>
    </row>
    <row r="2911">
      <c r="A2911" s="2" t="n">
        <v>2909</v>
      </c>
      <c r="B2911" s="2" t="inlineStr">
        <is>
          <t>flip</t>
        </is>
      </c>
      <c r="C2911" s="2" t="inlineStr">
        <is>
          <t>openssl X25519 only (classical)</t>
        </is>
      </c>
      <c r="D2911" s="2" t="n">
        <v>314</v>
      </c>
      <c r="E2911" s="2" t="n">
        <v>314</v>
      </c>
      <c r="F2911" s="2" t="n">
        <v>1</v>
      </c>
      <c r="G2911" s="2" t="n">
        <v>1</v>
      </c>
      <c r="H2911" s="2" t="n">
        <v>1</v>
      </c>
      <c r="I2911" s="2" t="n">
        <v>0</v>
      </c>
    </row>
    <row r="2912">
      <c r="A2912" s="2" t="n">
        <v>2910</v>
      </c>
      <c r="B2912" s="2" t="inlineStr">
        <is>
          <t>truncate</t>
        </is>
      </c>
      <c r="C2912" s="2" t="inlineStr">
        <is>
          <t>openssl TLS 1.2 only</t>
        </is>
      </c>
      <c r="D2912" s="2" t="n">
        <v>70</v>
      </c>
      <c r="E2912" s="2" t="n">
        <v>70</v>
      </c>
      <c r="F2912" s="2" t="n">
        <v>1</v>
      </c>
      <c r="G2912" s="2" t="n">
        <v>0</v>
      </c>
      <c r="H2912" s="2" t="n">
        <v>0</v>
      </c>
      <c r="I2912" s="2" t="n">
        <v>0</v>
      </c>
    </row>
    <row r="2913">
      <c r="A2913" s="2" t="n">
        <v>2911</v>
      </c>
      <c r="B2913" s="2" t="inlineStr">
        <is>
          <t>length</t>
        </is>
      </c>
      <c r="C2913" s="2" t="inlineStr">
        <is>
          <t>browser chrome150</t>
        </is>
      </c>
      <c r="D2913" s="2" t="n">
        <v>1763</v>
      </c>
      <c r="E2913" s="2" t="n">
        <v>1763</v>
      </c>
      <c r="F2913" s="2" t="n">
        <v>1</v>
      </c>
      <c r="G2913" s="2" t="n">
        <v>1</v>
      </c>
      <c r="H2913" s="2" t="n">
        <v>0</v>
      </c>
      <c r="I2913" s="2" t="n">
        <v>0</v>
      </c>
    </row>
    <row r="2914">
      <c r="A2914" s="2" t="n">
        <v>2912</v>
      </c>
      <c r="B2914" s="2" t="inlineStr">
        <is>
          <t>insert</t>
        </is>
      </c>
      <c r="C2914" s="2" t="inlineStr">
        <is>
          <t>openssl 3.5.8 default</t>
        </is>
      </c>
      <c r="D2914" s="2" t="n">
        <v>1560</v>
      </c>
      <c r="E2914" s="2" t="n">
        <v>1560</v>
      </c>
      <c r="F2914" s="2" t="n">
        <v>1</v>
      </c>
      <c r="G2914" s="2" t="n">
        <v>1</v>
      </c>
      <c r="H2914" s="2" t="n">
        <v>1</v>
      </c>
      <c r="I2914" s="2" t="n">
        <v>0</v>
      </c>
    </row>
    <row r="2915">
      <c r="A2915" s="2" t="n">
        <v>2913</v>
      </c>
      <c r="B2915" s="2" t="inlineStr">
        <is>
          <t>flip</t>
        </is>
      </c>
      <c r="C2915" s="2" t="inlineStr">
        <is>
          <t>browser firefox147</t>
        </is>
      </c>
      <c r="D2915" s="2" t="n">
        <v>1901</v>
      </c>
      <c r="E2915" s="2" t="n">
        <v>1901</v>
      </c>
      <c r="F2915" s="2" t="n">
        <v>1</v>
      </c>
      <c r="G2915" s="2" t="n">
        <v>1</v>
      </c>
      <c r="H2915" s="2" t="n">
        <v>0</v>
      </c>
      <c r="I2915" s="2" t="n">
        <v>0</v>
      </c>
    </row>
    <row r="2916">
      <c r="A2916" s="2" t="n">
        <v>2914</v>
      </c>
      <c r="B2916" s="2" t="inlineStr">
        <is>
          <t>truncate</t>
        </is>
      </c>
      <c r="C2916" s="2" t="inlineStr">
        <is>
          <t>openssl TLS 1.2 only</t>
        </is>
      </c>
      <c r="D2916" s="2" t="n">
        <v>179</v>
      </c>
      <c r="E2916" s="2" t="n">
        <v>179</v>
      </c>
      <c r="F2916" s="2" t="n">
        <v>1</v>
      </c>
      <c r="G2916" s="2" t="n">
        <v>1</v>
      </c>
      <c r="H2916" s="2" t="n">
        <v>1</v>
      </c>
      <c r="I2916" s="2" t="n">
        <v>0</v>
      </c>
    </row>
    <row r="2917">
      <c r="A2917" s="2" t="n">
        <v>2915</v>
      </c>
      <c r="B2917" s="2" t="inlineStr">
        <is>
          <t>length</t>
        </is>
      </c>
      <c r="C2917" s="2" t="inlineStr">
        <is>
          <t>browser firefox147</t>
        </is>
      </c>
      <c r="D2917" s="2" t="n">
        <v>1901</v>
      </c>
      <c r="E2917" s="2" t="n">
        <v>1901</v>
      </c>
      <c r="F2917" s="2" t="n">
        <v>1</v>
      </c>
      <c r="G2917" s="2" t="n">
        <v>0</v>
      </c>
      <c r="H2917" s="2" t="n">
        <v>0</v>
      </c>
      <c r="I2917" s="2" t="n">
        <v>0</v>
      </c>
    </row>
    <row r="2918">
      <c r="A2918" s="2" t="n">
        <v>2916</v>
      </c>
      <c r="B2918" s="2" t="inlineStr">
        <is>
          <t>insert</t>
        </is>
      </c>
      <c r="C2918" s="2" t="inlineStr">
        <is>
          <t>browser chrome150</t>
        </is>
      </c>
      <c r="D2918" s="2" t="n">
        <v>1767</v>
      </c>
      <c r="E2918" s="2" t="n">
        <v>1767</v>
      </c>
      <c r="F2918" s="2" t="n">
        <v>1</v>
      </c>
      <c r="G2918" s="2" t="n">
        <v>1</v>
      </c>
      <c r="H2918" s="2" t="n">
        <v>1</v>
      </c>
      <c r="I2918" s="2" t="n">
        <v>0</v>
      </c>
    </row>
    <row r="2919">
      <c r="A2919" s="2" t="n">
        <v>2917</v>
      </c>
      <c r="B2919" s="2" t="inlineStr">
        <is>
          <t>flip</t>
        </is>
      </c>
      <c r="C2919" s="2" t="inlineStr">
        <is>
          <t>browser chrome150</t>
        </is>
      </c>
      <c r="D2919" s="2" t="n">
        <v>1763</v>
      </c>
      <c r="E2919" s="2" t="n">
        <v>1763</v>
      </c>
      <c r="F2919" s="2" t="n">
        <v>1</v>
      </c>
      <c r="G2919" s="2" t="n">
        <v>1</v>
      </c>
      <c r="H2919" s="2" t="n">
        <v>1</v>
      </c>
      <c r="I2919" s="2" t="n">
        <v>0</v>
      </c>
    </row>
    <row r="2920">
      <c r="A2920" s="2" t="n">
        <v>2918</v>
      </c>
      <c r="B2920" s="2" t="inlineStr">
        <is>
          <t>truncate</t>
        </is>
      </c>
      <c r="C2920" s="2" t="inlineStr">
        <is>
          <t>openssl X25519 only (classical)</t>
        </is>
      </c>
      <c r="D2920" s="2" t="n">
        <v>310</v>
      </c>
      <c r="E2920" s="2" t="n">
        <v>310</v>
      </c>
      <c r="F2920" s="2" t="n">
        <v>1</v>
      </c>
      <c r="G2920" s="2" t="n">
        <v>1</v>
      </c>
      <c r="H2920" s="2" t="n">
        <v>1</v>
      </c>
      <c r="I2920" s="2" t="n">
        <v>0</v>
      </c>
    </row>
    <row r="2921">
      <c r="A2921" s="2" t="n">
        <v>2919</v>
      </c>
      <c r="B2921" s="2" t="inlineStr">
        <is>
          <t>length</t>
        </is>
      </c>
      <c r="C2921" s="2" t="inlineStr">
        <is>
          <t>openssl TLS 1.2 only</t>
        </is>
      </c>
      <c r="D2921" s="2" t="n">
        <v>215</v>
      </c>
      <c r="E2921" s="2" t="n">
        <v>215</v>
      </c>
      <c r="F2921" s="2" t="n">
        <v>1</v>
      </c>
      <c r="G2921" s="2" t="n">
        <v>1</v>
      </c>
      <c r="H2921" s="2" t="n">
        <v>0</v>
      </c>
      <c r="I2921" s="2" t="n">
        <v>0</v>
      </c>
    </row>
    <row r="2922">
      <c r="A2922" s="2" t="n">
        <v>2920</v>
      </c>
      <c r="B2922" s="2" t="inlineStr">
        <is>
          <t>insert</t>
        </is>
      </c>
      <c r="C2922" s="2" t="inlineStr">
        <is>
          <t>browser chrome150</t>
        </is>
      </c>
      <c r="D2922" s="2" t="n">
        <v>1777</v>
      </c>
      <c r="E2922" s="2" t="n">
        <v>1777</v>
      </c>
      <c r="F2922" s="2" t="n">
        <v>1</v>
      </c>
      <c r="G2922" s="2" t="n">
        <v>1</v>
      </c>
      <c r="H2922" s="2" t="n">
        <v>1</v>
      </c>
      <c r="I2922" s="2" t="n">
        <v>0</v>
      </c>
    </row>
    <row r="2923">
      <c r="A2923" s="2" t="n">
        <v>2921</v>
      </c>
      <c r="B2923" s="2" t="inlineStr">
        <is>
          <t>flip</t>
        </is>
      </c>
      <c r="C2923" s="2" t="inlineStr">
        <is>
          <t>browser chrome150</t>
        </is>
      </c>
      <c r="D2923" s="2" t="n">
        <v>1763</v>
      </c>
      <c r="E2923" s="2" t="n">
        <v>1763</v>
      </c>
      <c r="F2923" s="2" t="n">
        <v>1</v>
      </c>
      <c r="G2923" s="2" t="n">
        <v>1</v>
      </c>
      <c r="H2923" s="2" t="n">
        <v>1</v>
      </c>
      <c r="I2923" s="2" t="n">
        <v>0</v>
      </c>
    </row>
    <row r="2924">
      <c r="A2924" s="2" t="n">
        <v>2922</v>
      </c>
      <c r="B2924" s="2" t="inlineStr">
        <is>
          <t>truncate</t>
        </is>
      </c>
      <c r="C2924" s="2" t="inlineStr">
        <is>
          <t>openssl TLS 1.2 only</t>
        </is>
      </c>
      <c r="D2924" s="2" t="n">
        <v>139</v>
      </c>
      <c r="E2924" s="2" t="n">
        <v>139</v>
      </c>
      <c r="F2924" s="2" t="n">
        <v>1</v>
      </c>
      <c r="G2924" s="2" t="n">
        <v>1</v>
      </c>
      <c r="H2924" s="2" t="n">
        <v>0</v>
      </c>
      <c r="I2924" s="2" t="n">
        <v>0</v>
      </c>
    </row>
    <row r="2925">
      <c r="A2925" s="2" t="n">
        <v>2923</v>
      </c>
      <c r="B2925" s="2" t="inlineStr">
        <is>
          <t>length</t>
        </is>
      </c>
      <c r="C2925" s="2" t="inlineStr">
        <is>
          <t>openssl X25519 only (classical)</t>
        </is>
      </c>
      <c r="D2925" s="2" t="n">
        <v>314</v>
      </c>
      <c r="E2925" s="2" t="n">
        <v>314</v>
      </c>
      <c r="F2925" s="2" t="n">
        <v>1</v>
      </c>
      <c r="G2925" s="2" t="n">
        <v>1</v>
      </c>
      <c r="H2925" s="2" t="n">
        <v>1</v>
      </c>
      <c r="I2925" s="2" t="n">
        <v>0</v>
      </c>
    </row>
    <row r="2926">
      <c r="A2926" s="2" t="n">
        <v>2924</v>
      </c>
      <c r="B2926" s="2" t="inlineStr">
        <is>
          <t>insert</t>
        </is>
      </c>
      <c r="C2926" s="2" t="inlineStr">
        <is>
          <t>openssl TLS 1.2 only</t>
        </is>
      </c>
      <c r="D2926" s="2" t="n">
        <v>227</v>
      </c>
      <c r="E2926" s="2" t="n">
        <v>227</v>
      </c>
      <c r="F2926" s="2" t="n">
        <v>1</v>
      </c>
      <c r="G2926" s="2" t="n">
        <v>1</v>
      </c>
      <c r="H2926" s="2" t="n">
        <v>1</v>
      </c>
      <c r="I2926" s="2" t="n">
        <v>0</v>
      </c>
    </row>
    <row r="2927">
      <c r="A2927" s="2" t="n">
        <v>2925</v>
      </c>
      <c r="B2927" s="2" t="inlineStr">
        <is>
          <t>flip</t>
        </is>
      </c>
      <c r="C2927" s="2" t="inlineStr">
        <is>
          <t>openssl X25519 only (classical)</t>
        </is>
      </c>
      <c r="D2927" s="2" t="n">
        <v>314</v>
      </c>
      <c r="E2927" s="2" t="n">
        <v>314</v>
      </c>
      <c r="F2927" s="2" t="n">
        <v>1</v>
      </c>
      <c r="G2927" s="2" t="n">
        <v>1</v>
      </c>
      <c r="H2927" s="2" t="n">
        <v>1</v>
      </c>
      <c r="I2927" s="2" t="n">
        <v>0</v>
      </c>
    </row>
    <row r="2928">
      <c r="A2928" s="2" t="n">
        <v>2926</v>
      </c>
      <c r="B2928" s="2" t="inlineStr">
        <is>
          <t>truncate</t>
        </is>
      </c>
      <c r="C2928" s="2" t="inlineStr">
        <is>
          <t>openssl 3.5.8 default</t>
        </is>
      </c>
      <c r="D2928" s="2" t="n">
        <v>1215</v>
      </c>
      <c r="E2928" s="2" t="n">
        <v>1215</v>
      </c>
      <c r="F2928" s="2" t="n">
        <v>1</v>
      </c>
      <c r="G2928" s="2" t="n">
        <v>1</v>
      </c>
      <c r="H2928" s="2" t="n">
        <v>1</v>
      </c>
      <c r="I2928" s="2" t="n">
        <v>0</v>
      </c>
    </row>
    <row r="2929">
      <c r="A2929" s="2" t="n">
        <v>2927</v>
      </c>
      <c r="B2929" s="2" t="inlineStr">
        <is>
          <t>length</t>
        </is>
      </c>
      <c r="C2929" s="2" t="inlineStr">
        <is>
          <t>openssl X25519 only (classical)</t>
        </is>
      </c>
      <c r="D2929" s="2" t="n">
        <v>314</v>
      </c>
      <c r="E2929" s="2" t="n">
        <v>314</v>
      </c>
      <c r="F2929" s="2" t="n">
        <v>1</v>
      </c>
      <c r="G2929" s="2" t="n">
        <v>0</v>
      </c>
      <c r="H2929" s="2" t="n">
        <v>0</v>
      </c>
      <c r="I2929" s="2" t="n">
        <v>0</v>
      </c>
    </row>
    <row r="2930">
      <c r="A2930" s="2" t="n">
        <v>2928</v>
      </c>
      <c r="B2930" s="2" t="inlineStr">
        <is>
          <t>insert</t>
        </is>
      </c>
      <c r="C2930" s="2" t="inlineStr">
        <is>
          <t>openssl X25519 only (classical)</t>
        </is>
      </c>
      <c r="D2930" s="2" t="n">
        <v>316</v>
      </c>
      <c r="E2930" s="2" t="n">
        <v>316</v>
      </c>
      <c r="F2930" s="2" t="n">
        <v>1</v>
      </c>
      <c r="G2930" s="2" t="n">
        <v>0</v>
      </c>
      <c r="H2930" s="2" t="n">
        <v>0</v>
      </c>
      <c r="I2930" s="2" t="n">
        <v>0</v>
      </c>
    </row>
    <row r="2931">
      <c r="A2931" s="2" t="n">
        <v>2929</v>
      </c>
      <c r="B2931" s="2" t="inlineStr">
        <is>
          <t>flip</t>
        </is>
      </c>
      <c r="C2931" s="2" t="inlineStr">
        <is>
          <t>browser chrome150</t>
        </is>
      </c>
      <c r="D2931" s="2" t="n">
        <v>1763</v>
      </c>
      <c r="E2931" s="2" t="n">
        <v>1763</v>
      </c>
      <c r="F2931" s="2" t="n">
        <v>1</v>
      </c>
      <c r="G2931" s="2" t="n">
        <v>1</v>
      </c>
      <c r="H2931" s="2" t="n">
        <v>1</v>
      </c>
      <c r="I2931" s="2" t="n">
        <v>0</v>
      </c>
    </row>
    <row r="2932">
      <c r="A2932" s="2" t="n">
        <v>2930</v>
      </c>
      <c r="B2932" s="2" t="inlineStr">
        <is>
          <t>truncate</t>
        </is>
      </c>
      <c r="C2932" s="2" t="inlineStr">
        <is>
          <t>browser firefox147</t>
        </is>
      </c>
      <c r="D2932" s="2" t="n">
        <v>348</v>
      </c>
      <c r="E2932" s="2" t="n">
        <v>348</v>
      </c>
      <c r="F2932" s="2" t="n">
        <v>1</v>
      </c>
      <c r="G2932" s="2" t="n">
        <v>1</v>
      </c>
      <c r="H2932" s="2" t="n">
        <v>0</v>
      </c>
      <c r="I2932" s="2" t="n">
        <v>0</v>
      </c>
    </row>
    <row r="2933">
      <c r="A2933" s="2" t="n">
        <v>2931</v>
      </c>
      <c r="B2933" s="2" t="inlineStr">
        <is>
          <t>length</t>
        </is>
      </c>
      <c r="C2933" s="2" t="inlineStr">
        <is>
          <t>browser chrome150</t>
        </is>
      </c>
      <c r="D2933" s="2" t="n">
        <v>1763</v>
      </c>
      <c r="E2933" s="2" t="n">
        <v>1763</v>
      </c>
      <c r="F2933" s="2" t="n">
        <v>1</v>
      </c>
      <c r="G2933" s="2" t="n">
        <v>1</v>
      </c>
      <c r="H2933" s="2" t="n">
        <v>1</v>
      </c>
      <c r="I2933" s="2" t="n">
        <v>0</v>
      </c>
    </row>
    <row r="2934">
      <c r="A2934" s="2" t="n">
        <v>2932</v>
      </c>
      <c r="B2934" s="2" t="inlineStr">
        <is>
          <t>insert</t>
        </is>
      </c>
      <c r="C2934" s="2" t="inlineStr">
        <is>
          <t>openssl 3.5.8 default</t>
        </is>
      </c>
      <c r="D2934" s="2" t="n">
        <v>1551</v>
      </c>
      <c r="E2934" s="2" t="n">
        <v>1551</v>
      </c>
      <c r="F2934" s="2" t="n">
        <v>1</v>
      </c>
      <c r="G2934" s="2" t="n">
        <v>1</v>
      </c>
      <c r="H2934" s="2" t="n">
        <v>1</v>
      </c>
      <c r="I2934" s="2" t="n">
        <v>0</v>
      </c>
    </row>
    <row r="2935">
      <c r="A2935" s="2" t="n">
        <v>2933</v>
      </c>
      <c r="B2935" s="2" t="inlineStr">
        <is>
          <t>flip</t>
        </is>
      </c>
      <c r="C2935" s="2" t="inlineStr">
        <is>
          <t>browser chrome150</t>
        </is>
      </c>
      <c r="D2935" s="2" t="n">
        <v>1763</v>
      </c>
      <c r="E2935" s="2" t="n">
        <v>1763</v>
      </c>
      <c r="F2935" s="2" t="n">
        <v>1</v>
      </c>
      <c r="G2935" s="2" t="n">
        <v>1</v>
      </c>
      <c r="H2935" s="2" t="n">
        <v>1</v>
      </c>
      <c r="I2935" s="2" t="n">
        <v>0</v>
      </c>
    </row>
    <row r="2936">
      <c r="A2936" s="2" t="n">
        <v>2934</v>
      </c>
      <c r="B2936" s="2" t="inlineStr">
        <is>
          <t>truncate</t>
        </is>
      </c>
      <c r="C2936" s="2" t="inlineStr">
        <is>
          <t>openssl TLS 1.2 only</t>
        </is>
      </c>
      <c r="D2936" s="2" t="n">
        <v>212</v>
      </c>
      <c r="E2936" s="2" t="n">
        <v>212</v>
      </c>
      <c r="F2936" s="2" t="n">
        <v>1</v>
      </c>
      <c r="G2936" s="2" t="n">
        <v>1</v>
      </c>
      <c r="H2936" s="2" t="n">
        <v>1</v>
      </c>
      <c r="I2936" s="2" t="n">
        <v>0</v>
      </c>
    </row>
    <row r="2937">
      <c r="A2937" s="2" t="n">
        <v>2935</v>
      </c>
      <c r="B2937" s="2" t="inlineStr">
        <is>
          <t>length</t>
        </is>
      </c>
      <c r="C2937" s="2" t="inlineStr">
        <is>
          <t>browser chrome150</t>
        </is>
      </c>
      <c r="D2937" s="2" t="n">
        <v>1763</v>
      </c>
      <c r="E2937" s="2" t="n">
        <v>1763</v>
      </c>
      <c r="F2937" s="2" t="n">
        <v>1</v>
      </c>
      <c r="G2937" s="2" t="n">
        <v>1</v>
      </c>
      <c r="H2937" s="2" t="n">
        <v>1</v>
      </c>
      <c r="I2937" s="2" t="n">
        <v>0</v>
      </c>
    </row>
    <row r="2938">
      <c r="A2938" s="2" t="n">
        <v>2936</v>
      </c>
      <c r="B2938" s="2" t="inlineStr">
        <is>
          <t>insert</t>
        </is>
      </c>
      <c r="C2938" s="2" t="inlineStr">
        <is>
          <t>openssl X25519 only (classical)</t>
        </is>
      </c>
      <c r="D2938" s="2" t="n">
        <v>330</v>
      </c>
      <c r="E2938" s="2" t="n">
        <v>330</v>
      </c>
      <c r="F2938" s="2" t="n">
        <v>1</v>
      </c>
      <c r="G2938" s="2" t="n">
        <v>1</v>
      </c>
      <c r="H2938" s="2" t="n">
        <v>1</v>
      </c>
      <c r="I2938" s="2" t="n">
        <v>0</v>
      </c>
    </row>
    <row r="2939">
      <c r="A2939" s="2" t="n">
        <v>2937</v>
      </c>
      <c r="B2939" s="2" t="inlineStr">
        <is>
          <t>flip</t>
        </is>
      </c>
      <c r="C2939" s="2" t="inlineStr">
        <is>
          <t>browser chrome150</t>
        </is>
      </c>
      <c r="D2939" s="2" t="n">
        <v>1763</v>
      </c>
      <c r="E2939" s="2" t="n">
        <v>1763</v>
      </c>
      <c r="F2939" s="2" t="n">
        <v>1</v>
      </c>
      <c r="G2939" s="2" t="n">
        <v>1</v>
      </c>
      <c r="H2939" s="2" t="n">
        <v>1</v>
      </c>
      <c r="I2939" s="2" t="n">
        <v>0</v>
      </c>
    </row>
    <row r="2940">
      <c r="A2940" s="2" t="n">
        <v>2938</v>
      </c>
      <c r="B2940" s="2" t="inlineStr">
        <is>
          <t>truncate</t>
        </is>
      </c>
      <c r="C2940" s="2" t="inlineStr">
        <is>
          <t>browser chrome150</t>
        </is>
      </c>
      <c r="D2940" s="2" t="n">
        <v>1176</v>
      </c>
      <c r="E2940" s="2" t="n">
        <v>1176</v>
      </c>
      <c r="F2940" s="2" t="n">
        <v>1</v>
      </c>
      <c r="G2940" s="2" t="n">
        <v>1</v>
      </c>
      <c r="H2940" s="2" t="n">
        <v>1</v>
      </c>
      <c r="I2940" s="2" t="n">
        <v>0</v>
      </c>
    </row>
    <row r="2941">
      <c r="A2941" s="2" t="n">
        <v>2939</v>
      </c>
      <c r="B2941" s="2" t="inlineStr">
        <is>
          <t>length</t>
        </is>
      </c>
      <c r="C2941" s="2" t="inlineStr">
        <is>
          <t>openssl TLS 1.2 only</t>
        </is>
      </c>
      <c r="D2941" s="2" t="n">
        <v>215</v>
      </c>
      <c r="E2941" s="2" t="n">
        <v>215</v>
      </c>
      <c r="F2941" s="2" t="n">
        <v>0</v>
      </c>
      <c r="G2941" s="2" t="n">
        <v>0</v>
      </c>
      <c r="H2941" s="2" t="n">
        <v>0</v>
      </c>
      <c r="I2941" s="2" t="n">
        <v>0</v>
      </c>
    </row>
    <row r="2942">
      <c r="A2942" s="2" t="n">
        <v>2940</v>
      </c>
      <c r="B2942" s="2" t="inlineStr">
        <is>
          <t>insert</t>
        </is>
      </c>
      <c r="C2942" s="2" t="inlineStr">
        <is>
          <t>openssl TLS 1.2 only</t>
        </is>
      </c>
      <c r="D2942" s="2" t="n">
        <v>227</v>
      </c>
      <c r="E2942" s="2" t="n">
        <v>227</v>
      </c>
      <c r="F2942" s="2" t="n">
        <v>1</v>
      </c>
      <c r="G2942" s="2" t="n">
        <v>1</v>
      </c>
      <c r="H2942" s="2" t="n">
        <v>1</v>
      </c>
      <c r="I2942" s="2" t="n">
        <v>0</v>
      </c>
    </row>
    <row r="2943">
      <c r="A2943" s="2" t="n">
        <v>2941</v>
      </c>
      <c r="B2943" s="2" t="inlineStr">
        <is>
          <t>flip</t>
        </is>
      </c>
      <c r="C2943" s="2" t="inlineStr">
        <is>
          <t>openssl 3.5.8 default</t>
        </is>
      </c>
      <c r="D2943" s="2" t="n">
        <v>1548</v>
      </c>
      <c r="E2943" s="2" t="n">
        <v>1548</v>
      </c>
      <c r="F2943" s="2" t="n">
        <v>1</v>
      </c>
      <c r="G2943" s="2" t="n">
        <v>1</v>
      </c>
      <c r="H2943" s="2" t="n">
        <v>1</v>
      </c>
      <c r="I2943" s="2" t="n">
        <v>0</v>
      </c>
    </row>
    <row r="2944">
      <c r="A2944" s="2" t="n">
        <v>2942</v>
      </c>
      <c r="B2944" s="2" t="inlineStr">
        <is>
          <t>truncate</t>
        </is>
      </c>
      <c r="C2944" s="2" t="inlineStr">
        <is>
          <t>openssl TLS 1.2 only</t>
        </is>
      </c>
      <c r="D2944" s="2" t="n">
        <v>186</v>
      </c>
      <c r="E2944" s="2" t="n">
        <v>186</v>
      </c>
      <c r="F2944" s="2" t="n">
        <v>1</v>
      </c>
      <c r="G2944" s="2" t="n">
        <v>1</v>
      </c>
      <c r="H2944" s="2" t="n">
        <v>1</v>
      </c>
      <c r="I2944" s="2" t="n">
        <v>0</v>
      </c>
    </row>
    <row r="2945">
      <c r="A2945" s="2" t="n">
        <v>2943</v>
      </c>
      <c r="B2945" s="2" t="inlineStr">
        <is>
          <t>length</t>
        </is>
      </c>
      <c r="C2945" s="2" t="inlineStr">
        <is>
          <t>browser firefox147</t>
        </is>
      </c>
      <c r="D2945" s="2" t="n">
        <v>1901</v>
      </c>
      <c r="E2945" s="2" t="n">
        <v>1901</v>
      </c>
      <c r="F2945" s="2" t="n">
        <v>1</v>
      </c>
      <c r="G2945" s="2" t="n">
        <v>1</v>
      </c>
      <c r="H2945" s="2" t="n">
        <v>0</v>
      </c>
      <c r="I2945" s="2" t="n">
        <v>0</v>
      </c>
    </row>
    <row r="2946">
      <c r="A2946" s="2" t="n">
        <v>2944</v>
      </c>
      <c r="B2946" s="2" t="inlineStr">
        <is>
          <t>insert</t>
        </is>
      </c>
      <c r="C2946" s="2" t="inlineStr">
        <is>
          <t>browser firefox147</t>
        </is>
      </c>
      <c r="D2946" s="2" t="n">
        <v>1911</v>
      </c>
      <c r="E2946" s="2" t="n">
        <v>1911</v>
      </c>
      <c r="F2946" s="2" t="n">
        <v>1</v>
      </c>
      <c r="G2946" s="2" t="n">
        <v>1</v>
      </c>
      <c r="H2946" s="2" t="n">
        <v>0</v>
      </c>
      <c r="I2946" s="2" t="n">
        <v>0</v>
      </c>
    </row>
    <row r="2947">
      <c r="A2947" s="2" t="n">
        <v>2945</v>
      </c>
      <c r="B2947" s="2" t="inlineStr">
        <is>
          <t>flip</t>
        </is>
      </c>
      <c r="C2947" s="2" t="inlineStr">
        <is>
          <t>browser chrome150</t>
        </is>
      </c>
      <c r="D2947" s="2" t="n">
        <v>1763</v>
      </c>
      <c r="E2947" s="2" t="n">
        <v>1763</v>
      </c>
      <c r="F2947" s="2" t="n">
        <v>1</v>
      </c>
      <c r="G2947" s="2" t="n">
        <v>1</v>
      </c>
      <c r="H2947" s="2" t="n">
        <v>1</v>
      </c>
      <c r="I2947" s="2" t="n">
        <v>0</v>
      </c>
    </row>
    <row r="2948">
      <c r="A2948" s="2" t="n">
        <v>2946</v>
      </c>
      <c r="B2948" s="2" t="inlineStr">
        <is>
          <t>truncate</t>
        </is>
      </c>
      <c r="C2948" s="2" t="inlineStr">
        <is>
          <t>openssl TLS 1.2 only</t>
        </is>
      </c>
      <c r="D2948" s="2" t="n">
        <v>84</v>
      </c>
      <c r="E2948" s="2" t="n">
        <v>84</v>
      </c>
      <c r="F2948" s="2" t="n">
        <v>1</v>
      </c>
      <c r="G2948" s="2" t="n">
        <v>0</v>
      </c>
      <c r="H2948" s="2" t="n">
        <v>0</v>
      </c>
      <c r="I2948" s="2" t="n">
        <v>0</v>
      </c>
    </row>
    <row r="2949">
      <c r="A2949" s="2" t="n">
        <v>2947</v>
      </c>
      <c r="B2949" s="2" t="inlineStr">
        <is>
          <t>length</t>
        </is>
      </c>
      <c r="C2949" s="2" t="inlineStr">
        <is>
          <t>browser chrome150</t>
        </is>
      </c>
      <c r="D2949" s="2" t="n">
        <v>1763</v>
      </c>
      <c r="E2949" s="2" t="n">
        <v>1763</v>
      </c>
      <c r="F2949" s="2" t="n">
        <v>1</v>
      </c>
      <c r="G2949" s="2" t="n">
        <v>1</v>
      </c>
      <c r="H2949" s="2" t="n">
        <v>1</v>
      </c>
      <c r="I2949" s="2" t="n">
        <v>0</v>
      </c>
    </row>
    <row r="2950">
      <c r="A2950" s="2" t="n">
        <v>2948</v>
      </c>
      <c r="B2950" s="2" t="inlineStr">
        <is>
          <t>insert</t>
        </is>
      </c>
      <c r="C2950" s="2" t="inlineStr">
        <is>
          <t>browser firefox147</t>
        </is>
      </c>
      <c r="D2950" s="2" t="n">
        <v>1911</v>
      </c>
      <c r="E2950" s="2" t="n">
        <v>1911</v>
      </c>
      <c r="F2950" s="2" t="n">
        <v>1</v>
      </c>
      <c r="G2950" s="2" t="n">
        <v>1</v>
      </c>
      <c r="H2950" s="2" t="n">
        <v>0</v>
      </c>
      <c r="I2950" s="2" t="n">
        <v>0</v>
      </c>
    </row>
    <row r="2951">
      <c r="A2951" s="2" t="n">
        <v>2949</v>
      </c>
      <c r="B2951" s="2" t="inlineStr">
        <is>
          <t>flip</t>
        </is>
      </c>
      <c r="C2951" s="2" t="inlineStr">
        <is>
          <t>browser firefox147</t>
        </is>
      </c>
      <c r="D2951" s="2" t="n">
        <v>1901</v>
      </c>
      <c r="E2951" s="2" t="n">
        <v>1901</v>
      </c>
      <c r="F2951" s="2" t="n">
        <v>1</v>
      </c>
      <c r="G2951" s="2" t="n">
        <v>1</v>
      </c>
      <c r="H2951" s="2" t="n">
        <v>0</v>
      </c>
      <c r="I2951" s="2" t="n">
        <v>0</v>
      </c>
    </row>
    <row r="2952">
      <c r="A2952" s="2" t="n">
        <v>2950</v>
      </c>
      <c r="B2952" s="2" t="inlineStr">
        <is>
          <t>truncate</t>
        </is>
      </c>
      <c r="C2952" s="2" t="inlineStr">
        <is>
          <t>browser chrome150</t>
        </is>
      </c>
      <c r="D2952" s="2" t="n">
        <v>1036</v>
      </c>
      <c r="E2952" s="2" t="n">
        <v>1036</v>
      </c>
      <c r="F2952" s="2" t="n">
        <v>1</v>
      </c>
      <c r="G2952" s="2" t="n">
        <v>1</v>
      </c>
      <c r="H2952" s="2" t="n">
        <v>1</v>
      </c>
      <c r="I2952" s="2" t="n">
        <v>0</v>
      </c>
    </row>
    <row r="2953">
      <c r="A2953" s="2" t="n">
        <v>2951</v>
      </c>
      <c r="B2953" s="2" t="inlineStr">
        <is>
          <t>length</t>
        </is>
      </c>
      <c r="C2953" s="2" t="inlineStr">
        <is>
          <t>openssl 3.5.8 default</t>
        </is>
      </c>
      <c r="D2953" s="2" t="n">
        <v>1548</v>
      </c>
      <c r="E2953" s="2" t="n">
        <v>1548</v>
      </c>
      <c r="F2953" s="2" t="n">
        <v>1</v>
      </c>
      <c r="G2953" s="2" t="n">
        <v>1</v>
      </c>
      <c r="H2953" s="2" t="n">
        <v>1</v>
      </c>
      <c r="I2953" s="2" t="n">
        <v>0</v>
      </c>
    </row>
    <row r="2954">
      <c r="A2954" s="2" t="n">
        <v>2952</v>
      </c>
      <c r="B2954" s="2" t="inlineStr">
        <is>
          <t>insert</t>
        </is>
      </c>
      <c r="C2954" s="2" t="inlineStr">
        <is>
          <t>browser firefox147</t>
        </is>
      </c>
      <c r="D2954" s="2" t="n">
        <v>1906</v>
      </c>
      <c r="E2954" s="2" t="n">
        <v>1906</v>
      </c>
      <c r="F2954" s="2" t="n">
        <v>1</v>
      </c>
      <c r="G2954" s="2" t="n">
        <v>1</v>
      </c>
      <c r="H2954" s="2" t="n">
        <v>0</v>
      </c>
      <c r="I2954" s="2" t="n">
        <v>0</v>
      </c>
    </row>
    <row r="2955">
      <c r="A2955" s="2" t="n">
        <v>2953</v>
      </c>
      <c r="B2955" s="2" t="inlineStr">
        <is>
          <t>flip</t>
        </is>
      </c>
      <c r="C2955" s="2" t="inlineStr">
        <is>
          <t>openssl TLS 1.2 only</t>
        </is>
      </c>
      <c r="D2955" s="2" t="n">
        <v>215</v>
      </c>
      <c r="E2955" s="2" t="n">
        <v>215</v>
      </c>
      <c r="F2955" s="2" t="n">
        <v>1</v>
      </c>
      <c r="G2955" s="2" t="n">
        <v>1</v>
      </c>
      <c r="H2955" s="2" t="n">
        <v>1</v>
      </c>
      <c r="I2955" s="2" t="n">
        <v>0</v>
      </c>
    </row>
    <row r="2956">
      <c r="A2956" s="2" t="n">
        <v>2954</v>
      </c>
      <c r="B2956" s="2" t="inlineStr">
        <is>
          <t>truncate</t>
        </is>
      </c>
      <c r="C2956" s="2" t="inlineStr">
        <is>
          <t>openssl 3.5.8 default</t>
        </is>
      </c>
      <c r="D2956" s="2" t="n">
        <v>518</v>
      </c>
      <c r="E2956" s="2" t="n">
        <v>518</v>
      </c>
      <c r="F2956" s="2" t="n">
        <v>1</v>
      </c>
      <c r="G2956" s="2" t="n">
        <v>1</v>
      </c>
      <c r="H2956" s="2" t="n">
        <v>1</v>
      </c>
      <c r="I2956" s="2" t="n">
        <v>0</v>
      </c>
    </row>
    <row r="2957">
      <c r="A2957" s="2" t="n">
        <v>2955</v>
      </c>
      <c r="B2957" s="2" t="inlineStr">
        <is>
          <t>length</t>
        </is>
      </c>
      <c r="C2957" s="2" t="inlineStr">
        <is>
          <t>openssl X25519 only (classical)</t>
        </is>
      </c>
      <c r="D2957" s="2" t="n">
        <v>314</v>
      </c>
      <c r="E2957" s="2" t="n">
        <v>314</v>
      </c>
      <c r="F2957" s="2" t="n">
        <v>1</v>
      </c>
      <c r="G2957" s="2" t="n">
        <v>1</v>
      </c>
      <c r="H2957" s="2" t="n">
        <v>1</v>
      </c>
      <c r="I2957" s="2" t="n">
        <v>0</v>
      </c>
    </row>
    <row r="2958">
      <c r="A2958" s="2" t="n">
        <v>2956</v>
      </c>
      <c r="B2958" s="2" t="inlineStr">
        <is>
          <t>insert</t>
        </is>
      </c>
      <c r="C2958" s="2" t="inlineStr">
        <is>
          <t>browser firefox147</t>
        </is>
      </c>
      <c r="D2958" s="2" t="n">
        <v>1907</v>
      </c>
      <c r="E2958" s="2" t="n">
        <v>1907</v>
      </c>
      <c r="F2958" s="2" t="n">
        <v>1</v>
      </c>
      <c r="G2958" s="2" t="n">
        <v>1</v>
      </c>
      <c r="H2958" s="2" t="n">
        <v>1</v>
      </c>
      <c r="I2958" s="2" t="n">
        <v>0</v>
      </c>
    </row>
    <row r="2959">
      <c r="A2959" s="2" t="n">
        <v>2957</v>
      </c>
      <c r="B2959" s="2" t="inlineStr">
        <is>
          <t>flip</t>
        </is>
      </c>
      <c r="C2959" s="2" t="inlineStr">
        <is>
          <t>browser firefox147</t>
        </is>
      </c>
      <c r="D2959" s="2" t="n">
        <v>1901</v>
      </c>
      <c r="E2959" s="2" t="n">
        <v>1901</v>
      </c>
      <c r="F2959" s="2" t="n">
        <v>1</v>
      </c>
      <c r="G2959" s="2" t="n">
        <v>1</v>
      </c>
      <c r="H2959" s="2" t="n">
        <v>0</v>
      </c>
      <c r="I2959" s="2" t="n">
        <v>0</v>
      </c>
    </row>
    <row r="2960">
      <c r="A2960" s="2" t="n">
        <v>2958</v>
      </c>
      <c r="B2960" s="2" t="inlineStr">
        <is>
          <t>truncate</t>
        </is>
      </c>
      <c r="C2960" s="2" t="inlineStr">
        <is>
          <t>browser chrome150</t>
        </is>
      </c>
      <c r="D2960" s="2" t="n">
        <v>1158</v>
      </c>
      <c r="E2960" s="2" t="n">
        <v>1158</v>
      </c>
      <c r="F2960" s="2" t="n">
        <v>1</v>
      </c>
      <c r="G2960" s="2" t="n">
        <v>1</v>
      </c>
      <c r="H2960" s="2" t="n">
        <v>1</v>
      </c>
      <c r="I2960" s="2" t="n">
        <v>0</v>
      </c>
    </row>
    <row r="2961">
      <c r="A2961" s="2" t="n">
        <v>2959</v>
      </c>
      <c r="B2961" s="2" t="inlineStr">
        <is>
          <t>length</t>
        </is>
      </c>
      <c r="C2961" s="2" t="inlineStr">
        <is>
          <t>browser chrome150</t>
        </is>
      </c>
      <c r="D2961" s="2" t="n">
        <v>1763</v>
      </c>
      <c r="E2961" s="2" t="n">
        <v>1763</v>
      </c>
      <c r="F2961" s="2" t="n">
        <v>1</v>
      </c>
      <c r="G2961" s="2" t="n">
        <v>1</v>
      </c>
      <c r="H2961" s="2" t="n">
        <v>0</v>
      </c>
      <c r="I2961" s="2" t="n">
        <v>0</v>
      </c>
    </row>
    <row r="2962">
      <c r="A2962" s="2" t="n">
        <v>2960</v>
      </c>
      <c r="B2962" s="2" t="inlineStr">
        <is>
          <t>insert</t>
        </is>
      </c>
      <c r="C2962" s="2" t="inlineStr">
        <is>
          <t>openssl X25519 only (classical)</t>
        </is>
      </c>
      <c r="D2962" s="2" t="n">
        <v>325</v>
      </c>
      <c r="E2962" s="2" t="n">
        <v>325</v>
      </c>
      <c r="F2962" s="2" t="n">
        <v>1</v>
      </c>
      <c r="G2962" s="2" t="n">
        <v>1</v>
      </c>
      <c r="H2962" s="2" t="n">
        <v>0</v>
      </c>
      <c r="I2962" s="2" t="n">
        <v>0</v>
      </c>
    </row>
    <row r="2963">
      <c r="A2963" s="2" t="n">
        <v>2961</v>
      </c>
      <c r="B2963" s="2" t="inlineStr">
        <is>
          <t>flip</t>
        </is>
      </c>
      <c r="C2963" s="2" t="inlineStr">
        <is>
          <t>browser firefox147</t>
        </is>
      </c>
      <c r="D2963" s="2" t="n">
        <v>1901</v>
      </c>
      <c r="E2963" s="2" t="n">
        <v>1901</v>
      </c>
      <c r="F2963" s="2" t="n">
        <v>1</v>
      </c>
      <c r="G2963" s="2" t="n">
        <v>1</v>
      </c>
      <c r="H2963" s="2" t="n">
        <v>0</v>
      </c>
      <c r="I2963" s="2" t="n">
        <v>0</v>
      </c>
    </row>
    <row r="2964">
      <c r="A2964" s="2" t="n">
        <v>2962</v>
      </c>
      <c r="B2964" s="2" t="inlineStr">
        <is>
          <t>truncate</t>
        </is>
      </c>
      <c r="C2964" s="2" t="inlineStr">
        <is>
          <t>openssl TLS 1.2 only</t>
        </is>
      </c>
      <c r="D2964" s="2" t="n">
        <v>93</v>
      </c>
      <c r="E2964" s="2" t="n">
        <v>93</v>
      </c>
      <c r="F2964" s="2" t="n">
        <v>1</v>
      </c>
      <c r="G2964" s="2" t="n">
        <v>0</v>
      </c>
      <c r="H2964" s="2" t="n">
        <v>0</v>
      </c>
      <c r="I2964" s="2" t="n">
        <v>0</v>
      </c>
    </row>
    <row r="2965">
      <c r="A2965" s="2" t="n">
        <v>2963</v>
      </c>
      <c r="B2965" s="2" t="inlineStr">
        <is>
          <t>length</t>
        </is>
      </c>
      <c r="C2965" s="2" t="inlineStr">
        <is>
          <t>openssl X25519 only (classical)</t>
        </is>
      </c>
      <c r="D2965" s="2" t="n">
        <v>314</v>
      </c>
      <c r="E2965" s="2" t="n">
        <v>314</v>
      </c>
      <c r="F2965" s="2" t="n">
        <v>1</v>
      </c>
      <c r="G2965" s="2" t="n">
        <v>1</v>
      </c>
      <c r="H2965" s="2" t="n">
        <v>1</v>
      </c>
      <c r="I2965" s="2" t="n">
        <v>0</v>
      </c>
    </row>
    <row r="2966">
      <c r="A2966" s="2" t="n">
        <v>2964</v>
      </c>
      <c r="B2966" s="2" t="inlineStr">
        <is>
          <t>insert</t>
        </is>
      </c>
      <c r="C2966" s="2" t="inlineStr">
        <is>
          <t>openssl X25519 only (classical)</t>
        </is>
      </c>
      <c r="D2966" s="2" t="n">
        <v>315</v>
      </c>
      <c r="E2966" s="2" t="n">
        <v>315</v>
      </c>
      <c r="F2966" s="2" t="n">
        <v>1</v>
      </c>
      <c r="G2966" s="2" t="n">
        <v>1</v>
      </c>
      <c r="H2966" s="2" t="n">
        <v>1</v>
      </c>
      <c r="I2966" s="2" t="n">
        <v>0</v>
      </c>
    </row>
    <row r="2967">
      <c r="A2967" s="2" t="n">
        <v>2965</v>
      </c>
      <c r="B2967" s="2" t="inlineStr">
        <is>
          <t>flip</t>
        </is>
      </c>
      <c r="C2967" s="2" t="inlineStr">
        <is>
          <t>openssl 3.5.8 default</t>
        </is>
      </c>
      <c r="D2967" s="2" t="n">
        <v>1548</v>
      </c>
      <c r="E2967" s="2" t="n">
        <v>1548</v>
      </c>
      <c r="F2967" s="2" t="n">
        <v>1</v>
      </c>
      <c r="G2967" s="2" t="n">
        <v>1</v>
      </c>
      <c r="H2967" s="2" t="n">
        <v>1</v>
      </c>
      <c r="I2967" s="2" t="n">
        <v>0</v>
      </c>
    </row>
    <row r="2968">
      <c r="A2968" s="2" t="n">
        <v>2966</v>
      </c>
      <c r="B2968" s="2" t="inlineStr">
        <is>
          <t>truncate</t>
        </is>
      </c>
      <c r="C2968" s="2" t="inlineStr">
        <is>
          <t>browser chrome150</t>
        </is>
      </c>
      <c r="D2968" s="2" t="n">
        <v>1466</v>
      </c>
      <c r="E2968" s="2" t="n">
        <v>1466</v>
      </c>
      <c r="F2968" s="2" t="n">
        <v>1</v>
      </c>
      <c r="G2968" s="2" t="n">
        <v>1</v>
      </c>
      <c r="H2968" s="2" t="n">
        <v>1</v>
      </c>
      <c r="I2968" s="2" t="n">
        <v>0</v>
      </c>
    </row>
    <row r="2969">
      <c r="A2969" s="2" t="n">
        <v>2967</v>
      </c>
      <c r="B2969" s="2" t="inlineStr">
        <is>
          <t>length</t>
        </is>
      </c>
      <c r="C2969" s="2" t="inlineStr">
        <is>
          <t>openssl X25519 only (classical)</t>
        </is>
      </c>
      <c r="D2969" s="2" t="n">
        <v>314</v>
      </c>
      <c r="E2969" s="2" t="n">
        <v>314</v>
      </c>
      <c r="F2969" s="2" t="n">
        <v>1</v>
      </c>
      <c r="G2969" s="2" t="n">
        <v>1</v>
      </c>
      <c r="H2969" s="2" t="n">
        <v>1</v>
      </c>
      <c r="I2969" s="2" t="n">
        <v>0</v>
      </c>
    </row>
    <row r="2970">
      <c r="A2970" s="2" t="n">
        <v>2968</v>
      </c>
      <c r="B2970" s="2" t="inlineStr">
        <is>
          <t>insert</t>
        </is>
      </c>
      <c r="C2970" s="2" t="inlineStr">
        <is>
          <t>browser chrome150</t>
        </is>
      </c>
      <c r="D2970" s="2" t="n">
        <v>1767</v>
      </c>
      <c r="E2970" s="2" t="n">
        <v>1767</v>
      </c>
      <c r="F2970" s="2" t="n">
        <v>1</v>
      </c>
      <c r="G2970" s="2" t="n">
        <v>1</v>
      </c>
      <c r="H2970" s="2" t="n">
        <v>1</v>
      </c>
      <c r="I2970" s="2" t="n">
        <v>0</v>
      </c>
    </row>
    <row r="2971">
      <c r="A2971" s="2" t="n">
        <v>2969</v>
      </c>
      <c r="B2971" s="2" t="inlineStr">
        <is>
          <t>flip</t>
        </is>
      </c>
      <c r="C2971" s="2" t="inlineStr">
        <is>
          <t>openssl 3.5.8 default</t>
        </is>
      </c>
      <c r="D2971" s="2" t="n">
        <v>1548</v>
      </c>
      <c r="E2971" s="2" t="n">
        <v>1548</v>
      </c>
      <c r="F2971" s="2" t="n">
        <v>1</v>
      </c>
      <c r="G2971" s="2" t="n">
        <v>1</v>
      </c>
      <c r="H2971" s="2" t="n">
        <v>1</v>
      </c>
      <c r="I2971" s="2" t="n">
        <v>0</v>
      </c>
    </row>
    <row r="2972">
      <c r="A2972" s="2" t="n">
        <v>2970</v>
      </c>
      <c r="B2972" s="2" t="inlineStr">
        <is>
          <t>truncate</t>
        </is>
      </c>
      <c r="C2972" s="2" t="inlineStr">
        <is>
          <t>browser firefox147</t>
        </is>
      </c>
      <c r="D2972" s="2" t="n">
        <v>442</v>
      </c>
      <c r="E2972" s="2" t="n">
        <v>442</v>
      </c>
      <c r="F2972" s="2" t="n">
        <v>1</v>
      </c>
      <c r="G2972" s="2" t="n">
        <v>1</v>
      </c>
      <c r="H2972" s="2" t="n">
        <v>0</v>
      </c>
      <c r="I2972" s="2" t="n">
        <v>0</v>
      </c>
    </row>
    <row r="2973">
      <c r="A2973" s="2" t="n">
        <v>2971</v>
      </c>
      <c r="B2973" s="2" t="inlineStr">
        <is>
          <t>length</t>
        </is>
      </c>
      <c r="C2973" s="2" t="inlineStr">
        <is>
          <t>browser firefox147</t>
        </is>
      </c>
      <c r="D2973" s="2" t="n">
        <v>1901</v>
      </c>
      <c r="E2973" s="2" t="n">
        <v>1901</v>
      </c>
      <c r="F2973" s="2" t="n">
        <v>1</v>
      </c>
      <c r="G2973" s="2" t="n">
        <v>1</v>
      </c>
      <c r="H2973" s="2" t="n">
        <v>0</v>
      </c>
      <c r="I2973" s="2" t="n">
        <v>0</v>
      </c>
    </row>
    <row r="2974">
      <c r="A2974" s="2" t="n">
        <v>2972</v>
      </c>
      <c r="B2974" s="2" t="inlineStr">
        <is>
          <t>insert</t>
        </is>
      </c>
      <c r="C2974" s="2" t="inlineStr">
        <is>
          <t>openssl X25519 only (classical)</t>
        </is>
      </c>
      <c r="D2974" s="2" t="n">
        <v>327</v>
      </c>
      <c r="E2974" s="2" t="n">
        <v>327</v>
      </c>
      <c r="F2974" s="2" t="n">
        <v>1</v>
      </c>
      <c r="G2974" s="2" t="n">
        <v>1</v>
      </c>
      <c r="H2974" s="2" t="n">
        <v>1</v>
      </c>
      <c r="I2974" s="2" t="n">
        <v>0</v>
      </c>
    </row>
    <row r="2975">
      <c r="A2975" s="2" t="n">
        <v>2973</v>
      </c>
      <c r="B2975" s="2" t="inlineStr">
        <is>
          <t>flip</t>
        </is>
      </c>
      <c r="C2975" s="2" t="inlineStr">
        <is>
          <t>openssl 3.5.8 default</t>
        </is>
      </c>
      <c r="D2975" s="2" t="n">
        <v>1548</v>
      </c>
      <c r="E2975" s="2" t="n">
        <v>1548</v>
      </c>
      <c r="F2975" s="2" t="n">
        <v>1</v>
      </c>
      <c r="G2975" s="2" t="n">
        <v>1</v>
      </c>
      <c r="H2975" s="2" t="n">
        <v>1</v>
      </c>
      <c r="I2975" s="2" t="n">
        <v>0</v>
      </c>
    </row>
    <row r="2976">
      <c r="A2976" s="2" t="n">
        <v>2974</v>
      </c>
      <c r="B2976" s="2" t="inlineStr">
        <is>
          <t>truncate</t>
        </is>
      </c>
      <c r="C2976" s="2" t="inlineStr">
        <is>
          <t>browser chrome150</t>
        </is>
      </c>
      <c r="D2976" s="2" t="n">
        <v>1056</v>
      </c>
      <c r="E2976" s="2" t="n">
        <v>1056</v>
      </c>
      <c r="F2976" s="2" t="n">
        <v>1</v>
      </c>
      <c r="G2976" s="2" t="n">
        <v>1</v>
      </c>
      <c r="H2976" s="2" t="n">
        <v>1</v>
      </c>
      <c r="I2976" s="2" t="n">
        <v>0</v>
      </c>
    </row>
    <row r="2977">
      <c r="A2977" s="2" t="n">
        <v>2975</v>
      </c>
      <c r="B2977" s="2" t="inlineStr">
        <is>
          <t>length</t>
        </is>
      </c>
      <c r="C2977" s="2" t="inlineStr">
        <is>
          <t>openssl X25519 only (classical)</t>
        </is>
      </c>
      <c r="D2977" s="2" t="n">
        <v>314</v>
      </c>
      <c r="E2977" s="2" t="n">
        <v>314</v>
      </c>
      <c r="F2977" s="2" t="n">
        <v>1</v>
      </c>
      <c r="G2977" s="2" t="n">
        <v>1</v>
      </c>
      <c r="H2977" s="2" t="n">
        <v>1</v>
      </c>
      <c r="I2977" s="2" t="n">
        <v>0</v>
      </c>
    </row>
    <row r="2978">
      <c r="A2978" s="2" t="n">
        <v>2976</v>
      </c>
      <c r="B2978" s="2" t="inlineStr">
        <is>
          <t>insert</t>
        </is>
      </c>
      <c r="C2978" s="2" t="inlineStr">
        <is>
          <t>openssl X25519 only (classical)</t>
        </is>
      </c>
      <c r="D2978" s="2" t="n">
        <v>321</v>
      </c>
      <c r="E2978" s="2" t="n">
        <v>321</v>
      </c>
      <c r="F2978" s="2" t="n">
        <v>1</v>
      </c>
      <c r="G2978" s="2" t="n">
        <v>1</v>
      </c>
      <c r="H2978" s="2" t="n">
        <v>1</v>
      </c>
      <c r="I2978" s="2" t="n">
        <v>0</v>
      </c>
    </row>
    <row r="2979">
      <c r="A2979" s="2" t="n">
        <v>2977</v>
      </c>
      <c r="B2979" s="2" t="inlineStr">
        <is>
          <t>flip</t>
        </is>
      </c>
      <c r="C2979" s="2" t="inlineStr">
        <is>
          <t>openssl 3.5.8 default</t>
        </is>
      </c>
      <c r="D2979" s="2" t="n">
        <v>1548</v>
      </c>
      <c r="E2979" s="2" t="n">
        <v>1548</v>
      </c>
      <c r="F2979" s="2" t="n">
        <v>1</v>
      </c>
      <c r="G2979" s="2" t="n">
        <v>1</v>
      </c>
      <c r="H2979" s="2" t="n">
        <v>1</v>
      </c>
      <c r="I2979" s="2" t="n">
        <v>0</v>
      </c>
    </row>
    <row r="2980">
      <c r="A2980" s="2" t="n">
        <v>2978</v>
      </c>
      <c r="B2980" s="2" t="inlineStr">
        <is>
          <t>truncate</t>
        </is>
      </c>
      <c r="C2980" s="2" t="inlineStr">
        <is>
          <t>openssl TLS 1.2 only</t>
        </is>
      </c>
      <c r="D2980" s="2" t="n">
        <v>72</v>
      </c>
      <c r="E2980" s="2" t="n">
        <v>72</v>
      </c>
      <c r="F2980" s="2" t="n">
        <v>1</v>
      </c>
      <c r="G2980" s="2" t="n">
        <v>0</v>
      </c>
      <c r="H2980" s="2" t="n">
        <v>0</v>
      </c>
      <c r="I2980" s="2" t="n">
        <v>0</v>
      </c>
    </row>
    <row r="2981">
      <c r="A2981" s="2" t="n">
        <v>2979</v>
      </c>
      <c r="B2981" s="2" t="inlineStr">
        <is>
          <t>length</t>
        </is>
      </c>
      <c r="C2981" s="2" t="inlineStr">
        <is>
          <t>openssl X25519 only (classical)</t>
        </is>
      </c>
      <c r="D2981" s="2" t="n">
        <v>314</v>
      </c>
      <c r="E2981" s="2" t="n">
        <v>314</v>
      </c>
      <c r="F2981" s="2" t="n">
        <v>1</v>
      </c>
      <c r="G2981" s="2" t="n">
        <v>1</v>
      </c>
      <c r="H2981" s="2" t="n">
        <v>1</v>
      </c>
      <c r="I2981" s="2" t="n">
        <v>0</v>
      </c>
    </row>
    <row r="2982">
      <c r="A2982" s="2" t="n">
        <v>2980</v>
      </c>
      <c r="B2982" s="2" t="inlineStr">
        <is>
          <t>insert</t>
        </is>
      </c>
      <c r="C2982" s="2" t="inlineStr">
        <is>
          <t>browser firefox147</t>
        </is>
      </c>
      <c r="D2982" s="2" t="n">
        <v>1907</v>
      </c>
      <c r="E2982" s="2" t="n">
        <v>1907</v>
      </c>
      <c r="F2982" s="2" t="n">
        <v>1</v>
      </c>
      <c r="G2982" s="2" t="n">
        <v>1</v>
      </c>
      <c r="H2982" s="2" t="n">
        <v>0</v>
      </c>
      <c r="I2982" s="2" t="n">
        <v>0</v>
      </c>
    </row>
    <row r="2983">
      <c r="A2983" s="2" t="n">
        <v>2981</v>
      </c>
      <c r="B2983" s="2" t="inlineStr">
        <is>
          <t>flip</t>
        </is>
      </c>
      <c r="C2983" s="2" t="inlineStr">
        <is>
          <t>openssl X25519 only (classical)</t>
        </is>
      </c>
      <c r="D2983" s="2" t="n">
        <v>314</v>
      </c>
      <c r="E2983" s="2" t="n">
        <v>314</v>
      </c>
      <c r="F2983" s="2" t="n">
        <v>1</v>
      </c>
      <c r="G2983" s="2" t="n">
        <v>1</v>
      </c>
      <c r="H2983" s="2" t="n">
        <v>1</v>
      </c>
      <c r="I2983" s="2" t="n">
        <v>0</v>
      </c>
    </row>
    <row r="2984">
      <c r="A2984" s="2" t="n">
        <v>2982</v>
      </c>
      <c r="B2984" s="2" t="inlineStr">
        <is>
          <t>truncate</t>
        </is>
      </c>
      <c r="C2984" s="2" t="inlineStr">
        <is>
          <t>openssl 3.5.8 default</t>
        </is>
      </c>
      <c r="D2984" s="2" t="n">
        <v>937</v>
      </c>
      <c r="E2984" s="2" t="n">
        <v>937</v>
      </c>
      <c r="F2984" s="2" t="n">
        <v>1</v>
      </c>
      <c r="G2984" s="2" t="n">
        <v>1</v>
      </c>
      <c r="H2984" s="2" t="n">
        <v>1</v>
      </c>
      <c r="I2984" s="2" t="n">
        <v>0</v>
      </c>
    </row>
    <row r="2985">
      <c r="A2985" s="2" t="n">
        <v>2983</v>
      </c>
      <c r="B2985" s="2" t="inlineStr">
        <is>
          <t>length</t>
        </is>
      </c>
      <c r="C2985" s="2" t="inlineStr">
        <is>
          <t>openssl X25519 only (classical)</t>
        </is>
      </c>
      <c r="D2985" s="2" t="n">
        <v>314</v>
      </c>
      <c r="E2985" s="2" t="n">
        <v>314</v>
      </c>
      <c r="F2985" s="2" t="n">
        <v>1</v>
      </c>
      <c r="G2985" s="2" t="n">
        <v>0</v>
      </c>
      <c r="H2985" s="2" t="n">
        <v>0</v>
      </c>
      <c r="I2985" s="2" t="n">
        <v>0</v>
      </c>
    </row>
    <row r="2986">
      <c r="A2986" s="2" t="n">
        <v>2984</v>
      </c>
      <c r="B2986" s="2" t="inlineStr">
        <is>
          <t>insert</t>
        </is>
      </c>
      <c r="C2986" s="2" t="inlineStr">
        <is>
          <t>openssl 3.5.8 default</t>
        </is>
      </c>
      <c r="D2986" s="2" t="n">
        <v>1562</v>
      </c>
      <c r="E2986" s="2" t="n">
        <v>1562</v>
      </c>
      <c r="F2986" s="2" t="n">
        <v>1</v>
      </c>
      <c r="G2986" s="2" t="n">
        <v>1</v>
      </c>
      <c r="H2986" s="2" t="n">
        <v>1</v>
      </c>
      <c r="I2986" s="2" t="n">
        <v>0</v>
      </c>
    </row>
    <row r="2987">
      <c r="A2987" s="2" t="n">
        <v>2985</v>
      </c>
      <c r="B2987" s="2" t="inlineStr">
        <is>
          <t>flip</t>
        </is>
      </c>
      <c r="C2987" s="2" t="inlineStr">
        <is>
          <t>openssl TLS 1.2 only</t>
        </is>
      </c>
      <c r="D2987" s="2" t="n">
        <v>215</v>
      </c>
      <c r="E2987" s="2" t="n">
        <v>215</v>
      </c>
      <c r="F2987" s="2" t="n">
        <v>0</v>
      </c>
      <c r="G2987" s="2" t="n">
        <v>0</v>
      </c>
      <c r="H2987" s="2" t="n">
        <v>0</v>
      </c>
      <c r="I2987" s="2" t="n">
        <v>0</v>
      </c>
    </row>
    <row r="2988">
      <c r="A2988" s="2" t="n">
        <v>2986</v>
      </c>
      <c r="B2988" s="2" t="inlineStr">
        <is>
          <t>truncate</t>
        </is>
      </c>
      <c r="C2988" s="2" t="inlineStr">
        <is>
          <t>openssl 3.5.8 default</t>
        </is>
      </c>
      <c r="D2988" s="2" t="n">
        <v>1449</v>
      </c>
      <c r="E2988" s="2" t="n">
        <v>1449</v>
      </c>
      <c r="F2988" s="2" t="n">
        <v>1</v>
      </c>
      <c r="G2988" s="2" t="n">
        <v>1</v>
      </c>
      <c r="H2988" s="2" t="n">
        <v>1</v>
      </c>
      <c r="I2988" s="2" t="n">
        <v>0</v>
      </c>
    </row>
    <row r="2989">
      <c r="A2989" s="2" t="n">
        <v>2987</v>
      </c>
      <c r="B2989" s="2" t="inlineStr">
        <is>
          <t>length</t>
        </is>
      </c>
      <c r="C2989" s="2" t="inlineStr">
        <is>
          <t>browser chrome150</t>
        </is>
      </c>
      <c r="D2989" s="2" t="n">
        <v>1763</v>
      </c>
      <c r="E2989" s="2" t="n">
        <v>1763</v>
      </c>
      <c r="F2989" s="2" t="n">
        <v>0</v>
      </c>
      <c r="G2989" s="2" t="n">
        <v>0</v>
      </c>
      <c r="H2989" s="2" t="n">
        <v>0</v>
      </c>
      <c r="I2989" s="2" t="n">
        <v>0</v>
      </c>
    </row>
    <row r="2990">
      <c r="A2990" s="2" t="n">
        <v>2988</v>
      </c>
      <c r="B2990" s="2" t="inlineStr">
        <is>
          <t>insert</t>
        </is>
      </c>
      <c r="C2990" s="2" t="inlineStr">
        <is>
          <t>openssl 3.5.8 default</t>
        </is>
      </c>
      <c r="D2990" s="2" t="n">
        <v>1560</v>
      </c>
      <c r="E2990" s="2" t="n">
        <v>1560</v>
      </c>
      <c r="F2990" s="2" t="n">
        <v>1</v>
      </c>
      <c r="G2990" s="2" t="n">
        <v>1</v>
      </c>
      <c r="H2990" s="2" t="n">
        <v>1</v>
      </c>
      <c r="I2990" s="2" t="n">
        <v>0</v>
      </c>
    </row>
    <row r="2991">
      <c r="A2991" s="2" t="n">
        <v>2989</v>
      </c>
      <c r="B2991" s="2" t="inlineStr">
        <is>
          <t>flip</t>
        </is>
      </c>
      <c r="C2991" s="2" t="inlineStr">
        <is>
          <t>openssl 3.5.8 default</t>
        </is>
      </c>
      <c r="D2991" s="2" t="n">
        <v>1548</v>
      </c>
      <c r="E2991" s="2" t="n">
        <v>1548</v>
      </c>
      <c r="F2991" s="2" t="n">
        <v>0</v>
      </c>
      <c r="G2991" s="2" t="n">
        <v>0</v>
      </c>
      <c r="H2991" s="2" t="n">
        <v>0</v>
      </c>
      <c r="I2991" s="2" t="n">
        <v>0</v>
      </c>
    </row>
    <row r="2992">
      <c r="A2992" s="2" t="n">
        <v>2990</v>
      </c>
      <c r="B2992" s="2" t="inlineStr">
        <is>
          <t>truncate</t>
        </is>
      </c>
      <c r="C2992" s="2" t="inlineStr">
        <is>
          <t>browser firefox147</t>
        </is>
      </c>
      <c r="D2992" s="2" t="n">
        <v>1243</v>
      </c>
      <c r="E2992" s="2" t="n">
        <v>1243</v>
      </c>
      <c r="F2992" s="2" t="n">
        <v>1</v>
      </c>
      <c r="G2992" s="2" t="n">
        <v>1</v>
      </c>
      <c r="H2992" s="2" t="n">
        <v>0</v>
      </c>
      <c r="I2992" s="2" t="n">
        <v>0</v>
      </c>
    </row>
    <row r="2993">
      <c r="A2993" s="2" t="n">
        <v>2991</v>
      </c>
      <c r="B2993" s="2" t="inlineStr">
        <is>
          <t>length</t>
        </is>
      </c>
      <c r="C2993" s="2" t="inlineStr">
        <is>
          <t>browser firefox147</t>
        </is>
      </c>
      <c r="D2993" s="2" t="n">
        <v>1901</v>
      </c>
      <c r="E2993" s="2" t="n">
        <v>1901</v>
      </c>
      <c r="F2993" s="2" t="n">
        <v>0</v>
      </c>
      <c r="G2993" s="2" t="n">
        <v>0</v>
      </c>
      <c r="H2993" s="2" t="n">
        <v>0</v>
      </c>
      <c r="I2993" s="2" t="n">
        <v>0</v>
      </c>
    </row>
    <row r="2994">
      <c r="A2994" s="2" t="n">
        <v>2992</v>
      </c>
      <c r="B2994" s="2" t="inlineStr">
        <is>
          <t>insert</t>
        </is>
      </c>
      <c r="C2994" s="2" t="inlineStr">
        <is>
          <t>browser firefox147</t>
        </is>
      </c>
      <c r="D2994" s="2" t="n">
        <v>1907</v>
      </c>
      <c r="E2994" s="2" t="n">
        <v>1907</v>
      </c>
      <c r="F2994" s="2" t="n">
        <v>1</v>
      </c>
      <c r="G2994" s="2" t="n">
        <v>1</v>
      </c>
      <c r="H2994" s="2" t="n">
        <v>1</v>
      </c>
      <c r="I2994" s="2" t="n">
        <v>0</v>
      </c>
    </row>
    <row r="2995">
      <c r="A2995" s="2" t="n">
        <v>2993</v>
      </c>
      <c r="B2995" s="2" t="inlineStr">
        <is>
          <t>flip</t>
        </is>
      </c>
      <c r="C2995" s="2" t="inlineStr">
        <is>
          <t>browser chrome150</t>
        </is>
      </c>
      <c r="D2995" s="2" t="n">
        <v>1763</v>
      </c>
      <c r="E2995" s="2" t="n">
        <v>1763</v>
      </c>
      <c r="F2995" s="2" t="n">
        <v>1</v>
      </c>
      <c r="G2995" s="2" t="n">
        <v>1</v>
      </c>
      <c r="H2995" s="2" t="n">
        <v>1</v>
      </c>
      <c r="I2995" s="2" t="n">
        <v>0</v>
      </c>
    </row>
    <row r="2996">
      <c r="A2996" s="2" t="n">
        <v>2994</v>
      </c>
      <c r="B2996" s="2" t="inlineStr">
        <is>
          <t>truncate</t>
        </is>
      </c>
      <c r="C2996" s="2" t="inlineStr">
        <is>
          <t>openssl TLS 1.2 only</t>
        </is>
      </c>
      <c r="D2996" s="2" t="n">
        <v>204</v>
      </c>
      <c r="E2996" s="2" t="n">
        <v>204</v>
      </c>
      <c r="F2996" s="2" t="n">
        <v>1</v>
      </c>
      <c r="G2996" s="2" t="n">
        <v>1</v>
      </c>
      <c r="H2996" s="2" t="n">
        <v>1</v>
      </c>
      <c r="I2996" s="2" t="n">
        <v>0</v>
      </c>
    </row>
    <row r="2997">
      <c r="A2997" s="2" t="n">
        <v>2995</v>
      </c>
      <c r="B2997" s="2" t="inlineStr">
        <is>
          <t>length</t>
        </is>
      </c>
      <c r="C2997" s="2" t="inlineStr">
        <is>
          <t>browser firefox147</t>
        </is>
      </c>
      <c r="D2997" s="2" t="n">
        <v>1901</v>
      </c>
      <c r="E2997" s="2" t="n">
        <v>1901</v>
      </c>
      <c r="F2997" s="2" t="n">
        <v>1</v>
      </c>
      <c r="G2997" s="2" t="n">
        <v>0</v>
      </c>
      <c r="H2997" s="2" t="n">
        <v>0</v>
      </c>
      <c r="I2997" s="2" t="n">
        <v>0</v>
      </c>
    </row>
    <row r="2998">
      <c r="A2998" s="2" t="n">
        <v>2996</v>
      </c>
      <c r="B2998" s="2" t="inlineStr">
        <is>
          <t>insert</t>
        </is>
      </c>
      <c r="C2998" s="2" t="inlineStr">
        <is>
          <t>openssl TLS 1.2 only</t>
        </is>
      </c>
      <c r="D2998" s="2" t="n">
        <v>220</v>
      </c>
      <c r="E2998" s="2" t="n">
        <v>220</v>
      </c>
      <c r="F2998" s="2" t="n">
        <v>1</v>
      </c>
      <c r="G2998" s="2" t="n">
        <v>1</v>
      </c>
      <c r="H2998" s="2" t="n">
        <v>0</v>
      </c>
      <c r="I2998" s="2" t="n">
        <v>0</v>
      </c>
    </row>
    <row r="2999">
      <c r="A2999" s="2" t="n">
        <v>2997</v>
      </c>
      <c r="B2999" s="2" t="inlineStr">
        <is>
          <t>flip</t>
        </is>
      </c>
      <c r="C2999" s="2" t="inlineStr">
        <is>
          <t>browser chrome150</t>
        </is>
      </c>
      <c r="D2999" s="2" t="n">
        <v>1763</v>
      </c>
      <c r="E2999" s="2" t="n">
        <v>1763</v>
      </c>
      <c r="F2999" s="2" t="n">
        <v>1</v>
      </c>
      <c r="G2999" s="2" t="n">
        <v>1</v>
      </c>
      <c r="H2999" s="2" t="n">
        <v>1</v>
      </c>
      <c r="I2999" s="2" t="n">
        <v>0</v>
      </c>
    </row>
    <row r="3000">
      <c r="A3000" s="2" t="n">
        <v>2998</v>
      </c>
      <c r="B3000" s="2" t="inlineStr">
        <is>
          <t>truncate</t>
        </is>
      </c>
      <c r="C3000" s="2" t="inlineStr">
        <is>
          <t>openssl 3.5.8 default</t>
        </is>
      </c>
      <c r="D3000" s="2" t="n">
        <v>760</v>
      </c>
      <c r="E3000" s="2" t="n">
        <v>760</v>
      </c>
      <c r="F3000" s="2" t="n">
        <v>1</v>
      </c>
      <c r="G3000" s="2" t="n">
        <v>1</v>
      </c>
      <c r="H3000" s="2" t="n">
        <v>1</v>
      </c>
      <c r="I3000" s="2" t="n">
        <v>0</v>
      </c>
    </row>
    <row r="3001">
      <c r="A3001" s="2" t="n">
        <v>2999</v>
      </c>
      <c r="B3001" s="2" t="inlineStr">
        <is>
          <t>length</t>
        </is>
      </c>
      <c r="C3001" s="2" t="inlineStr">
        <is>
          <t>openssl X25519 only (classical)</t>
        </is>
      </c>
      <c r="D3001" s="2" t="n">
        <v>314</v>
      </c>
      <c r="E3001" s="2" t="n">
        <v>314</v>
      </c>
      <c r="F3001" s="2" t="n">
        <v>0</v>
      </c>
      <c r="G3001" s="2" t="n">
        <v>0</v>
      </c>
      <c r="H3001" s="2" t="n">
        <v>0</v>
      </c>
      <c r="I3001" s="2" t="n">
        <v>0</v>
      </c>
    </row>
    <row r="3002">
      <c r="A3002" s="2" t="n">
        <v>3000</v>
      </c>
      <c r="B3002" s="2" t="inlineStr">
        <is>
          <t>insert</t>
        </is>
      </c>
      <c r="C3002" s="2" t="inlineStr">
        <is>
          <t>browser firefox147</t>
        </is>
      </c>
      <c r="D3002" s="2" t="n">
        <v>1910</v>
      </c>
      <c r="E3002" s="2" t="n">
        <v>1910</v>
      </c>
      <c r="F3002" s="2" t="n">
        <v>1</v>
      </c>
      <c r="G3002" s="2" t="n">
        <v>1</v>
      </c>
      <c r="H3002" s="2" t="n">
        <v>0</v>
      </c>
      <c r="I3002" s="2" t="n">
        <v>0</v>
      </c>
    </row>
    <row r="3003">
      <c r="A3003" s="2" t="n">
        <v>3001</v>
      </c>
      <c r="B3003" s="2" t="inlineStr">
        <is>
          <t>flip</t>
        </is>
      </c>
      <c r="C3003" s="2" t="inlineStr">
        <is>
          <t>openssl 3.5.8 default</t>
        </is>
      </c>
      <c r="D3003" s="2" t="n">
        <v>1548</v>
      </c>
      <c r="E3003" s="2" t="n">
        <v>1548</v>
      </c>
      <c r="F3003" s="2" t="n">
        <v>1</v>
      </c>
      <c r="G3003" s="2" t="n">
        <v>1</v>
      </c>
      <c r="H3003" s="2" t="n">
        <v>1</v>
      </c>
      <c r="I3003" s="2" t="n">
        <v>0</v>
      </c>
    </row>
    <row r="3004">
      <c r="A3004" s="2" t="n">
        <v>3002</v>
      </c>
      <c r="B3004" s="2" t="inlineStr">
        <is>
          <t>truncate</t>
        </is>
      </c>
      <c r="C3004" s="2" t="inlineStr">
        <is>
          <t>browser chrome150</t>
        </is>
      </c>
      <c r="D3004" s="2" t="n">
        <v>108</v>
      </c>
      <c r="E3004" s="2" t="n">
        <v>108</v>
      </c>
      <c r="F3004" s="2" t="n">
        <v>1</v>
      </c>
      <c r="G3004" s="2" t="n">
        <v>0</v>
      </c>
      <c r="H3004" s="2" t="n">
        <v>0</v>
      </c>
      <c r="I3004" s="2" t="n">
        <v>0</v>
      </c>
    </row>
    <row r="3005">
      <c r="A3005" s="2" t="n">
        <v>3003</v>
      </c>
      <c r="B3005" s="2" t="inlineStr">
        <is>
          <t>length</t>
        </is>
      </c>
      <c r="C3005" s="2" t="inlineStr">
        <is>
          <t>browser chrome150</t>
        </is>
      </c>
      <c r="D3005" s="2" t="n">
        <v>1763</v>
      </c>
      <c r="E3005" s="2" t="n">
        <v>1763</v>
      </c>
      <c r="F3005" s="2" t="n">
        <v>1</v>
      </c>
      <c r="G3005" s="2" t="n">
        <v>1</v>
      </c>
      <c r="H3005" s="2" t="n">
        <v>0</v>
      </c>
      <c r="I3005" s="2" t="n">
        <v>0</v>
      </c>
    </row>
    <row r="3006">
      <c r="A3006" s="2" t="n">
        <v>3004</v>
      </c>
      <c r="B3006" s="2" t="inlineStr">
        <is>
          <t>insert</t>
        </is>
      </c>
      <c r="C3006" s="2" t="inlineStr">
        <is>
          <t>browser firefox147</t>
        </is>
      </c>
      <c r="D3006" s="2" t="n">
        <v>1905</v>
      </c>
      <c r="E3006" s="2" t="n">
        <v>1905</v>
      </c>
      <c r="F3006" s="2" t="n">
        <v>1</v>
      </c>
      <c r="G3006" s="2" t="n">
        <v>1</v>
      </c>
      <c r="H3006" s="2" t="n">
        <v>0</v>
      </c>
      <c r="I3006" s="2" t="n">
        <v>0</v>
      </c>
    </row>
    <row r="3007">
      <c r="A3007" s="2" t="n">
        <v>3005</v>
      </c>
      <c r="B3007" s="2" t="inlineStr">
        <is>
          <t>flip</t>
        </is>
      </c>
      <c r="C3007" s="2" t="inlineStr">
        <is>
          <t>openssl 3.5.8 default</t>
        </is>
      </c>
      <c r="D3007" s="2" t="n">
        <v>1548</v>
      </c>
      <c r="E3007" s="2" t="n">
        <v>1548</v>
      </c>
      <c r="F3007" s="2" t="n">
        <v>1</v>
      </c>
      <c r="G3007" s="2" t="n">
        <v>1</v>
      </c>
      <c r="H3007" s="2" t="n">
        <v>1</v>
      </c>
      <c r="I3007" s="2" t="n">
        <v>0</v>
      </c>
    </row>
    <row r="3008">
      <c r="A3008" s="2" t="n">
        <v>3006</v>
      </c>
      <c r="B3008" s="2" t="inlineStr">
        <is>
          <t>truncate</t>
        </is>
      </c>
      <c r="C3008" s="2" t="inlineStr">
        <is>
          <t>openssl X25519 only (classical)</t>
        </is>
      </c>
      <c r="D3008" s="2" t="n">
        <v>78</v>
      </c>
      <c r="E3008" s="2" t="n">
        <v>78</v>
      </c>
      <c r="F3008" s="2" t="n">
        <v>1</v>
      </c>
      <c r="G3008" s="2" t="n">
        <v>0</v>
      </c>
      <c r="H3008" s="2" t="n">
        <v>0</v>
      </c>
      <c r="I3008" s="2" t="n">
        <v>0</v>
      </c>
    </row>
    <row r="3009">
      <c r="A3009" s="2" t="n">
        <v>3007</v>
      </c>
      <c r="B3009" s="2" t="inlineStr">
        <is>
          <t>length</t>
        </is>
      </c>
      <c r="C3009" s="2" t="inlineStr">
        <is>
          <t>browser firefox147</t>
        </is>
      </c>
      <c r="D3009" s="2" t="n">
        <v>1901</v>
      </c>
      <c r="E3009" s="2" t="n">
        <v>1901</v>
      </c>
      <c r="F3009" s="2" t="n">
        <v>1</v>
      </c>
      <c r="G3009" s="2" t="n">
        <v>0</v>
      </c>
      <c r="H3009" s="2" t="n">
        <v>0</v>
      </c>
      <c r="I3009" s="2" t="n">
        <v>0</v>
      </c>
    </row>
    <row r="3010">
      <c r="A3010" s="2" t="n">
        <v>3008</v>
      </c>
      <c r="B3010" s="2" t="inlineStr">
        <is>
          <t>insert</t>
        </is>
      </c>
      <c r="C3010" s="2" t="inlineStr">
        <is>
          <t>openssl TLS 1.2 only</t>
        </is>
      </c>
      <c r="D3010" s="2" t="n">
        <v>220</v>
      </c>
      <c r="E3010" s="2" t="n">
        <v>220</v>
      </c>
      <c r="F3010" s="2" t="n">
        <v>1</v>
      </c>
      <c r="G3010" s="2" t="n">
        <v>1</v>
      </c>
      <c r="H3010" s="2" t="n">
        <v>1</v>
      </c>
      <c r="I3010" s="2" t="n">
        <v>0</v>
      </c>
    </row>
    <row r="3011">
      <c r="A3011" s="2" t="n">
        <v>3009</v>
      </c>
      <c r="B3011" s="2" t="inlineStr">
        <is>
          <t>flip</t>
        </is>
      </c>
      <c r="C3011" s="2" t="inlineStr">
        <is>
          <t>browser firefox147</t>
        </is>
      </c>
      <c r="D3011" s="2" t="n">
        <v>1901</v>
      </c>
      <c r="E3011" s="2" t="n">
        <v>1901</v>
      </c>
      <c r="F3011" s="2" t="n">
        <v>1</v>
      </c>
      <c r="G3011" s="2" t="n">
        <v>1</v>
      </c>
      <c r="H3011" s="2" t="n">
        <v>0</v>
      </c>
      <c r="I3011" s="2" t="n">
        <v>0</v>
      </c>
    </row>
    <row r="3012">
      <c r="A3012" s="2" t="n">
        <v>3010</v>
      </c>
      <c r="B3012" s="2" t="inlineStr">
        <is>
          <t>truncate</t>
        </is>
      </c>
      <c r="C3012" s="2" t="inlineStr">
        <is>
          <t>browser firefox147</t>
        </is>
      </c>
      <c r="D3012" s="2" t="n">
        <v>382</v>
      </c>
      <c r="E3012" s="2" t="n">
        <v>382</v>
      </c>
      <c r="F3012" s="2" t="n">
        <v>1</v>
      </c>
      <c r="G3012" s="2" t="n">
        <v>1</v>
      </c>
      <c r="H3012" s="2" t="n">
        <v>0</v>
      </c>
      <c r="I3012" s="2" t="n">
        <v>0</v>
      </c>
    </row>
    <row r="3013">
      <c r="A3013" s="2" t="n">
        <v>3011</v>
      </c>
      <c r="B3013" s="2" t="inlineStr">
        <is>
          <t>length</t>
        </is>
      </c>
      <c r="C3013" s="2" t="inlineStr">
        <is>
          <t>browser firefox147</t>
        </is>
      </c>
      <c r="D3013" s="2" t="n">
        <v>1901</v>
      </c>
      <c r="E3013" s="2" t="n">
        <v>1901</v>
      </c>
      <c r="F3013" s="2" t="n">
        <v>1</v>
      </c>
      <c r="G3013" s="2" t="n">
        <v>1</v>
      </c>
      <c r="H3013" s="2" t="n">
        <v>0</v>
      </c>
      <c r="I3013" s="2" t="n">
        <v>0</v>
      </c>
    </row>
    <row r="3014">
      <c r="A3014" s="2" t="n">
        <v>3012</v>
      </c>
      <c r="B3014" s="2" t="inlineStr">
        <is>
          <t>insert</t>
        </is>
      </c>
      <c r="C3014" s="2" t="inlineStr">
        <is>
          <t>openssl 3.5.8 default</t>
        </is>
      </c>
      <c r="D3014" s="2" t="n">
        <v>1560</v>
      </c>
      <c r="E3014" s="2" t="n">
        <v>1560</v>
      </c>
      <c r="F3014" s="2" t="n">
        <v>1</v>
      </c>
      <c r="G3014" s="2" t="n">
        <v>1</v>
      </c>
      <c r="H3014" s="2" t="n">
        <v>1</v>
      </c>
      <c r="I3014" s="2" t="n">
        <v>0</v>
      </c>
    </row>
    <row r="3015">
      <c r="A3015" s="2" t="n">
        <v>3013</v>
      </c>
      <c r="B3015" s="2" t="inlineStr">
        <is>
          <t>flip</t>
        </is>
      </c>
      <c r="C3015" s="2" t="inlineStr">
        <is>
          <t>openssl X25519 only (classical)</t>
        </is>
      </c>
      <c r="D3015" s="2" t="n">
        <v>314</v>
      </c>
      <c r="E3015" s="2" t="n">
        <v>314</v>
      </c>
      <c r="F3015" s="2" t="n">
        <v>1</v>
      </c>
      <c r="G3015" s="2" t="n">
        <v>1</v>
      </c>
      <c r="H3015" s="2" t="n">
        <v>1</v>
      </c>
      <c r="I3015" s="2" t="n">
        <v>0</v>
      </c>
    </row>
    <row r="3016">
      <c r="A3016" s="2" t="n">
        <v>3014</v>
      </c>
      <c r="B3016" s="2" t="inlineStr">
        <is>
          <t>truncate</t>
        </is>
      </c>
      <c r="C3016" s="2" t="inlineStr">
        <is>
          <t>openssl TLS 1.2 only</t>
        </is>
      </c>
      <c r="D3016" s="2" t="n">
        <v>88</v>
      </c>
      <c r="E3016" s="2" t="n">
        <v>88</v>
      </c>
      <c r="F3016" s="2" t="n">
        <v>1</v>
      </c>
      <c r="G3016" s="2" t="n">
        <v>0</v>
      </c>
      <c r="H3016" s="2" t="n">
        <v>0</v>
      </c>
      <c r="I3016" s="2" t="n">
        <v>0</v>
      </c>
    </row>
    <row r="3017">
      <c r="A3017" s="2" t="n">
        <v>3015</v>
      </c>
      <c r="B3017" s="2" t="inlineStr">
        <is>
          <t>length</t>
        </is>
      </c>
      <c r="C3017" s="2" t="inlineStr">
        <is>
          <t>openssl TLS 1.2 only</t>
        </is>
      </c>
      <c r="D3017" s="2" t="n">
        <v>215</v>
      </c>
      <c r="E3017" s="2" t="n">
        <v>215</v>
      </c>
      <c r="F3017" s="2" t="n">
        <v>1</v>
      </c>
      <c r="G3017" s="2" t="n">
        <v>1</v>
      </c>
      <c r="H3017" s="2" t="n">
        <v>1</v>
      </c>
      <c r="I3017" s="2" t="n">
        <v>0</v>
      </c>
    </row>
    <row r="3018">
      <c r="A3018" s="2" t="n">
        <v>3016</v>
      </c>
      <c r="B3018" s="2" t="inlineStr">
        <is>
          <t>insert</t>
        </is>
      </c>
      <c r="C3018" s="2" t="inlineStr">
        <is>
          <t>browser firefox147</t>
        </is>
      </c>
      <c r="D3018" s="2" t="n">
        <v>1914</v>
      </c>
      <c r="E3018" s="2" t="n">
        <v>1914</v>
      </c>
      <c r="F3018" s="2" t="n">
        <v>1</v>
      </c>
      <c r="G3018" s="2" t="n">
        <v>1</v>
      </c>
      <c r="H3018" s="2" t="n">
        <v>0</v>
      </c>
      <c r="I3018" s="2" t="n">
        <v>0</v>
      </c>
    </row>
    <row r="3019">
      <c r="A3019" s="2" t="n">
        <v>3017</v>
      </c>
      <c r="B3019" s="2" t="inlineStr">
        <is>
          <t>flip</t>
        </is>
      </c>
      <c r="C3019" s="2" t="inlineStr">
        <is>
          <t>openssl TLS 1.2 only</t>
        </is>
      </c>
      <c r="D3019" s="2" t="n">
        <v>215</v>
      </c>
      <c r="E3019" s="2" t="n">
        <v>215</v>
      </c>
      <c r="F3019" s="2" t="n">
        <v>1</v>
      </c>
      <c r="G3019" s="2" t="n">
        <v>1</v>
      </c>
      <c r="H3019" s="2" t="n">
        <v>1</v>
      </c>
      <c r="I3019" s="2" t="n">
        <v>0</v>
      </c>
    </row>
    <row r="3020">
      <c r="A3020" s="2" t="n">
        <v>3018</v>
      </c>
      <c r="B3020" s="2" t="inlineStr">
        <is>
          <t>truncate</t>
        </is>
      </c>
      <c r="C3020" s="2" t="inlineStr">
        <is>
          <t>openssl X25519 only (classical)</t>
        </is>
      </c>
      <c r="D3020" s="2" t="n">
        <v>239</v>
      </c>
      <c r="E3020" s="2" t="n">
        <v>239</v>
      </c>
      <c r="F3020" s="2" t="n">
        <v>1</v>
      </c>
      <c r="G3020" s="2" t="n">
        <v>1</v>
      </c>
      <c r="H3020" s="2" t="n">
        <v>0</v>
      </c>
      <c r="I3020" s="2" t="n">
        <v>0</v>
      </c>
    </row>
    <row r="3021">
      <c r="A3021" s="2" t="n">
        <v>3019</v>
      </c>
      <c r="B3021" s="2" t="inlineStr">
        <is>
          <t>length</t>
        </is>
      </c>
      <c r="C3021" s="2" t="inlineStr">
        <is>
          <t>openssl TLS 1.2 only</t>
        </is>
      </c>
      <c r="D3021" s="2" t="n">
        <v>215</v>
      </c>
      <c r="E3021" s="2" t="n">
        <v>215</v>
      </c>
      <c r="F3021" s="2" t="n">
        <v>1</v>
      </c>
      <c r="G3021" s="2" t="n">
        <v>1</v>
      </c>
      <c r="H3021" s="2" t="n">
        <v>1</v>
      </c>
      <c r="I3021" s="2" t="n">
        <v>0</v>
      </c>
    </row>
    <row r="3022">
      <c r="A3022" s="2" t="n">
        <v>3020</v>
      </c>
      <c r="B3022" s="2" t="inlineStr">
        <is>
          <t>insert</t>
        </is>
      </c>
      <c r="C3022" s="2" t="inlineStr">
        <is>
          <t>browser firefox147</t>
        </is>
      </c>
      <c r="D3022" s="2" t="n">
        <v>1908</v>
      </c>
      <c r="E3022" s="2" t="n">
        <v>1908</v>
      </c>
      <c r="F3022" s="2" t="n">
        <v>1</v>
      </c>
      <c r="G3022" s="2" t="n">
        <v>1</v>
      </c>
      <c r="H3022" s="2" t="n">
        <v>0</v>
      </c>
      <c r="I3022" s="2" t="n">
        <v>0</v>
      </c>
    </row>
    <row r="3023">
      <c r="A3023" s="2" t="n">
        <v>3021</v>
      </c>
      <c r="B3023" s="2" t="inlineStr">
        <is>
          <t>flip</t>
        </is>
      </c>
      <c r="C3023" s="2" t="inlineStr">
        <is>
          <t>openssl 3.5.8 default</t>
        </is>
      </c>
      <c r="D3023" s="2" t="n">
        <v>1548</v>
      </c>
      <c r="E3023" s="2" t="n">
        <v>1548</v>
      </c>
      <c r="F3023" s="2" t="n">
        <v>1</v>
      </c>
      <c r="G3023" s="2" t="n">
        <v>1</v>
      </c>
      <c r="H3023" s="2" t="n">
        <v>1</v>
      </c>
      <c r="I3023" s="2" t="n">
        <v>0</v>
      </c>
    </row>
    <row r="3024">
      <c r="A3024" s="2" t="n">
        <v>3022</v>
      </c>
      <c r="B3024" s="2" t="inlineStr">
        <is>
          <t>truncate</t>
        </is>
      </c>
      <c r="C3024" s="2" t="inlineStr">
        <is>
          <t>browser chrome150</t>
        </is>
      </c>
      <c r="D3024" s="2" t="n">
        <v>599</v>
      </c>
      <c r="E3024" s="2" t="n">
        <v>599</v>
      </c>
      <c r="F3024" s="2" t="n">
        <v>1</v>
      </c>
      <c r="G3024" s="2" t="n">
        <v>1</v>
      </c>
      <c r="H3024" s="2" t="n">
        <v>1</v>
      </c>
      <c r="I3024" s="2" t="n">
        <v>0</v>
      </c>
    </row>
    <row r="3025">
      <c r="A3025" s="2" t="n">
        <v>3023</v>
      </c>
      <c r="B3025" s="2" t="inlineStr">
        <is>
          <t>length</t>
        </is>
      </c>
      <c r="C3025" s="2" t="inlineStr">
        <is>
          <t>browser firefox147</t>
        </is>
      </c>
      <c r="D3025" s="2" t="n">
        <v>1901</v>
      </c>
      <c r="E3025" s="2" t="n">
        <v>1901</v>
      </c>
      <c r="F3025" s="2" t="n">
        <v>1</v>
      </c>
      <c r="G3025" s="2" t="n">
        <v>0</v>
      </c>
      <c r="H3025" s="2" t="n">
        <v>0</v>
      </c>
      <c r="I3025" s="2" t="n">
        <v>0</v>
      </c>
    </row>
    <row r="3026">
      <c r="A3026" s="2" t="n">
        <v>3024</v>
      </c>
      <c r="B3026" s="2" t="inlineStr">
        <is>
          <t>insert</t>
        </is>
      </c>
      <c r="C3026" s="2" t="inlineStr">
        <is>
          <t>openssl X25519 only (classical)</t>
        </is>
      </c>
      <c r="D3026" s="2" t="n">
        <v>319</v>
      </c>
      <c r="E3026" s="2" t="n">
        <v>319</v>
      </c>
      <c r="F3026" s="2" t="n">
        <v>1</v>
      </c>
      <c r="G3026" s="2" t="n">
        <v>0</v>
      </c>
      <c r="H3026" s="2" t="n">
        <v>0</v>
      </c>
      <c r="I3026" s="2" t="n">
        <v>0</v>
      </c>
    </row>
    <row r="3027">
      <c r="A3027" s="2" t="n">
        <v>3025</v>
      </c>
      <c r="B3027" s="2" t="inlineStr">
        <is>
          <t>flip</t>
        </is>
      </c>
      <c r="C3027" s="2" t="inlineStr">
        <is>
          <t>browser chrome150</t>
        </is>
      </c>
      <c r="D3027" s="2" t="n">
        <v>1763</v>
      </c>
      <c r="E3027" s="2" t="n">
        <v>1763</v>
      </c>
      <c r="F3027" s="2" t="n">
        <v>1</v>
      </c>
      <c r="G3027" s="2" t="n">
        <v>1</v>
      </c>
      <c r="H3027" s="2" t="n">
        <v>1</v>
      </c>
      <c r="I3027" s="2" t="n">
        <v>0</v>
      </c>
    </row>
    <row r="3028">
      <c r="A3028" s="2" t="n">
        <v>3026</v>
      </c>
      <c r="B3028" s="2" t="inlineStr">
        <is>
          <t>truncate</t>
        </is>
      </c>
      <c r="C3028" s="2" t="inlineStr">
        <is>
          <t>openssl TLS 1.2 only</t>
        </is>
      </c>
      <c r="D3028" s="2" t="n">
        <v>31</v>
      </c>
      <c r="E3028" s="2" t="n">
        <v>31</v>
      </c>
      <c r="F3028" s="2" t="n">
        <v>1</v>
      </c>
      <c r="G3028" s="2" t="n">
        <v>0</v>
      </c>
      <c r="H3028" s="2" t="n">
        <v>0</v>
      </c>
      <c r="I3028" s="2" t="n">
        <v>0</v>
      </c>
    </row>
    <row r="3029">
      <c r="A3029" s="2" t="n">
        <v>3027</v>
      </c>
      <c r="B3029" s="2" t="inlineStr">
        <is>
          <t>length</t>
        </is>
      </c>
      <c r="C3029" s="2" t="inlineStr">
        <is>
          <t>openssl X25519 only (classical)</t>
        </is>
      </c>
      <c r="D3029" s="2" t="n">
        <v>314</v>
      </c>
      <c r="E3029" s="2" t="n">
        <v>314</v>
      </c>
      <c r="F3029" s="2" t="n">
        <v>1</v>
      </c>
      <c r="G3029" s="2" t="n">
        <v>1</v>
      </c>
      <c r="H3029" s="2" t="n">
        <v>1</v>
      </c>
      <c r="I3029" s="2" t="n">
        <v>0</v>
      </c>
    </row>
    <row r="3030">
      <c r="A3030" s="2" t="n">
        <v>3028</v>
      </c>
      <c r="B3030" s="2" t="inlineStr">
        <is>
          <t>insert</t>
        </is>
      </c>
      <c r="C3030" s="2" t="inlineStr">
        <is>
          <t>openssl TLS 1.2 only</t>
        </is>
      </c>
      <c r="D3030" s="2" t="n">
        <v>219</v>
      </c>
      <c r="E3030" s="2" t="n">
        <v>219</v>
      </c>
      <c r="F3030" s="2" t="n">
        <v>1</v>
      </c>
      <c r="G3030" s="2" t="n">
        <v>0</v>
      </c>
      <c r="H3030" s="2" t="n">
        <v>0</v>
      </c>
      <c r="I3030" s="2" t="n">
        <v>0</v>
      </c>
    </row>
    <row r="3031">
      <c r="A3031" s="2" t="n">
        <v>3029</v>
      </c>
      <c r="B3031" s="2" t="inlineStr">
        <is>
          <t>flip</t>
        </is>
      </c>
      <c r="C3031" s="2" t="inlineStr">
        <is>
          <t>browser firefox147</t>
        </is>
      </c>
      <c r="D3031" s="2" t="n">
        <v>1901</v>
      </c>
      <c r="E3031" s="2" t="n">
        <v>1901</v>
      </c>
      <c r="F3031" s="2" t="n">
        <v>1</v>
      </c>
      <c r="G3031" s="2" t="n">
        <v>1</v>
      </c>
      <c r="H3031" s="2" t="n">
        <v>0</v>
      </c>
      <c r="I3031" s="2" t="n">
        <v>0</v>
      </c>
    </row>
    <row r="3032">
      <c r="A3032" s="2" t="n">
        <v>3030</v>
      </c>
      <c r="B3032" s="2" t="inlineStr">
        <is>
          <t>truncate</t>
        </is>
      </c>
      <c r="C3032" s="2" t="inlineStr">
        <is>
          <t>openssl TLS 1.2 only</t>
        </is>
      </c>
      <c r="D3032" s="2" t="n">
        <v>36</v>
      </c>
      <c r="E3032" s="2" t="n">
        <v>36</v>
      </c>
      <c r="F3032" s="2" t="n">
        <v>1</v>
      </c>
      <c r="G3032" s="2" t="n">
        <v>0</v>
      </c>
      <c r="H3032" s="2" t="n">
        <v>0</v>
      </c>
      <c r="I3032" s="2" t="n">
        <v>0</v>
      </c>
    </row>
    <row r="3033">
      <c r="A3033" s="2" t="n">
        <v>3031</v>
      </c>
      <c r="B3033" s="2" t="inlineStr">
        <is>
          <t>length</t>
        </is>
      </c>
      <c r="C3033" s="2" t="inlineStr">
        <is>
          <t>openssl X25519 only (classical)</t>
        </is>
      </c>
      <c r="D3033" s="2" t="n">
        <v>314</v>
      </c>
      <c r="E3033" s="2" t="n">
        <v>314</v>
      </c>
      <c r="F3033" s="2" t="n">
        <v>1</v>
      </c>
      <c r="G3033" s="2" t="n">
        <v>1</v>
      </c>
      <c r="H3033" s="2" t="n">
        <v>1</v>
      </c>
      <c r="I3033" s="2" t="n">
        <v>0</v>
      </c>
    </row>
    <row r="3034">
      <c r="A3034" s="2" t="n">
        <v>3032</v>
      </c>
      <c r="B3034" s="2" t="inlineStr">
        <is>
          <t>insert</t>
        </is>
      </c>
      <c r="C3034" s="2" t="inlineStr">
        <is>
          <t>openssl 3.5.8 default</t>
        </is>
      </c>
      <c r="D3034" s="2" t="n">
        <v>1564</v>
      </c>
      <c r="E3034" s="2" t="n">
        <v>1564</v>
      </c>
      <c r="F3034" s="2" t="n">
        <v>1</v>
      </c>
      <c r="G3034" s="2" t="n">
        <v>1</v>
      </c>
      <c r="H3034" s="2" t="n">
        <v>1</v>
      </c>
      <c r="I3034" s="2" t="n">
        <v>0</v>
      </c>
    </row>
    <row r="3035">
      <c r="A3035" s="2" t="n">
        <v>3033</v>
      </c>
      <c r="B3035" s="2" t="inlineStr">
        <is>
          <t>flip</t>
        </is>
      </c>
      <c r="C3035" s="2" t="inlineStr">
        <is>
          <t>browser firefox147</t>
        </is>
      </c>
      <c r="D3035" s="2" t="n">
        <v>1901</v>
      </c>
      <c r="E3035" s="2" t="n">
        <v>1901</v>
      </c>
      <c r="F3035" s="2" t="n">
        <v>1</v>
      </c>
      <c r="G3035" s="2" t="n">
        <v>1</v>
      </c>
      <c r="H3035" s="2" t="n">
        <v>0</v>
      </c>
      <c r="I3035" s="2" t="n">
        <v>0</v>
      </c>
    </row>
    <row r="3036">
      <c r="A3036" s="2" t="n">
        <v>3034</v>
      </c>
      <c r="B3036" s="2" t="inlineStr">
        <is>
          <t>truncate</t>
        </is>
      </c>
      <c r="C3036" s="2" t="inlineStr">
        <is>
          <t>openssl 3.5.8 default</t>
        </is>
      </c>
      <c r="D3036" s="2" t="n">
        <v>1472</v>
      </c>
      <c r="E3036" s="2" t="n">
        <v>1472</v>
      </c>
      <c r="F3036" s="2" t="n">
        <v>1</v>
      </c>
      <c r="G3036" s="2" t="n">
        <v>1</v>
      </c>
      <c r="H3036" s="2" t="n">
        <v>1</v>
      </c>
      <c r="I3036" s="2" t="n">
        <v>0</v>
      </c>
    </row>
    <row r="3037">
      <c r="A3037" s="2" t="n">
        <v>3035</v>
      </c>
      <c r="B3037" s="2" t="inlineStr">
        <is>
          <t>length</t>
        </is>
      </c>
      <c r="C3037" s="2" t="inlineStr">
        <is>
          <t>openssl 3.5.8 default</t>
        </is>
      </c>
      <c r="D3037" s="2" t="n">
        <v>1548</v>
      </c>
      <c r="E3037" s="2" t="n">
        <v>1548</v>
      </c>
      <c r="F3037" s="2" t="n">
        <v>1</v>
      </c>
      <c r="G3037" s="2" t="n">
        <v>1</v>
      </c>
      <c r="H3037" s="2" t="n">
        <v>1</v>
      </c>
      <c r="I3037" s="2" t="n">
        <v>0</v>
      </c>
    </row>
    <row r="3038">
      <c r="A3038" s="2" t="n">
        <v>3036</v>
      </c>
      <c r="B3038" s="2" t="inlineStr">
        <is>
          <t>insert</t>
        </is>
      </c>
      <c r="C3038" s="2" t="inlineStr">
        <is>
          <t>browser chrome150</t>
        </is>
      </c>
      <c r="D3038" s="2" t="n">
        <v>1764</v>
      </c>
      <c r="E3038" s="2" t="n">
        <v>1764</v>
      </c>
      <c r="F3038" s="2" t="n">
        <v>1</v>
      </c>
      <c r="G3038" s="2" t="n">
        <v>1</v>
      </c>
      <c r="H3038" s="2" t="n">
        <v>1</v>
      </c>
      <c r="I3038" s="2" t="n">
        <v>0</v>
      </c>
    </row>
    <row r="3039">
      <c r="A3039" s="2" t="n">
        <v>3037</v>
      </c>
      <c r="B3039" s="2" t="inlineStr">
        <is>
          <t>flip</t>
        </is>
      </c>
      <c r="C3039" s="2" t="inlineStr">
        <is>
          <t>openssl 3.5.8 default</t>
        </is>
      </c>
      <c r="D3039" s="2" t="n">
        <v>1548</v>
      </c>
      <c r="E3039" s="2" t="n">
        <v>1548</v>
      </c>
      <c r="F3039" s="2" t="n">
        <v>1</v>
      </c>
      <c r="G3039" s="2" t="n">
        <v>1</v>
      </c>
      <c r="H3039" s="2" t="n">
        <v>1</v>
      </c>
      <c r="I3039" s="2" t="n">
        <v>0</v>
      </c>
    </row>
    <row r="3040">
      <c r="A3040" s="2" t="n">
        <v>3038</v>
      </c>
      <c r="B3040" s="2" t="inlineStr">
        <is>
          <t>truncate</t>
        </is>
      </c>
      <c r="C3040" s="2" t="inlineStr">
        <is>
          <t>browser firefox147</t>
        </is>
      </c>
      <c r="D3040" s="2" t="n">
        <v>1509</v>
      </c>
      <c r="E3040" s="2" t="n">
        <v>1509</v>
      </c>
      <c r="F3040" s="2" t="n">
        <v>1</v>
      </c>
      <c r="G3040" s="2" t="n">
        <v>1</v>
      </c>
      <c r="H3040" s="2" t="n">
        <v>0</v>
      </c>
      <c r="I3040" s="2" t="n">
        <v>0</v>
      </c>
    </row>
    <row r="3041">
      <c r="A3041" s="2" t="n">
        <v>3039</v>
      </c>
      <c r="B3041" s="2" t="inlineStr">
        <is>
          <t>length</t>
        </is>
      </c>
      <c r="C3041" s="2" t="inlineStr">
        <is>
          <t>openssl TLS 1.2 only</t>
        </is>
      </c>
      <c r="D3041" s="2" t="n">
        <v>215</v>
      </c>
      <c r="E3041" s="2" t="n">
        <v>215</v>
      </c>
      <c r="F3041" s="2" t="n">
        <v>1</v>
      </c>
      <c r="G3041" s="2" t="n">
        <v>1</v>
      </c>
      <c r="H3041" s="2" t="n">
        <v>0</v>
      </c>
      <c r="I3041" s="2" t="n">
        <v>0</v>
      </c>
    </row>
    <row r="3042">
      <c r="A3042" s="2" t="n">
        <v>3040</v>
      </c>
      <c r="B3042" s="2" t="inlineStr">
        <is>
          <t>insert</t>
        </is>
      </c>
      <c r="C3042" s="2" t="inlineStr">
        <is>
          <t>openssl 3.5.8 default</t>
        </is>
      </c>
      <c r="D3042" s="2" t="n">
        <v>1553</v>
      </c>
      <c r="E3042" s="2" t="n">
        <v>1553</v>
      </c>
      <c r="F3042" s="2" t="n">
        <v>1</v>
      </c>
      <c r="G3042" s="2" t="n">
        <v>1</v>
      </c>
      <c r="H3042" s="2" t="n">
        <v>1</v>
      </c>
      <c r="I3042" s="2" t="n">
        <v>0</v>
      </c>
    </row>
    <row r="3043">
      <c r="A3043" s="2" t="n">
        <v>3041</v>
      </c>
      <c r="B3043" s="2" t="inlineStr">
        <is>
          <t>flip</t>
        </is>
      </c>
      <c r="C3043" s="2" t="inlineStr">
        <is>
          <t>browser chrome150</t>
        </is>
      </c>
      <c r="D3043" s="2" t="n">
        <v>1763</v>
      </c>
      <c r="E3043" s="2" t="n">
        <v>1763</v>
      </c>
      <c r="F3043" s="2" t="n">
        <v>1</v>
      </c>
      <c r="G3043" s="2" t="n">
        <v>1</v>
      </c>
      <c r="H3043" s="2" t="n">
        <v>1</v>
      </c>
      <c r="I3043" s="2" t="n">
        <v>0</v>
      </c>
    </row>
    <row r="3044">
      <c r="A3044" s="2" t="n">
        <v>3042</v>
      </c>
      <c r="B3044" s="2" t="inlineStr">
        <is>
          <t>truncate</t>
        </is>
      </c>
      <c r="C3044" s="2" t="inlineStr">
        <is>
          <t>openssl X25519 only (classical)</t>
        </is>
      </c>
      <c r="D3044" s="2" t="n">
        <v>311</v>
      </c>
      <c r="E3044" s="2" t="n">
        <v>311</v>
      </c>
      <c r="F3044" s="2" t="n">
        <v>1</v>
      </c>
      <c r="G3044" s="2" t="n">
        <v>1</v>
      </c>
      <c r="H3044" s="2" t="n">
        <v>1</v>
      </c>
      <c r="I3044" s="2" t="n">
        <v>0</v>
      </c>
    </row>
    <row r="3045">
      <c r="A3045" s="2" t="n">
        <v>3043</v>
      </c>
      <c r="B3045" s="2" t="inlineStr">
        <is>
          <t>length</t>
        </is>
      </c>
      <c r="C3045" s="2" t="inlineStr">
        <is>
          <t>openssl 3.5.8 default</t>
        </is>
      </c>
      <c r="D3045" s="2" t="n">
        <v>1548</v>
      </c>
      <c r="E3045" s="2" t="n">
        <v>1548</v>
      </c>
      <c r="F3045" s="2" t="n">
        <v>1</v>
      </c>
      <c r="G3045" s="2" t="n">
        <v>0</v>
      </c>
      <c r="H3045" s="2" t="n">
        <v>0</v>
      </c>
      <c r="I3045" s="2" t="n">
        <v>0</v>
      </c>
    </row>
    <row r="3046">
      <c r="A3046" s="2" t="n">
        <v>3044</v>
      </c>
      <c r="B3046" s="2" t="inlineStr">
        <is>
          <t>insert</t>
        </is>
      </c>
      <c r="C3046" s="2" t="inlineStr">
        <is>
          <t>openssl TLS 1.2 only</t>
        </is>
      </c>
      <c r="D3046" s="2" t="n">
        <v>227</v>
      </c>
      <c r="E3046" s="2" t="n">
        <v>227</v>
      </c>
      <c r="F3046" s="2" t="n">
        <v>1</v>
      </c>
      <c r="G3046" s="2" t="n">
        <v>1</v>
      </c>
      <c r="H3046" s="2" t="n">
        <v>0</v>
      </c>
      <c r="I3046" s="2" t="n">
        <v>0</v>
      </c>
    </row>
    <row r="3047">
      <c r="A3047" s="2" t="n">
        <v>3045</v>
      </c>
      <c r="B3047" s="2" t="inlineStr">
        <is>
          <t>flip</t>
        </is>
      </c>
      <c r="C3047" s="2" t="inlineStr">
        <is>
          <t>openssl 3.5.8 default</t>
        </is>
      </c>
      <c r="D3047" s="2" t="n">
        <v>1548</v>
      </c>
      <c r="E3047" s="2" t="n">
        <v>1548</v>
      </c>
      <c r="F3047" s="2" t="n">
        <v>1</v>
      </c>
      <c r="G3047" s="2" t="n">
        <v>1</v>
      </c>
      <c r="H3047" s="2" t="n">
        <v>1</v>
      </c>
      <c r="I3047" s="2" t="n">
        <v>0</v>
      </c>
    </row>
    <row r="3048">
      <c r="A3048" s="2" t="n">
        <v>3046</v>
      </c>
      <c r="B3048" s="2" t="inlineStr">
        <is>
          <t>truncate</t>
        </is>
      </c>
      <c r="C3048" s="2" t="inlineStr">
        <is>
          <t>browser firefox147</t>
        </is>
      </c>
      <c r="D3048" s="2" t="n">
        <v>192</v>
      </c>
      <c r="E3048" s="2" t="n">
        <v>192</v>
      </c>
      <c r="F3048" s="2" t="n">
        <v>1</v>
      </c>
      <c r="G3048" s="2" t="n">
        <v>1</v>
      </c>
      <c r="H3048" s="2" t="n">
        <v>0</v>
      </c>
      <c r="I3048" s="2" t="n">
        <v>0</v>
      </c>
    </row>
    <row r="3049">
      <c r="A3049" s="2" t="n">
        <v>3047</v>
      </c>
      <c r="B3049" s="2" t="inlineStr">
        <is>
          <t>length</t>
        </is>
      </c>
      <c r="C3049" s="2" t="inlineStr">
        <is>
          <t>openssl 3.5.8 default</t>
        </is>
      </c>
      <c r="D3049" s="2" t="n">
        <v>1548</v>
      </c>
      <c r="E3049" s="2" t="n">
        <v>1548</v>
      </c>
      <c r="F3049" s="2" t="n">
        <v>1</v>
      </c>
      <c r="G3049" s="2" t="n">
        <v>0</v>
      </c>
      <c r="H3049" s="2" t="n">
        <v>0</v>
      </c>
      <c r="I3049" s="2" t="n">
        <v>0</v>
      </c>
    </row>
    <row r="3050">
      <c r="A3050" s="2" t="n">
        <v>3048</v>
      </c>
      <c r="B3050" s="2" t="inlineStr">
        <is>
          <t>insert</t>
        </is>
      </c>
      <c r="C3050" s="2" t="inlineStr">
        <is>
          <t>openssl 3.5.8 default</t>
        </is>
      </c>
      <c r="D3050" s="2" t="n">
        <v>1556</v>
      </c>
      <c r="E3050" s="2" t="n">
        <v>1556</v>
      </c>
      <c r="F3050" s="2" t="n">
        <v>1</v>
      </c>
      <c r="G3050" s="2" t="n">
        <v>0</v>
      </c>
      <c r="H3050" s="2" t="n">
        <v>0</v>
      </c>
      <c r="I3050" s="2" t="n">
        <v>0</v>
      </c>
    </row>
    <row r="3051">
      <c r="A3051" s="2" t="n">
        <v>3049</v>
      </c>
      <c r="B3051" s="2" t="inlineStr">
        <is>
          <t>flip</t>
        </is>
      </c>
      <c r="C3051" s="2" t="inlineStr">
        <is>
          <t>browser chrome150</t>
        </is>
      </c>
      <c r="D3051" s="2" t="n">
        <v>1763</v>
      </c>
      <c r="E3051" s="2" t="n">
        <v>1763</v>
      </c>
      <c r="F3051" s="2" t="n">
        <v>1</v>
      </c>
      <c r="G3051" s="2" t="n">
        <v>1</v>
      </c>
      <c r="H3051" s="2" t="n">
        <v>1</v>
      </c>
      <c r="I3051" s="2" t="n">
        <v>0</v>
      </c>
    </row>
    <row r="3052">
      <c r="A3052" s="2" t="n">
        <v>3050</v>
      </c>
      <c r="B3052" s="2" t="inlineStr">
        <is>
          <t>truncate</t>
        </is>
      </c>
      <c r="C3052" s="2" t="inlineStr">
        <is>
          <t>openssl X25519 only (classical)</t>
        </is>
      </c>
      <c r="D3052" s="2" t="n">
        <v>258</v>
      </c>
      <c r="E3052" s="2" t="n">
        <v>258</v>
      </c>
      <c r="F3052" s="2" t="n">
        <v>1</v>
      </c>
      <c r="G3052" s="2" t="n">
        <v>1</v>
      </c>
      <c r="H3052" s="2" t="n">
        <v>0</v>
      </c>
      <c r="I3052" s="2" t="n">
        <v>0</v>
      </c>
    </row>
    <row r="3053">
      <c r="A3053" s="2" t="n">
        <v>3051</v>
      </c>
      <c r="B3053" s="2" t="inlineStr">
        <is>
          <t>length</t>
        </is>
      </c>
      <c r="C3053" s="2" t="inlineStr">
        <is>
          <t>browser chrome150</t>
        </is>
      </c>
      <c r="D3053" s="2" t="n">
        <v>1763</v>
      </c>
      <c r="E3053" s="2" t="n">
        <v>1763</v>
      </c>
      <c r="F3053" s="2" t="n">
        <v>1</v>
      </c>
      <c r="G3053" s="2" t="n">
        <v>1</v>
      </c>
      <c r="H3053" s="2" t="n">
        <v>1</v>
      </c>
      <c r="I3053" s="2" t="n">
        <v>0</v>
      </c>
    </row>
    <row r="3054">
      <c r="A3054" s="2" t="n">
        <v>3052</v>
      </c>
      <c r="B3054" s="2" t="inlineStr">
        <is>
          <t>insert</t>
        </is>
      </c>
      <c r="C3054" s="2" t="inlineStr">
        <is>
          <t>openssl X25519 only (classical)</t>
        </is>
      </c>
      <c r="D3054" s="2" t="n">
        <v>326</v>
      </c>
      <c r="E3054" s="2" t="n">
        <v>326</v>
      </c>
      <c r="F3054" s="2" t="n">
        <v>1</v>
      </c>
      <c r="G3054" s="2" t="n">
        <v>0</v>
      </c>
      <c r="H3054" s="2" t="n">
        <v>0</v>
      </c>
      <c r="I3054" s="2" t="n">
        <v>0</v>
      </c>
    </row>
    <row r="3055">
      <c r="A3055" s="2" t="n">
        <v>3053</v>
      </c>
      <c r="B3055" s="2" t="inlineStr">
        <is>
          <t>flip</t>
        </is>
      </c>
      <c r="C3055" s="2" t="inlineStr">
        <is>
          <t>openssl TLS 1.2 only</t>
        </is>
      </c>
      <c r="D3055" s="2" t="n">
        <v>215</v>
      </c>
      <c r="E3055" s="2" t="n">
        <v>215</v>
      </c>
      <c r="F3055" s="2" t="n">
        <v>1</v>
      </c>
      <c r="G3055" s="2" t="n">
        <v>0</v>
      </c>
      <c r="H3055" s="2" t="n">
        <v>0</v>
      </c>
      <c r="I3055" s="2" t="n">
        <v>0</v>
      </c>
    </row>
    <row r="3056">
      <c r="A3056" s="2" t="n">
        <v>3054</v>
      </c>
      <c r="B3056" s="2" t="inlineStr">
        <is>
          <t>truncate</t>
        </is>
      </c>
      <c r="C3056" s="2" t="inlineStr">
        <is>
          <t>openssl X25519 only (classical)</t>
        </is>
      </c>
      <c r="D3056" s="2" t="n">
        <v>279</v>
      </c>
      <c r="E3056" s="2" t="n">
        <v>279</v>
      </c>
      <c r="F3056" s="2" t="n">
        <v>1</v>
      </c>
      <c r="G3056" s="2" t="n">
        <v>1</v>
      </c>
      <c r="H3056" s="2" t="n">
        <v>1</v>
      </c>
      <c r="I3056" s="2" t="n">
        <v>0</v>
      </c>
    </row>
    <row r="3057">
      <c r="A3057" s="2" t="n">
        <v>3055</v>
      </c>
      <c r="B3057" s="2" t="inlineStr">
        <is>
          <t>length</t>
        </is>
      </c>
      <c r="C3057" s="2" t="inlineStr">
        <is>
          <t>browser firefox147</t>
        </is>
      </c>
      <c r="D3057" s="2" t="n">
        <v>1901</v>
      </c>
      <c r="E3057" s="2" t="n">
        <v>1901</v>
      </c>
      <c r="F3057" s="2" t="n">
        <v>1</v>
      </c>
      <c r="G3057" s="2" t="n">
        <v>1</v>
      </c>
      <c r="H3057" s="2" t="n">
        <v>0</v>
      </c>
      <c r="I3057" s="2" t="n">
        <v>0</v>
      </c>
    </row>
    <row r="3058">
      <c r="A3058" s="2" t="n">
        <v>3056</v>
      </c>
      <c r="B3058" s="2" t="inlineStr">
        <is>
          <t>insert</t>
        </is>
      </c>
      <c r="C3058" s="2" t="inlineStr">
        <is>
          <t>browser firefox147</t>
        </is>
      </c>
      <c r="D3058" s="2" t="n">
        <v>1903</v>
      </c>
      <c r="E3058" s="2" t="n">
        <v>1903</v>
      </c>
      <c r="F3058" s="2" t="n">
        <v>1</v>
      </c>
      <c r="G3058" s="2" t="n">
        <v>1</v>
      </c>
      <c r="H3058" s="2" t="n">
        <v>0</v>
      </c>
      <c r="I3058" s="2" t="n">
        <v>0</v>
      </c>
    </row>
    <row r="3059">
      <c r="A3059" s="2" t="n">
        <v>3057</v>
      </c>
      <c r="B3059" s="2" t="inlineStr">
        <is>
          <t>flip</t>
        </is>
      </c>
      <c r="C3059" s="2" t="inlineStr">
        <is>
          <t>browser firefox147</t>
        </is>
      </c>
      <c r="D3059" s="2" t="n">
        <v>1901</v>
      </c>
      <c r="E3059" s="2" t="n">
        <v>1901</v>
      </c>
      <c r="F3059" s="2" t="n">
        <v>1</v>
      </c>
      <c r="G3059" s="2" t="n">
        <v>1</v>
      </c>
      <c r="H3059" s="2" t="n">
        <v>0</v>
      </c>
      <c r="I3059" s="2" t="n">
        <v>0</v>
      </c>
    </row>
    <row r="3060">
      <c r="A3060" s="2" t="n">
        <v>3058</v>
      </c>
      <c r="B3060" s="2" t="inlineStr">
        <is>
          <t>truncate</t>
        </is>
      </c>
      <c r="C3060" s="2" t="inlineStr">
        <is>
          <t>openssl TLS 1.2 only</t>
        </is>
      </c>
      <c r="D3060" s="2" t="n">
        <v>154</v>
      </c>
      <c r="E3060" s="2" t="n">
        <v>154</v>
      </c>
      <c r="F3060" s="2" t="n">
        <v>1</v>
      </c>
      <c r="G3060" s="2" t="n">
        <v>1</v>
      </c>
      <c r="H3060" s="2" t="n">
        <v>0</v>
      </c>
      <c r="I3060" s="2" t="n">
        <v>0</v>
      </c>
    </row>
    <row r="3061">
      <c r="A3061" s="2" t="n">
        <v>3059</v>
      </c>
      <c r="B3061" s="2" t="inlineStr">
        <is>
          <t>length</t>
        </is>
      </c>
      <c r="C3061" s="2" t="inlineStr">
        <is>
          <t>browser firefox147</t>
        </is>
      </c>
      <c r="D3061" s="2" t="n">
        <v>1901</v>
      </c>
      <c r="E3061" s="2" t="n">
        <v>1901</v>
      </c>
      <c r="F3061" s="2" t="n">
        <v>0</v>
      </c>
      <c r="G3061" s="2" t="n">
        <v>0</v>
      </c>
      <c r="H3061" s="2" t="n">
        <v>0</v>
      </c>
      <c r="I3061" s="2" t="n">
        <v>0</v>
      </c>
    </row>
    <row r="3062">
      <c r="A3062" s="2" t="n">
        <v>3060</v>
      </c>
      <c r="B3062" s="2" t="inlineStr">
        <is>
          <t>insert</t>
        </is>
      </c>
      <c r="C3062" s="2" t="inlineStr">
        <is>
          <t>browser chrome150</t>
        </is>
      </c>
      <c r="D3062" s="2" t="n">
        <v>1765</v>
      </c>
      <c r="E3062" s="2" t="n">
        <v>1765</v>
      </c>
      <c r="F3062" s="2" t="n">
        <v>1</v>
      </c>
      <c r="G3062" s="2" t="n">
        <v>1</v>
      </c>
      <c r="H3062" s="2" t="n">
        <v>1</v>
      </c>
      <c r="I3062" s="2" t="n">
        <v>0</v>
      </c>
    </row>
    <row r="3063">
      <c r="A3063" s="2" t="n">
        <v>3061</v>
      </c>
      <c r="B3063" s="2" t="inlineStr">
        <is>
          <t>flip</t>
        </is>
      </c>
      <c r="C3063" s="2" t="inlineStr">
        <is>
          <t>browser firefox147</t>
        </is>
      </c>
      <c r="D3063" s="2" t="n">
        <v>1901</v>
      </c>
      <c r="E3063" s="2" t="n">
        <v>1901</v>
      </c>
      <c r="F3063" s="2" t="n">
        <v>1</v>
      </c>
      <c r="G3063" s="2" t="n">
        <v>1</v>
      </c>
      <c r="H3063" s="2" t="n">
        <v>0</v>
      </c>
      <c r="I3063" s="2" t="n">
        <v>0</v>
      </c>
    </row>
    <row r="3064">
      <c r="A3064" s="2" t="n">
        <v>3062</v>
      </c>
      <c r="B3064" s="2" t="inlineStr">
        <is>
          <t>truncate</t>
        </is>
      </c>
      <c r="C3064" s="2" t="inlineStr">
        <is>
          <t>browser chrome150</t>
        </is>
      </c>
      <c r="D3064" s="2" t="n">
        <v>799</v>
      </c>
      <c r="E3064" s="2" t="n">
        <v>799</v>
      </c>
      <c r="F3064" s="2" t="n">
        <v>1</v>
      </c>
      <c r="G3064" s="2" t="n">
        <v>1</v>
      </c>
      <c r="H3064" s="2" t="n">
        <v>1</v>
      </c>
      <c r="I3064" s="2" t="n">
        <v>0</v>
      </c>
    </row>
    <row r="3065">
      <c r="A3065" s="2" t="n">
        <v>3063</v>
      </c>
      <c r="B3065" s="2" t="inlineStr">
        <is>
          <t>length</t>
        </is>
      </c>
      <c r="C3065" s="2" t="inlineStr">
        <is>
          <t>openssl X25519 only (classical)</t>
        </is>
      </c>
      <c r="D3065" s="2" t="n">
        <v>314</v>
      </c>
      <c r="E3065" s="2" t="n">
        <v>314</v>
      </c>
      <c r="F3065" s="2" t="n">
        <v>0</v>
      </c>
      <c r="G3065" s="2" t="n">
        <v>0</v>
      </c>
      <c r="H3065" s="2" t="n">
        <v>0</v>
      </c>
      <c r="I3065" s="2" t="n">
        <v>0</v>
      </c>
    </row>
    <row r="3066">
      <c r="A3066" s="2" t="n">
        <v>3064</v>
      </c>
      <c r="B3066" s="2" t="inlineStr">
        <is>
          <t>insert</t>
        </is>
      </c>
      <c r="C3066" s="2" t="inlineStr">
        <is>
          <t>openssl TLS 1.2 only</t>
        </is>
      </c>
      <c r="D3066" s="2" t="n">
        <v>230</v>
      </c>
      <c r="E3066" s="2" t="n">
        <v>230</v>
      </c>
      <c r="F3066" s="2" t="n">
        <v>0</v>
      </c>
      <c r="G3066" s="2" t="n">
        <v>0</v>
      </c>
      <c r="H3066" s="2" t="n">
        <v>0</v>
      </c>
      <c r="I3066" s="2" t="n">
        <v>0</v>
      </c>
    </row>
    <row r="3067">
      <c r="A3067" s="2" t="n">
        <v>3065</v>
      </c>
      <c r="B3067" s="2" t="inlineStr">
        <is>
          <t>flip</t>
        </is>
      </c>
      <c r="C3067" s="2" t="inlineStr">
        <is>
          <t>browser firefox147</t>
        </is>
      </c>
      <c r="D3067" s="2" t="n">
        <v>1901</v>
      </c>
      <c r="E3067" s="2" t="n">
        <v>1901</v>
      </c>
      <c r="F3067" s="2" t="n">
        <v>1</v>
      </c>
      <c r="G3067" s="2" t="n">
        <v>1</v>
      </c>
      <c r="H3067" s="2" t="n">
        <v>0</v>
      </c>
      <c r="I3067" s="2" t="n">
        <v>0</v>
      </c>
    </row>
    <row r="3068">
      <c r="A3068" s="2" t="n">
        <v>3066</v>
      </c>
      <c r="B3068" s="2" t="inlineStr">
        <is>
          <t>truncate</t>
        </is>
      </c>
      <c r="C3068" s="2" t="inlineStr">
        <is>
          <t>browser chrome150</t>
        </is>
      </c>
      <c r="D3068" s="2" t="n">
        <v>619</v>
      </c>
      <c r="E3068" s="2" t="n">
        <v>619</v>
      </c>
      <c r="F3068" s="2" t="n">
        <v>1</v>
      </c>
      <c r="G3068" s="2" t="n">
        <v>1</v>
      </c>
      <c r="H3068" s="2" t="n">
        <v>1</v>
      </c>
      <c r="I3068" s="2" t="n">
        <v>0</v>
      </c>
    </row>
    <row r="3069">
      <c r="A3069" s="2" t="n">
        <v>3067</v>
      </c>
      <c r="B3069" s="2" t="inlineStr">
        <is>
          <t>length</t>
        </is>
      </c>
      <c r="C3069" s="2" t="inlineStr">
        <is>
          <t>browser firefox147</t>
        </is>
      </c>
      <c r="D3069" s="2" t="n">
        <v>1901</v>
      </c>
      <c r="E3069" s="2" t="n">
        <v>1901</v>
      </c>
      <c r="F3069" s="2" t="n">
        <v>0</v>
      </c>
      <c r="G3069" s="2" t="n">
        <v>0</v>
      </c>
      <c r="H3069" s="2" t="n">
        <v>0</v>
      </c>
      <c r="I3069" s="2" t="n">
        <v>0</v>
      </c>
    </row>
    <row r="3070">
      <c r="A3070" s="2" t="n">
        <v>3068</v>
      </c>
      <c r="B3070" s="2" t="inlineStr">
        <is>
          <t>insert</t>
        </is>
      </c>
      <c r="C3070" s="2" t="inlineStr">
        <is>
          <t>browser chrome150</t>
        </is>
      </c>
      <c r="D3070" s="2" t="n">
        <v>1767</v>
      </c>
      <c r="E3070" s="2" t="n">
        <v>1767</v>
      </c>
      <c r="F3070" s="2" t="n">
        <v>1</v>
      </c>
      <c r="G3070" s="2" t="n">
        <v>1</v>
      </c>
      <c r="H3070" s="2" t="n">
        <v>1</v>
      </c>
      <c r="I3070" s="2" t="n">
        <v>0</v>
      </c>
    </row>
    <row r="3071">
      <c r="A3071" s="2" t="n">
        <v>3069</v>
      </c>
      <c r="B3071" s="2" t="inlineStr">
        <is>
          <t>flip</t>
        </is>
      </c>
      <c r="C3071" s="2" t="inlineStr">
        <is>
          <t>browser chrome150</t>
        </is>
      </c>
      <c r="D3071" s="2" t="n">
        <v>1763</v>
      </c>
      <c r="E3071" s="2" t="n">
        <v>1763</v>
      </c>
      <c r="F3071" s="2" t="n">
        <v>1</v>
      </c>
      <c r="G3071" s="2" t="n">
        <v>1</v>
      </c>
      <c r="H3071" s="2" t="n">
        <v>1</v>
      </c>
      <c r="I3071" s="2" t="n">
        <v>0</v>
      </c>
    </row>
    <row r="3072">
      <c r="A3072" s="2" t="n">
        <v>3070</v>
      </c>
      <c r="B3072" s="2" t="inlineStr">
        <is>
          <t>truncate</t>
        </is>
      </c>
      <c r="C3072" s="2" t="inlineStr">
        <is>
          <t>browser chrome150</t>
        </is>
      </c>
      <c r="D3072" s="2" t="n">
        <v>1233</v>
      </c>
      <c r="E3072" s="2" t="n">
        <v>1233</v>
      </c>
      <c r="F3072" s="2" t="n">
        <v>1</v>
      </c>
      <c r="G3072" s="2" t="n">
        <v>1</v>
      </c>
      <c r="H3072" s="2" t="n">
        <v>1</v>
      </c>
      <c r="I3072" s="2" t="n">
        <v>0</v>
      </c>
    </row>
    <row r="3073">
      <c r="A3073" s="2" t="n">
        <v>3071</v>
      </c>
      <c r="B3073" s="2" t="inlineStr">
        <is>
          <t>length</t>
        </is>
      </c>
      <c r="C3073" s="2" t="inlineStr">
        <is>
          <t>browser chrome150</t>
        </is>
      </c>
      <c r="D3073" s="2" t="n">
        <v>1763</v>
      </c>
      <c r="E3073" s="2" t="n">
        <v>1763</v>
      </c>
      <c r="F3073" s="2" t="n">
        <v>0</v>
      </c>
      <c r="G3073" s="2" t="n">
        <v>0</v>
      </c>
      <c r="H3073" s="2" t="n">
        <v>0</v>
      </c>
      <c r="I3073" s="2" t="n">
        <v>0</v>
      </c>
    </row>
    <row r="3074">
      <c r="A3074" s="2" t="n">
        <v>3072</v>
      </c>
      <c r="B3074" s="2" t="inlineStr">
        <is>
          <t>insert</t>
        </is>
      </c>
      <c r="C3074" s="2" t="inlineStr">
        <is>
          <t>browser firefox147</t>
        </is>
      </c>
      <c r="D3074" s="2" t="n">
        <v>1913</v>
      </c>
      <c r="E3074" s="2" t="n">
        <v>1913</v>
      </c>
      <c r="F3074" s="2" t="n">
        <v>1</v>
      </c>
      <c r="G3074" s="2" t="n">
        <v>1</v>
      </c>
      <c r="H3074" s="2" t="n">
        <v>0</v>
      </c>
      <c r="I3074" s="2" t="n">
        <v>0</v>
      </c>
    </row>
    <row r="3075">
      <c r="A3075" s="2" t="n">
        <v>3073</v>
      </c>
      <c r="B3075" s="2" t="inlineStr">
        <is>
          <t>flip</t>
        </is>
      </c>
      <c r="C3075" s="2" t="inlineStr">
        <is>
          <t>browser firefox147</t>
        </is>
      </c>
      <c r="D3075" s="2" t="n">
        <v>1901</v>
      </c>
      <c r="E3075" s="2" t="n">
        <v>1901</v>
      </c>
      <c r="F3075" s="2" t="n">
        <v>1</v>
      </c>
      <c r="G3075" s="2" t="n">
        <v>1</v>
      </c>
      <c r="H3075" s="2" t="n">
        <v>1</v>
      </c>
      <c r="I3075" s="2" t="n">
        <v>0</v>
      </c>
    </row>
    <row r="3076">
      <c r="A3076" s="2" t="n">
        <v>3074</v>
      </c>
      <c r="B3076" s="2" t="inlineStr">
        <is>
          <t>truncate</t>
        </is>
      </c>
      <c r="C3076" s="2" t="inlineStr">
        <is>
          <t>openssl 3.5.8 default</t>
        </is>
      </c>
      <c r="D3076" s="2" t="n">
        <v>67</v>
      </c>
      <c r="E3076" s="2" t="n">
        <v>67</v>
      </c>
      <c r="F3076" s="2" t="n">
        <v>1</v>
      </c>
      <c r="G3076" s="2" t="n">
        <v>0</v>
      </c>
      <c r="H3076" s="2" t="n">
        <v>0</v>
      </c>
      <c r="I3076" s="2" t="n">
        <v>0</v>
      </c>
    </row>
    <row r="3077">
      <c r="A3077" s="2" t="n">
        <v>3075</v>
      </c>
      <c r="B3077" s="2" t="inlineStr">
        <is>
          <t>length</t>
        </is>
      </c>
      <c r="C3077" s="2" t="inlineStr">
        <is>
          <t>browser chrome150</t>
        </is>
      </c>
      <c r="D3077" s="2" t="n">
        <v>1763</v>
      </c>
      <c r="E3077" s="2" t="n">
        <v>1763</v>
      </c>
      <c r="F3077" s="2" t="n">
        <v>1</v>
      </c>
      <c r="G3077" s="2" t="n">
        <v>1</v>
      </c>
      <c r="H3077" s="2" t="n">
        <v>1</v>
      </c>
      <c r="I3077" s="2" t="n">
        <v>0</v>
      </c>
    </row>
    <row r="3078">
      <c r="A3078" s="2" t="n">
        <v>3076</v>
      </c>
      <c r="B3078" s="2" t="inlineStr">
        <is>
          <t>insert</t>
        </is>
      </c>
      <c r="C3078" s="2" t="inlineStr">
        <is>
          <t>openssl X25519 only (classical)</t>
        </is>
      </c>
      <c r="D3078" s="2" t="n">
        <v>326</v>
      </c>
      <c r="E3078" s="2" t="n">
        <v>326</v>
      </c>
      <c r="F3078" s="2" t="n">
        <v>1</v>
      </c>
      <c r="G3078" s="2" t="n">
        <v>1</v>
      </c>
      <c r="H3078" s="2" t="n">
        <v>0</v>
      </c>
      <c r="I3078" s="2" t="n">
        <v>0</v>
      </c>
    </row>
    <row r="3079">
      <c r="A3079" s="2" t="n">
        <v>3077</v>
      </c>
      <c r="B3079" s="2" t="inlineStr">
        <is>
          <t>flip</t>
        </is>
      </c>
      <c r="C3079" s="2" t="inlineStr">
        <is>
          <t>browser firefox147</t>
        </is>
      </c>
      <c r="D3079" s="2" t="n">
        <v>1901</v>
      </c>
      <c r="E3079" s="2" t="n">
        <v>1901</v>
      </c>
      <c r="F3079" s="2" t="n">
        <v>1</v>
      </c>
      <c r="G3079" s="2" t="n">
        <v>1</v>
      </c>
      <c r="H3079" s="2" t="n">
        <v>0</v>
      </c>
      <c r="I3079" s="2" t="n">
        <v>0</v>
      </c>
    </row>
    <row r="3080">
      <c r="A3080" s="2" t="n">
        <v>3078</v>
      </c>
      <c r="B3080" s="2" t="inlineStr">
        <is>
          <t>truncate</t>
        </is>
      </c>
      <c r="C3080" s="2" t="inlineStr">
        <is>
          <t>browser firefox147</t>
        </is>
      </c>
      <c r="D3080" s="2" t="n">
        <v>1145</v>
      </c>
      <c r="E3080" s="2" t="n">
        <v>1145</v>
      </c>
      <c r="F3080" s="2" t="n">
        <v>1</v>
      </c>
      <c r="G3080" s="2" t="n">
        <v>1</v>
      </c>
      <c r="H3080" s="2" t="n">
        <v>0</v>
      </c>
      <c r="I3080" s="2" t="n">
        <v>0</v>
      </c>
    </row>
    <row r="3081">
      <c r="A3081" s="2" t="n">
        <v>3079</v>
      </c>
      <c r="B3081" s="2" t="inlineStr">
        <is>
          <t>length</t>
        </is>
      </c>
      <c r="C3081" s="2" t="inlineStr">
        <is>
          <t>browser chrome150</t>
        </is>
      </c>
      <c r="D3081" s="2" t="n">
        <v>1763</v>
      </c>
      <c r="E3081" s="2" t="n">
        <v>1763</v>
      </c>
      <c r="F3081" s="2" t="n">
        <v>0</v>
      </c>
      <c r="G3081" s="2" t="n">
        <v>0</v>
      </c>
      <c r="H3081" s="2" t="n">
        <v>0</v>
      </c>
      <c r="I3081" s="2" t="n">
        <v>0</v>
      </c>
    </row>
    <row r="3082">
      <c r="A3082" s="2" t="n">
        <v>3080</v>
      </c>
      <c r="B3082" s="2" t="inlineStr">
        <is>
          <t>insert</t>
        </is>
      </c>
      <c r="C3082" s="2" t="inlineStr">
        <is>
          <t>openssl X25519 only (classical)</t>
        </is>
      </c>
      <c r="D3082" s="2" t="n">
        <v>318</v>
      </c>
      <c r="E3082" s="2" t="n">
        <v>318</v>
      </c>
      <c r="F3082" s="2" t="n">
        <v>1</v>
      </c>
      <c r="G3082" s="2" t="n">
        <v>1</v>
      </c>
      <c r="H3082" s="2" t="n">
        <v>0</v>
      </c>
      <c r="I3082" s="2" t="n">
        <v>0</v>
      </c>
    </row>
    <row r="3083">
      <c r="A3083" s="2" t="n">
        <v>3081</v>
      </c>
      <c r="B3083" s="2" t="inlineStr">
        <is>
          <t>flip</t>
        </is>
      </c>
      <c r="C3083" s="2" t="inlineStr">
        <is>
          <t>browser firefox147</t>
        </is>
      </c>
      <c r="D3083" s="2" t="n">
        <v>1901</v>
      </c>
      <c r="E3083" s="2" t="n">
        <v>1901</v>
      </c>
      <c r="F3083" s="2" t="n">
        <v>1</v>
      </c>
      <c r="G3083" s="2" t="n">
        <v>1</v>
      </c>
      <c r="H3083" s="2" t="n">
        <v>0</v>
      </c>
      <c r="I3083" s="2" t="n">
        <v>0</v>
      </c>
    </row>
    <row r="3084">
      <c r="A3084" s="2" t="n">
        <v>3082</v>
      </c>
      <c r="B3084" s="2" t="inlineStr">
        <is>
          <t>truncate</t>
        </is>
      </c>
      <c r="C3084" s="2" t="inlineStr">
        <is>
          <t>openssl X25519 only (classical)</t>
        </is>
      </c>
      <c r="D3084" s="2" t="n">
        <v>288</v>
      </c>
      <c r="E3084" s="2" t="n">
        <v>288</v>
      </c>
      <c r="F3084" s="2" t="n">
        <v>1</v>
      </c>
      <c r="G3084" s="2" t="n">
        <v>1</v>
      </c>
      <c r="H3084" s="2" t="n">
        <v>1</v>
      </c>
      <c r="I3084" s="2" t="n">
        <v>0</v>
      </c>
    </row>
    <row r="3085">
      <c r="A3085" s="2" t="n">
        <v>3083</v>
      </c>
      <c r="B3085" s="2" t="inlineStr">
        <is>
          <t>length</t>
        </is>
      </c>
      <c r="C3085" s="2" t="inlineStr">
        <is>
          <t>openssl 3.5.8 default</t>
        </is>
      </c>
      <c r="D3085" s="2" t="n">
        <v>1548</v>
      </c>
      <c r="E3085" s="2" t="n">
        <v>1548</v>
      </c>
      <c r="F3085" s="2" t="n">
        <v>1</v>
      </c>
      <c r="G3085" s="2" t="n">
        <v>1</v>
      </c>
      <c r="H3085" s="2" t="n">
        <v>1</v>
      </c>
      <c r="I3085" s="2" t="n">
        <v>0</v>
      </c>
    </row>
    <row r="3086">
      <c r="A3086" s="2" t="n">
        <v>3084</v>
      </c>
      <c r="B3086" s="2" t="inlineStr">
        <is>
          <t>insert</t>
        </is>
      </c>
      <c r="C3086" s="2" t="inlineStr">
        <is>
          <t>browser firefox147</t>
        </is>
      </c>
      <c r="D3086" s="2" t="n">
        <v>1915</v>
      </c>
      <c r="E3086" s="2" t="n">
        <v>1915</v>
      </c>
      <c r="F3086" s="2" t="n">
        <v>1</v>
      </c>
      <c r="G3086" s="2" t="n">
        <v>1</v>
      </c>
      <c r="H3086" s="2" t="n">
        <v>0</v>
      </c>
      <c r="I3086" s="2" t="n">
        <v>0</v>
      </c>
    </row>
    <row r="3087">
      <c r="A3087" s="2" t="n">
        <v>3085</v>
      </c>
      <c r="B3087" s="2" t="inlineStr">
        <is>
          <t>flip</t>
        </is>
      </c>
      <c r="C3087" s="2" t="inlineStr">
        <is>
          <t>openssl TLS 1.2 only</t>
        </is>
      </c>
      <c r="D3087" s="2" t="n">
        <v>215</v>
      </c>
      <c r="E3087" s="2" t="n">
        <v>215</v>
      </c>
      <c r="F3087" s="2" t="n">
        <v>0</v>
      </c>
      <c r="G3087" s="2" t="n">
        <v>0</v>
      </c>
      <c r="H3087" s="2" t="n">
        <v>0</v>
      </c>
      <c r="I3087" s="2" t="n">
        <v>0</v>
      </c>
    </row>
    <row r="3088">
      <c r="A3088" s="2" t="n">
        <v>3086</v>
      </c>
      <c r="B3088" s="2" t="inlineStr">
        <is>
          <t>truncate</t>
        </is>
      </c>
      <c r="C3088" s="2" t="inlineStr">
        <is>
          <t>openssl X25519 only (classical)</t>
        </is>
      </c>
      <c r="D3088" s="2" t="n">
        <v>127</v>
      </c>
      <c r="E3088" s="2" t="n">
        <v>127</v>
      </c>
      <c r="F3088" s="2" t="n">
        <v>1</v>
      </c>
      <c r="G3088" s="2" t="n">
        <v>0</v>
      </c>
      <c r="H3088" s="2" t="n">
        <v>0</v>
      </c>
      <c r="I3088" s="2" t="n">
        <v>0</v>
      </c>
    </row>
    <row r="3089">
      <c r="A3089" s="2" t="n">
        <v>3087</v>
      </c>
      <c r="B3089" s="2" t="inlineStr">
        <is>
          <t>length</t>
        </is>
      </c>
      <c r="C3089" s="2" t="inlineStr">
        <is>
          <t>openssl 3.5.8 default</t>
        </is>
      </c>
      <c r="D3089" s="2" t="n">
        <v>1548</v>
      </c>
      <c r="E3089" s="2" t="n">
        <v>1548</v>
      </c>
      <c r="F3089" s="2" t="n">
        <v>1</v>
      </c>
      <c r="G3089" s="2" t="n">
        <v>0</v>
      </c>
      <c r="H3089" s="2" t="n">
        <v>0</v>
      </c>
      <c r="I3089" s="2" t="n">
        <v>0</v>
      </c>
    </row>
    <row r="3090">
      <c r="A3090" s="2" t="n">
        <v>3088</v>
      </c>
      <c r="B3090" s="2" t="inlineStr">
        <is>
          <t>insert</t>
        </is>
      </c>
      <c r="C3090" s="2" t="inlineStr">
        <is>
          <t>openssl 3.5.8 default</t>
        </is>
      </c>
      <c r="D3090" s="2" t="n">
        <v>1560</v>
      </c>
      <c r="E3090" s="2" t="n">
        <v>1560</v>
      </c>
      <c r="F3090" s="2" t="n">
        <v>1</v>
      </c>
      <c r="G3090" s="2" t="n">
        <v>1</v>
      </c>
      <c r="H3090" s="2" t="n">
        <v>1</v>
      </c>
      <c r="I3090" s="2" t="n">
        <v>0</v>
      </c>
    </row>
    <row r="3091">
      <c r="A3091" s="2" t="n">
        <v>3089</v>
      </c>
      <c r="B3091" s="2" t="inlineStr">
        <is>
          <t>flip</t>
        </is>
      </c>
      <c r="C3091" s="2" t="inlineStr">
        <is>
          <t>openssl TLS 1.2 only</t>
        </is>
      </c>
      <c r="D3091" s="2" t="n">
        <v>215</v>
      </c>
      <c r="E3091" s="2" t="n">
        <v>215</v>
      </c>
      <c r="F3091" s="2" t="n">
        <v>1</v>
      </c>
      <c r="G3091" s="2" t="n">
        <v>1</v>
      </c>
      <c r="H3091" s="2" t="n">
        <v>0</v>
      </c>
      <c r="I3091" s="2" t="n">
        <v>0</v>
      </c>
    </row>
    <row r="3092">
      <c r="A3092" s="2" t="n">
        <v>3090</v>
      </c>
      <c r="B3092" s="2" t="inlineStr">
        <is>
          <t>truncate</t>
        </is>
      </c>
      <c r="C3092" s="2" t="inlineStr">
        <is>
          <t>browser chrome150</t>
        </is>
      </c>
      <c r="D3092" s="2" t="n">
        <v>826</v>
      </c>
      <c r="E3092" s="2" t="n">
        <v>826</v>
      </c>
      <c r="F3092" s="2" t="n">
        <v>1</v>
      </c>
      <c r="G3092" s="2" t="n">
        <v>1</v>
      </c>
      <c r="H3092" s="2" t="n">
        <v>1</v>
      </c>
      <c r="I3092" s="2" t="n">
        <v>0</v>
      </c>
    </row>
    <row r="3093">
      <c r="A3093" s="2" t="n">
        <v>3091</v>
      </c>
      <c r="B3093" s="2" t="inlineStr">
        <is>
          <t>length</t>
        </is>
      </c>
      <c r="C3093" s="2" t="inlineStr">
        <is>
          <t>openssl 3.5.8 default</t>
        </is>
      </c>
      <c r="D3093" s="2" t="n">
        <v>1548</v>
      </c>
      <c r="E3093" s="2" t="n">
        <v>1548</v>
      </c>
      <c r="F3093" s="2" t="n">
        <v>1</v>
      </c>
      <c r="G3093" s="2" t="n">
        <v>1</v>
      </c>
      <c r="H3093" s="2" t="n">
        <v>1</v>
      </c>
      <c r="I3093" s="2" t="n">
        <v>0</v>
      </c>
    </row>
    <row r="3094">
      <c r="A3094" s="2" t="n">
        <v>3092</v>
      </c>
      <c r="B3094" s="2" t="inlineStr">
        <is>
          <t>insert</t>
        </is>
      </c>
      <c r="C3094" s="2" t="inlineStr">
        <is>
          <t>openssl 3.5.8 default</t>
        </is>
      </c>
      <c r="D3094" s="2" t="n">
        <v>1562</v>
      </c>
      <c r="E3094" s="2" t="n">
        <v>1562</v>
      </c>
      <c r="F3094" s="2" t="n">
        <v>0</v>
      </c>
      <c r="G3094" s="2" t="n">
        <v>0</v>
      </c>
      <c r="H3094" s="2" t="n">
        <v>0</v>
      </c>
      <c r="I3094" s="2" t="n">
        <v>0</v>
      </c>
    </row>
    <row r="3095">
      <c r="A3095" s="2" t="n">
        <v>3093</v>
      </c>
      <c r="B3095" s="2" t="inlineStr">
        <is>
          <t>flip</t>
        </is>
      </c>
      <c r="C3095" s="2" t="inlineStr">
        <is>
          <t>openssl 3.5.8 default</t>
        </is>
      </c>
      <c r="D3095" s="2" t="n">
        <v>1548</v>
      </c>
      <c r="E3095" s="2" t="n">
        <v>1548</v>
      </c>
      <c r="F3095" s="2" t="n">
        <v>1</v>
      </c>
      <c r="G3095" s="2" t="n">
        <v>1</v>
      </c>
      <c r="H3095" s="2" t="n">
        <v>1</v>
      </c>
      <c r="I3095" s="2" t="n">
        <v>0</v>
      </c>
    </row>
    <row r="3096">
      <c r="A3096" s="2" t="n">
        <v>3094</v>
      </c>
      <c r="B3096" s="2" t="inlineStr">
        <is>
          <t>truncate</t>
        </is>
      </c>
      <c r="C3096" s="2" t="inlineStr">
        <is>
          <t>openssl X25519 only (classical)</t>
        </is>
      </c>
      <c r="D3096" s="2" t="n">
        <v>65</v>
      </c>
      <c r="E3096" s="2" t="n">
        <v>65</v>
      </c>
      <c r="F3096" s="2" t="n">
        <v>1</v>
      </c>
      <c r="G3096" s="2" t="n">
        <v>0</v>
      </c>
      <c r="H3096" s="2" t="n">
        <v>0</v>
      </c>
      <c r="I3096" s="2" t="n">
        <v>0</v>
      </c>
    </row>
    <row r="3097">
      <c r="A3097" s="2" t="n">
        <v>3095</v>
      </c>
      <c r="B3097" s="2" t="inlineStr">
        <is>
          <t>length</t>
        </is>
      </c>
      <c r="C3097" s="2" t="inlineStr">
        <is>
          <t>openssl X25519 only (classical)</t>
        </is>
      </c>
      <c r="D3097" s="2" t="n">
        <v>314</v>
      </c>
      <c r="E3097" s="2" t="n">
        <v>314</v>
      </c>
      <c r="F3097" s="2" t="n">
        <v>1</v>
      </c>
      <c r="G3097" s="2" t="n">
        <v>1</v>
      </c>
      <c r="H3097" s="2" t="n">
        <v>1</v>
      </c>
      <c r="I3097" s="2" t="n">
        <v>0</v>
      </c>
    </row>
    <row r="3098">
      <c r="A3098" s="2" t="n">
        <v>3096</v>
      </c>
      <c r="B3098" s="2" t="inlineStr">
        <is>
          <t>insert</t>
        </is>
      </c>
      <c r="C3098" s="2" t="inlineStr">
        <is>
          <t>openssl TLS 1.2 only</t>
        </is>
      </c>
      <c r="D3098" s="2" t="n">
        <v>224</v>
      </c>
      <c r="E3098" s="2" t="n">
        <v>224</v>
      </c>
      <c r="F3098" s="2" t="n">
        <v>1</v>
      </c>
      <c r="G3098" s="2" t="n">
        <v>0</v>
      </c>
      <c r="H3098" s="2" t="n">
        <v>0</v>
      </c>
      <c r="I3098" s="2" t="n">
        <v>0</v>
      </c>
    </row>
    <row r="3099">
      <c r="A3099" s="2" t="n">
        <v>3097</v>
      </c>
      <c r="B3099" s="2" t="inlineStr">
        <is>
          <t>flip</t>
        </is>
      </c>
      <c r="C3099" s="2" t="inlineStr">
        <is>
          <t>openssl TLS 1.2 only</t>
        </is>
      </c>
      <c r="D3099" s="2" t="n">
        <v>215</v>
      </c>
      <c r="E3099" s="2" t="n">
        <v>215</v>
      </c>
      <c r="F3099" s="2" t="n">
        <v>1</v>
      </c>
      <c r="G3099" s="2" t="n">
        <v>1</v>
      </c>
      <c r="H3099" s="2" t="n">
        <v>1</v>
      </c>
      <c r="I3099" s="2" t="n">
        <v>0</v>
      </c>
    </row>
    <row r="3100">
      <c r="A3100" s="2" t="n">
        <v>3098</v>
      </c>
      <c r="B3100" s="2" t="inlineStr">
        <is>
          <t>truncate</t>
        </is>
      </c>
      <c r="C3100" s="2" t="inlineStr">
        <is>
          <t>openssl X25519 only (classical)</t>
        </is>
      </c>
      <c r="D3100" s="2" t="n">
        <v>188</v>
      </c>
      <c r="E3100" s="2" t="n">
        <v>188</v>
      </c>
      <c r="F3100" s="2" t="n">
        <v>1</v>
      </c>
      <c r="G3100" s="2" t="n">
        <v>1</v>
      </c>
      <c r="H3100" s="2" t="n">
        <v>0</v>
      </c>
      <c r="I3100" s="2" t="n">
        <v>0</v>
      </c>
    </row>
    <row r="3101">
      <c r="A3101" s="2" t="n">
        <v>3099</v>
      </c>
      <c r="B3101" s="2" t="inlineStr">
        <is>
          <t>length</t>
        </is>
      </c>
      <c r="C3101" s="2" t="inlineStr">
        <is>
          <t>browser firefox147</t>
        </is>
      </c>
      <c r="D3101" s="2" t="n">
        <v>1901</v>
      </c>
      <c r="E3101" s="2" t="n">
        <v>1901</v>
      </c>
      <c r="F3101" s="2" t="n">
        <v>1</v>
      </c>
      <c r="G3101" s="2" t="n">
        <v>1</v>
      </c>
      <c r="H3101" s="2" t="n">
        <v>0</v>
      </c>
      <c r="I3101" s="2" t="n">
        <v>0</v>
      </c>
    </row>
    <row r="3102">
      <c r="A3102" s="2" t="n">
        <v>3100</v>
      </c>
      <c r="B3102" s="2" t="inlineStr">
        <is>
          <t>insert</t>
        </is>
      </c>
      <c r="C3102" s="2" t="inlineStr">
        <is>
          <t>openssl 3.5.8 default</t>
        </is>
      </c>
      <c r="D3102" s="2" t="n">
        <v>1553</v>
      </c>
      <c r="E3102" s="2" t="n">
        <v>1553</v>
      </c>
      <c r="F3102" s="2" t="n">
        <v>1</v>
      </c>
      <c r="G3102" s="2" t="n">
        <v>1</v>
      </c>
      <c r="H3102" s="2" t="n">
        <v>0</v>
      </c>
      <c r="I3102" s="2" t="n">
        <v>0</v>
      </c>
    </row>
    <row r="3103">
      <c r="A3103" s="2" t="n">
        <v>3101</v>
      </c>
      <c r="B3103" s="2" t="inlineStr">
        <is>
          <t>flip</t>
        </is>
      </c>
      <c r="C3103" s="2" t="inlineStr">
        <is>
          <t>openssl TLS 1.2 only</t>
        </is>
      </c>
      <c r="D3103" s="2" t="n">
        <v>215</v>
      </c>
      <c r="E3103" s="2" t="n">
        <v>215</v>
      </c>
      <c r="F3103" s="2" t="n">
        <v>1</v>
      </c>
      <c r="G3103" s="2" t="n">
        <v>1</v>
      </c>
      <c r="H3103" s="2" t="n">
        <v>1</v>
      </c>
      <c r="I3103" s="2" t="n">
        <v>0</v>
      </c>
    </row>
    <row r="3104">
      <c r="A3104" s="2" t="n">
        <v>3102</v>
      </c>
      <c r="B3104" s="2" t="inlineStr">
        <is>
          <t>truncate</t>
        </is>
      </c>
      <c r="C3104" s="2" t="inlineStr">
        <is>
          <t>openssl TLS 1.2 only</t>
        </is>
      </c>
      <c r="D3104" s="2" t="n">
        <v>40</v>
      </c>
      <c r="E3104" s="2" t="n">
        <v>40</v>
      </c>
      <c r="F3104" s="2" t="n">
        <v>1</v>
      </c>
      <c r="G3104" s="2" t="n">
        <v>0</v>
      </c>
      <c r="H3104" s="2" t="n">
        <v>0</v>
      </c>
      <c r="I3104" s="2" t="n">
        <v>0</v>
      </c>
    </row>
    <row r="3105">
      <c r="A3105" s="2" t="n">
        <v>3103</v>
      </c>
      <c r="B3105" s="2" t="inlineStr">
        <is>
          <t>length</t>
        </is>
      </c>
      <c r="C3105" s="2" t="inlineStr">
        <is>
          <t>openssl 3.5.8 default</t>
        </is>
      </c>
      <c r="D3105" s="2" t="n">
        <v>1548</v>
      </c>
      <c r="E3105" s="2" t="n">
        <v>1548</v>
      </c>
      <c r="F3105" s="2" t="n">
        <v>1</v>
      </c>
      <c r="G3105" s="2" t="n">
        <v>0</v>
      </c>
      <c r="H3105" s="2" t="n">
        <v>0</v>
      </c>
      <c r="I3105" s="2" t="n">
        <v>0</v>
      </c>
    </row>
    <row r="3106">
      <c r="A3106" s="2" t="n">
        <v>3104</v>
      </c>
      <c r="B3106" s="2" t="inlineStr">
        <is>
          <t>insert</t>
        </is>
      </c>
      <c r="C3106" s="2" t="inlineStr">
        <is>
          <t>openssl TLS 1.2 only</t>
        </is>
      </c>
      <c r="D3106" s="2" t="n">
        <v>228</v>
      </c>
      <c r="E3106" s="2" t="n">
        <v>228</v>
      </c>
      <c r="F3106" s="2" t="n">
        <v>1</v>
      </c>
      <c r="G3106" s="2" t="n">
        <v>1</v>
      </c>
      <c r="H3106" s="2" t="n">
        <v>1</v>
      </c>
      <c r="I3106" s="2" t="n">
        <v>0</v>
      </c>
    </row>
    <row r="3107">
      <c r="A3107" s="2" t="n">
        <v>3105</v>
      </c>
      <c r="B3107" s="2" t="inlineStr">
        <is>
          <t>flip</t>
        </is>
      </c>
      <c r="C3107" s="2" t="inlineStr">
        <is>
          <t>openssl 3.5.8 default</t>
        </is>
      </c>
      <c r="D3107" s="2" t="n">
        <v>1548</v>
      </c>
      <c r="E3107" s="2" t="n">
        <v>1548</v>
      </c>
      <c r="F3107" s="2" t="n">
        <v>1</v>
      </c>
      <c r="G3107" s="2" t="n">
        <v>1</v>
      </c>
      <c r="H3107" s="2" t="n">
        <v>1</v>
      </c>
      <c r="I3107" s="2" t="n">
        <v>0</v>
      </c>
    </row>
    <row r="3108">
      <c r="A3108" s="2" t="n">
        <v>3106</v>
      </c>
      <c r="B3108" s="2" t="inlineStr">
        <is>
          <t>truncate</t>
        </is>
      </c>
      <c r="C3108" s="2" t="inlineStr">
        <is>
          <t>openssl 3.5.8 default</t>
        </is>
      </c>
      <c r="D3108" s="2" t="n">
        <v>1151</v>
      </c>
      <c r="E3108" s="2" t="n">
        <v>1151</v>
      </c>
      <c r="F3108" s="2" t="n">
        <v>1</v>
      </c>
      <c r="G3108" s="2" t="n">
        <v>1</v>
      </c>
      <c r="H3108" s="2" t="n">
        <v>1</v>
      </c>
      <c r="I3108" s="2" t="n">
        <v>0</v>
      </c>
    </row>
    <row r="3109">
      <c r="A3109" s="2" t="n">
        <v>3107</v>
      </c>
      <c r="B3109" s="2" t="inlineStr">
        <is>
          <t>length</t>
        </is>
      </c>
      <c r="C3109" s="2" t="inlineStr">
        <is>
          <t>openssl TLS 1.2 only</t>
        </is>
      </c>
      <c r="D3109" s="2" t="n">
        <v>215</v>
      </c>
      <c r="E3109" s="2" t="n">
        <v>215</v>
      </c>
      <c r="F3109" s="2" t="n">
        <v>0</v>
      </c>
      <c r="G3109" s="2" t="n">
        <v>0</v>
      </c>
      <c r="H3109" s="2" t="n">
        <v>0</v>
      </c>
      <c r="I3109" s="2" t="n">
        <v>0</v>
      </c>
    </row>
    <row r="3110">
      <c r="A3110" s="2" t="n">
        <v>3108</v>
      </c>
      <c r="B3110" s="2" t="inlineStr">
        <is>
          <t>insert</t>
        </is>
      </c>
      <c r="C3110" s="2" t="inlineStr">
        <is>
          <t>openssl 3.5.8 default</t>
        </is>
      </c>
      <c r="D3110" s="2" t="n">
        <v>1550</v>
      </c>
      <c r="E3110" s="2" t="n">
        <v>1550</v>
      </c>
      <c r="F3110" s="2" t="n">
        <v>1</v>
      </c>
      <c r="G3110" s="2" t="n">
        <v>1</v>
      </c>
      <c r="H3110" s="2" t="n">
        <v>1</v>
      </c>
      <c r="I3110" s="2" t="n">
        <v>0</v>
      </c>
    </row>
    <row r="3111">
      <c r="A3111" s="2" t="n">
        <v>3109</v>
      </c>
      <c r="B3111" s="2" t="inlineStr">
        <is>
          <t>flip</t>
        </is>
      </c>
      <c r="C3111" s="2" t="inlineStr">
        <is>
          <t>browser firefox147</t>
        </is>
      </c>
      <c r="D3111" s="2" t="n">
        <v>1901</v>
      </c>
      <c r="E3111" s="2" t="n">
        <v>1901</v>
      </c>
      <c r="F3111" s="2" t="n">
        <v>1</v>
      </c>
      <c r="G3111" s="2" t="n">
        <v>1</v>
      </c>
      <c r="H3111" s="2" t="n">
        <v>0</v>
      </c>
      <c r="I3111" s="2" t="n">
        <v>0</v>
      </c>
    </row>
    <row r="3112">
      <c r="A3112" s="2" t="n">
        <v>3110</v>
      </c>
      <c r="B3112" s="2" t="inlineStr">
        <is>
          <t>truncate</t>
        </is>
      </c>
      <c r="C3112" s="2" t="inlineStr">
        <is>
          <t>browser firefox147</t>
        </is>
      </c>
      <c r="D3112" s="2" t="n">
        <v>1760</v>
      </c>
      <c r="E3112" s="2" t="n">
        <v>1760</v>
      </c>
      <c r="F3112" s="2" t="n">
        <v>1</v>
      </c>
      <c r="G3112" s="2" t="n">
        <v>1</v>
      </c>
      <c r="H3112" s="2" t="n">
        <v>0</v>
      </c>
      <c r="I3112" s="2" t="n">
        <v>0</v>
      </c>
    </row>
    <row r="3113">
      <c r="A3113" s="2" t="n">
        <v>3111</v>
      </c>
      <c r="B3113" s="2" t="inlineStr">
        <is>
          <t>length</t>
        </is>
      </c>
      <c r="C3113" s="2" t="inlineStr">
        <is>
          <t>openssl 3.5.8 default</t>
        </is>
      </c>
      <c r="D3113" s="2" t="n">
        <v>1548</v>
      </c>
      <c r="E3113" s="2" t="n">
        <v>1548</v>
      </c>
      <c r="F3113" s="2" t="n">
        <v>1</v>
      </c>
      <c r="G3113" s="2" t="n">
        <v>0</v>
      </c>
      <c r="H3113" s="2" t="n">
        <v>0</v>
      </c>
      <c r="I3113" s="2" t="n">
        <v>0</v>
      </c>
    </row>
    <row r="3114">
      <c r="A3114" s="2" t="n">
        <v>3112</v>
      </c>
      <c r="B3114" s="2" t="inlineStr">
        <is>
          <t>insert</t>
        </is>
      </c>
      <c r="C3114" s="2" t="inlineStr">
        <is>
          <t>openssl TLS 1.2 only</t>
        </is>
      </c>
      <c r="D3114" s="2" t="n">
        <v>229</v>
      </c>
      <c r="E3114" s="2" t="n">
        <v>229</v>
      </c>
      <c r="F3114" s="2" t="n">
        <v>1</v>
      </c>
      <c r="G3114" s="2" t="n">
        <v>1</v>
      </c>
      <c r="H3114" s="2" t="n">
        <v>1</v>
      </c>
      <c r="I3114" s="2" t="n">
        <v>0</v>
      </c>
    </row>
    <row r="3115">
      <c r="A3115" s="2" t="n">
        <v>3113</v>
      </c>
      <c r="B3115" s="2" t="inlineStr">
        <is>
          <t>flip</t>
        </is>
      </c>
      <c r="C3115" s="2" t="inlineStr">
        <is>
          <t>openssl X25519 only (classical)</t>
        </is>
      </c>
      <c r="D3115" s="2" t="n">
        <v>314</v>
      </c>
      <c r="E3115" s="2" t="n">
        <v>314</v>
      </c>
      <c r="F3115" s="2" t="n">
        <v>0</v>
      </c>
      <c r="G3115" s="2" t="n">
        <v>0</v>
      </c>
      <c r="H3115" s="2" t="n">
        <v>0</v>
      </c>
      <c r="I3115" s="2" t="n">
        <v>0</v>
      </c>
    </row>
    <row r="3116">
      <c r="A3116" s="2" t="n">
        <v>3114</v>
      </c>
      <c r="B3116" s="2" t="inlineStr">
        <is>
          <t>truncate</t>
        </is>
      </c>
      <c r="C3116" s="2" t="inlineStr">
        <is>
          <t>browser chrome150</t>
        </is>
      </c>
      <c r="D3116" s="2" t="n">
        <v>541</v>
      </c>
      <c r="E3116" s="2" t="n">
        <v>541</v>
      </c>
      <c r="F3116" s="2" t="n">
        <v>1</v>
      </c>
      <c r="G3116" s="2" t="n">
        <v>1</v>
      </c>
      <c r="H3116" s="2" t="n">
        <v>1</v>
      </c>
      <c r="I3116" s="2" t="n">
        <v>0</v>
      </c>
    </row>
    <row r="3117">
      <c r="A3117" s="2" t="n">
        <v>3115</v>
      </c>
      <c r="B3117" s="2" t="inlineStr">
        <is>
          <t>length</t>
        </is>
      </c>
      <c r="C3117" s="2" t="inlineStr">
        <is>
          <t>browser firefox147</t>
        </is>
      </c>
      <c r="D3117" s="2" t="n">
        <v>1901</v>
      </c>
      <c r="E3117" s="2" t="n">
        <v>1901</v>
      </c>
      <c r="F3117" s="2" t="n">
        <v>1</v>
      </c>
      <c r="G3117" s="2" t="n">
        <v>1</v>
      </c>
      <c r="H3117" s="2" t="n">
        <v>0</v>
      </c>
      <c r="I3117" s="2" t="n">
        <v>0</v>
      </c>
    </row>
    <row r="3118">
      <c r="A3118" s="2" t="n">
        <v>3116</v>
      </c>
      <c r="B3118" s="2" t="inlineStr">
        <is>
          <t>insert</t>
        </is>
      </c>
      <c r="C3118" s="2" t="inlineStr">
        <is>
          <t>browser firefox147</t>
        </is>
      </c>
      <c r="D3118" s="2" t="n">
        <v>1902</v>
      </c>
      <c r="E3118" s="2" t="n">
        <v>1902</v>
      </c>
      <c r="F3118" s="2" t="n">
        <v>1</v>
      </c>
      <c r="G3118" s="2" t="n">
        <v>1</v>
      </c>
      <c r="H3118" s="2" t="n">
        <v>0</v>
      </c>
      <c r="I3118" s="2" t="n">
        <v>0</v>
      </c>
    </row>
    <row r="3119">
      <c r="A3119" s="2" t="n">
        <v>3117</v>
      </c>
      <c r="B3119" s="2" t="inlineStr">
        <is>
          <t>flip</t>
        </is>
      </c>
      <c r="C3119" s="2" t="inlineStr">
        <is>
          <t>browser chrome150</t>
        </is>
      </c>
      <c r="D3119" s="2" t="n">
        <v>1763</v>
      </c>
      <c r="E3119" s="2" t="n">
        <v>1763</v>
      </c>
      <c r="F3119" s="2" t="n">
        <v>1</v>
      </c>
      <c r="G3119" s="2" t="n">
        <v>1</v>
      </c>
      <c r="H3119" s="2" t="n">
        <v>1</v>
      </c>
      <c r="I3119" s="2" t="n">
        <v>0</v>
      </c>
    </row>
    <row r="3120">
      <c r="A3120" s="2" t="n">
        <v>3118</v>
      </c>
      <c r="B3120" s="2" t="inlineStr">
        <is>
          <t>truncate</t>
        </is>
      </c>
      <c r="C3120" s="2" t="inlineStr">
        <is>
          <t>openssl X25519 only (classical)</t>
        </is>
      </c>
      <c r="D3120" s="2" t="n">
        <v>196</v>
      </c>
      <c r="E3120" s="2" t="n">
        <v>196</v>
      </c>
      <c r="F3120" s="2" t="n">
        <v>1</v>
      </c>
      <c r="G3120" s="2" t="n">
        <v>1</v>
      </c>
      <c r="H3120" s="2" t="n">
        <v>0</v>
      </c>
      <c r="I3120" s="2" t="n">
        <v>0</v>
      </c>
    </row>
    <row r="3121">
      <c r="A3121" s="2" t="n">
        <v>3119</v>
      </c>
      <c r="B3121" s="2" t="inlineStr">
        <is>
          <t>length</t>
        </is>
      </c>
      <c r="C3121" s="2" t="inlineStr">
        <is>
          <t>openssl TLS 1.2 only</t>
        </is>
      </c>
      <c r="D3121" s="2" t="n">
        <v>215</v>
      </c>
      <c r="E3121" s="2" t="n">
        <v>215</v>
      </c>
      <c r="F3121" s="2" t="n">
        <v>1</v>
      </c>
      <c r="G3121" s="2" t="n">
        <v>1</v>
      </c>
      <c r="H3121" s="2" t="n">
        <v>0</v>
      </c>
      <c r="I3121" s="2" t="n">
        <v>0</v>
      </c>
    </row>
    <row r="3122">
      <c r="A3122" s="2" t="n">
        <v>3120</v>
      </c>
      <c r="B3122" s="2" t="inlineStr">
        <is>
          <t>insert</t>
        </is>
      </c>
      <c r="C3122" s="2" t="inlineStr">
        <is>
          <t>openssl TLS 1.2 only</t>
        </is>
      </c>
      <c r="D3122" s="2" t="n">
        <v>229</v>
      </c>
      <c r="E3122" s="2" t="n">
        <v>229</v>
      </c>
      <c r="F3122" s="2" t="n">
        <v>1</v>
      </c>
      <c r="G3122" s="2" t="n">
        <v>1</v>
      </c>
      <c r="H3122" s="2" t="n">
        <v>0</v>
      </c>
      <c r="I3122" s="2" t="n">
        <v>0</v>
      </c>
    </row>
    <row r="3123">
      <c r="A3123" s="2" t="n">
        <v>3121</v>
      </c>
      <c r="B3123" s="2" t="inlineStr">
        <is>
          <t>flip</t>
        </is>
      </c>
      <c r="C3123" s="2" t="inlineStr">
        <is>
          <t>openssl X25519 only (classical)</t>
        </is>
      </c>
      <c r="D3123" s="2" t="n">
        <v>314</v>
      </c>
      <c r="E3123" s="2" t="n">
        <v>314</v>
      </c>
      <c r="F3123" s="2" t="n">
        <v>0</v>
      </c>
      <c r="G3123" s="2" t="n">
        <v>0</v>
      </c>
      <c r="H3123" s="2" t="n">
        <v>0</v>
      </c>
      <c r="I3123" s="2" t="n">
        <v>0</v>
      </c>
    </row>
    <row r="3124">
      <c r="A3124" s="2" t="n">
        <v>3122</v>
      </c>
      <c r="B3124" s="2" t="inlineStr">
        <is>
          <t>truncate</t>
        </is>
      </c>
      <c r="C3124" s="2" t="inlineStr">
        <is>
          <t>openssl TLS 1.2 only</t>
        </is>
      </c>
      <c r="D3124" s="2" t="n">
        <v>66</v>
      </c>
      <c r="E3124" s="2" t="n">
        <v>66</v>
      </c>
      <c r="F3124" s="2" t="n">
        <v>1</v>
      </c>
      <c r="G3124" s="2" t="n">
        <v>0</v>
      </c>
      <c r="H3124" s="2" t="n">
        <v>0</v>
      </c>
      <c r="I3124" s="2" t="n">
        <v>0</v>
      </c>
    </row>
    <row r="3125">
      <c r="A3125" s="2" t="n">
        <v>3123</v>
      </c>
      <c r="B3125" s="2" t="inlineStr">
        <is>
          <t>length</t>
        </is>
      </c>
      <c r="C3125" s="2" t="inlineStr">
        <is>
          <t>browser firefox147</t>
        </is>
      </c>
      <c r="D3125" s="2" t="n">
        <v>1901</v>
      </c>
      <c r="E3125" s="2" t="n">
        <v>1901</v>
      </c>
      <c r="F3125" s="2" t="n">
        <v>1</v>
      </c>
      <c r="G3125" s="2" t="n">
        <v>0</v>
      </c>
      <c r="H3125" s="2" t="n">
        <v>0</v>
      </c>
      <c r="I3125" s="2" t="n">
        <v>0</v>
      </c>
    </row>
    <row r="3126">
      <c r="A3126" s="2" t="n">
        <v>3124</v>
      </c>
      <c r="B3126" s="2" t="inlineStr">
        <is>
          <t>insert</t>
        </is>
      </c>
      <c r="C3126" s="2" t="inlineStr">
        <is>
          <t>openssl TLS 1.2 only</t>
        </is>
      </c>
      <c r="D3126" s="2" t="n">
        <v>227</v>
      </c>
      <c r="E3126" s="2" t="n">
        <v>227</v>
      </c>
      <c r="F3126" s="2" t="n">
        <v>1</v>
      </c>
      <c r="G3126" s="2" t="n">
        <v>0</v>
      </c>
      <c r="H3126" s="2" t="n">
        <v>0</v>
      </c>
      <c r="I3126" s="2" t="n">
        <v>0</v>
      </c>
    </row>
    <row r="3127">
      <c r="A3127" s="2" t="n">
        <v>3125</v>
      </c>
      <c r="B3127" s="2" t="inlineStr">
        <is>
          <t>flip</t>
        </is>
      </c>
      <c r="C3127" s="2" t="inlineStr">
        <is>
          <t>openssl 3.5.8 default</t>
        </is>
      </c>
      <c r="D3127" s="2" t="n">
        <v>1548</v>
      </c>
      <c r="E3127" s="2" t="n">
        <v>1548</v>
      </c>
      <c r="F3127" s="2" t="n">
        <v>1</v>
      </c>
      <c r="G3127" s="2" t="n">
        <v>1</v>
      </c>
      <c r="H3127" s="2" t="n">
        <v>1</v>
      </c>
      <c r="I3127" s="2" t="n">
        <v>0</v>
      </c>
    </row>
    <row r="3128">
      <c r="A3128" s="2" t="n">
        <v>3126</v>
      </c>
      <c r="B3128" s="2" t="inlineStr">
        <is>
          <t>truncate</t>
        </is>
      </c>
      <c r="C3128" s="2" t="inlineStr">
        <is>
          <t>openssl 3.5.8 default</t>
        </is>
      </c>
      <c r="D3128" s="2" t="n">
        <v>1153</v>
      </c>
      <c r="E3128" s="2" t="n">
        <v>1153</v>
      </c>
      <c r="F3128" s="2" t="n">
        <v>1</v>
      </c>
      <c r="G3128" s="2" t="n">
        <v>1</v>
      </c>
      <c r="H3128" s="2" t="n">
        <v>1</v>
      </c>
      <c r="I3128" s="2" t="n">
        <v>0</v>
      </c>
    </row>
    <row r="3129">
      <c r="A3129" s="2" t="n">
        <v>3127</v>
      </c>
      <c r="B3129" s="2" t="inlineStr">
        <is>
          <t>length</t>
        </is>
      </c>
      <c r="C3129" s="2" t="inlineStr">
        <is>
          <t>browser chrome150</t>
        </is>
      </c>
      <c r="D3129" s="2" t="n">
        <v>1763</v>
      </c>
      <c r="E3129" s="2" t="n">
        <v>1763</v>
      </c>
      <c r="F3129" s="2" t="n">
        <v>0</v>
      </c>
      <c r="G3129" s="2" t="n">
        <v>0</v>
      </c>
      <c r="H3129" s="2" t="n">
        <v>0</v>
      </c>
      <c r="I3129" s="2" t="n">
        <v>0</v>
      </c>
    </row>
    <row r="3130">
      <c r="A3130" s="2" t="n">
        <v>3128</v>
      </c>
      <c r="B3130" s="2" t="inlineStr">
        <is>
          <t>insert</t>
        </is>
      </c>
      <c r="C3130" s="2" t="inlineStr">
        <is>
          <t>browser chrome150</t>
        </is>
      </c>
      <c r="D3130" s="2" t="n">
        <v>1770</v>
      </c>
      <c r="E3130" s="2" t="n">
        <v>1770</v>
      </c>
      <c r="F3130" s="2" t="n">
        <v>1</v>
      </c>
      <c r="G3130" s="2" t="n">
        <v>1</v>
      </c>
      <c r="H3130" s="2" t="n">
        <v>1</v>
      </c>
      <c r="I3130" s="2" t="n">
        <v>0</v>
      </c>
    </row>
    <row r="3131">
      <c r="A3131" s="2" t="n">
        <v>3129</v>
      </c>
      <c r="B3131" s="2" t="inlineStr">
        <is>
          <t>flip</t>
        </is>
      </c>
      <c r="C3131" s="2" t="inlineStr">
        <is>
          <t>browser firefox147</t>
        </is>
      </c>
      <c r="D3131" s="2" t="n">
        <v>1901</v>
      </c>
      <c r="E3131" s="2" t="n">
        <v>1901</v>
      </c>
      <c r="F3131" s="2" t="n">
        <v>1</v>
      </c>
      <c r="G3131" s="2" t="n">
        <v>1</v>
      </c>
      <c r="H3131" s="2" t="n">
        <v>0</v>
      </c>
      <c r="I3131" s="2" t="n">
        <v>0</v>
      </c>
    </row>
    <row r="3132">
      <c r="A3132" s="2" t="n">
        <v>3130</v>
      </c>
      <c r="B3132" s="2" t="inlineStr">
        <is>
          <t>truncate</t>
        </is>
      </c>
      <c r="C3132" s="2" t="inlineStr">
        <is>
          <t>browser firefox147</t>
        </is>
      </c>
      <c r="D3132" s="2" t="n">
        <v>293</v>
      </c>
      <c r="E3132" s="2" t="n">
        <v>293</v>
      </c>
      <c r="F3132" s="2" t="n">
        <v>1</v>
      </c>
      <c r="G3132" s="2" t="n">
        <v>1</v>
      </c>
      <c r="H3132" s="2" t="n">
        <v>0</v>
      </c>
      <c r="I3132" s="2" t="n">
        <v>0</v>
      </c>
    </row>
    <row r="3133">
      <c r="A3133" s="2" t="n">
        <v>3131</v>
      </c>
      <c r="B3133" s="2" t="inlineStr">
        <is>
          <t>length</t>
        </is>
      </c>
      <c r="C3133" s="2" t="inlineStr">
        <is>
          <t>openssl 3.5.8 default</t>
        </is>
      </c>
      <c r="D3133" s="2" t="n">
        <v>1548</v>
      </c>
      <c r="E3133" s="2" t="n">
        <v>1548</v>
      </c>
      <c r="F3133" s="2" t="n">
        <v>1</v>
      </c>
      <c r="G3133" s="2" t="n">
        <v>1</v>
      </c>
      <c r="H3133" s="2" t="n">
        <v>1</v>
      </c>
      <c r="I3133" s="2" t="n">
        <v>0</v>
      </c>
    </row>
    <row r="3134">
      <c r="A3134" s="2" t="n">
        <v>3132</v>
      </c>
      <c r="B3134" s="2" t="inlineStr">
        <is>
          <t>insert</t>
        </is>
      </c>
      <c r="C3134" s="2" t="inlineStr">
        <is>
          <t>openssl X25519 only (classical)</t>
        </is>
      </c>
      <c r="D3134" s="2" t="n">
        <v>326</v>
      </c>
      <c r="E3134" s="2" t="n">
        <v>326</v>
      </c>
      <c r="F3134" s="2" t="n">
        <v>0</v>
      </c>
      <c r="G3134" s="2" t="n">
        <v>0</v>
      </c>
      <c r="H3134" s="2" t="n">
        <v>0</v>
      </c>
      <c r="I3134" s="2" t="n">
        <v>0</v>
      </c>
    </row>
    <row r="3135">
      <c r="A3135" s="2" t="n">
        <v>3133</v>
      </c>
      <c r="B3135" s="2" t="inlineStr">
        <is>
          <t>flip</t>
        </is>
      </c>
      <c r="C3135" s="2" t="inlineStr">
        <is>
          <t>openssl X25519 only (classical)</t>
        </is>
      </c>
      <c r="D3135" s="2" t="n">
        <v>314</v>
      </c>
      <c r="E3135" s="2" t="n">
        <v>314</v>
      </c>
      <c r="F3135" s="2" t="n">
        <v>1</v>
      </c>
      <c r="G3135" s="2" t="n">
        <v>1</v>
      </c>
      <c r="H3135" s="2" t="n">
        <v>1</v>
      </c>
      <c r="I3135" s="2" t="n">
        <v>0</v>
      </c>
    </row>
    <row r="3136">
      <c r="A3136" s="2" t="n">
        <v>3134</v>
      </c>
      <c r="B3136" s="2" t="inlineStr">
        <is>
          <t>truncate</t>
        </is>
      </c>
      <c r="C3136" s="2" t="inlineStr">
        <is>
          <t>browser chrome150</t>
        </is>
      </c>
      <c r="D3136" s="2" t="n">
        <v>394</v>
      </c>
      <c r="E3136" s="2" t="n">
        <v>394</v>
      </c>
      <c r="F3136" s="2" t="n">
        <v>1</v>
      </c>
      <c r="G3136" s="2" t="n">
        <v>1</v>
      </c>
      <c r="H3136" s="2" t="n">
        <v>1</v>
      </c>
      <c r="I3136" s="2" t="n">
        <v>0</v>
      </c>
    </row>
    <row r="3137">
      <c r="A3137" s="2" t="n">
        <v>3135</v>
      </c>
      <c r="B3137" s="2" t="inlineStr">
        <is>
          <t>length</t>
        </is>
      </c>
      <c r="C3137" s="2" t="inlineStr">
        <is>
          <t>openssl TLS 1.2 only</t>
        </is>
      </c>
      <c r="D3137" s="2" t="n">
        <v>215</v>
      </c>
      <c r="E3137" s="2" t="n">
        <v>215</v>
      </c>
      <c r="F3137" s="2" t="n">
        <v>1</v>
      </c>
      <c r="G3137" s="2" t="n">
        <v>1</v>
      </c>
      <c r="H3137" s="2" t="n">
        <v>0</v>
      </c>
      <c r="I3137" s="2" t="n">
        <v>0</v>
      </c>
    </row>
    <row r="3138">
      <c r="A3138" s="2" t="n">
        <v>3136</v>
      </c>
      <c r="B3138" s="2" t="inlineStr">
        <is>
          <t>insert</t>
        </is>
      </c>
      <c r="C3138" s="2" t="inlineStr">
        <is>
          <t>browser firefox147</t>
        </is>
      </c>
      <c r="D3138" s="2" t="n">
        <v>1915</v>
      </c>
      <c r="E3138" s="2" t="n">
        <v>1915</v>
      </c>
      <c r="F3138" s="2" t="n">
        <v>1</v>
      </c>
      <c r="G3138" s="2" t="n">
        <v>1</v>
      </c>
      <c r="H3138" s="2" t="n">
        <v>0</v>
      </c>
      <c r="I3138" s="2" t="n">
        <v>0</v>
      </c>
    </row>
    <row r="3139">
      <c r="A3139" s="2" t="n">
        <v>3137</v>
      </c>
      <c r="B3139" s="2" t="inlineStr">
        <is>
          <t>flip</t>
        </is>
      </c>
      <c r="C3139" s="2" t="inlineStr">
        <is>
          <t>browser firefox147</t>
        </is>
      </c>
      <c r="D3139" s="2" t="n">
        <v>1901</v>
      </c>
      <c r="E3139" s="2" t="n">
        <v>1901</v>
      </c>
      <c r="F3139" s="2" t="n">
        <v>1</v>
      </c>
      <c r="G3139" s="2" t="n">
        <v>1</v>
      </c>
      <c r="H3139" s="2" t="n">
        <v>0</v>
      </c>
      <c r="I3139" s="2" t="n">
        <v>0</v>
      </c>
    </row>
    <row r="3140">
      <c r="A3140" s="2" t="n">
        <v>3138</v>
      </c>
      <c r="B3140" s="2" t="inlineStr">
        <is>
          <t>truncate</t>
        </is>
      </c>
      <c r="C3140" s="2" t="inlineStr">
        <is>
          <t>browser chrome150</t>
        </is>
      </c>
      <c r="D3140" s="2" t="n">
        <v>817</v>
      </c>
      <c r="E3140" s="2" t="n">
        <v>817</v>
      </c>
      <c r="F3140" s="2" t="n">
        <v>1</v>
      </c>
      <c r="G3140" s="2" t="n">
        <v>1</v>
      </c>
      <c r="H3140" s="2" t="n">
        <v>1</v>
      </c>
      <c r="I3140" s="2" t="n">
        <v>0</v>
      </c>
    </row>
    <row r="3141">
      <c r="A3141" s="2" t="n">
        <v>3139</v>
      </c>
      <c r="B3141" s="2" t="inlineStr">
        <is>
          <t>length</t>
        </is>
      </c>
      <c r="C3141" s="2" t="inlineStr">
        <is>
          <t>openssl TLS 1.2 only</t>
        </is>
      </c>
      <c r="D3141" s="2" t="n">
        <v>215</v>
      </c>
      <c r="E3141" s="2" t="n">
        <v>215</v>
      </c>
      <c r="F3141" s="2" t="n">
        <v>1</v>
      </c>
      <c r="G3141" s="2" t="n">
        <v>1</v>
      </c>
      <c r="H3141" s="2" t="n">
        <v>1</v>
      </c>
      <c r="I3141" s="2" t="n">
        <v>0</v>
      </c>
    </row>
    <row r="3142">
      <c r="A3142" s="2" t="n">
        <v>3140</v>
      </c>
      <c r="B3142" s="2" t="inlineStr">
        <is>
          <t>insert</t>
        </is>
      </c>
      <c r="C3142" s="2" t="inlineStr">
        <is>
          <t>openssl TLS 1.2 only</t>
        </is>
      </c>
      <c r="D3142" s="2" t="n">
        <v>216</v>
      </c>
      <c r="E3142" s="2" t="n">
        <v>216</v>
      </c>
      <c r="F3142" s="2" t="n">
        <v>1</v>
      </c>
      <c r="G3142" s="2" t="n">
        <v>0</v>
      </c>
      <c r="H3142" s="2" t="n">
        <v>0</v>
      </c>
      <c r="I3142" s="2" t="n">
        <v>0</v>
      </c>
    </row>
    <row r="3143">
      <c r="A3143" s="2" t="n">
        <v>3141</v>
      </c>
      <c r="B3143" s="2" t="inlineStr">
        <is>
          <t>flip</t>
        </is>
      </c>
      <c r="C3143" s="2" t="inlineStr">
        <is>
          <t>browser firefox147</t>
        </is>
      </c>
      <c r="D3143" s="2" t="n">
        <v>1901</v>
      </c>
      <c r="E3143" s="2" t="n">
        <v>1901</v>
      </c>
      <c r="F3143" s="2" t="n">
        <v>1</v>
      </c>
      <c r="G3143" s="2" t="n">
        <v>1</v>
      </c>
      <c r="H3143" s="2" t="n">
        <v>0</v>
      </c>
      <c r="I3143" s="2" t="n">
        <v>0</v>
      </c>
    </row>
    <row r="3144">
      <c r="A3144" s="2" t="n">
        <v>3142</v>
      </c>
      <c r="B3144" s="2" t="inlineStr">
        <is>
          <t>truncate</t>
        </is>
      </c>
      <c r="C3144" s="2" t="inlineStr">
        <is>
          <t>openssl TLS 1.2 only</t>
        </is>
      </c>
      <c r="D3144" s="2" t="n">
        <v>30</v>
      </c>
      <c r="E3144" s="2" t="n">
        <v>30</v>
      </c>
      <c r="F3144" s="2" t="n">
        <v>1</v>
      </c>
      <c r="G3144" s="2" t="n">
        <v>0</v>
      </c>
      <c r="H3144" s="2" t="n">
        <v>0</v>
      </c>
      <c r="I3144" s="2" t="n">
        <v>0</v>
      </c>
    </row>
    <row r="3145">
      <c r="A3145" s="2" t="n">
        <v>3143</v>
      </c>
      <c r="B3145" s="2" t="inlineStr">
        <is>
          <t>length</t>
        </is>
      </c>
      <c r="C3145" s="2" t="inlineStr">
        <is>
          <t>openssl X25519 only (classical)</t>
        </is>
      </c>
      <c r="D3145" s="2" t="n">
        <v>314</v>
      </c>
      <c r="E3145" s="2" t="n">
        <v>314</v>
      </c>
      <c r="F3145" s="2" t="n">
        <v>1</v>
      </c>
      <c r="G3145" s="2" t="n">
        <v>1</v>
      </c>
      <c r="H3145" s="2" t="n">
        <v>0</v>
      </c>
      <c r="I3145" s="2" t="n">
        <v>0</v>
      </c>
    </row>
    <row r="3146">
      <c r="A3146" s="2" t="n">
        <v>3144</v>
      </c>
      <c r="B3146" s="2" t="inlineStr">
        <is>
          <t>insert</t>
        </is>
      </c>
      <c r="C3146" s="2" t="inlineStr">
        <is>
          <t>openssl TLS 1.2 only</t>
        </is>
      </c>
      <c r="D3146" s="2" t="n">
        <v>216</v>
      </c>
      <c r="E3146" s="2" t="n">
        <v>216</v>
      </c>
      <c r="F3146" s="2" t="n">
        <v>1</v>
      </c>
      <c r="G3146" s="2" t="n">
        <v>1</v>
      </c>
      <c r="H3146" s="2" t="n">
        <v>1</v>
      </c>
      <c r="I3146" s="2" t="n">
        <v>0</v>
      </c>
    </row>
    <row r="3147">
      <c r="A3147" s="2" t="n">
        <v>3145</v>
      </c>
      <c r="B3147" s="2" t="inlineStr">
        <is>
          <t>flip</t>
        </is>
      </c>
      <c r="C3147" s="2" t="inlineStr">
        <is>
          <t>openssl TLS 1.2 only</t>
        </is>
      </c>
      <c r="D3147" s="2" t="n">
        <v>215</v>
      </c>
      <c r="E3147" s="2" t="n">
        <v>215</v>
      </c>
      <c r="F3147" s="2" t="n">
        <v>1</v>
      </c>
      <c r="G3147" s="2" t="n">
        <v>1</v>
      </c>
      <c r="H3147" s="2" t="n">
        <v>1</v>
      </c>
      <c r="I3147" s="2" t="n">
        <v>0</v>
      </c>
    </row>
    <row r="3148">
      <c r="A3148" s="2" t="n">
        <v>3146</v>
      </c>
      <c r="B3148" s="2" t="inlineStr">
        <is>
          <t>truncate</t>
        </is>
      </c>
      <c r="C3148" s="2" t="inlineStr">
        <is>
          <t>browser firefox147</t>
        </is>
      </c>
      <c r="D3148" s="2" t="n">
        <v>403</v>
      </c>
      <c r="E3148" s="2" t="n">
        <v>403</v>
      </c>
      <c r="F3148" s="2" t="n">
        <v>1</v>
      </c>
      <c r="G3148" s="2" t="n">
        <v>1</v>
      </c>
      <c r="H3148" s="2" t="n">
        <v>0</v>
      </c>
      <c r="I3148" s="2" t="n">
        <v>0</v>
      </c>
    </row>
    <row r="3149">
      <c r="A3149" s="2" t="n">
        <v>3147</v>
      </c>
      <c r="B3149" s="2" t="inlineStr">
        <is>
          <t>length</t>
        </is>
      </c>
      <c r="C3149" s="2" t="inlineStr">
        <is>
          <t>openssl X25519 only (classical)</t>
        </is>
      </c>
      <c r="D3149" s="2" t="n">
        <v>314</v>
      </c>
      <c r="E3149" s="2" t="n">
        <v>314</v>
      </c>
      <c r="F3149" s="2" t="n">
        <v>1</v>
      </c>
      <c r="G3149" s="2" t="n">
        <v>1</v>
      </c>
      <c r="H3149" s="2" t="n">
        <v>1</v>
      </c>
      <c r="I3149" s="2" t="n">
        <v>0</v>
      </c>
    </row>
    <row r="3150">
      <c r="A3150" s="2" t="n">
        <v>3148</v>
      </c>
      <c r="B3150" s="2" t="inlineStr">
        <is>
          <t>insert</t>
        </is>
      </c>
      <c r="C3150" s="2" t="inlineStr">
        <is>
          <t>openssl 3.5.8 default</t>
        </is>
      </c>
      <c r="D3150" s="2" t="n">
        <v>1564</v>
      </c>
      <c r="E3150" s="2" t="n">
        <v>1564</v>
      </c>
      <c r="F3150" s="2" t="n">
        <v>1</v>
      </c>
      <c r="G3150" s="2" t="n">
        <v>1</v>
      </c>
      <c r="H3150" s="2" t="n">
        <v>1</v>
      </c>
      <c r="I3150" s="2" t="n">
        <v>0</v>
      </c>
    </row>
    <row r="3151">
      <c r="A3151" s="2" t="n">
        <v>3149</v>
      </c>
      <c r="B3151" s="2" t="inlineStr">
        <is>
          <t>flip</t>
        </is>
      </c>
      <c r="C3151" s="2" t="inlineStr">
        <is>
          <t>browser firefox147</t>
        </is>
      </c>
      <c r="D3151" s="2" t="n">
        <v>1901</v>
      </c>
      <c r="E3151" s="2" t="n">
        <v>1901</v>
      </c>
      <c r="F3151" s="2" t="n">
        <v>1</v>
      </c>
      <c r="G3151" s="2" t="n">
        <v>1</v>
      </c>
      <c r="H3151" s="2" t="n">
        <v>0</v>
      </c>
      <c r="I3151" s="2" t="n">
        <v>0</v>
      </c>
    </row>
    <row r="3152">
      <c r="A3152" s="2" t="n">
        <v>3150</v>
      </c>
      <c r="B3152" s="2" t="inlineStr">
        <is>
          <t>truncate</t>
        </is>
      </c>
      <c r="C3152" s="2" t="inlineStr">
        <is>
          <t>browser firefox147</t>
        </is>
      </c>
      <c r="D3152" s="2" t="n">
        <v>924</v>
      </c>
      <c r="E3152" s="2" t="n">
        <v>924</v>
      </c>
      <c r="F3152" s="2" t="n">
        <v>1</v>
      </c>
      <c r="G3152" s="2" t="n">
        <v>1</v>
      </c>
      <c r="H3152" s="2" t="n">
        <v>0</v>
      </c>
      <c r="I3152" s="2" t="n">
        <v>0</v>
      </c>
    </row>
    <row r="3153">
      <c r="A3153" s="2" t="n">
        <v>3151</v>
      </c>
      <c r="B3153" s="2" t="inlineStr">
        <is>
          <t>length</t>
        </is>
      </c>
      <c r="C3153" s="2" t="inlineStr">
        <is>
          <t>openssl 3.5.8 default</t>
        </is>
      </c>
      <c r="D3153" s="2" t="n">
        <v>1548</v>
      </c>
      <c r="E3153" s="2" t="n">
        <v>1548</v>
      </c>
      <c r="F3153" s="2" t="n">
        <v>0</v>
      </c>
      <c r="G3153" s="2" t="n">
        <v>0</v>
      </c>
      <c r="H3153" s="2" t="n">
        <v>0</v>
      </c>
      <c r="I3153" s="2" t="n">
        <v>0</v>
      </c>
    </row>
    <row r="3154">
      <c r="A3154" s="2" t="n">
        <v>3152</v>
      </c>
      <c r="B3154" s="2" t="inlineStr">
        <is>
          <t>insert</t>
        </is>
      </c>
      <c r="C3154" s="2" t="inlineStr">
        <is>
          <t>openssl 3.5.8 default</t>
        </is>
      </c>
      <c r="D3154" s="2" t="n">
        <v>1553</v>
      </c>
      <c r="E3154" s="2" t="n">
        <v>1553</v>
      </c>
      <c r="F3154" s="2" t="n">
        <v>1</v>
      </c>
      <c r="G3154" s="2" t="n">
        <v>1</v>
      </c>
      <c r="H3154" s="2" t="n">
        <v>1</v>
      </c>
      <c r="I3154" s="2" t="n">
        <v>0</v>
      </c>
    </row>
    <row r="3155">
      <c r="A3155" s="2" t="n">
        <v>3153</v>
      </c>
      <c r="B3155" s="2" t="inlineStr">
        <is>
          <t>flip</t>
        </is>
      </c>
      <c r="C3155" s="2" t="inlineStr">
        <is>
          <t>browser firefox147</t>
        </is>
      </c>
      <c r="D3155" s="2" t="n">
        <v>1901</v>
      </c>
      <c r="E3155" s="2" t="n">
        <v>1901</v>
      </c>
      <c r="F3155" s="2" t="n">
        <v>1</v>
      </c>
      <c r="G3155" s="2" t="n">
        <v>1</v>
      </c>
      <c r="H3155" s="2" t="n">
        <v>0</v>
      </c>
      <c r="I3155" s="2" t="n">
        <v>0</v>
      </c>
    </row>
    <row r="3156">
      <c r="A3156" s="2" t="n">
        <v>3154</v>
      </c>
      <c r="B3156" s="2" t="inlineStr">
        <is>
          <t>truncate</t>
        </is>
      </c>
      <c r="C3156" s="2" t="inlineStr">
        <is>
          <t>openssl 3.5.8 default</t>
        </is>
      </c>
      <c r="D3156" s="2" t="n">
        <v>1061</v>
      </c>
      <c r="E3156" s="2" t="n">
        <v>1061</v>
      </c>
      <c r="F3156" s="2" t="n">
        <v>1</v>
      </c>
      <c r="G3156" s="2" t="n">
        <v>1</v>
      </c>
      <c r="H3156" s="2" t="n">
        <v>1</v>
      </c>
      <c r="I3156" s="2" t="n">
        <v>0</v>
      </c>
    </row>
    <row r="3157">
      <c r="A3157" s="2" t="n">
        <v>3155</v>
      </c>
      <c r="B3157" s="2" t="inlineStr">
        <is>
          <t>length</t>
        </is>
      </c>
      <c r="C3157" s="2" t="inlineStr">
        <is>
          <t>openssl 3.5.8 default</t>
        </is>
      </c>
      <c r="D3157" s="2" t="n">
        <v>1548</v>
      </c>
      <c r="E3157" s="2" t="n">
        <v>1548</v>
      </c>
      <c r="F3157" s="2" t="n">
        <v>1</v>
      </c>
      <c r="G3157" s="2" t="n">
        <v>1</v>
      </c>
      <c r="H3157" s="2" t="n">
        <v>1</v>
      </c>
      <c r="I3157" s="2" t="n">
        <v>0</v>
      </c>
    </row>
    <row r="3158">
      <c r="A3158" s="2" t="n">
        <v>3156</v>
      </c>
      <c r="B3158" s="2" t="inlineStr">
        <is>
          <t>insert</t>
        </is>
      </c>
      <c r="C3158" s="2" t="inlineStr">
        <is>
          <t>browser firefox147</t>
        </is>
      </c>
      <c r="D3158" s="2" t="n">
        <v>1904</v>
      </c>
      <c r="E3158" s="2" t="n">
        <v>1904</v>
      </c>
      <c r="F3158" s="2" t="n">
        <v>1</v>
      </c>
      <c r="G3158" s="2" t="n">
        <v>1</v>
      </c>
      <c r="H3158" s="2" t="n">
        <v>0</v>
      </c>
      <c r="I3158" s="2" t="n">
        <v>0</v>
      </c>
    </row>
    <row r="3159">
      <c r="A3159" s="2" t="n">
        <v>3157</v>
      </c>
      <c r="B3159" s="2" t="inlineStr">
        <is>
          <t>flip</t>
        </is>
      </c>
      <c r="C3159" s="2" t="inlineStr">
        <is>
          <t>browser firefox147</t>
        </is>
      </c>
      <c r="D3159" s="2" t="n">
        <v>1901</v>
      </c>
      <c r="E3159" s="2" t="n">
        <v>1901</v>
      </c>
      <c r="F3159" s="2" t="n">
        <v>1</v>
      </c>
      <c r="G3159" s="2" t="n">
        <v>1</v>
      </c>
      <c r="H3159" s="2" t="n">
        <v>0</v>
      </c>
      <c r="I3159" s="2" t="n">
        <v>0</v>
      </c>
    </row>
    <row r="3160">
      <c r="A3160" s="2" t="n">
        <v>3158</v>
      </c>
      <c r="B3160" s="2" t="inlineStr">
        <is>
          <t>truncate</t>
        </is>
      </c>
      <c r="C3160" s="2" t="inlineStr">
        <is>
          <t>openssl X25519 only (classical)</t>
        </is>
      </c>
      <c r="D3160" s="2" t="n">
        <v>272</v>
      </c>
      <c r="E3160" s="2" t="n">
        <v>272</v>
      </c>
      <c r="F3160" s="2" t="n">
        <v>1</v>
      </c>
      <c r="G3160" s="2" t="n">
        <v>1</v>
      </c>
      <c r="H3160" s="2" t="n">
        <v>1</v>
      </c>
      <c r="I3160" s="2" t="n">
        <v>0</v>
      </c>
    </row>
    <row r="3161">
      <c r="A3161" s="2" t="n">
        <v>3159</v>
      </c>
      <c r="B3161" s="2" t="inlineStr">
        <is>
          <t>length</t>
        </is>
      </c>
      <c r="C3161" s="2" t="inlineStr">
        <is>
          <t>openssl TLS 1.2 only</t>
        </is>
      </c>
      <c r="D3161" s="2" t="n">
        <v>215</v>
      </c>
      <c r="E3161" s="2" t="n">
        <v>215</v>
      </c>
      <c r="F3161" s="2" t="n">
        <v>0</v>
      </c>
      <c r="G3161" s="2" t="n">
        <v>0</v>
      </c>
      <c r="H3161" s="2" t="n">
        <v>0</v>
      </c>
      <c r="I3161" s="2" t="n">
        <v>0</v>
      </c>
    </row>
    <row r="3162">
      <c r="A3162" s="2" t="n">
        <v>3160</v>
      </c>
      <c r="B3162" s="2" t="inlineStr">
        <is>
          <t>insert</t>
        </is>
      </c>
      <c r="C3162" s="2" t="inlineStr">
        <is>
          <t>openssl TLS 1.2 only</t>
        </is>
      </c>
      <c r="D3162" s="2" t="n">
        <v>227</v>
      </c>
      <c r="E3162" s="2" t="n">
        <v>227</v>
      </c>
      <c r="F3162" s="2" t="n">
        <v>1</v>
      </c>
      <c r="G3162" s="2" t="n">
        <v>1</v>
      </c>
      <c r="H3162" s="2" t="n">
        <v>1</v>
      </c>
      <c r="I3162" s="2" t="n">
        <v>0</v>
      </c>
    </row>
    <row r="3163">
      <c r="A3163" s="2" t="n">
        <v>3161</v>
      </c>
      <c r="B3163" s="2" t="inlineStr">
        <is>
          <t>flip</t>
        </is>
      </c>
      <c r="C3163" s="2" t="inlineStr">
        <is>
          <t>openssl X25519 only (classical)</t>
        </is>
      </c>
      <c r="D3163" s="2" t="n">
        <v>314</v>
      </c>
      <c r="E3163" s="2" t="n">
        <v>314</v>
      </c>
      <c r="F3163" s="2" t="n">
        <v>1</v>
      </c>
      <c r="G3163" s="2" t="n">
        <v>1</v>
      </c>
      <c r="H3163" s="2" t="n">
        <v>1</v>
      </c>
      <c r="I3163" s="2" t="n">
        <v>0</v>
      </c>
    </row>
    <row r="3164">
      <c r="A3164" s="2" t="n">
        <v>3162</v>
      </c>
      <c r="B3164" s="2" t="inlineStr">
        <is>
          <t>truncate</t>
        </is>
      </c>
      <c r="C3164" s="2" t="inlineStr">
        <is>
          <t>browser firefox147</t>
        </is>
      </c>
      <c r="D3164" s="2" t="n">
        <v>1445</v>
      </c>
      <c r="E3164" s="2" t="n">
        <v>1445</v>
      </c>
      <c r="F3164" s="2" t="n">
        <v>1</v>
      </c>
      <c r="G3164" s="2" t="n">
        <v>1</v>
      </c>
      <c r="H3164" s="2" t="n">
        <v>0</v>
      </c>
      <c r="I3164" s="2" t="n">
        <v>0</v>
      </c>
    </row>
    <row r="3165">
      <c r="A3165" s="2" t="n">
        <v>3163</v>
      </c>
      <c r="B3165" s="2" t="inlineStr">
        <is>
          <t>length</t>
        </is>
      </c>
      <c r="C3165" s="2" t="inlineStr">
        <is>
          <t>openssl 3.5.8 default</t>
        </is>
      </c>
      <c r="D3165" s="2" t="n">
        <v>1548</v>
      </c>
      <c r="E3165" s="2" t="n">
        <v>1548</v>
      </c>
      <c r="F3165" s="2" t="n">
        <v>0</v>
      </c>
      <c r="G3165" s="2" t="n">
        <v>0</v>
      </c>
      <c r="H3165" s="2" t="n">
        <v>0</v>
      </c>
      <c r="I3165" s="2" t="n">
        <v>0</v>
      </c>
    </row>
    <row r="3166">
      <c r="A3166" s="2" t="n">
        <v>3164</v>
      </c>
      <c r="B3166" s="2" t="inlineStr">
        <is>
          <t>insert</t>
        </is>
      </c>
      <c r="C3166" s="2" t="inlineStr">
        <is>
          <t>openssl X25519 only (classical)</t>
        </is>
      </c>
      <c r="D3166" s="2" t="n">
        <v>329</v>
      </c>
      <c r="E3166" s="2" t="n">
        <v>329</v>
      </c>
      <c r="F3166" s="2" t="n">
        <v>1</v>
      </c>
      <c r="G3166" s="2" t="n">
        <v>1</v>
      </c>
      <c r="H3166" s="2" t="n">
        <v>1</v>
      </c>
      <c r="I3166" s="2" t="n">
        <v>0</v>
      </c>
    </row>
    <row r="3167">
      <c r="A3167" s="2" t="n">
        <v>3165</v>
      </c>
      <c r="B3167" s="2" t="inlineStr">
        <is>
          <t>flip</t>
        </is>
      </c>
      <c r="C3167" s="2" t="inlineStr">
        <is>
          <t>openssl X25519 only (classical)</t>
        </is>
      </c>
      <c r="D3167" s="2" t="n">
        <v>314</v>
      </c>
      <c r="E3167" s="2" t="n">
        <v>314</v>
      </c>
      <c r="F3167" s="2" t="n">
        <v>1</v>
      </c>
      <c r="G3167" s="2" t="n">
        <v>1</v>
      </c>
      <c r="H3167" s="2" t="n">
        <v>1</v>
      </c>
      <c r="I3167" s="2" t="n">
        <v>0</v>
      </c>
    </row>
    <row r="3168">
      <c r="A3168" s="2" t="n">
        <v>3166</v>
      </c>
      <c r="B3168" s="2" t="inlineStr">
        <is>
          <t>truncate</t>
        </is>
      </c>
      <c r="C3168" s="2" t="inlineStr">
        <is>
          <t>browser chrome150</t>
        </is>
      </c>
      <c r="D3168" s="2" t="n">
        <v>437</v>
      </c>
      <c r="E3168" s="2" t="n">
        <v>437</v>
      </c>
      <c r="F3168" s="2" t="n">
        <v>1</v>
      </c>
      <c r="G3168" s="2" t="n">
        <v>1</v>
      </c>
      <c r="H3168" s="2" t="n">
        <v>1</v>
      </c>
      <c r="I3168" s="2" t="n">
        <v>0</v>
      </c>
    </row>
    <row r="3169">
      <c r="A3169" s="2" t="n">
        <v>3167</v>
      </c>
      <c r="B3169" s="2" t="inlineStr">
        <is>
          <t>length</t>
        </is>
      </c>
      <c r="C3169" s="2" t="inlineStr">
        <is>
          <t>browser chrome150</t>
        </is>
      </c>
      <c r="D3169" s="2" t="n">
        <v>1763</v>
      </c>
      <c r="E3169" s="2" t="n">
        <v>1763</v>
      </c>
      <c r="F3169" s="2" t="n">
        <v>1</v>
      </c>
      <c r="G3169" s="2" t="n">
        <v>1</v>
      </c>
      <c r="H3169" s="2" t="n">
        <v>1</v>
      </c>
      <c r="I3169" s="2" t="n">
        <v>0</v>
      </c>
    </row>
    <row r="3170">
      <c r="A3170" s="2" t="n">
        <v>3168</v>
      </c>
      <c r="B3170" s="2" t="inlineStr">
        <is>
          <t>insert</t>
        </is>
      </c>
      <c r="C3170" s="2" t="inlineStr">
        <is>
          <t>openssl TLS 1.2 only</t>
        </is>
      </c>
      <c r="D3170" s="2" t="n">
        <v>230</v>
      </c>
      <c r="E3170" s="2" t="n">
        <v>230</v>
      </c>
      <c r="F3170" s="2" t="n">
        <v>1</v>
      </c>
      <c r="G3170" s="2" t="n">
        <v>1</v>
      </c>
      <c r="H3170" s="2" t="n">
        <v>1</v>
      </c>
      <c r="I3170" s="2" t="n">
        <v>0</v>
      </c>
    </row>
    <row r="3171">
      <c r="A3171" s="2" t="n">
        <v>3169</v>
      </c>
      <c r="B3171" s="2" t="inlineStr">
        <is>
          <t>flip</t>
        </is>
      </c>
      <c r="C3171" s="2" t="inlineStr">
        <is>
          <t>browser firefox147</t>
        </is>
      </c>
      <c r="D3171" s="2" t="n">
        <v>1901</v>
      </c>
      <c r="E3171" s="2" t="n">
        <v>1901</v>
      </c>
      <c r="F3171" s="2" t="n">
        <v>1</v>
      </c>
      <c r="G3171" s="2" t="n">
        <v>1</v>
      </c>
      <c r="H3171" s="2" t="n">
        <v>0</v>
      </c>
      <c r="I3171" s="2" t="n">
        <v>0</v>
      </c>
    </row>
    <row r="3172">
      <c r="A3172" s="2" t="n">
        <v>3170</v>
      </c>
      <c r="B3172" s="2" t="inlineStr">
        <is>
          <t>truncate</t>
        </is>
      </c>
      <c r="C3172" s="2" t="inlineStr">
        <is>
          <t>browser chrome150</t>
        </is>
      </c>
      <c r="D3172" s="2" t="n">
        <v>483</v>
      </c>
      <c r="E3172" s="2" t="n">
        <v>483</v>
      </c>
      <c r="F3172" s="2" t="n">
        <v>1</v>
      </c>
      <c r="G3172" s="2" t="n">
        <v>1</v>
      </c>
      <c r="H3172" s="2" t="n">
        <v>1</v>
      </c>
      <c r="I3172" s="2" t="n">
        <v>0</v>
      </c>
    </row>
    <row r="3173">
      <c r="A3173" s="2" t="n">
        <v>3171</v>
      </c>
      <c r="B3173" s="2" t="inlineStr">
        <is>
          <t>length</t>
        </is>
      </c>
      <c r="C3173" s="2" t="inlineStr">
        <is>
          <t>openssl TLS 1.2 only</t>
        </is>
      </c>
      <c r="D3173" s="2" t="n">
        <v>215</v>
      </c>
      <c r="E3173" s="2" t="n">
        <v>215</v>
      </c>
      <c r="F3173" s="2" t="n">
        <v>0</v>
      </c>
      <c r="G3173" s="2" t="n">
        <v>0</v>
      </c>
      <c r="H3173" s="2" t="n">
        <v>0</v>
      </c>
      <c r="I3173" s="2" t="n">
        <v>0</v>
      </c>
    </row>
    <row r="3174">
      <c r="A3174" s="2" t="n">
        <v>3172</v>
      </c>
      <c r="B3174" s="2" t="inlineStr">
        <is>
          <t>insert</t>
        </is>
      </c>
      <c r="C3174" s="2" t="inlineStr">
        <is>
          <t>browser firefox147</t>
        </is>
      </c>
      <c r="D3174" s="2" t="n">
        <v>1914</v>
      </c>
      <c r="E3174" s="2" t="n">
        <v>1914</v>
      </c>
      <c r="F3174" s="2" t="n">
        <v>1</v>
      </c>
      <c r="G3174" s="2" t="n">
        <v>1</v>
      </c>
      <c r="H3174" s="2" t="n">
        <v>1</v>
      </c>
      <c r="I3174" s="2" t="n">
        <v>0</v>
      </c>
    </row>
    <row r="3175">
      <c r="A3175" s="2" t="n">
        <v>3173</v>
      </c>
      <c r="B3175" s="2" t="inlineStr">
        <is>
          <t>flip</t>
        </is>
      </c>
      <c r="C3175" s="2" t="inlineStr">
        <is>
          <t>openssl 3.5.8 default</t>
        </is>
      </c>
      <c r="D3175" s="2" t="n">
        <v>1548</v>
      </c>
      <c r="E3175" s="2" t="n">
        <v>1548</v>
      </c>
      <c r="F3175" s="2" t="n">
        <v>1</v>
      </c>
      <c r="G3175" s="2" t="n">
        <v>1</v>
      </c>
      <c r="H3175" s="2" t="n">
        <v>1</v>
      </c>
      <c r="I3175" s="2" t="n">
        <v>0</v>
      </c>
    </row>
    <row r="3176">
      <c r="A3176" s="2" t="n">
        <v>3174</v>
      </c>
      <c r="B3176" s="2" t="inlineStr">
        <is>
          <t>truncate</t>
        </is>
      </c>
      <c r="C3176" s="2" t="inlineStr">
        <is>
          <t>browser chrome150</t>
        </is>
      </c>
      <c r="D3176" s="2" t="n">
        <v>89</v>
      </c>
      <c r="E3176" s="2" t="n">
        <v>89</v>
      </c>
      <c r="F3176" s="2" t="n">
        <v>1</v>
      </c>
      <c r="G3176" s="2" t="n">
        <v>0</v>
      </c>
      <c r="H3176" s="2" t="n">
        <v>0</v>
      </c>
      <c r="I3176" s="2" t="n">
        <v>0</v>
      </c>
    </row>
    <row r="3177">
      <c r="A3177" s="2" t="n">
        <v>3175</v>
      </c>
      <c r="B3177" s="2" t="inlineStr">
        <is>
          <t>length</t>
        </is>
      </c>
      <c r="C3177" s="2" t="inlineStr">
        <is>
          <t>openssl TLS 1.2 only</t>
        </is>
      </c>
      <c r="D3177" s="2" t="n">
        <v>215</v>
      </c>
      <c r="E3177" s="2" t="n">
        <v>215</v>
      </c>
      <c r="F3177" s="2" t="n">
        <v>1</v>
      </c>
      <c r="G3177" s="2" t="n">
        <v>1</v>
      </c>
      <c r="H3177" s="2" t="n">
        <v>1</v>
      </c>
      <c r="I3177" s="2" t="n">
        <v>0</v>
      </c>
    </row>
    <row r="3178">
      <c r="A3178" s="2" t="n">
        <v>3176</v>
      </c>
      <c r="B3178" s="2" t="inlineStr">
        <is>
          <t>insert</t>
        </is>
      </c>
      <c r="C3178" s="2" t="inlineStr">
        <is>
          <t>openssl 3.5.8 default</t>
        </is>
      </c>
      <c r="D3178" s="2" t="n">
        <v>1553</v>
      </c>
      <c r="E3178" s="2" t="n">
        <v>1553</v>
      </c>
      <c r="F3178" s="2" t="n">
        <v>1</v>
      </c>
      <c r="G3178" s="2" t="n">
        <v>1</v>
      </c>
      <c r="H3178" s="2" t="n">
        <v>1</v>
      </c>
      <c r="I3178" s="2" t="n">
        <v>0</v>
      </c>
    </row>
    <row r="3179">
      <c r="A3179" s="2" t="n">
        <v>3177</v>
      </c>
      <c r="B3179" s="2" t="inlineStr">
        <is>
          <t>flip</t>
        </is>
      </c>
      <c r="C3179" s="2" t="inlineStr">
        <is>
          <t>openssl 3.5.8 default</t>
        </is>
      </c>
      <c r="D3179" s="2" t="n">
        <v>1548</v>
      </c>
      <c r="E3179" s="2" t="n">
        <v>1548</v>
      </c>
      <c r="F3179" s="2" t="n">
        <v>1</v>
      </c>
      <c r="G3179" s="2" t="n">
        <v>1</v>
      </c>
      <c r="H3179" s="2" t="n">
        <v>1</v>
      </c>
      <c r="I3179" s="2" t="n">
        <v>0</v>
      </c>
    </row>
    <row r="3180">
      <c r="A3180" s="2" t="n">
        <v>3178</v>
      </c>
      <c r="B3180" s="2" t="inlineStr">
        <is>
          <t>truncate</t>
        </is>
      </c>
      <c r="C3180" s="2" t="inlineStr">
        <is>
          <t>browser chrome150</t>
        </is>
      </c>
      <c r="D3180" s="2" t="n">
        <v>1026</v>
      </c>
      <c r="E3180" s="2" t="n">
        <v>1026</v>
      </c>
      <c r="F3180" s="2" t="n">
        <v>1</v>
      </c>
      <c r="G3180" s="2" t="n">
        <v>1</v>
      </c>
      <c r="H3180" s="2" t="n">
        <v>1</v>
      </c>
      <c r="I3180" s="2" t="n">
        <v>0</v>
      </c>
    </row>
    <row r="3181">
      <c r="A3181" s="2" t="n">
        <v>3179</v>
      </c>
      <c r="B3181" s="2" t="inlineStr">
        <is>
          <t>length</t>
        </is>
      </c>
      <c r="C3181" s="2" t="inlineStr">
        <is>
          <t>openssl X25519 only (classical)</t>
        </is>
      </c>
      <c r="D3181" s="2" t="n">
        <v>314</v>
      </c>
      <c r="E3181" s="2" t="n">
        <v>314</v>
      </c>
      <c r="F3181" s="2" t="n">
        <v>0</v>
      </c>
      <c r="G3181" s="2" t="n">
        <v>0</v>
      </c>
      <c r="H3181" s="2" t="n">
        <v>0</v>
      </c>
      <c r="I3181" s="2" t="n">
        <v>0</v>
      </c>
    </row>
    <row r="3182">
      <c r="A3182" s="2" t="n">
        <v>3180</v>
      </c>
      <c r="B3182" s="2" t="inlineStr">
        <is>
          <t>insert</t>
        </is>
      </c>
      <c r="C3182" s="2" t="inlineStr">
        <is>
          <t>openssl TLS 1.2 only</t>
        </is>
      </c>
      <c r="D3182" s="2" t="n">
        <v>230</v>
      </c>
      <c r="E3182" s="2" t="n">
        <v>230</v>
      </c>
      <c r="F3182" s="2" t="n">
        <v>1</v>
      </c>
      <c r="G3182" s="2" t="n">
        <v>0</v>
      </c>
      <c r="H3182" s="2" t="n">
        <v>0</v>
      </c>
      <c r="I3182" s="2" t="n">
        <v>0</v>
      </c>
    </row>
    <row r="3183">
      <c r="A3183" s="2" t="n">
        <v>3181</v>
      </c>
      <c r="B3183" s="2" t="inlineStr">
        <is>
          <t>flip</t>
        </is>
      </c>
      <c r="C3183" s="2" t="inlineStr">
        <is>
          <t>openssl 3.5.8 default</t>
        </is>
      </c>
      <c r="D3183" s="2" t="n">
        <v>1548</v>
      </c>
      <c r="E3183" s="2" t="n">
        <v>1548</v>
      </c>
      <c r="F3183" s="2" t="n">
        <v>1</v>
      </c>
      <c r="G3183" s="2" t="n">
        <v>1</v>
      </c>
      <c r="H3183" s="2" t="n">
        <v>1</v>
      </c>
      <c r="I3183" s="2" t="n">
        <v>0</v>
      </c>
    </row>
    <row r="3184">
      <c r="A3184" s="2" t="n">
        <v>3182</v>
      </c>
      <c r="B3184" s="2" t="inlineStr">
        <is>
          <t>truncate</t>
        </is>
      </c>
      <c r="C3184" s="2" t="inlineStr">
        <is>
          <t>openssl 3.5.8 default</t>
        </is>
      </c>
      <c r="D3184" s="2" t="n">
        <v>1449</v>
      </c>
      <c r="E3184" s="2" t="n">
        <v>1449</v>
      </c>
      <c r="F3184" s="2" t="n">
        <v>1</v>
      </c>
      <c r="G3184" s="2" t="n">
        <v>1</v>
      </c>
      <c r="H3184" s="2" t="n">
        <v>1</v>
      </c>
      <c r="I3184" s="2" t="n">
        <v>0</v>
      </c>
    </row>
    <row r="3185">
      <c r="A3185" s="2" t="n">
        <v>3183</v>
      </c>
      <c r="B3185" s="2" t="inlineStr">
        <is>
          <t>length</t>
        </is>
      </c>
      <c r="C3185" s="2" t="inlineStr">
        <is>
          <t>browser chrome150</t>
        </is>
      </c>
      <c r="D3185" s="2" t="n">
        <v>1763</v>
      </c>
      <c r="E3185" s="2" t="n">
        <v>1763</v>
      </c>
      <c r="F3185" s="2" t="n">
        <v>1</v>
      </c>
      <c r="G3185" s="2" t="n">
        <v>1</v>
      </c>
      <c r="H3185" s="2" t="n">
        <v>1</v>
      </c>
      <c r="I3185" s="2" t="n">
        <v>0</v>
      </c>
    </row>
    <row r="3186">
      <c r="A3186" s="2" t="n">
        <v>3184</v>
      </c>
      <c r="B3186" s="2" t="inlineStr">
        <is>
          <t>insert</t>
        </is>
      </c>
      <c r="C3186" s="2" t="inlineStr">
        <is>
          <t>browser chrome150</t>
        </is>
      </c>
      <c r="D3186" s="2" t="n">
        <v>1778</v>
      </c>
      <c r="E3186" s="2" t="n">
        <v>1778</v>
      </c>
      <c r="F3186" s="2" t="n">
        <v>1</v>
      </c>
      <c r="G3186" s="2" t="n">
        <v>1</v>
      </c>
      <c r="H3186" s="2" t="n">
        <v>1</v>
      </c>
      <c r="I3186" s="2" t="n">
        <v>0</v>
      </c>
    </row>
    <row r="3187">
      <c r="A3187" s="2" t="n">
        <v>3185</v>
      </c>
      <c r="B3187" s="2" t="inlineStr">
        <is>
          <t>flip</t>
        </is>
      </c>
      <c r="C3187" s="2" t="inlineStr">
        <is>
          <t>openssl TLS 1.2 only</t>
        </is>
      </c>
      <c r="D3187" s="2" t="n">
        <v>215</v>
      </c>
      <c r="E3187" s="2" t="n">
        <v>215</v>
      </c>
      <c r="F3187" s="2" t="n">
        <v>1</v>
      </c>
      <c r="G3187" s="2" t="n">
        <v>1</v>
      </c>
      <c r="H3187" s="2" t="n">
        <v>0</v>
      </c>
      <c r="I3187" s="2" t="n">
        <v>0</v>
      </c>
    </row>
    <row r="3188">
      <c r="A3188" s="2" t="n">
        <v>3186</v>
      </c>
      <c r="B3188" s="2" t="inlineStr">
        <is>
          <t>truncate</t>
        </is>
      </c>
      <c r="C3188" s="2" t="inlineStr">
        <is>
          <t>browser chrome150</t>
        </is>
      </c>
      <c r="D3188" s="2" t="n">
        <v>99</v>
      </c>
      <c r="E3188" s="2" t="n">
        <v>99</v>
      </c>
      <c r="F3188" s="2" t="n">
        <v>1</v>
      </c>
      <c r="G3188" s="2" t="n">
        <v>0</v>
      </c>
      <c r="H3188" s="2" t="n">
        <v>0</v>
      </c>
      <c r="I3188" s="2" t="n">
        <v>0</v>
      </c>
    </row>
    <row r="3189">
      <c r="A3189" s="2" t="n">
        <v>3187</v>
      </c>
      <c r="B3189" s="2" t="inlineStr">
        <is>
          <t>length</t>
        </is>
      </c>
      <c r="C3189" s="2" t="inlineStr">
        <is>
          <t>openssl TLS 1.2 only</t>
        </is>
      </c>
      <c r="D3189" s="2" t="n">
        <v>215</v>
      </c>
      <c r="E3189" s="2" t="n">
        <v>215</v>
      </c>
      <c r="F3189" s="2" t="n">
        <v>1</v>
      </c>
      <c r="G3189" s="2" t="n">
        <v>1</v>
      </c>
      <c r="H3189" s="2" t="n">
        <v>0</v>
      </c>
      <c r="I3189" s="2" t="n">
        <v>0</v>
      </c>
    </row>
    <row r="3190">
      <c r="A3190" s="2" t="n">
        <v>3188</v>
      </c>
      <c r="B3190" s="2" t="inlineStr">
        <is>
          <t>insert</t>
        </is>
      </c>
      <c r="C3190" s="2" t="inlineStr">
        <is>
          <t>browser firefox147</t>
        </is>
      </c>
      <c r="D3190" s="2" t="n">
        <v>1906</v>
      </c>
      <c r="E3190" s="2" t="n">
        <v>1906</v>
      </c>
      <c r="F3190" s="2" t="n">
        <v>1</v>
      </c>
      <c r="G3190" s="2" t="n">
        <v>1</v>
      </c>
      <c r="H3190" s="2" t="n">
        <v>0</v>
      </c>
      <c r="I3190" s="2" t="n">
        <v>0</v>
      </c>
    </row>
    <row r="3191">
      <c r="A3191" s="2" t="n">
        <v>3189</v>
      </c>
      <c r="B3191" s="2" t="inlineStr">
        <is>
          <t>flip</t>
        </is>
      </c>
      <c r="C3191" s="2" t="inlineStr">
        <is>
          <t>openssl X25519 only (classical)</t>
        </is>
      </c>
      <c r="D3191" s="2" t="n">
        <v>314</v>
      </c>
      <c r="E3191" s="2" t="n">
        <v>314</v>
      </c>
      <c r="F3191" s="2" t="n">
        <v>1</v>
      </c>
      <c r="G3191" s="2" t="n">
        <v>1</v>
      </c>
      <c r="H3191" s="2" t="n">
        <v>1</v>
      </c>
      <c r="I3191" s="2" t="n">
        <v>0</v>
      </c>
    </row>
    <row r="3192">
      <c r="A3192" s="2" t="n">
        <v>3190</v>
      </c>
      <c r="B3192" s="2" t="inlineStr">
        <is>
          <t>truncate</t>
        </is>
      </c>
      <c r="C3192" s="2" t="inlineStr">
        <is>
          <t>browser chrome150</t>
        </is>
      </c>
      <c r="D3192" s="2" t="n">
        <v>1728</v>
      </c>
      <c r="E3192" s="2" t="n">
        <v>1728</v>
      </c>
      <c r="F3192" s="2" t="n">
        <v>1</v>
      </c>
      <c r="G3192" s="2" t="n">
        <v>1</v>
      </c>
      <c r="H3192" s="2" t="n">
        <v>1</v>
      </c>
      <c r="I3192" s="2" t="n">
        <v>0</v>
      </c>
    </row>
    <row r="3193">
      <c r="A3193" s="2" t="n">
        <v>3191</v>
      </c>
      <c r="B3193" s="2" t="inlineStr">
        <is>
          <t>length</t>
        </is>
      </c>
      <c r="C3193" s="2" t="inlineStr">
        <is>
          <t>browser firefox147</t>
        </is>
      </c>
      <c r="D3193" s="2" t="n">
        <v>1901</v>
      </c>
      <c r="E3193" s="2" t="n">
        <v>1901</v>
      </c>
      <c r="F3193" s="2" t="n">
        <v>1</v>
      </c>
      <c r="G3193" s="2" t="n">
        <v>1</v>
      </c>
      <c r="H3193" s="2" t="n">
        <v>0</v>
      </c>
      <c r="I3193" s="2" t="n">
        <v>0</v>
      </c>
    </row>
    <row r="3194">
      <c r="A3194" s="2" t="n">
        <v>3192</v>
      </c>
      <c r="B3194" s="2" t="inlineStr">
        <is>
          <t>insert</t>
        </is>
      </c>
      <c r="C3194" s="2" t="inlineStr">
        <is>
          <t>browser firefox147</t>
        </is>
      </c>
      <c r="D3194" s="2" t="n">
        <v>1902</v>
      </c>
      <c r="E3194" s="2" t="n">
        <v>1902</v>
      </c>
      <c r="F3194" s="2" t="n">
        <v>1</v>
      </c>
      <c r="G3194" s="2" t="n">
        <v>0</v>
      </c>
      <c r="H3194" s="2" t="n">
        <v>0</v>
      </c>
      <c r="I3194" s="2" t="n">
        <v>0</v>
      </c>
    </row>
    <row r="3195">
      <c r="A3195" s="2" t="n">
        <v>3193</v>
      </c>
      <c r="B3195" s="2" t="inlineStr">
        <is>
          <t>flip</t>
        </is>
      </c>
      <c r="C3195" s="2" t="inlineStr">
        <is>
          <t>openssl 3.5.8 default</t>
        </is>
      </c>
      <c r="D3195" s="2" t="n">
        <v>1548</v>
      </c>
      <c r="E3195" s="2" t="n">
        <v>1548</v>
      </c>
      <c r="F3195" s="2" t="n">
        <v>1</v>
      </c>
      <c r="G3195" s="2" t="n">
        <v>1</v>
      </c>
      <c r="H3195" s="2" t="n">
        <v>1</v>
      </c>
      <c r="I3195" s="2" t="n">
        <v>0</v>
      </c>
    </row>
    <row r="3196">
      <c r="A3196" s="2" t="n">
        <v>3194</v>
      </c>
      <c r="B3196" s="2" t="inlineStr">
        <is>
          <t>truncate</t>
        </is>
      </c>
      <c r="C3196" s="2" t="inlineStr">
        <is>
          <t>browser firefox147</t>
        </is>
      </c>
      <c r="D3196" s="2" t="n">
        <v>1043</v>
      </c>
      <c r="E3196" s="2" t="n">
        <v>1043</v>
      </c>
      <c r="F3196" s="2" t="n">
        <v>1</v>
      </c>
      <c r="G3196" s="2" t="n">
        <v>1</v>
      </c>
      <c r="H3196" s="2" t="n">
        <v>0</v>
      </c>
      <c r="I3196" s="2" t="n">
        <v>0</v>
      </c>
    </row>
    <row r="3197">
      <c r="A3197" s="2" t="n">
        <v>3195</v>
      </c>
      <c r="B3197" s="2" t="inlineStr">
        <is>
          <t>length</t>
        </is>
      </c>
      <c r="C3197" s="2" t="inlineStr">
        <is>
          <t>openssl TLS 1.2 only</t>
        </is>
      </c>
      <c r="D3197" s="2" t="n">
        <v>215</v>
      </c>
      <c r="E3197" s="2" t="n">
        <v>215</v>
      </c>
      <c r="F3197" s="2" t="n">
        <v>1</v>
      </c>
      <c r="G3197" s="2" t="n">
        <v>1</v>
      </c>
      <c r="H3197" s="2" t="n">
        <v>1</v>
      </c>
      <c r="I3197" s="2" t="n">
        <v>0</v>
      </c>
    </row>
    <row r="3198">
      <c r="A3198" s="2" t="n">
        <v>3196</v>
      </c>
      <c r="B3198" s="2" t="inlineStr">
        <is>
          <t>insert</t>
        </is>
      </c>
      <c r="C3198" s="2" t="inlineStr">
        <is>
          <t>openssl TLS 1.2 only</t>
        </is>
      </c>
      <c r="D3198" s="2" t="n">
        <v>217</v>
      </c>
      <c r="E3198" s="2" t="n">
        <v>217</v>
      </c>
      <c r="F3198" s="2" t="n">
        <v>1</v>
      </c>
      <c r="G3198" s="2" t="n">
        <v>0</v>
      </c>
      <c r="H3198" s="2" t="n">
        <v>0</v>
      </c>
      <c r="I3198" s="2" t="n">
        <v>0</v>
      </c>
    </row>
    <row r="3199">
      <c r="A3199" s="2" t="n">
        <v>3197</v>
      </c>
      <c r="B3199" s="2" t="inlineStr">
        <is>
          <t>flip</t>
        </is>
      </c>
      <c r="C3199" s="2" t="inlineStr">
        <is>
          <t>openssl X25519 only (classical)</t>
        </is>
      </c>
      <c r="D3199" s="2" t="n">
        <v>314</v>
      </c>
      <c r="E3199" s="2" t="n">
        <v>314</v>
      </c>
      <c r="F3199" s="2" t="n">
        <v>1</v>
      </c>
      <c r="G3199" s="2" t="n">
        <v>1</v>
      </c>
      <c r="H3199" s="2" t="n">
        <v>1</v>
      </c>
      <c r="I3199" s="2" t="n">
        <v>0</v>
      </c>
    </row>
    <row r="3200">
      <c r="A3200" s="2" t="n">
        <v>3198</v>
      </c>
      <c r="B3200" s="2" t="inlineStr">
        <is>
          <t>truncate</t>
        </is>
      </c>
      <c r="C3200" s="2" t="inlineStr">
        <is>
          <t>openssl X25519 only (classical)</t>
        </is>
      </c>
      <c r="D3200" s="2" t="n">
        <v>226</v>
      </c>
      <c r="E3200" s="2" t="n">
        <v>226</v>
      </c>
      <c r="F3200" s="2" t="n">
        <v>1</v>
      </c>
      <c r="G3200" s="2" t="n">
        <v>1</v>
      </c>
      <c r="H3200" s="2" t="n">
        <v>0</v>
      </c>
      <c r="I3200" s="2" t="n">
        <v>0</v>
      </c>
    </row>
    <row r="3201">
      <c r="A3201" s="2" t="n">
        <v>3199</v>
      </c>
      <c r="B3201" s="2" t="inlineStr">
        <is>
          <t>length</t>
        </is>
      </c>
      <c r="C3201" s="2" t="inlineStr">
        <is>
          <t>browser chrome150</t>
        </is>
      </c>
      <c r="D3201" s="2" t="n">
        <v>1763</v>
      </c>
      <c r="E3201" s="2" t="n">
        <v>1763</v>
      </c>
      <c r="F3201" s="2" t="n">
        <v>1</v>
      </c>
      <c r="G3201" s="2" t="n">
        <v>1</v>
      </c>
      <c r="H3201" s="2" t="n">
        <v>1</v>
      </c>
      <c r="I3201" s="2" t="n">
        <v>0</v>
      </c>
    </row>
    <row r="3202">
      <c r="A3202" s="2" t="n">
        <v>3200</v>
      </c>
      <c r="B3202" s="2" t="inlineStr">
        <is>
          <t>insert</t>
        </is>
      </c>
      <c r="C3202" s="2" t="inlineStr">
        <is>
          <t>browser firefox147</t>
        </is>
      </c>
      <c r="D3202" s="2" t="n">
        <v>1906</v>
      </c>
      <c r="E3202" s="2" t="n">
        <v>1906</v>
      </c>
      <c r="F3202" s="2" t="n">
        <v>1</v>
      </c>
      <c r="G3202" s="2" t="n">
        <v>1</v>
      </c>
      <c r="H3202" s="2" t="n">
        <v>0</v>
      </c>
      <c r="I3202" s="2" t="n">
        <v>0</v>
      </c>
    </row>
    <row r="3203">
      <c r="A3203" s="2" t="n">
        <v>3201</v>
      </c>
      <c r="B3203" s="2" t="inlineStr">
        <is>
          <t>flip</t>
        </is>
      </c>
      <c r="C3203" s="2" t="inlineStr">
        <is>
          <t>openssl X25519 only (classical)</t>
        </is>
      </c>
      <c r="D3203" s="2" t="n">
        <v>314</v>
      </c>
      <c r="E3203" s="2" t="n">
        <v>314</v>
      </c>
      <c r="F3203" s="2" t="n">
        <v>1</v>
      </c>
      <c r="G3203" s="2" t="n">
        <v>1</v>
      </c>
      <c r="H3203" s="2" t="n">
        <v>1</v>
      </c>
      <c r="I3203" s="2" t="n">
        <v>0</v>
      </c>
    </row>
    <row r="3204">
      <c r="A3204" s="2" t="n">
        <v>3202</v>
      </c>
      <c r="B3204" s="2" t="inlineStr">
        <is>
          <t>truncate</t>
        </is>
      </c>
      <c r="C3204" s="2" t="inlineStr">
        <is>
          <t>openssl X25519 only (classical)</t>
        </is>
      </c>
      <c r="D3204" s="2" t="n">
        <v>296</v>
      </c>
      <c r="E3204" s="2" t="n">
        <v>296</v>
      </c>
      <c r="F3204" s="2" t="n">
        <v>1</v>
      </c>
      <c r="G3204" s="2" t="n">
        <v>1</v>
      </c>
      <c r="H3204" s="2" t="n">
        <v>1</v>
      </c>
      <c r="I3204" s="2" t="n">
        <v>0</v>
      </c>
    </row>
    <row r="3205">
      <c r="A3205" s="2" t="n">
        <v>3203</v>
      </c>
      <c r="B3205" s="2" t="inlineStr">
        <is>
          <t>length</t>
        </is>
      </c>
      <c r="C3205" s="2" t="inlineStr">
        <is>
          <t>openssl X25519 only (classical)</t>
        </is>
      </c>
      <c r="D3205" s="2" t="n">
        <v>314</v>
      </c>
      <c r="E3205" s="2" t="n">
        <v>314</v>
      </c>
      <c r="F3205" s="2" t="n">
        <v>1</v>
      </c>
      <c r="G3205" s="2" t="n">
        <v>1</v>
      </c>
      <c r="H3205" s="2" t="n">
        <v>1</v>
      </c>
      <c r="I3205" s="2" t="n">
        <v>0</v>
      </c>
    </row>
    <row r="3206">
      <c r="A3206" s="2" t="n">
        <v>3204</v>
      </c>
      <c r="B3206" s="2" t="inlineStr">
        <is>
          <t>insert</t>
        </is>
      </c>
      <c r="C3206" s="2" t="inlineStr">
        <is>
          <t>openssl 3.5.8 default</t>
        </is>
      </c>
      <c r="D3206" s="2" t="n">
        <v>1558</v>
      </c>
      <c r="E3206" s="2" t="n">
        <v>1558</v>
      </c>
      <c r="F3206" s="2" t="n">
        <v>1</v>
      </c>
      <c r="G3206" s="2" t="n">
        <v>1</v>
      </c>
      <c r="H3206" s="2" t="n">
        <v>1</v>
      </c>
      <c r="I3206" s="2" t="n">
        <v>0</v>
      </c>
    </row>
    <row r="3207">
      <c r="A3207" s="2" t="n">
        <v>3205</v>
      </c>
      <c r="B3207" s="2" t="inlineStr">
        <is>
          <t>flip</t>
        </is>
      </c>
      <c r="C3207" s="2" t="inlineStr">
        <is>
          <t>openssl X25519 only (classical)</t>
        </is>
      </c>
      <c r="D3207" s="2" t="n">
        <v>314</v>
      </c>
      <c r="E3207" s="2" t="n">
        <v>314</v>
      </c>
      <c r="F3207" s="2" t="n">
        <v>1</v>
      </c>
      <c r="G3207" s="2" t="n">
        <v>1</v>
      </c>
      <c r="H3207" s="2" t="n">
        <v>1</v>
      </c>
      <c r="I3207" s="2" t="n">
        <v>0</v>
      </c>
    </row>
    <row r="3208">
      <c r="A3208" s="2" t="n">
        <v>3206</v>
      </c>
      <c r="B3208" s="2" t="inlineStr">
        <is>
          <t>truncate</t>
        </is>
      </c>
      <c r="C3208" s="2" t="inlineStr">
        <is>
          <t>openssl TLS 1.2 only</t>
        </is>
      </c>
      <c r="D3208" s="2" t="n">
        <v>36</v>
      </c>
      <c r="E3208" s="2" t="n">
        <v>36</v>
      </c>
      <c r="F3208" s="2" t="n">
        <v>1</v>
      </c>
      <c r="G3208" s="2" t="n">
        <v>0</v>
      </c>
      <c r="H3208" s="2" t="n">
        <v>0</v>
      </c>
      <c r="I3208" s="2" t="n">
        <v>0</v>
      </c>
    </row>
    <row r="3209">
      <c r="A3209" s="2" t="n">
        <v>3207</v>
      </c>
      <c r="B3209" s="2" t="inlineStr">
        <is>
          <t>length</t>
        </is>
      </c>
      <c r="C3209" s="2" t="inlineStr">
        <is>
          <t>openssl X25519 only (classical)</t>
        </is>
      </c>
      <c r="D3209" s="2" t="n">
        <v>314</v>
      </c>
      <c r="E3209" s="2" t="n">
        <v>314</v>
      </c>
      <c r="F3209" s="2" t="n">
        <v>0</v>
      </c>
      <c r="G3209" s="2" t="n">
        <v>0</v>
      </c>
      <c r="H3209" s="2" t="n">
        <v>0</v>
      </c>
      <c r="I3209" s="2" t="n">
        <v>0</v>
      </c>
    </row>
    <row r="3210">
      <c r="A3210" s="2" t="n">
        <v>3208</v>
      </c>
      <c r="B3210" s="2" t="inlineStr">
        <is>
          <t>insert</t>
        </is>
      </c>
      <c r="C3210" s="2" t="inlineStr">
        <is>
          <t>browser chrome150</t>
        </is>
      </c>
      <c r="D3210" s="2" t="n">
        <v>1770</v>
      </c>
      <c r="E3210" s="2" t="n">
        <v>1770</v>
      </c>
      <c r="F3210" s="2" t="n">
        <v>1</v>
      </c>
      <c r="G3210" s="2" t="n">
        <v>1</v>
      </c>
      <c r="H3210" s="2" t="n">
        <v>1</v>
      </c>
      <c r="I3210" s="2" t="n">
        <v>0</v>
      </c>
    </row>
    <row r="3211">
      <c r="A3211" s="2" t="n">
        <v>3209</v>
      </c>
      <c r="B3211" s="2" t="inlineStr">
        <is>
          <t>flip</t>
        </is>
      </c>
      <c r="C3211" s="2" t="inlineStr">
        <is>
          <t>browser chrome150</t>
        </is>
      </c>
      <c r="D3211" s="2" t="n">
        <v>1763</v>
      </c>
      <c r="E3211" s="2" t="n">
        <v>1763</v>
      </c>
      <c r="F3211" s="2" t="n">
        <v>1</v>
      </c>
      <c r="G3211" s="2" t="n">
        <v>1</v>
      </c>
      <c r="H3211" s="2" t="n">
        <v>1</v>
      </c>
      <c r="I3211" s="2" t="n">
        <v>0</v>
      </c>
    </row>
    <row r="3212">
      <c r="A3212" s="2" t="n">
        <v>3210</v>
      </c>
      <c r="B3212" s="2" t="inlineStr">
        <is>
          <t>truncate</t>
        </is>
      </c>
      <c r="C3212" s="2" t="inlineStr">
        <is>
          <t>browser chrome150</t>
        </is>
      </c>
      <c r="D3212" s="2" t="n">
        <v>661</v>
      </c>
      <c r="E3212" s="2" t="n">
        <v>661</v>
      </c>
      <c r="F3212" s="2" t="n">
        <v>1</v>
      </c>
      <c r="G3212" s="2" t="n">
        <v>1</v>
      </c>
      <c r="H3212" s="2" t="n">
        <v>1</v>
      </c>
      <c r="I3212" s="2" t="n">
        <v>0</v>
      </c>
    </row>
    <row r="3213">
      <c r="A3213" s="2" t="n">
        <v>3211</v>
      </c>
      <c r="B3213" s="2" t="inlineStr">
        <is>
          <t>length</t>
        </is>
      </c>
      <c r="C3213" s="2" t="inlineStr">
        <is>
          <t>browser chrome150</t>
        </is>
      </c>
      <c r="D3213" s="2" t="n">
        <v>1763</v>
      </c>
      <c r="E3213" s="2" t="n">
        <v>1763</v>
      </c>
      <c r="F3213" s="2" t="n">
        <v>1</v>
      </c>
      <c r="G3213" s="2" t="n">
        <v>1</v>
      </c>
      <c r="H3213" s="2" t="n">
        <v>1</v>
      </c>
      <c r="I3213" s="2" t="n">
        <v>0</v>
      </c>
    </row>
    <row r="3214">
      <c r="A3214" s="2" t="n">
        <v>3212</v>
      </c>
      <c r="B3214" s="2" t="inlineStr">
        <is>
          <t>insert</t>
        </is>
      </c>
      <c r="C3214" s="2" t="inlineStr">
        <is>
          <t>openssl 3.5.8 default</t>
        </is>
      </c>
      <c r="D3214" s="2" t="n">
        <v>1561</v>
      </c>
      <c r="E3214" s="2" t="n">
        <v>1561</v>
      </c>
      <c r="F3214" s="2" t="n">
        <v>1</v>
      </c>
      <c r="G3214" s="2" t="n">
        <v>1</v>
      </c>
      <c r="H3214" s="2" t="n">
        <v>1</v>
      </c>
      <c r="I3214" s="2" t="n">
        <v>0</v>
      </c>
    </row>
    <row r="3215">
      <c r="A3215" s="2" t="n">
        <v>3213</v>
      </c>
      <c r="B3215" s="2" t="inlineStr">
        <is>
          <t>flip</t>
        </is>
      </c>
      <c r="C3215" s="2" t="inlineStr">
        <is>
          <t>openssl X25519 only (classical)</t>
        </is>
      </c>
      <c r="D3215" s="2" t="n">
        <v>314</v>
      </c>
      <c r="E3215" s="2" t="n">
        <v>314</v>
      </c>
      <c r="F3215" s="2" t="n">
        <v>1</v>
      </c>
      <c r="G3215" s="2" t="n">
        <v>0</v>
      </c>
      <c r="H3215" s="2" t="n">
        <v>0</v>
      </c>
      <c r="I3215" s="2" t="n">
        <v>0</v>
      </c>
    </row>
    <row r="3216">
      <c r="A3216" s="2" t="n">
        <v>3214</v>
      </c>
      <c r="B3216" s="2" t="inlineStr">
        <is>
          <t>truncate</t>
        </is>
      </c>
      <c r="C3216" s="2" t="inlineStr">
        <is>
          <t>openssl TLS 1.2 only</t>
        </is>
      </c>
      <c r="D3216" s="2" t="n">
        <v>172</v>
      </c>
      <c r="E3216" s="2" t="n">
        <v>172</v>
      </c>
      <c r="F3216" s="2" t="n">
        <v>1</v>
      </c>
      <c r="G3216" s="2" t="n">
        <v>1</v>
      </c>
      <c r="H3216" s="2" t="n">
        <v>0</v>
      </c>
      <c r="I3216" s="2" t="n">
        <v>0</v>
      </c>
    </row>
    <row r="3217">
      <c r="A3217" s="2" t="n">
        <v>3215</v>
      </c>
      <c r="B3217" s="2" t="inlineStr">
        <is>
          <t>length</t>
        </is>
      </c>
      <c r="C3217" s="2" t="inlineStr">
        <is>
          <t>openssl X25519 only (classical)</t>
        </is>
      </c>
      <c r="D3217" s="2" t="n">
        <v>314</v>
      </c>
      <c r="E3217" s="2" t="n">
        <v>314</v>
      </c>
      <c r="F3217" s="2" t="n">
        <v>1</v>
      </c>
      <c r="G3217" s="2" t="n">
        <v>1</v>
      </c>
      <c r="H3217" s="2" t="n">
        <v>0</v>
      </c>
      <c r="I3217" s="2" t="n">
        <v>0</v>
      </c>
    </row>
    <row r="3218">
      <c r="A3218" s="2" t="n">
        <v>3216</v>
      </c>
      <c r="B3218" s="2" t="inlineStr">
        <is>
          <t>insert</t>
        </is>
      </c>
      <c r="C3218" s="2" t="inlineStr">
        <is>
          <t>openssl TLS 1.2 only</t>
        </is>
      </c>
      <c r="D3218" s="2" t="n">
        <v>228</v>
      </c>
      <c r="E3218" s="2" t="n">
        <v>228</v>
      </c>
      <c r="F3218" s="2" t="n">
        <v>1</v>
      </c>
      <c r="G3218" s="2" t="n">
        <v>1</v>
      </c>
      <c r="H3218" s="2" t="n">
        <v>1</v>
      </c>
      <c r="I3218" s="2" t="n">
        <v>0</v>
      </c>
    </row>
    <row r="3219">
      <c r="A3219" s="2" t="n">
        <v>3217</v>
      </c>
      <c r="B3219" s="2" t="inlineStr">
        <is>
          <t>flip</t>
        </is>
      </c>
      <c r="C3219" s="2" t="inlineStr">
        <is>
          <t>browser chrome150</t>
        </is>
      </c>
      <c r="D3219" s="2" t="n">
        <v>1763</v>
      </c>
      <c r="E3219" s="2" t="n">
        <v>1763</v>
      </c>
      <c r="F3219" s="2" t="n">
        <v>1</v>
      </c>
      <c r="G3219" s="2" t="n">
        <v>1</v>
      </c>
      <c r="H3219" s="2" t="n">
        <v>1</v>
      </c>
      <c r="I3219" s="2" t="n">
        <v>0</v>
      </c>
    </row>
    <row r="3220">
      <c r="A3220" s="2" t="n">
        <v>3218</v>
      </c>
      <c r="B3220" s="2" t="inlineStr">
        <is>
          <t>truncate</t>
        </is>
      </c>
      <c r="C3220" s="2" t="inlineStr">
        <is>
          <t>openssl TLS 1.2 only</t>
        </is>
      </c>
      <c r="D3220" s="2" t="n">
        <v>155</v>
      </c>
      <c r="E3220" s="2" t="n">
        <v>155</v>
      </c>
      <c r="F3220" s="2" t="n">
        <v>1</v>
      </c>
      <c r="G3220" s="2" t="n">
        <v>1</v>
      </c>
      <c r="H3220" s="2" t="n">
        <v>0</v>
      </c>
      <c r="I3220" s="2" t="n">
        <v>0</v>
      </c>
    </row>
    <row r="3221">
      <c r="A3221" s="2" t="n">
        <v>3219</v>
      </c>
      <c r="B3221" s="2" t="inlineStr">
        <is>
          <t>length</t>
        </is>
      </c>
      <c r="C3221" s="2" t="inlineStr">
        <is>
          <t>browser firefox147</t>
        </is>
      </c>
      <c r="D3221" s="2" t="n">
        <v>1901</v>
      </c>
      <c r="E3221" s="2" t="n">
        <v>1901</v>
      </c>
      <c r="F3221" s="2" t="n">
        <v>1</v>
      </c>
      <c r="G3221" s="2" t="n">
        <v>1</v>
      </c>
      <c r="H3221" s="2" t="n">
        <v>0</v>
      </c>
      <c r="I3221" s="2" t="n">
        <v>0</v>
      </c>
    </row>
    <row r="3222">
      <c r="A3222" s="2" t="n">
        <v>3220</v>
      </c>
      <c r="B3222" s="2" t="inlineStr">
        <is>
          <t>insert</t>
        </is>
      </c>
      <c r="C3222" s="2" t="inlineStr">
        <is>
          <t>openssl TLS 1.2 only</t>
        </is>
      </c>
      <c r="D3222" s="2" t="n">
        <v>224</v>
      </c>
      <c r="E3222" s="2" t="n">
        <v>224</v>
      </c>
      <c r="F3222" s="2" t="n">
        <v>1</v>
      </c>
      <c r="G3222" s="2" t="n">
        <v>1</v>
      </c>
      <c r="H3222" s="2" t="n">
        <v>1</v>
      </c>
      <c r="I3222" s="2" t="n">
        <v>0</v>
      </c>
    </row>
    <row r="3223">
      <c r="A3223" s="2" t="n">
        <v>3221</v>
      </c>
      <c r="B3223" s="2" t="inlineStr">
        <is>
          <t>flip</t>
        </is>
      </c>
      <c r="C3223" s="2" t="inlineStr">
        <is>
          <t>browser firefox147</t>
        </is>
      </c>
      <c r="D3223" s="2" t="n">
        <v>1901</v>
      </c>
      <c r="E3223" s="2" t="n">
        <v>1901</v>
      </c>
      <c r="F3223" s="2" t="n">
        <v>1</v>
      </c>
      <c r="G3223" s="2" t="n">
        <v>1</v>
      </c>
      <c r="H3223" s="2" t="n">
        <v>0</v>
      </c>
      <c r="I3223" s="2" t="n">
        <v>0</v>
      </c>
    </row>
    <row r="3224">
      <c r="A3224" s="2" t="n">
        <v>3222</v>
      </c>
      <c r="B3224" s="2" t="inlineStr">
        <is>
          <t>truncate</t>
        </is>
      </c>
      <c r="C3224" s="2" t="inlineStr">
        <is>
          <t>openssl X25519 only (classical)</t>
        </is>
      </c>
      <c r="D3224" s="2" t="n">
        <v>206</v>
      </c>
      <c r="E3224" s="2" t="n">
        <v>206</v>
      </c>
      <c r="F3224" s="2" t="n">
        <v>1</v>
      </c>
      <c r="G3224" s="2" t="n">
        <v>1</v>
      </c>
      <c r="H3224" s="2" t="n">
        <v>0</v>
      </c>
      <c r="I3224" s="2" t="n">
        <v>0</v>
      </c>
    </row>
    <row r="3225">
      <c r="A3225" s="2" t="n">
        <v>3223</v>
      </c>
      <c r="B3225" s="2" t="inlineStr">
        <is>
          <t>length</t>
        </is>
      </c>
      <c r="C3225" s="2" t="inlineStr">
        <is>
          <t>openssl X25519 only (classical)</t>
        </is>
      </c>
      <c r="D3225" s="2" t="n">
        <v>314</v>
      </c>
      <c r="E3225" s="2" t="n">
        <v>314</v>
      </c>
      <c r="F3225" s="2" t="n">
        <v>1</v>
      </c>
      <c r="G3225" s="2" t="n">
        <v>1</v>
      </c>
      <c r="H3225" s="2" t="n">
        <v>1</v>
      </c>
      <c r="I3225" s="2" t="n">
        <v>0</v>
      </c>
    </row>
    <row r="3226">
      <c r="A3226" s="2" t="n">
        <v>3224</v>
      </c>
      <c r="B3226" s="2" t="inlineStr">
        <is>
          <t>insert</t>
        </is>
      </c>
      <c r="C3226" s="2" t="inlineStr">
        <is>
          <t>openssl TLS 1.2 only</t>
        </is>
      </c>
      <c r="D3226" s="2" t="n">
        <v>220</v>
      </c>
      <c r="E3226" s="2" t="n">
        <v>220</v>
      </c>
      <c r="F3226" s="2" t="n">
        <v>1</v>
      </c>
      <c r="G3226" s="2" t="n">
        <v>1</v>
      </c>
      <c r="H3226" s="2" t="n">
        <v>1</v>
      </c>
      <c r="I3226" s="2" t="n">
        <v>0</v>
      </c>
    </row>
    <row r="3227">
      <c r="A3227" s="2" t="n">
        <v>3225</v>
      </c>
      <c r="B3227" s="2" t="inlineStr">
        <is>
          <t>flip</t>
        </is>
      </c>
      <c r="C3227" s="2" t="inlineStr">
        <is>
          <t>openssl TLS 1.2 only</t>
        </is>
      </c>
      <c r="D3227" s="2" t="n">
        <v>215</v>
      </c>
      <c r="E3227" s="2" t="n">
        <v>215</v>
      </c>
      <c r="F3227" s="2" t="n">
        <v>1</v>
      </c>
      <c r="G3227" s="2" t="n">
        <v>1</v>
      </c>
      <c r="H3227" s="2" t="n">
        <v>1</v>
      </c>
      <c r="I3227" s="2" t="n">
        <v>0</v>
      </c>
    </row>
    <row r="3228">
      <c r="A3228" s="2" t="n">
        <v>3226</v>
      </c>
      <c r="B3228" s="2" t="inlineStr">
        <is>
          <t>truncate</t>
        </is>
      </c>
      <c r="C3228" s="2" t="inlineStr">
        <is>
          <t>openssl TLS 1.2 only</t>
        </is>
      </c>
      <c r="D3228" s="2" t="n">
        <v>43</v>
      </c>
      <c r="E3228" s="2" t="n">
        <v>43</v>
      </c>
      <c r="F3228" s="2" t="n">
        <v>1</v>
      </c>
      <c r="G3228" s="2" t="n">
        <v>0</v>
      </c>
      <c r="H3228" s="2" t="n">
        <v>0</v>
      </c>
      <c r="I3228" s="2" t="n">
        <v>0</v>
      </c>
    </row>
    <row r="3229">
      <c r="A3229" s="2" t="n">
        <v>3227</v>
      </c>
      <c r="B3229" s="2" t="inlineStr">
        <is>
          <t>length</t>
        </is>
      </c>
      <c r="C3229" s="2" t="inlineStr">
        <is>
          <t>openssl X25519 only (classical)</t>
        </is>
      </c>
      <c r="D3229" s="2" t="n">
        <v>314</v>
      </c>
      <c r="E3229" s="2" t="n">
        <v>314</v>
      </c>
      <c r="F3229" s="2" t="n">
        <v>1</v>
      </c>
      <c r="G3229" s="2" t="n">
        <v>0</v>
      </c>
      <c r="H3229" s="2" t="n">
        <v>0</v>
      </c>
      <c r="I3229" s="2" t="n">
        <v>0</v>
      </c>
    </row>
    <row r="3230">
      <c r="A3230" s="2" t="n">
        <v>3228</v>
      </c>
      <c r="B3230" s="2" t="inlineStr">
        <is>
          <t>insert</t>
        </is>
      </c>
      <c r="C3230" s="2" t="inlineStr">
        <is>
          <t>browser firefox147</t>
        </is>
      </c>
      <c r="D3230" s="2" t="n">
        <v>1910</v>
      </c>
      <c r="E3230" s="2" t="n">
        <v>1910</v>
      </c>
      <c r="F3230" s="2" t="n">
        <v>1</v>
      </c>
      <c r="G3230" s="2" t="n">
        <v>1</v>
      </c>
      <c r="H3230" s="2" t="n">
        <v>0</v>
      </c>
      <c r="I3230" s="2" t="n">
        <v>0</v>
      </c>
    </row>
    <row r="3231">
      <c r="A3231" s="2" t="n">
        <v>3229</v>
      </c>
      <c r="B3231" s="2" t="inlineStr">
        <is>
          <t>flip</t>
        </is>
      </c>
      <c r="C3231" s="2" t="inlineStr">
        <is>
          <t>openssl X25519 only (classical)</t>
        </is>
      </c>
      <c r="D3231" s="2" t="n">
        <v>314</v>
      </c>
      <c r="E3231" s="2" t="n">
        <v>314</v>
      </c>
      <c r="F3231" s="2" t="n">
        <v>1</v>
      </c>
      <c r="G3231" s="2" t="n">
        <v>1</v>
      </c>
      <c r="H3231" s="2" t="n">
        <v>1</v>
      </c>
      <c r="I3231" s="2" t="n">
        <v>0</v>
      </c>
    </row>
    <row r="3232">
      <c r="A3232" s="2" t="n">
        <v>3230</v>
      </c>
      <c r="B3232" s="2" t="inlineStr">
        <is>
          <t>truncate</t>
        </is>
      </c>
      <c r="C3232" s="2" t="inlineStr">
        <is>
          <t>openssl X25519 only (classical)</t>
        </is>
      </c>
      <c r="D3232" s="2" t="n">
        <v>114</v>
      </c>
      <c r="E3232" s="2" t="n">
        <v>114</v>
      </c>
      <c r="F3232" s="2" t="n">
        <v>1</v>
      </c>
      <c r="G3232" s="2" t="n">
        <v>0</v>
      </c>
      <c r="H3232" s="2" t="n">
        <v>0</v>
      </c>
      <c r="I3232" s="2" t="n">
        <v>0</v>
      </c>
    </row>
    <row r="3233">
      <c r="A3233" s="2" t="n">
        <v>3231</v>
      </c>
      <c r="B3233" s="2" t="inlineStr">
        <is>
          <t>length</t>
        </is>
      </c>
      <c r="C3233" s="2" t="inlineStr">
        <is>
          <t>openssl 3.5.8 default</t>
        </is>
      </c>
      <c r="D3233" s="2" t="n">
        <v>1548</v>
      </c>
      <c r="E3233" s="2" t="n">
        <v>1548</v>
      </c>
      <c r="F3233" s="2" t="n">
        <v>1</v>
      </c>
      <c r="G3233" s="2" t="n">
        <v>1</v>
      </c>
      <c r="H3233" s="2" t="n">
        <v>1</v>
      </c>
      <c r="I3233" s="2" t="n">
        <v>0</v>
      </c>
    </row>
    <row r="3234">
      <c r="A3234" s="2" t="n">
        <v>3232</v>
      </c>
      <c r="B3234" s="2" t="inlineStr">
        <is>
          <t>insert</t>
        </is>
      </c>
      <c r="C3234" s="2" t="inlineStr">
        <is>
          <t>browser chrome150</t>
        </is>
      </c>
      <c r="D3234" s="2" t="n">
        <v>1766</v>
      </c>
      <c r="E3234" s="2" t="n">
        <v>1766</v>
      </c>
      <c r="F3234" s="2" t="n">
        <v>1</v>
      </c>
      <c r="G3234" s="2" t="n">
        <v>1</v>
      </c>
      <c r="H3234" s="2" t="n">
        <v>1</v>
      </c>
      <c r="I3234" s="2" t="n">
        <v>0</v>
      </c>
    </row>
    <row r="3235">
      <c r="A3235" s="2" t="n">
        <v>3233</v>
      </c>
      <c r="B3235" s="2" t="inlineStr">
        <is>
          <t>flip</t>
        </is>
      </c>
      <c r="C3235" s="2" t="inlineStr">
        <is>
          <t>browser chrome150</t>
        </is>
      </c>
      <c r="D3235" s="2" t="n">
        <v>1763</v>
      </c>
      <c r="E3235" s="2" t="n">
        <v>1763</v>
      </c>
      <c r="F3235" s="2" t="n">
        <v>1</v>
      </c>
      <c r="G3235" s="2" t="n">
        <v>1</v>
      </c>
      <c r="H3235" s="2" t="n">
        <v>1</v>
      </c>
      <c r="I3235" s="2" t="n">
        <v>0</v>
      </c>
    </row>
    <row r="3236">
      <c r="A3236" s="2" t="n">
        <v>3234</v>
      </c>
      <c r="B3236" s="2" t="inlineStr">
        <is>
          <t>truncate</t>
        </is>
      </c>
      <c r="C3236" s="2" t="inlineStr">
        <is>
          <t>openssl 3.5.8 default</t>
        </is>
      </c>
      <c r="D3236" s="2" t="n">
        <v>1478</v>
      </c>
      <c r="E3236" s="2" t="n">
        <v>1478</v>
      </c>
      <c r="F3236" s="2" t="n">
        <v>1</v>
      </c>
      <c r="G3236" s="2" t="n">
        <v>1</v>
      </c>
      <c r="H3236" s="2" t="n">
        <v>1</v>
      </c>
      <c r="I3236" s="2" t="n">
        <v>0</v>
      </c>
    </row>
    <row r="3237">
      <c r="A3237" s="2" t="n">
        <v>3235</v>
      </c>
      <c r="B3237" s="2" t="inlineStr">
        <is>
          <t>length</t>
        </is>
      </c>
      <c r="C3237" s="2" t="inlineStr">
        <is>
          <t>openssl TLS 1.2 only</t>
        </is>
      </c>
      <c r="D3237" s="2" t="n">
        <v>215</v>
      </c>
      <c r="E3237" s="2" t="n">
        <v>215</v>
      </c>
      <c r="F3237" s="2" t="n">
        <v>1</v>
      </c>
      <c r="G3237" s="2" t="n">
        <v>1</v>
      </c>
      <c r="H3237" s="2" t="n">
        <v>0</v>
      </c>
      <c r="I3237" s="2" t="n">
        <v>0</v>
      </c>
    </row>
    <row r="3238">
      <c r="A3238" s="2" t="n">
        <v>3236</v>
      </c>
      <c r="B3238" s="2" t="inlineStr">
        <is>
          <t>insert</t>
        </is>
      </c>
      <c r="C3238" s="2" t="inlineStr">
        <is>
          <t>browser firefox147</t>
        </is>
      </c>
      <c r="D3238" s="2" t="n">
        <v>1915</v>
      </c>
      <c r="E3238" s="2" t="n">
        <v>1915</v>
      </c>
      <c r="F3238" s="2" t="n">
        <v>1</v>
      </c>
      <c r="G3238" s="2" t="n">
        <v>1</v>
      </c>
      <c r="H3238" s="2" t="n">
        <v>0</v>
      </c>
      <c r="I3238" s="2" t="n">
        <v>0</v>
      </c>
    </row>
    <row r="3239">
      <c r="A3239" s="2" t="n">
        <v>3237</v>
      </c>
      <c r="B3239" s="2" t="inlineStr">
        <is>
          <t>flip</t>
        </is>
      </c>
      <c r="C3239" s="2" t="inlineStr">
        <is>
          <t>openssl X25519 only (classical)</t>
        </is>
      </c>
      <c r="D3239" s="2" t="n">
        <v>314</v>
      </c>
      <c r="E3239" s="2" t="n">
        <v>314</v>
      </c>
      <c r="F3239" s="2" t="n">
        <v>1</v>
      </c>
      <c r="G3239" s="2" t="n">
        <v>1</v>
      </c>
      <c r="H3239" s="2" t="n">
        <v>1</v>
      </c>
      <c r="I3239" s="2" t="n">
        <v>0</v>
      </c>
    </row>
    <row r="3240">
      <c r="A3240" s="2" t="n">
        <v>3238</v>
      </c>
      <c r="B3240" s="2" t="inlineStr">
        <is>
          <t>truncate</t>
        </is>
      </c>
      <c r="C3240" s="2" t="inlineStr">
        <is>
          <t>openssl 3.5.8 default</t>
        </is>
      </c>
      <c r="D3240" s="2" t="n">
        <v>1001</v>
      </c>
      <c r="E3240" s="2" t="n">
        <v>1001</v>
      </c>
      <c r="F3240" s="2" t="n">
        <v>1</v>
      </c>
      <c r="G3240" s="2" t="n">
        <v>1</v>
      </c>
      <c r="H3240" s="2" t="n">
        <v>1</v>
      </c>
      <c r="I3240" s="2" t="n">
        <v>0</v>
      </c>
    </row>
    <row r="3241">
      <c r="A3241" s="2" t="n">
        <v>3239</v>
      </c>
      <c r="B3241" s="2" t="inlineStr">
        <is>
          <t>length</t>
        </is>
      </c>
      <c r="C3241" s="2" t="inlineStr">
        <is>
          <t>browser firefox147</t>
        </is>
      </c>
      <c r="D3241" s="2" t="n">
        <v>1901</v>
      </c>
      <c r="E3241" s="2" t="n">
        <v>1901</v>
      </c>
      <c r="F3241" s="2" t="n">
        <v>1</v>
      </c>
      <c r="G3241" s="2" t="n">
        <v>0</v>
      </c>
      <c r="H3241" s="2" t="n">
        <v>0</v>
      </c>
      <c r="I3241" s="2" t="n">
        <v>0</v>
      </c>
    </row>
    <row r="3242">
      <c r="A3242" s="2" t="n">
        <v>3240</v>
      </c>
      <c r="B3242" s="2" t="inlineStr">
        <is>
          <t>insert</t>
        </is>
      </c>
      <c r="C3242" s="2" t="inlineStr">
        <is>
          <t>browser firefox147</t>
        </is>
      </c>
      <c r="D3242" s="2" t="n">
        <v>1907</v>
      </c>
      <c r="E3242" s="2" t="n">
        <v>1907</v>
      </c>
      <c r="F3242" s="2" t="n">
        <v>1</v>
      </c>
      <c r="G3242" s="2" t="n">
        <v>1</v>
      </c>
      <c r="H3242" s="2" t="n">
        <v>0</v>
      </c>
      <c r="I3242" s="2" t="n">
        <v>0</v>
      </c>
    </row>
    <row r="3243">
      <c r="A3243" s="2" t="n">
        <v>3241</v>
      </c>
      <c r="B3243" s="2" t="inlineStr">
        <is>
          <t>flip</t>
        </is>
      </c>
      <c r="C3243" s="2" t="inlineStr">
        <is>
          <t>browser firefox147</t>
        </is>
      </c>
      <c r="D3243" s="2" t="n">
        <v>1901</v>
      </c>
      <c r="E3243" s="2" t="n">
        <v>1901</v>
      </c>
      <c r="F3243" s="2" t="n">
        <v>1</v>
      </c>
      <c r="G3243" s="2" t="n">
        <v>1</v>
      </c>
      <c r="H3243" s="2" t="n">
        <v>0</v>
      </c>
      <c r="I3243" s="2" t="n">
        <v>0</v>
      </c>
    </row>
    <row r="3244">
      <c r="A3244" s="2" t="n">
        <v>3242</v>
      </c>
      <c r="B3244" s="2" t="inlineStr">
        <is>
          <t>truncate</t>
        </is>
      </c>
      <c r="C3244" s="2" t="inlineStr">
        <is>
          <t>openssl X25519 only (classical)</t>
        </is>
      </c>
      <c r="D3244" s="2" t="n">
        <v>244</v>
      </c>
      <c r="E3244" s="2" t="n">
        <v>244</v>
      </c>
      <c r="F3244" s="2" t="n">
        <v>1</v>
      </c>
      <c r="G3244" s="2" t="n">
        <v>1</v>
      </c>
      <c r="H3244" s="2" t="n">
        <v>0</v>
      </c>
      <c r="I3244" s="2" t="n">
        <v>0</v>
      </c>
    </row>
    <row r="3245">
      <c r="A3245" s="2" t="n">
        <v>3243</v>
      </c>
      <c r="B3245" s="2" t="inlineStr">
        <is>
          <t>length</t>
        </is>
      </c>
      <c r="C3245" s="2" t="inlineStr">
        <is>
          <t>openssl 3.5.8 default</t>
        </is>
      </c>
      <c r="D3245" s="2" t="n">
        <v>1548</v>
      </c>
      <c r="E3245" s="2" t="n">
        <v>1548</v>
      </c>
      <c r="F3245" s="2" t="n">
        <v>1</v>
      </c>
      <c r="G3245" s="2" t="n">
        <v>0</v>
      </c>
      <c r="H3245" s="2" t="n">
        <v>0</v>
      </c>
      <c r="I3245" s="2" t="n">
        <v>0</v>
      </c>
    </row>
    <row r="3246">
      <c r="A3246" s="2" t="n">
        <v>3244</v>
      </c>
      <c r="B3246" s="2" t="inlineStr">
        <is>
          <t>insert</t>
        </is>
      </c>
      <c r="C3246" s="2" t="inlineStr">
        <is>
          <t>openssl X25519 only (classical)</t>
        </is>
      </c>
      <c r="D3246" s="2" t="n">
        <v>330</v>
      </c>
      <c r="E3246" s="2" t="n">
        <v>330</v>
      </c>
      <c r="F3246" s="2" t="n">
        <v>1</v>
      </c>
      <c r="G3246" s="2" t="n">
        <v>1</v>
      </c>
      <c r="H3246" s="2" t="n">
        <v>1</v>
      </c>
      <c r="I3246" s="2" t="n">
        <v>0</v>
      </c>
    </row>
    <row r="3247">
      <c r="A3247" s="2" t="n">
        <v>3245</v>
      </c>
      <c r="B3247" s="2" t="inlineStr">
        <is>
          <t>flip</t>
        </is>
      </c>
      <c r="C3247" s="2" t="inlineStr">
        <is>
          <t>openssl TLS 1.2 only</t>
        </is>
      </c>
      <c r="D3247" s="2" t="n">
        <v>215</v>
      </c>
      <c r="E3247" s="2" t="n">
        <v>215</v>
      </c>
      <c r="F3247" s="2" t="n">
        <v>1</v>
      </c>
      <c r="G3247" s="2" t="n">
        <v>1</v>
      </c>
      <c r="H3247" s="2" t="n">
        <v>1</v>
      </c>
      <c r="I3247" s="2" t="n">
        <v>0</v>
      </c>
    </row>
    <row r="3248">
      <c r="A3248" s="2" t="n">
        <v>3246</v>
      </c>
      <c r="B3248" s="2" t="inlineStr">
        <is>
          <t>truncate</t>
        </is>
      </c>
      <c r="C3248" s="2" t="inlineStr">
        <is>
          <t>browser chrome150</t>
        </is>
      </c>
      <c r="D3248" s="2" t="n">
        <v>1583</v>
      </c>
      <c r="E3248" s="2" t="n">
        <v>1583</v>
      </c>
      <c r="F3248" s="2" t="n">
        <v>1</v>
      </c>
      <c r="G3248" s="2" t="n">
        <v>1</v>
      </c>
      <c r="H3248" s="2" t="n">
        <v>1</v>
      </c>
      <c r="I3248" s="2" t="n">
        <v>0</v>
      </c>
    </row>
    <row r="3249">
      <c r="A3249" s="2" t="n">
        <v>3247</v>
      </c>
      <c r="B3249" s="2" t="inlineStr">
        <is>
          <t>length</t>
        </is>
      </c>
      <c r="C3249" s="2" t="inlineStr">
        <is>
          <t>openssl TLS 1.2 only</t>
        </is>
      </c>
      <c r="D3249" s="2" t="n">
        <v>215</v>
      </c>
      <c r="E3249" s="2" t="n">
        <v>215</v>
      </c>
      <c r="F3249" s="2" t="n">
        <v>1</v>
      </c>
      <c r="G3249" s="2" t="n">
        <v>1</v>
      </c>
      <c r="H3249" s="2" t="n">
        <v>0</v>
      </c>
      <c r="I3249" s="2" t="n">
        <v>0</v>
      </c>
    </row>
    <row r="3250">
      <c r="A3250" s="2" t="n">
        <v>3248</v>
      </c>
      <c r="B3250" s="2" t="inlineStr">
        <is>
          <t>insert</t>
        </is>
      </c>
      <c r="C3250" s="2" t="inlineStr">
        <is>
          <t>openssl X25519 only (classical)</t>
        </is>
      </c>
      <c r="D3250" s="2" t="n">
        <v>325</v>
      </c>
      <c r="E3250" s="2" t="n">
        <v>325</v>
      </c>
      <c r="F3250" s="2" t="n">
        <v>1</v>
      </c>
      <c r="G3250" s="2" t="n">
        <v>0</v>
      </c>
      <c r="H3250" s="2" t="n">
        <v>0</v>
      </c>
      <c r="I3250" s="2" t="n">
        <v>0</v>
      </c>
    </row>
    <row r="3251">
      <c r="A3251" s="2" t="n">
        <v>3249</v>
      </c>
      <c r="B3251" s="2" t="inlineStr">
        <is>
          <t>flip</t>
        </is>
      </c>
      <c r="C3251" s="2" t="inlineStr">
        <is>
          <t>openssl 3.5.8 default</t>
        </is>
      </c>
      <c r="D3251" s="2" t="n">
        <v>1548</v>
      </c>
      <c r="E3251" s="2" t="n">
        <v>1548</v>
      </c>
      <c r="F3251" s="2" t="n">
        <v>1</v>
      </c>
      <c r="G3251" s="2" t="n">
        <v>1</v>
      </c>
      <c r="H3251" s="2" t="n">
        <v>1</v>
      </c>
      <c r="I3251" s="2" t="n">
        <v>0</v>
      </c>
    </row>
    <row r="3252">
      <c r="A3252" s="2" t="n">
        <v>3250</v>
      </c>
      <c r="B3252" s="2" t="inlineStr">
        <is>
          <t>truncate</t>
        </is>
      </c>
      <c r="C3252" s="2" t="inlineStr">
        <is>
          <t>openssl TLS 1.2 only</t>
        </is>
      </c>
      <c r="D3252" s="2" t="n">
        <v>118</v>
      </c>
      <c r="E3252" s="2" t="n">
        <v>118</v>
      </c>
      <c r="F3252" s="2" t="n">
        <v>1</v>
      </c>
      <c r="G3252" s="2" t="n">
        <v>1</v>
      </c>
      <c r="H3252" s="2" t="n">
        <v>0</v>
      </c>
      <c r="I3252" s="2" t="n">
        <v>0</v>
      </c>
    </row>
    <row r="3253">
      <c r="A3253" s="2" t="n">
        <v>3251</v>
      </c>
      <c r="B3253" s="2" t="inlineStr">
        <is>
          <t>length</t>
        </is>
      </c>
      <c r="C3253" s="2" t="inlineStr">
        <is>
          <t>browser chrome150</t>
        </is>
      </c>
      <c r="D3253" s="2" t="n">
        <v>1763</v>
      </c>
      <c r="E3253" s="2" t="n">
        <v>1763</v>
      </c>
      <c r="F3253" s="2" t="n">
        <v>1</v>
      </c>
      <c r="G3253" s="2" t="n">
        <v>1</v>
      </c>
      <c r="H3253" s="2" t="n">
        <v>1</v>
      </c>
      <c r="I3253" s="2" t="n">
        <v>0</v>
      </c>
    </row>
    <row r="3254">
      <c r="A3254" s="2" t="n">
        <v>3252</v>
      </c>
      <c r="B3254" s="2" t="inlineStr">
        <is>
          <t>insert</t>
        </is>
      </c>
      <c r="C3254" s="2" t="inlineStr">
        <is>
          <t>openssl TLS 1.2 only</t>
        </is>
      </c>
      <c r="D3254" s="2" t="n">
        <v>222</v>
      </c>
      <c r="E3254" s="2" t="n">
        <v>222</v>
      </c>
      <c r="F3254" s="2" t="n">
        <v>1</v>
      </c>
      <c r="G3254" s="2" t="n">
        <v>0</v>
      </c>
      <c r="H3254" s="2" t="n">
        <v>0</v>
      </c>
      <c r="I3254" s="2" t="n">
        <v>0</v>
      </c>
    </row>
    <row r="3255">
      <c r="A3255" s="2" t="n">
        <v>3253</v>
      </c>
      <c r="B3255" s="2" t="inlineStr">
        <is>
          <t>flip</t>
        </is>
      </c>
      <c r="C3255" s="2" t="inlineStr">
        <is>
          <t>browser firefox147</t>
        </is>
      </c>
      <c r="D3255" s="2" t="n">
        <v>1901</v>
      </c>
      <c r="E3255" s="2" t="n">
        <v>1901</v>
      </c>
      <c r="F3255" s="2" t="n">
        <v>1</v>
      </c>
      <c r="G3255" s="2" t="n">
        <v>1</v>
      </c>
      <c r="H3255" s="2" t="n">
        <v>0</v>
      </c>
      <c r="I3255" s="2" t="n">
        <v>0</v>
      </c>
    </row>
    <row r="3256">
      <c r="A3256" s="2" t="n">
        <v>3254</v>
      </c>
      <c r="B3256" s="2" t="inlineStr">
        <is>
          <t>truncate</t>
        </is>
      </c>
      <c r="C3256" s="2" t="inlineStr">
        <is>
          <t>openssl 3.5.8 default</t>
        </is>
      </c>
      <c r="D3256" s="2" t="n">
        <v>541</v>
      </c>
      <c r="E3256" s="2" t="n">
        <v>541</v>
      </c>
      <c r="F3256" s="2" t="n">
        <v>1</v>
      </c>
      <c r="G3256" s="2" t="n">
        <v>1</v>
      </c>
      <c r="H3256" s="2" t="n">
        <v>1</v>
      </c>
      <c r="I3256" s="2" t="n">
        <v>0</v>
      </c>
    </row>
    <row r="3257">
      <c r="A3257" s="2" t="n">
        <v>3255</v>
      </c>
      <c r="B3257" s="2" t="inlineStr">
        <is>
          <t>length</t>
        </is>
      </c>
      <c r="C3257" s="2" t="inlineStr">
        <is>
          <t>openssl X25519 only (classical)</t>
        </is>
      </c>
      <c r="D3257" s="2" t="n">
        <v>314</v>
      </c>
      <c r="E3257" s="2" t="n">
        <v>314</v>
      </c>
      <c r="F3257" s="2" t="n">
        <v>1</v>
      </c>
      <c r="G3257" s="2" t="n">
        <v>1</v>
      </c>
      <c r="H3257" s="2" t="n">
        <v>1</v>
      </c>
      <c r="I3257" s="2" t="n">
        <v>0</v>
      </c>
    </row>
    <row r="3258">
      <c r="A3258" s="2" t="n">
        <v>3256</v>
      </c>
      <c r="B3258" s="2" t="inlineStr">
        <is>
          <t>insert</t>
        </is>
      </c>
      <c r="C3258" s="2" t="inlineStr">
        <is>
          <t>openssl TLS 1.2 only</t>
        </is>
      </c>
      <c r="D3258" s="2" t="n">
        <v>228</v>
      </c>
      <c r="E3258" s="2" t="n">
        <v>228</v>
      </c>
      <c r="F3258" s="2" t="n">
        <v>1</v>
      </c>
      <c r="G3258" s="2" t="n">
        <v>1</v>
      </c>
      <c r="H3258" s="2" t="n">
        <v>1</v>
      </c>
      <c r="I3258" s="2" t="n">
        <v>0</v>
      </c>
    </row>
    <row r="3259">
      <c r="A3259" s="2" t="n">
        <v>3257</v>
      </c>
      <c r="B3259" s="2" t="inlineStr">
        <is>
          <t>flip</t>
        </is>
      </c>
      <c r="C3259" s="2" t="inlineStr">
        <is>
          <t>openssl 3.5.8 default</t>
        </is>
      </c>
      <c r="D3259" s="2" t="n">
        <v>1548</v>
      </c>
      <c r="E3259" s="2" t="n">
        <v>1548</v>
      </c>
      <c r="F3259" s="2" t="n">
        <v>1</v>
      </c>
      <c r="G3259" s="2" t="n">
        <v>1</v>
      </c>
      <c r="H3259" s="2" t="n">
        <v>1</v>
      </c>
      <c r="I3259" s="2" t="n">
        <v>0</v>
      </c>
    </row>
    <row r="3260">
      <c r="A3260" s="2" t="n">
        <v>3258</v>
      </c>
      <c r="B3260" s="2" t="inlineStr">
        <is>
          <t>truncate</t>
        </is>
      </c>
      <c r="C3260" s="2" t="inlineStr">
        <is>
          <t>browser firefox147</t>
        </is>
      </c>
      <c r="D3260" s="2" t="n">
        <v>396</v>
      </c>
      <c r="E3260" s="2" t="n">
        <v>396</v>
      </c>
      <c r="F3260" s="2" t="n">
        <v>1</v>
      </c>
      <c r="G3260" s="2" t="n">
        <v>1</v>
      </c>
      <c r="H3260" s="2" t="n">
        <v>0</v>
      </c>
      <c r="I3260" s="2" t="n">
        <v>0</v>
      </c>
    </row>
    <row r="3261">
      <c r="A3261" s="2" t="n">
        <v>3259</v>
      </c>
      <c r="B3261" s="2" t="inlineStr">
        <is>
          <t>length</t>
        </is>
      </c>
      <c r="C3261" s="2" t="inlineStr">
        <is>
          <t>browser firefox147</t>
        </is>
      </c>
      <c r="D3261" s="2" t="n">
        <v>1901</v>
      </c>
      <c r="E3261" s="2" t="n">
        <v>1901</v>
      </c>
      <c r="F3261" s="2" t="n">
        <v>0</v>
      </c>
      <c r="G3261" s="2" t="n">
        <v>0</v>
      </c>
      <c r="H3261" s="2" t="n">
        <v>0</v>
      </c>
      <c r="I3261" s="2" t="n">
        <v>0</v>
      </c>
    </row>
    <row r="3262">
      <c r="A3262" s="2" t="n">
        <v>3260</v>
      </c>
      <c r="B3262" s="2" t="inlineStr">
        <is>
          <t>insert</t>
        </is>
      </c>
      <c r="C3262" s="2" t="inlineStr">
        <is>
          <t>openssl TLS 1.2 only</t>
        </is>
      </c>
      <c r="D3262" s="2" t="n">
        <v>218</v>
      </c>
      <c r="E3262" s="2" t="n">
        <v>218</v>
      </c>
      <c r="F3262" s="2" t="n">
        <v>1</v>
      </c>
      <c r="G3262" s="2" t="n">
        <v>1</v>
      </c>
      <c r="H3262" s="2" t="n">
        <v>1</v>
      </c>
      <c r="I3262" s="2" t="n">
        <v>0</v>
      </c>
    </row>
    <row r="3263">
      <c r="A3263" s="2" t="n">
        <v>3261</v>
      </c>
      <c r="B3263" s="2" t="inlineStr">
        <is>
          <t>flip</t>
        </is>
      </c>
      <c r="C3263" s="2" t="inlineStr">
        <is>
          <t>openssl TLS 1.2 only</t>
        </is>
      </c>
      <c r="D3263" s="2" t="n">
        <v>215</v>
      </c>
      <c r="E3263" s="2" t="n">
        <v>215</v>
      </c>
      <c r="F3263" s="2" t="n">
        <v>1</v>
      </c>
      <c r="G3263" s="2" t="n">
        <v>1</v>
      </c>
      <c r="H3263" s="2" t="n">
        <v>1</v>
      </c>
      <c r="I3263" s="2" t="n">
        <v>0</v>
      </c>
    </row>
    <row r="3264">
      <c r="A3264" s="2" t="n">
        <v>3262</v>
      </c>
      <c r="B3264" s="2" t="inlineStr">
        <is>
          <t>truncate</t>
        </is>
      </c>
      <c r="C3264" s="2" t="inlineStr">
        <is>
          <t>openssl X25519 only (classical)</t>
        </is>
      </c>
      <c r="D3264" s="2" t="n">
        <v>41</v>
      </c>
      <c r="E3264" s="2" t="n">
        <v>41</v>
      </c>
      <c r="F3264" s="2" t="n">
        <v>1</v>
      </c>
      <c r="G3264" s="2" t="n">
        <v>0</v>
      </c>
      <c r="H3264" s="2" t="n">
        <v>0</v>
      </c>
      <c r="I3264" s="2" t="n">
        <v>0</v>
      </c>
    </row>
    <row r="3265">
      <c r="A3265" s="2" t="n">
        <v>3263</v>
      </c>
      <c r="B3265" s="2" t="inlineStr">
        <is>
          <t>length</t>
        </is>
      </c>
      <c r="C3265" s="2" t="inlineStr">
        <is>
          <t>openssl X25519 only (classical)</t>
        </is>
      </c>
      <c r="D3265" s="2" t="n">
        <v>314</v>
      </c>
      <c r="E3265" s="2" t="n">
        <v>314</v>
      </c>
      <c r="F3265" s="2" t="n">
        <v>1</v>
      </c>
      <c r="G3265" s="2" t="n">
        <v>1</v>
      </c>
      <c r="H3265" s="2" t="n">
        <v>1</v>
      </c>
      <c r="I3265" s="2" t="n">
        <v>0</v>
      </c>
    </row>
    <row r="3266">
      <c r="A3266" s="2" t="n">
        <v>3264</v>
      </c>
      <c r="B3266" s="2" t="inlineStr">
        <is>
          <t>insert</t>
        </is>
      </c>
      <c r="C3266" s="2" t="inlineStr">
        <is>
          <t>openssl X25519 only (classical)</t>
        </is>
      </c>
      <c r="D3266" s="2" t="n">
        <v>326</v>
      </c>
      <c r="E3266" s="2" t="n">
        <v>326</v>
      </c>
      <c r="F3266" s="2" t="n">
        <v>1</v>
      </c>
      <c r="G3266" s="2" t="n">
        <v>1</v>
      </c>
      <c r="H3266" s="2" t="n">
        <v>1</v>
      </c>
      <c r="I3266" s="2" t="n">
        <v>0</v>
      </c>
    </row>
    <row r="3267">
      <c r="A3267" s="2" t="n">
        <v>3265</v>
      </c>
      <c r="B3267" s="2" t="inlineStr">
        <is>
          <t>flip</t>
        </is>
      </c>
      <c r="C3267" s="2" t="inlineStr">
        <is>
          <t>openssl TLS 1.2 only</t>
        </is>
      </c>
      <c r="D3267" s="2" t="n">
        <v>215</v>
      </c>
      <c r="E3267" s="2" t="n">
        <v>215</v>
      </c>
      <c r="F3267" s="2" t="n">
        <v>1</v>
      </c>
      <c r="G3267" s="2" t="n">
        <v>1</v>
      </c>
      <c r="H3267" s="2" t="n">
        <v>1</v>
      </c>
      <c r="I3267" s="2" t="n">
        <v>0</v>
      </c>
    </row>
    <row r="3268">
      <c r="A3268" s="2" t="n">
        <v>3266</v>
      </c>
      <c r="B3268" s="2" t="inlineStr">
        <is>
          <t>truncate</t>
        </is>
      </c>
      <c r="C3268" s="2" t="inlineStr">
        <is>
          <t>openssl X25519 only (classical)</t>
        </is>
      </c>
      <c r="D3268" s="2" t="n">
        <v>33</v>
      </c>
      <c r="E3268" s="2" t="n">
        <v>33</v>
      </c>
      <c r="F3268" s="2" t="n">
        <v>1</v>
      </c>
      <c r="G3268" s="2" t="n">
        <v>0</v>
      </c>
      <c r="H3268" s="2" t="n">
        <v>0</v>
      </c>
      <c r="I3268" s="2" t="n">
        <v>0</v>
      </c>
    </row>
    <row r="3269">
      <c r="A3269" s="2" t="n">
        <v>3267</v>
      </c>
      <c r="B3269" s="2" t="inlineStr">
        <is>
          <t>length</t>
        </is>
      </c>
      <c r="C3269" s="2" t="inlineStr">
        <is>
          <t>browser chrome150</t>
        </is>
      </c>
      <c r="D3269" s="2" t="n">
        <v>1763</v>
      </c>
      <c r="E3269" s="2" t="n">
        <v>1763</v>
      </c>
      <c r="F3269" s="2" t="n">
        <v>1</v>
      </c>
      <c r="G3269" s="2" t="n">
        <v>1</v>
      </c>
      <c r="H3269" s="2" t="n">
        <v>1</v>
      </c>
      <c r="I3269" s="2" t="n">
        <v>0</v>
      </c>
    </row>
    <row r="3270">
      <c r="A3270" s="2" t="n">
        <v>3268</v>
      </c>
      <c r="B3270" s="2" t="inlineStr">
        <is>
          <t>insert</t>
        </is>
      </c>
      <c r="C3270" s="2" t="inlineStr">
        <is>
          <t>openssl X25519 only (classical)</t>
        </is>
      </c>
      <c r="D3270" s="2" t="n">
        <v>319</v>
      </c>
      <c r="E3270" s="2" t="n">
        <v>319</v>
      </c>
      <c r="F3270" s="2" t="n">
        <v>1</v>
      </c>
      <c r="G3270" s="2" t="n">
        <v>0</v>
      </c>
      <c r="H3270" s="2" t="n">
        <v>0</v>
      </c>
      <c r="I3270" s="2" t="n">
        <v>0</v>
      </c>
    </row>
    <row r="3271">
      <c r="A3271" s="2" t="n">
        <v>3269</v>
      </c>
      <c r="B3271" s="2" t="inlineStr">
        <is>
          <t>flip</t>
        </is>
      </c>
      <c r="C3271" s="2" t="inlineStr">
        <is>
          <t>openssl X25519 only (classical)</t>
        </is>
      </c>
      <c r="D3271" s="2" t="n">
        <v>314</v>
      </c>
      <c r="E3271" s="2" t="n">
        <v>314</v>
      </c>
      <c r="F3271" s="2" t="n">
        <v>1</v>
      </c>
      <c r="G3271" s="2" t="n">
        <v>0</v>
      </c>
      <c r="H3271" s="2" t="n">
        <v>0</v>
      </c>
      <c r="I3271" s="2" t="n">
        <v>0</v>
      </c>
    </row>
    <row r="3272">
      <c r="A3272" s="2" t="n">
        <v>3270</v>
      </c>
      <c r="B3272" s="2" t="inlineStr">
        <is>
          <t>truncate</t>
        </is>
      </c>
      <c r="C3272" s="2" t="inlineStr">
        <is>
          <t>openssl 3.5.8 default</t>
        </is>
      </c>
      <c r="D3272" s="2" t="n">
        <v>498</v>
      </c>
      <c r="E3272" s="2" t="n">
        <v>498</v>
      </c>
      <c r="F3272" s="2" t="n">
        <v>1</v>
      </c>
      <c r="G3272" s="2" t="n">
        <v>1</v>
      </c>
      <c r="H3272" s="2" t="n">
        <v>1</v>
      </c>
      <c r="I3272" s="2" t="n">
        <v>0</v>
      </c>
    </row>
    <row r="3273">
      <c r="A3273" s="2" t="n">
        <v>3271</v>
      </c>
      <c r="B3273" s="2" t="inlineStr">
        <is>
          <t>length</t>
        </is>
      </c>
      <c r="C3273" s="2" t="inlineStr">
        <is>
          <t>openssl TLS 1.2 only</t>
        </is>
      </c>
      <c r="D3273" s="2" t="n">
        <v>215</v>
      </c>
      <c r="E3273" s="2" t="n">
        <v>215</v>
      </c>
      <c r="F3273" s="2" t="n">
        <v>0</v>
      </c>
      <c r="G3273" s="2" t="n">
        <v>0</v>
      </c>
      <c r="H3273" s="2" t="n">
        <v>0</v>
      </c>
      <c r="I3273" s="2" t="n">
        <v>0</v>
      </c>
    </row>
    <row r="3274">
      <c r="A3274" s="2" t="n">
        <v>3272</v>
      </c>
      <c r="B3274" s="2" t="inlineStr">
        <is>
          <t>insert</t>
        </is>
      </c>
      <c r="C3274" s="2" t="inlineStr">
        <is>
          <t>openssl X25519 only (classical)</t>
        </is>
      </c>
      <c r="D3274" s="2" t="n">
        <v>329</v>
      </c>
      <c r="E3274" s="2" t="n">
        <v>329</v>
      </c>
      <c r="F3274" s="2" t="n">
        <v>1</v>
      </c>
      <c r="G3274" s="2" t="n">
        <v>1</v>
      </c>
      <c r="H3274" s="2" t="n">
        <v>1</v>
      </c>
      <c r="I3274" s="2" t="n">
        <v>0</v>
      </c>
    </row>
    <row r="3275">
      <c r="A3275" s="2" t="n">
        <v>3273</v>
      </c>
      <c r="B3275" s="2" t="inlineStr">
        <is>
          <t>flip</t>
        </is>
      </c>
      <c r="C3275" s="2" t="inlineStr">
        <is>
          <t>browser firefox147</t>
        </is>
      </c>
      <c r="D3275" s="2" t="n">
        <v>1901</v>
      </c>
      <c r="E3275" s="2" t="n">
        <v>1901</v>
      </c>
      <c r="F3275" s="2" t="n">
        <v>1</v>
      </c>
      <c r="G3275" s="2" t="n">
        <v>1</v>
      </c>
      <c r="H3275" s="2" t="n">
        <v>0</v>
      </c>
      <c r="I3275" s="2" t="n">
        <v>0</v>
      </c>
    </row>
    <row r="3276">
      <c r="A3276" s="2" t="n">
        <v>3274</v>
      </c>
      <c r="B3276" s="2" t="inlineStr">
        <is>
          <t>truncate</t>
        </is>
      </c>
      <c r="C3276" s="2" t="inlineStr">
        <is>
          <t>openssl 3.5.8 default</t>
        </is>
      </c>
      <c r="D3276" s="2" t="n">
        <v>761</v>
      </c>
      <c r="E3276" s="2" t="n">
        <v>761</v>
      </c>
      <c r="F3276" s="2" t="n">
        <v>1</v>
      </c>
      <c r="G3276" s="2" t="n">
        <v>1</v>
      </c>
      <c r="H3276" s="2" t="n">
        <v>1</v>
      </c>
      <c r="I3276" s="2" t="n">
        <v>0</v>
      </c>
    </row>
    <row r="3277">
      <c r="A3277" s="2" t="n">
        <v>3275</v>
      </c>
      <c r="B3277" s="2" t="inlineStr">
        <is>
          <t>length</t>
        </is>
      </c>
      <c r="C3277" s="2" t="inlineStr">
        <is>
          <t>browser firefox147</t>
        </is>
      </c>
      <c r="D3277" s="2" t="n">
        <v>1901</v>
      </c>
      <c r="E3277" s="2" t="n">
        <v>1901</v>
      </c>
      <c r="F3277" s="2" t="n">
        <v>1</v>
      </c>
      <c r="G3277" s="2" t="n">
        <v>0</v>
      </c>
      <c r="H3277" s="2" t="n">
        <v>0</v>
      </c>
      <c r="I3277" s="2" t="n">
        <v>0</v>
      </c>
    </row>
    <row r="3278">
      <c r="A3278" s="2" t="n">
        <v>3276</v>
      </c>
      <c r="B3278" s="2" t="inlineStr">
        <is>
          <t>insert</t>
        </is>
      </c>
      <c r="C3278" s="2" t="inlineStr">
        <is>
          <t>openssl 3.5.8 default</t>
        </is>
      </c>
      <c r="D3278" s="2" t="n">
        <v>1563</v>
      </c>
      <c r="E3278" s="2" t="n">
        <v>1563</v>
      </c>
      <c r="F3278" s="2" t="n">
        <v>1</v>
      </c>
      <c r="G3278" s="2" t="n">
        <v>1</v>
      </c>
      <c r="H3278" s="2" t="n">
        <v>1</v>
      </c>
      <c r="I3278" s="2" t="n">
        <v>0</v>
      </c>
    </row>
    <row r="3279">
      <c r="A3279" s="2" t="n">
        <v>3277</v>
      </c>
      <c r="B3279" s="2" t="inlineStr">
        <is>
          <t>flip</t>
        </is>
      </c>
      <c r="C3279" s="2" t="inlineStr">
        <is>
          <t>browser chrome150</t>
        </is>
      </c>
      <c r="D3279" s="2" t="n">
        <v>1763</v>
      </c>
      <c r="E3279" s="2" t="n">
        <v>1763</v>
      </c>
      <c r="F3279" s="2" t="n">
        <v>1</v>
      </c>
      <c r="G3279" s="2" t="n">
        <v>1</v>
      </c>
      <c r="H3279" s="2" t="n">
        <v>1</v>
      </c>
      <c r="I3279" s="2" t="n">
        <v>0</v>
      </c>
    </row>
    <row r="3280">
      <c r="A3280" s="2" t="n">
        <v>3278</v>
      </c>
      <c r="B3280" s="2" t="inlineStr">
        <is>
          <t>truncate</t>
        </is>
      </c>
      <c r="C3280" s="2" t="inlineStr">
        <is>
          <t>openssl 3.5.8 default</t>
        </is>
      </c>
      <c r="D3280" s="2" t="n">
        <v>1222</v>
      </c>
      <c r="E3280" s="2" t="n">
        <v>1222</v>
      </c>
      <c r="F3280" s="2" t="n">
        <v>1</v>
      </c>
      <c r="G3280" s="2" t="n">
        <v>1</v>
      </c>
      <c r="H3280" s="2" t="n">
        <v>1</v>
      </c>
      <c r="I3280" s="2" t="n">
        <v>0</v>
      </c>
    </row>
    <row r="3281">
      <c r="A3281" s="2" t="n">
        <v>3279</v>
      </c>
      <c r="B3281" s="2" t="inlineStr">
        <is>
          <t>length</t>
        </is>
      </c>
      <c r="C3281" s="2" t="inlineStr">
        <is>
          <t>openssl X25519 only (classical)</t>
        </is>
      </c>
      <c r="D3281" s="2" t="n">
        <v>314</v>
      </c>
      <c r="E3281" s="2" t="n">
        <v>314</v>
      </c>
      <c r="F3281" s="2" t="n">
        <v>1</v>
      </c>
      <c r="G3281" s="2" t="n">
        <v>1</v>
      </c>
      <c r="H3281" s="2" t="n">
        <v>1</v>
      </c>
      <c r="I3281" s="2" t="n">
        <v>0</v>
      </c>
    </row>
    <row r="3282">
      <c r="A3282" s="2" t="n">
        <v>3280</v>
      </c>
      <c r="B3282" s="2" t="inlineStr">
        <is>
          <t>insert</t>
        </is>
      </c>
      <c r="C3282" s="2" t="inlineStr">
        <is>
          <t>openssl 3.5.8 default</t>
        </is>
      </c>
      <c r="D3282" s="2" t="n">
        <v>1564</v>
      </c>
      <c r="E3282" s="2" t="n">
        <v>1564</v>
      </c>
      <c r="F3282" s="2" t="n">
        <v>1</v>
      </c>
      <c r="G3282" s="2" t="n">
        <v>1</v>
      </c>
      <c r="H3282" s="2" t="n">
        <v>1</v>
      </c>
      <c r="I3282" s="2" t="n">
        <v>0</v>
      </c>
    </row>
    <row r="3283">
      <c r="A3283" s="2" t="n">
        <v>3281</v>
      </c>
      <c r="B3283" s="2" t="inlineStr">
        <is>
          <t>flip</t>
        </is>
      </c>
      <c r="C3283" s="2" t="inlineStr">
        <is>
          <t>openssl TLS 1.2 only</t>
        </is>
      </c>
      <c r="D3283" s="2" t="n">
        <v>215</v>
      </c>
      <c r="E3283" s="2" t="n">
        <v>215</v>
      </c>
      <c r="F3283" s="2" t="n">
        <v>1</v>
      </c>
      <c r="G3283" s="2" t="n">
        <v>1</v>
      </c>
      <c r="H3283" s="2" t="n">
        <v>1</v>
      </c>
      <c r="I3283" s="2" t="n">
        <v>0</v>
      </c>
    </row>
    <row r="3284">
      <c r="A3284" s="2" t="n">
        <v>3282</v>
      </c>
      <c r="B3284" s="2" t="inlineStr">
        <is>
          <t>truncate</t>
        </is>
      </c>
      <c r="C3284" s="2" t="inlineStr">
        <is>
          <t>openssl X25519 only (classical)</t>
        </is>
      </c>
      <c r="D3284" s="2" t="n">
        <v>179</v>
      </c>
      <c r="E3284" s="2" t="n">
        <v>179</v>
      </c>
      <c r="F3284" s="2" t="n">
        <v>1</v>
      </c>
      <c r="G3284" s="2" t="n">
        <v>1</v>
      </c>
      <c r="H3284" s="2" t="n">
        <v>0</v>
      </c>
      <c r="I3284" s="2" t="n">
        <v>0</v>
      </c>
    </row>
    <row r="3285">
      <c r="A3285" s="2" t="n">
        <v>3283</v>
      </c>
      <c r="B3285" s="2" t="inlineStr">
        <is>
          <t>length</t>
        </is>
      </c>
      <c r="C3285" s="2" t="inlineStr">
        <is>
          <t>openssl X25519 only (classical)</t>
        </is>
      </c>
      <c r="D3285" s="2" t="n">
        <v>314</v>
      </c>
      <c r="E3285" s="2" t="n">
        <v>314</v>
      </c>
      <c r="F3285" s="2" t="n">
        <v>1</v>
      </c>
      <c r="G3285" s="2" t="n">
        <v>1</v>
      </c>
      <c r="H3285" s="2" t="n">
        <v>1</v>
      </c>
      <c r="I3285" s="2" t="n">
        <v>0</v>
      </c>
    </row>
    <row r="3286">
      <c r="A3286" s="2" t="n">
        <v>3284</v>
      </c>
      <c r="B3286" s="2" t="inlineStr">
        <is>
          <t>insert</t>
        </is>
      </c>
      <c r="C3286" s="2" t="inlineStr">
        <is>
          <t>openssl X25519 only (classical)</t>
        </is>
      </c>
      <c r="D3286" s="2" t="n">
        <v>328</v>
      </c>
      <c r="E3286" s="2" t="n">
        <v>328</v>
      </c>
      <c r="F3286" s="2" t="n">
        <v>1</v>
      </c>
      <c r="G3286" s="2" t="n">
        <v>0</v>
      </c>
      <c r="H3286" s="2" t="n">
        <v>0</v>
      </c>
      <c r="I3286" s="2" t="n">
        <v>0</v>
      </c>
    </row>
    <row r="3287">
      <c r="A3287" s="2" t="n">
        <v>3285</v>
      </c>
      <c r="B3287" s="2" t="inlineStr">
        <is>
          <t>flip</t>
        </is>
      </c>
      <c r="C3287" s="2" t="inlineStr">
        <is>
          <t>browser chrome150</t>
        </is>
      </c>
      <c r="D3287" s="2" t="n">
        <v>1763</v>
      </c>
      <c r="E3287" s="2" t="n">
        <v>1763</v>
      </c>
      <c r="F3287" s="2" t="n">
        <v>1</v>
      </c>
      <c r="G3287" s="2" t="n">
        <v>1</v>
      </c>
      <c r="H3287" s="2" t="n">
        <v>1</v>
      </c>
      <c r="I3287" s="2" t="n">
        <v>0</v>
      </c>
    </row>
    <row r="3288">
      <c r="A3288" s="2" t="n">
        <v>3286</v>
      </c>
      <c r="B3288" s="2" t="inlineStr">
        <is>
          <t>truncate</t>
        </is>
      </c>
      <c r="C3288" s="2" t="inlineStr">
        <is>
          <t>openssl X25519 only (classical)</t>
        </is>
      </c>
      <c r="D3288" s="2" t="n">
        <v>2</v>
      </c>
      <c r="E3288" s="2" t="n">
        <v>2</v>
      </c>
      <c r="F3288" s="2" t="n">
        <v>0</v>
      </c>
      <c r="G3288" s="2" t="n">
        <v>0</v>
      </c>
      <c r="H3288" s="2" t="n">
        <v>0</v>
      </c>
      <c r="I3288" s="2" t="n">
        <v>0</v>
      </c>
    </row>
    <row r="3289">
      <c r="A3289" s="2" t="n">
        <v>3287</v>
      </c>
      <c r="B3289" s="2" t="inlineStr">
        <is>
          <t>length</t>
        </is>
      </c>
      <c r="C3289" s="2" t="inlineStr">
        <is>
          <t>openssl TLS 1.2 only</t>
        </is>
      </c>
      <c r="D3289" s="2" t="n">
        <v>215</v>
      </c>
      <c r="E3289" s="2" t="n">
        <v>215</v>
      </c>
      <c r="F3289" s="2" t="n">
        <v>1</v>
      </c>
      <c r="G3289" s="2" t="n">
        <v>1</v>
      </c>
      <c r="H3289" s="2" t="n">
        <v>1</v>
      </c>
      <c r="I3289" s="2" t="n">
        <v>0</v>
      </c>
    </row>
    <row r="3290">
      <c r="A3290" s="2" t="n">
        <v>3288</v>
      </c>
      <c r="B3290" s="2" t="inlineStr">
        <is>
          <t>insert</t>
        </is>
      </c>
      <c r="C3290" s="2" t="inlineStr">
        <is>
          <t>openssl 3.5.8 default</t>
        </is>
      </c>
      <c r="D3290" s="2" t="n">
        <v>1549</v>
      </c>
      <c r="E3290" s="2" t="n">
        <v>1549</v>
      </c>
      <c r="F3290" s="2" t="n">
        <v>1</v>
      </c>
      <c r="G3290" s="2" t="n">
        <v>1</v>
      </c>
      <c r="H3290" s="2" t="n">
        <v>1</v>
      </c>
      <c r="I3290" s="2" t="n">
        <v>0</v>
      </c>
    </row>
    <row r="3291">
      <c r="A3291" s="2" t="n">
        <v>3289</v>
      </c>
      <c r="B3291" s="2" t="inlineStr">
        <is>
          <t>flip</t>
        </is>
      </c>
      <c r="C3291" s="2" t="inlineStr">
        <is>
          <t>openssl TLS 1.2 only</t>
        </is>
      </c>
      <c r="D3291" s="2" t="n">
        <v>215</v>
      </c>
      <c r="E3291" s="2" t="n">
        <v>215</v>
      </c>
      <c r="F3291" s="2" t="n">
        <v>1</v>
      </c>
      <c r="G3291" s="2" t="n">
        <v>1</v>
      </c>
      <c r="H3291" s="2" t="n">
        <v>1</v>
      </c>
      <c r="I3291" s="2" t="n">
        <v>0</v>
      </c>
    </row>
    <row r="3292">
      <c r="A3292" s="2" t="n">
        <v>3290</v>
      </c>
      <c r="B3292" s="2" t="inlineStr">
        <is>
          <t>truncate</t>
        </is>
      </c>
      <c r="C3292" s="2" t="inlineStr">
        <is>
          <t>openssl 3.5.8 default</t>
        </is>
      </c>
      <c r="D3292" s="2" t="n">
        <v>344</v>
      </c>
      <c r="E3292" s="2" t="n">
        <v>344</v>
      </c>
      <c r="F3292" s="2" t="n">
        <v>1</v>
      </c>
      <c r="G3292" s="2" t="n">
        <v>1</v>
      </c>
      <c r="H3292" s="2" t="n">
        <v>1</v>
      </c>
      <c r="I3292" s="2" t="n">
        <v>0</v>
      </c>
    </row>
    <row r="3293">
      <c r="A3293" s="2" t="n">
        <v>3291</v>
      </c>
      <c r="B3293" s="2" t="inlineStr">
        <is>
          <t>length</t>
        </is>
      </c>
      <c r="C3293" s="2" t="inlineStr">
        <is>
          <t>openssl X25519 only (classical)</t>
        </is>
      </c>
      <c r="D3293" s="2" t="n">
        <v>314</v>
      </c>
      <c r="E3293" s="2" t="n">
        <v>314</v>
      </c>
      <c r="F3293" s="2" t="n">
        <v>1</v>
      </c>
      <c r="G3293" s="2" t="n">
        <v>0</v>
      </c>
      <c r="H3293" s="2" t="n">
        <v>0</v>
      </c>
      <c r="I3293" s="2" t="n">
        <v>0</v>
      </c>
    </row>
    <row r="3294">
      <c r="A3294" s="2" t="n">
        <v>3292</v>
      </c>
      <c r="B3294" s="2" t="inlineStr">
        <is>
          <t>insert</t>
        </is>
      </c>
      <c r="C3294" s="2" t="inlineStr">
        <is>
          <t>browser chrome150</t>
        </is>
      </c>
      <c r="D3294" s="2" t="n">
        <v>1779</v>
      </c>
      <c r="E3294" s="2" t="n">
        <v>1779</v>
      </c>
      <c r="F3294" s="2" t="n">
        <v>1</v>
      </c>
      <c r="G3294" s="2" t="n">
        <v>1</v>
      </c>
      <c r="H3294" s="2" t="n">
        <v>1</v>
      </c>
      <c r="I3294" s="2" t="n">
        <v>0</v>
      </c>
    </row>
    <row r="3295">
      <c r="A3295" s="2" t="n">
        <v>3293</v>
      </c>
      <c r="B3295" s="2" t="inlineStr">
        <is>
          <t>flip</t>
        </is>
      </c>
      <c r="C3295" s="2" t="inlineStr">
        <is>
          <t>openssl TLS 1.2 only</t>
        </is>
      </c>
      <c r="D3295" s="2" t="n">
        <v>215</v>
      </c>
      <c r="E3295" s="2" t="n">
        <v>215</v>
      </c>
      <c r="F3295" s="2" t="n">
        <v>1</v>
      </c>
      <c r="G3295" s="2" t="n">
        <v>1</v>
      </c>
      <c r="H3295" s="2" t="n">
        <v>1</v>
      </c>
      <c r="I3295" s="2" t="n">
        <v>0</v>
      </c>
    </row>
    <row r="3296">
      <c r="A3296" s="2" t="n">
        <v>3294</v>
      </c>
      <c r="B3296" s="2" t="inlineStr">
        <is>
          <t>truncate</t>
        </is>
      </c>
      <c r="C3296" s="2" t="inlineStr">
        <is>
          <t>openssl 3.5.8 default</t>
        </is>
      </c>
      <c r="D3296" s="2" t="n">
        <v>412</v>
      </c>
      <c r="E3296" s="2" t="n">
        <v>412</v>
      </c>
      <c r="F3296" s="2" t="n">
        <v>1</v>
      </c>
      <c r="G3296" s="2" t="n">
        <v>1</v>
      </c>
      <c r="H3296" s="2" t="n">
        <v>1</v>
      </c>
      <c r="I3296" s="2" t="n">
        <v>0</v>
      </c>
    </row>
    <row r="3297">
      <c r="A3297" s="2" t="n">
        <v>3295</v>
      </c>
      <c r="B3297" s="2" t="inlineStr">
        <is>
          <t>length</t>
        </is>
      </c>
      <c r="C3297" s="2" t="inlineStr">
        <is>
          <t>openssl X25519 only (classical)</t>
        </is>
      </c>
      <c r="D3297" s="2" t="n">
        <v>314</v>
      </c>
      <c r="E3297" s="2" t="n">
        <v>314</v>
      </c>
      <c r="F3297" s="2" t="n">
        <v>1</v>
      </c>
      <c r="G3297" s="2" t="n">
        <v>1</v>
      </c>
      <c r="H3297" s="2" t="n">
        <v>1</v>
      </c>
      <c r="I3297" s="2" t="n">
        <v>0</v>
      </c>
    </row>
    <row r="3298">
      <c r="A3298" s="2" t="n">
        <v>3296</v>
      </c>
      <c r="B3298" s="2" t="inlineStr">
        <is>
          <t>insert</t>
        </is>
      </c>
      <c r="C3298" s="2" t="inlineStr">
        <is>
          <t>openssl TLS 1.2 only</t>
        </is>
      </c>
      <c r="D3298" s="2" t="n">
        <v>223</v>
      </c>
      <c r="E3298" s="2" t="n">
        <v>223</v>
      </c>
      <c r="F3298" s="2" t="n">
        <v>1</v>
      </c>
      <c r="G3298" s="2" t="n">
        <v>1</v>
      </c>
      <c r="H3298" s="2" t="n">
        <v>1</v>
      </c>
      <c r="I3298" s="2" t="n">
        <v>0</v>
      </c>
    </row>
    <row r="3299">
      <c r="A3299" s="2" t="n">
        <v>3297</v>
      </c>
      <c r="B3299" s="2" t="inlineStr">
        <is>
          <t>flip</t>
        </is>
      </c>
      <c r="C3299" s="2" t="inlineStr">
        <is>
          <t>browser firefox147</t>
        </is>
      </c>
      <c r="D3299" s="2" t="n">
        <v>1901</v>
      </c>
      <c r="E3299" s="2" t="n">
        <v>1901</v>
      </c>
      <c r="F3299" s="2" t="n">
        <v>1</v>
      </c>
      <c r="G3299" s="2" t="n">
        <v>1</v>
      </c>
      <c r="H3299" s="2" t="n">
        <v>0</v>
      </c>
      <c r="I3299" s="2" t="n">
        <v>0</v>
      </c>
    </row>
    <row r="3300">
      <c r="A3300" s="2" t="n">
        <v>3298</v>
      </c>
      <c r="B3300" s="2" t="inlineStr">
        <is>
          <t>truncate</t>
        </is>
      </c>
      <c r="C3300" s="2" t="inlineStr">
        <is>
          <t>openssl X25519 only (classical)</t>
        </is>
      </c>
      <c r="D3300" s="2" t="n">
        <v>282</v>
      </c>
      <c r="E3300" s="2" t="n">
        <v>282</v>
      </c>
      <c r="F3300" s="2" t="n">
        <v>1</v>
      </c>
      <c r="G3300" s="2" t="n">
        <v>1</v>
      </c>
      <c r="H3300" s="2" t="n">
        <v>1</v>
      </c>
      <c r="I3300" s="2" t="n">
        <v>0</v>
      </c>
    </row>
    <row r="3301">
      <c r="A3301" s="2" t="n">
        <v>3299</v>
      </c>
      <c r="B3301" s="2" t="inlineStr">
        <is>
          <t>length</t>
        </is>
      </c>
      <c r="C3301" s="2" t="inlineStr">
        <is>
          <t>openssl 3.5.8 default</t>
        </is>
      </c>
      <c r="D3301" s="2" t="n">
        <v>1548</v>
      </c>
      <c r="E3301" s="2" t="n">
        <v>1548</v>
      </c>
      <c r="F3301" s="2" t="n">
        <v>1</v>
      </c>
      <c r="G3301" s="2" t="n">
        <v>0</v>
      </c>
      <c r="H3301" s="2" t="n">
        <v>0</v>
      </c>
      <c r="I3301" s="2" t="n">
        <v>0</v>
      </c>
    </row>
    <row r="3302">
      <c r="A3302" s="2" t="n">
        <v>3300</v>
      </c>
      <c r="B3302" s="2" t="inlineStr">
        <is>
          <t>insert</t>
        </is>
      </c>
      <c r="C3302" s="2" t="inlineStr">
        <is>
          <t>openssl X25519 only (classical)</t>
        </is>
      </c>
      <c r="D3302" s="2" t="n">
        <v>323</v>
      </c>
      <c r="E3302" s="2" t="n">
        <v>323</v>
      </c>
      <c r="F3302" s="2" t="n">
        <v>1</v>
      </c>
      <c r="G3302" s="2" t="n">
        <v>0</v>
      </c>
      <c r="H3302" s="2" t="n">
        <v>0</v>
      </c>
      <c r="I3302" s="2" t="n">
        <v>0</v>
      </c>
    </row>
    <row r="3303">
      <c r="A3303" s="2" t="n">
        <v>3301</v>
      </c>
      <c r="B3303" s="2" t="inlineStr">
        <is>
          <t>flip</t>
        </is>
      </c>
      <c r="C3303" s="2" t="inlineStr">
        <is>
          <t>openssl TLS 1.2 only</t>
        </is>
      </c>
      <c r="D3303" s="2" t="n">
        <v>215</v>
      </c>
      <c r="E3303" s="2" t="n">
        <v>215</v>
      </c>
      <c r="F3303" s="2" t="n">
        <v>1</v>
      </c>
      <c r="G3303" s="2" t="n">
        <v>1</v>
      </c>
      <c r="H3303" s="2" t="n">
        <v>1</v>
      </c>
      <c r="I3303" s="2" t="n">
        <v>0</v>
      </c>
    </row>
    <row r="3304">
      <c r="A3304" s="2" t="n">
        <v>3302</v>
      </c>
      <c r="B3304" s="2" t="inlineStr">
        <is>
          <t>truncate</t>
        </is>
      </c>
      <c r="C3304" s="2" t="inlineStr">
        <is>
          <t>browser firefox147</t>
        </is>
      </c>
      <c r="D3304" s="2" t="n">
        <v>970</v>
      </c>
      <c r="E3304" s="2" t="n">
        <v>970</v>
      </c>
      <c r="F3304" s="2" t="n">
        <v>1</v>
      </c>
      <c r="G3304" s="2" t="n">
        <v>1</v>
      </c>
      <c r="H3304" s="2" t="n">
        <v>0</v>
      </c>
      <c r="I3304" s="2" t="n">
        <v>0</v>
      </c>
    </row>
    <row r="3305">
      <c r="A3305" s="2" t="n">
        <v>3303</v>
      </c>
      <c r="B3305" s="2" t="inlineStr">
        <is>
          <t>length</t>
        </is>
      </c>
      <c r="C3305" s="2" t="inlineStr">
        <is>
          <t>openssl TLS 1.2 only</t>
        </is>
      </c>
      <c r="D3305" s="2" t="n">
        <v>215</v>
      </c>
      <c r="E3305" s="2" t="n">
        <v>215</v>
      </c>
      <c r="F3305" s="2" t="n">
        <v>0</v>
      </c>
      <c r="G3305" s="2" t="n">
        <v>0</v>
      </c>
      <c r="H3305" s="2" t="n">
        <v>0</v>
      </c>
      <c r="I3305" s="2" t="n">
        <v>0</v>
      </c>
    </row>
    <row r="3306">
      <c r="A3306" s="2" t="n">
        <v>3304</v>
      </c>
      <c r="B3306" s="2" t="inlineStr">
        <is>
          <t>insert</t>
        </is>
      </c>
      <c r="C3306" s="2" t="inlineStr">
        <is>
          <t>openssl 3.5.8 default</t>
        </is>
      </c>
      <c r="D3306" s="2" t="n">
        <v>1555</v>
      </c>
      <c r="E3306" s="2" t="n">
        <v>1555</v>
      </c>
      <c r="F3306" s="2" t="n">
        <v>0</v>
      </c>
      <c r="G3306" s="2" t="n">
        <v>0</v>
      </c>
      <c r="H3306" s="2" t="n">
        <v>0</v>
      </c>
      <c r="I3306" s="2" t="n">
        <v>0</v>
      </c>
    </row>
    <row r="3307">
      <c r="A3307" s="2" t="n">
        <v>3305</v>
      </c>
      <c r="B3307" s="2" t="inlineStr">
        <is>
          <t>flip</t>
        </is>
      </c>
      <c r="C3307" s="2" t="inlineStr">
        <is>
          <t>openssl 3.5.8 default</t>
        </is>
      </c>
      <c r="D3307" s="2" t="n">
        <v>1548</v>
      </c>
      <c r="E3307" s="2" t="n">
        <v>1548</v>
      </c>
      <c r="F3307" s="2" t="n">
        <v>1</v>
      </c>
      <c r="G3307" s="2" t="n">
        <v>1</v>
      </c>
      <c r="H3307" s="2" t="n">
        <v>1</v>
      </c>
      <c r="I3307" s="2" t="n">
        <v>0</v>
      </c>
    </row>
    <row r="3308">
      <c r="A3308" s="2" t="n">
        <v>3306</v>
      </c>
      <c r="B3308" s="2" t="inlineStr">
        <is>
          <t>truncate</t>
        </is>
      </c>
      <c r="C3308" s="2" t="inlineStr">
        <is>
          <t>openssl 3.5.8 default</t>
        </is>
      </c>
      <c r="D3308" s="2" t="n">
        <v>53</v>
      </c>
      <c r="E3308" s="2" t="n">
        <v>53</v>
      </c>
      <c r="F3308" s="2" t="n">
        <v>1</v>
      </c>
      <c r="G3308" s="2" t="n">
        <v>0</v>
      </c>
      <c r="H3308" s="2" t="n">
        <v>0</v>
      </c>
      <c r="I3308" s="2" t="n">
        <v>0</v>
      </c>
    </row>
    <row r="3309">
      <c r="A3309" s="2" t="n">
        <v>3307</v>
      </c>
      <c r="B3309" s="2" t="inlineStr">
        <is>
          <t>length</t>
        </is>
      </c>
      <c r="C3309" s="2" t="inlineStr">
        <is>
          <t>openssl X25519 only (classical)</t>
        </is>
      </c>
      <c r="D3309" s="2" t="n">
        <v>314</v>
      </c>
      <c r="E3309" s="2" t="n">
        <v>314</v>
      </c>
      <c r="F3309" s="2" t="n">
        <v>1</v>
      </c>
      <c r="G3309" s="2" t="n">
        <v>1</v>
      </c>
      <c r="H3309" s="2" t="n">
        <v>0</v>
      </c>
      <c r="I3309" s="2" t="n">
        <v>0</v>
      </c>
    </row>
    <row r="3310">
      <c r="A3310" s="2" t="n">
        <v>3308</v>
      </c>
      <c r="B3310" s="2" t="inlineStr">
        <is>
          <t>insert</t>
        </is>
      </c>
      <c r="C3310" s="2" t="inlineStr">
        <is>
          <t>openssl TLS 1.2 only</t>
        </is>
      </c>
      <c r="D3310" s="2" t="n">
        <v>222</v>
      </c>
      <c r="E3310" s="2" t="n">
        <v>222</v>
      </c>
      <c r="F3310" s="2" t="n">
        <v>1</v>
      </c>
      <c r="G3310" s="2" t="n">
        <v>1</v>
      </c>
      <c r="H3310" s="2" t="n">
        <v>1</v>
      </c>
      <c r="I3310" s="2" t="n">
        <v>0</v>
      </c>
    </row>
    <row r="3311">
      <c r="A3311" s="2" t="n">
        <v>3309</v>
      </c>
      <c r="B3311" s="2" t="inlineStr">
        <is>
          <t>flip</t>
        </is>
      </c>
      <c r="C3311" s="2" t="inlineStr">
        <is>
          <t>browser firefox147</t>
        </is>
      </c>
      <c r="D3311" s="2" t="n">
        <v>1901</v>
      </c>
      <c r="E3311" s="2" t="n">
        <v>1901</v>
      </c>
      <c r="F3311" s="2" t="n">
        <v>1</v>
      </c>
      <c r="G3311" s="2" t="n">
        <v>1</v>
      </c>
      <c r="H3311" s="2" t="n">
        <v>1</v>
      </c>
      <c r="I3311" s="2" t="n">
        <v>0</v>
      </c>
    </row>
    <row r="3312">
      <c r="A3312" s="2" t="n">
        <v>3310</v>
      </c>
      <c r="B3312" s="2" t="inlineStr">
        <is>
          <t>truncate</t>
        </is>
      </c>
      <c r="C3312" s="2" t="inlineStr">
        <is>
          <t>openssl TLS 1.2 only</t>
        </is>
      </c>
      <c r="D3312" s="2" t="n">
        <v>116</v>
      </c>
      <c r="E3312" s="2" t="n">
        <v>116</v>
      </c>
      <c r="F3312" s="2" t="n">
        <v>1</v>
      </c>
      <c r="G3312" s="2" t="n">
        <v>1</v>
      </c>
      <c r="H3312" s="2" t="n">
        <v>0</v>
      </c>
      <c r="I3312" s="2" t="n">
        <v>0</v>
      </c>
    </row>
    <row r="3313">
      <c r="A3313" s="2" t="n">
        <v>3311</v>
      </c>
      <c r="B3313" s="2" t="inlineStr">
        <is>
          <t>length</t>
        </is>
      </c>
      <c r="C3313" s="2" t="inlineStr">
        <is>
          <t>browser chrome150</t>
        </is>
      </c>
      <c r="D3313" s="2" t="n">
        <v>1763</v>
      </c>
      <c r="E3313" s="2" t="n">
        <v>1763</v>
      </c>
      <c r="F3313" s="2" t="n">
        <v>1</v>
      </c>
      <c r="G3313" s="2" t="n">
        <v>1</v>
      </c>
      <c r="H3313" s="2" t="n">
        <v>0</v>
      </c>
      <c r="I3313" s="2" t="n">
        <v>0</v>
      </c>
    </row>
    <row r="3314">
      <c r="A3314" s="2" t="n">
        <v>3312</v>
      </c>
      <c r="B3314" s="2" t="inlineStr">
        <is>
          <t>insert</t>
        </is>
      </c>
      <c r="C3314" s="2" t="inlineStr">
        <is>
          <t>openssl 3.5.8 default</t>
        </is>
      </c>
      <c r="D3314" s="2" t="n">
        <v>1555</v>
      </c>
      <c r="E3314" s="2" t="n">
        <v>1555</v>
      </c>
      <c r="F3314" s="2" t="n">
        <v>1</v>
      </c>
      <c r="G3314" s="2" t="n">
        <v>1</v>
      </c>
      <c r="H3314" s="2" t="n">
        <v>1</v>
      </c>
      <c r="I3314" s="2" t="n">
        <v>0</v>
      </c>
    </row>
    <row r="3315">
      <c r="A3315" s="2" t="n">
        <v>3313</v>
      </c>
      <c r="B3315" s="2" t="inlineStr">
        <is>
          <t>flip</t>
        </is>
      </c>
      <c r="C3315" s="2" t="inlineStr">
        <is>
          <t>openssl X25519 only (classical)</t>
        </is>
      </c>
      <c r="D3315" s="2" t="n">
        <v>314</v>
      </c>
      <c r="E3315" s="2" t="n">
        <v>314</v>
      </c>
      <c r="F3315" s="2" t="n">
        <v>1</v>
      </c>
      <c r="G3315" s="2" t="n">
        <v>1</v>
      </c>
      <c r="H3315" s="2" t="n">
        <v>1</v>
      </c>
      <c r="I3315" s="2" t="n">
        <v>0</v>
      </c>
    </row>
    <row r="3316">
      <c r="A3316" s="2" t="n">
        <v>3314</v>
      </c>
      <c r="B3316" s="2" t="inlineStr">
        <is>
          <t>truncate</t>
        </is>
      </c>
      <c r="C3316" s="2" t="inlineStr">
        <is>
          <t>openssl 3.5.8 default</t>
        </is>
      </c>
      <c r="D3316" s="2" t="n">
        <v>82</v>
      </c>
      <c r="E3316" s="2" t="n">
        <v>82</v>
      </c>
      <c r="F3316" s="2" t="n">
        <v>1</v>
      </c>
      <c r="G3316" s="2" t="n">
        <v>0</v>
      </c>
      <c r="H3316" s="2" t="n">
        <v>0</v>
      </c>
      <c r="I3316" s="2" t="n">
        <v>0</v>
      </c>
    </row>
    <row r="3317">
      <c r="A3317" s="2" t="n">
        <v>3315</v>
      </c>
      <c r="B3317" s="2" t="inlineStr">
        <is>
          <t>length</t>
        </is>
      </c>
      <c r="C3317" s="2" t="inlineStr">
        <is>
          <t>browser firefox147</t>
        </is>
      </c>
      <c r="D3317" s="2" t="n">
        <v>1901</v>
      </c>
      <c r="E3317" s="2" t="n">
        <v>1901</v>
      </c>
      <c r="F3317" s="2" t="n">
        <v>1</v>
      </c>
      <c r="G3317" s="2" t="n">
        <v>1</v>
      </c>
      <c r="H3317" s="2" t="n">
        <v>0</v>
      </c>
      <c r="I3317" s="2" t="n">
        <v>0</v>
      </c>
    </row>
    <row r="3318">
      <c r="A3318" s="2" t="n">
        <v>3316</v>
      </c>
      <c r="B3318" s="2" t="inlineStr">
        <is>
          <t>insert</t>
        </is>
      </c>
      <c r="C3318" s="2" t="inlineStr">
        <is>
          <t>openssl TLS 1.2 only</t>
        </is>
      </c>
      <c r="D3318" s="2" t="n">
        <v>221</v>
      </c>
      <c r="E3318" s="2" t="n">
        <v>221</v>
      </c>
      <c r="F3318" s="2" t="n">
        <v>1</v>
      </c>
      <c r="G3318" s="2" t="n">
        <v>1</v>
      </c>
      <c r="H3318" s="2" t="n">
        <v>0</v>
      </c>
      <c r="I3318" s="2" t="n">
        <v>0</v>
      </c>
    </row>
    <row r="3319">
      <c r="A3319" s="2" t="n">
        <v>3317</v>
      </c>
      <c r="B3319" s="2" t="inlineStr">
        <is>
          <t>flip</t>
        </is>
      </c>
      <c r="C3319" s="2" t="inlineStr">
        <is>
          <t>browser chrome150</t>
        </is>
      </c>
      <c r="D3319" s="2" t="n">
        <v>1763</v>
      </c>
      <c r="E3319" s="2" t="n">
        <v>1763</v>
      </c>
      <c r="F3319" s="2" t="n">
        <v>1</v>
      </c>
      <c r="G3319" s="2" t="n">
        <v>1</v>
      </c>
      <c r="H3319" s="2" t="n">
        <v>1</v>
      </c>
      <c r="I3319" s="2" t="n">
        <v>0</v>
      </c>
    </row>
    <row r="3320">
      <c r="A3320" s="2" t="n">
        <v>3318</v>
      </c>
      <c r="B3320" s="2" t="inlineStr">
        <is>
          <t>truncate</t>
        </is>
      </c>
      <c r="C3320" s="2" t="inlineStr">
        <is>
          <t>openssl 3.5.8 default</t>
        </is>
      </c>
      <c r="D3320" s="2" t="n">
        <v>735</v>
      </c>
      <c r="E3320" s="2" t="n">
        <v>735</v>
      </c>
      <c r="F3320" s="2" t="n">
        <v>1</v>
      </c>
      <c r="G3320" s="2" t="n">
        <v>1</v>
      </c>
      <c r="H3320" s="2" t="n">
        <v>1</v>
      </c>
      <c r="I3320" s="2" t="n">
        <v>0</v>
      </c>
    </row>
    <row r="3321">
      <c r="A3321" s="2" t="n">
        <v>3319</v>
      </c>
      <c r="B3321" s="2" t="inlineStr">
        <is>
          <t>length</t>
        </is>
      </c>
      <c r="C3321" s="2" t="inlineStr">
        <is>
          <t>openssl X25519 only (classical)</t>
        </is>
      </c>
      <c r="D3321" s="2" t="n">
        <v>314</v>
      </c>
      <c r="E3321" s="2" t="n">
        <v>314</v>
      </c>
      <c r="F3321" s="2" t="n">
        <v>1</v>
      </c>
      <c r="G3321" s="2" t="n">
        <v>1</v>
      </c>
      <c r="H3321" s="2" t="n">
        <v>1</v>
      </c>
      <c r="I3321" s="2" t="n">
        <v>0</v>
      </c>
    </row>
    <row r="3322">
      <c r="A3322" s="2" t="n">
        <v>3320</v>
      </c>
      <c r="B3322" s="2" t="inlineStr">
        <is>
          <t>insert</t>
        </is>
      </c>
      <c r="C3322" s="2" t="inlineStr">
        <is>
          <t>openssl TLS 1.2 only</t>
        </is>
      </c>
      <c r="D3322" s="2" t="n">
        <v>221</v>
      </c>
      <c r="E3322" s="2" t="n">
        <v>221</v>
      </c>
      <c r="F3322" s="2" t="n">
        <v>1</v>
      </c>
      <c r="G3322" s="2" t="n">
        <v>1</v>
      </c>
      <c r="H3322" s="2" t="n">
        <v>1</v>
      </c>
      <c r="I3322" s="2" t="n">
        <v>0</v>
      </c>
    </row>
    <row r="3323">
      <c r="A3323" s="2" t="n">
        <v>3321</v>
      </c>
      <c r="B3323" s="2" t="inlineStr">
        <is>
          <t>flip</t>
        </is>
      </c>
      <c r="C3323" s="2" t="inlineStr">
        <is>
          <t>browser chrome150</t>
        </is>
      </c>
      <c r="D3323" s="2" t="n">
        <v>1763</v>
      </c>
      <c r="E3323" s="2" t="n">
        <v>1763</v>
      </c>
      <c r="F3323" s="2" t="n">
        <v>1</v>
      </c>
      <c r="G3323" s="2" t="n">
        <v>1</v>
      </c>
      <c r="H3323" s="2" t="n">
        <v>1</v>
      </c>
      <c r="I3323" s="2" t="n">
        <v>0</v>
      </c>
    </row>
    <row r="3324">
      <c r="A3324" s="2" t="n">
        <v>3322</v>
      </c>
      <c r="B3324" s="2" t="inlineStr">
        <is>
          <t>truncate</t>
        </is>
      </c>
      <c r="C3324" s="2" t="inlineStr">
        <is>
          <t>browser chrome150</t>
        </is>
      </c>
      <c r="D3324" s="2" t="n">
        <v>391</v>
      </c>
      <c r="E3324" s="2" t="n">
        <v>391</v>
      </c>
      <c r="F3324" s="2" t="n">
        <v>1</v>
      </c>
      <c r="G3324" s="2" t="n">
        <v>1</v>
      </c>
      <c r="H3324" s="2" t="n">
        <v>1</v>
      </c>
      <c r="I3324" s="2" t="n">
        <v>0</v>
      </c>
    </row>
    <row r="3325">
      <c r="A3325" s="2" t="n">
        <v>3323</v>
      </c>
      <c r="B3325" s="2" t="inlineStr">
        <is>
          <t>length</t>
        </is>
      </c>
      <c r="C3325" s="2" t="inlineStr">
        <is>
          <t>browser firefox147</t>
        </is>
      </c>
      <c r="D3325" s="2" t="n">
        <v>1901</v>
      </c>
      <c r="E3325" s="2" t="n">
        <v>1901</v>
      </c>
      <c r="F3325" s="2" t="n">
        <v>1</v>
      </c>
      <c r="G3325" s="2" t="n">
        <v>1</v>
      </c>
      <c r="H3325" s="2" t="n">
        <v>1</v>
      </c>
      <c r="I3325" s="2" t="n">
        <v>0</v>
      </c>
    </row>
    <row r="3326">
      <c r="A3326" s="2" t="n">
        <v>3324</v>
      </c>
      <c r="B3326" s="2" t="inlineStr">
        <is>
          <t>insert</t>
        </is>
      </c>
      <c r="C3326" s="2" t="inlineStr">
        <is>
          <t>browser firefox147</t>
        </is>
      </c>
      <c r="D3326" s="2" t="n">
        <v>1913</v>
      </c>
      <c r="E3326" s="2" t="n">
        <v>1913</v>
      </c>
      <c r="F3326" s="2" t="n">
        <v>1</v>
      </c>
      <c r="G3326" s="2" t="n">
        <v>1</v>
      </c>
      <c r="H3326" s="2" t="n">
        <v>0</v>
      </c>
      <c r="I3326" s="2" t="n">
        <v>0</v>
      </c>
    </row>
    <row r="3327">
      <c r="A3327" s="2" t="n">
        <v>3325</v>
      </c>
      <c r="B3327" s="2" t="inlineStr">
        <is>
          <t>flip</t>
        </is>
      </c>
      <c r="C3327" s="2" t="inlineStr">
        <is>
          <t>openssl 3.5.8 default</t>
        </is>
      </c>
      <c r="D3327" s="2" t="n">
        <v>1548</v>
      </c>
      <c r="E3327" s="2" t="n">
        <v>1548</v>
      </c>
      <c r="F3327" s="2" t="n">
        <v>1</v>
      </c>
      <c r="G3327" s="2" t="n">
        <v>1</v>
      </c>
      <c r="H3327" s="2" t="n">
        <v>1</v>
      </c>
      <c r="I3327" s="2" t="n">
        <v>0</v>
      </c>
    </row>
    <row r="3328">
      <c r="A3328" s="2" t="n">
        <v>3326</v>
      </c>
      <c r="B3328" s="2" t="inlineStr">
        <is>
          <t>truncate</t>
        </is>
      </c>
      <c r="C3328" s="2" t="inlineStr">
        <is>
          <t>browser firefox147</t>
        </is>
      </c>
      <c r="D3328" s="2" t="n">
        <v>1104</v>
      </c>
      <c r="E3328" s="2" t="n">
        <v>1104</v>
      </c>
      <c r="F3328" s="2" t="n">
        <v>1</v>
      </c>
      <c r="G3328" s="2" t="n">
        <v>1</v>
      </c>
      <c r="H3328" s="2" t="n">
        <v>0</v>
      </c>
      <c r="I3328" s="2" t="n">
        <v>0</v>
      </c>
    </row>
    <row r="3329">
      <c r="A3329" s="2" t="n">
        <v>3327</v>
      </c>
      <c r="B3329" s="2" t="inlineStr">
        <is>
          <t>length</t>
        </is>
      </c>
      <c r="C3329" s="2" t="inlineStr">
        <is>
          <t>browser firefox147</t>
        </is>
      </c>
      <c r="D3329" s="2" t="n">
        <v>1901</v>
      </c>
      <c r="E3329" s="2" t="n">
        <v>1901</v>
      </c>
      <c r="F3329" s="2" t="n">
        <v>0</v>
      </c>
      <c r="G3329" s="2" t="n">
        <v>0</v>
      </c>
      <c r="H3329" s="2" t="n">
        <v>0</v>
      </c>
      <c r="I3329" s="2" t="n">
        <v>0</v>
      </c>
    </row>
    <row r="3330">
      <c r="A3330" s="2" t="n">
        <v>3328</v>
      </c>
      <c r="B3330" s="2" t="inlineStr">
        <is>
          <t>insert</t>
        </is>
      </c>
      <c r="C3330" s="2" t="inlineStr">
        <is>
          <t>openssl 3.5.8 default</t>
        </is>
      </c>
      <c r="D3330" s="2" t="n">
        <v>1558</v>
      </c>
      <c r="E3330" s="2" t="n">
        <v>1558</v>
      </c>
      <c r="F3330" s="2" t="n">
        <v>1</v>
      </c>
      <c r="G3330" s="2" t="n">
        <v>0</v>
      </c>
      <c r="H3330" s="2" t="n">
        <v>0</v>
      </c>
      <c r="I3330" s="2" t="n">
        <v>0</v>
      </c>
    </row>
    <row r="3331">
      <c r="A3331" s="2" t="n">
        <v>3329</v>
      </c>
      <c r="B3331" s="2" t="inlineStr">
        <is>
          <t>flip</t>
        </is>
      </c>
      <c r="C3331" s="2" t="inlineStr">
        <is>
          <t>openssl TLS 1.2 only</t>
        </is>
      </c>
      <c r="D3331" s="2" t="n">
        <v>215</v>
      </c>
      <c r="E3331" s="2" t="n">
        <v>215</v>
      </c>
      <c r="F3331" s="2" t="n">
        <v>1</v>
      </c>
      <c r="G3331" s="2" t="n">
        <v>1</v>
      </c>
      <c r="H3331" s="2" t="n">
        <v>0</v>
      </c>
      <c r="I3331" s="2" t="n">
        <v>0</v>
      </c>
    </row>
    <row r="3332">
      <c r="A3332" s="2" t="n">
        <v>3330</v>
      </c>
      <c r="B3332" s="2" t="inlineStr">
        <is>
          <t>truncate</t>
        </is>
      </c>
      <c r="C3332" s="2" t="inlineStr">
        <is>
          <t>browser chrome150</t>
        </is>
      </c>
      <c r="D3332" s="2" t="n">
        <v>1597</v>
      </c>
      <c r="E3332" s="2" t="n">
        <v>1597</v>
      </c>
      <c r="F3332" s="2" t="n">
        <v>1</v>
      </c>
      <c r="G3332" s="2" t="n">
        <v>1</v>
      </c>
      <c r="H3332" s="2" t="n">
        <v>1</v>
      </c>
      <c r="I3332" s="2" t="n">
        <v>0</v>
      </c>
    </row>
    <row r="3333">
      <c r="A3333" s="2" t="n">
        <v>3331</v>
      </c>
      <c r="B3333" s="2" t="inlineStr">
        <is>
          <t>length</t>
        </is>
      </c>
      <c r="C3333" s="2" t="inlineStr">
        <is>
          <t>browser chrome150</t>
        </is>
      </c>
      <c r="D3333" s="2" t="n">
        <v>1763</v>
      </c>
      <c r="E3333" s="2" t="n">
        <v>1763</v>
      </c>
      <c r="F3333" s="2" t="n">
        <v>1</v>
      </c>
      <c r="G3333" s="2" t="n">
        <v>1</v>
      </c>
      <c r="H3333" s="2" t="n">
        <v>1</v>
      </c>
      <c r="I3333" s="2" t="n">
        <v>0</v>
      </c>
    </row>
    <row r="3334">
      <c r="A3334" s="2" t="n">
        <v>3332</v>
      </c>
      <c r="B3334" s="2" t="inlineStr">
        <is>
          <t>insert</t>
        </is>
      </c>
      <c r="C3334" s="2" t="inlineStr">
        <is>
          <t>browser firefox147</t>
        </is>
      </c>
      <c r="D3334" s="2" t="n">
        <v>1906</v>
      </c>
      <c r="E3334" s="2" t="n">
        <v>1906</v>
      </c>
      <c r="F3334" s="2" t="n">
        <v>1</v>
      </c>
      <c r="G3334" s="2" t="n">
        <v>1</v>
      </c>
      <c r="H3334" s="2" t="n">
        <v>0</v>
      </c>
      <c r="I3334" s="2" t="n">
        <v>0</v>
      </c>
    </row>
    <row r="3335">
      <c r="A3335" s="2" t="n">
        <v>3333</v>
      </c>
      <c r="B3335" s="2" t="inlineStr">
        <is>
          <t>flip</t>
        </is>
      </c>
      <c r="C3335" s="2" t="inlineStr">
        <is>
          <t>openssl X25519 only (classical)</t>
        </is>
      </c>
      <c r="D3335" s="2" t="n">
        <v>314</v>
      </c>
      <c r="E3335" s="2" t="n">
        <v>314</v>
      </c>
      <c r="F3335" s="2" t="n">
        <v>1</v>
      </c>
      <c r="G3335" s="2" t="n">
        <v>1</v>
      </c>
      <c r="H3335" s="2" t="n">
        <v>1</v>
      </c>
      <c r="I3335" s="2" t="n">
        <v>0</v>
      </c>
    </row>
    <row r="3336">
      <c r="A3336" s="2" t="n">
        <v>3334</v>
      </c>
      <c r="B3336" s="2" t="inlineStr">
        <is>
          <t>truncate</t>
        </is>
      </c>
      <c r="C3336" s="2" t="inlineStr">
        <is>
          <t>openssl 3.5.8 default</t>
        </is>
      </c>
      <c r="D3336" s="2" t="n">
        <v>540</v>
      </c>
      <c r="E3336" s="2" t="n">
        <v>540</v>
      </c>
      <c r="F3336" s="2" t="n">
        <v>1</v>
      </c>
      <c r="G3336" s="2" t="n">
        <v>1</v>
      </c>
      <c r="H3336" s="2" t="n">
        <v>1</v>
      </c>
      <c r="I3336" s="2" t="n">
        <v>0</v>
      </c>
    </row>
    <row r="3337">
      <c r="A3337" s="2" t="n">
        <v>3335</v>
      </c>
      <c r="B3337" s="2" t="inlineStr">
        <is>
          <t>length</t>
        </is>
      </c>
      <c r="C3337" s="2" t="inlineStr">
        <is>
          <t>browser firefox147</t>
        </is>
      </c>
      <c r="D3337" s="2" t="n">
        <v>1901</v>
      </c>
      <c r="E3337" s="2" t="n">
        <v>1901</v>
      </c>
      <c r="F3337" s="2" t="n">
        <v>1</v>
      </c>
      <c r="G3337" s="2" t="n">
        <v>1</v>
      </c>
      <c r="H3337" s="2" t="n">
        <v>0</v>
      </c>
      <c r="I3337" s="2" t="n">
        <v>0</v>
      </c>
    </row>
    <row r="3338">
      <c r="A3338" s="2" t="n">
        <v>3336</v>
      </c>
      <c r="B3338" s="2" t="inlineStr">
        <is>
          <t>insert</t>
        </is>
      </c>
      <c r="C3338" s="2" t="inlineStr">
        <is>
          <t>openssl 3.5.8 default</t>
        </is>
      </c>
      <c r="D3338" s="2" t="n">
        <v>1558</v>
      </c>
      <c r="E3338" s="2" t="n">
        <v>1558</v>
      </c>
      <c r="F3338" s="2" t="n">
        <v>1</v>
      </c>
      <c r="G3338" s="2" t="n">
        <v>1</v>
      </c>
      <c r="H3338" s="2" t="n">
        <v>1</v>
      </c>
      <c r="I3338" s="2" t="n">
        <v>0</v>
      </c>
    </row>
    <row r="3339">
      <c r="A3339" s="2" t="n">
        <v>3337</v>
      </c>
      <c r="B3339" s="2" t="inlineStr">
        <is>
          <t>flip</t>
        </is>
      </c>
      <c r="C3339" s="2" t="inlineStr">
        <is>
          <t>browser chrome150</t>
        </is>
      </c>
      <c r="D3339" s="2" t="n">
        <v>1763</v>
      </c>
      <c r="E3339" s="2" t="n">
        <v>1763</v>
      </c>
      <c r="F3339" s="2" t="n">
        <v>1</v>
      </c>
      <c r="G3339" s="2" t="n">
        <v>1</v>
      </c>
      <c r="H3339" s="2" t="n">
        <v>1</v>
      </c>
      <c r="I3339" s="2" t="n">
        <v>0</v>
      </c>
    </row>
    <row r="3340">
      <c r="A3340" s="2" t="n">
        <v>3338</v>
      </c>
      <c r="B3340" s="2" t="inlineStr">
        <is>
          <t>truncate</t>
        </is>
      </c>
      <c r="C3340" s="2" t="inlineStr">
        <is>
          <t>openssl 3.5.8 default</t>
        </is>
      </c>
      <c r="D3340" s="2" t="n">
        <v>890</v>
      </c>
      <c r="E3340" s="2" t="n">
        <v>890</v>
      </c>
      <c r="F3340" s="2" t="n">
        <v>1</v>
      </c>
      <c r="G3340" s="2" t="n">
        <v>1</v>
      </c>
      <c r="H3340" s="2" t="n">
        <v>1</v>
      </c>
      <c r="I3340" s="2" t="n">
        <v>0</v>
      </c>
    </row>
    <row r="3341">
      <c r="A3341" s="2" t="n">
        <v>3339</v>
      </c>
      <c r="B3341" s="2" t="inlineStr">
        <is>
          <t>length</t>
        </is>
      </c>
      <c r="C3341" s="2" t="inlineStr">
        <is>
          <t>browser chrome150</t>
        </is>
      </c>
      <c r="D3341" s="2" t="n">
        <v>1763</v>
      </c>
      <c r="E3341" s="2" t="n">
        <v>1763</v>
      </c>
      <c r="F3341" s="2" t="n">
        <v>1</v>
      </c>
      <c r="G3341" s="2" t="n">
        <v>1</v>
      </c>
      <c r="H3341" s="2" t="n">
        <v>1</v>
      </c>
      <c r="I3341" s="2" t="n">
        <v>0</v>
      </c>
    </row>
    <row r="3342">
      <c r="A3342" s="2" t="n">
        <v>3340</v>
      </c>
      <c r="B3342" s="2" t="inlineStr">
        <is>
          <t>insert</t>
        </is>
      </c>
      <c r="C3342" s="2" t="inlineStr">
        <is>
          <t>browser chrome150</t>
        </is>
      </c>
      <c r="D3342" s="2" t="n">
        <v>1779</v>
      </c>
      <c r="E3342" s="2" t="n">
        <v>1779</v>
      </c>
      <c r="F3342" s="2" t="n">
        <v>1</v>
      </c>
      <c r="G3342" s="2" t="n">
        <v>1</v>
      </c>
      <c r="H3342" s="2" t="n">
        <v>1</v>
      </c>
      <c r="I3342" s="2" t="n">
        <v>0</v>
      </c>
    </row>
    <row r="3343">
      <c r="A3343" s="2" t="n">
        <v>3341</v>
      </c>
      <c r="B3343" s="2" t="inlineStr">
        <is>
          <t>flip</t>
        </is>
      </c>
      <c r="C3343" s="2" t="inlineStr">
        <is>
          <t>openssl X25519 only (classical)</t>
        </is>
      </c>
      <c r="D3343" s="2" t="n">
        <v>314</v>
      </c>
      <c r="E3343" s="2" t="n">
        <v>314</v>
      </c>
      <c r="F3343" s="2" t="n">
        <v>1</v>
      </c>
      <c r="G3343" s="2" t="n">
        <v>0</v>
      </c>
      <c r="H3343" s="2" t="n">
        <v>0</v>
      </c>
      <c r="I3343" s="2" t="n">
        <v>0</v>
      </c>
    </row>
    <row r="3344">
      <c r="A3344" s="2" t="n">
        <v>3342</v>
      </c>
      <c r="B3344" s="2" t="inlineStr">
        <is>
          <t>truncate</t>
        </is>
      </c>
      <c r="C3344" s="2" t="inlineStr">
        <is>
          <t>openssl TLS 1.2 only</t>
        </is>
      </c>
      <c r="D3344" s="2" t="n">
        <v>213</v>
      </c>
      <c r="E3344" s="2" t="n">
        <v>213</v>
      </c>
      <c r="F3344" s="2" t="n">
        <v>1</v>
      </c>
      <c r="G3344" s="2" t="n">
        <v>1</v>
      </c>
      <c r="H3344" s="2" t="n">
        <v>1</v>
      </c>
      <c r="I3344" s="2" t="n">
        <v>0</v>
      </c>
    </row>
    <row r="3345">
      <c r="A3345" s="2" t="n">
        <v>3343</v>
      </c>
      <c r="B3345" s="2" t="inlineStr">
        <is>
          <t>length</t>
        </is>
      </c>
      <c r="C3345" s="2" t="inlineStr">
        <is>
          <t>openssl 3.5.8 default</t>
        </is>
      </c>
      <c r="D3345" s="2" t="n">
        <v>1548</v>
      </c>
      <c r="E3345" s="2" t="n">
        <v>1548</v>
      </c>
      <c r="F3345" s="2" t="n">
        <v>1</v>
      </c>
      <c r="G3345" s="2" t="n">
        <v>0</v>
      </c>
      <c r="H3345" s="2" t="n">
        <v>0</v>
      </c>
      <c r="I3345" s="2" t="n">
        <v>0</v>
      </c>
    </row>
    <row r="3346">
      <c r="A3346" s="2" t="n">
        <v>3344</v>
      </c>
      <c r="B3346" s="2" t="inlineStr">
        <is>
          <t>insert</t>
        </is>
      </c>
      <c r="C3346" s="2" t="inlineStr">
        <is>
          <t>browser chrome150</t>
        </is>
      </c>
      <c r="D3346" s="2" t="n">
        <v>1766</v>
      </c>
      <c r="E3346" s="2" t="n">
        <v>1766</v>
      </c>
      <c r="F3346" s="2" t="n">
        <v>1</v>
      </c>
      <c r="G3346" s="2" t="n">
        <v>1</v>
      </c>
      <c r="H3346" s="2" t="n">
        <v>1</v>
      </c>
      <c r="I3346" s="2" t="n">
        <v>0</v>
      </c>
    </row>
    <row r="3347">
      <c r="A3347" s="2" t="n">
        <v>3345</v>
      </c>
      <c r="B3347" s="2" t="inlineStr">
        <is>
          <t>flip</t>
        </is>
      </c>
      <c r="C3347" s="2" t="inlineStr">
        <is>
          <t>openssl X25519 only (classical)</t>
        </is>
      </c>
      <c r="D3347" s="2" t="n">
        <v>314</v>
      </c>
      <c r="E3347" s="2" t="n">
        <v>314</v>
      </c>
      <c r="F3347" s="2" t="n">
        <v>1</v>
      </c>
      <c r="G3347" s="2" t="n">
        <v>1</v>
      </c>
      <c r="H3347" s="2" t="n">
        <v>1</v>
      </c>
      <c r="I3347" s="2" t="n">
        <v>0</v>
      </c>
    </row>
    <row r="3348">
      <c r="A3348" s="2" t="n">
        <v>3346</v>
      </c>
      <c r="B3348" s="2" t="inlineStr">
        <is>
          <t>truncate</t>
        </is>
      </c>
      <c r="C3348" s="2" t="inlineStr">
        <is>
          <t>browser chrome150</t>
        </is>
      </c>
      <c r="D3348" s="2" t="n">
        <v>213</v>
      </c>
      <c r="E3348" s="2" t="n">
        <v>213</v>
      </c>
      <c r="F3348" s="2" t="n">
        <v>1</v>
      </c>
      <c r="G3348" s="2" t="n">
        <v>1</v>
      </c>
      <c r="H3348" s="2" t="n">
        <v>1</v>
      </c>
      <c r="I3348" s="2" t="n">
        <v>0</v>
      </c>
    </row>
    <row r="3349">
      <c r="A3349" s="2" t="n">
        <v>3347</v>
      </c>
      <c r="B3349" s="2" t="inlineStr">
        <is>
          <t>length</t>
        </is>
      </c>
      <c r="C3349" s="2" t="inlineStr">
        <is>
          <t>browser chrome150</t>
        </is>
      </c>
      <c r="D3349" s="2" t="n">
        <v>1763</v>
      </c>
      <c r="E3349" s="2" t="n">
        <v>1763</v>
      </c>
      <c r="F3349" s="2" t="n">
        <v>1</v>
      </c>
      <c r="G3349" s="2" t="n">
        <v>1</v>
      </c>
      <c r="H3349" s="2" t="n">
        <v>1</v>
      </c>
      <c r="I3349" s="2" t="n">
        <v>0</v>
      </c>
    </row>
    <row r="3350">
      <c r="A3350" s="2" t="n">
        <v>3348</v>
      </c>
      <c r="B3350" s="2" t="inlineStr">
        <is>
          <t>insert</t>
        </is>
      </c>
      <c r="C3350" s="2" t="inlineStr">
        <is>
          <t>browser chrome150</t>
        </is>
      </c>
      <c r="D3350" s="2" t="n">
        <v>1774</v>
      </c>
      <c r="E3350" s="2" t="n">
        <v>1774</v>
      </c>
      <c r="F3350" s="2" t="n">
        <v>1</v>
      </c>
      <c r="G3350" s="2" t="n">
        <v>1</v>
      </c>
      <c r="H3350" s="2" t="n">
        <v>1</v>
      </c>
      <c r="I3350" s="2" t="n">
        <v>0</v>
      </c>
    </row>
    <row r="3351">
      <c r="A3351" s="2" t="n">
        <v>3349</v>
      </c>
      <c r="B3351" s="2" t="inlineStr">
        <is>
          <t>flip</t>
        </is>
      </c>
      <c r="C3351" s="2" t="inlineStr">
        <is>
          <t>openssl X25519 only (classical)</t>
        </is>
      </c>
      <c r="D3351" s="2" t="n">
        <v>314</v>
      </c>
      <c r="E3351" s="2" t="n">
        <v>314</v>
      </c>
      <c r="F3351" s="2" t="n">
        <v>1</v>
      </c>
      <c r="G3351" s="2" t="n">
        <v>1</v>
      </c>
      <c r="H3351" s="2" t="n">
        <v>1</v>
      </c>
      <c r="I3351" s="2" t="n">
        <v>0</v>
      </c>
    </row>
    <row r="3352">
      <c r="A3352" s="2" t="n">
        <v>3350</v>
      </c>
      <c r="B3352" s="2" t="inlineStr">
        <is>
          <t>truncate</t>
        </is>
      </c>
      <c r="C3352" s="2" t="inlineStr">
        <is>
          <t>browser firefox147</t>
        </is>
      </c>
      <c r="D3352" s="2" t="n">
        <v>1652</v>
      </c>
      <c r="E3352" s="2" t="n">
        <v>1652</v>
      </c>
      <c r="F3352" s="2" t="n">
        <v>1</v>
      </c>
      <c r="G3352" s="2" t="n">
        <v>1</v>
      </c>
      <c r="H3352" s="2" t="n">
        <v>0</v>
      </c>
      <c r="I3352" s="2" t="n">
        <v>0</v>
      </c>
    </row>
    <row r="3353">
      <c r="A3353" s="2" t="n">
        <v>3351</v>
      </c>
      <c r="B3353" s="2" t="inlineStr">
        <is>
          <t>length</t>
        </is>
      </c>
      <c r="C3353" s="2" t="inlineStr">
        <is>
          <t>openssl TLS 1.2 only</t>
        </is>
      </c>
      <c r="D3353" s="2" t="n">
        <v>215</v>
      </c>
      <c r="E3353" s="2" t="n">
        <v>215</v>
      </c>
      <c r="F3353" s="2" t="n">
        <v>0</v>
      </c>
      <c r="G3353" s="2" t="n">
        <v>0</v>
      </c>
      <c r="H3353" s="2" t="n">
        <v>0</v>
      </c>
      <c r="I3353" s="2" t="n">
        <v>0</v>
      </c>
    </row>
    <row r="3354">
      <c r="A3354" s="2" t="n">
        <v>3352</v>
      </c>
      <c r="B3354" s="2" t="inlineStr">
        <is>
          <t>insert</t>
        </is>
      </c>
      <c r="C3354" s="2" t="inlineStr">
        <is>
          <t>openssl TLS 1.2 only</t>
        </is>
      </c>
      <c r="D3354" s="2" t="n">
        <v>228</v>
      </c>
      <c r="E3354" s="2" t="n">
        <v>228</v>
      </c>
      <c r="F3354" s="2" t="n">
        <v>1</v>
      </c>
      <c r="G3354" s="2" t="n">
        <v>1</v>
      </c>
      <c r="H3354" s="2" t="n">
        <v>0</v>
      </c>
      <c r="I3354" s="2" t="n">
        <v>0</v>
      </c>
    </row>
    <row r="3355">
      <c r="A3355" s="2" t="n">
        <v>3353</v>
      </c>
      <c r="B3355" s="2" t="inlineStr">
        <is>
          <t>flip</t>
        </is>
      </c>
      <c r="C3355" s="2" t="inlineStr">
        <is>
          <t>browser firefox147</t>
        </is>
      </c>
      <c r="D3355" s="2" t="n">
        <v>1901</v>
      </c>
      <c r="E3355" s="2" t="n">
        <v>1901</v>
      </c>
      <c r="F3355" s="2" t="n">
        <v>1</v>
      </c>
      <c r="G3355" s="2" t="n">
        <v>1</v>
      </c>
      <c r="H3355" s="2" t="n">
        <v>0</v>
      </c>
      <c r="I3355" s="2" t="n">
        <v>0</v>
      </c>
    </row>
    <row r="3356">
      <c r="A3356" s="2" t="n">
        <v>3354</v>
      </c>
      <c r="B3356" s="2" t="inlineStr">
        <is>
          <t>truncate</t>
        </is>
      </c>
      <c r="C3356" s="2" t="inlineStr">
        <is>
          <t>browser firefox147</t>
        </is>
      </c>
      <c r="D3356" s="2" t="n">
        <v>282</v>
      </c>
      <c r="E3356" s="2" t="n">
        <v>282</v>
      </c>
      <c r="F3356" s="2" t="n">
        <v>1</v>
      </c>
      <c r="G3356" s="2" t="n">
        <v>1</v>
      </c>
      <c r="H3356" s="2" t="n">
        <v>0</v>
      </c>
      <c r="I3356" s="2" t="n">
        <v>0</v>
      </c>
    </row>
    <row r="3357">
      <c r="A3357" s="2" t="n">
        <v>3355</v>
      </c>
      <c r="B3357" s="2" t="inlineStr">
        <is>
          <t>length</t>
        </is>
      </c>
      <c r="C3357" s="2" t="inlineStr">
        <is>
          <t>openssl TLS 1.2 only</t>
        </is>
      </c>
      <c r="D3357" s="2" t="n">
        <v>215</v>
      </c>
      <c r="E3357" s="2" t="n">
        <v>215</v>
      </c>
      <c r="F3357" s="2" t="n">
        <v>1</v>
      </c>
      <c r="G3357" s="2" t="n">
        <v>1</v>
      </c>
      <c r="H3357" s="2" t="n">
        <v>1</v>
      </c>
      <c r="I3357" s="2" t="n">
        <v>0</v>
      </c>
    </row>
    <row r="3358">
      <c r="A3358" s="2" t="n">
        <v>3356</v>
      </c>
      <c r="B3358" s="2" t="inlineStr">
        <is>
          <t>insert</t>
        </is>
      </c>
      <c r="C3358" s="2" t="inlineStr">
        <is>
          <t>openssl 3.5.8 default</t>
        </is>
      </c>
      <c r="D3358" s="2" t="n">
        <v>1562</v>
      </c>
      <c r="E3358" s="2" t="n">
        <v>1562</v>
      </c>
      <c r="F3358" s="2" t="n">
        <v>1</v>
      </c>
      <c r="G3358" s="2" t="n">
        <v>0</v>
      </c>
      <c r="H3358" s="2" t="n">
        <v>0</v>
      </c>
      <c r="I3358" s="2" t="n">
        <v>0</v>
      </c>
    </row>
    <row r="3359">
      <c r="A3359" s="2" t="n">
        <v>3357</v>
      </c>
      <c r="B3359" s="2" t="inlineStr">
        <is>
          <t>flip</t>
        </is>
      </c>
      <c r="C3359" s="2" t="inlineStr">
        <is>
          <t>openssl 3.5.8 default</t>
        </is>
      </c>
      <c r="D3359" s="2" t="n">
        <v>1548</v>
      </c>
      <c r="E3359" s="2" t="n">
        <v>1548</v>
      </c>
      <c r="F3359" s="2" t="n">
        <v>1</v>
      </c>
      <c r="G3359" s="2" t="n">
        <v>1</v>
      </c>
      <c r="H3359" s="2" t="n">
        <v>0</v>
      </c>
      <c r="I3359" s="2" t="n">
        <v>0</v>
      </c>
    </row>
    <row r="3360">
      <c r="A3360" s="2" t="n">
        <v>3358</v>
      </c>
      <c r="B3360" s="2" t="inlineStr">
        <is>
          <t>truncate</t>
        </is>
      </c>
      <c r="C3360" s="2" t="inlineStr">
        <is>
          <t>browser chrome150</t>
        </is>
      </c>
      <c r="D3360" s="2" t="n">
        <v>300</v>
      </c>
      <c r="E3360" s="2" t="n">
        <v>300</v>
      </c>
      <c r="F3360" s="2" t="n">
        <v>1</v>
      </c>
      <c r="G3360" s="2" t="n">
        <v>1</v>
      </c>
      <c r="H3360" s="2" t="n">
        <v>1</v>
      </c>
      <c r="I3360" s="2" t="n">
        <v>0</v>
      </c>
    </row>
    <row r="3361">
      <c r="A3361" s="2" t="n">
        <v>3359</v>
      </c>
      <c r="B3361" s="2" t="inlineStr">
        <is>
          <t>length</t>
        </is>
      </c>
      <c r="C3361" s="2" t="inlineStr">
        <is>
          <t>openssl 3.5.8 default</t>
        </is>
      </c>
      <c r="D3361" s="2" t="n">
        <v>1548</v>
      </c>
      <c r="E3361" s="2" t="n">
        <v>1548</v>
      </c>
      <c r="F3361" s="2" t="n">
        <v>1</v>
      </c>
      <c r="G3361" s="2" t="n">
        <v>1</v>
      </c>
      <c r="H3361" s="2" t="n">
        <v>1</v>
      </c>
      <c r="I3361" s="2" t="n">
        <v>0</v>
      </c>
    </row>
    <row r="3362">
      <c r="A3362" s="2" t="n">
        <v>3360</v>
      </c>
      <c r="B3362" s="2" t="inlineStr">
        <is>
          <t>insert</t>
        </is>
      </c>
      <c r="C3362" s="2" t="inlineStr">
        <is>
          <t>openssl 3.5.8 default</t>
        </is>
      </c>
      <c r="D3362" s="2" t="n">
        <v>1557</v>
      </c>
      <c r="E3362" s="2" t="n">
        <v>1557</v>
      </c>
      <c r="F3362" s="2" t="n">
        <v>1</v>
      </c>
      <c r="G3362" s="2" t="n">
        <v>1</v>
      </c>
      <c r="H3362" s="2" t="n">
        <v>1</v>
      </c>
      <c r="I3362" s="2" t="n">
        <v>0</v>
      </c>
    </row>
    <row r="3363">
      <c r="A3363" s="2" t="n">
        <v>3361</v>
      </c>
      <c r="B3363" s="2" t="inlineStr">
        <is>
          <t>flip</t>
        </is>
      </c>
      <c r="C3363" s="2" t="inlineStr">
        <is>
          <t>openssl 3.5.8 default</t>
        </is>
      </c>
      <c r="D3363" s="2" t="n">
        <v>1548</v>
      </c>
      <c r="E3363" s="2" t="n">
        <v>1548</v>
      </c>
      <c r="F3363" s="2" t="n">
        <v>1</v>
      </c>
      <c r="G3363" s="2" t="n">
        <v>1</v>
      </c>
      <c r="H3363" s="2" t="n">
        <v>1</v>
      </c>
      <c r="I3363" s="2" t="n">
        <v>0</v>
      </c>
    </row>
    <row r="3364">
      <c r="A3364" s="2" t="n">
        <v>3362</v>
      </c>
      <c r="B3364" s="2" t="inlineStr">
        <is>
          <t>truncate</t>
        </is>
      </c>
      <c r="C3364" s="2" t="inlineStr">
        <is>
          <t>browser firefox147</t>
        </is>
      </c>
      <c r="D3364" s="2" t="n">
        <v>1359</v>
      </c>
      <c r="E3364" s="2" t="n">
        <v>1359</v>
      </c>
      <c r="F3364" s="2" t="n">
        <v>1</v>
      </c>
      <c r="G3364" s="2" t="n">
        <v>1</v>
      </c>
      <c r="H3364" s="2" t="n">
        <v>0</v>
      </c>
      <c r="I3364" s="2" t="n">
        <v>0</v>
      </c>
    </row>
    <row r="3365">
      <c r="A3365" s="2" t="n">
        <v>3363</v>
      </c>
      <c r="B3365" s="2" t="inlineStr">
        <is>
          <t>length</t>
        </is>
      </c>
      <c r="C3365" s="2" t="inlineStr">
        <is>
          <t>browser chrome150</t>
        </is>
      </c>
      <c r="D3365" s="2" t="n">
        <v>1763</v>
      </c>
      <c r="E3365" s="2" t="n">
        <v>1763</v>
      </c>
      <c r="F3365" s="2" t="n">
        <v>1</v>
      </c>
      <c r="G3365" s="2" t="n">
        <v>1</v>
      </c>
      <c r="H3365" s="2" t="n">
        <v>1</v>
      </c>
      <c r="I3365" s="2" t="n">
        <v>0</v>
      </c>
    </row>
    <row r="3366">
      <c r="A3366" s="2" t="n">
        <v>3364</v>
      </c>
      <c r="B3366" s="2" t="inlineStr">
        <is>
          <t>insert</t>
        </is>
      </c>
      <c r="C3366" s="2" t="inlineStr">
        <is>
          <t>browser firefox147</t>
        </is>
      </c>
      <c r="D3366" s="2" t="n">
        <v>1904</v>
      </c>
      <c r="E3366" s="2" t="n">
        <v>1904</v>
      </c>
      <c r="F3366" s="2" t="n">
        <v>1</v>
      </c>
      <c r="G3366" s="2" t="n">
        <v>1</v>
      </c>
      <c r="H3366" s="2" t="n">
        <v>0</v>
      </c>
      <c r="I3366" s="2" t="n">
        <v>0</v>
      </c>
    </row>
    <row r="3367">
      <c r="A3367" s="2" t="n">
        <v>3365</v>
      </c>
      <c r="B3367" s="2" t="inlineStr">
        <is>
          <t>flip</t>
        </is>
      </c>
      <c r="C3367" s="2" t="inlineStr">
        <is>
          <t>openssl 3.5.8 default</t>
        </is>
      </c>
      <c r="D3367" s="2" t="n">
        <v>1548</v>
      </c>
      <c r="E3367" s="2" t="n">
        <v>1548</v>
      </c>
      <c r="F3367" s="2" t="n">
        <v>1</v>
      </c>
      <c r="G3367" s="2" t="n">
        <v>1</v>
      </c>
      <c r="H3367" s="2" t="n">
        <v>1</v>
      </c>
      <c r="I3367" s="2" t="n">
        <v>0</v>
      </c>
    </row>
    <row r="3368">
      <c r="A3368" s="2" t="n">
        <v>3366</v>
      </c>
      <c r="B3368" s="2" t="inlineStr">
        <is>
          <t>truncate</t>
        </is>
      </c>
      <c r="C3368" s="2" t="inlineStr">
        <is>
          <t>browser firefox147</t>
        </is>
      </c>
      <c r="D3368" s="2" t="n">
        <v>674</v>
      </c>
      <c r="E3368" s="2" t="n">
        <v>674</v>
      </c>
      <c r="F3368" s="2" t="n">
        <v>1</v>
      </c>
      <c r="G3368" s="2" t="n">
        <v>1</v>
      </c>
      <c r="H3368" s="2" t="n">
        <v>0</v>
      </c>
      <c r="I3368" s="2" t="n">
        <v>0</v>
      </c>
    </row>
    <row r="3369">
      <c r="A3369" s="2" t="n">
        <v>3367</v>
      </c>
      <c r="B3369" s="2" t="inlineStr">
        <is>
          <t>length</t>
        </is>
      </c>
      <c r="C3369" s="2" t="inlineStr">
        <is>
          <t>browser firefox147</t>
        </is>
      </c>
      <c r="D3369" s="2" t="n">
        <v>1901</v>
      </c>
      <c r="E3369" s="2" t="n">
        <v>1901</v>
      </c>
      <c r="F3369" s="2" t="n">
        <v>1</v>
      </c>
      <c r="G3369" s="2" t="n">
        <v>1</v>
      </c>
      <c r="H3369" s="2" t="n">
        <v>1</v>
      </c>
      <c r="I3369" s="2" t="n">
        <v>0</v>
      </c>
    </row>
    <row r="3370">
      <c r="A3370" s="2" t="n">
        <v>3368</v>
      </c>
      <c r="B3370" s="2" t="inlineStr">
        <is>
          <t>insert</t>
        </is>
      </c>
      <c r="C3370" s="2" t="inlineStr">
        <is>
          <t>openssl 3.5.8 default</t>
        </is>
      </c>
      <c r="D3370" s="2" t="n">
        <v>1563</v>
      </c>
      <c r="E3370" s="2" t="n">
        <v>1563</v>
      </c>
      <c r="F3370" s="2" t="n">
        <v>1</v>
      </c>
      <c r="G3370" s="2" t="n">
        <v>1</v>
      </c>
      <c r="H3370" s="2" t="n">
        <v>1</v>
      </c>
      <c r="I3370" s="2" t="n">
        <v>0</v>
      </c>
    </row>
    <row r="3371">
      <c r="A3371" s="2" t="n">
        <v>3369</v>
      </c>
      <c r="B3371" s="2" t="inlineStr">
        <is>
          <t>flip</t>
        </is>
      </c>
      <c r="C3371" s="2" t="inlineStr">
        <is>
          <t>openssl TLS 1.2 only</t>
        </is>
      </c>
      <c r="D3371" s="2" t="n">
        <v>215</v>
      </c>
      <c r="E3371" s="2" t="n">
        <v>215</v>
      </c>
      <c r="F3371" s="2" t="n">
        <v>1</v>
      </c>
      <c r="G3371" s="2" t="n">
        <v>1</v>
      </c>
      <c r="H3371" s="2" t="n">
        <v>1</v>
      </c>
      <c r="I3371" s="2" t="n">
        <v>0</v>
      </c>
    </row>
    <row r="3372">
      <c r="A3372" s="2" t="n">
        <v>3370</v>
      </c>
      <c r="B3372" s="2" t="inlineStr">
        <is>
          <t>truncate</t>
        </is>
      </c>
      <c r="C3372" s="2" t="inlineStr">
        <is>
          <t>browser firefox147</t>
        </is>
      </c>
      <c r="D3372" s="2" t="n">
        <v>730</v>
      </c>
      <c r="E3372" s="2" t="n">
        <v>730</v>
      </c>
      <c r="F3372" s="2" t="n">
        <v>1</v>
      </c>
      <c r="G3372" s="2" t="n">
        <v>1</v>
      </c>
      <c r="H3372" s="2" t="n">
        <v>0</v>
      </c>
      <c r="I3372" s="2" t="n">
        <v>0</v>
      </c>
    </row>
    <row r="3373">
      <c r="A3373" s="2" t="n">
        <v>3371</v>
      </c>
      <c r="B3373" s="2" t="inlineStr">
        <is>
          <t>length</t>
        </is>
      </c>
      <c r="C3373" s="2" t="inlineStr">
        <is>
          <t>openssl X25519 only (classical)</t>
        </is>
      </c>
      <c r="D3373" s="2" t="n">
        <v>314</v>
      </c>
      <c r="E3373" s="2" t="n">
        <v>314</v>
      </c>
      <c r="F3373" s="2" t="n">
        <v>1</v>
      </c>
      <c r="G3373" s="2" t="n">
        <v>1</v>
      </c>
      <c r="H3373" s="2" t="n">
        <v>1</v>
      </c>
      <c r="I3373" s="2" t="n">
        <v>0</v>
      </c>
    </row>
    <row r="3374">
      <c r="A3374" s="2" t="n">
        <v>3372</v>
      </c>
      <c r="B3374" s="2" t="inlineStr">
        <is>
          <t>insert</t>
        </is>
      </c>
      <c r="C3374" s="2" t="inlineStr">
        <is>
          <t>browser firefox147</t>
        </is>
      </c>
      <c r="D3374" s="2" t="n">
        <v>1911</v>
      </c>
      <c r="E3374" s="2" t="n">
        <v>1911</v>
      </c>
      <c r="F3374" s="2" t="n">
        <v>1</v>
      </c>
      <c r="G3374" s="2" t="n">
        <v>1</v>
      </c>
      <c r="H3374" s="2" t="n">
        <v>0</v>
      </c>
      <c r="I3374" s="2" t="n">
        <v>0</v>
      </c>
    </row>
    <row r="3375">
      <c r="A3375" s="2" t="n">
        <v>3373</v>
      </c>
      <c r="B3375" s="2" t="inlineStr">
        <is>
          <t>flip</t>
        </is>
      </c>
      <c r="C3375" s="2" t="inlineStr">
        <is>
          <t>openssl 3.5.8 default</t>
        </is>
      </c>
      <c r="D3375" s="2" t="n">
        <v>1548</v>
      </c>
      <c r="E3375" s="2" t="n">
        <v>1548</v>
      </c>
      <c r="F3375" s="2" t="n">
        <v>1</v>
      </c>
      <c r="G3375" s="2" t="n">
        <v>1</v>
      </c>
      <c r="H3375" s="2" t="n">
        <v>1</v>
      </c>
      <c r="I3375" s="2" t="n">
        <v>0</v>
      </c>
    </row>
    <row r="3376">
      <c r="A3376" s="2" t="n">
        <v>3374</v>
      </c>
      <c r="B3376" s="2" t="inlineStr">
        <is>
          <t>truncate</t>
        </is>
      </c>
      <c r="C3376" s="2" t="inlineStr">
        <is>
          <t>openssl 3.5.8 default</t>
        </is>
      </c>
      <c r="D3376" s="2" t="n">
        <v>1050</v>
      </c>
      <c r="E3376" s="2" t="n">
        <v>1050</v>
      </c>
      <c r="F3376" s="2" t="n">
        <v>1</v>
      </c>
      <c r="G3376" s="2" t="n">
        <v>1</v>
      </c>
      <c r="H3376" s="2" t="n">
        <v>1</v>
      </c>
      <c r="I3376" s="2" t="n">
        <v>0</v>
      </c>
    </row>
    <row r="3377">
      <c r="A3377" s="2" t="n">
        <v>3375</v>
      </c>
      <c r="B3377" s="2" t="inlineStr">
        <is>
          <t>length</t>
        </is>
      </c>
      <c r="C3377" s="2" t="inlineStr">
        <is>
          <t>openssl X25519 only (classical)</t>
        </is>
      </c>
      <c r="D3377" s="2" t="n">
        <v>314</v>
      </c>
      <c r="E3377" s="2" t="n">
        <v>314</v>
      </c>
      <c r="F3377" s="2" t="n">
        <v>1</v>
      </c>
      <c r="G3377" s="2" t="n">
        <v>1</v>
      </c>
      <c r="H3377" s="2" t="n">
        <v>1</v>
      </c>
      <c r="I3377" s="2" t="n">
        <v>0</v>
      </c>
    </row>
    <row r="3378">
      <c r="A3378" s="2" t="n">
        <v>3376</v>
      </c>
      <c r="B3378" s="2" t="inlineStr">
        <is>
          <t>insert</t>
        </is>
      </c>
      <c r="C3378" s="2" t="inlineStr">
        <is>
          <t>openssl TLS 1.2 only</t>
        </is>
      </c>
      <c r="D3378" s="2" t="n">
        <v>217</v>
      </c>
      <c r="E3378" s="2" t="n">
        <v>217</v>
      </c>
      <c r="F3378" s="2" t="n">
        <v>1</v>
      </c>
      <c r="G3378" s="2" t="n">
        <v>1</v>
      </c>
      <c r="H3378" s="2" t="n">
        <v>1</v>
      </c>
      <c r="I3378" s="2" t="n">
        <v>0</v>
      </c>
    </row>
    <row r="3379">
      <c r="A3379" s="2" t="n">
        <v>3377</v>
      </c>
      <c r="B3379" s="2" t="inlineStr">
        <is>
          <t>flip</t>
        </is>
      </c>
      <c r="C3379" s="2" t="inlineStr">
        <is>
          <t>browser chrome150</t>
        </is>
      </c>
      <c r="D3379" s="2" t="n">
        <v>1763</v>
      </c>
      <c r="E3379" s="2" t="n">
        <v>1763</v>
      </c>
      <c r="F3379" s="2" t="n">
        <v>1</v>
      </c>
      <c r="G3379" s="2" t="n">
        <v>1</v>
      </c>
      <c r="H3379" s="2" t="n">
        <v>1</v>
      </c>
      <c r="I3379" s="2" t="n">
        <v>0</v>
      </c>
    </row>
    <row r="3380">
      <c r="A3380" s="2" t="n">
        <v>3378</v>
      </c>
      <c r="B3380" s="2" t="inlineStr">
        <is>
          <t>truncate</t>
        </is>
      </c>
      <c r="C3380" s="2" t="inlineStr">
        <is>
          <t>openssl X25519 only (classical)</t>
        </is>
      </c>
      <c r="D3380" s="2" t="n">
        <v>110</v>
      </c>
      <c r="E3380" s="2" t="n">
        <v>110</v>
      </c>
      <c r="F3380" s="2" t="n">
        <v>1</v>
      </c>
      <c r="G3380" s="2" t="n">
        <v>0</v>
      </c>
      <c r="H3380" s="2" t="n">
        <v>0</v>
      </c>
      <c r="I3380" s="2" t="n">
        <v>0</v>
      </c>
    </row>
    <row r="3381">
      <c r="A3381" s="2" t="n">
        <v>3379</v>
      </c>
      <c r="B3381" s="2" t="inlineStr">
        <is>
          <t>length</t>
        </is>
      </c>
      <c r="C3381" s="2" t="inlineStr">
        <is>
          <t>openssl TLS 1.2 only</t>
        </is>
      </c>
      <c r="D3381" s="2" t="n">
        <v>215</v>
      </c>
      <c r="E3381" s="2" t="n">
        <v>215</v>
      </c>
      <c r="F3381" s="2" t="n">
        <v>1</v>
      </c>
      <c r="G3381" s="2" t="n">
        <v>1</v>
      </c>
      <c r="H3381" s="2" t="n">
        <v>0</v>
      </c>
      <c r="I3381" s="2" t="n">
        <v>0</v>
      </c>
    </row>
    <row r="3382">
      <c r="A3382" s="2" t="n">
        <v>3380</v>
      </c>
      <c r="B3382" s="2" t="inlineStr">
        <is>
          <t>insert</t>
        </is>
      </c>
      <c r="C3382" s="2" t="inlineStr">
        <is>
          <t>openssl 3.5.8 default</t>
        </is>
      </c>
      <c r="D3382" s="2" t="n">
        <v>1556</v>
      </c>
      <c r="E3382" s="2" t="n">
        <v>1556</v>
      </c>
      <c r="F3382" s="2" t="n">
        <v>0</v>
      </c>
      <c r="G3382" s="2" t="n">
        <v>0</v>
      </c>
      <c r="H3382" s="2" t="n">
        <v>0</v>
      </c>
      <c r="I3382" s="2" t="n">
        <v>0</v>
      </c>
    </row>
    <row r="3383">
      <c r="A3383" s="2" t="n">
        <v>3381</v>
      </c>
      <c r="B3383" s="2" t="inlineStr">
        <is>
          <t>flip</t>
        </is>
      </c>
      <c r="C3383" s="2" t="inlineStr">
        <is>
          <t>browser chrome150</t>
        </is>
      </c>
      <c r="D3383" s="2" t="n">
        <v>1763</v>
      </c>
      <c r="E3383" s="2" t="n">
        <v>1763</v>
      </c>
      <c r="F3383" s="2" t="n">
        <v>1</v>
      </c>
      <c r="G3383" s="2" t="n">
        <v>1</v>
      </c>
      <c r="H3383" s="2" t="n">
        <v>1</v>
      </c>
      <c r="I3383" s="2" t="n">
        <v>0</v>
      </c>
    </row>
    <row r="3384">
      <c r="A3384" s="2" t="n">
        <v>3382</v>
      </c>
      <c r="B3384" s="2" t="inlineStr">
        <is>
          <t>truncate</t>
        </is>
      </c>
      <c r="C3384" s="2" t="inlineStr">
        <is>
          <t>browser firefox147</t>
        </is>
      </c>
      <c r="D3384" s="2" t="n">
        <v>1075</v>
      </c>
      <c r="E3384" s="2" t="n">
        <v>1075</v>
      </c>
      <c r="F3384" s="2" t="n">
        <v>1</v>
      </c>
      <c r="G3384" s="2" t="n">
        <v>1</v>
      </c>
      <c r="H3384" s="2" t="n">
        <v>0</v>
      </c>
      <c r="I3384" s="2" t="n">
        <v>0</v>
      </c>
    </row>
    <row r="3385">
      <c r="A3385" s="2" t="n">
        <v>3383</v>
      </c>
      <c r="B3385" s="2" t="inlineStr">
        <is>
          <t>length</t>
        </is>
      </c>
      <c r="C3385" s="2" t="inlineStr">
        <is>
          <t>openssl 3.5.8 default</t>
        </is>
      </c>
      <c r="D3385" s="2" t="n">
        <v>1548</v>
      </c>
      <c r="E3385" s="2" t="n">
        <v>1548</v>
      </c>
      <c r="F3385" s="2" t="n">
        <v>1</v>
      </c>
      <c r="G3385" s="2" t="n">
        <v>1</v>
      </c>
      <c r="H3385" s="2" t="n">
        <v>1</v>
      </c>
      <c r="I3385" s="2" t="n">
        <v>0</v>
      </c>
    </row>
    <row r="3386">
      <c r="A3386" s="2" t="n">
        <v>3384</v>
      </c>
      <c r="B3386" s="2" t="inlineStr">
        <is>
          <t>insert</t>
        </is>
      </c>
      <c r="C3386" s="2" t="inlineStr">
        <is>
          <t>browser firefox147</t>
        </is>
      </c>
      <c r="D3386" s="2" t="n">
        <v>1911</v>
      </c>
      <c r="E3386" s="2" t="n">
        <v>1911</v>
      </c>
      <c r="F3386" s="2" t="n">
        <v>1</v>
      </c>
      <c r="G3386" s="2" t="n">
        <v>1</v>
      </c>
      <c r="H3386" s="2" t="n">
        <v>0</v>
      </c>
      <c r="I3386" s="2" t="n">
        <v>0</v>
      </c>
    </row>
    <row r="3387">
      <c r="A3387" s="2" t="n">
        <v>3385</v>
      </c>
      <c r="B3387" s="2" t="inlineStr">
        <is>
          <t>flip</t>
        </is>
      </c>
      <c r="C3387" s="2" t="inlineStr">
        <is>
          <t>openssl TLS 1.2 only</t>
        </is>
      </c>
      <c r="D3387" s="2" t="n">
        <v>215</v>
      </c>
      <c r="E3387" s="2" t="n">
        <v>215</v>
      </c>
      <c r="F3387" s="2" t="n">
        <v>1</v>
      </c>
      <c r="G3387" s="2" t="n">
        <v>1</v>
      </c>
      <c r="H3387" s="2" t="n">
        <v>0</v>
      </c>
      <c r="I3387" s="2" t="n">
        <v>0</v>
      </c>
    </row>
    <row r="3388">
      <c r="A3388" s="2" t="n">
        <v>3386</v>
      </c>
      <c r="B3388" s="2" t="inlineStr">
        <is>
          <t>truncate</t>
        </is>
      </c>
      <c r="C3388" s="2" t="inlineStr">
        <is>
          <t>browser chrome150</t>
        </is>
      </c>
      <c r="D3388" s="2" t="n">
        <v>540</v>
      </c>
      <c r="E3388" s="2" t="n">
        <v>540</v>
      </c>
      <c r="F3388" s="2" t="n">
        <v>1</v>
      </c>
      <c r="G3388" s="2" t="n">
        <v>1</v>
      </c>
      <c r="H3388" s="2" t="n">
        <v>1</v>
      </c>
      <c r="I3388" s="2" t="n">
        <v>0</v>
      </c>
    </row>
    <row r="3389">
      <c r="A3389" s="2" t="n">
        <v>3387</v>
      </c>
      <c r="B3389" s="2" t="inlineStr">
        <is>
          <t>length</t>
        </is>
      </c>
      <c r="C3389" s="2" t="inlineStr">
        <is>
          <t>openssl X25519 only (classical)</t>
        </is>
      </c>
      <c r="D3389" s="2" t="n">
        <v>314</v>
      </c>
      <c r="E3389" s="2" t="n">
        <v>314</v>
      </c>
      <c r="F3389" s="2" t="n">
        <v>1</v>
      </c>
      <c r="G3389" s="2" t="n">
        <v>1</v>
      </c>
      <c r="H3389" s="2" t="n">
        <v>1</v>
      </c>
      <c r="I3389" s="2" t="n">
        <v>0</v>
      </c>
    </row>
    <row r="3390">
      <c r="A3390" s="2" t="n">
        <v>3388</v>
      </c>
      <c r="B3390" s="2" t="inlineStr">
        <is>
          <t>insert</t>
        </is>
      </c>
      <c r="C3390" s="2" t="inlineStr">
        <is>
          <t>openssl X25519 only (classical)</t>
        </is>
      </c>
      <c r="D3390" s="2" t="n">
        <v>322</v>
      </c>
      <c r="E3390" s="2" t="n">
        <v>322</v>
      </c>
      <c r="F3390" s="2" t="n">
        <v>1</v>
      </c>
      <c r="G3390" s="2" t="n">
        <v>1</v>
      </c>
      <c r="H3390" s="2" t="n">
        <v>0</v>
      </c>
      <c r="I3390" s="2" t="n">
        <v>0</v>
      </c>
    </row>
    <row r="3391">
      <c r="A3391" s="2" t="n">
        <v>3389</v>
      </c>
      <c r="B3391" s="2" t="inlineStr">
        <is>
          <t>flip</t>
        </is>
      </c>
      <c r="C3391" s="2" t="inlineStr">
        <is>
          <t>openssl 3.5.8 default</t>
        </is>
      </c>
      <c r="D3391" s="2" t="n">
        <v>1548</v>
      </c>
      <c r="E3391" s="2" t="n">
        <v>1548</v>
      </c>
      <c r="F3391" s="2" t="n">
        <v>1</v>
      </c>
      <c r="G3391" s="2" t="n">
        <v>1</v>
      </c>
      <c r="H3391" s="2" t="n">
        <v>1</v>
      </c>
      <c r="I3391" s="2" t="n">
        <v>0</v>
      </c>
    </row>
    <row r="3392">
      <c r="A3392" s="2" t="n">
        <v>3390</v>
      </c>
      <c r="B3392" s="2" t="inlineStr">
        <is>
          <t>truncate</t>
        </is>
      </c>
      <c r="C3392" s="2" t="inlineStr">
        <is>
          <t>browser firefox147</t>
        </is>
      </c>
      <c r="D3392" s="2" t="n">
        <v>1661</v>
      </c>
      <c r="E3392" s="2" t="n">
        <v>1661</v>
      </c>
      <c r="F3392" s="2" t="n">
        <v>1</v>
      </c>
      <c r="G3392" s="2" t="n">
        <v>1</v>
      </c>
      <c r="H3392" s="2" t="n">
        <v>0</v>
      </c>
      <c r="I3392" s="2" t="n">
        <v>0</v>
      </c>
    </row>
    <row r="3393">
      <c r="A3393" s="2" t="n">
        <v>3391</v>
      </c>
      <c r="B3393" s="2" t="inlineStr">
        <is>
          <t>length</t>
        </is>
      </c>
      <c r="C3393" s="2" t="inlineStr">
        <is>
          <t>openssl X25519 only (classical)</t>
        </is>
      </c>
      <c r="D3393" s="2" t="n">
        <v>314</v>
      </c>
      <c r="E3393" s="2" t="n">
        <v>314</v>
      </c>
      <c r="F3393" s="2" t="n">
        <v>1</v>
      </c>
      <c r="G3393" s="2" t="n">
        <v>0</v>
      </c>
      <c r="H3393" s="2" t="n">
        <v>0</v>
      </c>
      <c r="I3393" s="2" t="n">
        <v>0</v>
      </c>
    </row>
    <row r="3394">
      <c r="A3394" s="2" t="n">
        <v>3392</v>
      </c>
      <c r="B3394" s="2" t="inlineStr">
        <is>
          <t>insert</t>
        </is>
      </c>
      <c r="C3394" s="2" t="inlineStr">
        <is>
          <t>openssl 3.5.8 default</t>
        </is>
      </c>
      <c r="D3394" s="2" t="n">
        <v>1559</v>
      </c>
      <c r="E3394" s="2" t="n">
        <v>1559</v>
      </c>
      <c r="F3394" s="2" t="n">
        <v>1</v>
      </c>
      <c r="G3394" s="2" t="n">
        <v>1</v>
      </c>
      <c r="H3394" s="2" t="n">
        <v>1</v>
      </c>
      <c r="I3394" s="2" t="n">
        <v>0</v>
      </c>
    </row>
    <row r="3395">
      <c r="A3395" s="2" t="n">
        <v>3393</v>
      </c>
      <c r="B3395" s="2" t="inlineStr">
        <is>
          <t>flip</t>
        </is>
      </c>
      <c r="C3395" s="2" t="inlineStr">
        <is>
          <t>browser firefox147</t>
        </is>
      </c>
      <c r="D3395" s="2" t="n">
        <v>1901</v>
      </c>
      <c r="E3395" s="2" t="n">
        <v>1901</v>
      </c>
      <c r="F3395" s="2" t="n">
        <v>1</v>
      </c>
      <c r="G3395" s="2" t="n">
        <v>1</v>
      </c>
      <c r="H3395" s="2" t="n">
        <v>1</v>
      </c>
      <c r="I3395" s="2" t="n">
        <v>0</v>
      </c>
    </row>
    <row r="3396">
      <c r="A3396" s="2" t="n">
        <v>3394</v>
      </c>
      <c r="B3396" s="2" t="inlineStr">
        <is>
          <t>truncate</t>
        </is>
      </c>
      <c r="C3396" s="2" t="inlineStr">
        <is>
          <t>openssl X25519 only (classical)</t>
        </is>
      </c>
      <c r="D3396" s="2" t="n">
        <v>106</v>
      </c>
      <c r="E3396" s="2" t="n">
        <v>106</v>
      </c>
      <c r="F3396" s="2" t="n">
        <v>1</v>
      </c>
      <c r="G3396" s="2" t="n">
        <v>0</v>
      </c>
      <c r="H3396" s="2" t="n">
        <v>0</v>
      </c>
      <c r="I3396" s="2" t="n">
        <v>0</v>
      </c>
    </row>
    <row r="3397">
      <c r="A3397" s="2" t="n">
        <v>3395</v>
      </c>
      <c r="B3397" s="2" t="inlineStr">
        <is>
          <t>length</t>
        </is>
      </c>
      <c r="C3397" s="2" t="inlineStr">
        <is>
          <t>browser firefox147</t>
        </is>
      </c>
      <c r="D3397" s="2" t="n">
        <v>1901</v>
      </c>
      <c r="E3397" s="2" t="n">
        <v>1901</v>
      </c>
      <c r="F3397" s="2" t="n">
        <v>1</v>
      </c>
      <c r="G3397" s="2" t="n">
        <v>1</v>
      </c>
      <c r="H3397" s="2" t="n">
        <v>0</v>
      </c>
      <c r="I3397" s="2" t="n">
        <v>0</v>
      </c>
    </row>
    <row r="3398">
      <c r="A3398" s="2" t="n">
        <v>3396</v>
      </c>
      <c r="B3398" s="2" t="inlineStr">
        <is>
          <t>insert</t>
        </is>
      </c>
      <c r="C3398" s="2" t="inlineStr">
        <is>
          <t>openssl 3.5.8 default</t>
        </is>
      </c>
      <c r="D3398" s="2" t="n">
        <v>1553</v>
      </c>
      <c r="E3398" s="2" t="n">
        <v>1553</v>
      </c>
      <c r="F3398" s="2" t="n">
        <v>1</v>
      </c>
      <c r="G3398" s="2" t="n">
        <v>0</v>
      </c>
      <c r="H3398" s="2" t="n">
        <v>0</v>
      </c>
      <c r="I3398" s="2" t="n">
        <v>0</v>
      </c>
    </row>
    <row r="3399">
      <c r="A3399" s="2" t="n">
        <v>3397</v>
      </c>
      <c r="B3399" s="2" t="inlineStr">
        <is>
          <t>flip</t>
        </is>
      </c>
      <c r="C3399" s="2" t="inlineStr">
        <is>
          <t>browser chrome150</t>
        </is>
      </c>
      <c r="D3399" s="2" t="n">
        <v>1763</v>
      </c>
      <c r="E3399" s="2" t="n">
        <v>1763</v>
      </c>
      <c r="F3399" s="2" t="n">
        <v>1</v>
      </c>
      <c r="G3399" s="2" t="n">
        <v>1</v>
      </c>
      <c r="H3399" s="2" t="n">
        <v>1</v>
      </c>
      <c r="I3399" s="2" t="n">
        <v>0</v>
      </c>
    </row>
    <row r="3400">
      <c r="A3400" s="2" t="n">
        <v>3398</v>
      </c>
      <c r="B3400" s="2" t="inlineStr">
        <is>
          <t>truncate</t>
        </is>
      </c>
      <c r="C3400" s="2" t="inlineStr">
        <is>
          <t>openssl 3.5.8 default</t>
        </is>
      </c>
      <c r="D3400" s="2" t="n">
        <v>1121</v>
      </c>
      <c r="E3400" s="2" t="n">
        <v>1121</v>
      </c>
      <c r="F3400" s="2" t="n">
        <v>1</v>
      </c>
      <c r="G3400" s="2" t="n">
        <v>1</v>
      </c>
      <c r="H3400" s="2" t="n">
        <v>1</v>
      </c>
      <c r="I3400" s="2" t="n">
        <v>0</v>
      </c>
    </row>
    <row r="3401">
      <c r="A3401" s="2" t="n">
        <v>3399</v>
      </c>
      <c r="B3401" s="2" t="inlineStr">
        <is>
          <t>length</t>
        </is>
      </c>
      <c r="C3401" s="2" t="inlineStr">
        <is>
          <t>openssl X25519 only (classical)</t>
        </is>
      </c>
      <c r="D3401" s="2" t="n">
        <v>314</v>
      </c>
      <c r="E3401" s="2" t="n">
        <v>314</v>
      </c>
      <c r="F3401" s="2" t="n">
        <v>1</v>
      </c>
      <c r="G3401" s="2" t="n">
        <v>1</v>
      </c>
      <c r="H3401" s="2" t="n">
        <v>1</v>
      </c>
      <c r="I3401" s="2" t="n">
        <v>0</v>
      </c>
    </row>
    <row r="3402">
      <c r="A3402" s="2" t="n">
        <v>3400</v>
      </c>
      <c r="B3402" s="2" t="inlineStr">
        <is>
          <t>insert</t>
        </is>
      </c>
      <c r="C3402" s="2" t="inlineStr">
        <is>
          <t>browser chrome150</t>
        </is>
      </c>
      <c r="D3402" s="2" t="n">
        <v>1776</v>
      </c>
      <c r="E3402" s="2" t="n">
        <v>1776</v>
      </c>
      <c r="F3402" s="2" t="n">
        <v>1</v>
      </c>
      <c r="G3402" s="2" t="n">
        <v>1</v>
      </c>
      <c r="H3402" s="2" t="n">
        <v>1</v>
      </c>
      <c r="I3402" s="2" t="n">
        <v>0</v>
      </c>
    </row>
    <row r="3403">
      <c r="A3403" s="2" t="n">
        <v>3401</v>
      </c>
      <c r="B3403" s="2" t="inlineStr">
        <is>
          <t>flip</t>
        </is>
      </c>
      <c r="C3403" s="2" t="inlineStr">
        <is>
          <t>browser firefox147</t>
        </is>
      </c>
      <c r="D3403" s="2" t="n">
        <v>1901</v>
      </c>
      <c r="E3403" s="2" t="n">
        <v>1901</v>
      </c>
      <c r="F3403" s="2" t="n">
        <v>1</v>
      </c>
      <c r="G3403" s="2" t="n">
        <v>1</v>
      </c>
      <c r="H3403" s="2" t="n">
        <v>0</v>
      </c>
      <c r="I3403" s="2" t="n">
        <v>0</v>
      </c>
    </row>
    <row r="3404">
      <c r="A3404" s="2" t="n">
        <v>3402</v>
      </c>
      <c r="B3404" s="2" t="inlineStr">
        <is>
          <t>truncate</t>
        </is>
      </c>
      <c r="C3404" s="2" t="inlineStr">
        <is>
          <t>openssl TLS 1.2 only</t>
        </is>
      </c>
      <c r="D3404" s="2" t="n">
        <v>108</v>
      </c>
      <c r="E3404" s="2" t="n">
        <v>108</v>
      </c>
      <c r="F3404" s="2" t="n">
        <v>1</v>
      </c>
      <c r="G3404" s="2" t="n">
        <v>1</v>
      </c>
      <c r="H3404" s="2" t="n">
        <v>0</v>
      </c>
      <c r="I3404" s="2" t="n">
        <v>0</v>
      </c>
    </row>
    <row r="3405">
      <c r="A3405" s="2" t="n">
        <v>3403</v>
      </c>
      <c r="B3405" s="2" t="inlineStr">
        <is>
          <t>length</t>
        </is>
      </c>
      <c r="C3405" s="2" t="inlineStr">
        <is>
          <t>browser firefox147</t>
        </is>
      </c>
      <c r="D3405" s="2" t="n">
        <v>1901</v>
      </c>
      <c r="E3405" s="2" t="n">
        <v>1901</v>
      </c>
      <c r="F3405" s="2" t="n">
        <v>1</v>
      </c>
      <c r="G3405" s="2" t="n">
        <v>1</v>
      </c>
      <c r="H3405" s="2" t="n">
        <v>0</v>
      </c>
      <c r="I3405" s="2" t="n">
        <v>0</v>
      </c>
    </row>
    <row r="3406">
      <c r="A3406" s="2" t="n">
        <v>3404</v>
      </c>
      <c r="B3406" s="2" t="inlineStr">
        <is>
          <t>insert</t>
        </is>
      </c>
      <c r="C3406" s="2" t="inlineStr">
        <is>
          <t>openssl TLS 1.2 only</t>
        </is>
      </c>
      <c r="D3406" s="2" t="n">
        <v>228</v>
      </c>
      <c r="E3406" s="2" t="n">
        <v>228</v>
      </c>
      <c r="F3406" s="2" t="n">
        <v>1</v>
      </c>
      <c r="G3406" s="2" t="n">
        <v>1</v>
      </c>
      <c r="H3406" s="2" t="n">
        <v>1</v>
      </c>
      <c r="I3406" s="2" t="n">
        <v>0</v>
      </c>
    </row>
    <row r="3407">
      <c r="A3407" s="2" t="n">
        <v>3405</v>
      </c>
      <c r="B3407" s="2" t="inlineStr">
        <is>
          <t>flip</t>
        </is>
      </c>
      <c r="C3407" s="2" t="inlineStr">
        <is>
          <t>openssl 3.5.8 default</t>
        </is>
      </c>
      <c r="D3407" s="2" t="n">
        <v>1548</v>
      </c>
      <c r="E3407" s="2" t="n">
        <v>1548</v>
      </c>
      <c r="F3407" s="2" t="n">
        <v>1</v>
      </c>
      <c r="G3407" s="2" t="n">
        <v>1</v>
      </c>
      <c r="H3407" s="2" t="n">
        <v>1</v>
      </c>
      <c r="I3407" s="2" t="n">
        <v>0</v>
      </c>
    </row>
    <row r="3408">
      <c r="A3408" s="2" t="n">
        <v>3406</v>
      </c>
      <c r="B3408" s="2" t="inlineStr">
        <is>
          <t>truncate</t>
        </is>
      </c>
      <c r="C3408" s="2" t="inlineStr">
        <is>
          <t>openssl TLS 1.2 only</t>
        </is>
      </c>
      <c r="D3408" s="2" t="n">
        <v>74</v>
      </c>
      <c r="E3408" s="2" t="n">
        <v>74</v>
      </c>
      <c r="F3408" s="2" t="n">
        <v>1</v>
      </c>
      <c r="G3408" s="2" t="n">
        <v>0</v>
      </c>
      <c r="H3408" s="2" t="n">
        <v>0</v>
      </c>
      <c r="I3408" s="2" t="n">
        <v>0</v>
      </c>
    </row>
    <row r="3409">
      <c r="A3409" s="2" t="n">
        <v>3407</v>
      </c>
      <c r="B3409" s="2" t="inlineStr">
        <is>
          <t>length</t>
        </is>
      </c>
      <c r="C3409" s="2" t="inlineStr">
        <is>
          <t>openssl 3.5.8 default</t>
        </is>
      </c>
      <c r="D3409" s="2" t="n">
        <v>1548</v>
      </c>
      <c r="E3409" s="2" t="n">
        <v>1548</v>
      </c>
      <c r="F3409" s="2" t="n">
        <v>0</v>
      </c>
      <c r="G3409" s="2" t="n">
        <v>0</v>
      </c>
      <c r="H3409" s="2" t="n">
        <v>0</v>
      </c>
      <c r="I3409" s="2" t="n">
        <v>0</v>
      </c>
    </row>
    <row r="3410">
      <c r="A3410" s="2" t="n">
        <v>3408</v>
      </c>
      <c r="B3410" s="2" t="inlineStr">
        <is>
          <t>insert</t>
        </is>
      </c>
      <c r="C3410" s="2" t="inlineStr">
        <is>
          <t>browser chrome150</t>
        </is>
      </c>
      <c r="D3410" s="2" t="n">
        <v>1768</v>
      </c>
      <c r="E3410" s="2" t="n">
        <v>1768</v>
      </c>
      <c r="F3410" s="2" t="n">
        <v>1</v>
      </c>
      <c r="G3410" s="2" t="n">
        <v>0</v>
      </c>
      <c r="H3410" s="2" t="n">
        <v>0</v>
      </c>
      <c r="I3410" s="2" t="n">
        <v>0</v>
      </c>
    </row>
    <row r="3411">
      <c r="A3411" s="2" t="n">
        <v>3409</v>
      </c>
      <c r="B3411" s="2" t="inlineStr">
        <is>
          <t>flip</t>
        </is>
      </c>
      <c r="C3411" s="2" t="inlineStr">
        <is>
          <t>openssl 3.5.8 default</t>
        </is>
      </c>
      <c r="D3411" s="2" t="n">
        <v>1548</v>
      </c>
      <c r="E3411" s="2" t="n">
        <v>1548</v>
      </c>
      <c r="F3411" s="2" t="n">
        <v>1</v>
      </c>
      <c r="G3411" s="2" t="n">
        <v>1</v>
      </c>
      <c r="H3411" s="2" t="n">
        <v>1</v>
      </c>
      <c r="I3411" s="2" t="n">
        <v>0</v>
      </c>
    </row>
    <row r="3412">
      <c r="A3412" s="2" t="n">
        <v>3410</v>
      </c>
      <c r="B3412" s="2" t="inlineStr">
        <is>
          <t>truncate</t>
        </is>
      </c>
      <c r="C3412" s="2" t="inlineStr">
        <is>
          <t>openssl X25519 only (classical)</t>
        </is>
      </c>
      <c r="D3412" s="2" t="n">
        <v>112</v>
      </c>
      <c r="E3412" s="2" t="n">
        <v>112</v>
      </c>
      <c r="F3412" s="2" t="n">
        <v>1</v>
      </c>
      <c r="G3412" s="2" t="n">
        <v>0</v>
      </c>
      <c r="H3412" s="2" t="n">
        <v>0</v>
      </c>
      <c r="I3412" s="2" t="n">
        <v>0</v>
      </c>
    </row>
    <row r="3413">
      <c r="A3413" s="2" t="n">
        <v>3411</v>
      </c>
      <c r="B3413" s="2" t="inlineStr">
        <is>
          <t>length</t>
        </is>
      </c>
      <c r="C3413" s="2" t="inlineStr">
        <is>
          <t>openssl 3.5.8 default</t>
        </is>
      </c>
      <c r="D3413" s="2" t="n">
        <v>1548</v>
      </c>
      <c r="E3413" s="2" t="n">
        <v>1548</v>
      </c>
      <c r="F3413" s="2" t="n">
        <v>1</v>
      </c>
      <c r="G3413" s="2" t="n">
        <v>0</v>
      </c>
      <c r="H3413" s="2" t="n">
        <v>0</v>
      </c>
      <c r="I3413" s="2" t="n">
        <v>0</v>
      </c>
    </row>
    <row r="3414">
      <c r="A3414" s="2" t="n">
        <v>3412</v>
      </c>
      <c r="B3414" s="2" t="inlineStr">
        <is>
          <t>insert</t>
        </is>
      </c>
      <c r="C3414" s="2" t="inlineStr">
        <is>
          <t>openssl 3.5.8 default</t>
        </is>
      </c>
      <c r="D3414" s="2" t="n">
        <v>1563</v>
      </c>
      <c r="E3414" s="2" t="n">
        <v>1563</v>
      </c>
      <c r="F3414" s="2" t="n">
        <v>1</v>
      </c>
      <c r="G3414" s="2" t="n">
        <v>1</v>
      </c>
      <c r="H3414" s="2" t="n">
        <v>1</v>
      </c>
      <c r="I3414" s="2" t="n">
        <v>0</v>
      </c>
    </row>
    <row r="3415">
      <c r="A3415" s="2" t="n">
        <v>3413</v>
      </c>
      <c r="B3415" s="2" t="inlineStr">
        <is>
          <t>flip</t>
        </is>
      </c>
      <c r="C3415" s="2" t="inlineStr">
        <is>
          <t>browser firefox147</t>
        </is>
      </c>
      <c r="D3415" s="2" t="n">
        <v>1901</v>
      </c>
      <c r="E3415" s="2" t="n">
        <v>1901</v>
      </c>
      <c r="F3415" s="2" t="n">
        <v>1</v>
      </c>
      <c r="G3415" s="2" t="n">
        <v>1</v>
      </c>
      <c r="H3415" s="2" t="n">
        <v>0</v>
      </c>
      <c r="I3415" s="2" t="n">
        <v>0</v>
      </c>
    </row>
    <row r="3416">
      <c r="A3416" s="2" t="n">
        <v>3414</v>
      </c>
      <c r="B3416" s="2" t="inlineStr">
        <is>
          <t>truncate</t>
        </is>
      </c>
      <c r="C3416" s="2" t="inlineStr">
        <is>
          <t>openssl 3.5.8 default</t>
        </is>
      </c>
      <c r="D3416" s="2" t="n">
        <v>827</v>
      </c>
      <c r="E3416" s="2" t="n">
        <v>827</v>
      </c>
      <c r="F3416" s="2" t="n">
        <v>1</v>
      </c>
      <c r="G3416" s="2" t="n">
        <v>1</v>
      </c>
      <c r="H3416" s="2" t="n">
        <v>1</v>
      </c>
      <c r="I3416" s="2" t="n">
        <v>0</v>
      </c>
    </row>
    <row r="3417">
      <c r="A3417" s="2" t="n">
        <v>3415</v>
      </c>
      <c r="B3417" s="2" t="inlineStr">
        <is>
          <t>length</t>
        </is>
      </c>
      <c r="C3417" s="2" t="inlineStr">
        <is>
          <t>openssl 3.5.8 default</t>
        </is>
      </c>
      <c r="D3417" s="2" t="n">
        <v>1548</v>
      </c>
      <c r="E3417" s="2" t="n">
        <v>1548</v>
      </c>
      <c r="F3417" s="2" t="n">
        <v>1</v>
      </c>
      <c r="G3417" s="2" t="n">
        <v>1</v>
      </c>
      <c r="H3417" s="2" t="n">
        <v>1</v>
      </c>
      <c r="I3417" s="2" t="n">
        <v>0</v>
      </c>
    </row>
    <row r="3418">
      <c r="A3418" s="2" t="n">
        <v>3416</v>
      </c>
      <c r="B3418" s="2" t="inlineStr">
        <is>
          <t>insert</t>
        </is>
      </c>
      <c r="C3418" s="2" t="inlineStr">
        <is>
          <t>browser chrome150</t>
        </is>
      </c>
      <c r="D3418" s="2" t="n">
        <v>1773</v>
      </c>
      <c r="E3418" s="2" t="n">
        <v>1773</v>
      </c>
      <c r="F3418" s="2" t="n">
        <v>1</v>
      </c>
      <c r="G3418" s="2" t="n">
        <v>1</v>
      </c>
      <c r="H3418" s="2" t="n">
        <v>1</v>
      </c>
      <c r="I3418" s="2" t="n">
        <v>0</v>
      </c>
    </row>
    <row r="3419">
      <c r="A3419" s="2" t="n">
        <v>3417</v>
      </c>
      <c r="B3419" s="2" t="inlineStr">
        <is>
          <t>flip</t>
        </is>
      </c>
      <c r="C3419" s="2" t="inlineStr">
        <is>
          <t>browser firefox147</t>
        </is>
      </c>
      <c r="D3419" s="2" t="n">
        <v>1901</v>
      </c>
      <c r="E3419" s="2" t="n">
        <v>1901</v>
      </c>
      <c r="F3419" s="2" t="n">
        <v>1</v>
      </c>
      <c r="G3419" s="2" t="n">
        <v>1</v>
      </c>
      <c r="H3419" s="2" t="n">
        <v>0</v>
      </c>
      <c r="I3419" s="2" t="n">
        <v>0</v>
      </c>
    </row>
    <row r="3420">
      <c r="A3420" s="2" t="n">
        <v>3418</v>
      </c>
      <c r="B3420" s="2" t="inlineStr">
        <is>
          <t>truncate</t>
        </is>
      </c>
      <c r="C3420" s="2" t="inlineStr">
        <is>
          <t>browser chrome150</t>
        </is>
      </c>
      <c r="D3420" s="2" t="n">
        <v>263</v>
      </c>
      <c r="E3420" s="2" t="n">
        <v>263</v>
      </c>
      <c r="F3420" s="2" t="n">
        <v>1</v>
      </c>
      <c r="G3420" s="2" t="n">
        <v>1</v>
      </c>
      <c r="H3420" s="2" t="n">
        <v>1</v>
      </c>
      <c r="I3420" s="2" t="n">
        <v>0</v>
      </c>
    </row>
    <row r="3421">
      <c r="A3421" s="2" t="n">
        <v>3419</v>
      </c>
      <c r="B3421" s="2" t="inlineStr">
        <is>
          <t>length</t>
        </is>
      </c>
      <c r="C3421" s="2" t="inlineStr">
        <is>
          <t>browser firefox147</t>
        </is>
      </c>
      <c r="D3421" s="2" t="n">
        <v>1901</v>
      </c>
      <c r="E3421" s="2" t="n">
        <v>1901</v>
      </c>
      <c r="F3421" s="2" t="n">
        <v>1</v>
      </c>
      <c r="G3421" s="2" t="n">
        <v>1</v>
      </c>
      <c r="H3421" s="2" t="n">
        <v>0</v>
      </c>
      <c r="I3421" s="2" t="n">
        <v>0</v>
      </c>
    </row>
    <row r="3422">
      <c r="A3422" s="2" t="n">
        <v>3420</v>
      </c>
      <c r="B3422" s="2" t="inlineStr">
        <is>
          <t>insert</t>
        </is>
      </c>
      <c r="C3422" s="2" t="inlineStr">
        <is>
          <t>browser chrome150</t>
        </is>
      </c>
      <c r="D3422" s="2" t="n">
        <v>1778</v>
      </c>
      <c r="E3422" s="2" t="n">
        <v>1778</v>
      </c>
      <c r="F3422" s="2" t="n">
        <v>1</v>
      </c>
      <c r="G3422" s="2" t="n">
        <v>1</v>
      </c>
      <c r="H3422" s="2" t="n">
        <v>1</v>
      </c>
      <c r="I3422" s="2" t="n">
        <v>0</v>
      </c>
    </row>
    <row r="3423">
      <c r="A3423" s="2" t="n">
        <v>3421</v>
      </c>
      <c r="B3423" s="2" t="inlineStr">
        <is>
          <t>flip</t>
        </is>
      </c>
      <c r="C3423" s="2" t="inlineStr">
        <is>
          <t>openssl 3.5.8 default</t>
        </is>
      </c>
      <c r="D3423" s="2" t="n">
        <v>1548</v>
      </c>
      <c r="E3423" s="2" t="n">
        <v>1548</v>
      </c>
      <c r="F3423" s="2" t="n">
        <v>1</v>
      </c>
      <c r="G3423" s="2" t="n">
        <v>1</v>
      </c>
      <c r="H3423" s="2" t="n">
        <v>1</v>
      </c>
      <c r="I3423" s="2" t="n">
        <v>0</v>
      </c>
    </row>
    <row r="3424">
      <c r="A3424" s="2" t="n">
        <v>3422</v>
      </c>
      <c r="B3424" s="2" t="inlineStr">
        <is>
          <t>truncate</t>
        </is>
      </c>
      <c r="C3424" s="2" t="inlineStr">
        <is>
          <t>browser chrome150</t>
        </is>
      </c>
      <c r="D3424" s="2" t="n">
        <v>604</v>
      </c>
      <c r="E3424" s="2" t="n">
        <v>604</v>
      </c>
      <c r="F3424" s="2" t="n">
        <v>1</v>
      </c>
      <c r="G3424" s="2" t="n">
        <v>1</v>
      </c>
      <c r="H3424" s="2" t="n">
        <v>1</v>
      </c>
      <c r="I3424" s="2" t="n">
        <v>0</v>
      </c>
    </row>
    <row r="3425">
      <c r="A3425" s="2" t="n">
        <v>3423</v>
      </c>
      <c r="B3425" s="2" t="inlineStr">
        <is>
          <t>length</t>
        </is>
      </c>
      <c r="C3425" s="2" t="inlineStr">
        <is>
          <t>browser chrome150</t>
        </is>
      </c>
      <c r="D3425" s="2" t="n">
        <v>1763</v>
      </c>
      <c r="E3425" s="2" t="n">
        <v>1763</v>
      </c>
      <c r="F3425" s="2" t="n">
        <v>1</v>
      </c>
      <c r="G3425" s="2" t="n">
        <v>1</v>
      </c>
      <c r="H3425" s="2" t="n">
        <v>1</v>
      </c>
      <c r="I3425" s="2" t="n">
        <v>0</v>
      </c>
    </row>
    <row r="3426">
      <c r="A3426" s="2" t="n">
        <v>3424</v>
      </c>
      <c r="B3426" s="2" t="inlineStr">
        <is>
          <t>insert</t>
        </is>
      </c>
      <c r="C3426" s="2" t="inlineStr">
        <is>
          <t>browser chrome150</t>
        </is>
      </c>
      <c r="D3426" s="2" t="n">
        <v>1769</v>
      </c>
      <c r="E3426" s="2" t="n">
        <v>1769</v>
      </c>
      <c r="F3426" s="2" t="n">
        <v>1</v>
      </c>
      <c r="G3426" s="2" t="n">
        <v>1</v>
      </c>
      <c r="H3426" s="2" t="n">
        <v>1</v>
      </c>
      <c r="I3426" s="2" t="n">
        <v>0</v>
      </c>
    </row>
    <row r="3427">
      <c r="A3427" s="2" t="n">
        <v>3425</v>
      </c>
      <c r="B3427" s="2" t="inlineStr">
        <is>
          <t>flip</t>
        </is>
      </c>
      <c r="C3427" s="2" t="inlineStr">
        <is>
          <t>browser firefox147</t>
        </is>
      </c>
      <c r="D3427" s="2" t="n">
        <v>1901</v>
      </c>
      <c r="E3427" s="2" t="n">
        <v>1901</v>
      </c>
      <c r="F3427" s="2" t="n">
        <v>1</v>
      </c>
      <c r="G3427" s="2" t="n">
        <v>1</v>
      </c>
      <c r="H3427" s="2" t="n">
        <v>0</v>
      </c>
      <c r="I3427" s="2" t="n">
        <v>0</v>
      </c>
    </row>
    <row r="3428">
      <c r="A3428" s="2" t="n">
        <v>3426</v>
      </c>
      <c r="B3428" s="2" t="inlineStr">
        <is>
          <t>truncate</t>
        </is>
      </c>
      <c r="C3428" s="2" t="inlineStr">
        <is>
          <t>openssl 3.5.8 default</t>
        </is>
      </c>
      <c r="D3428" s="2" t="n">
        <v>795</v>
      </c>
      <c r="E3428" s="2" t="n">
        <v>795</v>
      </c>
      <c r="F3428" s="2" t="n">
        <v>1</v>
      </c>
      <c r="G3428" s="2" t="n">
        <v>1</v>
      </c>
      <c r="H3428" s="2" t="n">
        <v>1</v>
      </c>
      <c r="I3428" s="2" t="n">
        <v>0</v>
      </c>
    </row>
    <row r="3429">
      <c r="A3429" s="2" t="n">
        <v>3427</v>
      </c>
      <c r="B3429" s="2" t="inlineStr">
        <is>
          <t>length</t>
        </is>
      </c>
      <c r="C3429" s="2" t="inlineStr">
        <is>
          <t>browser firefox147</t>
        </is>
      </c>
      <c r="D3429" s="2" t="n">
        <v>1901</v>
      </c>
      <c r="E3429" s="2" t="n">
        <v>1901</v>
      </c>
      <c r="F3429" s="2" t="n">
        <v>1</v>
      </c>
      <c r="G3429" s="2" t="n">
        <v>1</v>
      </c>
      <c r="H3429" s="2" t="n">
        <v>0</v>
      </c>
      <c r="I3429" s="2" t="n">
        <v>0</v>
      </c>
    </row>
    <row r="3430">
      <c r="A3430" s="2" t="n">
        <v>3428</v>
      </c>
      <c r="B3430" s="2" t="inlineStr">
        <is>
          <t>insert</t>
        </is>
      </c>
      <c r="C3430" s="2" t="inlineStr">
        <is>
          <t>browser chrome150</t>
        </is>
      </c>
      <c r="D3430" s="2" t="n">
        <v>1776</v>
      </c>
      <c r="E3430" s="2" t="n">
        <v>1776</v>
      </c>
      <c r="F3430" s="2" t="n">
        <v>1</v>
      </c>
      <c r="G3430" s="2" t="n">
        <v>1</v>
      </c>
      <c r="H3430" s="2" t="n">
        <v>1</v>
      </c>
      <c r="I3430" s="2" t="n">
        <v>0</v>
      </c>
    </row>
    <row r="3431">
      <c r="A3431" s="2" t="n">
        <v>3429</v>
      </c>
      <c r="B3431" s="2" t="inlineStr">
        <is>
          <t>flip</t>
        </is>
      </c>
      <c r="C3431" s="2" t="inlineStr">
        <is>
          <t>browser chrome150</t>
        </is>
      </c>
      <c r="D3431" s="2" t="n">
        <v>1763</v>
      </c>
      <c r="E3431" s="2" t="n">
        <v>1763</v>
      </c>
      <c r="F3431" s="2" t="n">
        <v>1</v>
      </c>
      <c r="G3431" s="2" t="n">
        <v>1</v>
      </c>
      <c r="H3431" s="2" t="n">
        <v>1</v>
      </c>
      <c r="I3431" s="2" t="n">
        <v>0</v>
      </c>
    </row>
    <row r="3432">
      <c r="A3432" s="2" t="n">
        <v>3430</v>
      </c>
      <c r="B3432" s="2" t="inlineStr">
        <is>
          <t>truncate</t>
        </is>
      </c>
      <c r="C3432" s="2" t="inlineStr">
        <is>
          <t>browser firefox147</t>
        </is>
      </c>
      <c r="D3432" s="2" t="n">
        <v>1787</v>
      </c>
      <c r="E3432" s="2" t="n">
        <v>1787</v>
      </c>
      <c r="F3432" s="2" t="n">
        <v>1</v>
      </c>
      <c r="G3432" s="2" t="n">
        <v>1</v>
      </c>
      <c r="H3432" s="2" t="n">
        <v>0</v>
      </c>
      <c r="I3432" s="2" t="n">
        <v>0</v>
      </c>
    </row>
    <row r="3433">
      <c r="A3433" s="2" t="n">
        <v>3431</v>
      </c>
      <c r="B3433" s="2" t="inlineStr">
        <is>
          <t>length</t>
        </is>
      </c>
      <c r="C3433" s="2" t="inlineStr">
        <is>
          <t>browser firefox147</t>
        </is>
      </c>
      <c r="D3433" s="2" t="n">
        <v>1901</v>
      </c>
      <c r="E3433" s="2" t="n">
        <v>1901</v>
      </c>
      <c r="F3433" s="2" t="n">
        <v>1</v>
      </c>
      <c r="G3433" s="2" t="n">
        <v>1</v>
      </c>
      <c r="H3433" s="2" t="n">
        <v>0</v>
      </c>
      <c r="I3433" s="2" t="n">
        <v>0</v>
      </c>
    </row>
    <row r="3434">
      <c r="A3434" s="2" t="n">
        <v>3432</v>
      </c>
      <c r="B3434" s="2" t="inlineStr">
        <is>
          <t>insert</t>
        </is>
      </c>
      <c r="C3434" s="2" t="inlineStr">
        <is>
          <t>openssl X25519 only (classical)</t>
        </is>
      </c>
      <c r="D3434" s="2" t="n">
        <v>316</v>
      </c>
      <c r="E3434" s="2" t="n">
        <v>316</v>
      </c>
      <c r="F3434" s="2" t="n">
        <v>1</v>
      </c>
      <c r="G3434" s="2" t="n">
        <v>1</v>
      </c>
      <c r="H3434" s="2" t="n">
        <v>1</v>
      </c>
      <c r="I3434" s="2" t="n">
        <v>0</v>
      </c>
    </row>
    <row r="3435">
      <c r="A3435" s="2" t="n">
        <v>3433</v>
      </c>
      <c r="B3435" s="2" t="inlineStr">
        <is>
          <t>flip</t>
        </is>
      </c>
      <c r="C3435" s="2" t="inlineStr">
        <is>
          <t>openssl TLS 1.2 only</t>
        </is>
      </c>
      <c r="D3435" s="2" t="n">
        <v>215</v>
      </c>
      <c r="E3435" s="2" t="n">
        <v>215</v>
      </c>
      <c r="F3435" s="2" t="n">
        <v>1</v>
      </c>
      <c r="G3435" s="2" t="n">
        <v>1</v>
      </c>
      <c r="H3435" s="2" t="n">
        <v>1</v>
      </c>
      <c r="I3435" s="2" t="n">
        <v>0</v>
      </c>
    </row>
    <row r="3436">
      <c r="A3436" s="2" t="n">
        <v>3434</v>
      </c>
      <c r="B3436" s="2" t="inlineStr">
        <is>
          <t>truncate</t>
        </is>
      </c>
      <c r="C3436" s="2" t="inlineStr">
        <is>
          <t>browser firefox147</t>
        </is>
      </c>
      <c r="D3436" s="2" t="n">
        <v>506</v>
      </c>
      <c r="E3436" s="2" t="n">
        <v>506</v>
      </c>
      <c r="F3436" s="2" t="n">
        <v>1</v>
      </c>
      <c r="G3436" s="2" t="n">
        <v>1</v>
      </c>
      <c r="H3436" s="2" t="n">
        <v>0</v>
      </c>
      <c r="I3436" s="2" t="n">
        <v>0</v>
      </c>
    </row>
    <row r="3437">
      <c r="A3437" s="2" t="n">
        <v>3435</v>
      </c>
      <c r="B3437" s="2" t="inlineStr">
        <is>
          <t>length</t>
        </is>
      </c>
      <c r="C3437" s="2" t="inlineStr">
        <is>
          <t>browser chrome150</t>
        </is>
      </c>
      <c r="D3437" s="2" t="n">
        <v>1763</v>
      </c>
      <c r="E3437" s="2" t="n">
        <v>1763</v>
      </c>
      <c r="F3437" s="2" t="n">
        <v>1</v>
      </c>
      <c r="G3437" s="2" t="n">
        <v>1</v>
      </c>
      <c r="H3437" s="2" t="n">
        <v>1</v>
      </c>
      <c r="I3437" s="2" t="n">
        <v>0</v>
      </c>
    </row>
    <row r="3438">
      <c r="A3438" s="2" t="n">
        <v>3436</v>
      </c>
      <c r="B3438" s="2" t="inlineStr">
        <is>
          <t>insert</t>
        </is>
      </c>
      <c r="C3438" s="2" t="inlineStr">
        <is>
          <t>openssl X25519 only (classical)</t>
        </is>
      </c>
      <c r="D3438" s="2" t="n">
        <v>330</v>
      </c>
      <c r="E3438" s="2" t="n">
        <v>330</v>
      </c>
      <c r="F3438" s="2" t="n">
        <v>1</v>
      </c>
      <c r="G3438" s="2" t="n">
        <v>1</v>
      </c>
      <c r="H3438" s="2" t="n">
        <v>1</v>
      </c>
      <c r="I3438" s="2" t="n">
        <v>0</v>
      </c>
    </row>
    <row r="3439">
      <c r="A3439" s="2" t="n">
        <v>3437</v>
      </c>
      <c r="B3439" s="2" t="inlineStr">
        <is>
          <t>flip</t>
        </is>
      </c>
      <c r="C3439" s="2" t="inlineStr">
        <is>
          <t>openssl X25519 only (classical)</t>
        </is>
      </c>
      <c r="D3439" s="2" t="n">
        <v>314</v>
      </c>
      <c r="E3439" s="2" t="n">
        <v>314</v>
      </c>
      <c r="F3439" s="2" t="n">
        <v>1</v>
      </c>
      <c r="G3439" s="2" t="n">
        <v>1</v>
      </c>
      <c r="H3439" s="2" t="n">
        <v>1</v>
      </c>
      <c r="I3439" s="2" t="n">
        <v>0</v>
      </c>
    </row>
    <row r="3440">
      <c r="A3440" s="2" t="n">
        <v>3438</v>
      </c>
      <c r="B3440" s="2" t="inlineStr">
        <is>
          <t>truncate</t>
        </is>
      </c>
      <c r="C3440" s="2" t="inlineStr">
        <is>
          <t>openssl X25519 only (classical)</t>
        </is>
      </c>
      <c r="D3440" s="2" t="n">
        <v>106</v>
      </c>
      <c r="E3440" s="2" t="n">
        <v>106</v>
      </c>
      <c r="F3440" s="2" t="n">
        <v>1</v>
      </c>
      <c r="G3440" s="2" t="n">
        <v>0</v>
      </c>
      <c r="H3440" s="2" t="n">
        <v>0</v>
      </c>
      <c r="I3440" s="2" t="n">
        <v>0</v>
      </c>
    </row>
    <row r="3441">
      <c r="A3441" s="2" t="n">
        <v>3439</v>
      </c>
      <c r="B3441" s="2" t="inlineStr">
        <is>
          <t>length</t>
        </is>
      </c>
      <c r="C3441" s="2" t="inlineStr">
        <is>
          <t>openssl 3.5.8 default</t>
        </is>
      </c>
      <c r="D3441" s="2" t="n">
        <v>1548</v>
      </c>
      <c r="E3441" s="2" t="n">
        <v>1548</v>
      </c>
      <c r="F3441" s="2" t="n">
        <v>0</v>
      </c>
      <c r="G3441" s="2" t="n">
        <v>0</v>
      </c>
      <c r="H3441" s="2" t="n">
        <v>0</v>
      </c>
      <c r="I3441" s="2" t="n">
        <v>0</v>
      </c>
    </row>
    <row r="3442">
      <c r="A3442" s="2" t="n">
        <v>3440</v>
      </c>
      <c r="B3442" s="2" t="inlineStr">
        <is>
          <t>insert</t>
        </is>
      </c>
      <c r="C3442" s="2" t="inlineStr">
        <is>
          <t>browser firefox147</t>
        </is>
      </c>
      <c r="D3442" s="2" t="n">
        <v>1905</v>
      </c>
      <c r="E3442" s="2" t="n">
        <v>1905</v>
      </c>
      <c r="F3442" s="2" t="n">
        <v>1</v>
      </c>
      <c r="G3442" s="2" t="n">
        <v>1</v>
      </c>
      <c r="H3442" s="2" t="n">
        <v>1</v>
      </c>
      <c r="I3442" s="2" t="n">
        <v>0</v>
      </c>
    </row>
    <row r="3443">
      <c r="A3443" s="2" t="n">
        <v>3441</v>
      </c>
      <c r="B3443" s="2" t="inlineStr">
        <is>
          <t>flip</t>
        </is>
      </c>
      <c r="C3443" s="2" t="inlineStr">
        <is>
          <t>browser firefox147</t>
        </is>
      </c>
      <c r="D3443" s="2" t="n">
        <v>1901</v>
      </c>
      <c r="E3443" s="2" t="n">
        <v>1901</v>
      </c>
      <c r="F3443" s="2" t="n">
        <v>1</v>
      </c>
      <c r="G3443" s="2" t="n">
        <v>1</v>
      </c>
      <c r="H3443" s="2" t="n">
        <v>0</v>
      </c>
      <c r="I3443" s="2" t="n">
        <v>0</v>
      </c>
    </row>
    <row r="3444">
      <c r="A3444" s="2" t="n">
        <v>3442</v>
      </c>
      <c r="B3444" s="2" t="inlineStr">
        <is>
          <t>truncate</t>
        </is>
      </c>
      <c r="C3444" s="2" t="inlineStr">
        <is>
          <t>browser chrome150</t>
        </is>
      </c>
      <c r="D3444" s="2" t="n">
        <v>208</v>
      </c>
      <c r="E3444" s="2" t="n">
        <v>208</v>
      </c>
      <c r="F3444" s="2" t="n">
        <v>1</v>
      </c>
      <c r="G3444" s="2" t="n">
        <v>1</v>
      </c>
      <c r="H3444" s="2" t="n">
        <v>1</v>
      </c>
      <c r="I3444" s="2" t="n">
        <v>0</v>
      </c>
    </row>
    <row r="3445">
      <c r="A3445" s="2" t="n">
        <v>3443</v>
      </c>
      <c r="B3445" s="2" t="inlineStr">
        <is>
          <t>length</t>
        </is>
      </c>
      <c r="C3445" s="2" t="inlineStr">
        <is>
          <t>openssl TLS 1.2 only</t>
        </is>
      </c>
      <c r="D3445" s="2" t="n">
        <v>215</v>
      </c>
      <c r="E3445" s="2" t="n">
        <v>215</v>
      </c>
      <c r="F3445" s="2" t="n">
        <v>1</v>
      </c>
      <c r="G3445" s="2" t="n">
        <v>1</v>
      </c>
      <c r="H3445" s="2" t="n">
        <v>1</v>
      </c>
      <c r="I3445" s="2" t="n">
        <v>0</v>
      </c>
    </row>
    <row r="3446">
      <c r="A3446" s="2" t="n">
        <v>3444</v>
      </c>
      <c r="B3446" s="2" t="inlineStr">
        <is>
          <t>insert</t>
        </is>
      </c>
      <c r="C3446" s="2" t="inlineStr">
        <is>
          <t>browser chrome150</t>
        </is>
      </c>
      <c r="D3446" s="2" t="n">
        <v>1769</v>
      </c>
      <c r="E3446" s="2" t="n">
        <v>1769</v>
      </c>
      <c r="F3446" s="2" t="n">
        <v>1</v>
      </c>
      <c r="G3446" s="2" t="n">
        <v>1</v>
      </c>
      <c r="H3446" s="2" t="n">
        <v>1</v>
      </c>
      <c r="I3446" s="2" t="n">
        <v>0</v>
      </c>
    </row>
    <row r="3447">
      <c r="A3447" s="2" t="n">
        <v>3445</v>
      </c>
      <c r="B3447" s="2" t="inlineStr">
        <is>
          <t>flip</t>
        </is>
      </c>
      <c r="C3447" s="2" t="inlineStr">
        <is>
          <t>browser firefox147</t>
        </is>
      </c>
      <c r="D3447" s="2" t="n">
        <v>1901</v>
      </c>
      <c r="E3447" s="2" t="n">
        <v>1901</v>
      </c>
      <c r="F3447" s="2" t="n">
        <v>1</v>
      </c>
      <c r="G3447" s="2" t="n">
        <v>1</v>
      </c>
      <c r="H3447" s="2" t="n">
        <v>0</v>
      </c>
      <c r="I3447" s="2" t="n">
        <v>0</v>
      </c>
    </row>
    <row r="3448">
      <c r="A3448" s="2" t="n">
        <v>3446</v>
      </c>
      <c r="B3448" s="2" t="inlineStr">
        <is>
          <t>truncate</t>
        </is>
      </c>
      <c r="C3448" s="2" t="inlineStr">
        <is>
          <t>browser firefox147</t>
        </is>
      </c>
      <c r="D3448" s="2" t="n">
        <v>834</v>
      </c>
      <c r="E3448" s="2" t="n">
        <v>834</v>
      </c>
      <c r="F3448" s="2" t="n">
        <v>1</v>
      </c>
      <c r="G3448" s="2" t="n">
        <v>1</v>
      </c>
      <c r="H3448" s="2" t="n">
        <v>0</v>
      </c>
      <c r="I3448" s="2" t="n">
        <v>0</v>
      </c>
    </row>
    <row r="3449">
      <c r="A3449" s="2" t="n">
        <v>3447</v>
      </c>
      <c r="B3449" s="2" t="inlineStr">
        <is>
          <t>length</t>
        </is>
      </c>
      <c r="C3449" s="2" t="inlineStr">
        <is>
          <t>browser chrome150</t>
        </is>
      </c>
      <c r="D3449" s="2" t="n">
        <v>1763</v>
      </c>
      <c r="E3449" s="2" t="n">
        <v>1763</v>
      </c>
      <c r="F3449" s="2" t="n">
        <v>1</v>
      </c>
      <c r="G3449" s="2" t="n">
        <v>1</v>
      </c>
      <c r="H3449" s="2" t="n">
        <v>1</v>
      </c>
      <c r="I3449" s="2" t="n">
        <v>0</v>
      </c>
    </row>
    <row r="3450">
      <c r="A3450" s="2" t="n">
        <v>3448</v>
      </c>
      <c r="B3450" s="2" t="inlineStr">
        <is>
          <t>insert</t>
        </is>
      </c>
      <c r="C3450" s="2" t="inlineStr">
        <is>
          <t>openssl 3.5.8 default</t>
        </is>
      </c>
      <c r="D3450" s="2" t="n">
        <v>1557</v>
      </c>
      <c r="E3450" s="2" t="n">
        <v>1557</v>
      </c>
      <c r="F3450" s="2" t="n">
        <v>1</v>
      </c>
      <c r="G3450" s="2" t="n">
        <v>1</v>
      </c>
      <c r="H3450" s="2" t="n">
        <v>1</v>
      </c>
      <c r="I3450" s="2" t="n">
        <v>0</v>
      </c>
    </row>
    <row r="3451">
      <c r="A3451" s="2" t="n">
        <v>3449</v>
      </c>
      <c r="B3451" s="2" t="inlineStr">
        <is>
          <t>flip</t>
        </is>
      </c>
      <c r="C3451" s="2" t="inlineStr">
        <is>
          <t>openssl 3.5.8 default</t>
        </is>
      </c>
      <c r="D3451" s="2" t="n">
        <v>1548</v>
      </c>
      <c r="E3451" s="2" t="n">
        <v>1548</v>
      </c>
      <c r="F3451" s="2" t="n">
        <v>1</v>
      </c>
      <c r="G3451" s="2" t="n">
        <v>1</v>
      </c>
      <c r="H3451" s="2" t="n">
        <v>1</v>
      </c>
      <c r="I3451" s="2" t="n">
        <v>0</v>
      </c>
    </row>
    <row r="3452">
      <c r="A3452" s="2" t="n">
        <v>3450</v>
      </c>
      <c r="B3452" s="2" t="inlineStr">
        <is>
          <t>truncate</t>
        </is>
      </c>
      <c r="C3452" s="2" t="inlineStr">
        <is>
          <t>browser firefox147</t>
        </is>
      </c>
      <c r="D3452" s="2" t="n">
        <v>1428</v>
      </c>
      <c r="E3452" s="2" t="n">
        <v>1428</v>
      </c>
      <c r="F3452" s="2" t="n">
        <v>1</v>
      </c>
      <c r="G3452" s="2" t="n">
        <v>1</v>
      </c>
      <c r="H3452" s="2" t="n">
        <v>0</v>
      </c>
      <c r="I3452" s="2" t="n">
        <v>0</v>
      </c>
    </row>
    <row r="3453">
      <c r="A3453" s="2" t="n">
        <v>3451</v>
      </c>
      <c r="B3453" s="2" t="inlineStr">
        <is>
          <t>length</t>
        </is>
      </c>
      <c r="C3453" s="2" t="inlineStr">
        <is>
          <t>openssl 3.5.8 default</t>
        </is>
      </c>
      <c r="D3453" s="2" t="n">
        <v>1548</v>
      </c>
      <c r="E3453" s="2" t="n">
        <v>1548</v>
      </c>
      <c r="F3453" s="2" t="n">
        <v>1</v>
      </c>
      <c r="G3453" s="2" t="n">
        <v>1</v>
      </c>
      <c r="H3453" s="2" t="n">
        <v>1</v>
      </c>
      <c r="I3453" s="2" t="n">
        <v>0</v>
      </c>
    </row>
    <row r="3454">
      <c r="A3454" s="2" t="n">
        <v>3452</v>
      </c>
      <c r="B3454" s="2" t="inlineStr">
        <is>
          <t>insert</t>
        </is>
      </c>
      <c r="C3454" s="2" t="inlineStr">
        <is>
          <t>browser chrome150</t>
        </is>
      </c>
      <c r="D3454" s="2" t="n">
        <v>1779</v>
      </c>
      <c r="E3454" s="2" t="n">
        <v>1779</v>
      </c>
      <c r="F3454" s="2" t="n">
        <v>1</v>
      </c>
      <c r="G3454" s="2" t="n">
        <v>1</v>
      </c>
      <c r="H3454" s="2" t="n">
        <v>1</v>
      </c>
      <c r="I3454" s="2" t="n">
        <v>0</v>
      </c>
    </row>
    <row r="3455">
      <c r="A3455" s="2" t="n">
        <v>3453</v>
      </c>
      <c r="B3455" s="2" t="inlineStr">
        <is>
          <t>flip</t>
        </is>
      </c>
      <c r="C3455" s="2" t="inlineStr">
        <is>
          <t>openssl X25519 only (classical)</t>
        </is>
      </c>
      <c r="D3455" s="2" t="n">
        <v>314</v>
      </c>
      <c r="E3455" s="2" t="n">
        <v>314</v>
      </c>
      <c r="F3455" s="2" t="n">
        <v>1</v>
      </c>
      <c r="G3455" s="2" t="n">
        <v>1</v>
      </c>
      <c r="H3455" s="2" t="n">
        <v>1</v>
      </c>
      <c r="I3455" s="2" t="n">
        <v>0</v>
      </c>
    </row>
    <row r="3456">
      <c r="A3456" s="2" t="n">
        <v>3454</v>
      </c>
      <c r="B3456" s="2" t="inlineStr">
        <is>
          <t>truncate</t>
        </is>
      </c>
      <c r="C3456" s="2" t="inlineStr">
        <is>
          <t>openssl TLS 1.2 only</t>
        </is>
      </c>
      <c r="D3456" s="2" t="n">
        <v>124</v>
      </c>
      <c r="E3456" s="2" t="n">
        <v>124</v>
      </c>
      <c r="F3456" s="2" t="n">
        <v>1</v>
      </c>
      <c r="G3456" s="2" t="n">
        <v>1</v>
      </c>
      <c r="H3456" s="2" t="n">
        <v>0</v>
      </c>
      <c r="I3456" s="2" t="n">
        <v>0</v>
      </c>
    </row>
    <row r="3457">
      <c r="A3457" s="2" t="n">
        <v>3455</v>
      </c>
      <c r="B3457" s="2" t="inlineStr">
        <is>
          <t>length</t>
        </is>
      </c>
      <c r="C3457" s="2" t="inlineStr">
        <is>
          <t>openssl 3.5.8 default</t>
        </is>
      </c>
      <c r="D3457" s="2" t="n">
        <v>1548</v>
      </c>
      <c r="E3457" s="2" t="n">
        <v>1548</v>
      </c>
      <c r="F3457" s="2" t="n">
        <v>1</v>
      </c>
      <c r="G3457" s="2" t="n">
        <v>1</v>
      </c>
      <c r="H3457" s="2" t="n">
        <v>1</v>
      </c>
      <c r="I3457" s="2" t="n">
        <v>0</v>
      </c>
    </row>
    <row r="3458">
      <c r="A3458" s="2" t="n">
        <v>3456</v>
      </c>
      <c r="B3458" s="2" t="inlineStr">
        <is>
          <t>insert</t>
        </is>
      </c>
      <c r="C3458" s="2" t="inlineStr">
        <is>
          <t>browser chrome150</t>
        </is>
      </c>
      <c r="D3458" s="2" t="n">
        <v>1769</v>
      </c>
      <c r="E3458" s="2" t="n">
        <v>1769</v>
      </c>
      <c r="F3458" s="2" t="n">
        <v>1</v>
      </c>
      <c r="G3458" s="2" t="n">
        <v>1</v>
      </c>
      <c r="H3458" s="2" t="n">
        <v>1</v>
      </c>
      <c r="I3458" s="2" t="n">
        <v>0</v>
      </c>
    </row>
    <row r="3459">
      <c r="A3459" s="2" t="n">
        <v>3457</v>
      </c>
      <c r="B3459" s="2" t="inlineStr">
        <is>
          <t>flip</t>
        </is>
      </c>
      <c r="C3459" s="2" t="inlineStr">
        <is>
          <t>browser firefox147</t>
        </is>
      </c>
      <c r="D3459" s="2" t="n">
        <v>1901</v>
      </c>
      <c r="E3459" s="2" t="n">
        <v>1901</v>
      </c>
      <c r="F3459" s="2" t="n">
        <v>1</v>
      </c>
      <c r="G3459" s="2" t="n">
        <v>1</v>
      </c>
      <c r="H3459" s="2" t="n">
        <v>0</v>
      </c>
      <c r="I3459" s="2" t="n">
        <v>0</v>
      </c>
    </row>
    <row r="3460">
      <c r="A3460" s="2" t="n">
        <v>3458</v>
      </c>
      <c r="B3460" s="2" t="inlineStr">
        <is>
          <t>truncate</t>
        </is>
      </c>
      <c r="C3460" s="2" t="inlineStr">
        <is>
          <t>openssl 3.5.8 default</t>
        </is>
      </c>
      <c r="D3460" s="2" t="n">
        <v>1062</v>
      </c>
      <c r="E3460" s="2" t="n">
        <v>1062</v>
      </c>
      <c r="F3460" s="2" t="n">
        <v>1</v>
      </c>
      <c r="G3460" s="2" t="n">
        <v>1</v>
      </c>
      <c r="H3460" s="2" t="n">
        <v>1</v>
      </c>
      <c r="I3460" s="2" t="n">
        <v>0</v>
      </c>
    </row>
    <row r="3461">
      <c r="A3461" s="2" t="n">
        <v>3459</v>
      </c>
      <c r="B3461" s="2" t="inlineStr">
        <is>
          <t>length</t>
        </is>
      </c>
      <c r="C3461" s="2" t="inlineStr">
        <is>
          <t>browser firefox147</t>
        </is>
      </c>
      <c r="D3461" s="2" t="n">
        <v>1901</v>
      </c>
      <c r="E3461" s="2" t="n">
        <v>1901</v>
      </c>
      <c r="F3461" s="2" t="n">
        <v>1</v>
      </c>
      <c r="G3461" s="2" t="n">
        <v>1</v>
      </c>
      <c r="H3461" s="2" t="n">
        <v>0</v>
      </c>
      <c r="I3461" s="2" t="n">
        <v>0</v>
      </c>
    </row>
    <row r="3462">
      <c r="A3462" s="2" t="n">
        <v>3460</v>
      </c>
      <c r="B3462" s="2" t="inlineStr">
        <is>
          <t>insert</t>
        </is>
      </c>
      <c r="C3462" s="2" t="inlineStr">
        <is>
          <t>browser chrome150</t>
        </is>
      </c>
      <c r="D3462" s="2" t="n">
        <v>1776</v>
      </c>
      <c r="E3462" s="2" t="n">
        <v>1776</v>
      </c>
      <c r="F3462" s="2" t="n">
        <v>1</v>
      </c>
      <c r="G3462" s="2" t="n">
        <v>1</v>
      </c>
      <c r="H3462" s="2" t="n">
        <v>1</v>
      </c>
      <c r="I3462" s="2" t="n">
        <v>0</v>
      </c>
    </row>
    <row r="3463">
      <c r="A3463" s="2" t="n">
        <v>3461</v>
      </c>
      <c r="B3463" s="2" t="inlineStr">
        <is>
          <t>flip</t>
        </is>
      </c>
      <c r="C3463" s="2" t="inlineStr">
        <is>
          <t>openssl X25519 only (classical)</t>
        </is>
      </c>
      <c r="D3463" s="2" t="n">
        <v>314</v>
      </c>
      <c r="E3463" s="2" t="n">
        <v>314</v>
      </c>
      <c r="F3463" s="2" t="n">
        <v>1</v>
      </c>
      <c r="G3463" s="2" t="n">
        <v>1</v>
      </c>
      <c r="H3463" s="2" t="n">
        <v>1</v>
      </c>
      <c r="I3463" s="2" t="n">
        <v>0</v>
      </c>
    </row>
    <row r="3464">
      <c r="A3464" s="2" t="n">
        <v>3462</v>
      </c>
      <c r="B3464" s="2" t="inlineStr">
        <is>
          <t>truncate</t>
        </is>
      </c>
      <c r="C3464" s="2" t="inlineStr">
        <is>
          <t>openssl X25519 only (classical)</t>
        </is>
      </c>
      <c r="D3464" s="2" t="n">
        <v>205</v>
      </c>
      <c r="E3464" s="2" t="n">
        <v>205</v>
      </c>
      <c r="F3464" s="2" t="n">
        <v>1</v>
      </c>
      <c r="G3464" s="2" t="n">
        <v>1</v>
      </c>
      <c r="H3464" s="2" t="n">
        <v>0</v>
      </c>
      <c r="I3464" s="2" t="n">
        <v>0</v>
      </c>
    </row>
    <row r="3465">
      <c r="A3465" s="2" t="n">
        <v>3463</v>
      </c>
      <c r="B3465" s="2" t="inlineStr">
        <is>
          <t>length</t>
        </is>
      </c>
      <c r="C3465" s="2" t="inlineStr">
        <is>
          <t>openssl X25519 only (classical)</t>
        </is>
      </c>
      <c r="D3465" s="2" t="n">
        <v>314</v>
      </c>
      <c r="E3465" s="2" t="n">
        <v>314</v>
      </c>
      <c r="F3465" s="2" t="n">
        <v>1</v>
      </c>
      <c r="G3465" s="2" t="n">
        <v>1</v>
      </c>
      <c r="H3465" s="2" t="n">
        <v>1</v>
      </c>
      <c r="I3465" s="2" t="n">
        <v>0</v>
      </c>
    </row>
    <row r="3466">
      <c r="A3466" s="2" t="n">
        <v>3464</v>
      </c>
      <c r="B3466" s="2" t="inlineStr">
        <is>
          <t>insert</t>
        </is>
      </c>
      <c r="C3466" s="2" t="inlineStr">
        <is>
          <t>openssl TLS 1.2 only</t>
        </is>
      </c>
      <c r="D3466" s="2" t="n">
        <v>219</v>
      </c>
      <c r="E3466" s="2" t="n">
        <v>219</v>
      </c>
      <c r="F3466" s="2" t="n">
        <v>1</v>
      </c>
      <c r="G3466" s="2" t="n">
        <v>1</v>
      </c>
      <c r="H3466" s="2" t="n">
        <v>0</v>
      </c>
      <c r="I3466" s="2" t="n">
        <v>0</v>
      </c>
    </row>
    <row r="3467">
      <c r="A3467" s="2" t="n">
        <v>3465</v>
      </c>
      <c r="B3467" s="2" t="inlineStr">
        <is>
          <t>flip</t>
        </is>
      </c>
      <c r="C3467" s="2" t="inlineStr">
        <is>
          <t>browser chrome150</t>
        </is>
      </c>
      <c r="D3467" s="2" t="n">
        <v>1763</v>
      </c>
      <c r="E3467" s="2" t="n">
        <v>1763</v>
      </c>
      <c r="F3467" s="2" t="n">
        <v>1</v>
      </c>
      <c r="G3467" s="2" t="n">
        <v>1</v>
      </c>
      <c r="H3467" s="2" t="n">
        <v>1</v>
      </c>
      <c r="I3467" s="2" t="n">
        <v>0</v>
      </c>
    </row>
    <row r="3468">
      <c r="A3468" s="2" t="n">
        <v>3466</v>
      </c>
      <c r="B3468" s="2" t="inlineStr">
        <is>
          <t>truncate</t>
        </is>
      </c>
      <c r="C3468" s="2" t="inlineStr">
        <is>
          <t>openssl 3.5.8 default</t>
        </is>
      </c>
      <c r="D3468" s="2" t="n">
        <v>1219</v>
      </c>
      <c r="E3468" s="2" t="n">
        <v>1219</v>
      </c>
      <c r="F3468" s="2" t="n">
        <v>1</v>
      </c>
      <c r="G3468" s="2" t="n">
        <v>1</v>
      </c>
      <c r="H3468" s="2" t="n">
        <v>1</v>
      </c>
      <c r="I3468" s="2" t="n">
        <v>0</v>
      </c>
    </row>
    <row r="3469">
      <c r="A3469" s="2" t="n">
        <v>3467</v>
      </c>
      <c r="B3469" s="2" t="inlineStr">
        <is>
          <t>length</t>
        </is>
      </c>
      <c r="C3469" s="2" t="inlineStr">
        <is>
          <t>browser firefox147</t>
        </is>
      </c>
      <c r="D3469" s="2" t="n">
        <v>1901</v>
      </c>
      <c r="E3469" s="2" t="n">
        <v>1901</v>
      </c>
      <c r="F3469" s="2" t="n">
        <v>1</v>
      </c>
      <c r="G3469" s="2" t="n">
        <v>1</v>
      </c>
      <c r="H3469" s="2" t="n">
        <v>1</v>
      </c>
      <c r="I3469" s="2" t="n">
        <v>0</v>
      </c>
    </row>
    <row r="3470">
      <c r="A3470" s="2" t="n">
        <v>3468</v>
      </c>
      <c r="B3470" s="2" t="inlineStr">
        <is>
          <t>insert</t>
        </is>
      </c>
      <c r="C3470" s="2" t="inlineStr">
        <is>
          <t>openssl 3.5.8 default</t>
        </is>
      </c>
      <c r="D3470" s="2" t="n">
        <v>1560</v>
      </c>
      <c r="E3470" s="2" t="n">
        <v>1560</v>
      </c>
      <c r="F3470" s="2" t="n">
        <v>1</v>
      </c>
      <c r="G3470" s="2" t="n">
        <v>1</v>
      </c>
      <c r="H3470" s="2" t="n">
        <v>1</v>
      </c>
      <c r="I3470" s="2" t="n">
        <v>0</v>
      </c>
    </row>
    <row r="3471">
      <c r="A3471" s="2" t="n">
        <v>3469</v>
      </c>
      <c r="B3471" s="2" t="inlineStr">
        <is>
          <t>flip</t>
        </is>
      </c>
      <c r="C3471" s="2" t="inlineStr">
        <is>
          <t>openssl 3.5.8 default</t>
        </is>
      </c>
      <c r="D3471" s="2" t="n">
        <v>1548</v>
      </c>
      <c r="E3471" s="2" t="n">
        <v>1548</v>
      </c>
      <c r="F3471" s="2" t="n">
        <v>1</v>
      </c>
      <c r="G3471" s="2" t="n">
        <v>1</v>
      </c>
      <c r="H3471" s="2" t="n">
        <v>1</v>
      </c>
      <c r="I3471" s="2" t="n">
        <v>0</v>
      </c>
    </row>
    <row r="3472">
      <c r="A3472" s="2" t="n">
        <v>3470</v>
      </c>
      <c r="B3472" s="2" t="inlineStr">
        <is>
          <t>truncate</t>
        </is>
      </c>
      <c r="C3472" s="2" t="inlineStr">
        <is>
          <t>browser chrome150</t>
        </is>
      </c>
      <c r="D3472" s="2" t="n">
        <v>1160</v>
      </c>
      <c r="E3472" s="2" t="n">
        <v>1160</v>
      </c>
      <c r="F3472" s="2" t="n">
        <v>1</v>
      </c>
      <c r="G3472" s="2" t="n">
        <v>1</v>
      </c>
      <c r="H3472" s="2" t="n">
        <v>1</v>
      </c>
      <c r="I3472" s="2" t="n">
        <v>0</v>
      </c>
    </row>
    <row r="3473">
      <c r="A3473" s="2" t="n">
        <v>3471</v>
      </c>
      <c r="B3473" s="2" t="inlineStr">
        <is>
          <t>length</t>
        </is>
      </c>
      <c r="C3473" s="2" t="inlineStr">
        <is>
          <t>browser chrome150</t>
        </is>
      </c>
      <c r="D3473" s="2" t="n">
        <v>1763</v>
      </c>
      <c r="E3473" s="2" t="n">
        <v>1763</v>
      </c>
      <c r="F3473" s="2" t="n">
        <v>1</v>
      </c>
      <c r="G3473" s="2" t="n">
        <v>1</v>
      </c>
      <c r="H3473" s="2" t="n">
        <v>1</v>
      </c>
      <c r="I3473" s="2" t="n">
        <v>0</v>
      </c>
    </row>
    <row r="3474">
      <c r="A3474" s="2" t="n">
        <v>3472</v>
      </c>
      <c r="B3474" s="2" t="inlineStr">
        <is>
          <t>insert</t>
        </is>
      </c>
      <c r="C3474" s="2" t="inlineStr">
        <is>
          <t>openssl 3.5.8 default</t>
        </is>
      </c>
      <c r="D3474" s="2" t="n">
        <v>1562</v>
      </c>
      <c r="E3474" s="2" t="n">
        <v>1562</v>
      </c>
      <c r="F3474" s="2" t="n">
        <v>1</v>
      </c>
      <c r="G3474" s="2" t="n">
        <v>1</v>
      </c>
      <c r="H3474" s="2" t="n">
        <v>1</v>
      </c>
      <c r="I3474" s="2" t="n">
        <v>0</v>
      </c>
    </row>
    <row r="3475">
      <c r="A3475" s="2" t="n">
        <v>3473</v>
      </c>
      <c r="B3475" s="2" t="inlineStr">
        <is>
          <t>flip</t>
        </is>
      </c>
      <c r="C3475" s="2" t="inlineStr">
        <is>
          <t>openssl 3.5.8 default</t>
        </is>
      </c>
      <c r="D3475" s="2" t="n">
        <v>1548</v>
      </c>
      <c r="E3475" s="2" t="n">
        <v>1548</v>
      </c>
      <c r="F3475" s="2" t="n">
        <v>1</v>
      </c>
      <c r="G3475" s="2" t="n">
        <v>1</v>
      </c>
      <c r="H3475" s="2" t="n">
        <v>1</v>
      </c>
      <c r="I3475" s="2" t="n">
        <v>0</v>
      </c>
    </row>
    <row r="3476">
      <c r="A3476" s="2" t="n">
        <v>3474</v>
      </c>
      <c r="B3476" s="2" t="inlineStr">
        <is>
          <t>truncate</t>
        </is>
      </c>
      <c r="C3476" s="2" t="inlineStr">
        <is>
          <t>browser firefox147</t>
        </is>
      </c>
      <c r="D3476" s="2" t="n">
        <v>22</v>
      </c>
      <c r="E3476" s="2" t="n">
        <v>22</v>
      </c>
      <c r="F3476" s="2" t="n">
        <v>1</v>
      </c>
      <c r="G3476" s="2" t="n">
        <v>0</v>
      </c>
      <c r="H3476" s="2" t="n">
        <v>0</v>
      </c>
      <c r="I3476" s="2" t="n">
        <v>0</v>
      </c>
    </row>
    <row r="3477">
      <c r="A3477" s="2" t="n">
        <v>3475</v>
      </c>
      <c r="B3477" s="2" t="inlineStr">
        <is>
          <t>length</t>
        </is>
      </c>
      <c r="C3477" s="2" t="inlineStr">
        <is>
          <t>openssl X25519 only (classical)</t>
        </is>
      </c>
      <c r="D3477" s="2" t="n">
        <v>314</v>
      </c>
      <c r="E3477" s="2" t="n">
        <v>314</v>
      </c>
      <c r="F3477" s="2" t="n">
        <v>1</v>
      </c>
      <c r="G3477" s="2" t="n">
        <v>0</v>
      </c>
      <c r="H3477" s="2" t="n">
        <v>0</v>
      </c>
      <c r="I3477" s="2" t="n">
        <v>0</v>
      </c>
    </row>
    <row r="3478">
      <c r="A3478" s="2" t="n">
        <v>3476</v>
      </c>
      <c r="B3478" s="2" t="inlineStr">
        <is>
          <t>insert</t>
        </is>
      </c>
      <c r="C3478" s="2" t="inlineStr">
        <is>
          <t>browser firefox147</t>
        </is>
      </c>
      <c r="D3478" s="2" t="n">
        <v>1908</v>
      </c>
      <c r="E3478" s="2" t="n">
        <v>1908</v>
      </c>
      <c r="F3478" s="2" t="n">
        <v>1</v>
      </c>
      <c r="G3478" s="2" t="n">
        <v>0</v>
      </c>
      <c r="H3478" s="2" t="n">
        <v>0</v>
      </c>
      <c r="I3478" s="2" t="n">
        <v>0</v>
      </c>
    </row>
    <row r="3479">
      <c r="A3479" s="2" t="n">
        <v>3477</v>
      </c>
      <c r="B3479" s="2" t="inlineStr">
        <is>
          <t>flip</t>
        </is>
      </c>
      <c r="C3479" s="2" t="inlineStr">
        <is>
          <t>openssl 3.5.8 default</t>
        </is>
      </c>
      <c r="D3479" s="2" t="n">
        <v>1548</v>
      </c>
      <c r="E3479" s="2" t="n">
        <v>1548</v>
      </c>
      <c r="F3479" s="2" t="n">
        <v>1</v>
      </c>
      <c r="G3479" s="2" t="n">
        <v>1</v>
      </c>
      <c r="H3479" s="2" t="n">
        <v>1</v>
      </c>
      <c r="I3479" s="2" t="n">
        <v>0</v>
      </c>
    </row>
    <row r="3480">
      <c r="A3480" s="2" t="n">
        <v>3478</v>
      </c>
      <c r="B3480" s="2" t="inlineStr">
        <is>
          <t>truncate</t>
        </is>
      </c>
      <c r="C3480" s="2" t="inlineStr">
        <is>
          <t>openssl TLS 1.2 only</t>
        </is>
      </c>
      <c r="D3480" s="2" t="n">
        <v>175</v>
      </c>
      <c r="E3480" s="2" t="n">
        <v>175</v>
      </c>
      <c r="F3480" s="2" t="n">
        <v>1</v>
      </c>
      <c r="G3480" s="2" t="n">
        <v>1</v>
      </c>
      <c r="H3480" s="2" t="n">
        <v>1</v>
      </c>
      <c r="I3480" s="2" t="n">
        <v>0</v>
      </c>
    </row>
    <row r="3481">
      <c r="A3481" s="2" t="n">
        <v>3479</v>
      </c>
      <c r="B3481" s="2" t="inlineStr">
        <is>
          <t>length</t>
        </is>
      </c>
      <c r="C3481" s="2" t="inlineStr">
        <is>
          <t>browser firefox147</t>
        </is>
      </c>
      <c r="D3481" s="2" t="n">
        <v>1901</v>
      </c>
      <c r="E3481" s="2" t="n">
        <v>1901</v>
      </c>
      <c r="F3481" s="2" t="n">
        <v>0</v>
      </c>
      <c r="G3481" s="2" t="n">
        <v>0</v>
      </c>
      <c r="H3481" s="2" t="n">
        <v>0</v>
      </c>
      <c r="I3481" s="2" t="n">
        <v>0</v>
      </c>
    </row>
    <row r="3482">
      <c r="A3482" s="2" t="n">
        <v>3480</v>
      </c>
      <c r="B3482" s="2" t="inlineStr">
        <is>
          <t>insert</t>
        </is>
      </c>
      <c r="C3482" s="2" t="inlineStr">
        <is>
          <t>openssl TLS 1.2 only</t>
        </is>
      </c>
      <c r="D3482" s="2" t="n">
        <v>222</v>
      </c>
      <c r="E3482" s="2" t="n">
        <v>222</v>
      </c>
      <c r="F3482" s="2" t="n">
        <v>1</v>
      </c>
      <c r="G3482" s="2" t="n">
        <v>1</v>
      </c>
      <c r="H3482" s="2" t="n">
        <v>1</v>
      </c>
      <c r="I3482" s="2" t="n">
        <v>0</v>
      </c>
    </row>
    <row r="3483">
      <c r="A3483" s="2" t="n">
        <v>3481</v>
      </c>
      <c r="B3483" s="2" t="inlineStr">
        <is>
          <t>flip</t>
        </is>
      </c>
      <c r="C3483" s="2" t="inlineStr">
        <is>
          <t>openssl TLS 1.2 only</t>
        </is>
      </c>
      <c r="D3483" s="2" t="n">
        <v>215</v>
      </c>
      <c r="E3483" s="2" t="n">
        <v>215</v>
      </c>
      <c r="F3483" s="2" t="n">
        <v>1</v>
      </c>
      <c r="G3483" s="2" t="n">
        <v>1</v>
      </c>
      <c r="H3483" s="2" t="n">
        <v>1</v>
      </c>
      <c r="I3483" s="2" t="n">
        <v>0</v>
      </c>
    </row>
    <row r="3484">
      <c r="A3484" s="2" t="n">
        <v>3482</v>
      </c>
      <c r="B3484" s="2" t="inlineStr">
        <is>
          <t>truncate</t>
        </is>
      </c>
      <c r="C3484" s="2" t="inlineStr">
        <is>
          <t>openssl TLS 1.2 only</t>
        </is>
      </c>
      <c r="D3484" s="2" t="n">
        <v>7</v>
      </c>
      <c r="E3484" s="2" t="n">
        <v>7</v>
      </c>
      <c r="F3484" s="2" t="n">
        <v>1</v>
      </c>
      <c r="G3484" s="2" t="n">
        <v>0</v>
      </c>
      <c r="H3484" s="2" t="n">
        <v>0</v>
      </c>
      <c r="I3484" s="2" t="n">
        <v>0</v>
      </c>
    </row>
    <row r="3485">
      <c r="A3485" s="2" t="n">
        <v>3483</v>
      </c>
      <c r="B3485" s="2" t="inlineStr">
        <is>
          <t>length</t>
        </is>
      </c>
      <c r="C3485" s="2" t="inlineStr">
        <is>
          <t>browser chrome150</t>
        </is>
      </c>
      <c r="D3485" s="2" t="n">
        <v>1763</v>
      </c>
      <c r="E3485" s="2" t="n">
        <v>1763</v>
      </c>
      <c r="F3485" s="2" t="n">
        <v>1</v>
      </c>
      <c r="G3485" s="2" t="n">
        <v>1</v>
      </c>
      <c r="H3485" s="2" t="n">
        <v>1</v>
      </c>
      <c r="I3485" s="2" t="n">
        <v>0</v>
      </c>
    </row>
    <row r="3486">
      <c r="A3486" s="2" t="n">
        <v>3484</v>
      </c>
      <c r="B3486" s="2" t="inlineStr">
        <is>
          <t>insert</t>
        </is>
      </c>
      <c r="C3486" s="2" t="inlineStr">
        <is>
          <t>openssl TLS 1.2 only</t>
        </is>
      </c>
      <c r="D3486" s="2" t="n">
        <v>221</v>
      </c>
      <c r="E3486" s="2" t="n">
        <v>221</v>
      </c>
      <c r="F3486" s="2" t="n">
        <v>1</v>
      </c>
      <c r="G3486" s="2" t="n">
        <v>0</v>
      </c>
      <c r="H3486" s="2" t="n">
        <v>0</v>
      </c>
      <c r="I3486" s="2" t="n">
        <v>0</v>
      </c>
    </row>
    <row r="3487">
      <c r="A3487" s="2" t="n">
        <v>3485</v>
      </c>
      <c r="B3487" s="2" t="inlineStr">
        <is>
          <t>flip</t>
        </is>
      </c>
      <c r="C3487" s="2" t="inlineStr">
        <is>
          <t>openssl 3.5.8 default</t>
        </is>
      </c>
      <c r="D3487" s="2" t="n">
        <v>1548</v>
      </c>
      <c r="E3487" s="2" t="n">
        <v>1548</v>
      </c>
      <c r="F3487" s="2" t="n">
        <v>1</v>
      </c>
      <c r="G3487" s="2" t="n">
        <v>1</v>
      </c>
      <c r="H3487" s="2" t="n">
        <v>1</v>
      </c>
      <c r="I3487" s="2" t="n">
        <v>0</v>
      </c>
    </row>
    <row r="3488">
      <c r="A3488" s="2" t="n">
        <v>3486</v>
      </c>
      <c r="B3488" s="2" t="inlineStr">
        <is>
          <t>truncate</t>
        </is>
      </c>
      <c r="C3488" s="2" t="inlineStr">
        <is>
          <t>openssl X25519 only (classical)</t>
        </is>
      </c>
      <c r="D3488" s="2" t="n">
        <v>262</v>
      </c>
      <c r="E3488" s="2" t="n">
        <v>262</v>
      </c>
      <c r="F3488" s="2" t="n">
        <v>1</v>
      </c>
      <c r="G3488" s="2" t="n">
        <v>1</v>
      </c>
      <c r="H3488" s="2" t="n">
        <v>0</v>
      </c>
      <c r="I3488" s="2" t="n">
        <v>0</v>
      </c>
    </row>
    <row r="3489">
      <c r="A3489" s="2" t="n">
        <v>3487</v>
      </c>
      <c r="B3489" s="2" t="inlineStr">
        <is>
          <t>length</t>
        </is>
      </c>
      <c r="C3489" s="2" t="inlineStr">
        <is>
          <t>browser chrome150</t>
        </is>
      </c>
      <c r="D3489" s="2" t="n">
        <v>1763</v>
      </c>
      <c r="E3489" s="2" t="n">
        <v>1763</v>
      </c>
      <c r="F3489" s="2" t="n">
        <v>1</v>
      </c>
      <c r="G3489" s="2" t="n">
        <v>1</v>
      </c>
      <c r="H3489" s="2" t="n">
        <v>1</v>
      </c>
      <c r="I3489" s="2" t="n">
        <v>0</v>
      </c>
    </row>
    <row r="3490">
      <c r="A3490" s="2" t="n">
        <v>3488</v>
      </c>
      <c r="B3490" s="2" t="inlineStr">
        <is>
          <t>insert</t>
        </is>
      </c>
      <c r="C3490" s="2" t="inlineStr">
        <is>
          <t>browser chrome150</t>
        </is>
      </c>
      <c r="D3490" s="2" t="n">
        <v>1764</v>
      </c>
      <c r="E3490" s="2" t="n">
        <v>1764</v>
      </c>
      <c r="F3490" s="2" t="n">
        <v>1</v>
      </c>
      <c r="G3490" s="2" t="n">
        <v>1</v>
      </c>
      <c r="H3490" s="2" t="n">
        <v>1</v>
      </c>
      <c r="I3490" s="2" t="n">
        <v>0</v>
      </c>
    </row>
    <row r="3491">
      <c r="A3491" s="2" t="n">
        <v>3489</v>
      </c>
      <c r="B3491" s="2" t="inlineStr">
        <is>
          <t>flip</t>
        </is>
      </c>
      <c r="C3491" s="2" t="inlineStr">
        <is>
          <t>browser chrome150</t>
        </is>
      </c>
      <c r="D3491" s="2" t="n">
        <v>1763</v>
      </c>
      <c r="E3491" s="2" t="n">
        <v>1763</v>
      </c>
      <c r="F3491" s="2" t="n">
        <v>1</v>
      </c>
      <c r="G3491" s="2" t="n">
        <v>1</v>
      </c>
      <c r="H3491" s="2" t="n">
        <v>1</v>
      </c>
      <c r="I3491" s="2" t="n">
        <v>0</v>
      </c>
    </row>
    <row r="3492">
      <c r="A3492" s="2" t="n">
        <v>3490</v>
      </c>
      <c r="B3492" s="2" t="inlineStr">
        <is>
          <t>truncate</t>
        </is>
      </c>
      <c r="C3492" s="2" t="inlineStr">
        <is>
          <t>browser firefox147</t>
        </is>
      </c>
      <c r="D3492" s="2" t="n">
        <v>300</v>
      </c>
      <c r="E3492" s="2" t="n">
        <v>300</v>
      </c>
      <c r="F3492" s="2" t="n">
        <v>1</v>
      </c>
      <c r="G3492" s="2" t="n">
        <v>1</v>
      </c>
      <c r="H3492" s="2" t="n">
        <v>0</v>
      </c>
      <c r="I3492" s="2" t="n">
        <v>0</v>
      </c>
    </row>
    <row r="3493">
      <c r="A3493" s="2" t="n">
        <v>3491</v>
      </c>
      <c r="B3493" s="2" t="inlineStr">
        <is>
          <t>length</t>
        </is>
      </c>
      <c r="C3493" s="2" t="inlineStr">
        <is>
          <t>browser firefox147</t>
        </is>
      </c>
      <c r="D3493" s="2" t="n">
        <v>1901</v>
      </c>
      <c r="E3493" s="2" t="n">
        <v>1901</v>
      </c>
      <c r="F3493" s="2" t="n">
        <v>0</v>
      </c>
      <c r="G3493" s="2" t="n">
        <v>0</v>
      </c>
      <c r="H3493" s="2" t="n">
        <v>0</v>
      </c>
      <c r="I3493" s="2" t="n">
        <v>0</v>
      </c>
    </row>
    <row r="3494">
      <c r="A3494" s="2" t="n">
        <v>3492</v>
      </c>
      <c r="B3494" s="2" t="inlineStr">
        <is>
          <t>insert</t>
        </is>
      </c>
      <c r="C3494" s="2" t="inlineStr">
        <is>
          <t>browser chrome150</t>
        </is>
      </c>
      <c r="D3494" s="2" t="n">
        <v>1777</v>
      </c>
      <c r="E3494" s="2" t="n">
        <v>1777</v>
      </c>
      <c r="F3494" s="2" t="n">
        <v>1</v>
      </c>
      <c r="G3494" s="2" t="n">
        <v>1</v>
      </c>
      <c r="H3494" s="2" t="n">
        <v>1</v>
      </c>
      <c r="I3494" s="2" t="n">
        <v>0</v>
      </c>
    </row>
    <row r="3495">
      <c r="A3495" s="2" t="n">
        <v>3493</v>
      </c>
      <c r="B3495" s="2" t="inlineStr">
        <is>
          <t>flip</t>
        </is>
      </c>
      <c r="C3495" s="2" t="inlineStr">
        <is>
          <t>browser chrome150</t>
        </is>
      </c>
      <c r="D3495" s="2" t="n">
        <v>1763</v>
      </c>
      <c r="E3495" s="2" t="n">
        <v>1763</v>
      </c>
      <c r="F3495" s="2" t="n">
        <v>1</v>
      </c>
      <c r="G3495" s="2" t="n">
        <v>1</v>
      </c>
      <c r="H3495" s="2" t="n">
        <v>1</v>
      </c>
      <c r="I3495" s="2" t="n">
        <v>0</v>
      </c>
    </row>
    <row r="3496">
      <c r="A3496" s="2" t="n">
        <v>3494</v>
      </c>
      <c r="B3496" s="2" t="inlineStr">
        <is>
          <t>truncate</t>
        </is>
      </c>
      <c r="C3496" s="2" t="inlineStr">
        <is>
          <t>browser firefox147</t>
        </is>
      </c>
      <c r="D3496" s="2" t="n">
        <v>941</v>
      </c>
      <c r="E3496" s="2" t="n">
        <v>941</v>
      </c>
      <c r="F3496" s="2" t="n">
        <v>1</v>
      </c>
      <c r="G3496" s="2" t="n">
        <v>1</v>
      </c>
      <c r="H3496" s="2" t="n">
        <v>0</v>
      </c>
      <c r="I3496" s="2" t="n">
        <v>0</v>
      </c>
    </row>
    <row r="3497">
      <c r="A3497" s="2" t="n">
        <v>3495</v>
      </c>
      <c r="B3497" s="2" t="inlineStr">
        <is>
          <t>length</t>
        </is>
      </c>
      <c r="C3497" s="2" t="inlineStr">
        <is>
          <t>openssl 3.5.8 default</t>
        </is>
      </c>
      <c r="D3497" s="2" t="n">
        <v>1548</v>
      </c>
      <c r="E3497" s="2" t="n">
        <v>1548</v>
      </c>
      <c r="F3497" s="2" t="n">
        <v>1</v>
      </c>
      <c r="G3497" s="2" t="n">
        <v>0</v>
      </c>
      <c r="H3497" s="2" t="n">
        <v>0</v>
      </c>
      <c r="I3497" s="2" t="n">
        <v>0</v>
      </c>
    </row>
    <row r="3498">
      <c r="A3498" s="2" t="n">
        <v>3496</v>
      </c>
      <c r="B3498" s="2" t="inlineStr">
        <is>
          <t>insert</t>
        </is>
      </c>
      <c r="C3498" s="2" t="inlineStr">
        <is>
          <t>openssl X25519 only (classical)</t>
        </is>
      </c>
      <c r="D3498" s="2" t="n">
        <v>323</v>
      </c>
      <c r="E3498" s="2" t="n">
        <v>323</v>
      </c>
      <c r="F3498" s="2" t="n">
        <v>1</v>
      </c>
      <c r="G3498" s="2" t="n">
        <v>1</v>
      </c>
      <c r="H3498" s="2" t="n">
        <v>1</v>
      </c>
      <c r="I3498" s="2" t="n">
        <v>0</v>
      </c>
    </row>
    <row r="3499">
      <c r="A3499" s="2" t="n">
        <v>3497</v>
      </c>
      <c r="B3499" s="2" t="inlineStr">
        <is>
          <t>flip</t>
        </is>
      </c>
      <c r="C3499" s="2" t="inlineStr">
        <is>
          <t>openssl X25519 only (classical)</t>
        </is>
      </c>
      <c r="D3499" s="2" t="n">
        <v>314</v>
      </c>
      <c r="E3499" s="2" t="n">
        <v>314</v>
      </c>
      <c r="F3499" s="2" t="n">
        <v>1</v>
      </c>
      <c r="G3499" s="2" t="n">
        <v>1</v>
      </c>
      <c r="H3499" s="2" t="n">
        <v>1</v>
      </c>
      <c r="I3499" s="2" t="n">
        <v>0</v>
      </c>
    </row>
    <row r="3500">
      <c r="A3500" s="2" t="n">
        <v>3498</v>
      </c>
      <c r="B3500" s="2" t="inlineStr">
        <is>
          <t>truncate</t>
        </is>
      </c>
      <c r="C3500" s="2" t="inlineStr">
        <is>
          <t>openssl X25519 only (classical)</t>
        </is>
      </c>
      <c r="D3500" s="2" t="n">
        <v>179</v>
      </c>
      <c r="E3500" s="2" t="n">
        <v>179</v>
      </c>
      <c r="F3500" s="2" t="n">
        <v>1</v>
      </c>
      <c r="G3500" s="2" t="n">
        <v>1</v>
      </c>
      <c r="H3500" s="2" t="n">
        <v>0</v>
      </c>
      <c r="I3500" s="2" t="n">
        <v>0</v>
      </c>
    </row>
    <row r="3501">
      <c r="A3501" s="2" t="n">
        <v>3499</v>
      </c>
      <c r="B3501" s="2" t="inlineStr">
        <is>
          <t>length</t>
        </is>
      </c>
      <c r="C3501" s="2" t="inlineStr">
        <is>
          <t>openssl TLS 1.2 only</t>
        </is>
      </c>
      <c r="D3501" s="2" t="n">
        <v>215</v>
      </c>
      <c r="E3501" s="2" t="n">
        <v>215</v>
      </c>
      <c r="F3501" s="2" t="n">
        <v>1</v>
      </c>
      <c r="G3501" s="2" t="n">
        <v>1</v>
      </c>
      <c r="H3501" s="2" t="n">
        <v>0</v>
      </c>
      <c r="I3501" s="2" t="n">
        <v>0</v>
      </c>
    </row>
    <row r="3502">
      <c r="A3502" s="2" t="n">
        <v>3500</v>
      </c>
      <c r="B3502" s="2" t="inlineStr">
        <is>
          <t>insert</t>
        </is>
      </c>
      <c r="C3502" s="2" t="inlineStr">
        <is>
          <t>browser chrome150</t>
        </is>
      </c>
      <c r="D3502" s="2" t="n">
        <v>1773</v>
      </c>
      <c r="E3502" s="2" t="n">
        <v>1773</v>
      </c>
      <c r="F3502" s="2" t="n">
        <v>1</v>
      </c>
      <c r="G3502" s="2" t="n">
        <v>1</v>
      </c>
      <c r="H3502" s="2" t="n">
        <v>1</v>
      </c>
      <c r="I3502" s="2" t="n">
        <v>0</v>
      </c>
    </row>
    <row r="3503">
      <c r="A3503" s="2" t="n">
        <v>3501</v>
      </c>
      <c r="B3503" s="2" t="inlineStr">
        <is>
          <t>flip</t>
        </is>
      </c>
      <c r="C3503" s="2" t="inlineStr">
        <is>
          <t>openssl TLS 1.2 only</t>
        </is>
      </c>
      <c r="D3503" s="2" t="n">
        <v>215</v>
      </c>
      <c r="E3503" s="2" t="n">
        <v>215</v>
      </c>
      <c r="F3503" s="2" t="n">
        <v>1</v>
      </c>
      <c r="G3503" s="2" t="n">
        <v>1</v>
      </c>
      <c r="H3503" s="2" t="n">
        <v>1</v>
      </c>
      <c r="I3503" s="2" t="n">
        <v>0</v>
      </c>
    </row>
    <row r="3504">
      <c r="A3504" s="2" t="n">
        <v>3502</v>
      </c>
      <c r="B3504" s="2" t="inlineStr">
        <is>
          <t>truncate</t>
        </is>
      </c>
      <c r="C3504" s="2" t="inlineStr">
        <is>
          <t>openssl X25519 only (classical)</t>
        </is>
      </c>
      <c r="D3504" s="2" t="n">
        <v>92</v>
      </c>
      <c r="E3504" s="2" t="n">
        <v>92</v>
      </c>
      <c r="F3504" s="2" t="n">
        <v>1</v>
      </c>
      <c r="G3504" s="2" t="n">
        <v>0</v>
      </c>
      <c r="H3504" s="2" t="n">
        <v>0</v>
      </c>
      <c r="I3504" s="2" t="n">
        <v>0</v>
      </c>
    </row>
    <row r="3505">
      <c r="A3505" s="2" t="n">
        <v>3503</v>
      </c>
      <c r="B3505" s="2" t="inlineStr">
        <is>
          <t>length</t>
        </is>
      </c>
      <c r="C3505" s="2" t="inlineStr">
        <is>
          <t>openssl TLS 1.2 only</t>
        </is>
      </c>
      <c r="D3505" s="2" t="n">
        <v>215</v>
      </c>
      <c r="E3505" s="2" t="n">
        <v>215</v>
      </c>
      <c r="F3505" s="2" t="n">
        <v>1</v>
      </c>
      <c r="G3505" s="2" t="n">
        <v>1</v>
      </c>
      <c r="H3505" s="2" t="n">
        <v>0</v>
      </c>
      <c r="I3505" s="2" t="n">
        <v>0</v>
      </c>
    </row>
    <row r="3506">
      <c r="A3506" s="2" t="n">
        <v>3504</v>
      </c>
      <c r="B3506" s="2" t="inlineStr">
        <is>
          <t>insert</t>
        </is>
      </c>
      <c r="C3506" s="2" t="inlineStr">
        <is>
          <t>browser firefox147</t>
        </is>
      </c>
      <c r="D3506" s="2" t="n">
        <v>1911</v>
      </c>
      <c r="E3506" s="2" t="n">
        <v>1911</v>
      </c>
      <c r="F3506" s="2" t="n">
        <v>1</v>
      </c>
      <c r="G3506" s="2" t="n">
        <v>1</v>
      </c>
      <c r="H3506" s="2" t="n">
        <v>0</v>
      </c>
      <c r="I3506" s="2" t="n">
        <v>0</v>
      </c>
    </row>
    <row r="3507">
      <c r="A3507" s="2" t="n">
        <v>3505</v>
      </c>
      <c r="B3507" s="2" t="inlineStr">
        <is>
          <t>flip</t>
        </is>
      </c>
      <c r="C3507" s="2" t="inlineStr">
        <is>
          <t>browser chrome150</t>
        </is>
      </c>
      <c r="D3507" s="2" t="n">
        <v>1763</v>
      </c>
      <c r="E3507" s="2" t="n">
        <v>1763</v>
      </c>
      <c r="F3507" s="2" t="n">
        <v>1</v>
      </c>
      <c r="G3507" s="2" t="n">
        <v>1</v>
      </c>
      <c r="H3507" s="2" t="n">
        <v>1</v>
      </c>
      <c r="I3507" s="2" t="n">
        <v>0</v>
      </c>
    </row>
    <row r="3508">
      <c r="A3508" s="2" t="n">
        <v>3506</v>
      </c>
      <c r="B3508" s="2" t="inlineStr">
        <is>
          <t>truncate</t>
        </is>
      </c>
      <c r="C3508" s="2" t="inlineStr">
        <is>
          <t>browser chrome150</t>
        </is>
      </c>
      <c r="D3508" s="2" t="n">
        <v>439</v>
      </c>
      <c r="E3508" s="2" t="n">
        <v>439</v>
      </c>
      <c r="F3508" s="2" t="n">
        <v>1</v>
      </c>
      <c r="G3508" s="2" t="n">
        <v>1</v>
      </c>
      <c r="H3508" s="2" t="n">
        <v>1</v>
      </c>
      <c r="I3508" s="2" t="n">
        <v>0</v>
      </c>
    </row>
    <row r="3509">
      <c r="A3509" s="2" t="n">
        <v>3507</v>
      </c>
      <c r="B3509" s="2" t="inlineStr">
        <is>
          <t>length</t>
        </is>
      </c>
      <c r="C3509" s="2" t="inlineStr">
        <is>
          <t>browser chrome150</t>
        </is>
      </c>
      <c r="D3509" s="2" t="n">
        <v>1763</v>
      </c>
      <c r="E3509" s="2" t="n">
        <v>1763</v>
      </c>
      <c r="F3509" s="2" t="n">
        <v>0</v>
      </c>
      <c r="G3509" s="2" t="n">
        <v>0</v>
      </c>
      <c r="H3509" s="2" t="n">
        <v>0</v>
      </c>
      <c r="I3509" s="2" t="n">
        <v>0</v>
      </c>
    </row>
    <row r="3510">
      <c r="A3510" s="2" t="n">
        <v>3508</v>
      </c>
      <c r="B3510" s="2" t="inlineStr">
        <is>
          <t>insert</t>
        </is>
      </c>
      <c r="C3510" s="2" t="inlineStr">
        <is>
          <t>browser chrome150</t>
        </is>
      </c>
      <c r="D3510" s="2" t="n">
        <v>1773</v>
      </c>
      <c r="E3510" s="2" t="n">
        <v>1773</v>
      </c>
      <c r="F3510" s="2" t="n">
        <v>1</v>
      </c>
      <c r="G3510" s="2" t="n">
        <v>1</v>
      </c>
      <c r="H3510" s="2" t="n">
        <v>1</v>
      </c>
      <c r="I3510" s="2" t="n">
        <v>0</v>
      </c>
    </row>
    <row r="3511">
      <c r="A3511" s="2" t="n">
        <v>3509</v>
      </c>
      <c r="B3511" s="2" t="inlineStr">
        <is>
          <t>flip</t>
        </is>
      </c>
      <c r="C3511" s="2" t="inlineStr">
        <is>
          <t>openssl TLS 1.2 only</t>
        </is>
      </c>
      <c r="D3511" s="2" t="n">
        <v>215</v>
      </c>
      <c r="E3511" s="2" t="n">
        <v>215</v>
      </c>
      <c r="F3511" s="2" t="n">
        <v>1</v>
      </c>
      <c r="G3511" s="2" t="n">
        <v>0</v>
      </c>
      <c r="H3511" s="2" t="n">
        <v>0</v>
      </c>
      <c r="I3511" s="2" t="n">
        <v>0</v>
      </c>
    </row>
    <row r="3512">
      <c r="A3512" s="2" t="n">
        <v>3510</v>
      </c>
      <c r="B3512" s="2" t="inlineStr">
        <is>
          <t>truncate</t>
        </is>
      </c>
      <c r="C3512" s="2" t="inlineStr">
        <is>
          <t>browser chrome150</t>
        </is>
      </c>
      <c r="D3512" s="2" t="n">
        <v>1180</v>
      </c>
      <c r="E3512" s="2" t="n">
        <v>1180</v>
      </c>
      <c r="F3512" s="2" t="n">
        <v>1</v>
      </c>
      <c r="G3512" s="2" t="n">
        <v>1</v>
      </c>
      <c r="H3512" s="2" t="n">
        <v>1</v>
      </c>
      <c r="I3512" s="2" t="n">
        <v>0</v>
      </c>
    </row>
    <row r="3513">
      <c r="A3513" s="2" t="n">
        <v>3511</v>
      </c>
      <c r="B3513" s="2" t="inlineStr">
        <is>
          <t>length</t>
        </is>
      </c>
      <c r="C3513" s="2" t="inlineStr">
        <is>
          <t>browser firefox147</t>
        </is>
      </c>
      <c r="D3513" s="2" t="n">
        <v>1901</v>
      </c>
      <c r="E3513" s="2" t="n">
        <v>1901</v>
      </c>
      <c r="F3513" s="2" t="n">
        <v>1</v>
      </c>
      <c r="G3513" s="2" t="n">
        <v>0</v>
      </c>
      <c r="H3513" s="2" t="n">
        <v>0</v>
      </c>
      <c r="I3513" s="2" t="n">
        <v>0</v>
      </c>
    </row>
    <row r="3514">
      <c r="A3514" s="2" t="n">
        <v>3512</v>
      </c>
      <c r="B3514" s="2" t="inlineStr">
        <is>
          <t>insert</t>
        </is>
      </c>
      <c r="C3514" s="2" t="inlineStr">
        <is>
          <t>openssl TLS 1.2 only</t>
        </is>
      </c>
      <c r="D3514" s="2" t="n">
        <v>223</v>
      </c>
      <c r="E3514" s="2" t="n">
        <v>223</v>
      </c>
      <c r="F3514" s="2" t="n">
        <v>1</v>
      </c>
      <c r="G3514" s="2" t="n">
        <v>1</v>
      </c>
      <c r="H3514" s="2" t="n">
        <v>0</v>
      </c>
      <c r="I3514" s="2" t="n">
        <v>0</v>
      </c>
    </row>
    <row r="3515">
      <c r="A3515" s="2" t="n">
        <v>3513</v>
      </c>
      <c r="B3515" s="2" t="inlineStr">
        <is>
          <t>flip</t>
        </is>
      </c>
      <c r="C3515" s="2" t="inlineStr">
        <is>
          <t>openssl X25519 only (classical)</t>
        </is>
      </c>
      <c r="D3515" s="2" t="n">
        <v>314</v>
      </c>
      <c r="E3515" s="2" t="n">
        <v>314</v>
      </c>
      <c r="F3515" s="2" t="n">
        <v>1</v>
      </c>
      <c r="G3515" s="2" t="n">
        <v>1</v>
      </c>
      <c r="H3515" s="2" t="n">
        <v>1</v>
      </c>
      <c r="I3515" s="2" t="n">
        <v>0</v>
      </c>
    </row>
    <row r="3516">
      <c r="A3516" s="2" t="n">
        <v>3514</v>
      </c>
      <c r="B3516" s="2" t="inlineStr">
        <is>
          <t>truncate</t>
        </is>
      </c>
      <c r="C3516" s="2" t="inlineStr">
        <is>
          <t>openssl TLS 1.2 only</t>
        </is>
      </c>
      <c r="D3516" s="2" t="n">
        <v>82</v>
      </c>
      <c r="E3516" s="2" t="n">
        <v>82</v>
      </c>
      <c r="F3516" s="2" t="n">
        <v>1</v>
      </c>
      <c r="G3516" s="2" t="n">
        <v>0</v>
      </c>
      <c r="H3516" s="2" t="n">
        <v>0</v>
      </c>
      <c r="I3516" s="2" t="n">
        <v>0</v>
      </c>
    </row>
    <row r="3517">
      <c r="A3517" s="2" t="n">
        <v>3515</v>
      </c>
      <c r="B3517" s="2" t="inlineStr">
        <is>
          <t>length</t>
        </is>
      </c>
      <c r="C3517" s="2" t="inlineStr">
        <is>
          <t>openssl TLS 1.2 only</t>
        </is>
      </c>
      <c r="D3517" s="2" t="n">
        <v>215</v>
      </c>
      <c r="E3517" s="2" t="n">
        <v>215</v>
      </c>
      <c r="F3517" s="2" t="n">
        <v>1</v>
      </c>
      <c r="G3517" s="2" t="n">
        <v>0</v>
      </c>
      <c r="H3517" s="2" t="n">
        <v>0</v>
      </c>
      <c r="I3517" s="2" t="n">
        <v>0</v>
      </c>
    </row>
    <row r="3518">
      <c r="A3518" s="2" t="n">
        <v>3516</v>
      </c>
      <c r="B3518" s="2" t="inlineStr">
        <is>
          <t>insert</t>
        </is>
      </c>
      <c r="C3518" s="2" t="inlineStr">
        <is>
          <t>browser chrome150</t>
        </is>
      </c>
      <c r="D3518" s="2" t="n">
        <v>1766</v>
      </c>
      <c r="E3518" s="2" t="n">
        <v>1766</v>
      </c>
      <c r="F3518" s="2" t="n">
        <v>1</v>
      </c>
      <c r="G3518" s="2" t="n">
        <v>1</v>
      </c>
      <c r="H3518" s="2" t="n">
        <v>1</v>
      </c>
      <c r="I3518" s="2" t="n">
        <v>0</v>
      </c>
    </row>
    <row r="3519">
      <c r="A3519" s="2" t="n">
        <v>3517</v>
      </c>
      <c r="B3519" s="2" t="inlineStr">
        <is>
          <t>flip</t>
        </is>
      </c>
      <c r="C3519" s="2" t="inlineStr">
        <is>
          <t>browser firefox147</t>
        </is>
      </c>
      <c r="D3519" s="2" t="n">
        <v>1901</v>
      </c>
      <c r="E3519" s="2" t="n">
        <v>1901</v>
      </c>
      <c r="F3519" s="2" t="n">
        <v>1</v>
      </c>
      <c r="G3519" s="2" t="n">
        <v>1</v>
      </c>
      <c r="H3519" s="2" t="n">
        <v>0</v>
      </c>
      <c r="I3519" s="2" t="n">
        <v>0</v>
      </c>
    </row>
    <row r="3520">
      <c r="A3520" s="2" t="n">
        <v>3518</v>
      </c>
      <c r="B3520" s="2" t="inlineStr">
        <is>
          <t>truncate</t>
        </is>
      </c>
      <c r="C3520" s="2" t="inlineStr">
        <is>
          <t>openssl 3.5.8 default</t>
        </is>
      </c>
      <c r="D3520" s="2" t="n">
        <v>1029</v>
      </c>
      <c r="E3520" s="2" t="n">
        <v>1029</v>
      </c>
      <c r="F3520" s="2" t="n">
        <v>1</v>
      </c>
      <c r="G3520" s="2" t="n">
        <v>1</v>
      </c>
      <c r="H3520" s="2" t="n">
        <v>1</v>
      </c>
      <c r="I3520" s="2" t="n">
        <v>0</v>
      </c>
    </row>
    <row r="3521">
      <c r="A3521" s="2" t="n">
        <v>3519</v>
      </c>
      <c r="B3521" s="2" t="inlineStr">
        <is>
          <t>length</t>
        </is>
      </c>
      <c r="C3521" s="2" t="inlineStr">
        <is>
          <t>openssl 3.5.8 default</t>
        </is>
      </c>
      <c r="D3521" s="2" t="n">
        <v>1548</v>
      </c>
      <c r="E3521" s="2" t="n">
        <v>1548</v>
      </c>
      <c r="F3521" s="2" t="n">
        <v>0</v>
      </c>
      <c r="G3521" s="2" t="n">
        <v>0</v>
      </c>
      <c r="H3521" s="2" t="n">
        <v>0</v>
      </c>
      <c r="I3521" s="2" t="n">
        <v>0</v>
      </c>
    </row>
    <row r="3522">
      <c r="A3522" s="2" t="n">
        <v>3520</v>
      </c>
      <c r="B3522" s="2" t="inlineStr">
        <is>
          <t>insert</t>
        </is>
      </c>
      <c r="C3522" s="2" t="inlineStr">
        <is>
          <t>openssl X25519 only (classical)</t>
        </is>
      </c>
      <c r="D3522" s="2" t="n">
        <v>330</v>
      </c>
      <c r="E3522" s="2" t="n">
        <v>330</v>
      </c>
      <c r="F3522" s="2" t="n">
        <v>1</v>
      </c>
      <c r="G3522" s="2" t="n">
        <v>1</v>
      </c>
      <c r="H3522" s="2" t="n">
        <v>1</v>
      </c>
      <c r="I3522" s="2" t="n">
        <v>0</v>
      </c>
    </row>
    <row r="3523">
      <c r="A3523" s="2" t="n">
        <v>3521</v>
      </c>
      <c r="B3523" s="2" t="inlineStr">
        <is>
          <t>flip</t>
        </is>
      </c>
      <c r="C3523" s="2" t="inlineStr">
        <is>
          <t>browser chrome150</t>
        </is>
      </c>
      <c r="D3523" s="2" t="n">
        <v>1763</v>
      </c>
      <c r="E3523" s="2" t="n">
        <v>1763</v>
      </c>
      <c r="F3523" s="2" t="n">
        <v>1</v>
      </c>
      <c r="G3523" s="2" t="n">
        <v>1</v>
      </c>
      <c r="H3523" s="2" t="n">
        <v>1</v>
      </c>
      <c r="I3523" s="2" t="n">
        <v>0</v>
      </c>
    </row>
    <row r="3524">
      <c r="A3524" s="2" t="n">
        <v>3522</v>
      </c>
      <c r="B3524" s="2" t="inlineStr">
        <is>
          <t>truncate</t>
        </is>
      </c>
      <c r="C3524" s="2" t="inlineStr">
        <is>
          <t>openssl TLS 1.2 only</t>
        </is>
      </c>
      <c r="D3524" s="2" t="n">
        <v>36</v>
      </c>
      <c r="E3524" s="2" t="n">
        <v>36</v>
      </c>
      <c r="F3524" s="2" t="n">
        <v>1</v>
      </c>
      <c r="G3524" s="2" t="n">
        <v>0</v>
      </c>
      <c r="H3524" s="2" t="n">
        <v>0</v>
      </c>
      <c r="I3524" s="2" t="n">
        <v>0</v>
      </c>
    </row>
    <row r="3525">
      <c r="A3525" s="2" t="n">
        <v>3523</v>
      </c>
      <c r="B3525" s="2" t="inlineStr">
        <is>
          <t>length</t>
        </is>
      </c>
      <c r="C3525" s="2" t="inlineStr">
        <is>
          <t>openssl 3.5.8 default</t>
        </is>
      </c>
      <c r="D3525" s="2" t="n">
        <v>1548</v>
      </c>
      <c r="E3525" s="2" t="n">
        <v>1548</v>
      </c>
      <c r="F3525" s="2" t="n">
        <v>1</v>
      </c>
      <c r="G3525" s="2" t="n">
        <v>1</v>
      </c>
      <c r="H3525" s="2" t="n">
        <v>1</v>
      </c>
      <c r="I3525" s="2" t="n">
        <v>0</v>
      </c>
    </row>
    <row r="3526">
      <c r="A3526" s="2" t="n">
        <v>3524</v>
      </c>
      <c r="B3526" s="2" t="inlineStr">
        <is>
          <t>insert</t>
        </is>
      </c>
      <c r="C3526" s="2" t="inlineStr">
        <is>
          <t>openssl X25519 only (classical)</t>
        </is>
      </c>
      <c r="D3526" s="2" t="n">
        <v>320</v>
      </c>
      <c r="E3526" s="2" t="n">
        <v>320</v>
      </c>
      <c r="F3526" s="2" t="n">
        <v>1</v>
      </c>
      <c r="G3526" s="2" t="n">
        <v>1</v>
      </c>
      <c r="H3526" s="2" t="n">
        <v>1</v>
      </c>
      <c r="I3526" s="2" t="n">
        <v>0</v>
      </c>
    </row>
    <row r="3527">
      <c r="A3527" s="2" t="n">
        <v>3525</v>
      </c>
      <c r="B3527" s="2" t="inlineStr">
        <is>
          <t>flip</t>
        </is>
      </c>
      <c r="C3527" s="2" t="inlineStr">
        <is>
          <t>browser chrome150</t>
        </is>
      </c>
      <c r="D3527" s="2" t="n">
        <v>1763</v>
      </c>
      <c r="E3527" s="2" t="n">
        <v>1763</v>
      </c>
      <c r="F3527" s="2" t="n">
        <v>1</v>
      </c>
      <c r="G3527" s="2" t="n">
        <v>1</v>
      </c>
      <c r="H3527" s="2" t="n">
        <v>1</v>
      </c>
      <c r="I3527" s="2" t="n">
        <v>0</v>
      </c>
    </row>
    <row r="3528">
      <c r="A3528" s="2" t="n">
        <v>3526</v>
      </c>
      <c r="B3528" s="2" t="inlineStr">
        <is>
          <t>truncate</t>
        </is>
      </c>
      <c r="C3528" s="2" t="inlineStr">
        <is>
          <t>openssl X25519 only (classical)</t>
        </is>
      </c>
      <c r="D3528" s="2" t="n">
        <v>242</v>
      </c>
      <c r="E3528" s="2" t="n">
        <v>242</v>
      </c>
      <c r="F3528" s="2" t="n">
        <v>1</v>
      </c>
      <c r="G3528" s="2" t="n">
        <v>1</v>
      </c>
      <c r="H3528" s="2" t="n">
        <v>0</v>
      </c>
      <c r="I3528" s="2" t="n">
        <v>0</v>
      </c>
    </row>
    <row r="3529">
      <c r="A3529" s="2" t="n">
        <v>3527</v>
      </c>
      <c r="B3529" s="2" t="inlineStr">
        <is>
          <t>length</t>
        </is>
      </c>
      <c r="C3529" s="2" t="inlineStr">
        <is>
          <t>openssl X25519 only (classical)</t>
        </is>
      </c>
      <c r="D3529" s="2" t="n">
        <v>314</v>
      </c>
      <c r="E3529" s="2" t="n">
        <v>314</v>
      </c>
      <c r="F3529" s="2" t="n">
        <v>1</v>
      </c>
      <c r="G3529" s="2" t="n">
        <v>1</v>
      </c>
      <c r="H3529" s="2" t="n">
        <v>1</v>
      </c>
      <c r="I3529" s="2" t="n">
        <v>0</v>
      </c>
    </row>
    <row r="3530">
      <c r="A3530" s="2" t="n">
        <v>3528</v>
      </c>
      <c r="B3530" s="2" t="inlineStr">
        <is>
          <t>insert</t>
        </is>
      </c>
      <c r="C3530" s="2" t="inlineStr">
        <is>
          <t>openssl TLS 1.2 only</t>
        </is>
      </c>
      <c r="D3530" s="2" t="n">
        <v>228</v>
      </c>
      <c r="E3530" s="2" t="n">
        <v>228</v>
      </c>
      <c r="F3530" s="2" t="n">
        <v>1</v>
      </c>
      <c r="G3530" s="2" t="n">
        <v>0</v>
      </c>
      <c r="H3530" s="2" t="n">
        <v>0</v>
      </c>
      <c r="I3530" s="2" t="n">
        <v>0</v>
      </c>
    </row>
    <row r="3531">
      <c r="A3531" s="2" t="n">
        <v>3529</v>
      </c>
      <c r="B3531" s="2" t="inlineStr">
        <is>
          <t>flip</t>
        </is>
      </c>
      <c r="C3531" s="2" t="inlineStr">
        <is>
          <t>openssl TLS 1.2 only</t>
        </is>
      </c>
      <c r="D3531" s="2" t="n">
        <v>215</v>
      </c>
      <c r="E3531" s="2" t="n">
        <v>215</v>
      </c>
      <c r="F3531" s="2" t="n">
        <v>1</v>
      </c>
      <c r="G3531" s="2" t="n">
        <v>1</v>
      </c>
      <c r="H3531" s="2" t="n">
        <v>1</v>
      </c>
      <c r="I3531" s="2" t="n">
        <v>0</v>
      </c>
    </row>
    <row r="3532">
      <c r="A3532" s="2" t="n">
        <v>3530</v>
      </c>
      <c r="B3532" s="2" t="inlineStr">
        <is>
          <t>truncate</t>
        </is>
      </c>
      <c r="C3532" s="2" t="inlineStr">
        <is>
          <t>browser chrome150</t>
        </is>
      </c>
      <c r="D3532" s="2" t="n">
        <v>846</v>
      </c>
      <c r="E3532" s="2" t="n">
        <v>846</v>
      </c>
      <c r="F3532" s="2" t="n">
        <v>1</v>
      </c>
      <c r="G3532" s="2" t="n">
        <v>1</v>
      </c>
      <c r="H3532" s="2" t="n">
        <v>1</v>
      </c>
      <c r="I3532" s="2" t="n">
        <v>0</v>
      </c>
    </row>
    <row r="3533">
      <c r="A3533" s="2" t="n">
        <v>3531</v>
      </c>
      <c r="B3533" s="2" t="inlineStr">
        <is>
          <t>length</t>
        </is>
      </c>
      <c r="C3533" s="2" t="inlineStr">
        <is>
          <t>browser firefox147</t>
        </is>
      </c>
      <c r="D3533" s="2" t="n">
        <v>1901</v>
      </c>
      <c r="E3533" s="2" t="n">
        <v>1901</v>
      </c>
      <c r="F3533" s="2" t="n">
        <v>1</v>
      </c>
      <c r="G3533" s="2" t="n">
        <v>0</v>
      </c>
      <c r="H3533" s="2" t="n">
        <v>0</v>
      </c>
      <c r="I3533" s="2" t="n">
        <v>0</v>
      </c>
    </row>
    <row r="3534">
      <c r="A3534" s="2" t="n">
        <v>3532</v>
      </c>
      <c r="B3534" s="2" t="inlineStr">
        <is>
          <t>insert</t>
        </is>
      </c>
      <c r="C3534" s="2" t="inlineStr">
        <is>
          <t>browser chrome150</t>
        </is>
      </c>
      <c r="D3534" s="2" t="n">
        <v>1767</v>
      </c>
      <c r="E3534" s="2" t="n">
        <v>1767</v>
      </c>
      <c r="F3534" s="2" t="n">
        <v>1</v>
      </c>
      <c r="G3534" s="2" t="n">
        <v>1</v>
      </c>
      <c r="H3534" s="2" t="n">
        <v>1</v>
      </c>
      <c r="I3534" s="2" t="n">
        <v>0</v>
      </c>
    </row>
    <row r="3535">
      <c r="A3535" s="2" t="n">
        <v>3533</v>
      </c>
      <c r="B3535" s="2" t="inlineStr">
        <is>
          <t>flip</t>
        </is>
      </c>
      <c r="C3535" s="2" t="inlineStr">
        <is>
          <t>browser chrome150</t>
        </is>
      </c>
      <c r="D3535" s="2" t="n">
        <v>1763</v>
      </c>
      <c r="E3535" s="2" t="n">
        <v>1763</v>
      </c>
      <c r="F3535" s="2" t="n">
        <v>1</v>
      </c>
      <c r="G3535" s="2" t="n">
        <v>1</v>
      </c>
      <c r="H3535" s="2" t="n">
        <v>1</v>
      </c>
      <c r="I3535" s="2" t="n">
        <v>0</v>
      </c>
    </row>
    <row r="3536">
      <c r="A3536" s="2" t="n">
        <v>3534</v>
      </c>
      <c r="B3536" s="2" t="inlineStr">
        <is>
          <t>truncate</t>
        </is>
      </c>
      <c r="C3536" s="2" t="inlineStr">
        <is>
          <t>openssl TLS 1.2 only</t>
        </is>
      </c>
      <c r="D3536" s="2" t="n">
        <v>165</v>
      </c>
      <c r="E3536" s="2" t="n">
        <v>165</v>
      </c>
      <c r="F3536" s="2" t="n">
        <v>1</v>
      </c>
      <c r="G3536" s="2" t="n">
        <v>1</v>
      </c>
      <c r="H3536" s="2" t="n">
        <v>0</v>
      </c>
      <c r="I3536" s="2" t="n">
        <v>0</v>
      </c>
    </row>
    <row r="3537">
      <c r="A3537" s="2" t="n">
        <v>3535</v>
      </c>
      <c r="B3537" s="2" t="inlineStr">
        <is>
          <t>length</t>
        </is>
      </c>
      <c r="C3537" s="2" t="inlineStr">
        <is>
          <t>openssl X25519 only (classical)</t>
        </is>
      </c>
      <c r="D3537" s="2" t="n">
        <v>314</v>
      </c>
      <c r="E3537" s="2" t="n">
        <v>314</v>
      </c>
      <c r="F3537" s="2" t="n">
        <v>1</v>
      </c>
      <c r="G3537" s="2" t="n">
        <v>1</v>
      </c>
      <c r="H3537" s="2" t="n">
        <v>0</v>
      </c>
      <c r="I3537" s="2" t="n">
        <v>0</v>
      </c>
    </row>
    <row r="3538">
      <c r="A3538" s="2" t="n">
        <v>3536</v>
      </c>
      <c r="B3538" s="2" t="inlineStr">
        <is>
          <t>insert</t>
        </is>
      </c>
      <c r="C3538" s="2" t="inlineStr">
        <is>
          <t>openssl TLS 1.2 only</t>
        </is>
      </c>
      <c r="D3538" s="2" t="n">
        <v>218</v>
      </c>
      <c r="E3538" s="2" t="n">
        <v>218</v>
      </c>
      <c r="F3538" s="2" t="n">
        <v>1</v>
      </c>
      <c r="G3538" s="2" t="n">
        <v>0</v>
      </c>
      <c r="H3538" s="2" t="n">
        <v>0</v>
      </c>
      <c r="I3538" s="2" t="n">
        <v>0</v>
      </c>
    </row>
    <row r="3539">
      <c r="A3539" s="2" t="n">
        <v>3537</v>
      </c>
      <c r="B3539" s="2" t="inlineStr">
        <is>
          <t>flip</t>
        </is>
      </c>
      <c r="C3539" s="2" t="inlineStr">
        <is>
          <t>browser chrome150</t>
        </is>
      </c>
      <c r="D3539" s="2" t="n">
        <v>1763</v>
      </c>
      <c r="E3539" s="2" t="n">
        <v>1763</v>
      </c>
      <c r="F3539" s="2" t="n">
        <v>1</v>
      </c>
      <c r="G3539" s="2" t="n">
        <v>1</v>
      </c>
      <c r="H3539" s="2" t="n">
        <v>1</v>
      </c>
      <c r="I3539" s="2" t="n">
        <v>0</v>
      </c>
    </row>
    <row r="3540">
      <c r="A3540" s="2" t="n">
        <v>3538</v>
      </c>
      <c r="B3540" s="2" t="inlineStr">
        <is>
          <t>truncate</t>
        </is>
      </c>
      <c r="C3540" s="2" t="inlineStr">
        <is>
          <t>browser chrome150</t>
        </is>
      </c>
      <c r="D3540" s="2" t="n">
        <v>1640</v>
      </c>
      <c r="E3540" s="2" t="n">
        <v>1640</v>
      </c>
      <c r="F3540" s="2" t="n">
        <v>1</v>
      </c>
      <c r="G3540" s="2" t="n">
        <v>1</v>
      </c>
      <c r="H3540" s="2" t="n">
        <v>1</v>
      </c>
      <c r="I3540" s="2" t="n">
        <v>0</v>
      </c>
    </row>
    <row r="3541">
      <c r="A3541" s="2" t="n">
        <v>3539</v>
      </c>
      <c r="B3541" s="2" t="inlineStr">
        <is>
          <t>length</t>
        </is>
      </c>
      <c r="C3541" s="2" t="inlineStr">
        <is>
          <t>browser firefox147</t>
        </is>
      </c>
      <c r="D3541" s="2" t="n">
        <v>1901</v>
      </c>
      <c r="E3541" s="2" t="n">
        <v>1901</v>
      </c>
      <c r="F3541" s="2" t="n">
        <v>0</v>
      </c>
      <c r="G3541" s="2" t="n">
        <v>0</v>
      </c>
      <c r="H3541" s="2" t="n">
        <v>0</v>
      </c>
      <c r="I3541" s="2" t="n">
        <v>0</v>
      </c>
    </row>
    <row r="3542">
      <c r="A3542" s="2" t="n">
        <v>3540</v>
      </c>
      <c r="B3542" s="2" t="inlineStr">
        <is>
          <t>insert</t>
        </is>
      </c>
      <c r="C3542" s="2" t="inlineStr">
        <is>
          <t>openssl X25519 only (classical)</t>
        </is>
      </c>
      <c r="D3542" s="2" t="n">
        <v>317</v>
      </c>
      <c r="E3542" s="2" t="n">
        <v>317</v>
      </c>
      <c r="F3542" s="2" t="n">
        <v>1</v>
      </c>
      <c r="G3542" s="2" t="n">
        <v>1</v>
      </c>
      <c r="H3542" s="2" t="n">
        <v>1</v>
      </c>
      <c r="I3542" s="2" t="n">
        <v>0</v>
      </c>
    </row>
    <row r="3543">
      <c r="A3543" s="2" t="n">
        <v>3541</v>
      </c>
      <c r="B3543" s="2" t="inlineStr">
        <is>
          <t>flip</t>
        </is>
      </c>
      <c r="C3543" s="2" t="inlineStr">
        <is>
          <t>openssl TLS 1.2 only</t>
        </is>
      </c>
      <c r="D3543" s="2" t="n">
        <v>215</v>
      </c>
      <c r="E3543" s="2" t="n">
        <v>215</v>
      </c>
      <c r="F3543" s="2" t="n">
        <v>1</v>
      </c>
      <c r="G3543" s="2" t="n">
        <v>1</v>
      </c>
      <c r="H3543" s="2" t="n">
        <v>1</v>
      </c>
      <c r="I3543" s="2" t="n">
        <v>0</v>
      </c>
    </row>
    <row r="3544">
      <c r="A3544" s="2" t="n">
        <v>3542</v>
      </c>
      <c r="B3544" s="2" t="inlineStr">
        <is>
          <t>truncate</t>
        </is>
      </c>
      <c r="C3544" s="2" t="inlineStr">
        <is>
          <t>openssl 3.5.8 default</t>
        </is>
      </c>
      <c r="D3544" s="2" t="n">
        <v>616</v>
      </c>
      <c r="E3544" s="2" t="n">
        <v>616</v>
      </c>
      <c r="F3544" s="2" t="n">
        <v>1</v>
      </c>
      <c r="G3544" s="2" t="n">
        <v>1</v>
      </c>
      <c r="H3544" s="2" t="n">
        <v>1</v>
      </c>
      <c r="I3544" s="2" t="n">
        <v>0</v>
      </c>
    </row>
    <row r="3545">
      <c r="A3545" s="2" t="n">
        <v>3543</v>
      </c>
      <c r="B3545" s="2" t="inlineStr">
        <is>
          <t>length</t>
        </is>
      </c>
      <c r="C3545" s="2" t="inlineStr">
        <is>
          <t>browser firefox147</t>
        </is>
      </c>
      <c r="D3545" s="2" t="n">
        <v>1901</v>
      </c>
      <c r="E3545" s="2" t="n">
        <v>1901</v>
      </c>
      <c r="F3545" s="2" t="n">
        <v>1</v>
      </c>
      <c r="G3545" s="2" t="n">
        <v>0</v>
      </c>
      <c r="H3545" s="2" t="n">
        <v>0</v>
      </c>
      <c r="I3545" s="2" t="n">
        <v>0</v>
      </c>
    </row>
    <row r="3546">
      <c r="A3546" s="2" t="n">
        <v>3544</v>
      </c>
      <c r="B3546" s="2" t="inlineStr">
        <is>
          <t>insert</t>
        </is>
      </c>
      <c r="C3546" s="2" t="inlineStr">
        <is>
          <t>openssl X25519 only (classical)</t>
        </is>
      </c>
      <c r="D3546" s="2" t="n">
        <v>330</v>
      </c>
      <c r="E3546" s="2" t="n">
        <v>330</v>
      </c>
      <c r="F3546" s="2" t="n">
        <v>1</v>
      </c>
      <c r="G3546" s="2" t="n">
        <v>1</v>
      </c>
      <c r="H3546" s="2" t="n">
        <v>1</v>
      </c>
      <c r="I3546" s="2" t="n">
        <v>0</v>
      </c>
    </row>
    <row r="3547">
      <c r="A3547" s="2" t="n">
        <v>3545</v>
      </c>
      <c r="B3547" s="2" t="inlineStr">
        <is>
          <t>flip</t>
        </is>
      </c>
      <c r="C3547" s="2" t="inlineStr">
        <is>
          <t>openssl TLS 1.2 only</t>
        </is>
      </c>
      <c r="D3547" s="2" t="n">
        <v>215</v>
      </c>
      <c r="E3547" s="2" t="n">
        <v>215</v>
      </c>
      <c r="F3547" s="2" t="n">
        <v>1</v>
      </c>
      <c r="G3547" s="2" t="n">
        <v>1</v>
      </c>
      <c r="H3547" s="2" t="n">
        <v>1</v>
      </c>
      <c r="I3547" s="2" t="n">
        <v>0</v>
      </c>
    </row>
    <row r="3548">
      <c r="A3548" s="2" t="n">
        <v>3546</v>
      </c>
      <c r="B3548" s="2" t="inlineStr">
        <is>
          <t>truncate</t>
        </is>
      </c>
      <c r="C3548" s="2" t="inlineStr">
        <is>
          <t>browser chrome150</t>
        </is>
      </c>
      <c r="D3548" s="2" t="n">
        <v>1184</v>
      </c>
      <c r="E3548" s="2" t="n">
        <v>1184</v>
      </c>
      <c r="F3548" s="2" t="n">
        <v>1</v>
      </c>
      <c r="G3548" s="2" t="n">
        <v>1</v>
      </c>
      <c r="H3548" s="2" t="n">
        <v>1</v>
      </c>
      <c r="I3548" s="2" t="n">
        <v>0</v>
      </c>
    </row>
    <row r="3549">
      <c r="A3549" s="2" t="n">
        <v>3547</v>
      </c>
      <c r="B3549" s="2" t="inlineStr">
        <is>
          <t>length</t>
        </is>
      </c>
      <c r="C3549" s="2" t="inlineStr">
        <is>
          <t>openssl TLS 1.2 only</t>
        </is>
      </c>
      <c r="D3549" s="2" t="n">
        <v>215</v>
      </c>
      <c r="E3549" s="2" t="n">
        <v>215</v>
      </c>
      <c r="F3549" s="2" t="n">
        <v>1</v>
      </c>
      <c r="G3549" s="2" t="n">
        <v>1</v>
      </c>
      <c r="H3549" s="2" t="n">
        <v>1</v>
      </c>
      <c r="I3549" s="2" t="n">
        <v>0</v>
      </c>
    </row>
    <row r="3550">
      <c r="A3550" s="2" t="n">
        <v>3548</v>
      </c>
      <c r="B3550" s="2" t="inlineStr">
        <is>
          <t>insert</t>
        </is>
      </c>
      <c r="C3550" s="2" t="inlineStr">
        <is>
          <t>browser chrome150</t>
        </is>
      </c>
      <c r="D3550" s="2" t="n">
        <v>1764</v>
      </c>
      <c r="E3550" s="2" t="n">
        <v>1764</v>
      </c>
      <c r="F3550" s="2" t="n">
        <v>1</v>
      </c>
      <c r="G3550" s="2" t="n">
        <v>1</v>
      </c>
      <c r="H3550" s="2" t="n">
        <v>1</v>
      </c>
      <c r="I3550" s="2" t="n">
        <v>0</v>
      </c>
    </row>
    <row r="3551">
      <c r="A3551" s="2" t="n">
        <v>3549</v>
      </c>
      <c r="B3551" s="2" t="inlineStr">
        <is>
          <t>flip</t>
        </is>
      </c>
      <c r="C3551" s="2" t="inlineStr">
        <is>
          <t>openssl X25519 only (classical)</t>
        </is>
      </c>
      <c r="D3551" s="2" t="n">
        <v>314</v>
      </c>
      <c r="E3551" s="2" t="n">
        <v>314</v>
      </c>
      <c r="F3551" s="2" t="n">
        <v>1</v>
      </c>
      <c r="G3551" s="2" t="n">
        <v>1</v>
      </c>
      <c r="H3551" s="2" t="n">
        <v>1</v>
      </c>
      <c r="I3551" s="2" t="n">
        <v>0</v>
      </c>
    </row>
    <row r="3552">
      <c r="A3552" s="2" t="n">
        <v>3550</v>
      </c>
      <c r="B3552" s="2" t="inlineStr">
        <is>
          <t>truncate</t>
        </is>
      </c>
      <c r="C3552" s="2" t="inlineStr">
        <is>
          <t>openssl TLS 1.2 only</t>
        </is>
      </c>
      <c r="D3552" s="2" t="n">
        <v>79</v>
      </c>
      <c r="E3552" s="2" t="n">
        <v>79</v>
      </c>
      <c r="F3552" s="2" t="n">
        <v>1</v>
      </c>
      <c r="G3552" s="2" t="n">
        <v>0</v>
      </c>
      <c r="H3552" s="2" t="n">
        <v>0</v>
      </c>
      <c r="I3552" s="2" t="n">
        <v>0</v>
      </c>
    </row>
    <row r="3553">
      <c r="A3553" s="2" t="n">
        <v>3551</v>
      </c>
      <c r="B3553" s="2" t="inlineStr">
        <is>
          <t>length</t>
        </is>
      </c>
      <c r="C3553" s="2" t="inlineStr">
        <is>
          <t>openssl 3.5.8 default</t>
        </is>
      </c>
      <c r="D3553" s="2" t="n">
        <v>1548</v>
      </c>
      <c r="E3553" s="2" t="n">
        <v>1548</v>
      </c>
      <c r="F3553" s="2" t="n">
        <v>1</v>
      </c>
      <c r="G3553" s="2" t="n">
        <v>1</v>
      </c>
      <c r="H3553" s="2" t="n">
        <v>1</v>
      </c>
      <c r="I3553" s="2" t="n">
        <v>0</v>
      </c>
    </row>
    <row r="3554">
      <c r="A3554" s="2" t="n">
        <v>3552</v>
      </c>
      <c r="B3554" s="2" t="inlineStr">
        <is>
          <t>insert</t>
        </is>
      </c>
      <c r="C3554" s="2" t="inlineStr">
        <is>
          <t>browser firefox147</t>
        </is>
      </c>
      <c r="D3554" s="2" t="n">
        <v>1912</v>
      </c>
      <c r="E3554" s="2" t="n">
        <v>1912</v>
      </c>
      <c r="F3554" s="2" t="n">
        <v>1</v>
      </c>
      <c r="G3554" s="2" t="n">
        <v>1</v>
      </c>
      <c r="H3554" s="2" t="n">
        <v>0</v>
      </c>
      <c r="I3554" s="2" t="n">
        <v>0</v>
      </c>
    </row>
    <row r="3555">
      <c r="A3555" s="2" t="n">
        <v>3553</v>
      </c>
      <c r="B3555" s="2" t="inlineStr">
        <is>
          <t>flip</t>
        </is>
      </c>
      <c r="C3555" s="2" t="inlineStr">
        <is>
          <t>openssl X25519 only (classical)</t>
        </is>
      </c>
      <c r="D3555" s="2" t="n">
        <v>314</v>
      </c>
      <c r="E3555" s="2" t="n">
        <v>314</v>
      </c>
      <c r="F3555" s="2" t="n">
        <v>1</v>
      </c>
      <c r="G3555" s="2" t="n">
        <v>1</v>
      </c>
      <c r="H3555" s="2" t="n">
        <v>1</v>
      </c>
      <c r="I3555" s="2" t="n">
        <v>0</v>
      </c>
    </row>
    <row r="3556">
      <c r="A3556" s="2" t="n">
        <v>3554</v>
      </c>
      <c r="B3556" s="2" t="inlineStr">
        <is>
          <t>truncate</t>
        </is>
      </c>
      <c r="C3556" s="2" t="inlineStr">
        <is>
          <t>browser chrome150</t>
        </is>
      </c>
      <c r="D3556" s="2" t="n">
        <v>1016</v>
      </c>
      <c r="E3556" s="2" t="n">
        <v>1016</v>
      </c>
      <c r="F3556" s="2" t="n">
        <v>1</v>
      </c>
      <c r="G3556" s="2" t="n">
        <v>1</v>
      </c>
      <c r="H3556" s="2" t="n">
        <v>1</v>
      </c>
      <c r="I3556" s="2" t="n">
        <v>0</v>
      </c>
    </row>
    <row r="3557">
      <c r="A3557" s="2" t="n">
        <v>3555</v>
      </c>
      <c r="B3557" s="2" t="inlineStr">
        <is>
          <t>length</t>
        </is>
      </c>
      <c r="C3557" s="2" t="inlineStr">
        <is>
          <t>browser firefox147</t>
        </is>
      </c>
      <c r="D3557" s="2" t="n">
        <v>1901</v>
      </c>
      <c r="E3557" s="2" t="n">
        <v>1901</v>
      </c>
      <c r="F3557" s="2" t="n">
        <v>1</v>
      </c>
      <c r="G3557" s="2" t="n">
        <v>1</v>
      </c>
      <c r="H3557" s="2" t="n">
        <v>0</v>
      </c>
      <c r="I3557" s="2" t="n">
        <v>0</v>
      </c>
    </row>
    <row r="3558">
      <c r="A3558" s="2" t="n">
        <v>3556</v>
      </c>
      <c r="B3558" s="2" t="inlineStr">
        <is>
          <t>insert</t>
        </is>
      </c>
      <c r="C3558" s="2" t="inlineStr">
        <is>
          <t>openssl X25519 only (classical)</t>
        </is>
      </c>
      <c r="D3558" s="2" t="n">
        <v>322</v>
      </c>
      <c r="E3558" s="2" t="n">
        <v>322</v>
      </c>
      <c r="F3558" s="2" t="n">
        <v>1</v>
      </c>
      <c r="G3558" s="2" t="n">
        <v>1</v>
      </c>
      <c r="H3558" s="2" t="n">
        <v>1</v>
      </c>
      <c r="I3558" s="2" t="n">
        <v>0</v>
      </c>
    </row>
    <row r="3559">
      <c r="A3559" s="2" t="n">
        <v>3557</v>
      </c>
      <c r="B3559" s="2" t="inlineStr">
        <is>
          <t>flip</t>
        </is>
      </c>
      <c r="C3559" s="2" t="inlineStr">
        <is>
          <t>browser chrome150</t>
        </is>
      </c>
      <c r="D3559" s="2" t="n">
        <v>1763</v>
      </c>
      <c r="E3559" s="2" t="n">
        <v>1763</v>
      </c>
      <c r="F3559" s="2" t="n">
        <v>1</v>
      </c>
      <c r="G3559" s="2" t="n">
        <v>1</v>
      </c>
      <c r="H3559" s="2" t="n">
        <v>1</v>
      </c>
      <c r="I3559" s="2" t="n">
        <v>0</v>
      </c>
    </row>
    <row r="3560">
      <c r="A3560" s="2" t="n">
        <v>3558</v>
      </c>
      <c r="B3560" s="2" t="inlineStr">
        <is>
          <t>truncate</t>
        </is>
      </c>
      <c r="C3560" s="2" t="inlineStr">
        <is>
          <t>openssl 3.5.8 default</t>
        </is>
      </c>
      <c r="D3560" s="2" t="n">
        <v>1299</v>
      </c>
      <c r="E3560" s="2" t="n">
        <v>1299</v>
      </c>
      <c r="F3560" s="2" t="n">
        <v>1</v>
      </c>
      <c r="G3560" s="2" t="n">
        <v>1</v>
      </c>
      <c r="H3560" s="2" t="n">
        <v>1</v>
      </c>
      <c r="I3560" s="2" t="n">
        <v>0</v>
      </c>
    </row>
    <row r="3561">
      <c r="A3561" s="2" t="n">
        <v>3559</v>
      </c>
      <c r="B3561" s="2" t="inlineStr">
        <is>
          <t>length</t>
        </is>
      </c>
      <c r="C3561" s="2" t="inlineStr">
        <is>
          <t>openssl TLS 1.2 only</t>
        </is>
      </c>
      <c r="D3561" s="2" t="n">
        <v>215</v>
      </c>
      <c r="E3561" s="2" t="n">
        <v>215</v>
      </c>
      <c r="F3561" s="2" t="n">
        <v>1</v>
      </c>
      <c r="G3561" s="2" t="n">
        <v>1</v>
      </c>
      <c r="H3561" s="2" t="n">
        <v>0</v>
      </c>
      <c r="I3561" s="2" t="n">
        <v>0</v>
      </c>
    </row>
    <row r="3562">
      <c r="A3562" s="2" t="n">
        <v>3560</v>
      </c>
      <c r="B3562" s="2" t="inlineStr">
        <is>
          <t>insert</t>
        </is>
      </c>
      <c r="C3562" s="2" t="inlineStr">
        <is>
          <t>openssl 3.5.8 default</t>
        </is>
      </c>
      <c r="D3562" s="2" t="n">
        <v>1553</v>
      </c>
      <c r="E3562" s="2" t="n">
        <v>1553</v>
      </c>
      <c r="F3562" s="2" t="n">
        <v>1</v>
      </c>
      <c r="G3562" s="2" t="n">
        <v>1</v>
      </c>
      <c r="H3562" s="2" t="n">
        <v>1</v>
      </c>
      <c r="I3562" s="2" t="n">
        <v>0</v>
      </c>
    </row>
    <row r="3563">
      <c r="A3563" s="2" t="n">
        <v>3561</v>
      </c>
      <c r="B3563" s="2" t="inlineStr">
        <is>
          <t>flip</t>
        </is>
      </c>
      <c r="C3563" s="2" t="inlineStr">
        <is>
          <t>openssl X25519 only (classical)</t>
        </is>
      </c>
      <c r="D3563" s="2" t="n">
        <v>314</v>
      </c>
      <c r="E3563" s="2" t="n">
        <v>314</v>
      </c>
      <c r="F3563" s="2" t="n">
        <v>1</v>
      </c>
      <c r="G3563" s="2" t="n">
        <v>1</v>
      </c>
      <c r="H3563" s="2" t="n">
        <v>1</v>
      </c>
      <c r="I3563" s="2" t="n">
        <v>0</v>
      </c>
    </row>
    <row r="3564">
      <c r="A3564" s="2" t="n">
        <v>3562</v>
      </c>
      <c r="B3564" s="2" t="inlineStr">
        <is>
          <t>truncate</t>
        </is>
      </c>
      <c r="C3564" s="2" t="inlineStr">
        <is>
          <t>openssl X25519 only (classical)</t>
        </is>
      </c>
      <c r="D3564" s="2" t="n">
        <v>136</v>
      </c>
      <c r="E3564" s="2" t="n">
        <v>136</v>
      </c>
      <c r="F3564" s="2" t="n">
        <v>1</v>
      </c>
      <c r="G3564" s="2" t="n">
        <v>0</v>
      </c>
      <c r="H3564" s="2" t="n">
        <v>0</v>
      </c>
      <c r="I3564" s="2" t="n">
        <v>0</v>
      </c>
    </row>
    <row r="3565">
      <c r="A3565" s="2" t="n">
        <v>3563</v>
      </c>
      <c r="B3565" s="2" t="inlineStr">
        <is>
          <t>length</t>
        </is>
      </c>
      <c r="C3565" s="2" t="inlineStr">
        <is>
          <t>openssl X25519 only (classical)</t>
        </is>
      </c>
      <c r="D3565" s="2" t="n">
        <v>314</v>
      </c>
      <c r="E3565" s="2" t="n">
        <v>314</v>
      </c>
      <c r="F3565" s="2" t="n">
        <v>0</v>
      </c>
      <c r="G3565" s="2" t="n">
        <v>0</v>
      </c>
      <c r="H3565" s="2" t="n">
        <v>0</v>
      </c>
      <c r="I3565" s="2" t="n">
        <v>0</v>
      </c>
    </row>
    <row r="3566">
      <c r="A3566" s="2" t="n">
        <v>3564</v>
      </c>
      <c r="B3566" s="2" t="inlineStr">
        <is>
          <t>insert</t>
        </is>
      </c>
      <c r="C3566" s="2" t="inlineStr">
        <is>
          <t>browser chrome150</t>
        </is>
      </c>
      <c r="D3566" s="2" t="n">
        <v>1775</v>
      </c>
      <c r="E3566" s="2" t="n">
        <v>1775</v>
      </c>
      <c r="F3566" s="2" t="n">
        <v>1</v>
      </c>
      <c r="G3566" s="2" t="n">
        <v>1</v>
      </c>
      <c r="H3566" s="2" t="n">
        <v>1</v>
      </c>
      <c r="I3566" s="2" t="n">
        <v>0</v>
      </c>
    </row>
    <row r="3567">
      <c r="A3567" s="2" t="n">
        <v>3565</v>
      </c>
      <c r="B3567" s="2" t="inlineStr">
        <is>
          <t>flip</t>
        </is>
      </c>
      <c r="C3567" s="2" t="inlineStr">
        <is>
          <t>openssl 3.5.8 default</t>
        </is>
      </c>
      <c r="D3567" s="2" t="n">
        <v>1548</v>
      </c>
      <c r="E3567" s="2" t="n">
        <v>1548</v>
      </c>
      <c r="F3567" s="2" t="n">
        <v>1</v>
      </c>
      <c r="G3567" s="2" t="n">
        <v>1</v>
      </c>
      <c r="H3567" s="2" t="n">
        <v>1</v>
      </c>
      <c r="I3567" s="2" t="n">
        <v>0</v>
      </c>
    </row>
    <row r="3568">
      <c r="A3568" s="2" t="n">
        <v>3566</v>
      </c>
      <c r="B3568" s="2" t="inlineStr">
        <is>
          <t>truncate</t>
        </is>
      </c>
      <c r="C3568" s="2" t="inlineStr">
        <is>
          <t>openssl 3.5.8 default</t>
        </is>
      </c>
      <c r="D3568" s="2" t="n">
        <v>1208</v>
      </c>
      <c r="E3568" s="2" t="n">
        <v>1208</v>
      </c>
      <c r="F3568" s="2" t="n">
        <v>1</v>
      </c>
      <c r="G3568" s="2" t="n">
        <v>1</v>
      </c>
      <c r="H3568" s="2" t="n">
        <v>1</v>
      </c>
      <c r="I3568" s="2" t="n">
        <v>0</v>
      </c>
    </row>
    <row r="3569">
      <c r="A3569" s="2" t="n">
        <v>3567</v>
      </c>
      <c r="B3569" s="2" t="inlineStr">
        <is>
          <t>length</t>
        </is>
      </c>
      <c r="C3569" s="2" t="inlineStr">
        <is>
          <t>openssl TLS 1.2 only</t>
        </is>
      </c>
      <c r="D3569" s="2" t="n">
        <v>215</v>
      </c>
      <c r="E3569" s="2" t="n">
        <v>215</v>
      </c>
      <c r="F3569" s="2" t="n">
        <v>1</v>
      </c>
      <c r="G3569" s="2" t="n">
        <v>0</v>
      </c>
      <c r="H3569" s="2" t="n">
        <v>0</v>
      </c>
      <c r="I3569" s="2" t="n">
        <v>0</v>
      </c>
    </row>
    <row r="3570">
      <c r="A3570" s="2" t="n">
        <v>3568</v>
      </c>
      <c r="B3570" s="2" t="inlineStr">
        <is>
          <t>insert</t>
        </is>
      </c>
      <c r="C3570" s="2" t="inlineStr">
        <is>
          <t>openssl X25519 only (classical)</t>
        </is>
      </c>
      <c r="D3570" s="2" t="n">
        <v>319</v>
      </c>
      <c r="E3570" s="2" t="n">
        <v>319</v>
      </c>
      <c r="F3570" s="2" t="n">
        <v>1</v>
      </c>
      <c r="G3570" s="2" t="n">
        <v>1</v>
      </c>
      <c r="H3570" s="2" t="n">
        <v>1</v>
      </c>
      <c r="I3570" s="2" t="n">
        <v>0</v>
      </c>
    </row>
    <row r="3571">
      <c r="A3571" s="2" t="n">
        <v>3569</v>
      </c>
      <c r="B3571" s="2" t="inlineStr">
        <is>
          <t>flip</t>
        </is>
      </c>
      <c r="C3571" s="2" t="inlineStr">
        <is>
          <t>openssl TLS 1.2 only</t>
        </is>
      </c>
      <c r="D3571" s="2" t="n">
        <v>215</v>
      </c>
      <c r="E3571" s="2" t="n">
        <v>215</v>
      </c>
      <c r="F3571" s="2" t="n">
        <v>1</v>
      </c>
      <c r="G3571" s="2" t="n">
        <v>1</v>
      </c>
      <c r="H3571" s="2" t="n">
        <v>1</v>
      </c>
      <c r="I3571" s="2" t="n">
        <v>0</v>
      </c>
    </row>
    <row r="3572">
      <c r="A3572" s="2" t="n">
        <v>3570</v>
      </c>
      <c r="B3572" s="2" t="inlineStr">
        <is>
          <t>truncate</t>
        </is>
      </c>
      <c r="C3572" s="2" t="inlineStr">
        <is>
          <t>openssl 3.5.8 default</t>
        </is>
      </c>
      <c r="D3572" s="2" t="n">
        <v>323</v>
      </c>
      <c r="E3572" s="2" t="n">
        <v>323</v>
      </c>
      <c r="F3572" s="2" t="n">
        <v>1</v>
      </c>
      <c r="G3572" s="2" t="n">
        <v>1</v>
      </c>
      <c r="H3572" s="2" t="n">
        <v>1</v>
      </c>
      <c r="I3572" s="2" t="n">
        <v>0</v>
      </c>
    </row>
    <row r="3573">
      <c r="A3573" s="2" t="n">
        <v>3571</v>
      </c>
      <c r="B3573" s="2" t="inlineStr">
        <is>
          <t>length</t>
        </is>
      </c>
      <c r="C3573" s="2" t="inlineStr">
        <is>
          <t>openssl X25519 only (classical)</t>
        </is>
      </c>
      <c r="D3573" s="2" t="n">
        <v>314</v>
      </c>
      <c r="E3573" s="2" t="n">
        <v>314</v>
      </c>
      <c r="F3573" s="2" t="n">
        <v>1</v>
      </c>
      <c r="G3573" s="2" t="n">
        <v>1</v>
      </c>
      <c r="H3573" s="2" t="n">
        <v>1</v>
      </c>
      <c r="I3573" s="2" t="n">
        <v>0</v>
      </c>
    </row>
    <row r="3574">
      <c r="A3574" s="2" t="n">
        <v>3572</v>
      </c>
      <c r="B3574" s="2" t="inlineStr">
        <is>
          <t>insert</t>
        </is>
      </c>
      <c r="C3574" s="2" t="inlineStr">
        <is>
          <t>openssl TLS 1.2 only</t>
        </is>
      </c>
      <c r="D3574" s="2" t="n">
        <v>231</v>
      </c>
      <c r="E3574" s="2" t="n">
        <v>231</v>
      </c>
      <c r="F3574" s="2" t="n">
        <v>1</v>
      </c>
      <c r="G3574" s="2" t="n">
        <v>1</v>
      </c>
      <c r="H3574" s="2" t="n">
        <v>0</v>
      </c>
      <c r="I3574" s="2" t="n">
        <v>0</v>
      </c>
    </row>
    <row r="3575">
      <c r="A3575" s="2" t="n">
        <v>3573</v>
      </c>
      <c r="B3575" s="2" t="inlineStr">
        <is>
          <t>flip</t>
        </is>
      </c>
      <c r="C3575" s="2" t="inlineStr">
        <is>
          <t>browser chrome150</t>
        </is>
      </c>
      <c r="D3575" s="2" t="n">
        <v>1763</v>
      </c>
      <c r="E3575" s="2" t="n">
        <v>1763</v>
      </c>
      <c r="F3575" s="2" t="n">
        <v>1</v>
      </c>
      <c r="G3575" s="2" t="n">
        <v>1</v>
      </c>
      <c r="H3575" s="2" t="n">
        <v>1</v>
      </c>
      <c r="I3575" s="2" t="n">
        <v>0</v>
      </c>
    </row>
    <row r="3576">
      <c r="A3576" s="2" t="n">
        <v>3574</v>
      </c>
      <c r="B3576" s="2" t="inlineStr">
        <is>
          <t>truncate</t>
        </is>
      </c>
      <c r="C3576" s="2" t="inlineStr">
        <is>
          <t>openssl X25519 only (classical)</t>
        </is>
      </c>
      <c r="D3576" s="2" t="n">
        <v>239</v>
      </c>
      <c r="E3576" s="2" t="n">
        <v>239</v>
      </c>
      <c r="F3576" s="2" t="n">
        <v>1</v>
      </c>
      <c r="G3576" s="2" t="n">
        <v>1</v>
      </c>
      <c r="H3576" s="2" t="n">
        <v>0</v>
      </c>
      <c r="I3576" s="2" t="n">
        <v>0</v>
      </c>
    </row>
    <row r="3577">
      <c r="A3577" s="2" t="n">
        <v>3575</v>
      </c>
      <c r="B3577" s="2" t="inlineStr">
        <is>
          <t>length</t>
        </is>
      </c>
      <c r="C3577" s="2" t="inlineStr">
        <is>
          <t>openssl X25519 only (classical)</t>
        </is>
      </c>
      <c r="D3577" s="2" t="n">
        <v>314</v>
      </c>
      <c r="E3577" s="2" t="n">
        <v>314</v>
      </c>
      <c r="F3577" s="2" t="n">
        <v>1</v>
      </c>
      <c r="G3577" s="2" t="n">
        <v>0</v>
      </c>
      <c r="H3577" s="2" t="n">
        <v>0</v>
      </c>
      <c r="I3577" s="2" t="n">
        <v>0</v>
      </c>
    </row>
    <row r="3578">
      <c r="A3578" s="2" t="n">
        <v>3576</v>
      </c>
      <c r="B3578" s="2" t="inlineStr">
        <is>
          <t>insert</t>
        </is>
      </c>
      <c r="C3578" s="2" t="inlineStr">
        <is>
          <t>openssl 3.5.8 default</t>
        </is>
      </c>
      <c r="D3578" s="2" t="n">
        <v>1553</v>
      </c>
      <c r="E3578" s="2" t="n">
        <v>1553</v>
      </c>
      <c r="F3578" s="2" t="n">
        <v>1</v>
      </c>
      <c r="G3578" s="2" t="n">
        <v>1</v>
      </c>
      <c r="H3578" s="2" t="n">
        <v>1</v>
      </c>
      <c r="I3578" s="2" t="n">
        <v>0</v>
      </c>
    </row>
    <row r="3579">
      <c r="A3579" s="2" t="n">
        <v>3577</v>
      </c>
      <c r="B3579" s="2" t="inlineStr">
        <is>
          <t>flip</t>
        </is>
      </c>
      <c r="C3579" s="2" t="inlineStr">
        <is>
          <t>browser chrome150</t>
        </is>
      </c>
      <c r="D3579" s="2" t="n">
        <v>1763</v>
      </c>
      <c r="E3579" s="2" t="n">
        <v>1763</v>
      </c>
      <c r="F3579" s="2" t="n">
        <v>1</v>
      </c>
      <c r="G3579" s="2" t="n">
        <v>1</v>
      </c>
      <c r="H3579" s="2" t="n">
        <v>1</v>
      </c>
      <c r="I3579" s="2" t="n">
        <v>0</v>
      </c>
    </row>
    <row r="3580">
      <c r="A3580" s="2" t="n">
        <v>3578</v>
      </c>
      <c r="B3580" s="2" t="inlineStr">
        <is>
          <t>truncate</t>
        </is>
      </c>
      <c r="C3580" s="2" t="inlineStr">
        <is>
          <t>openssl 3.5.8 default</t>
        </is>
      </c>
      <c r="D3580" s="2" t="n">
        <v>879</v>
      </c>
      <c r="E3580" s="2" t="n">
        <v>879</v>
      </c>
      <c r="F3580" s="2" t="n">
        <v>1</v>
      </c>
      <c r="G3580" s="2" t="n">
        <v>1</v>
      </c>
      <c r="H3580" s="2" t="n">
        <v>1</v>
      </c>
      <c r="I3580" s="2" t="n">
        <v>0</v>
      </c>
    </row>
    <row r="3581">
      <c r="A3581" s="2" t="n">
        <v>3579</v>
      </c>
      <c r="B3581" s="2" t="inlineStr">
        <is>
          <t>length</t>
        </is>
      </c>
      <c r="C3581" s="2" t="inlineStr">
        <is>
          <t>openssl X25519 only (classical)</t>
        </is>
      </c>
      <c r="D3581" s="2" t="n">
        <v>314</v>
      </c>
      <c r="E3581" s="2" t="n">
        <v>314</v>
      </c>
      <c r="F3581" s="2" t="n">
        <v>1</v>
      </c>
      <c r="G3581" s="2" t="n">
        <v>1</v>
      </c>
      <c r="H3581" s="2" t="n">
        <v>1</v>
      </c>
      <c r="I3581" s="2" t="n">
        <v>0</v>
      </c>
    </row>
    <row r="3582">
      <c r="A3582" s="2" t="n">
        <v>3580</v>
      </c>
      <c r="B3582" s="2" t="inlineStr">
        <is>
          <t>insert</t>
        </is>
      </c>
      <c r="C3582" s="2" t="inlineStr">
        <is>
          <t>browser chrome150</t>
        </is>
      </c>
      <c r="D3582" s="2" t="n">
        <v>1770</v>
      </c>
      <c r="E3582" s="2" t="n">
        <v>1770</v>
      </c>
      <c r="F3582" s="2" t="n">
        <v>1</v>
      </c>
      <c r="G3582" s="2" t="n">
        <v>1</v>
      </c>
      <c r="H3582" s="2" t="n">
        <v>1</v>
      </c>
      <c r="I3582" s="2" t="n">
        <v>0</v>
      </c>
    </row>
    <row r="3583">
      <c r="A3583" s="2" t="n">
        <v>3581</v>
      </c>
      <c r="B3583" s="2" t="inlineStr">
        <is>
          <t>flip</t>
        </is>
      </c>
      <c r="C3583" s="2" t="inlineStr">
        <is>
          <t>openssl X25519 only (classical)</t>
        </is>
      </c>
      <c r="D3583" s="2" t="n">
        <v>314</v>
      </c>
      <c r="E3583" s="2" t="n">
        <v>314</v>
      </c>
      <c r="F3583" s="2" t="n">
        <v>0</v>
      </c>
      <c r="G3583" s="2" t="n">
        <v>0</v>
      </c>
      <c r="H3583" s="2" t="n">
        <v>0</v>
      </c>
      <c r="I3583" s="2" t="n">
        <v>0</v>
      </c>
    </row>
    <row r="3584">
      <c r="A3584" s="2" t="n">
        <v>3582</v>
      </c>
      <c r="B3584" s="2" t="inlineStr">
        <is>
          <t>truncate</t>
        </is>
      </c>
      <c r="C3584" s="2" t="inlineStr">
        <is>
          <t>browser firefox147</t>
        </is>
      </c>
      <c r="D3584" s="2" t="n">
        <v>129</v>
      </c>
      <c r="E3584" s="2" t="n">
        <v>129</v>
      </c>
      <c r="F3584" s="2" t="n">
        <v>1</v>
      </c>
      <c r="G3584" s="2" t="n">
        <v>1</v>
      </c>
      <c r="H3584" s="2" t="n">
        <v>0</v>
      </c>
      <c r="I3584" s="2" t="n">
        <v>0</v>
      </c>
    </row>
    <row r="3585">
      <c r="A3585" s="2" t="n">
        <v>3583</v>
      </c>
      <c r="B3585" s="2" t="inlineStr">
        <is>
          <t>length</t>
        </is>
      </c>
      <c r="C3585" s="2" t="inlineStr">
        <is>
          <t>openssl TLS 1.2 only</t>
        </is>
      </c>
      <c r="D3585" s="2" t="n">
        <v>215</v>
      </c>
      <c r="E3585" s="2" t="n">
        <v>215</v>
      </c>
      <c r="F3585" s="2" t="n">
        <v>0</v>
      </c>
      <c r="G3585" s="2" t="n">
        <v>0</v>
      </c>
      <c r="H3585" s="2" t="n">
        <v>0</v>
      </c>
      <c r="I3585" s="2" t="n">
        <v>0</v>
      </c>
    </row>
    <row r="3586">
      <c r="A3586" s="2" t="n">
        <v>3584</v>
      </c>
      <c r="B3586" s="2" t="inlineStr">
        <is>
          <t>insert</t>
        </is>
      </c>
      <c r="C3586" s="2" t="inlineStr">
        <is>
          <t>browser firefox147</t>
        </is>
      </c>
      <c r="D3586" s="2" t="n">
        <v>1912</v>
      </c>
      <c r="E3586" s="2" t="n">
        <v>1912</v>
      </c>
      <c r="F3586" s="2" t="n">
        <v>1</v>
      </c>
      <c r="G3586" s="2" t="n">
        <v>1</v>
      </c>
      <c r="H3586" s="2" t="n">
        <v>0</v>
      </c>
      <c r="I3586" s="2" t="n">
        <v>0</v>
      </c>
    </row>
    <row r="3587">
      <c r="A3587" s="2" t="n">
        <v>3585</v>
      </c>
      <c r="B3587" s="2" t="inlineStr">
        <is>
          <t>flip</t>
        </is>
      </c>
      <c r="C3587" s="2" t="inlineStr">
        <is>
          <t>browser firefox147</t>
        </is>
      </c>
      <c r="D3587" s="2" t="n">
        <v>1901</v>
      </c>
      <c r="E3587" s="2" t="n">
        <v>1901</v>
      </c>
      <c r="F3587" s="2" t="n">
        <v>1</v>
      </c>
      <c r="G3587" s="2" t="n">
        <v>1</v>
      </c>
      <c r="H3587" s="2" t="n">
        <v>0</v>
      </c>
      <c r="I3587" s="2" t="n">
        <v>0</v>
      </c>
    </row>
    <row r="3588">
      <c r="A3588" s="2" t="n">
        <v>3586</v>
      </c>
      <c r="B3588" s="2" t="inlineStr">
        <is>
          <t>truncate</t>
        </is>
      </c>
      <c r="C3588" s="2" t="inlineStr">
        <is>
          <t>browser chrome150</t>
        </is>
      </c>
      <c r="D3588" s="2" t="n">
        <v>500</v>
      </c>
      <c r="E3588" s="2" t="n">
        <v>500</v>
      </c>
      <c r="F3588" s="2" t="n">
        <v>1</v>
      </c>
      <c r="G3588" s="2" t="n">
        <v>1</v>
      </c>
      <c r="H3588" s="2" t="n">
        <v>1</v>
      </c>
      <c r="I3588" s="2" t="n">
        <v>0</v>
      </c>
    </row>
    <row r="3589">
      <c r="A3589" s="2" t="n">
        <v>3587</v>
      </c>
      <c r="B3589" s="2" t="inlineStr">
        <is>
          <t>length</t>
        </is>
      </c>
      <c r="C3589" s="2" t="inlineStr">
        <is>
          <t>openssl X25519 only (classical)</t>
        </is>
      </c>
      <c r="D3589" s="2" t="n">
        <v>314</v>
      </c>
      <c r="E3589" s="2" t="n">
        <v>314</v>
      </c>
      <c r="F3589" s="2" t="n">
        <v>1</v>
      </c>
      <c r="G3589" s="2" t="n">
        <v>1</v>
      </c>
      <c r="H3589" s="2" t="n">
        <v>1</v>
      </c>
      <c r="I3589" s="2" t="n">
        <v>0</v>
      </c>
    </row>
    <row r="3590">
      <c r="A3590" s="2" t="n">
        <v>3588</v>
      </c>
      <c r="B3590" s="2" t="inlineStr">
        <is>
          <t>insert</t>
        </is>
      </c>
      <c r="C3590" s="2" t="inlineStr">
        <is>
          <t>browser chrome150</t>
        </is>
      </c>
      <c r="D3590" s="2" t="n">
        <v>1774</v>
      </c>
      <c r="E3590" s="2" t="n">
        <v>1774</v>
      </c>
      <c r="F3590" s="2" t="n">
        <v>1</v>
      </c>
      <c r="G3590" s="2" t="n">
        <v>1</v>
      </c>
      <c r="H3590" s="2" t="n">
        <v>1</v>
      </c>
      <c r="I3590" s="2" t="n">
        <v>0</v>
      </c>
    </row>
    <row r="3591">
      <c r="A3591" s="2" t="n">
        <v>3589</v>
      </c>
      <c r="B3591" s="2" t="inlineStr">
        <is>
          <t>flip</t>
        </is>
      </c>
      <c r="C3591" s="2" t="inlineStr">
        <is>
          <t>openssl X25519 only (classical)</t>
        </is>
      </c>
      <c r="D3591" s="2" t="n">
        <v>314</v>
      </c>
      <c r="E3591" s="2" t="n">
        <v>314</v>
      </c>
      <c r="F3591" s="2" t="n">
        <v>1</v>
      </c>
      <c r="G3591" s="2" t="n">
        <v>1</v>
      </c>
      <c r="H3591" s="2" t="n">
        <v>1</v>
      </c>
      <c r="I3591" s="2" t="n">
        <v>0</v>
      </c>
    </row>
    <row r="3592">
      <c r="A3592" s="2" t="n">
        <v>3590</v>
      </c>
      <c r="B3592" s="2" t="inlineStr">
        <is>
          <t>truncate</t>
        </is>
      </c>
      <c r="C3592" s="2" t="inlineStr">
        <is>
          <t>browser firefox147</t>
        </is>
      </c>
      <c r="D3592" s="2" t="n">
        <v>194</v>
      </c>
      <c r="E3592" s="2" t="n">
        <v>194</v>
      </c>
      <c r="F3592" s="2" t="n">
        <v>1</v>
      </c>
      <c r="G3592" s="2" t="n">
        <v>1</v>
      </c>
      <c r="H3592" s="2" t="n">
        <v>0</v>
      </c>
      <c r="I3592" s="2" t="n">
        <v>0</v>
      </c>
    </row>
    <row r="3593">
      <c r="A3593" s="2" t="n">
        <v>3591</v>
      </c>
      <c r="B3593" s="2" t="inlineStr">
        <is>
          <t>length</t>
        </is>
      </c>
      <c r="C3593" s="2" t="inlineStr">
        <is>
          <t>openssl 3.5.8 default</t>
        </is>
      </c>
      <c r="D3593" s="2" t="n">
        <v>1548</v>
      </c>
      <c r="E3593" s="2" t="n">
        <v>1548</v>
      </c>
      <c r="F3593" s="2" t="n">
        <v>1</v>
      </c>
      <c r="G3593" s="2" t="n">
        <v>1</v>
      </c>
      <c r="H3593" s="2" t="n">
        <v>1</v>
      </c>
      <c r="I3593" s="2" t="n">
        <v>0</v>
      </c>
    </row>
    <row r="3594">
      <c r="A3594" s="2" t="n">
        <v>3592</v>
      </c>
      <c r="B3594" s="2" t="inlineStr">
        <is>
          <t>insert</t>
        </is>
      </c>
      <c r="C3594" s="2" t="inlineStr">
        <is>
          <t>browser firefox147</t>
        </is>
      </c>
      <c r="D3594" s="2" t="n">
        <v>1903</v>
      </c>
      <c r="E3594" s="2" t="n">
        <v>1903</v>
      </c>
      <c r="F3594" s="2" t="n">
        <v>1</v>
      </c>
      <c r="G3594" s="2" t="n">
        <v>1</v>
      </c>
      <c r="H3594" s="2" t="n">
        <v>0</v>
      </c>
      <c r="I3594" s="2" t="n">
        <v>0</v>
      </c>
    </row>
    <row r="3595">
      <c r="A3595" s="2" t="n">
        <v>3593</v>
      </c>
      <c r="B3595" s="2" t="inlineStr">
        <is>
          <t>flip</t>
        </is>
      </c>
      <c r="C3595" s="2" t="inlineStr">
        <is>
          <t>openssl 3.5.8 default</t>
        </is>
      </c>
      <c r="D3595" s="2" t="n">
        <v>1548</v>
      </c>
      <c r="E3595" s="2" t="n">
        <v>1548</v>
      </c>
      <c r="F3595" s="2" t="n">
        <v>1</v>
      </c>
      <c r="G3595" s="2" t="n">
        <v>1</v>
      </c>
      <c r="H3595" s="2" t="n">
        <v>1</v>
      </c>
      <c r="I3595" s="2" t="n">
        <v>0</v>
      </c>
    </row>
    <row r="3596">
      <c r="A3596" s="2" t="n">
        <v>3594</v>
      </c>
      <c r="B3596" s="2" t="inlineStr">
        <is>
          <t>truncate</t>
        </is>
      </c>
      <c r="C3596" s="2" t="inlineStr">
        <is>
          <t>openssl X25519 only (classical)</t>
        </is>
      </c>
      <c r="D3596" s="2" t="n">
        <v>244</v>
      </c>
      <c r="E3596" s="2" t="n">
        <v>244</v>
      </c>
      <c r="F3596" s="2" t="n">
        <v>1</v>
      </c>
      <c r="G3596" s="2" t="n">
        <v>1</v>
      </c>
      <c r="H3596" s="2" t="n">
        <v>0</v>
      </c>
      <c r="I3596" s="2" t="n">
        <v>0</v>
      </c>
    </row>
    <row r="3597">
      <c r="A3597" s="2" t="n">
        <v>3595</v>
      </c>
      <c r="B3597" s="2" t="inlineStr">
        <is>
          <t>length</t>
        </is>
      </c>
      <c r="C3597" s="2" t="inlineStr">
        <is>
          <t>browser firefox147</t>
        </is>
      </c>
      <c r="D3597" s="2" t="n">
        <v>1901</v>
      </c>
      <c r="E3597" s="2" t="n">
        <v>1901</v>
      </c>
      <c r="F3597" s="2" t="n">
        <v>1</v>
      </c>
      <c r="G3597" s="2" t="n">
        <v>1</v>
      </c>
      <c r="H3597" s="2" t="n">
        <v>0</v>
      </c>
      <c r="I3597" s="2" t="n">
        <v>0</v>
      </c>
    </row>
    <row r="3598">
      <c r="A3598" s="2" t="n">
        <v>3596</v>
      </c>
      <c r="B3598" s="2" t="inlineStr">
        <is>
          <t>insert</t>
        </is>
      </c>
      <c r="C3598" s="2" t="inlineStr">
        <is>
          <t>openssl X25519 only (classical)</t>
        </is>
      </c>
      <c r="D3598" s="2" t="n">
        <v>328</v>
      </c>
      <c r="E3598" s="2" t="n">
        <v>328</v>
      </c>
      <c r="F3598" s="2" t="n">
        <v>1</v>
      </c>
      <c r="G3598" s="2" t="n">
        <v>1</v>
      </c>
      <c r="H3598" s="2" t="n">
        <v>0</v>
      </c>
      <c r="I3598" s="2" t="n">
        <v>0</v>
      </c>
    </row>
    <row r="3599">
      <c r="A3599" s="2" t="n">
        <v>3597</v>
      </c>
      <c r="B3599" s="2" t="inlineStr">
        <is>
          <t>flip</t>
        </is>
      </c>
      <c r="C3599" s="2" t="inlineStr">
        <is>
          <t>openssl 3.5.8 default</t>
        </is>
      </c>
      <c r="D3599" s="2" t="n">
        <v>1548</v>
      </c>
      <c r="E3599" s="2" t="n">
        <v>1548</v>
      </c>
      <c r="F3599" s="2" t="n">
        <v>1</v>
      </c>
      <c r="G3599" s="2" t="n">
        <v>1</v>
      </c>
      <c r="H3599" s="2" t="n">
        <v>1</v>
      </c>
      <c r="I3599" s="2" t="n">
        <v>0</v>
      </c>
    </row>
    <row r="3600">
      <c r="A3600" s="2" t="n">
        <v>3598</v>
      </c>
      <c r="B3600" s="2" t="inlineStr">
        <is>
          <t>truncate</t>
        </is>
      </c>
      <c r="C3600" s="2" t="inlineStr">
        <is>
          <t>openssl TLS 1.2 only</t>
        </is>
      </c>
      <c r="D3600" s="2" t="n">
        <v>195</v>
      </c>
      <c r="E3600" s="2" t="n">
        <v>195</v>
      </c>
      <c r="F3600" s="2" t="n">
        <v>1</v>
      </c>
      <c r="G3600" s="2" t="n">
        <v>1</v>
      </c>
      <c r="H3600" s="2" t="n">
        <v>1</v>
      </c>
      <c r="I3600" s="2" t="n">
        <v>0</v>
      </c>
    </row>
    <row r="3601">
      <c r="A3601" s="2" t="n">
        <v>3599</v>
      </c>
      <c r="B3601" s="2" t="inlineStr">
        <is>
          <t>length</t>
        </is>
      </c>
      <c r="C3601" s="2" t="inlineStr">
        <is>
          <t>openssl X25519 only (classical)</t>
        </is>
      </c>
      <c r="D3601" s="2" t="n">
        <v>314</v>
      </c>
      <c r="E3601" s="2" t="n">
        <v>314</v>
      </c>
      <c r="F3601" s="2" t="n">
        <v>1</v>
      </c>
      <c r="G3601" s="2" t="n">
        <v>1</v>
      </c>
      <c r="H3601" s="2" t="n">
        <v>0</v>
      </c>
      <c r="I3601" s="2" t="n">
        <v>0</v>
      </c>
    </row>
    <row r="3602">
      <c r="A3602" s="2" t="n">
        <v>3600</v>
      </c>
      <c r="B3602" s="2" t="inlineStr">
        <is>
          <t>insert</t>
        </is>
      </c>
      <c r="C3602" s="2" t="inlineStr">
        <is>
          <t>browser firefox147</t>
        </is>
      </c>
      <c r="D3602" s="2" t="n">
        <v>1907</v>
      </c>
      <c r="E3602" s="2" t="n">
        <v>1907</v>
      </c>
      <c r="F3602" s="2" t="n">
        <v>1</v>
      </c>
      <c r="G3602" s="2" t="n">
        <v>1</v>
      </c>
      <c r="H3602" s="2" t="n">
        <v>0</v>
      </c>
      <c r="I3602" s="2" t="n">
        <v>0</v>
      </c>
    </row>
    <row r="3603">
      <c r="A3603" s="2" t="n">
        <v>3601</v>
      </c>
      <c r="B3603" s="2" t="inlineStr">
        <is>
          <t>flip</t>
        </is>
      </c>
      <c r="C3603" s="2" t="inlineStr">
        <is>
          <t>openssl X25519 only (classical)</t>
        </is>
      </c>
      <c r="D3603" s="2" t="n">
        <v>314</v>
      </c>
      <c r="E3603" s="2" t="n">
        <v>314</v>
      </c>
      <c r="F3603" s="2" t="n">
        <v>0</v>
      </c>
      <c r="G3603" s="2" t="n">
        <v>0</v>
      </c>
      <c r="H3603" s="2" t="n">
        <v>0</v>
      </c>
      <c r="I3603" s="2" t="n">
        <v>0</v>
      </c>
    </row>
    <row r="3604">
      <c r="A3604" s="2" t="n">
        <v>3602</v>
      </c>
      <c r="B3604" s="2" t="inlineStr">
        <is>
          <t>truncate</t>
        </is>
      </c>
      <c r="C3604" s="2" t="inlineStr">
        <is>
          <t>browser firefox147</t>
        </is>
      </c>
      <c r="D3604" s="2" t="n">
        <v>186</v>
      </c>
      <c r="E3604" s="2" t="n">
        <v>186</v>
      </c>
      <c r="F3604" s="2" t="n">
        <v>1</v>
      </c>
      <c r="G3604" s="2" t="n">
        <v>1</v>
      </c>
      <c r="H3604" s="2" t="n">
        <v>0</v>
      </c>
      <c r="I3604" s="2" t="n">
        <v>0</v>
      </c>
    </row>
    <row r="3605">
      <c r="A3605" s="2" t="n">
        <v>3603</v>
      </c>
      <c r="B3605" s="2" t="inlineStr">
        <is>
          <t>length</t>
        </is>
      </c>
      <c r="C3605" s="2" t="inlineStr">
        <is>
          <t>openssl TLS 1.2 only</t>
        </is>
      </c>
      <c r="D3605" s="2" t="n">
        <v>215</v>
      </c>
      <c r="E3605" s="2" t="n">
        <v>215</v>
      </c>
      <c r="F3605" s="2" t="n">
        <v>0</v>
      </c>
      <c r="G3605" s="2" t="n">
        <v>0</v>
      </c>
      <c r="H3605" s="2" t="n">
        <v>0</v>
      </c>
      <c r="I3605" s="2" t="n">
        <v>0</v>
      </c>
    </row>
    <row r="3606">
      <c r="A3606" s="2" t="n">
        <v>3604</v>
      </c>
      <c r="B3606" s="2" t="inlineStr">
        <is>
          <t>insert</t>
        </is>
      </c>
      <c r="C3606" s="2" t="inlineStr">
        <is>
          <t>browser firefox147</t>
        </is>
      </c>
      <c r="D3606" s="2" t="n">
        <v>1909</v>
      </c>
      <c r="E3606" s="2" t="n">
        <v>1909</v>
      </c>
      <c r="F3606" s="2" t="n">
        <v>1</v>
      </c>
      <c r="G3606" s="2" t="n">
        <v>1</v>
      </c>
      <c r="H3606" s="2" t="n">
        <v>0</v>
      </c>
      <c r="I3606" s="2" t="n">
        <v>0</v>
      </c>
    </row>
    <row r="3607">
      <c r="A3607" s="2" t="n">
        <v>3605</v>
      </c>
      <c r="B3607" s="2" t="inlineStr">
        <is>
          <t>flip</t>
        </is>
      </c>
      <c r="C3607" s="2" t="inlineStr">
        <is>
          <t>browser chrome150</t>
        </is>
      </c>
      <c r="D3607" s="2" t="n">
        <v>1763</v>
      </c>
      <c r="E3607" s="2" t="n">
        <v>1763</v>
      </c>
      <c r="F3607" s="2" t="n">
        <v>1</v>
      </c>
      <c r="G3607" s="2" t="n">
        <v>1</v>
      </c>
      <c r="H3607" s="2" t="n">
        <v>1</v>
      </c>
      <c r="I3607" s="2" t="n">
        <v>0</v>
      </c>
    </row>
    <row r="3608">
      <c r="A3608" s="2" t="n">
        <v>3606</v>
      </c>
      <c r="B3608" s="2" t="inlineStr">
        <is>
          <t>truncate</t>
        </is>
      </c>
      <c r="C3608" s="2" t="inlineStr">
        <is>
          <t>browser firefox147</t>
        </is>
      </c>
      <c r="D3608" s="2" t="n">
        <v>800</v>
      </c>
      <c r="E3608" s="2" t="n">
        <v>800</v>
      </c>
      <c r="F3608" s="2" t="n">
        <v>1</v>
      </c>
      <c r="G3608" s="2" t="n">
        <v>1</v>
      </c>
      <c r="H3608" s="2" t="n">
        <v>0</v>
      </c>
      <c r="I3608" s="2" t="n">
        <v>0</v>
      </c>
    </row>
    <row r="3609">
      <c r="A3609" s="2" t="n">
        <v>3607</v>
      </c>
      <c r="B3609" s="2" t="inlineStr">
        <is>
          <t>length</t>
        </is>
      </c>
      <c r="C3609" s="2" t="inlineStr">
        <is>
          <t>openssl 3.5.8 default</t>
        </is>
      </c>
      <c r="D3609" s="2" t="n">
        <v>1548</v>
      </c>
      <c r="E3609" s="2" t="n">
        <v>1548</v>
      </c>
      <c r="F3609" s="2" t="n">
        <v>0</v>
      </c>
      <c r="G3609" s="2" t="n">
        <v>0</v>
      </c>
      <c r="H3609" s="2" t="n">
        <v>0</v>
      </c>
      <c r="I3609" s="2" t="n">
        <v>0</v>
      </c>
    </row>
    <row r="3610">
      <c r="A3610" s="2" t="n">
        <v>3608</v>
      </c>
      <c r="B3610" s="2" t="inlineStr">
        <is>
          <t>insert</t>
        </is>
      </c>
      <c r="C3610" s="2" t="inlineStr">
        <is>
          <t>openssl 3.5.8 default</t>
        </is>
      </c>
      <c r="D3610" s="2" t="n">
        <v>1564</v>
      </c>
      <c r="E3610" s="2" t="n">
        <v>1564</v>
      </c>
      <c r="F3610" s="2" t="n">
        <v>1</v>
      </c>
      <c r="G3610" s="2" t="n">
        <v>1</v>
      </c>
      <c r="H3610" s="2" t="n">
        <v>1</v>
      </c>
      <c r="I3610" s="2" t="n">
        <v>0</v>
      </c>
    </row>
    <row r="3611">
      <c r="A3611" s="2" t="n">
        <v>3609</v>
      </c>
      <c r="B3611" s="2" t="inlineStr">
        <is>
          <t>flip</t>
        </is>
      </c>
      <c r="C3611" s="2" t="inlineStr">
        <is>
          <t>browser firefox147</t>
        </is>
      </c>
      <c r="D3611" s="2" t="n">
        <v>1901</v>
      </c>
      <c r="E3611" s="2" t="n">
        <v>1901</v>
      </c>
      <c r="F3611" s="2" t="n">
        <v>1</v>
      </c>
      <c r="G3611" s="2" t="n">
        <v>1</v>
      </c>
      <c r="H3611" s="2" t="n">
        <v>0</v>
      </c>
      <c r="I3611" s="2" t="n">
        <v>0</v>
      </c>
    </row>
    <row r="3612">
      <c r="A3612" s="2" t="n">
        <v>3610</v>
      </c>
      <c r="B3612" s="2" t="inlineStr">
        <is>
          <t>truncate</t>
        </is>
      </c>
      <c r="C3612" s="2" t="inlineStr">
        <is>
          <t>openssl X25519 only (classical)</t>
        </is>
      </c>
      <c r="D3612" s="2" t="n">
        <v>163</v>
      </c>
      <c r="E3612" s="2" t="n">
        <v>163</v>
      </c>
      <c r="F3612" s="2" t="n">
        <v>1</v>
      </c>
      <c r="G3612" s="2" t="n">
        <v>1</v>
      </c>
      <c r="H3612" s="2" t="n">
        <v>0</v>
      </c>
      <c r="I3612" s="2" t="n">
        <v>0</v>
      </c>
    </row>
    <row r="3613">
      <c r="A3613" s="2" t="n">
        <v>3611</v>
      </c>
      <c r="B3613" s="2" t="inlineStr">
        <is>
          <t>length</t>
        </is>
      </c>
      <c r="C3613" s="2" t="inlineStr">
        <is>
          <t>openssl X25519 only (classical)</t>
        </is>
      </c>
      <c r="D3613" s="2" t="n">
        <v>314</v>
      </c>
      <c r="E3613" s="2" t="n">
        <v>314</v>
      </c>
      <c r="F3613" s="2" t="n">
        <v>0</v>
      </c>
      <c r="G3613" s="2" t="n">
        <v>0</v>
      </c>
      <c r="H3613" s="2" t="n">
        <v>0</v>
      </c>
      <c r="I3613" s="2" t="n">
        <v>0</v>
      </c>
    </row>
    <row r="3614">
      <c r="A3614" s="2" t="n">
        <v>3612</v>
      </c>
      <c r="B3614" s="2" t="inlineStr">
        <is>
          <t>insert</t>
        </is>
      </c>
      <c r="C3614" s="2" t="inlineStr">
        <is>
          <t>browser firefox147</t>
        </is>
      </c>
      <c r="D3614" s="2" t="n">
        <v>1916</v>
      </c>
      <c r="E3614" s="2" t="n">
        <v>1916</v>
      </c>
      <c r="F3614" s="2" t="n">
        <v>1</v>
      </c>
      <c r="G3614" s="2" t="n">
        <v>1</v>
      </c>
      <c r="H3614" s="2" t="n">
        <v>0</v>
      </c>
      <c r="I3614" s="2" t="n">
        <v>0</v>
      </c>
    </row>
    <row r="3615">
      <c r="A3615" s="2" t="n">
        <v>3613</v>
      </c>
      <c r="B3615" s="2" t="inlineStr">
        <is>
          <t>flip</t>
        </is>
      </c>
      <c r="C3615" s="2" t="inlineStr">
        <is>
          <t>openssl 3.5.8 default</t>
        </is>
      </c>
      <c r="D3615" s="2" t="n">
        <v>1548</v>
      </c>
      <c r="E3615" s="2" t="n">
        <v>1548</v>
      </c>
      <c r="F3615" s="2" t="n">
        <v>1</v>
      </c>
      <c r="G3615" s="2" t="n">
        <v>1</v>
      </c>
      <c r="H3615" s="2" t="n">
        <v>1</v>
      </c>
      <c r="I3615" s="2" t="n">
        <v>0</v>
      </c>
    </row>
    <row r="3616">
      <c r="A3616" s="2" t="n">
        <v>3614</v>
      </c>
      <c r="B3616" s="2" t="inlineStr">
        <is>
          <t>truncate</t>
        </is>
      </c>
      <c r="C3616" s="2" t="inlineStr">
        <is>
          <t>browser firefox147</t>
        </is>
      </c>
      <c r="D3616" s="2" t="n">
        <v>300</v>
      </c>
      <c r="E3616" s="2" t="n">
        <v>300</v>
      </c>
      <c r="F3616" s="2" t="n">
        <v>1</v>
      </c>
      <c r="G3616" s="2" t="n">
        <v>1</v>
      </c>
      <c r="H3616" s="2" t="n">
        <v>0</v>
      </c>
      <c r="I3616" s="2" t="n">
        <v>0</v>
      </c>
    </row>
    <row r="3617">
      <c r="A3617" s="2" t="n">
        <v>3615</v>
      </c>
      <c r="B3617" s="2" t="inlineStr">
        <is>
          <t>length</t>
        </is>
      </c>
      <c r="C3617" s="2" t="inlineStr">
        <is>
          <t>browser chrome150</t>
        </is>
      </c>
      <c r="D3617" s="2" t="n">
        <v>1763</v>
      </c>
      <c r="E3617" s="2" t="n">
        <v>1763</v>
      </c>
      <c r="F3617" s="2" t="n">
        <v>1</v>
      </c>
      <c r="G3617" s="2" t="n">
        <v>0</v>
      </c>
      <c r="H3617" s="2" t="n">
        <v>0</v>
      </c>
      <c r="I3617" s="2" t="n">
        <v>0</v>
      </c>
    </row>
    <row r="3618">
      <c r="A3618" s="2" t="n">
        <v>3616</v>
      </c>
      <c r="B3618" s="2" t="inlineStr">
        <is>
          <t>insert</t>
        </is>
      </c>
      <c r="C3618" s="2" t="inlineStr">
        <is>
          <t>openssl TLS 1.2 only</t>
        </is>
      </c>
      <c r="D3618" s="2" t="n">
        <v>224</v>
      </c>
      <c r="E3618" s="2" t="n">
        <v>224</v>
      </c>
      <c r="F3618" s="2" t="n">
        <v>1</v>
      </c>
      <c r="G3618" s="2" t="n">
        <v>1</v>
      </c>
      <c r="H3618" s="2" t="n">
        <v>1</v>
      </c>
      <c r="I3618" s="2" t="n">
        <v>0</v>
      </c>
    </row>
    <row r="3619">
      <c r="A3619" s="2" t="n">
        <v>3617</v>
      </c>
      <c r="B3619" s="2" t="inlineStr">
        <is>
          <t>flip</t>
        </is>
      </c>
      <c r="C3619" s="2" t="inlineStr">
        <is>
          <t>openssl TLS 1.2 only</t>
        </is>
      </c>
      <c r="D3619" s="2" t="n">
        <v>215</v>
      </c>
      <c r="E3619" s="2" t="n">
        <v>215</v>
      </c>
      <c r="F3619" s="2" t="n">
        <v>1</v>
      </c>
      <c r="G3619" s="2" t="n">
        <v>1</v>
      </c>
      <c r="H3619" s="2" t="n">
        <v>1</v>
      </c>
      <c r="I3619" s="2" t="n">
        <v>0</v>
      </c>
    </row>
    <row r="3620">
      <c r="A3620" s="2" t="n">
        <v>3618</v>
      </c>
      <c r="B3620" s="2" t="inlineStr">
        <is>
          <t>truncate</t>
        </is>
      </c>
      <c r="C3620" s="2" t="inlineStr">
        <is>
          <t>browser chrome150</t>
        </is>
      </c>
      <c r="D3620" s="2" t="n">
        <v>1364</v>
      </c>
      <c r="E3620" s="2" t="n">
        <v>1364</v>
      </c>
      <c r="F3620" s="2" t="n">
        <v>1</v>
      </c>
      <c r="G3620" s="2" t="n">
        <v>1</v>
      </c>
      <c r="H3620" s="2" t="n">
        <v>1</v>
      </c>
      <c r="I3620" s="2" t="n">
        <v>0</v>
      </c>
    </row>
    <row r="3621">
      <c r="A3621" s="2" t="n">
        <v>3619</v>
      </c>
      <c r="B3621" s="2" t="inlineStr">
        <is>
          <t>length</t>
        </is>
      </c>
      <c r="C3621" s="2" t="inlineStr">
        <is>
          <t>openssl 3.5.8 default</t>
        </is>
      </c>
      <c r="D3621" s="2" t="n">
        <v>1548</v>
      </c>
      <c r="E3621" s="2" t="n">
        <v>1548</v>
      </c>
      <c r="F3621" s="2" t="n">
        <v>1</v>
      </c>
      <c r="G3621" s="2" t="n">
        <v>1</v>
      </c>
      <c r="H3621" s="2" t="n">
        <v>1</v>
      </c>
      <c r="I3621" s="2" t="n">
        <v>0</v>
      </c>
    </row>
    <row r="3622">
      <c r="A3622" s="2" t="n">
        <v>3620</v>
      </c>
      <c r="B3622" s="2" t="inlineStr">
        <is>
          <t>insert</t>
        </is>
      </c>
      <c r="C3622" s="2" t="inlineStr">
        <is>
          <t>openssl X25519 only (classical)</t>
        </is>
      </c>
      <c r="D3622" s="2" t="n">
        <v>327</v>
      </c>
      <c r="E3622" s="2" t="n">
        <v>327</v>
      </c>
      <c r="F3622" s="2" t="n">
        <v>1</v>
      </c>
      <c r="G3622" s="2" t="n">
        <v>1</v>
      </c>
      <c r="H3622" s="2" t="n">
        <v>1</v>
      </c>
      <c r="I3622" s="2" t="n">
        <v>0</v>
      </c>
    </row>
    <row r="3623">
      <c r="A3623" s="2" t="n">
        <v>3621</v>
      </c>
      <c r="B3623" s="2" t="inlineStr">
        <is>
          <t>flip</t>
        </is>
      </c>
      <c r="C3623" s="2" t="inlineStr">
        <is>
          <t>openssl TLS 1.2 only</t>
        </is>
      </c>
      <c r="D3623" s="2" t="n">
        <v>215</v>
      </c>
      <c r="E3623" s="2" t="n">
        <v>215</v>
      </c>
      <c r="F3623" s="2" t="n">
        <v>1</v>
      </c>
      <c r="G3623" s="2" t="n">
        <v>1</v>
      </c>
      <c r="H3623" s="2" t="n">
        <v>1</v>
      </c>
      <c r="I3623" s="2" t="n">
        <v>0</v>
      </c>
    </row>
    <row r="3624">
      <c r="A3624" s="2" t="n">
        <v>3622</v>
      </c>
      <c r="B3624" s="2" t="inlineStr">
        <is>
          <t>truncate</t>
        </is>
      </c>
      <c r="C3624" s="2" t="inlineStr">
        <is>
          <t>browser chrome150</t>
        </is>
      </c>
      <c r="D3624" s="2" t="n">
        <v>1484</v>
      </c>
      <c r="E3624" s="2" t="n">
        <v>1484</v>
      </c>
      <c r="F3624" s="2" t="n">
        <v>1</v>
      </c>
      <c r="G3624" s="2" t="n">
        <v>1</v>
      </c>
      <c r="H3624" s="2" t="n">
        <v>1</v>
      </c>
      <c r="I3624" s="2" t="n">
        <v>0</v>
      </c>
    </row>
    <row r="3625">
      <c r="A3625" s="2" t="n">
        <v>3623</v>
      </c>
      <c r="B3625" s="2" t="inlineStr">
        <is>
          <t>length</t>
        </is>
      </c>
      <c r="C3625" s="2" t="inlineStr">
        <is>
          <t>browser chrome150</t>
        </is>
      </c>
      <c r="D3625" s="2" t="n">
        <v>1763</v>
      </c>
      <c r="E3625" s="2" t="n">
        <v>1763</v>
      </c>
      <c r="F3625" s="2" t="n">
        <v>1</v>
      </c>
      <c r="G3625" s="2" t="n">
        <v>1</v>
      </c>
      <c r="H3625" s="2" t="n">
        <v>1</v>
      </c>
      <c r="I3625" s="2" t="n">
        <v>0</v>
      </c>
    </row>
    <row r="3626">
      <c r="A3626" s="2" t="n">
        <v>3624</v>
      </c>
      <c r="B3626" s="2" t="inlineStr">
        <is>
          <t>insert</t>
        </is>
      </c>
      <c r="C3626" s="2" t="inlineStr">
        <is>
          <t>openssl 3.5.8 default</t>
        </is>
      </c>
      <c r="D3626" s="2" t="n">
        <v>1551</v>
      </c>
      <c r="E3626" s="2" t="n">
        <v>1551</v>
      </c>
      <c r="F3626" s="2" t="n">
        <v>1</v>
      </c>
      <c r="G3626" s="2" t="n">
        <v>1</v>
      </c>
      <c r="H3626" s="2" t="n">
        <v>1</v>
      </c>
      <c r="I3626" s="2" t="n">
        <v>0</v>
      </c>
    </row>
    <row r="3627">
      <c r="A3627" s="2" t="n">
        <v>3625</v>
      </c>
      <c r="B3627" s="2" t="inlineStr">
        <is>
          <t>flip</t>
        </is>
      </c>
      <c r="C3627" s="2" t="inlineStr">
        <is>
          <t>browser chrome150</t>
        </is>
      </c>
      <c r="D3627" s="2" t="n">
        <v>1763</v>
      </c>
      <c r="E3627" s="2" t="n">
        <v>1763</v>
      </c>
      <c r="F3627" s="2" t="n">
        <v>1</v>
      </c>
      <c r="G3627" s="2" t="n">
        <v>1</v>
      </c>
      <c r="H3627" s="2" t="n">
        <v>1</v>
      </c>
      <c r="I3627" s="2" t="n">
        <v>0</v>
      </c>
    </row>
    <row r="3628">
      <c r="A3628" s="2" t="n">
        <v>3626</v>
      </c>
      <c r="B3628" s="2" t="inlineStr">
        <is>
          <t>truncate</t>
        </is>
      </c>
      <c r="C3628" s="2" t="inlineStr">
        <is>
          <t>browser chrome150</t>
        </is>
      </c>
      <c r="D3628" s="2" t="n">
        <v>1548</v>
      </c>
      <c r="E3628" s="2" t="n">
        <v>1548</v>
      </c>
      <c r="F3628" s="2" t="n">
        <v>1</v>
      </c>
      <c r="G3628" s="2" t="n">
        <v>1</v>
      </c>
      <c r="H3628" s="2" t="n">
        <v>1</v>
      </c>
      <c r="I3628" s="2" t="n">
        <v>0</v>
      </c>
    </row>
    <row r="3629">
      <c r="A3629" s="2" t="n">
        <v>3627</v>
      </c>
      <c r="B3629" s="2" t="inlineStr">
        <is>
          <t>length</t>
        </is>
      </c>
      <c r="C3629" s="2" t="inlineStr">
        <is>
          <t>openssl TLS 1.2 only</t>
        </is>
      </c>
      <c r="D3629" s="2" t="n">
        <v>215</v>
      </c>
      <c r="E3629" s="2" t="n">
        <v>215</v>
      </c>
      <c r="F3629" s="2" t="n">
        <v>1</v>
      </c>
      <c r="G3629" s="2" t="n">
        <v>1</v>
      </c>
      <c r="H3629" s="2" t="n">
        <v>0</v>
      </c>
      <c r="I3629" s="2" t="n">
        <v>0</v>
      </c>
    </row>
    <row r="3630">
      <c r="A3630" s="2" t="n">
        <v>3628</v>
      </c>
      <c r="B3630" s="2" t="inlineStr">
        <is>
          <t>insert</t>
        </is>
      </c>
      <c r="C3630" s="2" t="inlineStr">
        <is>
          <t>openssl 3.5.8 default</t>
        </is>
      </c>
      <c r="D3630" s="2" t="n">
        <v>1560</v>
      </c>
      <c r="E3630" s="2" t="n">
        <v>1560</v>
      </c>
      <c r="F3630" s="2" t="n">
        <v>1</v>
      </c>
      <c r="G3630" s="2" t="n">
        <v>0</v>
      </c>
      <c r="H3630" s="2" t="n">
        <v>0</v>
      </c>
      <c r="I3630" s="2" t="n">
        <v>0</v>
      </c>
    </row>
    <row r="3631">
      <c r="A3631" s="2" t="n">
        <v>3629</v>
      </c>
      <c r="B3631" s="2" t="inlineStr">
        <is>
          <t>flip</t>
        </is>
      </c>
      <c r="C3631" s="2" t="inlineStr">
        <is>
          <t>openssl X25519 only (classical)</t>
        </is>
      </c>
      <c r="D3631" s="2" t="n">
        <v>314</v>
      </c>
      <c r="E3631" s="2" t="n">
        <v>314</v>
      </c>
      <c r="F3631" s="2" t="n">
        <v>1</v>
      </c>
      <c r="G3631" s="2" t="n">
        <v>1</v>
      </c>
      <c r="H3631" s="2" t="n">
        <v>1</v>
      </c>
      <c r="I3631" s="2" t="n">
        <v>0</v>
      </c>
    </row>
    <row r="3632">
      <c r="A3632" s="2" t="n">
        <v>3630</v>
      </c>
      <c r="B3632" s="2" t="inlineStr">
        <is>
          <t>truncate</t>
        </is>
      </c>
      <c r="C3632" s="2" t="inlineStr">
        <is>
          <t>openssl TLS 1.2 only</t>
        </is>
      </c>
      <c r="D3632" s="2" t="n">
        <v>87</v>
      </c>
      <c r="E3632" s="2" t="n">
        <v>87</v>
      </c>
      <c r="F3632" s="2" t="n">
        <v>1</v>
      </c>
      <c r="G3632" s="2" t="n">
        <v>0</v>
      </c>
      <c r="H3632" s="2" t="n">
        <v>0</v>
      </c>
      <c r="I3632" s="2" t="n">
        <v>0</v>
      </c>
    </row>
    <row r="3633">
      <c r="A3633" s="2" t="n">
        <v>3631</v>
      </c>
      <c r="B3633" s="2" t="inlineStr">
        <is>
          <t>length</t>
        </is>
      </c>
      <c r="C3633" s="2" t="inlineStr">
        <is>
          <t>openssl X25519 only (classical)</t>
        </is>
      </c>
      <c r="D3633" s="2" t="n">
        <v>314</v>
      </c>
      <c r="E3633" s="2" t="n">
        <v>314</v>
      </c>
      <c r="F3633" s="2" t="n">
        <v>1</v>
      </c>
      <c r="G3633" s="2" t="n">
        <v>0</v>
      </c>
      <c r="H3633" s="2" t="n">
        <v>0</v>
      </c>
      <c r="I3633" s="2" t="n">
        <v>0</v>
      </c>
    </row>
    <row r="3634">
      <c r="A3634" s="2" t="n">
        <v>3632</v>
      </c>
      <c r="B3634" s="2" t="inlineStr">
        <is>
          <t>insert</t>
        </is>
      </c>
      <c r="C3634" s="2" t="inlineStr">
        <is>
          <t>browser chrome150</t>
        </is>
      </c>
      <c r="D3634" s="2" t="n">
        <v>1771</v>
      </c>
      <c r="E3634" s="2" t="n">
        <v>1771</v>
      </c>
      <c r="F3634" s="2" t="n">
        <v>1</v>
      </c>
      <c r="G3634" s="2" t="n">
        <v>1</v>
      </c>
      <c r="H3634" s="2" t="n">
        <v>1</v>
      </c>
      <c r="I3634" s="2" t="n">
        <v>0</v>
      </c>
    </row>
    <row r="3635">
      <c r="A3635" s="2" t="n">
        <v>3633</v>
      </c>
      <c r="B3635" s="2" t="inlineStr">
        <is>
          <t>flip</t>
        </is>
      </c>
      <c r="C3635" s="2" t="inlineStr">
        <is>
          <t>openssl 3.5.8 default</t>
        </is>
      </c>
      <c r="D3635" s="2" t="n">
        <v>1548</v>
      </c>
      <c r="E3635" s="2" t="n">
        <v>1548</v>
      </c>
      <c r="F3635" s="2" t="n">
        <v>1</v>
      </c>
      <c r="G3635" s="2" t="n">
        <v>1</v>
      </c>
      <c r="H3635" s="2" t="n">
        <v>1</v>
      </c>
      <c r="I3635" s="2" t="n">
        <v>0</v>
      </c>
    </row>
    <row r="3636">
      <c r="A3636" s="2" t="n">
        <v>3634</v>
      </c>
      <c r="B3636" s="2" t="inlineStr">
        <is>
          <t>truncate</t>
        </is>
      </c>
      <c r="C3636" s="2" t="inlineStr">
        <is>
          <t>openssl X25519 only (classical)</t>
        </is>
      </c>
      <c r="D3636" s="2" t="n">
        <v>101</v>
      </c>
      <c r="E3636" s="2" t="n">
        <v>101</v>
      </c>
      <c r="F3636" s="2" t="n">
        <v>1</v>
      </c>
      <c r="G3636" s="2" t="n">
        <v>0</v>
      </c>
      <c r="H3636" s="2" t="n">
        <v>0</v>
      </c>
      <c r="I3636" s="2" t="n">
        <v>0</v>
      </c>
    </row>
    <row r="3637">
      <c r="A3637" s="2" t="n">
        <v>3635</v>
      </c>
      <c r="B3637" s="2" t="inlineStr">
        <is>
          <t>length</t>
        </is>
      </c>
      <c r="C3637" s="2" t="inlineStr">
        <is>
          <t>browser firefox147</t>
        </is>
      </c>
      <c r="D3637" s="2" t="n">
        <v>1901</v>
      </c>
      <c r="E3637" s="2" t="n">
        <v>1901</v>
      </c>
      <c r="F3637" s="2" t="n">
        <v>1</v>
      </c>
      <c r="G3637" s="2" t="n">
        <v>1</v>
      </c>
      <c r="H3637" s="2" t="n">
        <v>0</v>
      </c>
      <c r="I3637" s="2" t="n">
        <v>0</v>
      </c>
    </row>
    <row r="3638">
      <c r="A3638" s="2" t="n">
        <v>3636</v>
      </c>
      <c r="B3638" s="2" t="inlineStr">
        <is>
          <t>insert</t>
        </is>
      </c>
      <c r="C3638" s="2" t="inlineStr">
        <is>
          <t>openssl 3.5.8 default</t>
        </is>
      </c>
      <c r="D3638" s="2" t="n">
        <v>1563</v>
      </c>
      <c r="E3638" s="2" t="n">
        <v>1563</v>
      </c>
      <c r="F3638" s="2" t="n">
        <v>1</v>
      </c>
      <c r="G3638" s="2" t="n">
        <v>1</v>
      </c>
      <c r="H3638" s="2" t="n">
        <v>1</v>
      </c>
      <c r="I3638" s="2" t="n">
        <v>0</v>
      </c>
    </row>
    <row r="3639">
      <c r="A3639" s="2" t="n">
        <v>3637</v>
      </c>
      <c r="B3639" s="2" t="inlineStr">
        <is>
          <t>flip</t>
        </is>
      </c>
      <c r="C3639" s="2" t="inlineStr">
        <is>
          <t>browser chrome150</t>
        </is>
      </c>
      <c r="D3639" s="2" t="n">
        <v>1763</v>
      </c>
      <c r="E3639" s="2" t="n">
        <v>1763</v>
      </c>
      <c r="F3639" s="2" t="n">
        <v>1</v>
      </c>
      <c r="G3639" s="2" t="n">
        <v>1</v>
      </c>
      <c r="H3639" s="2" t="n">
        <v>1</v>
      </c>
      <c r="I3639" s="2" t="n">
        <v>0</v>
      </c>
    </row>
    <row r="3640">
      <c r="A3640" s="2" t="n">
        <v>3638</v>
      </c>
      <c r="B3640" s="2" t="inlineStr">
        <is>
          <t>truncate</t>
        </is>
      </c>
      <c r="C3640" s="2" t="inlineStr">
        <is>
          <t>openssl TLS 1.2 only</t>
        </is>
      </c>
      <c r="D3640" s="2" t="n">
        <v>204</v>
      </c>
      <c r="E3640" s="2" t="n">
        <v>204</v>
      </c>
      <c r="F3640" s="2" t="n">
        <v>1</v>
      </c>
      <c r="G3640" s="2" t="n">
        <v>1</v>
      </c>
      <c r="H3640" s="2" t="n">
        <v>1</v>
      </c>
      <c r="I3640" s="2" t="n">
        <v>0</v>
      </c>
    </row>
    <row r="3641">
      <c r="A3641" s="2" t="n">
        <v>3639</v>
      </c>
      <c r="B3641" s="2" t="inlineStr">
        <is>
          <t>length</t>
        </is>
      </c>
      <c r="C3641" s="2" t="inlineStr">
        <is>
          <t>openssl 3.5.8 default</t>
        </is>
      </c>
      <c r="D3641" s="2" t="n">
        <v>1548</v>
      </c>
      <c r="E3641" s="2" t="n">
        <v>1548</v>
      </c>
      <c r="F3641" s="2" t="n">
        <v>1</v>
      </c>
      <c r="G3641" s="2" t="n">
        <v>1</v>
      </c>
      <c r="H3641" s="2" t="n">
        <v>1</v>
      </c>
      <c r="I3641" s="2" t="n">
        <v>0</v>
      </c>
    </row>
    <row r="3642">
      <c r="A3642" s="2" t="n">
        <v>3640</v>
      </c>
      <c r="B3642" s="2" t="inlineStr">
        <is>
          <t>insert</t>
        </is>
      </c>
      <c r="C3642" s="2" t="inlineStr">
        <is>
          <t>openssl X25519 only (classical)</t>
        </is>
      </c>
      <c r="D3642" s="2" t="n">
        <v>320</v>
      </c>
      <c r="E3642" s="2" t="n">
        <v>320</v>
      </c>
      <c r="F3642" s="2" t="n">
        <v>1</v>
      </c>
      <c r="G3642" s="2" t="n">
        <v>0</v>
      </c>
      <c r="H3642" s="2" t="n">
        <v>0</v>
      </c>
      <c r="I3642" s="2" t="n">
        <v>0</v>
      </c>
    </row>
    <row r="3643">
      <c r="A3643" s="2" t="n">
        <v>3641</v>
      </c>
      <c r="B3643" s="2" t="inlineStr">
        <is>
          <t>flip</t>
        </is>
      </c>
      <c r="C3643" s="2" t="inlineStr">
        <is>
          <t>openssl X25519 only (classical)</t>
        </is>
      </c>
      <c r="D3643" s="2" t="n">
        <v>314</v>
      </c>
      <c r="E3643" s="2" t="n">
        <v>314</v>
      </c>
      <c r="F3643" s="2" t="n">
        <v>1</v>
      </c>
      <c r="G3643" s="2" t="n">
        <v>1</v>
      </c>
      <c r="H3643" s="2" t="n">
        <v>1</v>
      </c>
      <c r="I3643" s="2" t="n">
        <v>0</v>
      </c>
    </row>
    <row r="3644">
      <c r="A3644" s="2" t="n">
        <v>3642</v>
      </c>
      <c r="B3644" s="2" t="inlineStr">
        <is>
          <t>truncate</t>
        </is>
      </c>
      <c r="C3644" s="2" t="inlineStr">
        <is>
          <t>browser firefox147</t>
        </is>
      </c>
      <c r="D3644" s="2" t="n">
        <v>870</v>
      </c>
      <c r="E3644" s="2" t="n">
        <v>870</v>
      </c>
      <c r="F3644" s="2" t="n">
        <v>1</v>
      </c>
      <c r="G3644" s="2" t="n">
        <v>1</v>
      </c>
      <c r="H3644" s="2" t="n">
        <v>0</v>
      </c>
      <c r="I3644" s="2" t="n">
        <v>0</v>
      </c>
    </row>
    <row r="3645">
      <c r="A3645" s="2" t="n">
        <v>3643</v>
      </c>
      <c r="B3645" s="2" t="inlineStr">
        <is>
          <t>length</t>
        </is>
      </c>
      <c r="C3645" s="2" t="inlineStr">
        <is>
          <t>browser firefox147</t>
        </is>
      </c>
      <c r="D3645" s="2" t="n">
        <v>1901</v>
      </c>
      <c r="E3645" s="2" t="n">
        <v>1901</v>
      </c>
      <c r="F3645" s="2" t="n">
        <v>1</v>
      </c>
      <c r="G3645" s="2" t="n">
        <v>1</v>
      </c>
      <c r="H3645" s="2" t="n">
        <v>1</v>
      </c>
      <c r="I3645" s="2" t="n">
        <v>0</v>
      </c>
    </row>
    <row r="3646">
      <c r="A3646" s="2" t="n">
        <v>3644</v>
      </c>
      <c r="B3646" s="2" t="inlineStr">
        <is>
          <t>insert</t>
        </is>
      </c>
      <c r="C3646" s="2" t="inlineStr">
        <is>
          <t>openssl TLS 1.2 only</t>
        </is>
      </c>
      <c r="D3646" s="2" t="n">
        <v>226</v>
      </c>
      <c r="E3646" s="2" t="n">
        <v>226</v>
      </c>
      <c r="F3646" s="2" t="n">
        <v>1</v>
      </c>
      <c r="G3646" s="2" t="n">
        <v>1</v>
      </c>
      <c r="H3646" s="2" t="n">
        <v>1</v>
      </c>
      <c r="I3646" s="2" t="n">
        <v>0</v>
      </c>
    </row>
    <row r="3647">
      <c r="A3647" s="2" t="n">
        <v>3645</v>
      </c>
      <c r="B3647" s="2" t="inlineStr">
        <is>
          <t>flip</t>
        </is>
      </c>
      <c r="C3647" s="2" t="inlineStr">
        <is>
          <t>openssl TLS 1.2 only</t>
        </is>
      </c>
      <c r="D3647" s="2" t="n">
        <v>215</v>
      </c>
      <c r="E3647" s="2" t="n">
        <v>215</v>
      </c>
      <c r="F3647" s="2" t="n">
        <v>1</v>
      </c>
      <c r="G3647" s="2" t="n">
        <v>1</v>
      </c>
      <c r="H3647" s="2" t="n">
        <v>1</v>
      </c>
      <c r="I3647" s="2" t="n">
        <v>0</v>
      </c>
    </row>
    <row r="3648">
      <c r="A3648" s="2" t="n">
        <v>3646</v>
      </c>
      <c r="B3648" s="2" t="inlineStr">
        <is>
          <t>truncate</t>
        </is>
      </c>
      <c r="C3648" s="2" t="inlineStr">
        <is>
          <t>openssl X25519 only (classical)</t>
        </is>
      </c>
      <c r="D3648" s="2" t="n">
        <v>25</v>
      </c>
      <c r="E3648" s="2" t="n">
        <v>25</v>
      </c>
      <c r="F3648" s="2" t="n">
        <v>1</v>
      </c>
      <c r="G3648" s="2" t="n">
        <v>0</v>
      </c>
      <c r="H3648" s="2" t="n">
        <v>0</v>
      </c>
      <c r="I3648" s="2" t="n">
        <v>0</v>
      </c>
    </row>
    <row r="3649">
      <c r="A3649" s="2" t="n">
        <v>3647</v>
      </c>
      <c r="B3649" s="2" t="inlineStr">
        <is>
          <t>length</t>
        </is>
      </c>
      <c r="C3649" s="2" t="inlineStr">
        <is>
          <t>browser firefox147</t>
        </is>
      </c>
      <c r="D3649" s="2" t="n">
        <v>1901</v>
      </c>
      <c r="E3649" s="2" t="n">
        <v>1901</v>
      </c>
      <c r="F3649" s="2" t="n">
        <v>1</v>
      </c>
      <c r="G3649" s="2" t="n">
        <v>1</v>
      </c>
      <c r="H3649" s="2" t="n">
        <v>1</v>
      </c>
      <c r="I3649" s="2" t="n">
        <v>0</v>
      </c>
    </row>
    <row r="3650">
      <c r="A3650" s="2" t="n">
        <v>3648</v>
      </c>
      <c r="B3650" s="2" t="inlineStr">
        <is>
          <t>insert</t>
        </is>
      </c>
      <c r="C3650" s="2" t="inlineStr">
        <is>
          <t>openssl X25519 only (classical)</t>
        </is>
      </c>
      <c r="D3650" s="2" t="n">
        <v>327</v>
      </c>
      <c r="E3650" s="2" t="n">
        <v>327</v>
      </c>
      <c r="F3650" s="2" t="n">
        <v>1</v>
      </c>
      <c r="G3650" s="2" t="n">
        <v>1</v>
      </c>
      <c r="H3650" s="2" t="n">
        <v>1</v>
      </c>
      <c r="I3650" s="2" t="n">
        <v>0</v>
      </c>
    </row>
    <row r="3651">
      <c r="A3651" s="2" t="n">
        <v>3649</v>
      </c>
      <c r="B3651" s="2" t="inlineStr">
        <is>
          <t>flip</t>
        </is>
      </c>
      <c r="C3651" s="2" t="inlineStr">
        <is>
          <t>browser chrome150</t>
        </is>
      </c>
      <c r="D3651" s="2" t="n">
        <v>1763</v>
      </c>
      <c r="E3651" s="2" t="n">
        <v>1763</v>
      </c>
      <c r="F3651" s="2" t="n">
        <v>1</v>
      </c>
      <c r="G3651" s="2" t="n">
        <v>1</v>
      </c>
      <c r="H3651" s="2" t="n">
        <v>1</v>
      </c>
      <c r="I3651" s="2" t="n">
        <v>0</v>
      </c>
    </row>
    <row r="3652">
      <c r="A3652" s="2" t="n">
        <v>3650</v>
      </c>
      <c r="B3652" s="2" t="inlineStr">
        <is>
          <t>truncate</t>
        </is>
      </c>
      <c r="C3652" s="2" t="inlineStr">
        <is>
          <t>openssl X25519 only (classical)</t>
        </is>
      </c>
      <c r="D3652" s="2" t="n">
        <v>126</v>
      </c>
      <c r="E3652" s="2" t="n">
        <v>126</v>
      </c>
      <c r="F3652" s="2" t="n">
        <v>1</v>
      </c>
      <c r="G3652" s="2" t="n">
        <v>0</v>
      </c>
      <c r="H3652" s="2" t="n">
        <v>0</v>
      </c>
      <c r="I3652" s="2" t="n">
        <v>0</v>
      </c>
    </row>
    <row r="3653">
      <c r="A3653" s="2" t="n">
        <v>3651</v>
      </c>
      <c r="B3653" s="2" t="inlineStr">
        <is>
          <t>length</t>
        </is>
      </c>
      <c r="C3653" s="2" t="inlineStr">
        <is>
          <t>openssl X25519 only (classical)</t>
        </is>
      </c>
      <c r="D3653" s="2" t="n">
        <v>314</v>
      </c>
      <c r="E3653" s="2" t="n">
        <v>314</v>
      </c>
      <c r="F3653" s="2" t="n">
        <v>0</v>
      </c>
      <c r="G3653" s="2" t="n">
        <v>0</v>
      </c>
      <c r="H3653" s="2" t="n">
        <v>0</v>
      </c>
      <c r="I3653" s="2" t="n">
        <v>0</v>
      </c>
    </row>
    <row r="3654">
      <c r="A3654" s="2" t="n">
        <v>3652</v>
      </c>
      <c r="B3654" s="2" t="inlineStr">
        <is>
          <t>insert</t>
        </is>
      </c>
      <c r="C3654" s="2" t="inlineStr">
        <is>
          <t>openssl X25519 only (classical)</t>
        </is>
      </c>
      <c r="D3654" s="2" t="n">
        <v>320</v>
      </c>
      <c r="E3654" s="2" t="n">
        <v>320</v>
      </c>
      <c r="F3654" s="2" t="n">
        <v>1</v>
      </c>
      <c r="G3654" s="2" t="n">
        <v>1</v>
      </c>
      <c r="H3654" s="2" t="n">
        <v>1</v>
      </c>
      <c r="I3654" s="2" t="n">
        <v>0</v>
      </c>
    </row>
    <row r="3655">
      <c r="A3655" s="2" t="n">
        <v>3653</v>
      </c>
      <c r="B3655" s="2" t="inlineStr">
        <is>
          <t>flip</t>
        </is>
      </c>
      <c r="C3655" s="2" t="inlineStr">
        <is>
          <t>openssl X25519 only (classical)</t>
        </is>
      </c>
      <c r="D3655" s="2" t="n">
        <v>314</v>
      </c>
      <c r="E3655" s="2" t="n">
        <v>314</v>
      </c>
      <c r="F3655" s="2" t="n">
        <v>1</v>
      </c>
      <c r="G3655" s="2" t="n">
        <v>0</v>
      </c>
      <c r="H3655" s="2" t="n">
        <v>0</v>
      </c>
      <c r="I3655" s="2" t="n">
        <v>0</v>
      </c>
    </row>
    <row r="3656">
      <c r="A3656" s="2" t="n">
        <v>3654</v>
      </c>
      <c r="B3656" s="2" t="inlineStr">
        <is>
          <t>truncate</t>
        </is>
      </c>
      <c r="C3656" s="2" t="inlineStr">
        <is>
          <t>browser chrome150</t>
        </is>
      </c>
      <c r="D3656" s="2" t="n">
        <v>796</v>
      </c>
      <c r="E3656" s="2" t="n">
        <v>796</v>
      </c>
      <c r="F3656" s="2" t="n">
        <v>1</v>
      </c>
      <c r="G3656" s="2" t="n">
        <v>1</v>
      </c>
      <c r="H3656" s="2" t="n">
        <v>1</v>
      </c>
      <c r="I3656" s="2" t="n">
        <v>0</v>
      </c>
    </row>
    <row r="3657">
      <c r="A3657" s="2" t="n">
        <v>3655</v>
      </c>
      <c r="B3657" s="2" t="inlineStr">
        <is>
          <t>length</t>
        </is>
      </c>
      <c r="C3657" s="2" t="inlineStr">
        <is>
          <t>browser chrome150</t>
        </is>
      </c>
      <c r="D3657" s="2" t="n">
        <v>1763</v>
      </c>
      <c r="E3657" s="2" t="n">
        <v>1763</v>
      </c>
      <c r="F3657" s="2" t="n">
        <v>1</v>
      </c>
      <c r="G3657" s="2" t="n">
        <v>1</v>
      </c>
      <c r="H3657" s="2" t="n">
        <v>1</v>
      </c>
      <c r="I3657" s="2" t="n">
        <v>0</v>
      </c>
    </row>
    <row r="3658">
      <c r="A3658" s="2" t="n">
        <v>3656</v>
      </c>
      <c r="B3658" s="2" t="inlineStr">
        <is>
          <t>insert</t>
        </is>
      </c>
      <c r="C3658" s="2" t="inlineStr">
        <is>
          <t>openssl X25519 only (classical)</t>
        </is>
      </c>
      <c r="D3658" s="2" t="n">
        <v>320</v>
      </c>
      <c r="E3658" s="2" t="n">
        <v>320</v>
      </c>
      <c r="F3658" s="2" t="n">
        <v>1</v>
      </c>
      <c r="G3658" s="2" t="n">
        <v>1</v>
      </c>
      <c r="H3658" s="2" t="n">
        <v>1</v>
      </c>
      <c r="I3658" s="2" t="n">
        <v>0</v>
      </c>
    </row>
    <row r="3659">
      <c r="A3659" s="2" t="n">
        <v>3657</v>
      </c>
      <c r="B3659" s="2" t="inlineStr">
        <is>
          <t>flip</t>
        </is>
      </c>
      <c r="C3659" s="2" t="inlineStr">
        <is>
          <t>browser firefox147</t>
        </is>
      </c>
      <c r="D3659" s="2" t="n">
        <v>1901</v>
      </c>
      <c r="E3659" s="2" t="n">
        <v>1901</v>
      </c>
      <c r="F3659" s="2" t="n">
        <v>1</v>
      </c>
      <c r="G3659" s="2" t="n">
        <v>1</v>
      </c>
      <c r="H3659" s="2" t="n">
        <v>0</v>
      </c>
      <c r="I3659" s="2" t="n">
        <v>0</v>
      </c>
    </row>
    <row r="3660">
      <c r="A3660" s="2" t="n">
        <v>3658</v>
      </c>
      <c r="B3660" s="2" t="inlineStr">
        <is>
          <t>truncate</t>
        </is>
      </c>
      <c r="C3660" s="2" t="inlineStr">
        <is>
          <t>openssl TLS 1.2 only</t>
        </is>
      </c>
      <c r="D3660" s="2" t="n">
        <v>44</v>
      </c>
      <c r="E3660" s="2" t="n">
        <v>44</v>
      </c>
      <c r="F3660" s="2" t="n">
        <v>1</v>
      </c>
      <c r="G3660" s="2" t="n">
        <v>0</v>
      </c>
      <c r="H3660" s="2" t="n">
        <v>0</v>
      </c>
      <c r="I3660" s="2" t="n">
        <v>0</v>
      </c>
    </row>
    <row r="3661">
      <c r="A3661" s="2" t="n">
        <v>3659</v>
      </c>
      <c r="B3661" s="2" t="inlineStr">
        <is>
          <t>length</t>
        </is>
      </c>
      <c r="C3661" s="2" t="inlineStr">
        <is>
          <t>openssl TLS 1.2 only</t>
        </is>
      </c>
      <c r="D3661" s="2" t="n">
        <v>215</v>
      </c>
      <c r="E3661" s="2" t="n">
        <v>215</v>
      </c>
      <c r="F3661" s="2" t="n">
        <v>1</v>
      </c>
      <c r="G3661" s="2" t="n">
        <v>1</v>
      </c>
      <c r="H3661" s="2" t="n">
        <v>1</v>
      </c>
      <c r="I3661" s="2" t="n">
        <v>0</v>
      </c>
    </row>
    <row r="3662">
      <c r="A3662" s="2" t="n">
        <v>3660</v>
      </c>
      <c r="B3662" s="2" t="inlineStr">
        <is>
          <t>insert</t>
        </is>
      </c>
      <c r="C3662" s="2" t="inlineStr">
        <is>
          <t>openssl TLS 1.2 only</t>
        </is>
      </c>
      <c r="D3662" s="2" t="n">
        <v>222</v>
      </c>
      <c r="E3662" s="2" t="n">
        <v>222</v>
      </c>
      <c r="F3662" s="2" t="n">
        <v>1</v>
      </c>
      <c r="G3662" s="2" t="n">
        <v>1</v>
      </c>
      <c r="H3662" s="2" t="n">
        <v>1</v>
      </c>
      <c r="I3662" s="2" t="n">
        <v>0</v>
      </c>
    </row>
    <row r="3663">
      <c r="A3663" s="2" t="n">
        <v>3661</v>
      </c>
      <c r="B3663" s="2" t="inlineStr">
        <is>
          <t>flip</t>
        </is>
      </c>
      <c r="C3663" s="2" t="inlineStr">
        <is>
          <t>openssl 3.5.8 default</t>
        </is>
      </c>
      <c r="D3663" s="2" t="n">
        <v>1548</v>
      </c>
      <c r="E3663" s="2" t="n">
        <v>1548</v>
      </c>
      <c r="F3663" s="2" t="n">
        <v>1</v>
      </c>
      <c r="G3663" s="2" t="n">
        <v>1</v>
      </c>
      <c r="H3663" s="2" t="n">
        <v>1</v>
      </c>
      <c r="I3663" s="2" t="n">
        <v>0</v>
      </c>
    </row>
    <row r="3664">
      <c r="A3664" s="2" t="n">
        <v>3662</v>
      </c>
      <c r="B3664" s="2" t="inlineStr">
        <is>
          <t>truncate</t>
        </is>
      </c>
      <c r="C3664" s="2" t="inlineStr">
        <is>
          <t>openssl X25519 only (classical)</t>
        </is>
      </c>
      <c r="D3664" s="2" t="n">
        <v>236</v>
      </c>
      <c r="E3664" s="2" t="n">
        <v>236</v>
      </c>
      <c r="F3664" s="2" t="n">
        <v>1</v>
      </c>
      <c r="G3664" s="2" t="n">
        <v>1</v>
      </c>
      <c r="H3664" s="2" t="n">
        <v>0</v>
      </c>
      <c r="I3664" s="2" t="n">
        <v>0</v>
      </c>
    </row>
    <row r="3665">
      <c r="A3665" s="2" t="n">
        <v>3663</v>
      </c>
      <c r="B3665" s="2" t="inlineStr">
        <is>
          <t>length</t>
        </is>
      </c>
      <c r="C3665" s="2" t="inlineStr">
        <is>
          <t>openssl 3.5.8 default</t>
        </is>
      </c>
      <c r="D3665" s="2" t="n">
        <v>1548</v>
      </c>
      <c r="E3665" s="2" t="n">
        <v>1548</v>
      </c>
      <c r="F3665" s="2" t="n">
        <v>1</v>
      </c>
      <c r="G3665" s="2" t="n">
        <v>1</v>
      </c>
      <c r="H3665" s="2" t="n">
        <v>1</v>
      </c>
      <c r="I3665" s="2" t="n">
        <v>0</v>
      </c>
    </row>
    <row r="3666">
      <c r="A3666" s="2" t="n">
        <v>3664</v>
      </c>
      <c r="B3666" s="2" t="inlineStr">
        <is>
          <t>insert</t>
        </is>
      </c>
      <c r="C3666" s="2" t="inlineStr">
        <is>
          <t>openssl 3.5.8 default</t>
        </is>
      </c>
      <c r="D3666" s="2" t="n">
        <v>1550</v>
      </c>
      <c r="E3666" s="2" t="n">
        <v>1550</v>
      </c>
      <c r="F3666" s="2" t="n">
        <v>1</v>
      </c>
      <c r="G3666" s="2" t="n">
        <v>1</v>
      </c>
      <c r="H3666" s="2" t="n">
        <v>1</v>
      </c>
      <c r="I3666" s="2" t="n">
        <v>0</v>
      </c>
    </row>
    <row r="3667">
      <c r="A3667" s="2" t="n">
        <v>3665</v>
      </c>
      <c r="B3667" s="2" t="inlineStr">
        <is>
          <t>flip</t>
        </is>
      </c>
      <c r="C3667" s="2" t="inlineStr">
        <is>
          <t>openssl X25519 only (classical)</t>
        </is>
      </c>
      <c r="D3667" s="2" t="n">
        <v>314</v>
      </c>
      <c r="E3667" s="2" t="n">
        <v>314</v>
      </c>
      <c r="F3667" s="2" t="n">
        <v>1</v>
      </c>
      <c r="G3667" s="2" t="n">
        <v>0</v>
      </c>
      <c r="H3667" s="2" t="n">
        <v>0</v>
      </c>
      <c r="I3667" s="2" t="n">
        <v>0</v>
      </c>
    </row>
    <row r="3668">
      <c r="A3668" s="2" t="n">
        <v>3666</v>
      </c>
      <c r="B3668" s="2" t="inlineStr">
        <is>
          <t>truncate</t>
        </is>
      </c>
      <c r="C3668" s="2" t="inlineStr">
        <is>
          <t>openssl TLS 1.2 only</t>
        </is>
      </c>
      <c r="D3668" s="2" t="n">
        <v>64</v>
      </c>
      <c r="E3668" s="2" t="n">
        <v>64</v>
      </c>
      <c r="F3668" s="2" t="n">
        <v>1</v>
      </c>
      <c r="G3668" s="2" t="n">
        <v>0</v>
      </c>
      <c r="H3668" s="2" t="n">
        <v>0</v>
      </c>
      <c r="I3668" s="2" t="n">
        <v>0</v>
      </c>
    </row>
    <row r="3669">
      <c r="A3669" s="2" t="n">
        <v>3667</v>
      </c>
      <c r="B3669" s="2" t="inlineStr">
        <is>
          <t>length</t>
        </is>
      </c>
      <c r="C3669" s="2" t="inlineStr">
        <is>
          <t>openssl 3.5.8 default</t>
        </is>
      </c>
      <c r="D3669" s="2" t="n">
        <v>1548</v>
      </c>
      <c r="E3669" s="2" t="n">
        <v>1548</v>
      </c>
      <c r="F3669" s="2" t="n">
        <v>0</v>
      </c>
      <c r="G3669" s="2" t="n">
        <v>0</v>
      </c>
      <c r="H3669" s="2" t="n">
        <v>0</v>
      </c>
      <c r="I3669" s="2" t="n">
        <v>0</v>
      </c>
    </row>
    <row r="3670">
      <c r="A3670" s="2" t="n">
        <v>3668</v>
      </c>
      <c r="B3670" s="2" t="inlineStr">
        <is>
          <t>insert</t>
        </is>
      </c>
      <c r="C3670" s="2" t="inlineStr">
        <is>
          <t>openssl 3.5.8 default</t>
        </is>
      </c>
      <c r="D3670" s="2" t="n">
        <v>1550</v>
      </c>
      <c r="E3670" s="2" t="n">
        <v>1550</v>
      </c>
      <c r="F3670" s="2" t="n">
        <v>1</v>
      </c>
      <c r="G3670" s="2" t="n">
        <v>1</v>
      </c>
      <c r="H3670" s="2" t="n">
        <v>1</v>
      </c>
      <c r="I3670" s="2" t="n">
        <v>0</v>
      </c>
    </row>
    <row r="3671">
      <c r="A3671" s="2" t="n">
        <v>3669</v>
      </c>
      <c r="B3671" s="2" t="inlineStr">
        <is>
          <t>flip</t>
        </is>
      </c>
      <c r="C3671" s="2" t="inlineStr">
        <is>
          <t>browser firefox147</t>
        </is>
      </c>
      <c r="D3671" s="2" t="n">
        <v>1901</v>
      </c>
      <c r="E3671" s="2" t="n">
        <v>1901</v>
      </c>
      <c r="F3671" s="2" t="n">
        <v>1</v>
      </c>
      <c r="G3671" s="2" t="n">
        <v>1</v>
      </c>
      <c r="H3671" s="2" t="n">
        <v>0</v>
      </c>
      <c r="I3671" s="2" t="n">
        <v>0</v>
      </c>
    </row>
    <row r="3672">
      <c r="A3672" s="2" t="n">
        <v>3670</v>
      </c>
      <c r="B3672" s="2" t="inlineStr">
        <is>
          <t>truncate</t>
        </is>
      </c>
      <c r="C3672" s="2" t="inlineStr">
        <is>
          <t>browser firefox147</t>
        </is>
      </c>
      <c r="D3672" s="2" t="n">
        <v>130</v>
      </c>
      <c r="E3672" s="2" t="n">
        <v>130</v>
      </c>
      <c r="F3672" s="2" t="n">
        <v>1</v>
      </c>
      <c r="G3672" s="2" t="n">
        <v>1</v>
      </c>
      <c r="H3672" s="2" t="n">
        <v>0</v>
      </c>
      <c r="I3672" s="2" t="n">
        <v>0</v>
      </c>
    </row>
    <row r="3673">
      <c r="A3673" s="2" t="n">
        <v>3671</v>
      </c>
      <c r="B3673" s="2" t="inlineStr">
        <is>
          <t>length</t>
        </is>
      </c>
      <c r="C3673" s="2" t="inlineStr">
        <is>
          <t>openssl X25519 only (classical)</t>
        </is>
      </c>
      <c r="D3673" s="2" t="n">
        <v>314</v>
      </c>
      <c r="E3673" s="2" t="n">
        <v>314</v>
      </c>
      <c r="F3673" s="2" t="n">
        <v>1</v>
      </c>
      <c r="G3673" s="2" t="n">
        <v>1</v>
      </c>
      <c r="H3673" s="2" t="n">
        <v>1</v>
      </c>
      <c r="I3673" s="2" t="n">
        <v>0</v>
      </c>
    </row>
    <row r="3674">
      <c r="A3674" s="2" t="n">
        <v>3672</v>
      </c>
      <c r="B3674" s="2" t="inlineStr">
        <is>
          <t>insert</t>
        </is>
      </c>
      <c r="C3674" s="2" t="inlineStr">
        <is>
          <t>openssl X25519 only (classical)</t>
        </is>
      </c>
      <c r="D3674" s="2" t="n">
        <v>322</v>
      </c>
      <c r="E3674" s="2" t="n">
        <v>322</v>
      </c>
      <c r="F3674" s="2" t="n">
        <v>1</v>
      </c>
      <c r="G3674" s="2" t="n">
        <v>0</v>
      </c>
      <c r="H3674" s="2" t="n">
        <v>0</v>
      </c>
      <c r="I3674" s="2" t="n">
        <v>0</v>
      </c>
    </row>
    <row r="3675">
      <c r="A3675" s="2" t="n">
        <v>3673</v>
      </c>
      <c r="B3675" s="2" t="inlineStr">
        <is>
          <t>flip</t>
        </is>
      </c>
      <c r="C3675" s="2" t="inlineStr">
        <is>
          <t>browser chrome150</t>
        </is>
      </c>
      <c r="D3675" s="2" t="n">
        <v>1763</v>
      </c>
      <c r="E3675" s="2" t="n">
        <v>1763</v>
      </c>
      <c r="F3675" s="2" t="n">
        <v>1</v>
      </c>
      <c r="G3675" s="2" t="n">
        <v>1</v>
      </c>
      <c r="H3675" s="2" t="n">
        <v>1</v>
      </c>
      <c r="I3675" s="2" t="n">
        <v>0</v>
      </c>
    </row>
    <row r="3676">
      <c r="A3676" s="2" t="n">
        <v>3674</v>
      </c>
      <c r="B3676" s="2" t="inlineStr">
        <is>
          <t>truncate</t>
        </is>
      </c>
      <c r="C3676" s="2" t="inlineStr">
        <is>
          <t>openssl 3.5.8 default</t>
        </is>
      </c>
      <c r="D3676" s="2" t="n">
        <v>984</v>
      </c>
      <c r="E3676" s="2" t="n">
        <v>984</v>
      </c>
      <c r="F3676" s="2" t="n">
        <v>1</v>
      </c>
      <c r="G3676" s="2" t="n">
        <v>1</v>
      </c>
      <c r="H3676" s="2" t="n">
        <v>1</v>
      </c>
      <c r="I3676" s="2" t="n">
        <v>0</v>
      </c>
    </row>
    <row r="3677">
      <c r="A3677" s="2" t="n">
        <v>3675</v>
      </c>
      <c r="B3677" s="2" t="inlineStr">
        <is>
          <t>length</t>
        </is>
      </c>
      <c r="C3677" s="2" t="inlineStr">
        <is>
          <t>openssl X25519 only (classical)</t>
        </is>
      </c>
      <c r="D3677" s="2" t="n">
        <v>314</v>
      </c>
      <c r="E3677" s="2" t="n">
        <v>314</v>
      </c>
      <c r="F3677" s="2" t="n">
        <v>0</v>
      </c>
      <c r="G3677" s="2" t="n">
        <v>0</v>
      </c>
      <c r="H3677" s="2" t="n">
        <v>0</v>
      </c>
      <c r="I3677" s="2" t="n">
        <v>0</v>
      </c>
    </row>
    <row r="3678">
      <c r="A3678" s="2" t="n">
        <v>3676</v>
      </c>
      <c r="B3678" s="2" t="inlineStr">
        <is>
          <t>insert</t>
        </is>
      </c>
      <c r="C3678" s="2" t="inlineStr">
        <is>
          <t>openssl X25519 only (classical)</t>
        </is>
      </c>
      <c r="D3678" s="2" t="n">
        <v>323</v>
      </c>
      <c r="E3678" s="2" t="n">
        <v>323</v>
      </c>
      <c r="F3678" s="2" t="n">
        <v>1</v>
      </c>
      <c r="G3678" s="2" t="n">
        <v>1</v>
      </c>
      <c r="H3678" s="2" t="n">
        <v>0</v>
      </c>
      <c r="I3678" s="2" t="n">
        <v>0</v>
      </c>
    </row>
    <row r="3679">
      <c r="A3679" s="2" t="n">
        <v>3677</v>
      </c>
      <c r="B3679" s="2" t="inlineStr">
        <is>
          <t>flip</t>
        </is>
      </c>
      <c r="C3679" s="2" t="inlineStr">
        <is>
          <t>openssl 3.5.8 default</t>
        </is>
      </c>
      <c r="D3679" s="2" t="n">
        <v>1548</v>
      </c>
      <c r="E3679" s="2" t="n">
        <v>1548</v>
      </c>
      <c r="F3679" s="2" t="n">
        <v>1</v>
      </c>
      <c r="G3679" s="2" t="n">
        <v>1</v>
      </c>
      <c r="H3679" s="2" t="n">
        <v>1</v>
      </c>
      <c r="I3679" s="2" t="n">
        <v>0</v>
      </c>
    </row>
    <row r="3680">
      <c r="A3680" s="2" t="n">
        <v>3678</v>
      </c>
      <c r="B3680" s="2" t="inlineStr">
        <is>
          <t>truncate</t>
        </is>
      </c>
      <c r="C3680" s="2" t="inlineStr">
        <is>
          <t>openssl 3.5.8 default</t>
        </is>
      </c>
      <c r="D3680" s="2" t="n">
        <v>1063</v>
      </c>
      <c r="E3680" s="2" t="n">
        <v>1063</v>
      </c>
      <c r="F3680" s="2" t="n">
        <v>1</v>
      </c>
      <c r="G3680" s="2" t="n">
        <v>1</v>
      </c>
      <c r="H3680" s="2" t="n">
        <v>1</v>
      </c>
      <c r="I3680" s="2" t="n">
        <v>0</v>
      </c>
    </row>
    <row r="3681">
      <c r="A3681" s="2" t="n">
        <v>3679</v>
      </c>
      <c r="B3681" s="2" t="inlineStr">
        <is>
          <t>length</t>
        </is>
      </c>
      <c r="C3681" s="2" t="inlineStr">
        <is>
          <t>openssl X25519 only (classical)</t>
        </is>
      </c>
      <c r="D3681" s="2" t="n">
        <v>314</v>
      </c>
      <c r="E3681" s="2" t="n">
        <v>314</v>
      </c>
      <c r="F3681" s="2" t="n">
        <v>1</v>
      </c>
      <c r="G3681" s="2" t="n">
        <v>1</v>
      </c>
      <c r="H3681" s="2" t="n">
        <v>1</v>
      </c>
      <c r="I3681" s="2" t="n">
        <v>0</v>
      </c>
    </row>
    <row r="3682">
      <c r="A3682" s="2" t="n">
        <v>3680</v>
      </c>
      <c r="B3682" s="2" t="inlineStr">
        <is>
          <t>insert</t>
        </is>
      </c>
      <c r="C3682" s="2" t="inlineStr">
        <is>
          <t>browser chrome150</t>
        </is>
      </c>
      <c r="D3682" s="2" t="n">
        <v>1777</v>
      </c>
      <c r="E3682" s="2" t="n">
        <v>1777</v>
      </c>
      <c r="F3682" s="2" t="n">
        <v>1</v>
      </c>
      <c r="G3682" s="2" t="n">
        <v>1</v>
      </c>
      <c r="H3682" s="2" t="n">
        <v>1</v>
      </c>
      <c r="I3682" s="2" t="n">
        <v>0</v>
      </c>
    </row>
    <row r="3683">
      <c r="A3683" s="2" t="n">
        <v>3681</v>
      </c>
      <c r="B3683" s="2" t="inlineStr">
        <is>
          <t>flip</t>
        </is>
      </c>
      <c r="C3683" s="2" t="inlineStr">
        <is>
          <t>browser firefox147</t>
        </is>
      </c>
      <c r="D3683" s="2" t="n">
        <v>1901</v>
      </c>
      <c r="E3683" s="2" t="n">
        <v>1901</v>
      </c>
      <c r="F3683" s="2" t="n">
        <v>1</v>
      </c>
      <c r="G3683" s="2" t="n">
        <v>1</v>
      </c>
      <c r="H3683" s="2" t="n">
        <v>0</v>
      </c>
      <c r="I3683" s="2" t="n">
        <v>0</v>
      </c>
    </row>
    <row r="3684">
      <c r="A3684" s="2" t="n">
        <v>3682</v>
      </c>
      <c r="B3684" s="2" t="inlineStr">
        <is>
          <t>truncate</t>
        </is>
      </c>
      <c r="C3684" s="2" t="inlineStr">
        <is>
          <t>openssl 3.5.8 default</t>
        </is>
      </c>
      <c r="D3684" s="2" t="n">
        <v>1506</v>
      </c>
      <c r="E3684" s="2" t="n">
        <v>1506</v>
      </c>
      <c r="F3684" s="2" t="n">
        <v>1</v>
      </c>
      <c r="G3684" s="2" t="n">
        <v>1</v>
      </c>
      <c r="H3684" s="2" t="n">
        <v>1</v>
      </c>
      <c r="I3684" s="2" t="n">
        <v>0</v>
      </c>
    </row>
    <row r="3685">
      <c r="A3685" s="2" t="n">
        <v>3683</v>
      </c>
      <c r="B3685" s="2" t="inlineStr">
        <is>
          <t>length</t>
        </is>
      </c>
      <c r="C3685" s="2" t="inlineStr">
        <is>
          <t>openssl X25519 only (classical)</t>
        </is>
      </c>
      <c r="D3685" s="2" t="n">
        <v>314</v>
      </c>
      <c r="E3685" s="2" t="n">
        <v>314</v>
      </c>
      <c r="F3685" s="2" t="n">
        <v>1</v>
      </c>
      <c r="G3685" s="2" t="n">
        <v>0</v>
      </c>
      <c r="H3685" s="2" t="n">
        <v>0</v>
      </c>
      <c r="I3685" s="2" t="n">
        <v>0</v>
      </c>
    </row>
    <row r="3686">
      <c r="A3686" s="2" t="n">
        <v>3684</v>
      </c>
      <c r="B3686" s="2" t="inlineStr">
        <is>
          <t>insert</t>
        </is>
      </c>
      <c r="C3686" s="2" t="inlineStr">
        <is>
          <t>browser firefox147</t>
        </is>
      </c>
      <c r="D3686" s="2" t="n">
        <v>1905</v>
      </c>
      <c r="E3686" s="2" t="n">
        <v>1905</v>
      </c>
      <c r="F3686" s="2" t="n">
        <v>1</v>
      </c>
      <c r="G3686" s="2" t="n">
        <v>1</v>
      </c>
      <c r="H3686" s="2" t="n">
        <v>0</v>
      </c>
      <c r="I3686" s="2" t="n">
        <v>0</v>
      </c>
    </row>
    <row r="3687">
      <c r="A3687" s="2" t="n">
        <v>3685</v>
      </c>
      <c r="B3687" s="2" t="inlineStr">
        <is>
          <t>flip</t>
        </is>
      </c>
      <c r="C3687" s="2" t="inlineStr">
        <is>
          <t>browser firefox147</t>
        </is>
      </c>
      <c r="D3687" s="2" t="n">
        <v>1901</v>
      </c>
      <c r="E3687" s="2" t="n">
        <v>1901</v>
      </c>
      <c r="F3687" s="2" t="n">
        <v>1</v>
      </c>
      <c r="G3687" s="2" t="n">
        <v>1</v>
      </c>
      <c r="H3687" s="2" t="n">
        <v>0</v>
      </c>
      <c r="I3687" s="2" t="n">
        <v>0</v>
      </c>
    </row>
    <row r="3688">
      <c r="A3688" s="2" t="n">
        <v>3686</v>
      </c>
      <c r="B3688" s="2" t="inlineStr">
        <is>
          <t>truncate</t>
        </is>
      </c>
      <c r="C3688" s="2" t="inlineStr">
        <is>
          <t>browser chrome150</t>
        </is>
      </c>
      <c r="D3688" s="2" t="n">
        <v>136</v>
      </c>
      <c r="E3688" s="2" t="n">
        <v>136</v>
      </c>
      <c r="F3688" s="2" t="n">
        <v>1</v>
      </c>
      <c r="G3688" s="2" t="n">
        <v>1</v>
      </c>
      <c r="H3688" s="2" t="n">
        <v>0</v>
      </c>
      <c r="I3688" s="2" t="n">
        <v>0</v>
      </c>
    </row>
    <row r="3689">
      <c r="A3689" s="2" t="n">
        <v>3687</v>
      </c>
      <c r="B3689" s="2" t="inlineStr">
        <is>
          <t>length</t>
        </is>
      </c>
      <c r="C3689" s="2" t="inlineStr">
        <is>
          <t>openssl X25519 only (classical)</t>
        </is>
      </c>
      <c r="D3689" s="2" t="n">
        <v>314</v>
      </c>
      <c r="E3689" s="2" t="n">
        <v>314</v>
      </c>
      <c r="F3689" s="2" t="n">
        <v>1</v>
      </c>
      <c r="G3689" s="2" t="n">
        <v>1</v>
      </c>
      <c r="H3689" s="2" t="n">
        <v>1</v>
      </c>
      <c r="I3689" s="2" t="n">
        <v>0</v>
      </c>
    </row>
    <row r="3690">
      <c r="A3690" s="2" t="n">
        <v>3688</v>
      </c>
      <c r="B3690" s="2" t="inlineStr">
        <is>
          <t>insert</t>
        </is>
      </c>
      <c r="C3690" s="2" t="inlineStr">
        <is>
          <t>openssl TLS 1.2 only</t>
        </is>
      </c>
      <c r="D3690" s="2" t="n">
        <v>222</v>
      </c>
      <c r="E3690" s="2" t="n">
        <v>222</v>
      </c>
      <c r="F3690" s="2" t="n">
        <v>1</v>
      </c>
      <c r="G3690" s="2" t="n">
        <v>1</v>
      </c>
      <c r="H3690" s="2" t="n">
        <v>1</v>
      </c>
      <c r="I3690" s="2" t="n">
        <v>0</v>
      </c>
    </row>
    <row r="3691">
      <c r="A3691" s="2" t="n">
        <v>3689</v>
      </c>
      <c r="B3691" s="2" t="inlineStr">
        <is>
          <t>flip</t>
        </is>
      </c>
      <c r="C3691" s="2" t="inlineStr">
        <is>
          <t>browser firefox147</t>
        </is>
      </c>
      <c r="D3691" s="2" t="n">
        <v>1901</v>
      </c>
      <c r="E3691" s="2" t="n">
        <v>1901</v>
      </c>
      <c r="F3691" s="2" t="n">
        <v>1</v>
      </c>
      <c r="G3691" s="2" t="n">
        <v>1</v>
      </c>
      <c r="H3691" s="2" t="n">
        <v>0</v>
      </c>
      <c r="I3691" s="2" t="n">
        <v>0</v>
      </c>
    </row>
    <row r="3692">
      <c r="A3692" s="2" t="n">
        <v>3690</v>
      </c>
      <c r="B3692" s="2" t="inlineStr">
        <is>
          <t>truncate</t>
        </is>
      </c>
      <c r="C3692" s="2" t="inlineStr">
        <is>
          <t>openssl X25519 only (classical)</t>
        </is>
      </c>
      <c r="D3692" s="2" t="n">
        <v>133</v>
      </c>
      <c r="E3692" s="2" t="n">
        <v>133</v>
      </c>
      <c r="F3692" s="2" t="n">
        <v>1</v>
      </c>
      <c r="G3692" s="2" t="n">
        <v>0</v>
      </c>
      <c r="H3692" s="2" t="n">
        <v>0</v>
      </c>
      <c r="I3692" s="2" t="n">
        <v>0</v>
      </c>
    </row>
    <row r="3693">
      <c r="A3693" s="2" t="n">
        <v>3691</v>
      </c>
      <c r="B3693" s="2" t="inlineStr">
        <is>
          <t>length</t>
        </is>
      </c>
      <c r="C3693" s="2" t="inlineStr">
        <is>
          <t>browser chrome150</t>
        </is>
      </c>
      <c r="D3693" s="2" t="n">
        <v>1763</v>
      </c>
      <c r="E3693" s="2" t="n">
        <v>1763</v>
      </c>
      <c r="F3693" s="2" t="n">
        <v>1</v>
      </c>
      <c r="G3693" s="2" t="n">
        <v>1</v>
      </c>
      <c r="H3693" s="2" t="n">
        <v>1</v>
      </c>
      <c r="I3693" s="2" t="n">
        <v>0</v>
      </c>
    </row>
    <row r="3694">
      <c r="A3694" s="2" t="n">
        <v>3692</v>
      </c>
      <c r="B3694" s="2" t="inlineStr">
        <is>
          <t>insert</t>
        </is>
      </c>
      <c r="C3694" s="2" t="inlineStr">
        <is>
          <t>openssl TLS 1.2 only</t>
        </is>
      </c>
      <c r="D3694" s="2" t="n">
        <v>220</v>
      </c>
      <c r="E3694" s="2" t="n">
        <v>220</v>
      </c>
      <c r="F3694" s="2" t="n">
        <v>1</v>
      </c>
      <c r="G3694" s="2" t="n">
        <v>1</v>
      </c>
      <c r="H3694" s="2" t="n">
        <v>0</v>
      </c>
      <c r="I3694" s="2" t="n">
        <v>0</v>
      </c>
    </row>
    <row r="3695">
      <c r="A3695" s="2" t="n">
        <v>3693</v>
      </c>
      <c r="B3695" s="2" t="inlineStr">
        <is>
          <t>flip</t>
        </is>
      </c>
      <c r="C3695" s="2" t="inlineStr">
        <is>
          <t>browser chrome150</t>
        </is>
      </c>
      <c r="D3695" s="2" t="n">
        <v>1763</v>
      </c>
      <c r="E3695" s="2" t="n">
        <v>1763</v>
      </c>
      <c r="F3695" s="2" t="n">
        <v>1</v>
      </c>
      <c r="G3695" s="2" t="n">
        <v>1</v>
      </c>
      <c r="H3695" s="2" t="n">
        <v>1</v>
      </c>
      <c r="I3695" s="2" t="n">
        <v>0</v>
      </c>
    </row>
    <row r="3696">
      <c r="A3696" s="2" t="n">
        <v>3694</v>
      </c>
      <c r="B3696" s="2" t="inlineStr">
        <is>
          <t>truncate</t>
        </is>
      </c>
      <c r="C3696" s="2" t="inlineStr">
        <is>
          <t>openssl 3.5.8 default</t>
        </is>
      </c>
      <c r="D3696" s="2" t="n">
        <v>1202</v>
      </c>
      <c r="E3696" s="2" t="n">
        <v>1202</v>
      </c>
      <c r="F3696" s="2" t="n">
        <v>1</v>
      </c>
      <c r="G3696" s="2" t="n">
        <v>1</v>
      </c>
      <c r="H3696" s="2" t="n">
        <v>1</v>
      </c>
      <c r="I3696" s="2" t="n">
        <v>0</v>
      </c>
    </row>
    <row r="3697">
      <c r="A3697" s="2" t="n">
        <v>3695</v>
      </c>
      <c r="B3697" s="2" t="inlineStr">
        <is>
          <t>length</t>
        </is>
      </c>
      <c r="C3697" s="2" t="inlineStr">
        <is>
          <t>browser chrome150</t>
        </is>
      </c>
      <c r="D3697" s="2" t="n">
        <v>1763</v>
      </c>
      <c r="E3697" s="2" t="n">
        <v>1763</v>
      </c>
      <c r="F3697" s="2" t="n">
        <v>1</v>
      </c>
      <c r="G3697" s="2" t="n">
        <v>1</v>
      </c>
      <c r="H3697" s="2" t="n">
        <v>0</v>
      </c>
      <c r="I3697" s="2" t="n">
        <v>0</v>
      </c>
    </row>
    <row r="3698">
      <c r="A3698" s="2" t="n">
        <v>3696</v>
      </c>
      <c r="B3698" s="2" t="inlineStr">
        <is>
          <t>insert</t>
        </is>
      </c>
      <c r="C3698" s="2" t="inlineStr">
        <is>
          <t>openssl 3.5.8 default</t>
        </is>
      </c>
      <c r="D3698" s="2" t="n">
        <v>1551</v>
      </c>
      <c r="E3698" s="2" t="n">
        <v>1551</v>
      </c>
      <c r="F3698" s="2" t="n">
        <v>1</v>
      </c>
      <c r="G3698" s="2" t="n">
        <v>1</v>
      </c>
      <c r="H3698" s="2" t="n">
        <v>1</v>
      </c>
      <c r="I3698" s="2" t="n">
        <v>0</v>
      </c>
    </row>
    <row r="3699">
      <c r="A3699" s="2" t="n">
        <v>3697</v>
      </c>
      <c r="B3699" s="2" t="inlineStr">
        <is>
          <t>flip</t>
        </is>
      </c>
      <c r="C3699" s="2" t="inlineStr">
        <is>
          <t>openssl X25519 only (classical)</t>
        </is>
      </c>
      <c r="D3699" s="2" t="n">
        <v>314</v>
      </c>
      <c r="E3699" s="2" t="n">
        <v>314</v>
      </c>
      <c r="F3699" s="2" t="n">
        <v>1</v>
      </c>
      <c r="G3699" s="2" t="n">
        <v>1</v>
      </c>
      <c r="H3699" s="2" t="n">
        <v>1</v>
      </c>
      <c r="I3699" s="2" t="n">
        <v>0</v>
      </c>
    </row>
    <row r="3700">
      <c r="A3700" s="2" t="n">
        <v>3698</v>
      </c>
      <c r="B3700" s="2" t="inlineStr">
        <is>
          <t>truncate</t>
        </is>
      </c>
      <c r="C3700" s="2" t="inlineStr">
        <is>
          <t>browser firefox147</t>
        </is>
      </c>
      <c r="D3700" s="2" t="n">
        <v>1627</v>
      </c>
      <c r="E3700" s="2" t="n">
        <v>1627</v>
      </c>
      <c r="F3700" s="2" t="n">
        <v>1</v>
      </c>
      <c r="G3700" s="2" t="n">
        <v>1</v>
      </c>
      <c r="H3700" s="2" t="n">
        <v>0</v>
      </c>
      <c r="I3700" s="2" t="n">
        <v>0</v>
      </c>
    </row>
    <row r="3701">
      <c r="A3701" s="2" t="n">
        <v>3699</v>
      </c>
      <c r="B3701" s="2" t="inlineStr">
        <is>
          <t>length</t>
        </is>
      </c>
      <c r="C3701" s="2" t="inlineStr">
        <is>
          <t>openssl X25519 only (classical)</t>
        </is>
      </c>
      <c r="D3701" s="2" t="n">
        <v>314</v>
      </c>
      <c r="E3701" s="2" t="n">
        <v>314</v>
      </c>
      <c r="F3701" s="2" t="n">
        <v>1</v>
      </c>
      <c r="G3701" s="2" t="n">
        <v>1</v>
      </c>
      <c r="H3701" s="2" t="n">
        <v>0</v>
      </c>
      <c r="I3701" s="2" t="n">
        <v>0</v>
      </c>
    </row>
    <row r="3702">
      <c r="A3702" s="2" t="n">
        <v>3700</v>
      </c>
      <c r="B3702" s="2" t="inlineStr">
        <is>
          <t>insert</t>
        </is>
      </c>
      <c r="C3702" s="2" t="inlineStr">
        <is>
          <t>openssl X25519 only (classical)</t>
        </is>
      </c>
      <c r="D3702" s="2" t="n">
        <v>322</v>
      </c>
      <c r="E3702" s="2" t="n">
        <v>322</v>
      </c>
      <c r="F3702" s="2" t="n">
        <v>1</v>
      </c>
      <c r="G3702" s="2" t="n">
        <v>1</v>
      </c>
      <c r="H3702" s="2" t="n">
        <v>0</v>
      </c>
      <c r="I3702" s="2" t="n">
        <v>0</v>
      </c>
    </row>
    <row r="3703">
      <c r="A3703" s="2" t="n">
        <v>3701</v>
      </c>
      <c r="B3703" s="2" t="inlineStr">
        <is>
          <t>flip</t>
        </is>
      </c>
      <c r="C3703" s="2" t="inlineStr">
        <is>
          <t>browser chrome150</t>
        </is>
      </c>
      <c r="D3703" s="2" t="n">
        <v>1763</v>
      </c>
      <c r="E3703" s="2" t="n">
        <v>1763</v>
      </c>
      <c r="F3703" s="2" t="n">
        <v>1</v>
      </c>
      <c r="G3703" s="2" t="n">
        <v>1</v>
      </c>
      <c r="H3703" s="2" t="n">
        <v>1</v>
      </c>
      <c r="I3703" s="2" t="n">
        <v>0</v>
      </c>
    </row>
    <row r="3704">
      <c r="A3704" s="2" t="n">
        <v>3702</v>
      </c>
      <c r="B3704" s="2" t="inlineStr">
        <is>
          <t>truncate</t>
        </is>
      </c>
      <c r="C3704" s="2" t="inlineStr">
        <is>
          <t>openssl TLS 1.2 only</t>
        </is>
      </c>
      <c r="D3704" s="2" t="n">
        <v>49</v>
      </c>
      <c r="E3704" s="2" t="n">
        <v>49</v>
      </c>
      <c r="F3704" s="2" t="n">
        <v>1</v>
      </c>
      <c r="G3704" s="2" t="n">
        <v>0</v>
      </c>
      <c r="H3704" s="2" t="n">
        <v>0</v>
      </c>
      <c r="I3704" s="2" t="n">
        <v>0</v>
      </c>
    </row>
    <row r="3705">
      <c r="A3705" s="2" t="n">
        <v>3703</v>
      </c>
      <c r="B3705" s="2" t="inlineStr">
        <is>
          <t>length</t>
        </is>
      </c>
      <c r="C3705" s="2" t="inlineStr">
        <is>
          <t>openssl X25519 only (classical)</t>
        </is>
      </c>
      <c r="D3705" s="2" t="n">
        <v>314</v>
      </c>
      <c r="E3705" s="2" t="n">
        <v>314</v>
      </c>
      <c r="F3705" s="2" t="n">
        <v>0</v>
      </c>
      <c r="G3705" s="2" t="n">
        <v>0</v>
      </c>
      <c r="H3705" s="2" t="n">
        <v>0</v>
      </c>
      <c r="I3705" s="2" t="n">
        <v>0</v>
      </c>
    </row>
    <row r="3706">
      <c r="A3706" s="2" t="n">
        <v>3704</v>
      </c>
      <c r="B3706" s="2" t="inlineStr">
        <is>
          <t>insert</t>
        </is>
      </c>
      <c r="C3706" s="2" t="inlineStr">
        <is>
          <t>browser chrome150</t>
        </is>
      </c>
      <c r="D3706" s="2" t="n">
        <v>1767</v>
      </c>
      <c r="E3706" s="2" t="n">
        <v>1767</v>
      </c>
      <c r="F3706" s="2" t="n">
        <v>1</v>
      </c>
      <c r="G3706" s="2" t="n">
        <v>1</v>
      </c>
      <c r="H3706" s="2" t="n">
        <v>0</v>
      </c>
      <c r="I3706" s="2" t="n">
        <v>0</v>
      </c>
    </row>
    <row r="3707">
      <c r="A3707" s="2" t="n">
        <v>3705</v>
      </c>
      <c r="B3707" s="2" t="inlineStr">
        <is>
          <t>flip</t>
        </is>
      </c>
      <c r="C3707" s="2" t="inlineStr">
        <is>
          <t>openssl 3.5.8 default</t>
        </is>
      </c>
      <c r="D3707" s="2" t="n">
        <v>1548</v>
      </c>
      <c r="E3707" s="2" t="n">
        <v>1548</v>
      </c>
      <c r="F3707" s="2" t="n">
        <v>1</v>
      </c>
      <c r="G3707" s="2" t="n">
        <v>1</v>
      </c>
      <c r="H3707" s="2" t="n">
        <v>1</v>
      </c>
      <c r="I3707" s="2" t="n">
        <v>0</v>
      </c>
    </row>
    <row r="3708">
      <c r="A3708" s="2" t="n">
        <v>3706</v>
      </c>
      <c r="B3708" s="2" t="inlineStr">
        <is>
          <t>truncate</t>
        </is>
      </c>
      <c r="C3708" s="2" t="inlineStr">
        <is>
          <t>browser firefox147</t>
        </is>
      </c>
      <c r="D3708" s="2" t="n">
        <v>1294</v>
      </c>
      <c r="E3708" s="2" t="n">
        <v>1294</v>
      </c>
      <c r="F3708" s="2" t="n">
        <v>1</v>
      </c>
      <c r="G3708" s="2" t="n">
        <v>1</v>
      </c>
      <c r="H3708" s="2" t="n">
        <v>0</v>
      </c>
      <c r="I3708" s="2" t="n">
        <v>0</v>
      </c>
    </row>
    <row r="3709">
      <c r="A3709" s="2" t="n">
        <v>3707</v>
      </c>
      <c r="B3709" s="2" t="inlineStr">
        <is>
          <t>length</t>
        </is>
      </c>
      <c r="C3709" s="2" t="inlineStr">
        <is>
          <t>openssl X25519 only (classical)</t>
        </is>
      </c>
      <c r="D3709" s="2" t="n">
        <v>314</v>
      </c>
      <c r="E3709" s="2" t="n">
        <v>314</v>
      </c>
      <c r="F3709" s="2" t="n">
        <v>1</v>
      </c>
      <c r="G3709" s="2" t="n">
        <v>1</v>
      </c>
      <c r="H3709" s="2" t="n">
        <v>0</v>
      </c>
      <c r="I3709" s="2" t="n">
        <v>0</v>
      </c>
    </row>
    <row r="3710">
      <c r="A3710" s="2" t="n">
        <v>3708</v>
      </c>
      <c r="B3710" s="2" t="inlineStr">
        <is>
          <t>insert</t>
        </is>
      </c>
      <c r="C3710" s="2" t="inlineStr">
        <is>
          <t>openssl TLS 1.2 only</t>
        </is>
      </c>
      <c r="D3710" s="2" t="n">
        <v>216</v>
      </c>
      <c r="E3710" s="2" t="n">
        <v>216</v>
      </c>
      <c r="F3710" s="2" t="n">
        <v>1</v>
      </c>
      <c r="G3710" s="2" t="n">
        <v>0</v>
      </c>
      <c r="H3710" s="2" t="n">
        <v>0</v>
      </c>
      <c r="I3710" s="2" t="n">
        <v>0</v>
      </c>
    </row>
    <row r="3711">
      <c r="A3711" s="2" t="n">
        <v>3709</v>
      </c>
      <c r="B3711" s="2" t="inlineStr">
        <is>
          <t>flip</t>
        </is>
      </c>
      <c r="C3711" s="2" t="inlineStr">
        <is>
          <t>openssl TLS 1.2 only</t>
        </is>
      </c>
      <c r="D3711" s="2" t="n">
        <v>215</v>
      </c>
      <c r="E3711" s="2" t="n">
        <v>215</v>
      </c>
      <c r="F3711" s="2" t="n">
        <v>0</v>
      </c>
      <c r="G3711" s="2" t="n">
        <v>0</v>
      </c>
      <c r="H3711" s="2" t="n">
        <v>0</v>
      </c>
      <c r="I3711" s="2" t="n">
        <v>0</v>
      </c>
    </row>
    <row r="3712">
      <c r="A3712" s="2" t="n">
        <v>3710</v>
      </c>
      <c r="B3712" s="2" t="inlineStr">
        <is>
          <t>truncate</t>
        </is>
      </c>
      <c r="C3712" s="2" t="inlineStr">
        <is>
          <t>browser chrome150</t>
        </is>
      </c>
      <c r="D3712" s="2" t="n">
        <v>1228</v>
      </c>
      <c r="E3712" s="2" t="n">
        <v>1228</v>
      </c>
      <c r="F3712" s="2" t="n">
        <v>1</v>
      </c>
      <c r="G3712" s="2" t="n">
        <v>1</v>
      </c>
      <c r="H3712" s="2" t="n">
        <v>1</v>
      </c>
      <c r="I3712" s="2" t="n">
        <v>0</v>
      </c>
    </row>
    <row r="3713">
      <c r="A3713" s="2" t="n">
        <v>3711</v>
      </c>
      <c r="B3713" s="2" t="inlineStr">
        <is>
          <t>length</t>
        </is>
      </c>
      <c r="C3713" s="2" t="inlineStr">
        <is>
          <t>openssl TLS 1.2 only</t>
        </is>
      </c>
      <c r="D3713" s="2" t="n">
        <v>215</v>
      </c>
      <c r="E3713" s="2" t="n">
        <v>215</v>
      </c>
      <c r="F3713" s="2" t="n">
        <v>1</v>
      </c>
      <c r="G3713" s="2" t="n">
        <v>0</v>
      </c>
      <c r="H3713" s="2" t="n">
        <v>0</v>
      </c>
      <c r="I3713" s="2" t="n">
        <v>0</v>
      </c>
    </row>
    <row r="3714">
      <c r="A3714" s="2" t="n">
        <v>3712</v>
      </c>
      <c r="B3714" s="2" t="inlineStr">
        <is>
          <t>insert</t>
        </is>
      </c>
      <c r="C3714" s="2" t="inlineStr">
        <is>
          <t>openssl TLS 1.2 only</t>
        </is>
      </c>
      <c r="D3714" s="2" t="n">
        <v>223</v>
      </c>
      <c r="E3714" s="2" t="n">
        <v>223</v>
      </c>
      <c r="F3714" s="2" t="n">
        <v>1</v>
      </c>
      <c r="G3714" s="2" t="n">
        <v>0</v>
      </c>
      <c r="H3714" s="2" t="n">
        <v>0</v>
      </c>
      <c r="I3714" s="2" t="n">
        <v>0</v>
      </c>
    </row>
    <row r="3715">
      <c r="A3715" s="2" t="n">
        <v>3713</v>
      </c>
      <c r="B3715" s="2" t="inlineStr">
        <is>
          <t>flip</t>
        </is>
      </c>
      <c r="C3715" s="2" t="inlineStr">
        <is>
          <t>openssl 3.5.8 default</t>
        </is>
      </c>
      <c r="D3715" s="2" t="n">
        <v>1548</v>
      </c>
      <c r="E3715" s="2" t="n">
        <v>1548</v>
      </c>
      <c r="F3715" s="2" t="n">
        <v>1</v>
      </c>
      <c r="G3715" s="2" t="n">
        <v>1</v>
      </c>
      <c r="H3715" s="2" t="n">
        <v>1</v>
      </c>
      <c r="I3715" s="2" t="n">
        <v>0</v>
      </c>
    </row>
    <row r="3716">
      <c r="A3716" s="2" t="n">
        <v>3714</v>
      </c>
      <c r="B3716" s="2" t="inlineStr">
        <is>
          <t>truncate</t>
        </is>
      </c>
      <c r="C3716" s="2" t="inlineStr">
        <is>
          <t>openssl 3.5.8 default</t>
        </is>
      </c>
      <c r="D3716" s="2" t="n">
        <v>1124</v>
      </c>
      <c r="E3716" s="2" t="n">
        <v>1124</v>
      </c>
      <c r="F3716" s="2" t="n">
        <v>1</v>
      </c>
      <c r="G3716" s="2" t="n">
        <v>1</v>
      </c>
      <c r="H3716" s="2" t="n">
        <v>1</v>
      </c>
      <c r="I3716" s="2" t="n">
        <v>0</v>
      </c>
    </row>
    <row r="3717">
      <c r="A3717" s="2" t="n">
        <v>3715</v>
      </c>
      <c r="B3717" s="2" t="inlineStr">
        <is>
          <t>length</t>
        </is>
      </c>
      <c r="C3717" s="2" t="inlineStr">
        <is>
          <t>openssl 3.5.8 default</t>
        </is>
      </c>
      <c r="D3717" s="2" t="n">
        <v>1548</v>
      </c>
      <c r="E3717" s="2" t="n">
        <v>1548</v>
      </c>
      <c r="F3717" s="2" t="n">
        <v>1</v>
      </c>
      <c r="G3717" s="2" t="n">
        <v>1</v>
      </c>
      <c r="H3717" s="2" t="n">
        <v>1</v>
      </c>
      <c r="I3717" s="2" t="n">
        <v>0</v>
      </c>
    </row>
    <row r="3718">
      <c r="A3718" s="2" t="n">
        <v>3716</v>
      </c>
      <c r="B3718" s="2" t="inlineStr">
        <is>
          <t>insert</t>
        </is>
      </c>
      <c r="C3718" s="2" t="inlineStr">
        <is>
          <t>openssl X25519 only (classical)</t>
        </is>
      </c>
      <c r="D3718" s="2" t="n">
        <v>330</v>
      </c>
      <c r="E3718" s="2" t="n">
        <v>330</v>
      </c>
      <c r="F3718" s="2" t="n">
        <v>0</v>
      </c>
      <c r="G3718" s="2" t="n">
        <v>0</v>
      </c>
      <c r="H3718" s="2" t="n">
        <v>0</v>
      </c>
      <c r="I3718" s="2" t="n">
        <v>0</v>
      </c>
    </row>
    <row r="3719">
      <c r="A3719" s="2" t="n">
        <v>3717</v>
      </c>
      <c r="B3719" s="2" t="inlineStr">
        <is>
          <t>flip</t>
        </is>
      </c>
      <c r="C3719" s="2" t="inlineStr">
        <is>
          <t>browser firefox147</t>
        </is>
      </c>
      <c r="D3719" s="2" t="n">
        <v>1901</v>
      </c>
      <c r="E3719" s="2" t="n">
        <v>1901</v>
      </c>
      <c r="F3719" s="2" t="n">
        <v>1</v>
      </c>
      <c r="G3719" s="2" t="n">
        <v>1</v>
      </c>
      <c r="H3719" s="2" t="n">
        <v>0</v>
      </c>
      <c r="I3719" s="2" t="n">
        <v>0</v>
      </c>
    </row>
    <row r="3720">
      <c r="A3720" s="2" t="n">
        <v>3718</v>
      </c>
      <c r="B3720" s="2" t="inlineStr">
        <is>
          <t>truncate</t>
        </is>
      </c>
      <c r="C3720" s="2" t="inlineStr">
        <is>
          <t>openssl TLS 1.2 only</t>
        </is>
      </c>
      <c r="D3720" s="2" t="n">
        <v>25</v>
      </c>
      <c r="E3720" s="2" t="n">
        <v>25</v>
      </c>
      <c r="F3720" s="2" t="n">
        <v>1</v>
      </c>
      <c r="G3720" s="2" t="n">
        <v>0</v>
      </c>
      <c r="H3720" s="2" t="n">
        <v>0</v>
      </c>
      <c r="I3720" s="2" t="n">
        <v>0</v>
      </c>
    </row>
    <row r="3721">
      <c r="A3721" s="2" t="n">
        <v>3719</v>
      </c>
      <c r="B3721" s="2" t="inlineStr">
        <is>
          <t>length</t>
        </is>
      </c>
      <c r="C3721" s="2" t="inlineStr">
        <is>
          <t>browser chrome150</t>
        </is>
      </c>
      <c r="D3721" s="2" t="n">
        <v>1763</v>
      </c>
      <c r="E3721" s="2" t="n">
        <v>1763</v>
      </c>
      <c r="F3721" s="2" t="n">
        <v>1</v>
      </c>
      <c r="G3721" s="2" t="n">
        <v>0</v>
      </c>
      <c r="H3721" s="2" t="n">
        <v>0</v>
      </c>
      <c r="I3721" s="2" t="n">
        <v>0</v>
      </c>
    </row>
    <row r="3722">
      <c r="A3722" s="2" t="n">
        <v>3720</v>
      </c>
      <c r="B3722" s="2" t="inlineStr">
        <is>
          <t>insert</t>
        </is>
      </c>
      <c r="C3722" s="2" t="inlineStr">
        <is>
          <t>browser firefox147</t>
        </is>
      </c>
      <c r="D3722" s="2" t="n">
        <v>1917</v>
      </c>
      <c r="E3722" s="2" t="n">
        <v>1917</v>
      </c>
      <c r="F3722" s="2" t="n">
        <v>1</v>
      </c>
      <c r="G3722" s="2" t="n">
        <v>1</v>
      </c>
      <c r="H3722" s="2" t="n">
        <v>0</v>
      </c>
      <c r="I3722" s="2" t="n">
        <v>0</v>
      </c>
    </row>
    <row r="3723">
      <c r="A3723" s="2" t="n">
        <v>3721</v>
      </c>
      <c r="B3723" s="2" t="inlineStr">
        <is>
          <t>flip</t>
        </is>
      </c>
      <c r="C3723" s="2" t="inlineStr">
        <is>
          <t>openssl X25519 only (classical)</t>
        </is>
      </c>
      <c r="D3723" s="2" t="n">
        <v>314</v>
      </c>
      <c r="E3723" s="2" t="n">
        <v>314</v>
      </c>
      <c r="F3723" s="2" t="n">
        <v>1</v>
      </c>
      <c r="G3723" s="2" t="n">
        <v>1</v>
      </c>
      <c r="H3723" s="2" t="n">
        <v>1</v>
      </c>
      <c r="I3723" s="2" t="n">
        <v>0</v>
      </c>
    </row>
    <row r="3724">
      <c r="A3724" s="2" t="n">
        <v>3722</v>
      </c>
      <c r="B3724" s="2" t="inlineStr">
        <is>
          <t>truncate</t>
        </is>
      </c>
      <c r="C3724" s="2" t="inlineStr">
        <is>
          <t>browser firefox147</t>
        </is>
      </c>
      <c r="D3724" s="2" t="n">
        <v>1629</v>
      </c>
      <c r="E3724" s="2" t="n">
        <v>1629</v>
      </c>
      <c r="F3724" s="2" t="n">
        <v>1</v>
      </c>
      <c r="G3724" s="2" t="n">
        <v>1</v>
      </c>
      <c r="H3724" s="2" t="n">
        <v>0</v>
      </c>
      <c r="I3724" s="2" t="n">
        <v>0</v>
      </c>
    </row>
    <row r="3725">
      <c r="A3725" s="2" t="n">
        <v>3723</v>
      </c>
      <c r="B3725" s="2" t="inlineStr">
        <is>
          <t>length</t>
        </is>
      </c>
      <c r="C3725" s="2" t="inlineStr">
        <is>
          <t>openssl X25519 only (classical)</t>
        </is>
      </c>
      <c r="D3725" s="2" t="n">
        <v>314</v>
      </c>
      <c r="E3725" s="2" t="n">
        <v>314</v>
      </c>
      <c r="F3725" s="2" t="n">
        <v>1</v>
      </c>
      <c r="G3725" s="2" t="n">
        <v>0</v>
      </c>
      <c r="H3725" s="2" t="n">
        <v>0</v>
      </c>
      <c r="I3725" s="2" t="n">
        <v>0</v>
      </c>
    </row>
    <row r="3726">
      <c r="A3726" s="2" t="n">
        <v>3724</v>
      </c>
      <c r="B3726" s="2" t="inlineStr">
        <is>
          <t>insert</t>
        </is>
      </c>
      <c r="C3726" s="2" t="inlineStr">
        <is>
          <t>browser chrome150</t>
        </is>
      </c>
      <c r="D3726" s="2" t="n">
        <v>1769</v>
      </c>
      <c r="E3726" s="2" t="n">
        <v>1769</v>
      </c>
      <c r="F3726" s="2" t="n">
        <v>1</v>
      </c>
      <c r="G3726" s="2" t="n">
        <v>1</v>
      </c>
      <c r="H3726" s="2" t="n">
        <v>1</v>
      </c>
      <c r="I3726" s="2" t="n">
        <v>0</v>
      </c>
    </row>
    <row r="3727">
      <c r="A3727" s="2" t="n">
        <v>3725</v>
      </c>
      <c r="B3727" s="2" t="inlineStr">
        <is>
          <t>flip</t>
        </is>
      </c>
      <c r="C3727" s="2" t="inlineStr">
        <is>
          <t>browser chrome150</t>
        </is>
      </c>
      <c r="D3727" s="2" t="n">
        <v>1763</v>
      </c>
      <c r="E3727" s="2" t="n">
        <v>1763</v>
      </c>
      <c r="F3727" s="2" t="n">
        <v>1</v>
      </c>
      <c r="G3727" s="2" t="n">
        <v>1</v>
      </c>
      <c r="H3727" s="2" t="n">
        <v>1</v>
      </c>
      <c r="I3727" s="2" t="n">
        <v>0</v>
      </c>
    </row>
    <row r="3728">
      <c r="A3728" s="2" t="n">
        <v>3726</v>
      </c>
      <c r="B3728" s="2" t="inlineStr">
        <is>
          <t>truncate</t>
        </is>
      </c>
      <c r="C3728" s="2" t="inlineStr">
        <is>
          <t>openssl TLS 1.2 only</t>
        </is>
      </c>
      <c r="D3728" s="2" t="n">
        <v>14</v>
      </c>
      <c r="E3728" s="2" t="n">
        <v>14</v>
      </c>
      <c r="F3728" s="2" t="n">
        <v>1</v>
      </c>
      <c r="G3728" s="2" t="n">
        <v>0</v>
      </c>
      <c r="H3728" s="2" t="n">
        <v>0</v>
      </c>
      <c r="I3728" s="2" t="n">
        <v>0</v>
      </c>
    </row>
    <row r="3729">
      <c r="A3729" s="2" t="n">
        <v>3727</v>
      </c>
      <c r="B3729" s="2" t="inlineStr">
        <is>
          <t>length</t>
        </is>
      </c>
      <c r="C3729" s="2" t="inlineStr">
        <is>
          <t>browser firefox147</t>
        </is>
      </c>
      <c r="D3729" s="2" t="n">
        <v>1901</v>
      </c>
      <c r="E3729" s="2" t="n">
        <v>1901</v>
      </c>
      <c r="F3729" s="2" t="n">
        <v>1</v>
      </c>
      <c r="G3729" s="2" t="n">
        <v>1</v>
      </c>
      <c r="H3729" s="2" t="n">
        <v>0</v>
      </c>
      <c r="I3729" s="2" t="n">
        <v>0</v>
      </c>
    </row>
    <row r="3730">
      <c r="A3730" s="2" t="n">
        <v>3728</v>
      </c>
      <c r="B3730" s="2" t="inlineStr">
        <is>
          <t>insert</t>
        </is>
      </c>
      <c r="C3730" s="2" t="inlineStr">
        <is>
          <t>browser firefox147</t>
        </is>
      </c>
      <c r="D3730" s="2" t="n">
        <v>1904</v>
      </c>
      <c r="E3730" s="2" t="n">
        <v>1904</v>
      </c>
      <c r="F3730" s="2" t="n">
        <v>1</v>
      </c>
      <c r="G3730" s="2" t="n">
        <v>1</v>
      </c>
      <c r="H3730" s="2" t="n">
        <v>0</v>
      </c>
      <c r="I3730" s="2" t="n">
        <v>0</v>
      </c>
    </row>
    <row r="3731">
      <c r="A3731" s="2" t="n">
        <v>3729</v>
      </c>
      <c r="B3731" s="2" t="inlineStr">
        <is>
          <t>flip</t>
        </is>
      </c>
      <c r="C3731" s="2" t="inlineStr">
        <is>
          <t>openssl X25519 only (classical)</t>
        </is>
      </c>
      <c r="D3731" s="2" t="n">
        <v>314</v>
      </c>
      <c r="E3731" s="2" t="n">
        <v>314</v>
      </c>
      <c r="F3731" s="2" t="n">
        <v>1</v>
      </c>
      <c r="G3731" s="2" t="n">
        <v>1</v>
      </c>
      <c r="H3731" s="2" t="n">
        <v>1</v>
      </c>
      <c r="I3731" s="2" t="n">
        <v>0</v>
      </c>
    </row>
    <row r="3732">
      <c r="A3732" s="2" t="n">
        <v>3730</v>
      </c>
      <c r="B3732" s="2" t="inlineStr">
        <is>
          <t>truncate</t>
        </is>
      </c>
      <c r="C3732" s="2" t="inlineStr">
        <is>
          <t>browser chrome150</t>
        </is>
      </c>
      <c r="D3732" s="2" t="n">
        <v>825</v>
      </c>
      <c r="E3732" s="2" t="n">
        <v>825</v>
      </c>
      <c r="F3732" s="2" t="n">
        <v>1</v>
      </c>
      <c r="G3732" s="2" t="n">
        <v>1</v>
      </c>
      <c r="H3732" s="2" t="n">
        <v>1</v>
      </c>
      <c r="I3732" s="2" t="n">
        <v>0</v>
      </c>
    </row>
    <row r="3733">
      <c r="A3733" s="2" t="n">
        <v>3731</v>
      </c>
      <c r="B3733" s="2" t="inlineStr">
        <is>
          <t>length</t>
        </is>
      </c>
      <c r="C3733" s="2" t="inlineStr">
        <is>
          <t>openssl TLS 1.2 only</t>
        </is>
      </c>
      <c r="D3733" s="2" t="n">
        <v>215</v>
      </c>
      <c r="E3733" s="2" t="n">
        <v>215</v>
      </c>
      <c r="F3733" s="2" t="n">
        <v>1</v>
      </c>
      <c r="G3733" s="2" t="n">
        <v>1</v>
      </c>
      <c r="H3733" s="2" t="n">
        <v>1</v>
      </c>
      <c r="I3733" s="2" t="n">
        <v>0</v>
      </c>
    </row>
    <row r="3734">
      <c r="A3734" s="2" t="n">
        <v>3732</v>
      </c>
      <c r="B3734" s="2" t="inlineStr">
        <is>
          <t>insert</t>
        </is>
      </c>
      <c r="C3734" s="2" t="inlineStr">
        <is>
          <t>openssl TLS 1.2 only</t>
        </is>
      </c>
      <c r="D3734" s="2" t="n">
        <v>221</v>
      </c>
      <c r="E3734" s="2" t="n">
        <v>221</v>
      </c>
      <c r="F3734" s="2" t="n">
        <v>1</v>
      </c>
      <c r="G3734" s="2" t="n">
        <v>0</v>
      </c>
      <c r="H3734" s="2" t="n">
        <v>0</v>
      </c>
      <c r="I3734" s="2" t="n">
        <v>0</v>
      </c>
    </row>
    <row r="3735">
      <c r="A3735" s="2" t="n">
        <v>3733</v>
      </c>
      <c r="B3735" s="2" t="inlineStr">
        <is>
          <t>flip</t>
        </is>
      </c>
      <c r="C3735" s="2" t="inlineStr">
        <is>
          <t>openssl TLS 1.2 only</t>
        </is>
      </c>
      <c r="D3735" s="2" t="n">
        <v>215</v>
      </c>
      <c r="E3735" s="2" t="n">
        <v>215</v>
      </c>
      <c r="F3735" s="2" t="n">
        <v>1</v>
      </c>
      <c r="G3735" s="2" t="n">
        <v>1</v>
      </c>
      <c r="H3735" s="2" t="n">
        <v>1</v>
      </c>
      <c r="I3735" s="2" t="n">
        <v>0</v>
      </c>
    </row>
    <row r="3736">
      <c r="A3736" s="2" t="n">
        <v>3734</v>
      </c>
      <c r="B3736" s="2" t="inlineStr">
        <is>
          <t>truncate</t>
        </is>
      </c>
      <c r="C3736" s="2" t="inlineStr">
        <is>
          <t>openssl 3.5.8 default</t>
        </is>
      </c>
      <c r="D3736" s="2" t="n">
        <v>740</v>
      </c>
      <c r="E3736" s="2" t="n">
        <v>740</v>
      </c>
      <c r="F3736" s="2" t="n">
        <v>1</v>
      </c>
      <c r="G3736" s="2" t="n">
        <v>1</v>
      </c>
      <c r="H3736" s="2" t="n">
        <v>1</v>
      </c>
      <c r="I3736" s="2" t="n">
        <v>0</v>
      </c>
    </row>
    <row r="3737">
      <c r="A3737" s="2" t="n">
        <v>3735</v>
      </c>
      <c r="B3737" s="2" t="inlineStr">
        <is>
          <t>length</t>
        </is>
      </c>
      <c r="C3737" s="2" t="inlineStr">
        <is>
          <t>openssl TLS 1.2 only</t>
        </is>
      </c>
      <c r="D3737" s="2" t="n">
        <v>215</v>
      </c>
      <c r="E3737" s="2" t="n">
        <v>215</v>
      </c>
      <c r="F3737" s="2" t="n">
        <v>0</v>
      </c>
      <c r="G3737" s="2" t="n">
        <v>0</v>
      </c>
      <c r="H3737" s="2" t="n">
        <v>0</v>
      </c>
      <c r="I3737" s="2" t="n">
        <v>0</v>
      </c>
    </row>
    <row r="3738">
      <c r="A3738" s="2" t="n">
        <v>3736</v>
      </c>
      <c r="B3738" s="2" t="inlineStr">
        <is>
          <t>insert</t>
        </is>
      </c>
      <c r="C3738" s="2" t="inlineStr">
        <is>
          <t>openssl TLS 1.2 only</t>
        </is>
      </c>
      <c r="D3738" s="2" t="n">
        <v>231</v>
      </c>
      <c r="E3738" s="2" t="n">
        <v>231</v>
      </c>
      <c r="F3738" s="2" t="n">
        <v>1</v>
      </c>
      <c r="G3738" s="2" t="n">
        <v>1</v>
      </c>
      <c r="H3738" s="2" t="n">
        <v>0</v>
      </c>
      <c r="I3738" s="2" t="n">
        <v>0</v>
      </c>
    </row>
    <row r="3739">
      <c r="A3739" s="2" t="n">
        <v>3737</v>
      </c>
      <c r="B3739" s="2" t="inlineStr">
        <is>
          <t>flip</t>
        </is>
      </c>
      <c r="C3739" s="2" t="inlineStr">
        <is>
          <t>openssl TLS 1.2 only</t>
        </is>
      </c>
      <c r="D3739" s="2" t="n">
        <v>215</v>
      </c>
      <c r="E3739" s="2" t="n">
        <v>215</v>
      </c>
      <c r="F3739" s="2" t="n">
        <v>1</v>
      </c>
      <c r="G3739" s="2" t="n">
        <v>1</v>
      </c>
      <c r="H3739" s="2" t="n">
        <v>1</v>
      </c>
      <c r="I3739" s="2" t="n">
        <v>0</v>
      </c>
    </row>
    <row r="3740">
      <c r="A3740" s="2" t="n">
        <v>3738</v>
      </c>
      <c r="B3740" s="2" t="inlineStr">
        <is>
          <t>truncate</t>
        </is>
      </c>
      <c r="C3740" s="2" t="inlineStr">
        <is>
          <t>openssl 3.5.8 default</t>
        </is>
      </c>
      <c r="D3740" s="2" t="n">
        <v>1159</v>
      </c>
      <c r="E3740" s="2" t="n">
        <v>1159</v>
      </c>
      <c r="F3740" s="2" t="n">
        <v>1</v>
      </c>
      <c r="G3740" s="2" t="n">
        <v>1</v>
      </c>
      <c r="H3740" s="2" t="n">
        <v>1</v>
      </c>
      <c r="I3740" s="2" t="n">
        <v>0</v>
      </c>
    </row>
    <row r="3741">
      <c r="A3741" s="2" t="n">
        <v>3739</v>
      </c>
      <c r="B3741" s="2" t="inlineStr">
        <is>
          <t>length</t>
        </is>
      </c>
      <c r="C3741" s="2" t="inlineStr">
        <is>
          <t>browser firefox147</t>
        </is>
      </c>
      <c r="D3741" s="2" t="n">
        <v>1901</v>
      </c>
      <c r="E3741" s="2" t="n">
        <v>1901</v>
      </c>
      <c r="F3741" s="2" t="n">
        <v>1</v>
      </c>
      <c r="G3741" s="2" t="n">
        <v>0</v>
      </c>
      <c r="H3741" s="2" t="n">
        <v>0</v>
      </c>
      <c r="I3741" s="2" t="n">
        <v>0</v>
      </c>
    </row>
    <row r="3742">
      <c r="A3742" s="2" t="n">
        <v>3740</v>
      </c>
      <c r="B3742" s="2" t="inlineStr">
        <is>
          <t>insert</t>
        </is>
      </c>
      <c r="C3742" s="2" t="inlineStr">
        <is>
          <t>openssl TLS 1.2 only</t>
        </is>
      </c>
      <c r="D3742" s="2" t="n">
        <v>228</v>
      </c>
      <c r="E3742" s="2" t="n">
        <v>228</v>
      </c>
      <c r="F3742" s="2" t="n">
        <v>1</v>
      </c>
      <c r="G3742" s="2" t="n">
        <v>1</v>
      </c>
      <c r="H3742" s="2" t="n">
        <v>0</v>
      </c>
      <c r="I3742" s="2" t="n">
        <v>0</v>
      </c>
    </row>
    <row r="3743">
      <c r="A3743" s="2" t="n">
        <v>3741</v>
      </c>
      <c r="B3743" s="2" t="inlineStr">
        <is>
          <t>flip</t>
        </is>
      </c>
      <c r="C3743" s="2" t="inlineStr">
        <is>
          <t>browser chrome150</t>
        </is>
      </c>
      <c r="D3743" s="2" t="n">
        <v>1763</v>
      </c>
      <c r="E3743" s="2" t="n">
        <v>1763</v>
      </c>
      <c r="F3743" s="2" t="n">
        <v>1</v>
      </c>
      <c r="G3743" s="2" t="n">
        <v>1</v>
      </c>
      <c r="H3743" s="2" t="n">
        <v>1</v>
      </c>
      <c r="I3743" s="2" t="n">
        <v>0</v>
      </c>
    </row>
    <row r="3744">
      <c r="A3744" s="2" t="n">
        <v>3742</v>
      </c>
      <c r="B3744" s="2" t="inlineStr">
        <is>
          <t>truncate</t>
        </is>
      </c>
      <c r="C3744" s="2" t="inlineStr">
        <is>
          <t>openssl X25519 only (classical)</t>
        </is>
      </c>
      <c r="D3744" s="2" t="n">
        <v>35</v>
      </c>
      <c r="E3744" s="2" t="n">
        <v>35</v>
      </c>
      <c r="F3744" s="2" t="n">
        <v>1</v>
      </c>
      <c r="G3744" s="2" t="n">
        <v>0</v>
      </c>
      <c r="H3744" s="2" t="n">
        <v>0</v>
      </c>
      <c r="I3744" s="2" t="n">
        <v>0</v>
      </c>
    </row>
    <row r="3745">
      <c r="A3745" s="2" t="n">
        <v>3743</v>
      </c>
      <c r="B3745" s="2" t="inlineStr">
        <is>
          <t>length</t>
        </is>
      </c>
      <c r="C3745" s="2" t="inlineStr">
        <is>
          <t>browser firefox147</t>
        </is>
      </c>
      <c r="D3745" s="2" t="n">
        <v>1901</v>
      </c>
      <c r="E3745" s="2" t="n">
        <v>1901</v>
      </c>
      <c r="F3745" s="2" t="n">
        <v>1</v>
      </c>
      <c r="G3745" s="2" t="n">
        <v>0</v>
      </c>
      <c r="H3745" s="2" t="n">
        <v>0</v>
      </c>
      <c r="I3745" s="2" t="n">
        <v>0</v>
      </c>
    </row>
    <row r="3746">
      <c r="A3746" s="2" t="n">
        <v>3744</v>
      </c>
      <c r="B3746" s="2" t="inlineStr">
        <is>
          <t>insert</t>
        </is>
      </c>
      <c r="C3746" s="2" t="inlineStr">
        <is>
          <t>openssl X25519 only (classical)</t>
        </is>
      </c>
      <c r="D3746" s="2" t="n">
        <v>327</v>
      </c>
      <c r="E3746" s="2" t="n">
        <v>327</v>
      </c>
      <c r="F3746" s="2" t="n">
        <v>1</v>
      </c>
      <c r="G3746" s="2" t="n">
        <v>1</v>
      </c>
      <c r="H3746" s="2" t="n">
        <v>1</v>
      </c>
      <c r="I3746" s="2" t="n">
        <v>0</v>
      </c>
    </row>
    <row r="3747">
      <c r="A3747" s="2" t="n">
        <v>3745</v>
      </c>
      <c r="B3747" s="2" t="inlineStr">
        <is>
          <t>flip</t>
        </is>
      </c>
      <c r="C3747" s="2" t="inlineStr">
        <is>
          <t>browser chrome150</t>
        </is>
      </c>
      <c r="D3747" s="2" t="n">
        <v>1763</v>
      </c>
      <c r="E3747" s="2" t="n">
        <v>1763</v>
      </c>
      <c r="F3747" s="2" t="n">
        <v>1</v>
      </c>
      <c r="G3747" s="2" t="n">
        <v>1</v>
      </c>
      <c r="H3747" s="2" t="n">
        <v>1</v>
      </c>
      <c r="I3747" s="2" t="n">
        <v>0</v>
      </c>
    </row>
    <row r="3748">
      <c r="A3748" s="2" t="n">
        <v>3746</v>
      </c>
      <c r="B3748" s="2" t="inlineStr">
        <is>
          <t>truncate</t>
        </is>
      </c>
      <c r="C3748" s="2" t="inlineStr">
        <is>
          <t>openssl 3.5.8 default</t>
        </is>
      </c>
      <c r="D3748" s="2" t="n">
        <v>342</v>
      </c>
      <c r="E3748" s="2" t="n">
        <v>342</v>
      </c>
      <c r="F3748" s="2" t="n">
        <v>1</v>
      </c>
      <c r="G3748" s="2" t="n">
        <v>1</v>
      </c>
      <c r="H3748" s="2" t="n">
        <v>1</v>
      </c>
      <c r="I3748" s="2" t="n">
        <v>0</v>
      </c>
    </row>
    <row r="3749">
      <c r="A3749" s="2" t="n">
        <v>3747</v>
      </c>
      <c r="B3749" s="2" t="inlineStr">
        <is>
          <t>length</t>
        </is>
      </c>
      <c r="C3749" s="2" t="inlineStr">
        <is>
          <t>openssl 3.5.8 default</t>
        </is>
      </c>
      <c r="D3749" s="2" t="n">
        <v>1548</v>
      </c>
      <c r="E3749" s="2" t="n">
        <v>1548</v>
      </c>
      <c r="F3749" s="2" t="n">
        <v>1</v>
      </c>
      <c r="G3749" s="2" t="n">
        <v>1</v>
      </c>
      <c r="H3749" s="2" t="n">
        <v>1</v>
      </c>
      <c r="I3749" s="2" t="n">
        <v>0</v>
      </c>
    </row>
    <row r="3750">
      <c r="A3750" s="2" t="n">
        <v>3748</v>
      </c>
      <c r="B3750" s="2" t="inlineStr">
        <is>
          <t>insert</t>
        </is>
      </c>
      <c r="C3750" s="2" t="inlineStr">
        <is>
          <t>openssl 3.5.8 default</t>
        </is>
      </c>
      <c r="D3750" s="2" t="n">
        <v>1563</v>
      </c>
      <c r="E3750" s="2" t="n">
        <v>1563</v>
      </c>
      <c r="F3750" s="2" t="n">
        <v>1</v>
      </c>
      <c r="G3750" s="2" t="n">
        <v>1</v>
      </c>
      <c r="H3750" s="2" t="n">
        <v>1</v>
      </c>
      <c r="I3750" s="2" t="n">
        <v>0</v>
      </c>
    </row>
    <row r="3751">
      <c r="A3751" s="2" t="n">
        <v>3749</v>
      </c>
      <c r="B3751" s="2" t="inlineStr">
        <is>
          <t>flip</t>
        </is>
      </c>
      <c r="C3751" s="2" t="inlineStr">
        <is>
          <t>openssl 3.5.8 default</t>
        </is>
      </c>
      <c r="D3751" s="2" t="n">
        <v>1548</v>
      </c>
      <c r="E3751" s="2" t="n">
        <v>1548</v>
      </c>
      <c r="F3751" s="2" t="n">
        <v>1</v>
      </c>
      <c r="G3751" s="2" t="n">
        <v>1</v>
      </c>
      <c r="H3751" s="2" t="n">
        <v>1</v>
      </c>
      <c r="I3751" s="2" t="n">
        <v>0</v>
      </c>
    </row>
    <row r="3752">
      <c r="A3752" s="2" t="n">
        <v>3750</v>
      </c>
      <c r="B3752" s="2" t="inlineStr">
        <is>
          <t>truncate</t>
        </is>
      </c>
      <c r="C3752" s="2" t="inlineStr">
        <is>
          <t>openssl 3.5.8 default</t>
        </is>
      </c>
      <c r="D3752" s="2" t="n">
        <v>262</v>
      </c>
      <c r="E3752" s="2" t="n">
        <v>262</v>
      </c>
      <c r="F3752" s="2" t="n">
        <v>1</v>
      </c>
      <c r="G3752" s="2" t="n">
        <v>1</v>
      </c>
      <c r="H3752" s="2" t="n">
        <v>0</v>
      </c>
      <c r="I3752" s="2" t="n">
        <v>0</v>
      </c>
    </row>
    <row r="3753">
      <c r="A3753" s="2" t="n">
        <v>3751</v>
      </c>
      <c r="B3753" s="2" t="inlineStr">
        <is>
          <t>length</t>
        </is>
      </c>
      <c r="C3753" s="2" t="inlineStr">
        <is>
          <t>openssl TLS 1.2 only</t>
        </is>
      </c>
      <c r="D3753" s="2" t="n">
        <v>215</v>
      </c>
      <c r="E3753" s="2" t="n">
        <v>215</v>
      </c>
      <c r="F3753" s="2" t="n">
        <v>1</v>
      </c>
      <c r="G3753" s="2" t="n">
        <v>1</v>
      </c>
      <c r="H3753" s="2" t="n">
        <v>1</v>
      </c>
      <c r="I3753" s="2" t="n">
        <v>0</v>
      </c>
    </row>
    <row r="3754">
      <c r="A3754" s="2" t="n">
        <v>3752</v>
      </c>
      <c r="B3754" s="2" t="inlineStr">
        <is>
          <t>insert</t>
        </is>
      </c>
      <c r="C3754" s="2" t="inlineStr">
        <is>
          <t>browser chrome150</t>
        </is>
      </c>
      <c r="D3754" s="2" t="n">
        <v>1773</v>
      </c>
      <c r="E3754" s="2" t="n">
        <v>1773</v>
      </c>
      <c r="F3754" s="2" t="n">
        <v>1</v>
      </c>
      <c r="G3754" s="2" t="n">
        <v>1</v>
      </c>
      <c r="H3754" s="2" t="n">
        <v>1</v>
      </c>
      <c r="I3754" s="2" t="n">
        <v>0</v>
      </c>
    </row>
    <row r="3755">
      <c r="A3755" s="2" t="n">
        <v>3753</v>
      </c>
      <c r="B3755" s="2" t="inlineStr">
        <is>
          <t>flip</t>
        </is>
      </c>
      <c r="C3755" s="2" t="inlineStr">
        <is>
          <t>openssl X25519 only (classical)</t>
        </is>
      </c>
      <c r="D3755" s="2" t="n">
        <v>314</v>
      </c>
      <c r="E3755" s="2" t="n">
        <v>314</v>
      </c>
      <c r="F3755" s="2" t="n">
        <v>1</v>
      </c>
      <c r="G3755" s="2" t="n">
        <v>1</v>
      </c>
      <c r="H3755" s="2" t="n">
        <v>1</v>
      </c>
      <c r="I3755" s="2" t="n">
        <v>0</v>
      </c>
    </row>
    <row r="3756">
      <c r="A3756" s="2" t="n">
        <v>3754</v>
      </c>
      <c r="B3756" s="2" t="inlineStr">
        <is>
          <t>truncate</t>
        </is>
      </c>
      <c r="C3756" s="2" t="inlineStr">
        <is>
          <t>browser firefox147</t>
        </is>
      </c>
      <c r="D3756" s="2" t="n">
        <v>870</v>
      </c>
      <c r="E3756" s="2" t="n">
        <v>870</v>
      </c>
      <c r="F3756" s="2" t="n">
        <v>1</v>
      </c>
      <c r="G3756" s="2" t="n">
        <v>1</v>
      </c>
      <c r="H3756" s="2" t="n">
        <v>0</v>
      </c>
      <c r="I3756" s="2" t="n">
        <v>0</v>
      </c>
    </row>
    <row r="3757">
      <c r="A3757" s="2" t="n">
        <v>3755</v>
      </c>
      <c r="B3757" s="2" t="inlineStr">
        <is>
          <t>length</t>
        </is>
      </c>
      <c r="C3757" s="2" t="inlineStr">
        <is>
          <t>browser chrome150</t>
        </is>
      </c>
      <c r="D3757" s="2" t="n">
        <v>1763</v>
      </c>
      <c r="E3757" s="2" t="n">
        <v>1763</v>
      </c>
      <c r="F3757" s="2" t="n">
        <v>1</v>
      </c>
      <c r="G3757" s="2" t="n">
        <v>1</v>
      </c>
      <c r="H3757" s="2" t="n">
        <v>1</v>
      </c>
      <c r="I3757" s="2" t="n">
        <v>0</v>
      </c>
    </row>
    <row r="3758">
      <c r="A3758" s="2" t="n">
        <v>3756</v>
      </c>
      <c r="B3758" s="2" t="inlineStr">
        <is>
          <t>insert</t>
        </is>
      </c>
      <c r="C3758" s="2" t="inlineStr">
        <is>
          <t>browser chrome150</t>
        </is>
      </c>
      <c r="D3758" s="2" t="n">
        <v>1764</v>
      </c>
      <c r="E3758" s="2" t="n">
        <v>1764</v>
      </c>
      <c r="F3758" s="2" t="n">
        <v>1</v>
      </c>
      <c r="G3758" s="2" t="n">
        <v>1</v>
      </c>
      <c r="H3758" s="2" t="n">
        <v>1</v>
      </c>
      <c r="I3758" s="2" t="n">
        <v>0</v>
      </c>
    </row>
    <row r="3759">
      <c r="A3759" s="2" t="n">
        <v>3757</v>
      </c>
      <c r="B3759" s="2" t="inlineStr">
        <is>
          <t>flip</t>
        </is>
      </c>
      <c r="C3759" s="2" t="inlineStr">
        <is>
          <t>openssl 3.5.8 default</t>
        </is>
      </c>
      <c r="D3759" s="2" t="n">
        <v>1548</v>
      </c>
      <c r="E3759" s="2" t="n">
        <v>1548</v>
      </c>
      <c r="F3759" s="2" t="n">
        <v>1</v>
      </c>
      <c r="G3759" s="2" t="n">
        <v>1</v>
      </c>
      <c r="H3759" s="2" t="n">
        <v>1</v>
      </c>
      <c r="I3759" s="2" t="n">
        <v>0</v>
      </c>
    </row>
    <row r="3760">
      <c r="A3760" s="2" t="n">
        <v>3758</v>
      </c>
      <c r="B3760" s="2" t="inlineStr">
        <is>
          <t>truncate</t>
        </is>
      </c>
      <c r="C3760" s="2" t="inlineStr">
        <is>
          <t>browser chrome150</t>
        </is>
      </c>
      <c r="D3760" s="2" t="n">
        <v>642</v>
      </c>
      <c r="E3760" s="2" t="n">
        <v>642</v>
      </c>
      <c r="F3760" s="2" t="n">
        <v>1</v>
      </c>
      <c r="G3760" s="2" t="n">
        <v>1</v>
      </c>
      <c r="H3760" s="2" t="n">
        <v>1</v>
      </c>
      <c r="I3760" s="2" t="n">
        <v>0</v>
      </c>
    </row>
    <row r="3761">
      <c r="A3761" s="2" t="n">
        <v>3759</v>
      </c>
      <c r="B3761" s="2" t="inlineStr">
        <is>
          <t>length</t>
        </is>
      </c>
      <c r="C3761" s="2" t="inlineStr">
        <is>
          <t>openssl TLS 1.2 only</t>
        </is>
      </c>
      <c r="D3761" s="2" t="n">
        <v>215</v>
      </c>
      <c r="E3761" s="2" t="n">
        <v>215</v>
      </c>
      <c r="F3761" s="2" t="n">
        <v>0</v>
      </c>
      <c r="G3761" s="2" t="n">
        <v>0</v>
      </c>
      <c r="H3761" s="2" t="n">
        <v>0</v>
      </c>
      <c r="I3761" s="2" t="n">
        <v>0</v>
      </c>
    </row>
    <row r="3762">
      <c r="A3762" s="2" t="n">
        <v>3760</v>
      </c>
      <c r="B3762" s="2" t="inlineStr">
        <is>
          <t>insert</t>
        </is>
      </c>
      <c r="C3762" s="2" t="inlineStr">
        <is>
          <t>browser firefox147</t>
        </is>
      </c>
      <c r="D3762" s="2" t="n">
        <v>1907</v>
      </c>
      <c r="E3762" s="2" t="n">
        <v>1907</v>
      </c>
      <c r="F3762" s="2" t="n">
        <v>1</v>
      </c>
      <c r="G3762" s="2" t="n">
        <v>1</v>
      </c>
      <c r="H3762" s="2" t="n">
        <v>0</v>
      </c>
      <c r="I3762" s="2" t="n">
        <v>0</v>
      </c>
    </row>
    <row r="3763">
      <c r="A3763" s="2" t="n">
        <v>3761</v>
      </c>
      <c r="B3763" s="2" t="inlineStr">
        <is>
          <t>flip</t>
        </is>
      </c>
      <c r="C3763" s="2" t="inlineStr">
        <is>
          <t>openssl X25519 only (classical)</t>
        </is>
      </c>
      <c r="D3763" s="2" t="n">
        <v>314</v>
      </c>
      <c r="E3763" s="2" t="n">
        <v>314</v>
      </c>
      <c r="F3763" s="2" t="n">
        <v>1</v>
      </c>
      <c r="G3763" s="2" t="n">
        <v>1</v>
      </c>
      <c r="H3763" s="2" t="n">
        <v>1</v>
      </c>
      <c r="I3763" s="2" t="n">
        <v>0</v>
      </c>
    </row>
    <row r="3764">
      <c r="A3764" s="2" t="n">
        <v>3762</v>
      </c>
      <c r="B3764" s="2" t="inlineStr">
        <is>
          <t>truncate</t>
        </is>
      </c>
      <c r="C3764" s="2" t="inlineStr">
        <is>
          <t>openssl TLS 1.2 only</t>
        </is>
      </c>
      <c r="D3764" s="2" t="n">
        <v>195</v>
      </c>
      <c r="E3764" s="2" t="n">
        <v>195</v>
      </c>
      <c r="F3764" s="2" t="n">
        <v>1</v>
      </c>
      <c r="G3764" s="2" t="n">
        <v>1</v>
      </c>
      <c r="H3764" s="2" t="n">
        <v>1</v>
      </c>
      <c r="I3764" s="2" t="n">
        <v>0</v>
      </c>
    </row>
    <row r="3765">
      <c r="A3765" s="2" t="n">
        <v>3763</v>
      </c>
      <c r="B3765" s="2" t="inlineStr">
        <is>
          <t>length</t>
        </is>
      </c>
      <c r="C3765" s="2" t="inlineStr">
        <is>
          <t>openssl TLS 1.2 only</t>
        </is>
      </c>
      <c r="D3765" s="2" t="n">
        <v>215</v>
      </c>
      <c r="E3765" s="2" t="n">
        <v>215</v>
      </c>
      <c r="F3765" s="2" t="n">
        <v>1</v>
      </c>
      <c r="G3765" s="2" t="n">
        <v>1</v>
      </c>
      <c r="H3765" s="2" t="n">
        <v>0</v>
      </c>
      <c r="I3765" s="2" t="n">
        <v>0</v>
      </c>
    </row>
    <row r="3766">
      <c r="A3766" s="2" t="n">
        <v>3764</v>
      </c>
      <c r="B3766" s="2" t="inlineStr">
        <is>
          <t>insert</t>
        </is>
      </c>
      <c r="C3766" s="2" t="inlineStr">
        <is>
          <t>openssl TLS 1.2 only</t>
        </is>
      </c>
      <c r="D3766" s="2" t="n">
        <v>221</v>
      </c>
      <c r="E3766" s="2" t="n">
        <v>221</v>
      </c>
      <c r="F3766" s="2" t="n">
        <v>1</v>
      </c>
      <c r="G3766" s="2" t="n">
        <v>1</v>
      </c>
      <c r="H3766" s="2" t="n">
        <v>1</v>
      </c>
      <c r="I3766" s="2" t="n">
        <v>0</v>
      </c>
    </row>
    <row r="3767">
      <c r="A3767" s="2" t="n">
        <v>3765</v>
      </c>
      <c r="B3767" s="2" t="inlineStr">
        <is>
          <t>flip</t>
        </is>
      </c>
      <c r="C3767" s="2" t="inlineStr">
        <is>
          <t>openssl X25519 only (classical)</t>
        </is>
      </c>
      <c r="D3767" s="2" t="n">
        <v>314</v>
      </c>
      <c r="E3767" s="2" t="n">
        <v>314</v>
      </c>
      <c r="F3767" s="2" t="n">
        <v>1</v>
      </c>
      <c r="G3767" s="2" t="n">
        <v>1</v>
      </c>
      <c r="H3767" s="2" t="n">
        <v>1</v>
      </c>
      <c r="I3767" s="2" t="n">
        <v>0</v>
      </c>
    </row>
    <row r="3768">
      <c r="A3768" s="2" t="n">
        <v>3766</v>
      </c>
      <c r="B3768" s="2" t="inlineStr">
        <is>
          <t>truncate</t>
        </is>
      </c>
      <c r="C3768" s="2" t="inlineStr">
        <is>
          <t>browser firefox147</t>
        </is>
      </c>
      <c r="D3768" s="2" t="n">
        <v>439</v>
      </c>
      <c r="E3768" s="2" t="n">
        <v>439</v>
      </c>
      <c r="F3768" s="2" t="n">
        <v>1</v>
      </c>
      <c r="G3768" s="2" t="n">
        <v>1</v>
      </c>
      <c r="H3768" s="2" t="n">
        <v>0</v>
      </c>
      <c r="I3768" s="2" t="n">
        <v>0</v>
      </c>
    </row>
    <row r="3769">
      <c r="A3769" s="2" t="n">
        <v>3767</v>
      </c>
      <c r="B3769" s="2" t="inlineStr">
        <is>
          <t>length</t>
        </is>
      </c>
      <c r="C3769" s="2" t="inlineStr">
        <is>
          <t>openssl 3.5.8 default</t>
        </is>
      </c>
      <c r="D3769" s="2" t="n">
        <v>1548</v>
      </c>
      <c r="E3769" s="2" t="n">
        <v>1548</v>
      </c>
      <c r="F3769" s="2" t="n">
        <v>1</v>
      </c>
      <c r="G3769" s="2" t="n">
        <v>1</v>
      </c>
      <c r="H3769" s="2" t="n">
        <v>1</v>
      </c>
      <c r="I3769" s="2" t="n">
        <v>0</v>
      </c>
    </row>
    <row r="3770">
      <c r="A3770" s="2" t="n">
        <v>3768</v>
      </c>
      <c r="B3770" s="2" t="inlineStr">
        <is>
          <t>insert</t>
        </is>
      </c>
      <c r="C3770" s="2" t="inlineStr">
        <is>
          <t>openssl 3.5.8 default</t>
        </is>
      </c>
      <c r="D3770" s="2" t="n">
        <v>1553</v>
      </c>
      <c r="E3770" s="2" t="n">
        <v>1553</v>
      </c>
      <c r="F3770" s="2" t="n">
        <v>1</v>
      </c>
      <c r="G3770" s="2" t="n">
        <v>1</v>
      </c>
      <c r="H3770" s="2" t="n">
        <v>1</v>
      </c>
      <c r="I3770" s="2" t="n">
        <v>0</v>
      </c>
    </row>
    <row r="3771">
      <c r="A3771" s="2" t="n">
        <v>3769</v>
      </c>
      <c r="B3771" s="2" t="inlineStr">
        <is>
          <t>flip</t>
        </is>
      </c>
      <c r="C3771" s="2" t="inlineStr">
        <is>
          <t>openssl X25519 only (classical)</t>
        </is>
      </c>
      <c r="D3771" s="2" t="n">
        <v>314</v>
      </c>
      <c r="E3771" s="2" t="n">
        <v>314</v>
      </c>
      <c r="F3771" s="2" t="n">
        <v>1</v>
      </c>
      <c r="G3771" s="2" t="n">
        <v>1</v>
      </c>
      <c r="H3771" s="2" t="n">
        <v>1</v>
      </c>
      <c r="I3771" s="2" t="n">
        <v>0</v>
      </c>
    </row>
    <row r="3772">
      <c r="A3772" s="2" t="n">
        <v>3770</v>
      </c>
      <c r="B3772" s="2" t="inlineStr">
        <is>
          <t>truncate</t>
        </is>
      </c>
      <c r="C3772" s="2" t="inlineStr">
        <is>
          <t>openssl X25519 only (classical)</t>
        </is>
      </c>
      <c r="D3772" s="2" t="n">
        <v>23</v>
      </c>
      <c r="E3772" s="2" t="n">
        <v>23</v>
      </c>
      <c r="F3772" s="2" t="n">
        <v>1</v>
      </c>
      <c r="G3772" s="2" t="n">
        <v>0</v>
      </c>
      <c r="H3772" s="2" t="n">
        <v>0</v>
      </c>
      <c r="I3772" s="2" t="n">
        <v>0</v>
      </c>
    </row>
    <row r="3773">
      <c r="A3773" s="2" t="n">
        <v>3771</v>
      </c>
      <c r="B3773" s="2" t="inlineStr">
        <is>
          <t>length</t>
        </is>
      </c>
      <c r="C3773" s="2" t="inlineStr">
        <is>
          <t>browser chrome150</t>
        </is>
      </c>
      <c r="D3773" s="2" t="n">
        <v>1763</v>
      </c>
      <c r="E3773" s="2" t="n">
        <v>1763</v>
      </c>
      <c r="F3773" s="2" t="n">
        <v>1</v>
      </c>
      <c r="G3773" s="2" t="n">
        <v>1</v>
      </c>
      <c r="H3773" s="2" t="n">
        <v>1</v>
      </c>
      <c r="I3773" s="2" t="n">
        <v>0</v>
      </c>
    </row>
    <row r="3774">
      <c r="A3774" s="2" t="n">
        <v>3772</v>
      </c>
      <c r="B3774" s="2" t="inlineStr">
        <is>
          <t>insert</t>
        </is>
      </c>
      <c r="C3774" s="2" t="inlineStr">
        <is>
          <t>openssl TLS 1.2 only</t>
        </is>
      </c>
      <c r="D3774" s="2" t="n">
        <v>218</v>
      </c>
      <c r="E3774" s="2" t="n">
        <v>218</v>
      </c>
      <c r="F3774" s="2" t="n">
        <v>1</v>
      </c>
      <c r="G3774" s="2" t="n">
        <v>1</v>
      </c>
      <c r="H3774" s="2" t="n">
        <v>1</v>
      </c>
      <c r="I3774" s="2" t="n">
        <v>0</v>
      </c>
    </row>
    <row r="3775">
      <c r="A3775" s="2" t="n">
        <v>3773</v>
      </c>
      <c r="B3775" s="2" t="inlineStr">
        <is>
          <t>flip</t>
        </is>
      </c>
      <c r="C3775" s="2" t="inlineStr">
        <is>
          <t>browser chrome150</t>
        </is>
      </c>
      <c r="D3775" s="2" t="n">
        <v>1763</v>
      </c>
      <c r="E3775" s="2" t="n">
        <v>1763</v>
      </c>
      <c r="F3775" s="2" t="n">
        <v>1</v>
      </c>
      <c r="G3775" s="2" t="n">
        <v>1</v>
      </c>
      <c r="H3775" s="2" t="n">
        <v>1</v>
      </c>
      <c r="I3775" s="2" t="n">
        <v>0</v>
      </c>
    </row>
    <row r="3776">
      <c r="A3776" s="2" t="n">
        <v>3774</v>
      </c>
      <c r="B3776" s="2" t="inlineStr">
        <is>
          <t>truncate</t>
        </is>
      </c>
      <c r="C3776" s="2" t="inlineStr">
        <is>
          <t>browser chrome150</t>
        </is>
      </c>
      <c r="D3776" s="2" t="n">
        <v>1410</v>
      </c>
      <c r="E3776" s="2" t="n">
        <v>1410</v>
      </c>
      <c r="F3776" s="2" t="n">
        <v>1</v>
      </c>
      <c r="G3776" s="2" t="n">
        <v>1</v>
      </c>
      <c r="H3776" s="2" t="n">
        <v>1</v>
      </c>
      <c r="I3776" s="2" t="n">
        <v>0</v>
      </c>
    </row>
    <row r="3777">
      <c r="A3777" s="2" t="n">
        <v>3775</v>
      </c>
      <c r="B3777" s="2" t="inlineStr">
        <is>
          <t>length</t>
        </is>
      </c>
      <c r="C3777" s="2" t="inlineStr">
        <is>
          <t>openssl X25519 only (classical)</t>
        </is>
      </c>
      <c r="D3777" s="2" t="n">
        <v>314</v>
      </c>
      <c r="E3777" s="2" t="n">
        <v>314</v>
      </c>
      <c r="F3777" s="2" t="n">
        <v>1</v>
      </c>
      <c r="G3777" s="2" t="n">
        <v>1</v>
      </c>
      <c r="H3777" s="2" t="n">
        <v>1</v>
      </c>
      <c r="I3777" s="2" t="n">
        <v>0</v>
      </c>
    </row>
    <row r="3778">
      <c r="A3778" s="2" t="n">
        <v>3776</v>
      </c>
      <c r="B3778" s="2" t="inlineStr">
        <is>
          <t>insert</t>
        </is>
      </c>
      <c r="C3778" s="2" t="inlineStr">
        <is>
          <t>openssl TLS 1.2 only</t>
        </is>
      </c>
      <c r="D3778" s="2" t="n">
        <v>216</v>
      </c>
      <c r="E3778" s="2" t="n">
        <v>216</v>
      </c>
      <c r="F3778" s="2" t="n">
        <v>1</v>
      </c>
      <c r="G3778" s="2" t="n">
        <v>1</v>
      </c>
      <c r="H3778" s="2" t="n">
        <v>1</v>
      </c>
      <c r="I3778" s="2" t="n">
        <v>0</v>
      </c>
    </row>
    <row r="3779">
      <c r="A3779" s="2" t="n">
        <v>3777</v>
      </c>
      <c r="B3779" s="2" t="inlineStr">
        <is>
          <t>flip</t>
        </is>
      </c>
      <c r="C3779" s="2" t="inlineStr">
        <is>
          <t>openssl 3.5.8 default</t>
        </is>
      </c>
      <c r="D3779" s="2" t="n">
        <v>1548</v>
      </c>
      <c r="E3779" s="2" t="n">
        <v>1548</v>
      </c>
      <c r="F3779" s="2" t="n">
        <v>1</v>
      </c>
      <c r="G3779" s="2" t="n">
        <v>1</v>
      </c>
      <c r="H3779" s="2" t="n">
        <v>1</v>
      </c>
      <c r="I3779" s="2" t="n">
        <v>0</v>
      </c>
    </row>
    <row r="3780">
      <c r="A3780" s="2" t="n">
        <v>3778</v>
      </c>
      <c r="B3780" s="2" t="inlineStr">
        <is>
          <t>truncate</t>
        </is>
      </c>
      <c r="C3780" s="2" t="inlineStr">
        <is>
          <t>openssl TLS 1.2 only</t>
        </is>
      </c>
      <c r="D3780" s="2" t="n">
        <v>91</v>
      </c>
      <c r="E3780" s="2" t="n">
        <v>91</v>
      </c>
      <c r="F3780" s="2" t="n">
        <v>1</v>
      </c>
      <c r="G3780" s="2" t="n">
        <v>0</v>
      </c>
      <c r="H3780" s="2" t="n">
        <v>0</v>
      </c>
      <c r="I3780" s="2" t="n">
        <v>0</v>
      </c>
    </row>
    <row r="3781">
      <c r="A3781" s="2" t="n">
        <v>3779</v>
      </c>
      <c r="B3781" s="2" t="inlineStr">
        <is>
          <t>length</t>
        </is>
      </c>
      <c r="C3781" s="2" t="inlineStr">
        <is>
          <t>openssl X25519 only (classical)</t>
        </is>
      </c>
      <c r="D3781" s="2" t="n">
        <v>314</v>
      </c>
      <c r="E3781" s="2" t="n">
        <v>314</v>
      </c>
      <c r="F3781" s="2" t="n">
        <v>1</v>
      </c>
      <c r="G3781" s="2" t="n">
        <v>1</v>
      </c>
      <c r="H3781" s="2" t="n">
        <v>1</v>
      </c>
      <c r="I3781" s="2" t="n">
        <v>0</v>
      </c>
    </row>
    <row r="3782">
      <c r="A3782" s="2" t="n">
        <v>3780</v>
      </c>
      <c r="B3782" s="2" t="inlineStr">
        <is>
          <t>insert</t>
        </is>
      </c>
      <c r="C3782" s="2" t="inlineStr">
        <is>
          <t>browser firefox147</t>
        </is>
      </c>
      <c r="D3782" s="2" t="n">
        <v>1909</v>
      </c>
      <c r="E3782" s="2" t="n">
        <v>1909</v>
      </c>
      <c r="F3782" s="2" t="n">
        <v>1</v>
      </c>
      <c r="G3782" s="2" t="n">
        <v>1</v>
      </c>
      <c r="H3782" s="2" t="n">
        <v>0</v>
      </c>
      <c r="I3782" s="2" t="n">
        <v>0</v>
      </c>
    </row>
    <row r="3783">
      <c r="A3783" s="2" t="n">
        <v>3781</v>
      </c>
      <c r="B3783" s="2" t="inlineStr">
        <is>
          <t>flip</t>
        </is>
      </c>
      <c r="C3783" s="2" t="inlineStr">
        <is>
          <t>browser chrome150</t>
        </is>
      </c>
      <c r="D3783" s="2" t="n">
        <v>1763</v>
      </c>
      <c r="E3783" s="2" t="n">
        <v>1763</v>
      </c>
      <c r="F3783" s="2" t="n">
        <v>1</v>
      </c>
      <c r="G3783" s="2" t="n">
        <v>1</v>
      </c>
      <c r="H3783" s="2" t="n">
        <v>1</v>
      </c>
      <c r="I3783" s="2" t="n">
        <v>0</v>
      </c>
    </row>
    <row r="3784">
      <c r="A3784" s="2" t="n">
        <v>3782</v>
      </c>
      <c r="B3784" s="2" t="inlineStr">
        <is>
          <t>truncate</t>
        </is>
      </c>
      <c r="C3784" s="2" t="inlineStr">
        <is>
          <t>openssl 3.5.8 default</t>
        </is>
      </c>
      <c r="D3784" s="2" t="n">
        <v>1514</v>
      </c>
      <c r="E3784" s="2" t="n">
        <v>1514</v>
      </c>
      <c r="F3784" s="2" t="n">
        <v>1</v>
      </c>
      <c r="G3784" s="2" t="n">
        <v>1</v>
      </c>
      <c r="H3784" s="2" t="n">
        <v>1</v>
      </c>
      <c r="I3784" s="2" t="n">
        <v>0</v>
      </c>
    </row>
    <row r="3785">
      <c r="A3785" s="2" t="n">
        <v>3783</v>
      </c>
      <c r="B3785" s="2" t="inlineStr">
        <is>
          <t>length</t>
        </is>
      </c>
      <c r="C3785" s="2" t="inlineStr">
        <is>
          <t>browser firefox147</t>
        </is>
      </c>
      <c r="D3785" s="2" t="n">
        <v>1901</v>
      </c>
      <c r="E3785" s="2" t="n">
        <v>1901</v>
      </c>
      <c r="F3785" s="2" t="n">
        <v>1</v>
      </c>
      <c r="G3785" s="2" t="n">
        <v>0</v>
      </c>
      <c r="H3785" s="2" t="n">
        <v>0</v>
      </c>
      <c r="I3785" s="2" t="n">
        <v>0</v>
      </c>
    </row>
    <row r="3786">
      <c r="A3786" s="2" t="n">
        <v>3784</v>
      </c>
      <c r="B3786" s="2" t="inlineStr">
        <is>
          <t>insert</t>
        </is>
      </c>
      <c r="C3786" s="2" t="inlineStr">
        <is>
          <t>openssl 3.5.8 default</t>
        </is>
      </c>
      <c r="D3786" s="2" t="n">
        <v>1553</v>
      </c>
      <c r="E3786" s="2" t="n">
        <v>1553</v>
      </c>
      <c r="F3786" s="2" t="n">
        <v>1</v>
      </c>
      <c r="G3786" s="2" t="n">
        <v>1</v>
      </c>
      <c r="H3786" s="2" t="n">
        <v>1</v>
      </c>
      <c r="I3786" s="2" t="n">
        <v>0</v>
      </c>
    </row>
    <row r="3787">
      <c r="A3787" s="2" t="n">
        <v>3785</v>
      </c>
      <c r="B3787" s="2" t="inlineStr">
        <is>
          <t>flip</t>
        </is>
      </c>
      <c r="C3787" s="2" t="inlineStr">
        <is>
          <t>browser chrome150</t>
        </is>
      </c>
      <c r="D3787" s="2" t="n">
        <v>1763</v>
      </c>
      <c r="E3787" s="2" t="n">
        <v>1763</v>
      </c>
      <c r="F3787" s="2" t="n">
        <v>1</v>
      </c>
      <c r="G3787" s="2" t="n">
        <v>1</v>
      </c>
      <c r="H3787" s="2" t="n">
        <v>1</v>
      </c>
      <c r="I3787" s="2" t="n">
        <v>0</v>
      </c>
    </row>
    <row r="3788">
      <c r="A3788" s="2" t="n">
        <v>3786</v>
      </c>
      <c r="B3788" s="2" t="inlineStr">
        <is>
          <t>truncate</t>
        </is>
      </c>
      <c r="C3788" s="2" t="inlineStr">
        <is>
          <t>browser firefox147</t>
        </is>
      </c>
      <c r="D3788" s="2" t="n">
        <v>222</v>
      </c>
      <c r="E3788" s="2" t="n">
        <v>222</v>
      </c>
      <c r="F3788" s="2" t="n">
        <v>1</v>
      </c>
      <c r="G3788" s="2" t="n">
        <v>1</v>
      </c>
      <c r="H3788" s="2" t="n">
        <v>0</v>
      </c>
      <c r="I3788" s="2" t="n">
        <v>0</v>
      </c>
    </row>
    <row r="3789">
      <c r="A3789" s="2" t="n">
        <v>3787</v>
      </c>
      <c r="B3789" s="2" t="inlineStr">
        <is>
          <t>length</t>
        </is>
      </c>
      <c r="C3789" s="2" t="inlineStr">
        <is>
          <t>openssl TLS 1.2 only</t>
        </is>
      </c>
      <c r="D3789" s="2" t="n">
        <v>215</v>
      </c>
      <c r="E3789" s="2" t="n">
        <v>215</v>
      </c>
      <c r="F3789" s="2" t="n">
        <v>0</v>
      </c>
      <c r="G3789" s="2" t="n">
        <v>0</v>
      </c>
      <c r="H3789" s="2" t="n">
        <v>0</v>
      </c>
      <c r="I3789" s="2" t="n">
        <v>0</v>
      </c>
    </row>
    <row r="3790">
      <c r="A3790" s="2" t="n">
        <v>3788</v>
      </c>
      <c r="B3790" s="2" t="inlineStr">
        <is>
          <t>insert</t>
        </is>
      </c>
      <c r="C3790" s="2" t="inlineStr">
        <is>
          <t>browser chrome150</t>
        </is>
      </c>
      <c r="D3790" s="2" t="n">
        <v>1776</v>
      </c>
      <c r="E3790" s="2" t="n">
        <v>1776</v>
      </c>
      <c r="F3790" s="2" t="n">
        <v>1</v>
      </c>
      <c r="G3790" s="2" t="n">
        <v>1</v>
      </c>
      <c r="H3790" s="2" t="n">
        <v>1</v>
      </c>
      <c r="I3790" s="2" t="n">
        <v>0</v>
      </c>
    </row>
    <row r="3791">
      <c r="A3791" s="2" t="n">
        <v>3789</v>
      </c>
      <c r="B3791" s="2" t="inlineStr">
        <is>
          <t>flip</t>
        </is>
      </c>
      <c r="C3791" s="2" t="inlineStr">
        <is>
          <t>browser chrome150</t>
        </is>
      </c>
      <c r="D3791" s="2" t="n">
        <v>1763</v>
      </c>
      <c r="E3791" s="2" t="n">
        <v>1763</v>
      </c>
      <c r="F3791" s="2" t="n">
        <v>1</v>
      </c>
      <c r="G3791" s="2" t="n">
        <v>1</v>
      </c>
      <c r="H3791" s="2" t="n">
        <v>1</v>
      </c>
      <c r="I3791" s="2" t="n">
        <v>0</v>
      </c>
    </row>
    <row r="3792">
      <c r="A3792" s="2" t="n">
        <v>3790</v>
      </c>
      <c r="B3792" s="2" t="inlineStr">
        <is>
          <t>truncate</t>
        </is>
      </c>
      <c r="C3792" s="2" t="inlineStr">
        <is>
          <t>browser firefox147</t>
        </is>
      </c>
      <c r="D3792" s="2" t="n">
        <v>399</v>
      </c>
      <c r="E3792" s="2" t="n">
        <v>399</v>
      </c>
      <c r="F3792" s="2" t="n">
        <v>1</v>
      </c>
      <c r="G3792" s="2" t="n">
        <v>1</v>
      </c>
      <c r="H3792" s="2" t="n">
        <v>0</v>
      </c>
      <c r="I3792" s="2" t="n">
        <v>0</v>
      </c>
    </row>
    <row r="3793">
      <c r="A3793" s="2" t="n">
        <v>3791</v>
      </c>
      <c r="B3793" s="2" t="inlineStr">
        <is>
          <t>length</t>
        </is>
      </c>
      <c r="C3793" s="2" t="inlineStr">
        <is>
          <t>openssl X25519 only (classical)</t>
        </is>
      </c>
      <c r="D3793" s="2" t="n">
        <v>314</v>
      </c>
      <c r="E3793" s="2" t="n">
        <v>314</v>
      </c>
      <c r="F3793" s="2" t="n">
        <v>1</v>
      </c>
      <c r="G3793" s="2" t="n">
        <v>1</v>
      </c>
      <c r="H3793" s="2" t="n">
        <v>1</v>
      </c>
      <c r="I3793" s="2" t="n">
        <v>0</v>
      </c>
    </row>
    <row r="3794">
      <c r="A3794" s="2" t="n">
        <v>3792</v>
      </c>
      <c r="B3794" s="2" t="inlineStr">
        <is>
          <t>insert</t>
        </is>
      </c>
      <c r="C3794" s="2" t="inlineStr">
        <is>
          <t>browser chrome150</t>
        </is>
      </c>
      <c r="D3794" s="2" t="n">
        <v>1764</v>
      </c>
      <c r="E3794" s="2" t="n">
        <v>1764</v>
      </c>
      <c r="F3794" s="2" t="n">
        <v>1</v>
      </c>
      <c r="G3794" s="2" t="n">
        <v>1</v>
      </c>
      <c r="H3794" s="2" t="n">
        <v>1</v>
      </c>
      <c r="I3794" s="2" t="n">
        <v>0</v>
      </c>
    </row>
    <row r="3795">
      <c r="A3795" s="2" t="n">
        <v>3793</v>
      </c>
      <c r="B3795" s="2" t="inlineStr">
        <is>
          <t>flip</t>
        </is>
      </c>
      <c r="C3795" s="2" t="inlineStr">
        <is>
          <t>openssl 3.5.8 default</t>
        </is>
      </c>
      <c r="D3795" s="2" t="n">
        <v>1548</v>
      </c>
      <c r="E3795" s="2" t="n">
        <v>1548</v>
      </c>
      <c r="F3795" s="2" t="n">
        <v>1</v>
      </c>
      <c r="G3795" s="2" t="n">
        <v>1</v>
      </c>
      <c r="H3795" s="2" t="n">
        <v>1</v>
      </c>
      <c r="I3795" s="2" t="n">
        <v>0</v>
      </c>
    </row>
    <row r="3796">
      <c r="A3796" s="2" t="n">
        <v>3794</v>
      </c>
      <c r="B3796" s="2" t="inlineStr">
        <is>
          <t>truncate</t>
        </is>
      </c>
      <c r="C3796" s="2" t="inlineStr">
        <is>
          <t>browser firefox147</t>
        </is>
      </c>
      <c r="D3796" s="2" t="n">
        <v>616</v>
      </c>
      <c r="E3796" s="2" t="n">
        <v>616</v>
      </c>
      <c r="F3796" s="2" t="n">
        <v>1</v>
      </c>
      <c r="G3796" s="2" t="n">
        <v>1</v>
      </c>
      <c r="H3796" s="2" t="n">
        <v>0</v>
      </c>
      <c r="I3796" s="2" t="n">
        <v>0</v>
      </c>
    </row>
    <row r="3797">
      <c r="A3797" s="2" t="n">
        <v>3795</v>
      </c>
      <c r="B3797" s="2" t="inlineStr">
        <is>
          <t>length</t>
        </is>
      </c>
      <c r="C3797" s="2" t="inlineStr">
        <is>
          <t>openssl TLS 1.2 only</t>
        </is>
      </c>
      <c r="D3797" s="2" t="n">
        <v>215</v>
      </c>
      <c r="E3797" s="2" t="n">
        <v>215</v>
      </c>
      <c r="F3797" s="2" t="n">
        <v>1</v>
      </c>
      <c r="G3797" s="2" t="n">
        <v>1</v>
      </c>
      <c r="H3797" s="2" t="n">
        <v>1</v>
      </c>
      <c r="I3797" s="2" t="n">
        <v>0</v>
      </c>
    </row>
    <row r="3798">
      <c r="A3798" s="2" t="n">
        <v>3796</v>
      </c>
      <c r="B3798" s="2" t="inlineStr">
        <is>
          <t>insert</t>
        </is>
      </c>
      <c r="C3798" s="2" t="inlineStr">
        <is>
          <t>openssl X25519 only (classical)</t>
        </is>
      </c>
      <c r="D3798" s="2" t="n">
        <v>326</v>
      </c>
      <c r="E3798" s="2" t="n">
        <v>326</v>
      </c>
      <c r="F3798" s="2" t="n">
        <v>1</v>
      </c>
      <c r="G3798" s="2" t="n">
        <v>1</v>
      </c>
      <c r="H3798" s="2" t="n">
        <v>0</v>
      </c>
      <c r="I3798" s="2" t="n">
        <v>0</v>
      </c>
    </row>
    <row r="3799">
      <c r="A3799" s="2" t="n">
        <v>3797</v>
      </c>
      <c r="B3799" s="2" t="inlineStr">
        <is>
          <t>flip</t>
        </is>
      </c>
      <c r="C3799" s="2" t="inlineStr">
        <is>
          <t>browser chrome150</t>
        </is>
      </c>
      <c r="D3799" s="2" t="n">
        <v>1763</v>
      </c>
      <c r="E3799" s="2" t="n">
        <v>1763</v>
      </c>
      <c r="F3799" s="2" t="n">
        <v>1</v>
      </c>
      <c r="G3799" s="2" t="n">
        <v>1</v>
      </c>
      <c r="H3799" s="2" t="n">
        <v>1</v>
      </c>
      <c r="I3799" s="2" t="n">
        <v>0</v>
      </c>
    </row>
    <row r="3800">
      <c r="A3800" s="2" t="n">
        <v>3798</v>
      </c>
      <c r="B3800" s="2" t="inlineStr">
        <is>
          <t>truncate</t>
        </is>
      </c>
      <c r="C3800" s="2" t="inlineStr">
        <is>
          <t>browser firefox147</t>
        </is>
      </c>
      <c r="D3800" s="2" t="n">
        <v>1589</v>
      </c>
      <c r="E3800" s="2" t="n">
        <v>1589</v>
      </c>
      <c r="F3800" s="2" t="n">
        <v>1</v>
      </c>
      <c r="G3800" s="2" t="n">
        <v>1</v>
      </c>
      <c r="H3800" s="2" t="n">
        <v>0</v>
      </c>
      <c r="I3800" s="2" t="n">
        <v>0</v>
      </c>
    </row>
    <row r="3801">
      <c r="A3801" s="2" t="n">
        <v>3799</v>
      </c>
      <c r="B3801" s="2" t="inlineStr">
        <is>
          <t>length</t>
        </is>
      </c>
      <c r="C3801" s="2" t="inlineStr">
        <is>
          <t>openssl TLS 1.2 only</t>
        </is>
      </c>
      <c r="D3801" s="2" t="n">
        <v>215</v>
      </c>
      <c r="E3801" s="2" t="n">
        <v>215</v>
      </c>
      <c r="F3801" s="2" t="n">
        <v>1</v>
      </c>
      <c r="G3801" s="2" t="n">
        <v>0</v>
      </c>
      <c r="H3801" s="2" t="n">
        <v>0</v>
      </c>
      <c r="I3801" s="2" t="n">
        <v>0</v>
      </c>
    </row>
    <row r="3802">
      <c r="A3802" s="2" t="n">
        <v>3800</v>
      </c>
      <c r="B3802" s="2" t="inlineStr">
        <is>
          <t>insert</t>
        </is>
      </c>
      <c r="C3802" s="2" t="inlineStr">
        <is>
          <t>browser firefox147</t>
        </is>
      </c>
      <c r="D3802" s="2" t="n">
        <v>1917</v>
      </c>
      <c r="E3802" s="2" t="n">
        <v>1917</v>
      </c>
      <c r="F3802" s="2" t="n">
        <v>1</v>
      </c>
      <c r="G3802" s="2" t="n">
        <v>1</v>
      </c>
      <c r="H3802" s="2" t="n">
        <v>0</v>
      </c>
      <c r="I3802" s="2" t="n">
        <v>0</v>
      </c>
    </row>
    <row r="3803">
      <c r="A3803" s="2" t="n">
        <v>3801</v>
      </c>
      <c r="B3803" s="2" t="inlineStr">
        <is>
          <t>flip</t>
        </is>
      </c>
      <c r="C3803" s="2" t="inlineStr">
        <is>
          <t>openssl TLS 1.2 only</t>
        </is>
      </c>
      <c r="D3803" s="2" t="n">
        <v>215</v>
      </c>
      <c r="E3803" s="2" t="n">
        <v>215</v>
      </c>
      <c r="F3803" s="2" t="n">
        <v>1</v>
      </c>
      <c r="G3803" s="2" t="n">
        <v>1</v>
      </c>
      <c r="H3803" s="2" t="n">
        <v>1</v>
      </c>
      <c r="I3803" s="2" t="n">
        <v>0</v>
      </c>
    </row>
    <row r="3804">
      <c r="A3804" s="2" t="n">
        <v>3802</v>
      </c>
      <c r="B3804" s="2" t="inlineStr">
        <is>
          <t>truncate</t>
        </is>
      </c>
      <c r="C3804" s="2" t="inlineStr">
        <is>
          <t>openssl X25519 only (classical)</t>
        </is>
      </c>
      <c r="D3804" s="2" t="n">
        <v>242</v>
      </c>
      <c r="E3804" s="2" t="n">
        <v>242</v>
      </c>
      <c r="F3804" s="2" t="n">
        <v>1</v>
      </c>
      <c r="G3804" s="2" t="n">
        <v>1</v>
      </c>
      <c r="H3804" s="2" t="n">
        <v>0</v>
      </c>
      <c r="I3804" s="2" t="n">
        <v>0</v>
      </c>
    </row>
    <row r="3805">
      <c r="A3805" s="2" t="n">
        <v>3803</v>
      </c>
      <c r="B3805" s="2" t="inlineStr">
        <is>
          <t>length</t>
        </is>
      </c>
      <c r="C3805" s="2" t="inlineStr">
        <is>
          <t>openssl 3.5.8 default</t>
        </is>
      </c>
      <c r="D3805" s="2" t="n">
        <v>1548</v>
      </c>
      <c r="E3805" s="2" t="n">
        <v>1548</v>
      </c>
      <c r="F3805" s="2" t="n">
        <v>1</v>
      </c>
      <c r="G3805" s="2" t="n">
        <v>1</v>
      </c>
      <c r="H3805" s="2" t="n">
        <v>1</v>
      </c>
      <c r="I3805" s="2" t="n">
        <v>0</v>
      </c>
    </row>
    <row r="3806">
      <c r="A3806" s="2" t="n">
        <v>3804</v>
      </c>
      <c r="B3806" s="2" t="inlineStr">
        <is>
          <t>insert</t>
        </is>
      </c>
      <c r="C3806" s="2" t="inlineStr">
        <is>
          <t>openssl 3.5.8 default</t>
        </is>
      </c>
      <c r="D3806" s="2" t="n">
        <v>1555</v>
      </c>
      <c r="E3806" s="2" t="n">
        <v>1555</v>
      </c>
      <c r="F3806" s="2" t="n">
        <v>1</v>
      </c>
      <c r="G3806" s="2" t="n">
        <v>1</v>
      </c>
      <c r="H3806" s="2" t="n">
        <v>1</v>
      </c>
      <c r="I3806" s="2" t="n">
        <v>0</v>
      </c>
    </row>
    <row r="3807">
      <c r="A3807" s="2" t="n">
        <v>3805</v>
      </c>
      <c r="B3807" s="2" t="inlineStr">
        <is>
          <t>flip</t>
        </is>
      </c>
      <c r="C3807" s="2" t="inlineStr">
        <is>
          <t>browser firefox147</t>
        </is>
      </c>
      <c r="D3807" s="2" t="n">
        <v>1901</v>
      </c>
      <c r="E3807" s="2" t="n">
        <v>1901</v>
      </c>
      <c r="F3807" s="2" t="n">
        <v>1</v>
      </c>
      <c r="G3807" s="2" t="n">
        <v>1</v>
      </c>
      <c r="H3807" s="2" t="n">
        <v>0</v>
      </c>
      <c r="I3807" s="2" t="n">
        <v>0</v>
      </c>
    </row>
    <row r="3808">
      <c r="A3808" s="2" t="n">
        <v>3806</v>
      </c>
      <c r="B3808" s="2" t="inlineStr">
        <is>
          <t>truncate</t>
        </is>
      </c>
      <c r="C3808" s="2" t="inlineStr">
        <is>
          <t>openssl TLS 1.2 only</t>
        </is>
      </c>
      <c r="D3808" s="2" t="n">
        <v>149</v>
      </c>
      <c r="E3808" s="2" t="n">
        <v>149</v>
      </c>
      <c r="F3808" s="2" t="n">
        <v>1</v>
      </c>
      <c r="G3808" s="2" t="n">
        <v>1</v>
      </c>
      <c r="H3808" s="2" t="n">
        <v>0</v>
      </c>
      <c r="I3808" s="2" t="n">
        <v>0</v>
      </c>
    </row>
    <row r="3809">
      <c r="A3809" s="2" t="n">
        <v>3807</v>
      </c>
      <c r="B3809" s="2" t="inlineStr">
        <is>
          <t>length</t>
        </is>
      </c>
      <c r="C3809" s="2" t="inlineStr">
        <is>
          <t>openssl TLS 1.2 only</t>
        </is>
      </c>
      <c r="D3809" s="2" t="n">
        <v>215</v>
      </c>
      <c r="E3809" s="2" t="n">
        <v>215</v>
      </c>
      <c r="F3809" s="2" t="n">
        <v>1</v>
      </c>
      <c r="G3809" s="2" t="n">
        <v>1</v>
      </c>
      <c r="H3809" s="2" t="n">
        <v>0</v>
      </c>
      <c r="I3809" s="2" t="n">
        <v>0</v>
      </c>
    </row>
    <row r="3810">
      <c r="A3810" s="2" t="n">
        <v>3808</v>
      </c>
      <c r="B3810" s="2" t="inlineStr">
        <is>
          <t>insert</t>
        </is>
      </c>
      <c r="C3810" s="2" t="inlineStr">
        <is>
          <t>browser chrome150</t>
        </is>
      </c>
      <c r="D3810" s="2" t="n">
        <v>1776</v>
      </c>
      <c r="E3810" s="2" t="n">
        <v>1776</v>
      </c>
      <c r="F3810" s="2" t="n">
        <v>1</v>
      </c>
      <c r="G3810" s="2" t="n">
        <v>1</v>
      </c>
      <c r="H3810" s="2" t="n">
        <v>1</v>
      </c>
      <c r="I3810" s="2" t="n">
        <v>0</v>
      </c>
    </row>
    <row r="3811">
      <c r="A3811" s="2" t="n">
        <v>3809</v>
      </c>
      <c r="B3811" s="2" t="inlineStr">
        <is>
          <t>flip</t>
        </is>
      </c>
      <c r="C3811" s="2" t="inlineStr">
        <is>
          <t>openssl 3.5.8 default</t>
        </is>
      </c>
      <c r="D3811" s="2" t="n">
        <v>1548</v>
      </c>
      <c r="E3811" s="2" t="n">
        <v>1548</v>
      </c>
      <c r="F3811" s="2" t="n">
        <v>1</v>
      </c>
      <c r="G3811" s="2" t="n">
        <v>1</v>
      </c>
      <c r="H3811" s="2" t="n">
        <v>1</v>
      </c>
      <c r="I3811" s="2" t="n">
        <v>0</v>
      </c>
    </row>
    <row r="3812">
      <c r="A3812" s="2" t="n">
        <v>3810</v>
      </c>
      <c r="B3812" s="2" t="inlineStr">
        <is>
          <t>truncate</t>
        </is>
      </c>
      <c r="C3812" s="2" t="inlineStr">
        <is>
          <t>openssl X25519 only (classical)</t>
        </is>
      </c>
      <c r="D3812" s="2" t="n">
        <v>184</v>
      </c>
      <c r="E3812" s="2" t="n">
        <v>184</v>
      </c>
      <c r="F3812" s="2" t="n">
        <v>1</v>
      </c>
      <c r="G3812" s="2" t="n">
        <v>1</v>
      </c>
      <c r="H3812" s="2" t="n">
        <v>0</v>
      </c>
      <c r="I3812" s="2" t="n">
        <v>0</v>
      </c>
    </row>
    <row r="3813">
      <c r="A3813" s="2" t="n">
        <v>3811</v>
      </c>
      <c r="B3813" s="2" t="inlineStr">
        <is>
          <t>length</t>
        </is>
      </c>
      <c r="C3813" s="2" t="inlineStr">
        <is>
          <t>browser chrome150</t>
        </is>
      </c>
      <c r="D3813" s="2" t="n">
        <v>1763</v>
      </c>
      <c r="E3813" s="2" t="n">
        <v>1763</v>
      </c>
      <c r="F3813" s="2" t="n">
        <v>0</v>
      </c>
      <c r="G3813" s="2" t="n">
        <v>0</v>
      </c>
      <c r="H3813" s="2" t="n">
        <v>0</v>
      </c>
      <c r="I3813" s="2" t="n">
        <v>0</v>
      </c>
    </row>
    <row r="3814">
      <c r="A3814" s="2" t="n">
        <v>3812</v>
      </c>
      <c r="B3814" s="2" t="inlineStr">
        <is>
          <t>insert</t>
        </is>
      </c>
      <c r="C3814" s="2" t="inlineStr">
        <is>
          <t>openssl TLS 1.2 only</t>
        </is>
      </c>
      <c r="D3814" s="2" t="n">
        <v>218</v>
      </c>
      <c r="E3814" s="2" t="n">
        <v>218</v>
      </c>
      <c r="F3814" s="2" t="n">
        <v>1</v>
      </c>
      <c r="G3814" s="2" t="n">
        <v>0</v>
      </c>
      <c r="H3814" s="2" t="n">
        <v>0</v>
      </c>
      <c r="I3814" s="2" t="n">
        <v>0</v>
      </c>
    </row>
    <row r="3815">
      <c r="A3815" s="2" t="n">
        <v>3813</v>
      </c>
      <c r="B3815" s="2" t="inlineStr">
        <is>
          <t>flip</t>
        </is>
      </c>
      <c r="C3815" s="2" t="inlineStr">
        <is>
          <t>browser chrome150</t>
        </is>
      </c>
      <c r="D3815" s="2" t="n">
        <v>1763</v>
      </c>
      <c r="E3815" s="2" t="n">
        <v>1763</v>
      </c>
      <c r="F3815" s="2" t="n">
        <v>1</v>
      </c>
      <c r="G3815" s="2" t="n">
        <v>1</v>
      </c>
      <c r="H3815" s="2" t="n">
        <v>1</v>
      </c>
      <c r="I3815" s="2" t="n">
        <v>0</v>
      </c>
    </row>
    <row r="3816">
      <c r="A3816" s="2" t="n">
        <v>3814</v>
      </c>
      <c r="B3816" s="2" t="inlineStr">
        <is>
          <t>truncate</t>
        </is>
      </c>
      <c r="C3816" s="2" t="inlineStr">
        <is>
          <t>openssl 3.5.8 default</t>
        </is>
      </c>
      <c r="D3816" s="2" t="n">
        <v>708</v>
      </c>
      <c r="E3816" s="2" t="n">
        <v>708</v>
      </c>
      <c r="F3816" s="2" t="n">
        <v>1</v>
      </c>
      <c r="G3816" s="2" t="n">
        <v>1</v>
      </c>
      <c r="H3816" s="2" t="n">
        <v>1</v>
      </c>
      <c r="I3816" s="2" t="n">
        <v>0</v>
      </c>
    </row>
    <row r="3817">
      <c r="A3817" s="2" t="n">
        <v>3815</v>
      </c>
      <c r="B3817" s="2" t="inlineStr">
        <is>
          <t>length</t>
        </is>
      </c>
      <c r="C3817" s="2" t="inlineStr">
        <is>
          <t>browser firefox147</t>
        </is>
      </c>
      <c r="D3817" s="2" t="n">
        <v>1901</v>
      </c>
      <c r="E3817" s="2" t="n">
        <v>1901</v>
      </c>
      <c r="F3817" s="2" t="n">
        <v>0</v>
      </c>
      <c r="G3817" s="2" t="n">
        <v>0</v>
      </c>
      <c r="H3817" s="2" t="n">
        <v>0</v>
      </c>
      <c r="I3817" s="2" t="n">
        <v>0</v>
      </c>
    </row>
    <row r="3818">
      <c r="A3818" s="2" t="n">
        <v>3816</v>
      </c>
      <c r="B3818" s="2" t="inlineStr">
        <is>
          <t>insert</t>
        </is>
      </c>
      <c r="C3818" s="2" t="inlineStr">
        <is>
          <t>openssl TLS 1.2 only</t>
        </is>
      </c>
      <c r="D3818" s="2" t="n">
        <v>225</v>
      </c>
      <c r="E3818" s="2" t="n">
        <v>225</v>
      </c>
      <c r="F3818" s="2" t="n">
        <v>1</v>
      </c>
      <c r="G3818" s="2" t="n">
        <v>1</v>
      </c>
      <c r="H3818" s="2" t="n">
        <v>1</v>
      </c>
      <c r="I3818" s="2" t="n">
        <v>0</v>
      </c>
    </row>
    <row r="3819">
      <c r="A3819" s="2" t="n">
        <v>3817</v>
      </c>
      <c r="B3819" s="2" t="inlineStr">
        <is>
          <t>flip</t>
        </is>
      </c>
      <c r="C3819" s="2" t="inlineStr">
        <is>
          <t>browser chrome150</t>
        </is>
      </c>
      <c r="D3819" s="2" t="n">
        <v>1763</v>
      </c>
      <c r="E3819" s="2" t="n">
        <v>1763</v>
      </c>
      <c r="F3819" s="2" t="n">
        <v>1</v>
      </c>
      <c r="G3819" s="2" t="n">
        <v>1</v>
      </c>
      <c r="H3819" s="2" t="n">
        <v>1</v>
      </c>
      <c r="I3819" s="2" t="n">
        <v>0</v>
      </c>
    </row>
    <row r="3820">
      <c r="A3820" s="2" t="n">
        <v>3818</v>
      </c>
      <c r="B3820" s="2" t="inlineStr">
        <is>
          <t>truncate</t>
        </is>
      </c>
      <c r="C3820" s="2" t="inlineStr">
        <is>
          <t>openssl 3.5.8 default</t>
        </is>
      </c>
      <c r="D3820" s="2" t="n">
        <v>574</v>
      </c>
      <c r="E3820" s="2" t="n">
        <v>574</v>
      </c>
      <c r="F3820" s="2" t="n">
        <v>1</v>
      </c>
      <c r="G3820" s="2" t="n">
        <v>1</v>
      </c>
      <c r="H3820" s="2" t="n">
        <v>1</v>
      </c>
      <c r="I3820" s="2" t="n">
        <v>0</v>
      </c>
    </row>
    <row r="3821">
      <c r="A3821" s="2" t="n">
        <v>3819</v>
      </c>
      <c r="B3821" s="2" t="inlineStr">
        <is>
          <t>length</t>
        </is>
      </c>
      <c r="C3821" s="2" t="inlineStr">
        <is>
          <t>browser chrome150</t>
        </is>
      </c>
      <c r="D3821" s="2" t="n">
        <v>1763</v>
      </c>
      <c r="E3821" s="2" t="n">
        <v>1763</v>
      </c>
      <c r="F3821" s="2" t="n">
        <v>0</v>
      </c>
      <c r="G3821" s="2" t="n">
        <v>0</v>
      </c>
      <c r="H3821" s="2" t="n">
        <v>0</v>
      </c>
      <c r="I3821" s="2" t="n">
        <v>0</v>
      </c>
    </row>
    <row r="3822">
      <c r="A3822" s="2" t="n">
        <v>3820</v>
      </c>
      <c r="B3822" s="2" t="inlineStr">
        <is>
          <t>insert</t>
        </is>
      </c>
      <c r="C3822" s="2" t="inlineStr">
        <is>
          <t>openssl 3.5.8 default</t>
        </is>
      </c>
      <c r="D3822" s="2" t="n">
        <v>1556</v>
      </c>
      <c r="E3822" s="2" t="n">
        <v>1556</v>
      </c>
      <c r="F3822" s="2" t="n">
        <v>1</v>
      </c>
      <c r="G3822" s="2" t="n">
        <v>1</v>
      </c>
      <c r="H3822" s="2" t="n">
        <v>1</v>
      </c>
      <c r="I3822" s="2" t="n">
        <v>0</v>
      </c>
    </row>
    <row r="3823">
      <c r="A3823" s="2" t="n">
        <v>3821</v>
      </c>
      <c r="B3823" s="2" t="inlineStr">
        <is>
          <t>flip</t>
        </is>
      </c>
      <c r="C3823" s="2" t="inlineStr">
        <is>
          <t>browser firefox147</t>
        </is>
      </c>
      <c r="D3823" s="2" t="n">
        <v>1901</v>
      </c>
      <c r="E3823" s="2" t="n">
        <v>1901</v>
      </c>
      <c r="F3823" s="2" t="n">
        <v>1</v>
      </c>
      <c r="G3823" s="2" t="n">
        <v>1</v>
      </c>
      <c r="H3823" s="2" t="n">
        <v>0</v>
      </c>
      <c r="I3823" s="2" t="n">
        <v>0</v>
      </c>
    </row>
    <row r="3824">
      <c r="A3824" s="2" t="n">
        <v>3822</v>
      </c>
      <c r="B3824" s="2" t="inlineStr">
        <is>
          <t>truncate</t>
        </is>
      </c>
      <c r="C3824" s="2" t="inlineStr">
        <is>
          <t>openssl 3.5.8 default</t>
        </is>
      </c>
      <c r="D3824" s="2" t="n">
        <v>747</v>
      </c>
      <c r="E3824" s="2" t="n">
        <v>747</v>
      </c>
      <c r="F3824" s="2" t="n">
        <v>1</v>
      </c>
      <c r="G3824" s="2" t="n">
        <v>1</v>
      </c>
      <c r="H3824" s="2" t="n">
        <v>1</v>
      </c>
      <c r="I3824" s="2" t="n">
        <v>0</v>
      </c>
    </row>
    <row r="3825">
      <c r="A3825" s="2" t="n">
        <v>3823</v>
      </c>
      <c r="B3825" s="2" t="inlineStr">
        <is>
          <t>length</t>
        </is>
      </c>
      <c r="C3825" s="2" t="inlineStr">
        <is>
          <t>browser firefox147</t>
        </is>
      </c>
      <c r="D3825" s="2" t="n">
        <v>1901</v>
      </c>
      <c r="E3825" s="2" t="n">
        <v>1901</v>
      </c>
      <c r="F3825" s="2" t="n">
        <v>1</v>
      </c>
      <c r="G3825" s="2" t="n">
        <v>1</v>
      </c>
      <c r="H3825" s="2" t="n">
        <v>1</v>
      </c>
      <c r="I3825" s="2" t="n">
        <v>0</v>
      </c>
    </row>
    <row r="3826">
      <c r="A3826" s="2" t="n">
        <v>3824</v>
      </c>
      <c r="B3826" s="2" t="inlineStr">
        <is>
          <t>insert</t>
        </is>
      </c>
      <c r="C3826" s="2" t="inlineStr">
        <is>
          <t>browser firefox147</t>
        </is>
      </c>
      <c r="D3826" s="2" t="n">
        <v>1913</v>
      </c>
      <c r="E3826" s="2" t="n">
        <v>1913</v>
      </c>
      <c r="F3826" s="2" t="n">
        <v>1</v>
      </c>
      <c r="G3826" s="2" t="n">
        <v>1</v>
      </c>
      <c r="H3826" s="2" t="n">
        <v>0</v>
      </c>
      <c r="I3826" s="2" t="n">
        <v>0</v>
      </c>
    </row>
    <row r="3827">
      <c r="A3827" s="2" t="n">
        <v>3825</v>
      </c>
      <c r="B3827" s="2" t="inlineStr">
        <is>
          <t>flip</t>
        </is>
      </c>
      <c r="C3827" s="2" t="inlineStr">
        <is>
          <t>browser chrome150</t>
        </is>
      </c>
      <c r="D3827" s="2" t="n">
        <v>1763</v>
      </c>
      <c r="E3827" s="2" t="n">
        <v>1763</v>
      </c>
      <c r="F3827" s="2" t="n">
        <v>1</v>
      </c>
      <c r="G3827" s="2" t="n">
        <v>1</v>
      </c>
      <c r="H3827" s="2" t="n">
        <v>0</v>
      </c>
      <c r="I3827" s="2" t="n">
        <v>0</v>
      </c>
    </row>
    <row r="3828">
      <c r="A3828" s="2" t="n">
        <v>3826</v>
      </c>
      <c r="B3828" s="2" t="inlineStr">
        <is>
          <t>truncate</t>
        </is>
      </c>
      <c r="C3828" s="2" t="inlineStr">
        <is>
          <t>browser firefox147</t>
        </is>
      </c>
      <c r="D3828" s="2" t="n">
        <v>853</v>
      </c>
      <c r="E3828" s="2" t="n">
        <v>853</v>
      </c>
      <c r="F3828" s="2" t="n">
        <v>1</v>
      </c>
      <c r="G3828" s="2" t="n">
        <v>1</v>
      </c>
      <c r="H3828" s="2" t="n">
        <v>0</v>
      </c>
      <c r="I3828" s="2" t="n">
        <v>0</v>
      </c>
    </row>
    <row r="3829">
      <c r="A3829" s="2" t="n">
        <v>3827</v>
      </c>
      <c r="B3829" s="2" t="inlineStr">
        <is>
          <t>length</t>
        </is>
      </c>
      <c r="C3829" s="2" t="inlineStr">
        <is>
          <t>openssl X25519 only (classical)</t>
        </is>
      </c>
      <c r="D3829" s="2" t="n">
        <v>314</v>
      </c>
      <c r="E3829" s="2" t="n">
        <v>314</v>
      </c>
      <c r="F3829" s="2" t="n">
        <v>1</v>
      </c>
      <c r="G3829" s="2" t="n">
        <v>0</v>
      </c>
      <c r="H3829" s="2" t="n">
        <v>0</v>
      </c>
      <c r="I3829" s="2" t="n">
        <v>0</v>
      </c>
    </row>
    <row r="3830">
      <c r="A3830" s="2" t="n">
        <v>3828</v>
      </c>
      <c r="B3830" s="2" t="inlineStr">
        <is>
          <t>insert</t>
        </is>
      </c>
      <c r="C3830" s="2" t="inlineStr">
        <is>
          <t>openssl TLS 1.2 only</t>
        </is>
      </c>
      <c r="D3830" s="2" t="n">
        <v>219</v>
      </c>
      <c r="E3830" s="2" t="n">
        <v>219</v>
      </c>
      <c r="F3830" s="2" t="n">
        <v>1</v>
      </c>
      <c r="G3830" s="2" t="n">
        <v>1</v>
      </c>
      <c r="H3830" s="2" t="n">
        <v>1</v>
      </c>
      <c r="I3830" s="2" t="n">
        <v>0</v>
      </c>
    </row>
    <row r="3831">
      <c r="A3831" s="2" t="n">
        <v>3829</v>
      </c>
      <c r="B3831" s="2" t="inlineStr">
        <is>
          <t>flip</t>
        </is>
      </c>
      <c r="C3831" s="2" t="inlineStr">
        <is>
          <t>openssl 3.5.8 default</t>
        </is>
      </c>
      <c r="D3831" s="2" t="n">
        <v>1548</v>
      </c>
      <c r="E3831" s="2" t="n">
        <v>1548</v>
      </c>
      <c r="F3831" s="2" t="n">
        <v>1</v>
      </c>
      <c r="G3831" s="2" t="n">
        <v>1</v>
      </c>
      <c r="H3831" s="2" t="n">
        <v>1</v>
      </c>
      <c r="I3831" s="2" t="n">
        <v>0</v>
      </c>
    </row>
    <row r="3832">
      <c r="A3832" s="2" t="n">
        <v>3830</v>
      </c>
      <c r="B3832" s="2" t="inlineStr">
        <is>
          <t>truncate</t>
        </is>
      </c>
      <c r="C3832" s="2" t="inlineStr">
        <is>
          <t>openssl X25519 only (classical)</t>
        </is>
      </c>
      <c r="D3832" s="2" t="n">
        <v>146</v>
      </c>
      <c r="E3832" s="2" t="n">
        <v>146</v>
      </c>
      <c r="F3832" s="2" t="n">
        <v>1</v>
      </c>
      <c r="G3832" s="2" t="n">
        <v>1</v>
      </c>
      <c r="H3832" s="2" t="n">
        <v>0</v>
      </c>
      <c r="I3832" s="2" t="n">
        <v>0</v>
      </c>
    </row>
    <row r="3833">
      <c r="A3833" s="2" t="n">
        <v>3831</v>
      </c>
      <c r="B3833" s="2" t="inlineStr">
        <is>
          <t>length</t>
        </is>
      </c>
      <c r="C3833" s="2" t="inlineStr">
        <is>
          <t>browser firefox147</t>
        </is>
      </c>
      <c r="D3833" s="2" t="n">
        <v>1901</v>
      </c>
      <c r="E3833" s="2" t="n">
        <v>1901</v>
      </c>
      <c r="F3833" s="2" t="n">
        <v>1</v>
      </c>
      <c r="G3833" s="2" t="n">
        <v>1</v>
      </c>
      <c r="H3833" s="2" t="n">
        <v>1</v>
      </c>
      <c r="I3833" s="2" t="n">
        <v>0</v>
      </c>
    </row>
    <row r="3834">
      <c r="A3834" s="2" t="n">
        <v>3832</v>
      </c>
      <c r="B3834" s="2" t="inlineStr">
        <is>
          <t>insert</t>
        </is>
      </c>
      <c r="C3834" s="2" t="inlineStr">
        <is>
          <t>browser firefox147</t>
        </is>
      </c>
      <c r="D3834" s="2" t="n">
        <v>1913</v>
      </c>
      <c r="E3834" s="2" t="n">
        <v>1913</v>
      </c>
      <c r="F3834" s="2" t="n">
        <v>1</v>
      </c>
      <c r="G3834" s="2" t="n">
        <v>1</v>
      </c>
      <c r="H3834" s="2" t="n">
        <v>0</v>
      </c>
      <c r="I3834" s="2" t="n">
        <v>0</v>
      </c>
    </row>
    <row r="3835">
      <c r="A3835" s="2" t="n">
        <v>3833</v>
      </c>
      <c r="B3835" s="2" t="inlineStr">
        <is>
          <t>flip</t>
        </is>
      </c>
      <c r="C3835" s="2" t="inlineStr">
        <is>
          <t>openssl X25519 only (classical)</t>
        </is>
      </c>
      <c r="D3835" s="2" t="n">
        <v>314</v>
      </c>
      <c r="E3835" s="2" t="n">
        <v>314</v>
      </c>
      <c r="F3835" s="2" t="n">
        <v>1</v>
      </c>
      <c r="G3835" s="2" t="n">
        <v>1</v>
      </c>
      <c r="H3835" s="2" t="n">
        <v>1</v>
      </c>
      <c r="I3835" s="2" t="n">
        <v>0</v>
      </c>
    </row>
    <row r="3836">
      <c r="A3836" s="2" t="n">
        <v>3834</v>
      </c>
      <c r="B3836" s="2" t="inlineStr">
        <is>
          <t>truncate</t>
        </is>
      </c>
      <c r="C3836" s="2" t="inlineStr">
        <is>
          <t>openssl TLS 1.2 only</t>
        </is>
      </c>
      <c r="D3836" s="2" t="n">
        <v>139</v>
      </c>
      <c r="E3836" s="2" t="n">
        <v>139</v>
      </c>
      <c r="F3836" s="2" t="n">
        <v>1</v>
      </c>
      <c r="G3836" s="2" t="n">
        <v>1</v>
      </c>
      <c r="H3836" s="2" t="n">
        <v>0</v>
      </c>
      <c r="I3836" s="2" t="n">
        <v>0</v>
      </c>
    </row>
    <row r="3837">
      <c r="A3837" s="2" t="n">
        <v>3835</v>
      </c>
      <c r="B3837" s="2" t="inlineStr">
        <is>
          <t>length</t>
        </is>
      </c>
      <c r="C3837" s="2" t="inlineStr">
        <is>
          <t>openssl X25519 only (classical)</t>
        </is>
      </c>
      <c r="D3837" s="2" t="n">
        <v>314</v>
      </c>
      <c r="E3837" s="2" t="n">
        <v>314</v>
      </c>
      <c r="F3837" s="2" t="n">
        <v>0</v>
      </c>
      <c r="G3837" s="2" t="n">
        <v>0</v>
      </c>
      <c r="H3837" s="2" t="n">
        <v>0</v>
      </c>
      <c r="I3837" s="2" t="n">
        <v>0</v>
      </c>
    </row>
    <row r="3838">
      <c r="A3838" s="2" t="n">
        <v>3836</v>
      </c>
      <c r="B3838" s="2" t="inlineStr">
        <is>
          <t>insert</t>
        </is>
      </c>
      <c r="C3838" s="2" t="inlineStr">
        <is>
          <t>browser chrome150</t>
        </is>
      </c>
      <c r="D3838" s="2" t="n">
        <v>1769</v>
      </c>
      <c r="E3838" s="2" t="n">
        <v>1769</v>
      </c>
      <c r="F3838" s="2" t="n">
        <v>1</v>
      </c>
      <c r="G3838" s="2" t="n">
        <v>1</v>
      </c>
      <c r="H3838" s="2" t="n">
        <v>1</v>
      </c>
      <c r="I3838" s="2" t="n">
        <v>0</v>
      </c>
    </row>
    <row r="3839">
      <c r="A3839" s="2" t="n">
        <v>3837</v>
      </c>
      <c r="B3839" s="2" t="inlineStr">
        <is>
          <t>flip</t>
        </is>
      </c>
      <c r="C3839" s="2" t="inlineStr">
        <is>
          <t>browser chrome150</t>
        </is>
      </c>
      <c r="D3839" s="2" t="n">
        <v>1763</v>
      </c>
      <c r="E3839" s="2" t="n">
        <v>1763</v>
      </c>
      <c r="F3839" s="2" t="n">
        <v>1</v>
      </c>
      <c r="G3839" s="2" t="n">
        <v>1</v>
      </c>
      <c r="H3839" s="2" t="n">
        <v>1</v>
      </c>
      <c r="I3839" s="2" t="n">
        <v>0</v>
      </c>
    </row>
    <row r="3840">
      <c r="A3840" s="2" t="n">
        <v>3838</v>
      </c>
      <c r="B3840" s="2" t="inlineStr">
        <is>
          <t>truncate</t>
        </is>
      </c>
      <c r="C3840" s="2" t="inlineStr">
        <is>
          <t>browser firefox147</t>
        </is>
      </c>
      <c r="D3840" s="2" t="n">
        <v>85</v>
      </c>
      <c r="E3840" s="2" t="n">
        <v>85</v>
      </c>
      <c r="F3840" s="2" t="n">
        <v>1</v>
      </c>
      <c r="G3840" s="2" t="n">
        <v>0</v>
      </c>
      <c r="H3840" s="2" t="n">
        <v>0</v>
      </c>
      <c r="I3840" s="2" t="n">
        <v>0</v>
      </c>
    </row>
    <row r="3841">
      <c r="A3841" s="2" t="n">
        <v>3839</v>
      </c>
      <c r="B3841" s="2" t="inlineStr">
        <is>
          <t>length</t>
        </is>
      </c>
      <c r="C3841" s="2" t="inlineStr">
        <is>
          <t>browser chrome150</t>
        </is>
      </c>
      <c r="D3841" s="2" t="n">
        <v>1763</v>
      </c>
      <c r="E3841" s="2" t="n">
        <v>1763</v>
      </c>
      <c r="F3841" s="2" t="n">
        <v>1</v>
      </c>
      <c r="G3841" s="2" t="n">
        <v>1</v>
      </c>
      <c r="H3841" s="2" t="n">
        <v>0</v>
      </c>
      <c r="I3841" s="2" t="n">
        <v>0</v>
      </c>
    </row>
    <row r="3842">
      <c r="A3842" s="2" t="n">
        <v>3840</v>
      </c>
      <c r="B3842" s="2" t="inlineStr">
        <is>
          <t>insert</t>
        </is>
      </c>
      <c r="C3842" s="2" t="inlineStr">
        <is>
          <t>openssl 3.5.8 default</t>
        </is>
      </c>
      <c r="D3842" s="2" t="n">
        <v>1560</v>
      </c>
      <c r="E3842" s="2" t="n">
        <v>1560</v>
      </c>
      <c r="F3842" s="2" t="n">
        <v>1</v>
      </c>
      <c r="G3842" s="2" t="n">
        <v>1</v>
      </c>
      <c r="H3842" s="2" t="n">
        <v>1</v>
      </c>
      <c r="I3842" s="2" t="n">
        <v>0</v>
      </c>
    </row>
    <row r="3843">
      <c r="A3843" s="2" t="n">
        <v>3841</v>
      </c>
      <c r="B3843" s="2" t="inlineStr">
        <is>
          <t>flip</t>
        </is>
      </c>
      <c r="C3843" s="2" t="inlineStr">
        <is>
          <t>browser chrome150</t>
        </is>
      </c>
      <c r="D3843" s="2" t="n">
        <v>1763</v>
      </c>
      <c r="E3843" s="2" t="n">
        <v>1763</v>
      </c>
      <c r="F3843" s="2" t="n">
        <v>1</v>
      </c>
      <c r="G3843" s="2" t="n">
        <v>1</v>
      </c>
      <c r="H3843" s="2" t="n">
        <v>1</v>
      </c>
      <c r="I3843" s="2" t="n">
        <v>0</v>
      </c>
    </row>
    <row r="3844">
      <c r="A3844" s="2" t="n">
        <v>3842</v>
      </c>
      <c r="B3844" s="2" t="inlineStr">
        <is>
          <t>truncate</t>
        </is>
      </c>
      <c r="C3844" s="2" t="inlineStr">
        <is>
          <t>openssl X25519 only (classical)</t>
        </is>
      </c>
      <c r="D3844" s="2" t="n">
        <v>137</v>
      </c>
      <c r="E3844" s="2" t="n">
        <v>137</v>
      </c>
      <c r="F3844" s="2" t="n">
        <v>1</v>
      </c>
      <c r="G3844" s="2" t="n">
        <v>0</v>
      </c>
      <c r="H3844" s="2" t="n">
        <v>0</v>
      </c>
      <c r="I3844" s="2" t="n">
        <v>0</v>
      </c>
    </row>
    <row r="3845">
      <c r="A3845" s="2" t="n">
        <v>3843</v>
      </c>
      <c r="B3845" s="2" t="inlineStr">
        <is>
          <t>length</t>
        </is>
      </c>
      <c r="C3845" s="2" t="inlineStr">
        <is>
          <t>browser chrome150</t>
        </is>
      </c>
      <c r="D3845" s="2" t="n">
        <v>1763</v>
      </c>
      <c r="E3845" s="2" t="n">
        <v>1763</v>
      </c>
      <c r="F3845" s="2" t="n">
        <v>1</v>
      </c>
      <c r="G3845" s="2" t="n">
        <v>1</v>
      </c>
      <c r="H3845" s="2" t="n">
        <v>1</v>
      </c>
      <c r="I3845" s="2" t="n">
        <v>0</v>
      </c>
    </row>
    <row r="3846">
      <c r="A3846" s="2" t="n">
        <v>3844</v>
      </c>
      <c r="B3846" s="2" t="inlineStr">
        <is>
          <t>insert</t>
        </is>
      </c>
      <c r="C3846" s="2" t="inlineStr">
        <is>
          <t>openssl 3.5.8 default</t>
        </is>
      </c>
      <c r="D3846" s="2" t="n">
        <v>1558</v>
      </c>
      <c r="E3846" s="2" t="n">
        <v>1558</v>
      </c>
      <c r="F3846" s="2" t="n">
        <v>1</v>
      </c>
      <c r="G3846" s="2" t="n">
        <v>1</v>
      </c>
      <c r="H3846" s="2" t="n">
        <v>1</v>
      </c>
      <c r="I3846" s="2" t="n">
        <v>0</v>
      </c>
    </row>
    <row r="3847">
      <c r="A3847" s="2" t="n">
        <v>3845</v>
      </c>
      <c r="B3847" s="2" t="inlineStr">
        <is>
          <t>flip</t>
        </is>
      </c>
      <c r="C3847" s="2" t="inlineStr">
        <is>
          <t>openssl 3.5.8 default</t>
        </is>
      </c>
      <c r="D3847" s="2" t="n">
        <v>1548</v>
      </c>
      <c r="E3847" s="2" t="n">
        <v>1548</v>
      </c>
      <c r="F3847" s="2" t="n">
        <v>1</v>
      </c>
      <c r="G3847" s="2" t="n">
        <v>1</v>
      </c>
      <c r="H3847" s="2" t="n">
        <v>1</v>
      </c>
      <c r="I3847" s="2" t="n">
        <v>0</v>
      </c>
    </row>
    <row r="3848">
      <c r="A3848" s="2" t="n">
        <v>3846</v>
      </c>
      <c r="B3848" s="2" t="inlineStr">
        <is>
          <t>truncate</t>
        </is>
      </c>
      <c r="C3848" s="2" t="inlineStr">
        <is>
          <t>browser chrome150</t>
        </is>
      </c>
      <c r="D3848" s="2" t="n">
        <v>332</v>
      </c>
      <c r="E3848" s="2" t="n">
        <v>332</v>
      </c>
      <c r="F3848" s="2" t="n">
        <v>1</v>
      </c>
      <c r="G3848" s="2" t="n">
        <v>1</v>
      </c>
      <c r="H3848" s="2" t="n">
        <v>1</v>
      </c>
      <c r="I3848" s="2" t="n">
        <v>0</v>
      </c>
    </row>
    <row r="3849">
      <c r="A3849" s="2" t="n">
        <v>3847</v>
      </c>
      <c r="B3849" s="2" t="inlineStr">
        <is>
          <t>length</t>
        </is>
      </c>
      <c r="C3849" s="2" t="inlineStr">
        <is>
          <t>openssl 3.5.8 default</t>
        </is>
      </c>
      <c r="D3849" s="2" t="n">
        <v>1548</v>
      </c>
      <c r="E3849" s="2" t="n">
        <v>1548</v>
      </c>
      <c r="F3849" s="2" t="n">
        <v>0</v>
      </c>
      <c r="G3849" s="2" t="n">
        <v>0</v>
      </c>
      <c r="H3849" s="2" t="n">
        <v>0</v>
      </c>
      <c r="I3849" s="2" t="n">
        <v>0</v>
      </c>
    </row>
    <row r="3850">
      <c r="A3850" s="2" t="n">
        <v>3848</v>
      </c>
      <c r="B3850" s="2" t="inlineStr">
        <is>
          <t>insert</t>
        </is>
      </c>
      <c r="C3850" s="2" t="inlineStr">
        <is>
          <t>browser firefox147</t>
        </is>
      </c>
      <c r="D3850" s="2" t="n">
        <v>1914</v>
      </c>
      <c r="E3850" s="2" t="n">
        <v>1914</v>
      </c>
      <c r="F3850" s="2" t="n">
        <v>1</v>
      </c>
      <c r="G3850" s="2" t="n">
        <v>1</v>
      </c>
      <c r="H3850" s="2" t="n">
        <v>0</v>
      </c>
      <c r="I3850" s="2" t="n">
        <v>0</v>
      </c>
    </row>
    <row r="3851">
      <c r="A3851" s="2" t="n">
        <v>3849</v>
      </c>
      <c r="B3851" s="2" t="inlineStr">
        <is>
          <t>flip</t>
        </is>
      </c>
      <c r="C3851" s="2" t="inlineStr">
        <is>
          <t>openssl TLS 1.2 only</t>
        </is>
      </c>
      <c r="D3851" s="2" t="n">
        <v>215</v>
      </c>
      <c r="E3851" s="2" t="n">
        <v>215</v>
      </c>
      <c r="F3851" s="2" t="n">
        <v>1</v>
      </c>
      <c r="G3851" s="2" t="n">
        <v>1</v>
      </c>
      <c r="H3851" s="2" t="n">
        <v>1</v>
      </c>
      <c r="I3851" s="2" t="n">
        <v>0</v>
      </c>
    </row>
    <row r="3852">
      <c r="A3852" s="2" t="n">
        <v>3850</v>
      </c>
      <c r="B3852" s="2" t="inlineStr">
        <is>
          <t>truncate</t>
        </is>
      </c>
      <c r="C3852" s="2" t="inlineStr">
        <is>
          <t>browser chrome150</t>
        </is>
      </c>
      <c r="D3852" s="2" t="n">
        <v>879</v>
      </c>
      <c r="E3852" s="2" t="n">
        <v>879</v>
      </c>
      <c r="F3852" s="2" t="n">
        <v>1</v>
      </c>
      <c r="G3852" s="2" t="n">
        <v>1</v>
      </c>
      <c r="H3852" s="2" t="n">
        <v>1</v>
      </c>
      <c r="I3852" s="2" t="n">
        <v>0</v>
      </c>
    </row>
    <row r="3853">
      <c r="A3853" s="2" t="n">
        <v>3851</v>
      </c>
      <c r="B3853" s="2" t="inlineStr">
        <is>
          <t>length</t>
        </is>
      </c>
      <c r="C3853" s="2" t="inlineStr">
        <is>
          <t>openssl TLS 1.2 only</t>
        </is>
      </c>
      <c r="D3853" s="2" t="n">
        <v>215</v>
      </c>
      <c r="E3853" s="2" t="n">
        <v>215</v>
      </c>
      <c r="F3853" s="2" t="n">
        <v>1</v>
      </c>
      <c r="G3853" s="2" t="n">
        <v>1</v>
      </c>
      <c r="H3853" s="2" t="n">
        <v>1</v>
      </c>
      <c r="I3853" s="2" t="n">
        <v>0</v>
      </c>
    </row>
    <row r="3854">
      <c r="A3854" s="2" t="n">
        <v>3852</v>
      </c>
      <c r="B3854" s="2" t="inlineStr">
        <is>
          <t>insert</t>
        </is>
      </c>
      <c r="C3854" s="2" t="inlineStr">
        <is>
          <t>browser firefox147</t>
        </is>
      </c>
      <c r="D3854" s="2" t="n">
        <v>1915</v>
      </c>
      <c r="E3854" s="2" t="n">
        <v>1915</v>
      </c>
      <c r="F3854" s="2" t="n">
        <v>1</v>
      </c>
      <c r="G3854" s="2" t="n">
        <v>1</v>
      </c>
      <c r="H3854" s="2" t="n">
        <v>0</v>
      </c>
      <c r="I3854" s="2" t="n">
        <v>0</v>
      </c>
    </row>
    <row r="3855">
      <c r="A3855" s="2" t="n">
        <v>3853</v>
      </c>
      <c r="B3855" s="2" t="inlineStr">
        <is>
          <t>flip</t>
        </is>
      </c>
      <c r="C3855" s="2" t="inlineStr">
        <is>
          <t>openssl 3.5.8 default</t>
        </is>
      </c>
      <c r="D3855" s="2" t="n">
        <v>1548</v>
      </c>
      <c r="E3855" s="2" t="n">
        <v>1548</v>
      </c>
      <c r="F3855" s="2" t="n">
        <v>1</v>
      </c>
      <c r="G3855" s="2" t="n">
        <v>1</v>
      </c>
      <c r="H3855" s="2" t="n">
        <v>1</v>
      </c>
      <c r="I3855" s="2" t="n">
        <v>0</v>
      </c>
    </row>
    <row r="3856">
      <c r="A3856" s="2" t="n">
        <v>3854</v>
      </c>
      <c r="B3856" s="2" t="inlineStr">
        <is>
          <t>truncate</t>
        </is>
      </c>
      <c r="C3856" s="2" t="inlineStr">
        <is>
          <t>browser chrome150</t>
        </is>
      </c>
      <c r="D3856" s="2" t="n">
        <v>1143</v>
      </c>
      <c r="E3856" s="2" t="n">
        <v>1143</v>
      </c>
      <c r="F3856" s="2" t="n">
        <v>1</v>
      </c>
      <c r="G3856" s="2" t="n">
        <v>1</v>
      </c>
      <c r="H3856" s="2" t="n">
        <v>1</v>
      </c>
      <c r="I3856" s="2" t="n">
        <v>0</v>
      </c>
    </row>
    <row r="3857">
      <c r="A3857" s="2" t="n">
        <v>3855</v>
      </c>
      <c r="B3857" s="2" t="inlineStr">
        <is>
          <t>length</t>
        </is>
      </c>
      <c r="C3857" s="2" t="inlineStr">
        <is>
          <t>browser firefox147</t>
        </is>
      </c>
      <c r="D3857" s="2" t="n">
        <v>1901</v>
      </c>
      <c r="E3857" s="2" t="n">
        <v>1901</v>
      </c>
      <c r="F3857" s="2" t="n">
        <v>1</v>
      </c>
      <c r="G3857" s="2" t="n">
        <v>0</v>
      </c>
      <c r="H3857" s="2" t="n">
        <v>0</v>
      </c>
      <c r="I3857" s="2" t="n">
        <v>0</v>
      </c>
    </row>
    <row r="3858">
      <c r="A3858" s="2" t="n">
        <v>3856</v>
      </c>
      <c r="B3858" s="2" t="inlineStr">
        <is>
          <t>insert</t>
        </is>
      </c>
      <c r="C3858" s="2" t="inlineStr">
        <is>
          <t>openssl 3.5.8 default</t>
        </is>
      </c>
      <c r="D3858" s="2" t="n">
        <v>1551</v>
      </c>
      <c r="E3858" s="2" t="n">
        <v>1551</v>
      </c>
      <c r="F3858" s="2" t="n">
        <v>1</v>
      </c>
      <c r="G3858" s="2" t="n">
        <v>1</v>
      </c>
      <c r="H3858" s="2" t="n">
        <v>1</v>
      </c>
      <c r="I3858" s="2" t="n">
        <v>0</v>
      </c>
    </row>
    <row r="3859">
      <c r="A3859" s="2" t="n">
        <v>3857</v>
      </c>
      <c r="B3859" s="2" t="inlineStr">
        <is>
          <t>flip</t>
        </is>
      </c>
      <c r="C3859" s="2" t="inlineStr">
        <is>
          <t>browser firefox147</t>
        </is>
      </c>
      <c r="D3859" s="2" t="n">
        <v>1901</v>
      </c>
      <c r="E3859" s="2" t="n">
        <v>1901</v>
      </c>
      <c r="F3859" s="2" t="n">
        <v>1</v>
      </c>
      <c r="G3859" s="2" t="n">
        <v>1</v>
      </c>
      <c r="H3859" s="2" t="n">
        <v>0</v>
      </c>
      <c r="I3859" s="2" t="n">
        <v>0</v>
      </c>
    </row>
    <row r="3860">
      <c r="A3860" s="2" t="n">
        <v>3858</v>
      </c>
      <c r="B3860" s="2" t="inlineStr">
        <is>
          <t>truncate</t>
        </is>
      </c>
      <c r="C3860" s="2" t="inlineStr">
        <is>
          <t>openssl TLS 1.2 only</t>
        </is>
      </c>
      <c r="D3860" s="2" t="n">
        <v>121</v>
      </c>
      <c r="E3860" s="2" t="n">
        <v>121</v>
      </c>
      <c r="F3860" s="2" t="n">
        <v>1</v>
      </c>
      <c r="G3860" s="2" t="n">
        <v>1</v>
      </c>
      <c r="H3860" s="2" t="n">
        <v>0</v>
      </c>
      <c r="I3860" s="2" t="n">
        <v>0</v>
      </c>
    </row>
    <row r="3861">
      <c r="A3861" s="2" t="n">
        <v>3859</v>
      </c>
      <c r="B3861" s="2" t="inlineStr">
        <is>
          <t>length</t>
        </is>
      </c>
      <c r="C3861" s="2" t="inlineStr">
        <is>
          <t>browser firefox147</t>
        </is>
      </c>
      <c r="D3861" s="2" t="n">
        <v>1901</v>
      </c>
      <c r="E3861" s="2" t="n">
        <v>1901</v>
      </c>
      <c r="F3861" s="2" t="n">
        <v>1</v>
      </c>
      <c r="G3861" s="2" t="n">
        <v>0</v>
      </c>
      <c r="H3861" s="2" t="n">
        <v>0</v>
      </c>
      <c r="I3861" s="2" t="n">
        <v>0</v>
      </c>
    </row>
    <row r="3862">
      <c r="A3862" s="2" t="n">
        <v>3860</v>
      </c>
      <c r="B3862" s="2" t="inlineStr">
        <is>
          <t>insert</t>
        </is>
      </c>
      <c r="C3862" s="2" t="inlineStr">
        <is>
          <t>openssl 3.5.8 default</t>
        </is>
      </c>
      <c r="D3862" s="2" t="n">
        <v>1561</v>
      </c>
      <c r="E3862" s="2" t="n">
        <v>1561</v>
      </c>
      <c r="F3862" s="2" t="n">
        <v>1</v>
      </c>
      <c r="G3862" s="2" t="n">
        <v>1</v>
      </c>
      <c r="H3862" s="2" t="n">
        <v>1</v>
      </c>
      <c r="I3862" s="2" t="n">
        <v>0</v>
      </c>
    </row>
    <row r="3863">
      <c r="A3863" s="2" t="n">
        <v>3861</v>
      </c>
      <c r="B3863" s="2" t="inlineStr">
        <is>
          <t>flip</t>
        </is>
      </c>
      <c r="C3863" s="2" t="inlineStr">
        <is>
          <t>openssl TLS 1.2 only</t>
        </is>
      </c>
      <c r="D3863" s="2" t="n">
        <v>215</v>
      </c>
      <c r="E3863" s="2" t="n">
        <v>215</v>
      </c>
      <c r="F3863" s="2" t="n">
        <v>1</v>
      </c>
      <c r="G3863" s="2" t="n">
        <v>1</v>
      </c>
      <c r="H3863" s="2" t="n">
        <v>1</v>
      </c>
      <c r="I3863" s="2" t="n">
        <v>0</v>
      </c>
    </row>
    <row r="3864">
      <c r="A3864" s="2" t="n">
        <v>3862</v>
      </c>
      <c r="B3864" s="2" t="inlineStr">
        <is>
          <t>truncate</t>
        </is>
      </c>
      <c r="C3864" s="2" t="inlineStr">
        <is>
          <t>browser firefox147</t>
        </is>
      </c>
      <c r="D3864" s="2" t="n">
        <v>1008</v>
      </c>
      <c r="E3864" s="2" t="n">
        <v>1008</v>
      </c>
      <c r="F3864" s="2" t="n">
        <v>1</v>
      </c>
      <c r="G3864" s="2" t="n">
        <v>1</v>
      </c>
      <c r="H3864" s="2" t="n">
        <v>0</v>
      </c>
      <c r="I3864" s="2" t="n">
        <v>0</v>
      </c>
    </row>
    <row r="3865">
      <c r="A3865" s="2" t="n">
        <v>3863</v>
      </c>
      <c r="B3865" s="2" t="inlineStr">
        <is>
          <t>length</t>
        </is>
      </c>
      <c r="C3865" s="2" t="inlineStr">
        <is>
          <t>browser firefox147</t>
        </is>
      </c>
      <c r="D3865" s="2" t="n">
        <v>1901</v>
      </c>
      <c r="E3865" s="2" t="n">
        <v>1901</v>
      </c>
      <c r="F3865" s="2" t="n">
        <v>1</v>
      </c>
      <c r="G3865" s="2" t="n">
        <v>0</v>
      </c>
      <c r="H3865" s="2" t="n">
        <v>0</v>
      </c>
      <c r="I3865" s="2" t="n">
        <v>0</v>
      </c>
    </row>
    <row r="3866">
      <c r="A3866" s="2" t="n">
        <v>3864</v>
      </c>
      <c r="B3866" s="2" t="inlineStr">
        <is>
          <t>insert</t>
        </is>
      </c>
      <c r="C3866" s="2" t="inlineStr">
        <is>
          <t>browser chrome150</t>
        </is>
      </c>
      <c r="D3866" s="2" t="n">
        <v>1771</v>
      </c>
      <c r="E3866" s="2" t="n">
        <v>1771</v>
      </c>
      <c r="F3866" s="2" t="n">
        <v>1</v>
      </c>
      <c r="G3866" s="2" t="n">
        <v>1</v>
      </c>
      <c r="H3866" s="2" t="n">
        <v>1</v>
      </c>
      <c r="I3866" s="2" t="n">
        <v>0</v>
      </c>
    </row>
    <row r="3867">
      <c r="A3867" s="2" t="n">
        <v>3865</v>
      </c>
      <c r="B3867" s="2" t="inlineStr">
        <is>
          <t>flip</t>
        </is>
      </c>
      <c r="C3867" s="2" t="inlineStr">
        <is>
          <t>openssl TLS 1.2 only</t>
        </is>
      </c>
      <c r="D3867" s="2" t="n">
        <v>215</v>
      </c>
      <c r="E3867" s="2" t="n">
        <v>215</v>
      </c>
      <c r="F3867" s="2" t="n">
        <v>1</v>
      </c>
      <c r="G3867" s="2" t="n">
        <v>1</v>
      </c>
      <c r="H3867" s="2" t="n">
        <v>1</v>
      </c>
      <c r="I3867" s="2" t="n">
        <v>0</v>
      </c>
    </row>
    <row r="3868">
      <c r="A3868" s="2" t="n">
        <v>3866</v>
      </c>
      <c r="B3868" s="2" t="inlineStr">
        <is>
          <t>truncate</t>
        </is>
      </c>
      <c r="C3868" s="2" t="inlineStr">
        <is>
          <t>openssl TLS 1.2 only</t>
        </is>
      </c>
      <c r="D3868" s="2" t="n">
        <v>46</v>
      </c>
      <c r="E3868" s="2" t="n">
        <v>46</v>
      </c>
      <c r="F3868" s="2" t="n">
        <v>1</v>
      </c>
      <c r="G3868" s="2" t="n">
        <v>0</v>
      </c>
      <c r="H3868" s="2" t="n">
        <v>0</v>
      </c>
      <c r="I3868" s="2" t="n">
        <v>0</v>
      </c>
    </row>
    <row r="3869">
      <c r="A3869" s="2" t="n">
        <v>3867</v>
      </c>
      <c r="B3869" s="2" t="inlineStr">
        <is>
          <t>length</t>
        </is>
      </c>
      <c r="C3869" s="2" t="inlineStr">
        <is>
          <t>openssl 3.5.8 default</t>
        </is>
      </c>
      <c r="D3869" s="2" t="n">
        <v>1548</v>
      </c>
      <c r="E3869" s="2" t="n">
        <v>1548</v>
      </c>
      <c r="F3869" s="2" t="n">
        <v>1</v>
      </c>
      <c r="G3869" s="2" t="n">
        <v>1</v>
      </c>
      <c r="H3869" s="2" t="n">
        <v>0</v>
      </c>
      <c r="I3869" s="2" t="n">
        <v>0</v>
      </c>
    </row>
    <row r="3870">
      <c r="A3870" s="2" t="n">
        <v>3868</v>
      </c>
      <c r="B3870" s="2" t="inlineStr">
        <is>
          <t>insert</t>
        </is>
      </c>
      <c r="C3870" s="2" t="inlineStr">
        <is>
          <t>openssl 3.5.8 default</t>
        </is>
      </c>
      <c r="D3870" s="2" t="n">
        <v>1557</v>
      </c>
      <c r="E3870" s="2" t="n">
        <v>1557</v>
      </c>
      <c r="F3870" s="2" t="n">
        <v>1</v>
      </c>
      <c r="G3870" s="2" t="n">
        <v>1</v>
      </c>
      <c r="H3870" s="2" t="n">
        <v>1</v>
      </c>
      <c r="I3870" s="2" t="n">
        <v>0</v>
      </c>
    </row>
    <row r="3871">
      <c r="A3871" s="2" t="n">
        <v>3869</v>
      </c>
      <c r="B3871" s="2" t="inlineStr">
        <is>
          <t>flip</t>
        </is>
      </c>
      <c r="C3871" s="2" t="inlineStr">
        <is>
          <t>openssl 3.5.8 default</t>
        </is>
      </c>
      <c r="D3871" s="2" t="n">
        <v>1548</v>
      </c>
      <c r="E3871" s="2" t="n">
        <v>1548</v>
      </c>
      <c r="F3871" s="2" t="n">
        <v>0</v>
      </c>
      <c r="G3871" s="2" t="n">
        <v>0</v>
      </c>
      <c r="H3871" s="2" t="n">
        <v>0</v>
      </c>
      <c r="I3871" s="2" t="n">
        <v>0</v>
      </c>
    </row>
    <row r="3872">
      <c r="A3872" s="2" t="n">
        <v>3870</v>
      </c>
      <c r="B3872" s="2" t="inlineStr">
        <is>
          <t>truncate</t>
        </is>
      </c>
      <c r="C3872" s="2" t="inlineStr">
        <is>
          <t>browser firefox147</t>
        </is>
      </c>
      <c r="D3872" s="2" t="n">
        <v>1854</v>
      </c>
      <c r="E3872" s="2" t="n">
        <v>1854</v>
      </c>
      <c r="F3872" s="2" t="n">
        <v>1</v>
      </c>
      <c r="G3872" s="2" t="n">
        <v>1</v>
      </c>
      <c r="H3872" s="2" t="n">
        <v>0</v>
      </c>
      <c r="I3872" s="2" t="n">
        <v>0</v>
      </c>
    </row>
    <row r="3873">
      <c r="A3873" s="2" t="n">
        <v>3871</v>
      </c>
      <c r="B3873" s="2" t="inlineStr">
        <is>
          <t>length</t>
        </is>
      </c>
      <c r="C3873" s="2" t="inlineStr">
        <is>
          <t>browser chrome150</t>
        </is>
      </c>
      <c r="D3873" s="2" t="n">
        <v>1763</v>
      </c>
      <c r="E3873" s="2" t="n">
        <v>1763</v>
      </c>
      <c r="F3873" s="2" t="n">
        <v>1</v>
      </c>
      <c r="G3873" s="2" t="n">
        <v>0</v>
      </c>
      <c r="H3873" s="2" t="n">
        <v>0</v>
      </c>
      <c r="I3873" s="2" t="n">
        <v>0</v>
      </c>
    </row>
    <row r="3874">
      <c r="A3874" s="2" t="n">
        <v>3872</v>
      </c>
      <c r="B3874" s="2" t="inlineStr">
        <is>
          <t>insert</t>
        </is>
      </c>
      <c r="C3874" s="2" t="inlineStr">
        <is>
          <t>openssl X25519 only (classical)</t>
        </is>
      </c>
      <c r="D3874" s="2" t="n">
        <v>327</v>
      </c>
      <c r="E3874" s="2" t="n">
        <v>327</v>
      </c>
      <c r="F3874" s="2" t="n">
        <v>1</v>
      </c>
      <c r="G3874" s="2" t="n">
        <v>0</v>
      </c>
      <c r="H3874" s="2" t="n">
        <v>0</v>
      </c>
      <c r="I3874" s="2" t="n">
        <v>0</v>
      </c>
    </row>
    <row r="3875">
      <c r="A3875" s="2" t="n">
        <v>3873</v>
      </c>
      <c r="B3875" s="2" t="inlineStr">
        <is>
          <t>flip</t>
        </is>
      </c>
      <c r="C3875" s="2" t="inlineStr">
        <is>
          <t>openssl TLS 1.2 only</t>
        </is>
      </c>
      <c r="D3875" s="2" t="n">
        <v>215</v>
      </c>
      <c r="E3875" s="2" t="n">
        <v>215</v>
      </c>
      <c r="F3875" s="2" t="n">
        <v>1</v>
      </c>
      <c r="G3875" s="2" t="n">
        <v>1</v>
      </c>
      <c r="H3875" s="2" t="n">
        <v>1</v>
      </c>
      <c r="I3875" s="2" t="n">
        <v>0</v>
      </c>
    </row>
    <row r="3876">
      <c r="A3876" s="2" t="n">
        <v>3874</v>
      </c>
      <c r="B3876" s="2" t="inlineStr">
        <is>
          <t>truncate</t>
        </is>
      </c>
      <c r="C3876" s="2" t="inlineStr">
        <is>
          <t>browser firefox147</t>
        </is>
      </c>
      <c r="D3876" s="2" t="n">
        <v>1299</v>
      </c>
      <c r="E3876" s="2" t="n">
        <v>1299</v>
      </c>
      <c r="F3876" s="2" t="n">
        <v>1</v>
      </c>
      <c r="G3876" s="2" t="n">
        <v>1</v>
      </c>
      <c r="H3876" s="2" t="n">
        <v>0</v>
      </c>
      <c r="I3876" s="2" t="n">
        <v>0</v>
      </c>
    </row>
    <row r="3877">
      <c r="A3877" s="2" t="n">
        <v>3875</v>
      </c>
      <c r="B3877" s="2" t="inlineStr">
        <is>
          <t>length</t>
        </is>
      </c>
      <c r="C3877" s="2" t="inlineStr">
        <is>
          <t>browser firefox147</t>
        </is>
      </c>
      <c r="D3877" s="2" t="n">
        <v>1901</v>
      </c>
      <c r="E3877" s="2" t="n">
        <v>1901</v>
      </c>
      <c r="F3877" s="2" t="n">
        <v>0</v>
      </c>
      <c r="G3877" s="2" t="n">
        <v>0</v>
      </c>
      <c r="H3877" s="2" t="n">
        <v>0</v>
      </c>
      <c r="I3877" s="2" t="n">
        <v>0</v>
      </c>
    </row>
    <row r="3878">
      <c r="A3878" s="2" t="n">
        <v>3876</v>
      </c>
      <c r="B3878" s="2" t="inlineStr">
        <is>
          <t>insert</t>
        </is>
      </c>
      <c r="C3878" s="2" t="inlineStr">
        <is>
          <t>browser firefox147</t>
        </is>
      </c>
      <c r="D3878" s="2" t="n">
        <v>1906</v>
      </c>
      <c r="E3878" s="2" t="n">
        <v>1906</v>
      </c>
      <c r="F3878" s="2" t="n">
        <v>1</v>
      </c>
      <c r="G3878" s="2" t="n">
        <v>0</v>
      </c>
      <c r="H3878" s="2" t="n">
        <v>0</v>
      </c>
      <c r="I3878" s="2" t="n">
        <v>0</v>
      </c>
    </row>
    <row r="3879">
      <c r="A3879" s="2" t="n">
        <v>3877</v>
      </c>
      <c r="B3879" s="2" t="inlineStr">
        <is>
          <t>flip</t>
        </is>
      </c>
      <c r="C3879" s="2" t="inlineStr">
        <is>
          <t>browser firefox147</t>
        </is>
      </c>
      <c r="D3879" s="2" t="n">
        <v>1901</v>
      </c>
      <c r="E3879" s="2" t="n">
        <v>1901</v>
      </c>
      <c r="F3879" s="2" t="n">
        <v>1</v>
      </c>
      <c r="G3879" s="2" t="n">
        <v>1</v>
      </c>
      <c r="H3879" s="2" t="n">
        <v>0</v>
      </c>
      <c r="I3879" s="2" t="n">
        <v>0</v>
      </c>
    </row>
    <row r="3880">
      <c r="A3880" s="2" t="n">
        <v>3878</v>
      </c>
      <c r="B3880" s="2" t="inlineStr">
        <is>
          <t>truncate</t>
        </is>
      </c>
      <c r="C3880" s="2" t="inlineStr">
        <is>
          <t>browser firefox147</t>
        </is>
      </c>
      <c r="D3880" s="2" t="n">
        <v>1167</v>
      </c>
      <c r="E3880" s="2" t="n">
        <v>1167</v>
      </c>
      <c r="F3880" s="2" t="n">
        <v>1</v>
      </c>
      <c r="G3880" s="2" t="n">
        <v>1</v>
      </c>
      <c r="H3880" s="2" t="n">
        <v>0</v>
      </c>
      <c r="I3880" s="2" t="n">
        <v>0</v>
      </c>
    </row>
    <row r="3881">
      <c r="A3881" s="2" t="n">
        <v>3879</v>
      </c>
      <c r="B3881" s="2" t="inlineStr">
        <is>
          <t>length</t>
        </is>
      </c>
      <c r="C3881" s="2" t="inlineStr">
        <is>
          <t>browser chrome150</t>
        </is>
      </c>
      <c r="D3881" s="2" t="n">
        <v>1763</v>
      </c>
      <c r="E3881" s="2" t="n">
        <v>1763</v>
      </c>
      <c r="F3881" s="2" t="n">
        <v>1</v>
      </c>
      <c r="G3881" s="2" t="n">
        <v>1</v>
      </c>
      <c r="H3881" s="2" t="n">
        <v>1</v>
      </c>
      <c r="I3881" s="2" t="n">
        <v>0</v>
      </c>
    </row>
    <row r="3882">
      <c r="A3882" s="2" t="n">
        <v>3880</v>
      </c>
      <c r="B3882" s="2" t="inlineStr">
        <is>
          <t>insert</t>
        </is>
      </c>
      <c r="C3882" s="2" t="inlineStr">
        <is>
          <t>browser firefox147</t>
        </is>
      </c>
      <c r="D3882" s="2" t="n">
        <v>1908</v>
      </c>
      <c r="E3882" s="2" t="n">
        <v>1908</v>
      </c>
      <c r="F3882" s="2" t="n">
        <v>1</v>
      </c>
      <c r="G3882" s="2" t="n">
        <v>1</v>
      </c>
      <c r="H3882" s="2" t="n">
        <v>0</v>
      </c>
      <c r="I3882" s="2" t="n">
        <v>0</v>
      </c>
    </row>
    <row r="3883">
      <c r="A3883" s="2" t="n">
        <v>3881</v>
      </c>
      <c r="B3883" s="2" t="inlineStr">
        <is>
          <t>flip</t>
        </is>
      </c>
      <c r="C3883" s="2" t="inlineStr">
        <is>
          <t>browser firefox147</t>
        </is>
      </c>
      <c r="D3883" s="2" t="n">
        <v>1901</v>
      </c>
      <c r="E3883" s="2" t="n">
        <v>1901</v>
      </c>
      <c r="F3883" s="2" t="n">
        <v>1</v>
      </c>
      <c r="G3883" s="2" t="n">
        <v>1</v>
      </c>
      <c r="H3883" s="2" t="n">
        <v>0</v>
      </c>
      <c r="I3883" s="2" t="n">
        <v>0</v>
      </c>
    </row>
    <row r="3884">
      <c r="A3884" s="2" t="n">
        <v>3882</v>
      </c>
      <c r="B3884" s="2" t="inlineStr">
        <is>
          <t>truncate</t>
        </is>
      </c>
      <c r="C3884" s="2" t="inlineStr">
        <is>
          <t>browser firefox147</t>
        </is>
      </c>
      <c r="D3884" s="2" t="n">
        <v>796</v>
      </c>
      <c r="E3884" s="2" t="n">
        <v>796</v>
      </c>
      <c r="F3884" s="2" t="n">
        <v>1</v>
      </c>
      <c r="G3884" s="2" t="n">
        <v>1</v>
      </c>
      <c r="H3884" s="2" t="n">
        <v>0</v>
      </c>
      <c r="I3884" s="2" t="n">
        <v>0</v>
      </c>
    </row>
    <row r="3885">
      <c r="A3885" s="2" t="n">
        <v>3883</v>
      </c>
      <c r="B3885" s="2" t="inlineStr">
        <is>
          <t>length</t>
        </is>
      </c>
      <c r="C3885" s="2" t="inlineStr">
        <is>
          <t>browser chrome150</t>
        </is>
      </c>
      <c r="D3885" s="2" t="n">
        <v>1763</v>
      </c>
      <c r="E3885" s="2" t="n">
        <v>1763</v>
      </c>
      <c r="F3885" s="2" t="n">
        <v>0</v>
      </c>
      <c r="G3885" s="2" t="n">
        <v>0</v>
      </c>
      <c r="H3885" s="2" t="n">
        <v>0</v>
      </c>
      <c r="I3885" s="2" t="n">
        <v>0</v>
      </c>
    </row>
    <row r="3886">
      <c r="A3886" s="2" t="n">
        <v>3884</v>
      </c>
      <c r="B3886" s="2" t="inlineStr">
        <is>
          <t>insert</t>
        </is>
      </c>
      <c r="C3886" s="2" t="inlineStr">
        <is>
          <t>openssl 3.5.8 default</t>
        </is>
      </c>
      <c r="D3886" s="2" t="n">
        <v>1562</v>
      </c>
      <c r="E3886" s="2" t="n">
        <v>1562</v>
      </c>
      <c r="F3886" s="2" t="n">
        <v>1</v>
      </c>
      <c r="G3886" s="2" t="n">
        <v>0</v>
      </c>
      <c r="H3886" s="2" t="n">
        <v>0</v>
      </c>
      <c r="I3886" s="2" t="n">
        <v>0</v>
      </c>
    </row>
    <row r="3887">
      <c r="A3887" s="2" t="n">
        <v>3885</v>
      </c>
      <c r="B3887" s="2" t="inlineStr">
        <is>
          <t>flip</t>
        </is>
      </c>
      <c r="C3887" s="2" t="inlineStr">
        <is>
          <t>browser firefox147</t>
        </is>
      </c>
      <c r="D3887" s="2" t="n">
        <v>1901</v>
      </c>
      <c r="E3887" s="2" t="n">
        <v>1901</v>
      </c>
      <c r="F3887" s="2" t="n">
        <v>1</v>
      </c>
      <c r="G3887" s="2" t="n">
        <v>1</v>
      </c>
      <c r="H3887" s="2" t="n">
        <v>0</v>
      </c>
      <c r="I3887" s="2" t="n">
        <v>0</v>
      </c>
    </row>
    <row r="3888">
      <c r="A3888" s="2" t="n">
        <v>3886</v>
      </c>
      <c r="B3888" s="2" t="inlineStr">
        <is>
          <t>truncate</t>
        </is>
      </c>
      <c r="C3888" s="2" t="inlineStr">
        <is>
          <t>openssl 3.5.8 default</t>
        </is>
      </c>
      <c r="D3888" s="2" t="n">
        <v>731</v>
      </c>
      <c r="E3888" s="2" t="n">
        <v>731</v>
      </c>
      <c r="F3888" s="2" t="n">
        <v>1</v>
      </c>
      <c r="G3888" s="2" t="n">
        <v>1</v>
      </c>
      <c r="H3888" s="2" t="n">
        <v>1</v>
      </c>
      <c r="I3888" s="2" t="n">
        <v>0</v>
      </c>
    </row>
    <row r="3889">
      <c r="A3889" s="2" t="n">
        <v>3887</v>
      </c>
      <c r="B3889" s="2" t="inlineStr">
        <is>
          <t>length</t>
        </is>
      </c>
      <c r="C3889" s="2" t="inlineStr">
        <is>
          <t>openssl 3.5.8 default</t>
        </is>
      </c>
      <c r="D3889" s="2" t="n">
        <v>1548</v>
      </c>
      <c r="E3889" s="2" t="n">
        <v>1548</v>
      </c>
      <c r="F3889" s="2" t="n">
        <v>1</v>
      </c>
      <c r="G3889" s="2" t="n">
        <v>1</v>
      </c>
      <c r="H3889" s="2" t="n">
        <v>1</v>
      </c>
      <c r="I3889" s="2" t="n">
        <v>0</v>
      </c>
    </row>
    <row r="3890">
      <c r="A3890" s="2" t="n">
        <v>3888</v>
      </c>
      <c r="B3890" s="2" t="inlineStr">
        <is>
          <t>insert</t>
        </is>
      </c>
      <c r="C3890" s="2" t="inlineStr">
        <is>
          <t>browser firefox147</t>
        </is>
      </c>
      <c r="D3890" s="2" t="n">
        <v>1915</v>
      </c>
      <c r="E3890" s="2" t="n">
        <v>1915</v>
      </c>
      <c r="F3890" s="2" t="n">
        <v>1</v>
      </c>
      <c r="G3890" s="2" t="n">
        <v>1</v>
      </c>
      <c r="H3890" s="2" t="n">
        <v>0</v>
      </c>
      <c r="I3890" s="2" t="n">
        <v>0</v>
      </c>
    </row>
    <row r="3891">
      <c r="A3891" s="2" t="n">
        <v>3889</v>
      </c>
      <c r="B3891" s="2" t="inlineStr">
        <is>
          <t>flip</t>
        </is>
      </c>
      <c r="C3891" s="2" t="inlineStr">
        <is>
          <t>browser firefox147</t>
        </is>
      </c>
      <c r="D3891" s="2" t="n">
        <v>1901</v>
      </c>
      <c r="E3891" s="2" t="n">
        <v>1901</v>
      </c>
      <c r="F3891" s="2" t="n">
        <v>1</v>
      </c>
      <c r="G3891" s="2" t="n">
        <v>1</v>
      </c>
      <c r="H3891" s="2" t="n">
        <v>0</v>
      </c>
      <c r="I3891" s="2" t="n">
        <v>0</v>
      </c>
    </row>
    <row r="3892">
      <c r="A3892" s="2" t="n">
        <v>3890</v>
      </c>
      <c r="B3892" s="2" t="inlineStr">
        <is>
          <t>truncate</t>
        </is>
      </c>
      <c r="C3892" s="2" t="inlineStr">
        <is>
          <t>openssl 3.5.8 default</t>
        </is>
      </c>
      <c r="D3892" s="2" t="n">
        <v>216</v>
      </c>
      <c r="E3892" s="2" t="n">
        <v>216</v>
      </c>
      <c r="F3892" s="2" t="n">
        <v>1</v>
      </c>
      <c r="G3892" s="2" t="n">
        <v>1</v>
      </c>
      <c r="H3892" s="2" t="n">
        <v>0</v>
      </c>
      <c r="I3892" s="2" t="n">
        <v>0</v>
      </c>
    </row>
    <row r="3893">
      <c r="A3893" s="2" t="n">
        <v>3891</v>
      </c>
      <c r="B3893" s="2" t="inlineStr">
        <is>
          <t>length</t>
        </is>
      </c>
      <c r="C3893" s="2" t="inlineStr">
        <is>
          <t>browser firefox147</t>
        </is>
      </c>
      <c r="D3893" s="2" t="n">
        <v>1901</v>
      </c>
      <c r="E3893" s="2" t="n">
        <v>1901</v>
      </c>
      <c r="F3893" s="2" t="n">
        <v>1</v>
      </c>
      <c r="G3893" s="2" t="n">
        <v>1</v>
      </c>
      <c r="H3893" s="2" t="n">
        <v>0</v>
      </c>
      <c r="I3893" s="2" t="n">
        <v>0</v>
      </c>
    </row>
    <row r="3894">
      <c r="A3894" s="2" t="n">
        <v>3892</v>
      </c>
      <c r="B3894" s="2" t="inlineStr">
        <is>
          <t>insert</t>
        </is>
      </c>
      <c r="C3894" s="2" t="inlineStr">
        <is>
          <t>browser firefox147</t>
        </is>
      </c>
      <c r="D3894" s="2" t="n">
        <v>1905</v>
      </c>
      <c r="E3894" s="2" t="n">
        <v>1905</v>
      </c>
      <c r="F3894" s="2" t="n">
        <v>1</v>
      </c>
      <c r="G3894" s="2" t="n">
        <v>1</v>
      </c>
      <c r="H3894" s="2" t="n">
        <v>0</v>
      </c>
      <c r="I3894" s="2" t="n">
        <v>0</v>
      </c>
    </row>
    <row r="3895">
      <c r="A3895" s="2" t="n">
        <v>3893</v>
      </c>
      <c r="B3895" s="2" t="inlineStr">
        <is>
          <t>flip</t>
        </is>
      </c>
      <c r="C3895" s="2" t="inlineStr">
        <is>
          <t>browser chrome150</t>
        </is>
      </c>
      <c r="D3895" s="2" t="n">
        <v>1763</v>
      </c>
      <c r="E3895" s="2" t="n">
        <v>1763</v>
      </c>
      <c r="F3895" s="2" t="n">
        <v>1</v>
      </c>
      <c r="G3895" s="2" t="n">
        <v>1</v>
      </c>
      <c r="H3895" s="2" t="n">
        <v>1</v>
      </c>
      <c r="I3895" s="2" t="n">
        <v>0</v>
      </c>
    </row>
    <row r="3896">
      <c r="A3896" s="2" t="n">
        <v>3894</v>
      </c>
      <c r="B3896" s="2" t="inlineStr">
        <is>
          <t>truncate</t>
        </is>
      </c>
      <c r="C3896" s="2" t="inlineStr">
        <is>
          <t>openssl TLS 1.2 only</t>
        </is>
      </c>
      <c r="D3896" s="2" t="n">
        <v>139</v>
      </c>
      <c r="E3896" s="2" t="n">
        <v>139</v>
      </c>
      <c r="F3896" s="2" t="n">
        <v>1</v>
      </c>
      <c r="G3896" s="2" t="n">
        <v>1</v>
      </c>
      <c r="H3896" s="2" t="n">
        <v>0</v>
      </c>
      <c r="I3896" s="2" t="n">
        <v>0</v>
      </c>
    </row>
    <row r="3897">
      <c r="A3897" s="2" t="n">
        <v>3895</v>
      </c>
      <c r="B3897" s="2" t="inlineStr">
        <is>
          <t>length</t>
        </is>
      </c>
      <c r="C3897" s="2" t="inlineStr">
        <is>
          <t>browser chrome150</t>
        </is>
      </c>
      <c r="D3897" s="2" t="n">
        <v>1763</v>
      </c>
      <c r="E3897" s="2" t="n">
        <v>1763</v>
      </c>
      <c r="F3897" s="2" t="n">
        <v>1</v>
      </c>
      <c r="G3897" s="2" t="n">
        <v>1</v>
      </c>
      <c r="H3897" s="2" t="n">
        <v>1</v>
      </c>
      <c r="I3897" s="2" t="n">
        <v>0</v>
      </c>
    </row>
    <row r="3898">
      <c r="A3898" s="2" t="n">
        <v>3896</v>
      </c>
      <c r="B3898" s="2" t="inlineStr">
        <is>
          <t>insert</t>
        </is>
      </c>
      <c r="C3898" s="2" t="inlineStr">
        <is>
          <t>browser firefox147</t>
        </is>
      </c>
      <c r="D3898" s="2" t="n">
        <v>1914</v>
      </c>
      <c r="E3898" s="2" t="n">
        <v>1914</v>
      </c>
      <c r="F3898" s="2" t="n">
        <v>1</v>
      </c>
      <c r="G3898" s="2" t="n">
        <v>1</v>
      </c>
      <c r="H3898" s="2" t="n">
        <v>0</v>
      </c>
      <c r="I3898" s="2" t="n">
        <v>0</v>
      </c>
    </row>
    <row r="3899">
      <c r="A3899" s="2" t="n">
        <v>3897</v>
      </c>
      <c r="B3899" s="2" t="inlineStr">
        <is>
          <t>flip</t>
        </is>
      </c>
      <c r="C3899" s="2" t="inlineStr">
        <is>
          <t>openssl TLS 1.2 only</t>
        </is>
      </c>
      <c r="D3899" s="2" t="n">
        <v>215</v>
      </c>
      <c r="E3899" s="2" t="n">
        <v>215</v>
      </c>
      <c r="F3899" s="2" t="n">
        <v>1</v>
      </c>
      <c r="G3899" s="2" t="n">
        <v>1</v>
      </c>
      <c r="H3899" s="2" t="n">
        <v>1</v>
      </c>
      <c r="I3899" s="2" t="n">
        <v>0</v>
      </c>
    </row>
    <row r="3900">
      <c r="A3900" s="2" t="n">
        <v>3898</v>
      </c>
      <c r="B3900" s="2" t="inlineStr">
        <is>
          <t>truncate</t>
        </is>
      </c>
      <c r="C3900" s="2" t="inlineStr">
        <is>
          <t>browser firefox147</t>
        </is>
      </c>
      <c r="D3900" s="2" t="n">
        <v>394</v>
      </c>
      <c r="E3900" s="2" t="n">
        <v>394</v>
      </c>
      <c r="F3900" s="2" t="n">
        <v>1</v>
      </c>
      <c r="G3900" s="2" t="n">
        <v>1</v>
      </c>
      <c r="H3900" s="2" t="n">
        <v>0</v>
      </c>
      <c r="I3900" s="2" t="n">
        <v>0</v>
      </c>
    </row>
    <row r="3901">
      <c r="A3901" s="2" t="n">
        <v>3899</v>
      </c>
      <c r="B3901" s="2" t="inlineStr">
        <is>
          <t>length</t>
        </is>
      </c>
      <c r="C3901" s="2" t="inlineStr">
        <is>
          <t>openssl TLS 1.2 only</t>
        </is>
      </c>
      <c r="D3901" s="2" t="n">
        <v>215</v>
      </c>
      <c r="E3901" s="2" t="n">
        <v>215</v>
      </c>
      <c r="F3901" s="2" t="n">
        <v>1</v>
      </c>
      <c r="G3901" s="2" t="n">
        <v>1</v>
      </c>
      <c r="H3901" s="2" t="n">
        <v>1</v>
      </c>
      <c r="I3901" s="2" t="n">
        <v>0</v>
      </c>
    </row>
    <row r="3902">
      <c r="A3902" s="2" t="n">
        <v>3900</v>
      </c>
      <c r="B3902" s="2" t="inlineStr">
        <is>
          <t>insert</t>
        </is>
      </c>
      <c r="C3902" s="2" t="inlineStr">
        <is>
          <t>openssl 3.5.8 default</t>
        </is>
      </c>
      <c r="D3902" s="2" t="n">
        <v>1562</v>
      </c>
      <c r="E3902" s="2" t="n">
        <v>1562</v>
      </c>
      <c r="F3902" s="2" t="n">
        <v>1</v>
      </c>
      <c r="G3902" s="2" t="n">
        <v>1</v>
      </c>
      <c r="H3902" s="2" t="n">
        <v>1</v>
      </c>
      <c r="I3902" s="2" t="n">
        <v>0</v>
      </c>
    </row>
    <row r="3903">
      <c r="A3903" s="2" t="n">
        <v>3901</v>
      </c>
      <c r="B3903" s="2" t="inlineStr">
        <is>
          <t>flip</t>
        </is>
      </c>
      <c r="C3903" s="2" t="inlineStr">
        <is>
          <t>openssl TLS 1.2 only</t>
        </is>
      </c>
      <c r="D3903" s="2" t="n">
        <v>215</v>
      </c>
      <c r="E3903" s="2" t="n">
        <v>215</v>
      </c>
      <c r="F3903" s="2" t="n">
        <v>1</v>
      </c>
      <c r="G3903" s="2" t="n">
        <v>1</v>
      </c>
      <c r="H3903" s="2" t="n">
        <v>1</v>
      </c>
      <c r="I3903" s="2" t="n">
        <v>0</v>
      </c>
    </row>
    <row r="3904">
      <c r="A3904" s="2" t="n">
        <v>3902</v>
      </c>
      <c r="B3904" s="2" t="inlineStr">
        <is>
          <t>truncate</t>
        </is>
      </c>
      <c r="C3904" s="2" t="inlineStr">
        <is>
          <t>browser chrome150</t>
        </is>
      </c>
      <c r="D3904" s="2" t="n">
        <v>1516</v>
      </c>
      <c r="E3904" s="2" t="n">
        <v>1516</v>
      </c>
      <c r="F3904" s="2" t="n">
        <v>1</v>
      </c>
      <c r="G3904" s="2" t="n">
        <v>1</v>
      </c>
      <c r="H3904" s="2" t="n">
        <v>1</v>
      </c>
      <c r="I3904" s="2" t="n">
        <v>0</v>
      </c>
    </row>
    <row r="3905">
      <c r="A3905" s="2" t="n">
        <v>3903</v>
      </c>
      <c r="B3905" s="2" t="inlineStr">
        <is>
          <t>length</t>
        </is>
      </c>
      <c r="C3905" s="2" t="inlineStr">
        <is>
          <t>openssl 3.5.8 default</t>
        </is>
      </c>
      <c r="D3905" s="2" t="n">
        <v>1548</v>
      </c>
      <c r="E3905" s="2" t="n">
        <v>1548</v>
      </c>
      <c r="F3905" s="2" t="n">
        <v>1</v>
      </c>
      <c r="G3905" s="2" t="n">
        <v>1</v>
      </c>
      <c r="H3905" s="2" t="n">
        <v>1</v>
      </c>
      <c r="I3905" s="2" t="n">
        <v>0</v>
      </c>
    </row>
    <row r="3906">
      <c r="A3906" s="2" t="n">
        <v>3904</v>
      </c>
      <c r="B3906" s="2" t="inlineStr">
        <is>
          <t>insert</t>
        </is>
      </c>
      <c r="C3906" s="2" t="inlineStr">
        <is>
          <t>openssl X25519 only (classical)</t>
        </is>
      </c>
      <c r="D3906" s="2" t="n">
        <v>323</v>
      </c>
      <c r="E3906" s="2" t="n">
        <v>323</v>
      </c>
      <c r="F3906" s="2" t="n">
        <v>1</v>
      </c>
      <c r="G3906" s="2" t="n">
        <v>1</v>
      </c>
      <c r="H3906" s="2" t="n">
        <v>1</v>
      </c>
      <c r="I3906" s="2" t="n">
        <v>0</v>
      </c>
    </row>
    <row r="3907">
      <c r="A3907" s="2" t="n">
        <v>3905</v>
      </c>
      <c r="B3907" s="2" t="inlineStr">
        <is>
          <t>flip</t>
        </is>
      </c>
      <c r="C3907" s="2" t="inlineStr">
        <is>
          <t>openssl 3.5.8 default</t>
        </is>
      </c>
      <c r="D3907" s="2" t="n">
        <v>1548</v>
      </c>
      <c r="E3907" s="2" t="n">
        <v>1548</v>
      </c>
      <c r="F3907" s="2" t="n">
        <v>1</v>
      </c>
      <c r="G3907" s="2" t="n">
        <v>1</v>
      </c>
      <c r="H3907" s="2" t="n">
        <v>1</v>
      </c>
      <c r="I3907" s="2" t="n">
        <v>0</v>
      </c>
    </row>
    <row r="3908">
      <c r="A3908" s="2" t="n">
        <v>3906</v>
      </c>
      <c r="B3908" s="2" t="inlineStr">
        <is>
          <t>truncate</t>
        </is>
      </c>
      <c r="C3908" s="2" t="inlineStr">
        <is>
          <t>browser firefox147</t>
        </is>
      </c>
      <c r="D3908" s="2" t="n">
        <v>1404</v>
      </c>
      <c r="E3908" s="2" t="n">
        <v>1404</v>
      </c>
      <c r="F3908" s="2" t="n">
        <v>1</v>
      </c>
      <c r="G3908" s="2" t="n">
        <v>1</v>
      </c>
      <c r="H3908" s="2" t="n">
        <v>0</v>
      </c>
      <c r="I3908" s="2" t="n">
        <v>0</v>
      </c>
    </row>
    <row r="3909">
      <c r="A3909" s="2" t="n">
        <v>3907</v>
      </c>
      <c r="B3909" s="2" t="inlineStr">
        <is>
          <t>length</t>
        </is>
      </c>
      <c r="C3909" s="2" t="inlineStr">
        <is>
          <t>browser chrome150</t>
        </is>
      </c>
      <c r="D3909" s="2" t="n">
        <v>1763</v>
      </c>
      <c r="E3909" s="2" t="n">
        <v>1763</v>
      </c>
      <c r="F3909" s="2" t="n">
        <v>1</v>
      </c>
      <c r="G3909" s="2" t="n">
        <v>1</v>
      </c>
      <c r="H3909" s="2" t="n">
        <v>1</v>
      </c>
      <c r="I3909" s="2" t="n">
        <v>0</v>
      </c>
    </row>
    <row r="3910">
      <c r="A3910" s="2" t="n">
        <v>3908</v>
      </c>
      <c r="B3910" s="2" t="inlineStr">
        <is>
          <t>insert</t>
        </is>
      </c>
      <c r="C3910" s="2" t="inlineStr">
        <is>
          <t>openssl 3.5.8 default</t>
        </is>
      </c>
      <c r="D3910" s="2" t="n">
        <v>1554</v>
      </c>
      <c r="E3910" s="2" t="n">
        <v>1554</v>
      </c>
      <c r="F3910" s="2" t="n">
        <v>1</v>
      </c>
      <c r="G3910" s="2" t="n">
        <v>1</v>
      </c>
      <c r="H3910" s="2" t="n">
        <v>0</v>
      </c>
      <c r="I3910" s="2" t="n">
        <v>0</v>
      </c>
    </row>
    <row r="3911">
      <c r="A3911" s="2" t="n">
        <v>3909</v>
      </c>
      <c r="B3911" s="2" t="inlineStr">
        <is>
          <t>flip</t>
        </is>
      </c>
      <c r="C3911" s="2" t="inlineStr">
        <is>
          <t>browser chrome150</t>
        </is>
      </c>
      <c r="D3911" s="2" t="n">
        <v>1763</v>
      </c>
      <c r="E3911" s="2" t="n">
        <v>1763</v>
      </c>
      <c r="F3911" s="2" t="n">
        <v>1</v>
      </c>
      <c r="G3911" s="2" t="n">
        <v>1</v>
      </c>
      <c r="H3911" s="2" t="n">
        <v>1</v>
      </c>
      <c r="I3911" s="2" t="n">
        <v>0</v>
      </c>
    </row>
    <row r="3912">
      <c r="A3912" s="2" t="n">
        <v>3910</v>
      </c>
      <c r="B3912" s="2" t="inlineStr">
        <is>
          <t>truncate</t>
        </is>
      </c>
      <c r="C3912" s="2" t="inlineStr">
        <is>
          <t>browser firefox147</t>
        </is>
      </c>
      <c r="D3912" s="2" t="n">
        <v>1305</v>
      </c>
      <c r="E3912" s="2" t="n">
        <v>1305</v>
      </c>
      <c r="F3912" s="2" t="n">
        <v>1</v>
      </c>
      <c r="G3912" s="2" t="n">
        <v>1</v>
      </c>
      <c r="H3912" s="2" t="n">
        <v>0</v>
      </c>
      <c r="I3912" s="2" t="n">
        <v>0</v>
      </c>
    </row>
    <row r="3913">
      <c r="A3913" s="2" t="n">
        <v>3911</v>
      </c>
      <c r="B3913" s="2" t="inlineStr">
        <is>
          <t>length</t>
        </is>
      </c>
      <c r="C3913" s="2" t="inlineStr">
        <is>
          <t>openssl X25519 only (classical)</t>
        </is>
      </c>
      <c r="D3913" s="2" t="n">
        <v>314</v>
      </c>
      <c r="E3913" s="2" t="n">
        <v>314</v>
      </c>
      <c r="F3913" s="2" t="n">
        <v>1</v>
      </c>
      <c r="G3913" s="2" t="n">
        <v>1</v>
      </c>
      <c r="H3913" s="2" t="n">
        <v>1</v>
      </c>
      <c r="I3913" s="2" t="n">
        <v>0</v>
      </c>
    </row>
    <row r="3914">
      <c r="A3914" s="2" t="n">
        <v>3912</v>
      </c>
      <c r="B3914" s="2" t="inlineStr">
        <is>
          <t>insert</t>
        </is>
      </c>
      <c r="C3914" s="2" t="inlineStr">
        <is>
          <t>openssl TLS 1.2 only</t>
        </is>
      </c>
      <c r="D3914" s="2" t="n">
        <v>218</v>
      </c>
      <c r="E3914" s="2" t="n">
        <v>218</v>
      </c>
      <c r="F3914" s="2" t="n">
        <v>1</v>
      </c>
      <c r="G3914" s="2" t="n">
        <v>1</v>
      </c>
      <c r="H3914" s="2" t="n">
        <v>1</v>
      </c>
      <c r="I3914" s="2" t="n">
        <v>0</v>
      </c>
    </row>
    <row r="3915">
      <c r="A3915" s="2" t="n">
        <v>3913</v>
      </c>
      <c r="B3915" s="2" t="inlineStr">
        <is>
          <t>flip</t>
        </is>
      </c>
      <c r="C3915" s="2" t="inlineStr">
        <is>
          <t>browser firefox147</t>
        </is>
      </c>
      <c r="D3915" s="2" t="n">
        <v>1901</v>
      </c>
      <c r="E3915" s="2" t="n">
        <v>1901</v>
      </c>
      <c r="F3915" s="2" t="n">
        <v>1</v>
      </c>
      <c r="G3915" s="2" t="n">
        <v>1</v>
      </c>
      <c r="H3915" s="2" t="n">
        <v>0</v>
      </c>
      <c r="I3915" s="2" t="n">
        <v>0</v>
      </c>
    </row>
    <row r="3916">
      <c r="A3916" s="2" t="n">
        <v>3914</v>
      </c>
      <c r="B3916" s="2" t="inlineStr">
        <is>
          <t>truncate</t>
        </is>
      </c>
      <c r="C3916" s="2" t="inlineStr">
        <is>
          <t>openssl 3.5.8 default</t>
        </is>
      </c>
      <c r="D3916" s="2" t="n">
        <v>379</v>
      </c>
      <c r="E3916" s="2" t="n">
        <v>379</v>
      </c>
      <c r="F3916" s="2" t="n">
        <v>1</v>
      </c>
      <c r="G3916" s="2" t="n">
        <v>1</v>
      </c>
      <c r="H3916" s="2" t="n">
        <v>1</v>
      </c>
      <c r="I3916" s="2" t="n">
        <v>0</v>
      </c>
    </row>
    <row r="3917">
      <c r="A3917" s="2" t="n">
        <v>3915</v>
      </c>
      <c r="B3917" s="2" t="inlineStr">
        <is>
          <t>length</t>
        </is>
      </c>
      <c r="C3917" s="2" t="inlineStr">
        <is>
          <t>openssl X25519 only (classical)</t>
        </is>
      </c>
      <c r="D3917" s="2" t="n">
        <v>314</v>
      </c>
      <c r="E3917" s="2" t="n">
        <v>314</v>
      </c>
      <c r="F3917" s="2" t="n">
        <v>1</v>
      </c>
      <c r="G3917" s="2" t="n">
        <v>1</v>
      </c>
      <c r="H3917" s="2" t="n">
        <v>1</v>
      </c>
      <c r="I3917" s="2" t="n">
        <v>0</v>
      </c>
    </row>
    <row r="3918">
      <c r="A3918" s="2" t="n">
        <v>3916</v>
      </c>
      <c r="B3918" s="2" t="inlineStr">
        <is>
          <t>insert</t>
        </is>
      </c>
      <c r="C3918" s="2" t="inlineStr">
        <is>
          <t>openssl TLS 1.2 only</t>
        </is>
      </c>
      <c r="D3918" s="2" t="n">
        <v>229</v>
      </c>
      <c r="E3918" s="2" t="n">
        <v>229</v>
      </c>
      <c r="F3918" s="2" t="n">
        <v>1</v>
      </c>
      <c r="G3918" s="2" t="n">
        <v>1</v>
      </c>
      <c r="H3918" s="2" t="n">
        <v>1</v>
      </c>
      <c r="I3918" s="2" t="n">
        <v>0</v>
      </c>
    </row>
    <row r="3919">
      <c r="A3919" s="2" t="n">
        <v>3917</v>
      </c>
      <c r="B3919" s="2" t="inlineStr">
        <is>
          <t>flip</t>
        </is>
      </c>
      <c r="C3919" s="2" t="inlineStr">
        <is>
          <t>openssl X25519 only (classical)</t>
        </is>
      </c>
      <c r="D3919" s="2" t="n">
        <v>314</v>
      </c>
      <c r="E3919" s="2" t="n">
        <v>314</v>
      </c>
      <c r="F3919" s="2" t="n">
        <v>1</v>
      </c>
      <c r="G3919" s="2" t="n">
        <v>1</v>
      </c>
      <c r="H3919" s="2" t="n">
        <v>1</v>
      </c>
      <c r="I3919" s="2" t="n">
        <v>0</v>
      </c>
    </row>
    <row r="3920">
      <c r="A3920" s="2" t="n">
        <v>3918</v>
      </c>
      <c r="B3920" s="2" t="inlineStr">
        <is>
          <t>truncate</t>
        </is>
      </c>
      <c r="C3920" s="2" t="inlineStr">
        <is>
          <t>browser chrome150</t>
        </is>
      </c>
      <c r="D3920" s="2" t="n">
        <v>820</v>
      </c>
      <c r="E3920" s="2" t="n">
        <v>820</v>
      </c>
      <c r="F3920" s="2" t="n">
        <v>1</v>
      </c>
      <c r="G3920" s="2" t="n">
        <v>1</v>
      </c>
      <c r="H3920" s="2" t="n">
        <v>1</v>
      </c>
      <c r="I3920" s="2" t="n">
        <v>0</v>
      </c>
    </row>
    <row r="3921">
      <c r="A3921" s="2" t="n">
        <v>3919</v>
      </c>
      <c r="B3921" s="2" t="inlineStr">
        <is>
          <t>length</t>
        </is>
      </c>
      <c r="C3921" s="2" t="inlineStr">
        <is>
          <t>browser firefox147</t>
        </is>
      </c>
      <c r="D3921" s="2" t="n">
        <v>1901</v>
      </c>
      <c r="E3921" s="2" t="n">
        <v>1901</v>
      </c>
      <c r="F3921" s="2" t="n">
        <v>1</v>
      </c>
      <c r="G3921" s="2" t="n">
        <v>1</v>
      </c>
      <c r="H3921" s="2" t="n">
        <v>1</v>
      </c>
      <c r="I3921" s="2" t="n">
        <v>0</v>
      </c>
    </row>
    <row r="3922">
      <c r="A3922" s="2" t="n">
        <v>3920</v>
      </c>
      <c r="B3922" s="2" t="inlineStr">
        <is>
          <t>insert</t>
        </is>
      </c>
      <c r="C3922" s="2" t="inlineStr">
        <is>
          <t>openssl 3.5.8 default</t>
        </is>
      </c>
      <c r="D3922" s="2" t="n">
        <v>1564</v>
      </c>
      <c r="E3922" s="2" t="n">
        <v>1564</v>
      </c>
      <c r="F3922" s="2" t="n">
        <v>1</v>
      </c>
      <c r="G3922" s="2" t="n">
        <v>1</v>
      </c>
      <c r="H3922" s="2" t="n">
        <v>1</v>
      </c>
      <c r="I3922" s="2" t="n">
        <v>0</v>
      </c>
    </row>
    <row r="3923">
      <c r="A3923" s="2" t="n">
        <v>3921</v>
      </c>
      <c r="B3923" s="2" t="inlineStr">
        <is>
          <t>flip</t>
        </is>
      </c>
      <c r="C3923" s="2" t="inlineStr">
        <is>
          <t>openssl TLS 1.2 only</t>
        </is>
      </c>
      <c r="D3923" s="2" t="n">
        <v>215</v>
      </c>
      <c r="E3923" s="2" t="n">
        <v>215</v>
      </c>
      <c r="F3923" s="2" t="n">
        <v>1</v>
      </c>
      <c r="G3923" s="2" t="n">
        <v>1</v>
      </c>
      <c r="H3923" s="2" t="n">
        <v>1</v>
      </c>
      <c r="I3923" s="2" t="n">
        <v>0</v>
      </c>
    </row>
    <row r="3924">
      <c r="A3924" s="2" t="n">
        <v>3922</v>
      </c>
      <c r="B3924" s="2" t="inlineStr">
        <is>
          <t>truncate</t>
        </is>
      </c>
      <c r="C3924" s="2" t="inlineStr">
        <is>
          <t>browser firefox147</t>
        </is>
      </c>
      <c r="D3924" s="2" t="n">
        <v>143</v>
      </c>
      <c r="E3924" s="2" t="n">
        <v>143</v>
      </c>
      <c r="F3924" s="2" t="n">
        <v>1</v>
      </c>
      <c r="G3924" s="2" t="n">
        <v>1</v>
      </c>
      <c r="H3924" s="2" t="n">
        <v>0</v>
      </c>
      <c r="I3924" s="2" t="n">
        <v>0</v>
      </c>
    </row>
    <row r="3925">
      <c r="A3925" s="2" t="n">
        <v>3923</v>
      </c>
      <c r="B3925" s="2" t="inlineStr">
        <is>
          <t>length</t>
        </is>
      </c>
      <c r="C3925" s="2" t="inlineStr">
        <is>
          <t>browser firefox147</t>
        </is>
      </c>
      <c r="D3925" s="2" t="n">
        <v>1901</v>
      </c>
      <c r="E3925" s="2" t="n">
        <v>1901</v>
      </c>
      <c r="F3925" s="2" t="n">
        <v>1</v>
      </c>
      <c r="G3925" s="2" t="n">
        <v>0</v>
      </c>
      <c r="H3925" s="2" t="n">
        <v>0</v>
      </c>
      <c r="I3925" s="2" t="n">
        <v>0</v>
      </c>
    </row>
    <row r="3926">
      <c r="A3926" s="2" t="n">
        <v>3924</v>
      </c>
      <c r="B3926" s="2" t="inlineStr">
        <is>
          <t>insert</t>
        </is>
      </c>
      <c r="C3926" s="2" t="inlineStr">
        <is>
          <t>browser firefox147</t>
        </is>
      </c>
      <c r="D3926" s="2" t="n">
        <v>1909</v>
      </c>
      <c r="E3926" s="2" t="n">
        <v>1909</v>
      </c>
      <c r="F3926" s="2" t="n">
        <v>1</v>
      </c>
      <c r="G3926" s="2" t="n">
        <v>1</v>
      </c>
      <c r="H3926" s="2" t="n">
        <v>0</v>
      </c>
      <c r="I3926" s="2" t="n">
        <v>0</v>
      </c>
    </row>
    <row r="3927">
      <c r="A3927" s="2" t="n">
        <v>3925</v>
      </c>
      <c r="B3927" s="2" t="inlineStr">
        <is>
          <t>flip</t>
        </is>
      </c>
      <c r="C3927" s="2" t="inlineStr">
        <is>
          <t>browser firefox147</t>
        </is>
      </c>
      <c r="D3927" s="2" t="n">
        <v>1901</v>
      </c>
      <c r="E3927" s="2" t="n">
        <v>1901</v>
      </c>
      <c r="F3927" s="2" t="n">
        <v>1</v>
      </c>
      <c r="G3927" s="2" t="n">
        <v>1</v>
      </c>
      <c r="H3927" s="2" t="n">
        <v>0</v>
      </c>
      <c r="I3927" s="2" t="n">
        <v>0</v>
      </c>
    </row>
    <row r="3928">
      <c r="A3928" s="2" t="n">
        <v>3926</v>
      </c>
      <c r="B3928" s="2" t="inlineStr">
        <is>
          <t>truncate</t>
        </is>
      </c>
      <c r="C3928" s="2" t="inlineStr">
        <is>
          <t>openssl X25519 only (classical)</t>
        </is>
      </c>
      <c r="D3928" s="2" t="n">
        <v>120</v>
      </c>
      <c r="E3928" s="2" t="n">
        <v>120</v>
      </c>
      <c r="F3928" s="2" t="n">
        <v>1</v>
      </c>
      <c r="G3928" s="2" t="n">
        <v>0</v>
      </c>
      <c r="H3928" s="2" t="n">
        <v>0</v>
      </c>
      <c r="I3928" s="2" t="n">
        <v>0</v>
      </c>
    </row>
    <row r="3929">
      <c r="A3929" s="2" t="n">
        <v>3927</v>
      </c>
      <c r="B3929" s="2" t="inlineStr">
        <is>
          <t>length</t>
        </is>
      </c>
      <c r="C3929" s="2" t="inlineStr">
        <is>
          <t>openssl TLS 1.2 only</t>
        </is>
      </c>
      <c r="D3929" s="2" t="n">
        <v>215</v>
      </c>
      <c r="E3929" s="2" t="n">
        <v>215</v>
      </c>
      <c r="F3929" s="2" t="n">
        <v>1</v>
      </c>
      <c r="G3929" s="2" t="n">
        <v>0</v>
      </c>
      <c r="H3929" s="2" t="n">
        <v>0</v>
      </c>
      <c r="I3929" s="2" t="n">
        <v>0</v>
      </c>
    </row>
    <row r="3930">
      <c r="A3930" s="2" t="n">
        <v>3928</v>
      </c>
      <c r="B3930" s="2" t="inlineStr">
        <is>
          <t>insert</t>
        </is>
      </c>
      <c r="C3930" s="2" t="inlineStr">
        <is>
          <t>openssl 3.5.8 default</t>
        </is>
      </c>
      <c r="D3930" s="2" t="n">
        <v>1556</v>
      </c>
      <c r="E3930" s="2" t="n">
        <v>1556</v>
      </c>
      <c r="F3930" s="2" t="n">
        <v>1</v>
      </c>
      <c r="G3930" s="2" t="n">
        <v>1</v>
      </c>
      <c r="H3930" s="2" t="n">
        <v>1</v>
      </c>
      <c r="I3930" s="2" t="n">
        <v>0</v>
      </c>
    </row>
    <row r="3931">
      <c r="A3931" s="2" t="n">
        <v>3929</v>
      </c>
      <c r="B3931" s="2" t="inlineStr">
        <is>
          <t>flip</t>
        </is>
      </c>
      <c r="C3931" s="2" t="inlineStr">
        <is>
          <t>browser chrome150</t>
        </is>
      </c>
      <c r="D3931" s="2" t="n">
        <v>1763</v>
      </c>
      <c r="E3931" s="2" t="n">
        <v>1763</v>
      </c>
      <c r="F3931" s="2" t="n">
        <v>1</v>
      </c>
      <c r="G3931" s="2" t="n">
        <v>1</v>
      </c>
      <c r="H3931" s="2" t="n">
        <v>1</v>
      </c>
      <c r="I3931" s="2" t="n">
        <v>0</v>
      </c>
    </row>
    <row r="3932">
      <c r="A3932" s="2" t="n">
        <v>3930</v>
      </c>
      <c r="B3932" s="2" t="inlineStr">
        <is>
          <t>truncate</t>
        </is>
      </c>
      <c r="C3932" s="2" t="inlineStr">
        <is>
          <t>openssl X25519 only (classical)</t>
        </is>
      </c>
      <c r="D3932" s="2" t="n">
        <v>148</v>
      </c>
      <c r="E3932" s="2" t="n">
        <v>148</v>
      </c>
      <c r="F3932" s="2" t="n">
        <v>1</v>
      </c>
      <c r="G3932" s="2" t="n">
        <v>1</v>
      </c>
      <c r="H3932" s="2" t="n">
        <v>0</v>
      </c>
      <c r="I3932" s="2" t="n">
        <v>0</v>
      </c>
    </row>
    <row r="3933">
      <c r="A3933" s="2" t="n">
        <v>3931</v>
      </c>
      <c r="B3933" s="2" t="inlineStr">
        <is>
          <t>length</t>
        </is>
      </c>
      <c r="C3933" s="2" t="inlineStr">
        <is>
          <t>browser firefox147</t>
        </is>
      </c>
      <c r="D3933" s="2" t="n">
        <v>1901</v>
      </c>
      <c r="E3933" s="2" t="n">
        <v>1901</v>
      </c>
      <c r="F3933" s="2" t="n">
        <v>1</v>
      </c>
      <c r="G3933" s="2" t="n">
        <v>0</v>
      </c>
      <c r="H3933" s="2" t="n">
        <v>0</v>
      </c>
      <c r="I3933" s="2" t="n">
        <v>0</v>
      </c>
    </row>
    <row r="3934">
      <c r="A3934" s="2" t="n">
        <v>3932</v>
      </c>
      <c r="B3934" s="2" t="inlineStr">
        <is>
          <t>insert</t>
        </is>
      </c>
      <c r="C3934" s="2" t="inlineStr">
        <is>
          <t>browser firefox147</t>
        </is>
      </c>
      <c r="D3934" s="2" t="n">
        <v>1910</v>
      </c>
      <c r="E3934" s="2" t="n">
        <v>1910</v>
      </c>
      <c r="F3934" s="2" t="n">
        <v>1</v>
      </c>
      <c r="G3934" s="2" t="n">
        <v>1</v>
      </c>
      <c r="H3934" s="2" t="n">
        <v>0</v>
      </c>
      <c r="I3934" s="2" t="n">
        <v>0</v>
      </c>
    </row>
    <row r="3935">
      <c r="A3935" s="2" t="n">
        <v>3933</v>
      </c>
      <c r="B3935" s="2" t="inlineStr">
        <is>
          <t>flip</t>
        </is>
      </c>
      <c r="C3935" s="2" t="inlineStr">
        <is>
          <t>browser firefox147</t>
        </is>
      </c>
      <c r="D3935" s="2" t="n">
        <v>1901</v>
      </c>
      <c r="E3935" s="2" t="n">
        <v>1901</v>
      </c>
      <c r="F3935" s="2" t="n">
        <v>1</v>
      </c>
      <c r="G3935" s="2" t="n">
        <v>1</v>
      </c>
      <c r="H3935" s="2" t="n">
        <v>0</v>
      </c>
      <c r="I3935" s="2" t="n">
        <v>0</v>
      </c>
    </row>
    <row r="3936">
      <c r="A3936" s="2" t="n">
        <v>3934</v>
      </c>
      <c r="B3936" s="2" t="inlineStr">
        <is>
          <t>truncate</t>
        </is>
      </c>
      <c r="C3936" s="2" t="inlineStr">
        <is>
          <t>browser chrome150</t>
        </is>
      </c>
      <c r="D3936" s="2" t="n">
        <v>140</v>
      </c>
      <c r="E3936" s="2" t="n">
        <v>140</v>
      </c>
      <c r="F3936" s="2" t="n">
        <v>1</v>
      </c>
      <c r="G3936" s="2" t="n">
        <v>1</v>
      </c>
      <c r="H3936" s="2" t="n">
        <v>0</v>
      </c>
      <c r="I3936" s="2" t="n">
        <v>0</v>
      </c>
    </row>
    <row r="3937">
      <c r="A3937" s="2" t="n">
        <v>3935</v>
      </c>
      <c r="B3937" s="2" t="inlineStr">
        <is>
          <t>length</t>
        </is>
      </c>
      <c r="C3937" s="2" t="inlineStr">
        <is>
          <t>browser chrome150</t>
        </is>
      </c>
      <c r="D3937" s="2" t="n">
        <v>1763</v>
      </c>
      <c r="E3937" s="2" t="n">
        <v>1763</v>
      </c>
      <c r="F3937" s="2" t="n">
        <v>1</v>
      </c>
      <c r="G3937" s="2" t="n">
        <v>1</v>
      </c>
      <c r="H3937" s="2" t="n">
        <v>1</v>
      </c>
      <c r="I3937" s="2" t="n">
        <v>0</v>
      </c>
    </row>
    <row r="3938">
      <c r="A3938" s="2" t="n">
        <v>3936</v>
      </c>
      <c r="B3938" s="2" t="inlineStr">
        <is>
          <t>insert</t>
        </is>
      </c>
      <c r="C3938" s="2" t="inlineStr">
        <is>
          <t>openssl TLS 1.2 only</t>
        </is>
      </c>
      <c r="D3938" s="2" t="n">
        <v>222</v>
      </c>
      <c r="E3938" s="2" t="n">
        <v>222</v>
      </c>
      <c r="F3938" s="2" t="n">
        <v>1</v>
      </c>
      <c r="G3938" s="2" t="n">
        <v>1</v>
      </c>
      <c r="H3938" s="2" t="n">
        <v>1</v>
      </c>
      <c r="I3938" s="2" t="n">
        <v>0</v>
      </c>
    </row>
    <row r="3939">
      <c r="A3939" s="2" t="n">
        <v>3937</v>
      </c>
      <c r="B3939" s="2" t="inlineStr">
        <is>
          <t>flip</t>
        </is>
      </c>
      <c r="C3939" s="2" t="inlineStr">
        <is>
          <t>openssl TLS 1.2 only</t>
        </is>
      </c>
      <c r="D3939" s="2" t="n">
        <v>215</v>
      </c>
      <c r="E3939" s="2" t="n">
        <v>215</v>
      </c>
      <c r="F3939" s="2" t="n">
        <v>1</v>
      </c>
      <c r="G3939" s="2" t="n">
        <v>1</v>
      </c>
      <c r="H3939" s="2" t="n">
        <v>1</v>
      </c>
      <c r="I3939" s="2" t="n">
        <v>0</v>
      </c>
    </row>
    <row r="3940">
      <c r="A3940" s="2" t="n">
        <v>3938</v>
      </c>
      <c r="B3940" s="2" t="inlineStr">
        <is>
          <t>truncate</t>
        </is>
      </c>
      <c r="C3940" s="2" t="inlineStr">
        <is>
          <t>openssl TLS 1.2 only</t>
        </is>
      </c>
      <c r="D3940" s="2" t="n">
        <v>44</v>
      </c>
      <c r="E3940" s="2" t="n">
        <v>44</v>
      </c>
      <c r="F3940" s="2" t="n">
        <v>1</v>
      </c>
      <c r="G3940" s="2" t="n">
        <v>0</v>
      </c>
      <c r="H3940" s="2" t="n">
        <v>0</v>
      </c>
      <c r="I3940" s="2" t="n">
        <v>0</v>
      </c>
    </row>
    <row r="3941">
      <c r="A3941" s="2" t="n">
        <v>3939</v>
      </c>
      <c r="B3941" s="2" t="inlineStr">
        <is>
          <t>length</t>
        </is>
      </c>
      <c r="C3941" s="2" t="inlineStr">
        <is>
          <t>browser chrome150</t>
        </is>
      </c>
      <c r="D3941" s="2" t="n">
        <v>1763</v>
      </c>
      <c r="E3941" s="2" t="n">
        <v>1763</v>
      </c>
      <c r="F3941" s="2" t="n">
        <v>1</v>
      </c>
      <c r="G3941" s="2" t="n">
        <v>1</v>
      </c>
      <c r="H3941" s="2" t="n">
        <v>1</v>
      </c>
      <c r="I3941" s="2" t="n">
        <v>0</v>
      </c>
    </row>
    <row r="3942">
      <c r="A3942" s="2" t="n">
        <v>3940</v>
      </c>
      <c r="B3942" s="2" t="inlineStr">
        <is>
          <t>insert</t>
        </is>
      </c>
      <c r="C3942" s="2" t="inlineStr">
        <is>
          <t>openssl TLS 1.2 only</t>
        </is>
      </c>
      <c r="D3942" s="2" t="n">
        <v>219</v>
      </c>
      <c r="E3942" s="2" t="n">
        <v>219</v>
      </c>
      <c r="F3942" s="2" t="n">
        <v>1</v>
      </c>
      <c r="G3942" s="2" t="n">
        <v>1</v>
      </c>
      <c r="H3942" s="2" t="n">
        <v>0</v>
      </c>
      <c r="I3942" s="2" t="n">
        <v>0</v>
      </c>
    </row>
    <row r="3943">
      <c r="A3943" s="2" t="n">
        <v>3941</v>
      </c>
      <c r="B3943" s="2" t="inlineStr">
        <is>
          <t>flip</t>
        </is>
      </c>
      <c r="C3943" s="2" t="inlineStr">
        <is>
          <t>openssl X25519 only (classical)</t>
        </is>
      </c>
      <c r="D3943" s="2" t="n">
        <v>314</v>
      </c>
      <c r="E3943" s="2" t="n">
        <v>314</v>
      </c>
      <c r="F3943" s="2" t="n">
        <v>1</v>
      </c>
      <c r="G3943" s="2" t="n">
        <v>1</v>
      </c>
      <c r="H3943" s="2" t="n">
        <v>1</v>
      </c>
      <c r="I3943" s="2" t="n">
        <v>0</v>
      </c>
    </row>
    <row r="3944">
      <c r="A3944" s="2" t="n">
        <v>3942</v>
      </c>
      <c r="B3944" s="2" t="inlineStr">
        <is>
          <t>truncate</t>
        </is>
      </c>
      <c r="C3944" s="2" t="inlineStr">
        <is>
          <t>openssl 3.5.8 default</t>
        </is>
      </c>
      <c r="D3944" s="2" t="n">
        <v>676</v>
      </c>
      <c r="E3944" s="2" t="n">
        <v>676</v>
      </c>
      <c r="F3944" s="2" t="n">
        <v>1</v>
      </c>
      <c r="G3944" s="2" t="n">
        <v>1</v>
      </c>
      <c r="H3944" s="2" t="n">
        <v>1</v>
      </c>
      <c r="I3944" s="2" t="n">
        <v>0</v>
      </c>
    </row>
    <row r="3945">
      <c r="A3945" s="2" t="n">
        <v>3943</v>
      </c>
      <c r="B3945" s="2" t="inlineStr">
        <is>
          <t>length</t>
        </is>
      </c>
      <c r="C3945" s="2" t="inlineStr">
        <is>
          <t>openssl 3.5.8 default</t>
        </is>
      </c>
      <c r="D3945" s="2" t="n">
        <v>1548</v>
      </c>
      <c r="E3945" s="2" t="n">
        <v>1548</v>
      </c>
      <c r="F3945" s="2" t="n">
        <v>1</v>
      </c>
      <c r="G3945" s="2" t="n">
        <v>1</v>
      </c>
      <c r="H3945" s="2" t="n">
        <v>1</v>
      </c>
      <c r="I3945" s="2" t="n">
        <v>0</v>
      </c>
    </row>
    <row r="3946">
      <c r="A3946" s="2" t="n">
        <v>3944</v>
      </c>
      <c r="B3946" s="2" t="inlineStr">
        <is>
          <t>insert</t>
        </is>
      </c>
      <c r="C3946" s="2" t="inlineStr">
        <is>
          <t>browser chrome150</t>
        </is>
      </c>
      <c r="D3946" s="2" t="n">
        <v>1765</v>
      </c>
      <c r="E3946" s="2" t="n">
        <v>1765</v>
      </c>
      <c r="F3946" s="2" t="n">
        <v>1</v>
      </c>
      <c r="G3946" s="2" t="n">
        <v>1</v>
      </c>
      <c r="H3946" s="2" t="n">
        <v>1</v>
      </c>
      <c r="I3946" s="2" t="n">
        <v>0</v>
      </c>
    </row>
    <row r="3947">
      <c r="A3947" s="2" t="n">
        <v>3945</v>
      </c>
      <c r="B3947" s="2" t="inlineStr">
        <is>
          <t>flip</t>
        </is>
      </c>
      <c r="C3947" s="2" t="inlineStr">
        <is>
          <t>browser firefox147</t>
        </is>
      </c>
      <c r="D3947" s="2" t="n">
        <v>1901</v>
      </c>
      <c r="E3947" s="2" t="n">
        <v>1901</v>
      </c>
      <c r="F3947" s="2" t="n">
        <v>1</v>
      </c>
      <c r="G3947" s="2" t="n">
        <v>1</v>
      </c>
      <c r="H3947" s="2" t="n">
        <v>0</v>
      </c>
      <c r="I3947" s="2" t="n">
        <v>0</v>
      </c>
    </row>
    <row r="3948">
      <c r="A3948" s="2" t="n">
        <v>3946</v>
      </c>
      <c r="B3948" s="2" t="inlineStr">
        <is>
          <t>truncate</t>
        </is>
      </c>
      <c r="C3948" s="2" t="inlineStr">
        <is>
          <t>browser chrome150</t>
        </is>
      </c>
      <c r="D3948" s="2" t="n">
        <v>1252</v>
      </c>
      <c r="E3948" s="2" t="n">
        <v>1252</v>
      </c>
      <c r="F3948" s="2" t="n">
        <v>1</v>
      </c>
      <c r="G3948" s="2" t="n">
        <v>1</v>
      </c>
      <c r="H3948" s="2" t="n">
        <v>1</v>
      </c>
      <c r="I3948" s="2" t="n">
        <v>0</v>
      </c>
    </row>
    <row r="3949">
      <c r="A3949" s="2" t="n">
        <v>3947</v>
      </c>
      <c r="B3949" s="2" t="inlineStr">
        <is>
          <t>length</t>
        </is>
      </c>
      <c r="C3949" s="2" t="inlineStr">
        <is>
          <t>openssl X25519 only (classical)</t>
        </is>
      </c>
      <c r="D3949" s="2" t="n">
        <v>314</v>
      </c>
      <c r="E3949" s="2" t="n">
        <v>314</v>
      </c>
      <c r="F3949" s="2" t="n">
        <v>1</v>
      </c>
      <c r="G3949" s="2" t="n">
        <v>1</v>
      </c>
      <c r="H3949" s="2" t="n">
        <v>1</v>
      </c>
      <c r="I3949" s="2" t="n">
        <v>0</v>
      </c>
    </row>
    <row r="3950">
      <c r="A3950" s="2" t="n">
        <v>3948</v>
      </c>
      <c r="B3950" s="2" t="inlineStr">
        <is>
          <t>insert</t>
        </is>
      </c>
      <c r="C3950" s="2" t="inlineStr">
        <is>
          <t>openssl 3.5.8 default</t>
        </is>
      </c>
      <c r="D3950" s="2" t="n">
        <v>1562</v>
      </c>
      <c r="E3950" s="2" t="n">
        <v>1562</v>
      </c>
      <c r="F3950" s="2" t="n">
        <v>1</v>
      </c>
      <c r="G3950" s="2" t="n">
        <v>1</v>
      </c>
      <c r="H3950" s="2" t="n">
        <v>1</v>
      </c>
      <c r="I3950" s="2" t="n">
        <v>0</v>
      </c>
    </row>
    <row r="3951">
      <c r="A3951" s="2" t="n">
        <v>3949</v>
      </c>
      <c r="B3951" s="2" t="inlineStr">
        <is>
          <t>flip</t>
        </is>
      </c>
      <c r="C3951" s="2" t="inlineStr">
        <is>
          <t>openssl X25519 only (classical)</t>
        </is>
      </c>
      <c r="D3951" s="2" t="n">
        <v>314</v>
      </c>
      <c r="E3951" s="2" t="n">
        <v>314</v>
      </c>
      <c r="F3951" s="2" t="n">
        <v>1</v>
      </c>
      <c r="G3951" s="2" t="n">
        <v>1</v>
      </c>
      <c r="H3951" s="2" t="n">
        <v>1</v>
      </c>
      <c r="I3951" s="2" t="n">
        <v>0</v>
      </c>
    </row>
    <row r="3952">
      <c r="A3952" s="2" t="n">
        <v>3950</v>
      </c>
      <c r="B3952" s="2" t="inlineStr">
        <is>
          <t>truncate</t>
        </is>
      </c>
      <c r="C3952" s="2" t="inlineStr">
        <is>
          <t>browser firefox147</t>
        </is>
      </c>
      <c r="D3952" s="2" t="n">
        <v>369</v>
      </c>
      <c r="E3952" s="2" t="n">
        <v>369</v>
      </c>
      <c r="F3952" s="2" t="n">
        <v>1</v>
      </c>
      <c r="G3952" s="2" t="n">
        <v>1</v>
      </c>
      <c r="H3952" s="2" t="n">
        <v>0</v>
      </c>
      <c r="I3952" s="2" t="n">
        <v>0</v>
      </c>
    </row>
    <row r="3953">
      <c r="A3953" s="2" t="n">
        <v>3951</v>
      </c>
      <c r="B3953" s="2" t="inlineStr">
        <is>
          <t>length</t>
        </is>
      </c>
      <c r="C3953" s="2" t="inlineStr">
        <is>
          <t>openssl TLS 1.2 only</t>
        </is>
      </c>
      <c r="D3953" s="2" t="n">
        <v>215</v>
      </c>
      <c r="E3953" s="2" t="n">
        <v>215</v>
      </c>
      <c r="F3953" s="2" t="n">
        <v>1</v>
      </c>
      <c r="G3953" s="2" t="n">
        <v>1</v>
      </c>
      <c r="H3953" s="2" t="n">
        <v>0</v>
      </c>
      <c r="I3953" s="2" t="n">
        <v>0</v>
      </c>
    </row>
    <row r="3954">
      <c r="A3954" s="2" t="n">
        <v>3952</v>
      </c>
      <c r="B3954" s="2" t="inlineStr">
        <is>
          <t>insert</t>
        </is>
      </c>
      <c r="C3954" s="2" t="inlineStr">
        <is>
          <t>browser firefox147</t>
        </is>
      </c>
      <c r="D3954" s="2" t="n">
        <v>1911</v>
      </c>
      <c r="E3954" s="2" t="n">
        <v>1911</v>
      </c>
      <c r="F3954" s="2" t="n">
        <v>1</v>
      </c>
      <c r="G3954" s="2" t="n">
        <v>1</v>
      </c>
      <c r="H3954" s="2" t="n">
        <v>0</v>
      </c>
      <c r="I3954" s="2" t="n">
        <v>0</v>
      </c>
    </row>
    <row r="3955">
      <c r="A3955" s="2" t="n">
        <v>3953</v>
      </c>
      <c r="B3955" s="2" t="inlineStr">
        <is>
          <t>flip</t>
        </is>
      </c>
      <c r="C3955" s="2" t="inlineStr">
        <is>
          <t>openssl TLS 1.2 only</t>
        </is>
      </c>
      <c r="D3955" s="2" t="n">
        <v>215</v>
      </c>
      <c r="E3955" s="2" t="n">
        <v>215</v>
      </c>
      <c r="F3955" s="2" t="n">
        <v>1</v>
      </c>
      <c r="G3955" s="2" t="n">
        <v>1</v>
      </c>
      <c r="H3955" s="2" t="n">
        <v>1</v>
      </c>
      <c r="I3955" s="2" t="n">
        <v>0</v>
      </c>
    </row>
    <row r="3956">
      <c r="A3956" s="2" t="n">
        <v>3954</v>
      </c>
      <c r="B3956" s="2" t="inlineStr">
        <is>
          <t>truncate</t>
        </is>
      </c>
      <c r="C3956" s="2" t="inlineStr">
        <is>
          <t>openssl X25519 only (classical)</t>
        </is>
      </c>
      <c r="D3956" s="2" t="n">
        <v>35</v>
      </c>
      <c r="E3956" s="2" t="n">
        <v>35</v>
      </c>
      <c r="F3956" s="2" t="n">
        <v>1</v>
      </c>
      <c r="G3956" s="2" t="n">
        <v>0</v>
      </c>
      <c r="H3956" s="2" t="n">
        <v>0</v>
      </c>
      <c r="I3956" s="2" t="n">
        <v>0</v>
      </c>
    </row>
    <row r="3957">
      <c r="A3957" s="2" t="n">
        <v>3955</v>
      </c>
      <c r="B3957" s="2" t="inlineStr">
        <is>
          <t>length</t>
        </is>
      </c>
      <c r="C3957" s="2" t="inlineStr">
        <is>
          <t>browser firefox147</t>
        </is>
      </c>
      <c r="D3957" s="2" t="n">
        <v>1901</v>
      </c>
      <c r="E3957" s="2" t="n">
        <v>1901</v>
      </c>
      <c r="F3957" s="2" t="n">
        <v>0</v>
      </c>
      <c r="G3957" s="2" t="n">
        <v>0</v>
      </c>
      <c r="H3957" s="2" t="n">
        <v>0</v>
      </c>
      <c r="I3957" s="2" t="n">
        <v>0</v>
      </c>
    </row>
    <row r="3958">
      <c r="A3958" s="2" t="n">
        <v>3956</v>
      </c>
      <c r="B3958" s="2" t="inlineStr">
        <is>
          <t>insert</t>
        </is>
      </c>
      <c r="C3958" s="2" t="inlineStr">
        <is>
          <t>browser chrome150</t>
        </is>
      </c>
      <c r="D3958" s="2" t="n">
        <v>1773</v>
      </c>
      <c r="E3958" s="2" t="n">
        <v>1773</v>
      </c>
      <c r="F3958" s="2" t="n">
        <v>1</v>
      </c>
      <c r="G3958" s="2" t="n">
        <v>1</v>
      </c>
      <c r="H3958" s="2" t="n">
        <v>1</v>
      </c>
      <c r="I3958" s="2" t="n">
        <v>0</v>
      </c>
    </row>
    <row r="3959">
      <c r="A3959" s="2" t="n">
        <v>3957</v>
      </c>
      <c r="B3959" s="2" t="inlineStr">
        <is>
          <t>flip</t>
        </is>
      </c>
      <c r="C3959" s="2" t="inlineStr">
        <is>
          <t>browser firefox147</t>
        </is>
      </c>
      <c r="D3959" s="2" t="n">
        <v>1901</v>
      </c>
      <c r="E3959" s="2" t="n">
        <v>1901</v>
      </c>
      <c r="F3959" s="2" t="n">
        <v>1</v>
      </c>
      <c r="G3959" s="2" t="n">
        <v>1</v>
      </c>
      <c r="H3959" s="2" t="n">
        <v>0</v>
      </c>
      <c r="I3959" s="2" t="n">
        <v>0</v>
      </c>
    </row>
    <row r="3960">
      <c r="A3960" s="2" t="n">
        <v>3958</v>
      </c>
      <c r="B3960" s="2" t="inlineStr">
        <is>
          <t>truncate</t>
        </is>
      </c>
      <c r="C3960" s="2" t="inlineStr">
        <is>
          <t>openssl TLS 1.2 only</t>
        </is>
      </c>
      <c r="D3960" s="2" t="n">
        <v>140</v>
      </c>
      <c r="E3960" s="2" t="n">
        <v>140</v>
      </c>
      <c r="F3960" s="2" t="n">
        <v>1</v>
      </c>
      <c r="G3960" s="2" t="n">
        <v>1</v>
      </c>
      <c r="H3960" s="2" t="n">
        <v>0</v>
      </c>
      <c r="I3960" s="2" t="n">
        <v>0</v>
      </c>
    </row>
    <row r="3961">
      <c r="A3961" s="2" t="n">
        <v>3959</v>
      </c>
      <c r="B3961" s="2" t="inlineStr">
        <is>
          <t>length</t>
        </is>
      </c>
      <c r="C3961" s="2" t="inlineStr">
        <is>
          <t>openssl 3.5.8 default</t>
        </is>
      </c>
      <c r="D3961" s="2" t="n">
        <v>1548</v>
      </c>
      <c r="E3961" s="2" t="n">
        <v>1548</v>
      </c>
      <c r="F3961" s="2" t="n">
        <v>1</v>
      </c>
      <c r="G3961" s="2" t="n">
        <v>1</v>
      </c>
      <c r="H3961" s="2" t="n">
        <v>1</v>
      </c>
      <c r="I3961" s="2" t="n">
        <v>0</v>
      </c>
    </row>
    <row r="3962">
      <c r="A3962" s="2" t="n">
        <v>3960</v>
      </c>
      <c r="B3962" s="2" t="inlineStr">
        <is>
          <t>insert</t>
        </is>
      </c>
      <c r="C3962" s="2" t="inlineStr">
        <is>
          <t>openssl 3.5.8 default</t>
        </is>
      </c>
      <c r="D3962" s="2" t="n">
        <v>1555</v>
      </c>
      <c r="E3962" s="2" t="n">
        <v>1555</v>
      </c>
      <c r="F3962" s="2" t="n">
        <v>1</v>
      </c>
      <c r="G3962" s="2" t="n">
        <v>1</v>
      </c>
      <c r="H3962" s="2" t="n">
        <v>1</v>
      </c>
      <c r="I3962" s="2" t="n">
        <v>0</v>
      </c>
    </row>
    <row r="3963">
      <c r="A3963" s="2" t="n">
        <v>3961</v>
      </c>
      <c r="B3963" s="2" t="inlineStr">
        <is>
          <t>flip</t>
        </is>
      </c>
      <c r="C3963" s="2" t="inlineStr">
        <is>
          <t>openssl 3.5.8 default</t>
        </is>
      </c>
      <c r="D3963" s="2" t="n">
        <v>1548</v>
      </c>
      <c r="E3963" s="2" t="n">
        <v>1548</v>
      </c>
      <c r="F3963" s="2" t="n">
        <v>1</v>
      </c>
      <c r="G3963" s="2" t="n">
        <v>1</v>
      </c>
      <c r="H3963" s="2" t="n">
        <v>1</v>
      </c>
      <c r="I3963" s="2" t="n">
        <v>0</v>
      </c>
    </row>
    <row r="3964">
      <c r="A3964" s="2" t="n">
        <v>3962</v>
      </c>
      <c r="B3964" s="2" t="inlineStr">
        <is>
          <t>truncate</t>
        </is>
      </c>
      <c r="C3964" s="2" t="inlineStr">
        <is>
          <t>openssl X25519 only (classical)</t>
        </is>
      </c>
      <c r="D3964" s="2" t="n">
        <v>231</v>
      </c>
      <c r="E3964" s="2" t="n">
        <v>231</v>
      </c>
      <c r="F3964" s="2" t="n">
        <v>1</v>
      </c>
      <c r="G3964" s="2" t="n">
        <v>1</v>
      </c>
      <c r="H3964" s="2" t="n">
        <v>0</v>
      </c>
      <c r="I3964" s="2" t="n">
        <v>0</v>
      </c>
    </row>
    <row r="3965">
      <c r="A3965" s="2" t="n">
        <v>3963</v>
      </c>
      <c r="B3965" s="2" t="inlineStr">
        <is>
          <t>length</t>
        </is>
      </c>
      <c r="C3965" s="2" t="inlineStr">
        <is>
          <t>browser chrome150</t>
        </is>
      </c>
      <c r="D3965" s="2" t="n">
        <v>1763</v>
      </c>
      <c r="E3965" s="2" t="n">
        <v>1763</v>
      </c>
      <c r="F3965" s="2" t="n">
        <v>1</v>
      </c>
      <c r="G3965" s="2" t="n">
        <v>1</v>
      </c>
      <c r="H3965" s="2" t="n">
        <v>1</v>
      </c>
      <c r="I3965" s="2" t="n">
        <v>0</v>
      </c>
    </row>
    <row r="3966">
      <c r="A3966" s="2" t="n">
        <v>3964</v>
      </c>
      <c r="B3966" s="2" t="inlineStr">
        <is>
          <t>insert</t>
        </is>
      </c>
      <c r="C3966" s="2" t="inlineStr">
        <is>
          <t>openssl X25519 only (classical)</t>
        </is>
      </c>
      <c r="D3966" s="2" t="n">
        <v>326</v>
      </c>
      <c r="E3966" s="2" t="n">
        <v>326</v>
      </c>
      <c r="F3966" s="2" t="n">
        <v>1</v>
      </c>
      <c r="G3966" s="2" t="n">
        <v>1</v>
      </c>
      <c r="H3966" s="2" t="n">
        <v>0</v>
      </c>
      <c r="I3966" s="2" t="n">
        <v>0</v>
      </c>
    </row>
    <row r="3967">
      <c r="A3967" s="2" t="n">
        <v>3965</v>
      </c>
      <c r="B3967" s="2" t="inlineStr">
        <is>
          <t>flip</t>
        </is>
      </c>
      <c r="C3967" s="2" t="inlineStr">
        <is>
          <t>browser firefox147</t>
        </is>
      </c>
      <c r="D3967" s="2" t="n">
        <v>1901</v>
      </c>
      <c r="E3967" s="2" t="n">
        <v>1901</v>
      </c>
      <c r="F3967" s="2" t="n">
        <v>1</v>
      </c>
      <c r="G3967" s="2" t="n">
        <v>1</v>
      </c>
      <c r="H3967" s="2" t="n">
        <v>0</v>
      </c>
      <c r="I3967" s="2" t="n">
        <v>0</v>
      </c>
    </row>
    <row r="3968">
      <c r="A3968" s="2" t="n">
        <v>3966</v>
      </c>
      <c r="B3968" s="2" t="inlineStr">
        <is>
          <t>truncate</t>
        </is>
      </c>
      <c r="C3968" s="2" t="inlineStr">
        <is>
          <t>browser chrome150</t>
        </is>
      </c>
      <c r="D3968" s="2" t="n">
        <v>558</v>
      </c>
      <c r="E3968" s="2" t="n">
        <v>558</v>
      </c>
      <c r="F3968" s="2" t="n">
        <v>1</v>
      </c>
      <c r="G3968" s="2" t="n">
        <v>1</v>
      </c>
      <c r="H3968" s="2" t="n">
        <v>1</v>
      </c>
      <c r="I3968" s="2" t="n">
        <v>0</v>
      </c>
    </row>
    <row r="3969">
      <c r="A3969" s="2" t="n">
        <v>3967</v>
      </c>
      <c r="B3969" s="2" t="inlineStr">
        <is>
          <t>length</t>
        </is>
      </c>
      <c r="C3969" s="2" t="inlineStr">
        <is>
          <t>browser chrome150</t>
        </is>
      </c>
      <c r="D3969" s="2" t="n">
        <v>1763</v>
      </c>
      <c r="E3969" s="2" t="n">
        <v>1763</v>
      </c>
      <c r="F3969" s="2" t="n">
        <v>0</v>
      </c>
      <c r="G3969" s="2" t="n">
        <v>0</v>
      </c>
      <c r="H3969" s="2" t="n">
        <v>0</v>
      </c>
      <c r="I3969" s="2" t="n">
        <v>0</v>
      </c>
    </row>
    <row r="3970">
      <c r="A3970" s="2" t="n">
        <v>3968</v>
      </c>
      <c r="B3970" s="2" t="inlineStr">
        <is>
          <t>insert</t>
        </is>
      </c>
      <c r="C3970" s="2" t="inlineStr">
        <is>
          <t>openssl TLS 1.2 only</t>
        </is>
      </c>
      <c r="D3970" s="2" t="n">
        <v>231</v>
      </c>
      <c r="E3970" s="2" t="n">
        <v>231</v>
      </c>
      <c r="F3970" s="2" t="n">
        <v>1</v>
      </c>
      <c r="G3970" s="2" t="n">
        <v>1</v>
      </c>
      <c r="H3970" s="2" t="n">
        <v>1</v>
      </c>
      <c r="I3970" s="2" t="n">
        <v>0</v>
      </c>
    </row>
    <row r="3971">
      <c r="A3971" s="2" t="n">
        <v>3969</v>
      </c>
      <c r="B3971" s="2" t="inlineStr">
        <is>
          <t>flip</t>
        </is>
      </c>
      <c r="C3971" s="2" t="inlineStr">
        <is>
          <t>browser firefox147</t>
        </is>
      </c>
      <c r="D3971" s="2" t="n">
        <v>1901</v>
      </c>
      <c r="E3971" s="2" t="n">
        <v>1901</v>
      </c>
      <c r="F3971" s="2" t="n">
        <v>1</v>
      </c>
      <c r="G3971" s="2" t="n">
        <v>1</v>
      </c>
      <c r="H3971" s="2" t="n">
        <v>1</v>
      </c>
      <c r="I3971" s="2" t="n">
        <v>0</v>
      </c>
    </row>
    <row r="3972">
      <c r="A3972" s="2" t="n">
        <v>3970</v>
      </c>
      <c r="B3972" s="2" t="inlineStr">
        <is>
          <t>truncate</t>
        </is>
      </c>
      <c r="C3972" s="2" t="inlineStr">
        <is>
          <t>openssl 3.5.8 default</t>
        </is>
      </c>
      <c r="D3972" s="2" t="n">
        <v>1362</v>
      </c>
      <c r="E3972" s="2" t="n">
        <v>1362</v>
      </c>
      <c r="F3972" s="2" t="n">
        <v>1</v>
      </c>
      <c r="G3972" s="2" t="n">
        <v>1</v>
      </c>
      <c r="H3972" s="2" t="n">
        <v>1</v>
      </c>
      <c r="I3972" s="2" t="n">
        <v>0</v>
      </c>
    </row>
    <row r="3973">
      <c r="A3973" s="2" t="n">
        <v>3971</v>
      </c>
      <c r="B3973" s="2" t="inlineStr">
        <is>
          <t>length</t>
        </is>
      </c>
      <c r="C3973" s="2" t="inlineStr">
        <is>
          <t>openssl 3.5.8 default</t>
        </is>
      </c>
      <c r="D3973" s="2" t="n">
        <v>1548</v>
      </c>
      <c r="E3973" s="2" t="n">
        <v>1548</v>
      </c>
      <c r="F3973" s="2" t="n">
        <v>1</v>
      </c>
      <c r="G3973" s="2" t="n">
        <v>0</v>
      </c>
      <c r="H3973" s="2" t="n">
        <v>0</v>
      </c>
      <c r="I3973" s="2" t="n">
        <v>0</v>
      </c>
    </row>
    <row r="3974">
      <c r="A3974" s="2" t="n">
        <v>3972</v>
      </c>
      <c r="B3974" s="2" t="inlineStr">
        <is>
          <t>insert</t>
        </is>
      </c>
      <c r="C3974" s="2" t="inlineStr">
        <is>
          <t>openssl X25519 only (classical)</t>
        </is>
      </c>
      <c r="D3974" s="2" t="n">
        <v>321</v>
      </c>
      <c r="E3974" s="2" t="n">
        <v>321</v>
      </c>
      <c r="F3974" s="2" t="n">
        <v>1</v>
      </c>
      <c r="G3974" s="2" t="n">
        <v>1</v>
      </c>
      <c r="H3974" s="2" t="n">
        <v>1</v>
      </c>
      <c r="I3974" s="2" t="n">
        <v>0</v>
      </c>
    </row>
    <row r="3975">
      <c r="A3975" s="2" t="n">
        <v>3973</v>
      </c>
      <c r="B3975" s="2" t="inlineStr">
        <is>
          <t>flip</t>
        </is>
      </c>
      <c r="C3975" s="2" t="inlineStr">
        <is>
          <t>openssl 3.5.8 default</t>
        </is>
      </c>
      <c r="D3975" s="2" t="n">
        <v>1548</v>
      </c>
      <c r="E3975" s="2" t="n">
        <v>1548</v>
      </c>
      <c r="F3975" s="2" t="n">
        <v>0</v>
      </c>
      <c r="G3975" s="2" t="n">
        <v>0</v>
      </c>
      <c r="H3975" s="2" t="n">
        <v>0</v>
      </c>
      <c r="I3975" s="2" t="n">
        <v>0</v>
      </c>
    </row>
    <row r="3976">
      <c r="A3976" s="2" t="n">
        <v>3974</v>
      </c>
      <c r="B3976" s="2" t="inlineStr">
        <is>
          <t>truncate</t>
        </is>
      </c>
      <c r="C3976" s="2" t="inlineStr">
        <is>
          <t>openssl X25519 only (classical)</t>
        </is>
      </c>
      <c r="D3976" s="2" t="n">
        <v>279</v>
      </c>
      <c r="E3976" s="2" t="n">
        <v>279</v>
      </c>
      <c r="F3976" s="2" t="n">
        <v>1</v>
      </c>
      <c r="G3976" s="2" t="n">
        <v>1</v>
      </c>
      <c r="H3976" s="2" t="n">
        <v>1</v>
      </c>
      <c r="I3976" s="2" t="n">
        <v>0</v>
      </c>
    </row>
    <row r="3977">
      <c r="A3977" s="2" t="n">
        <v>3975</v>
      </c>
      <c r="B3977" s="2" t="inlineStr">
        <is>
          <t>length</t>
        </is>
      </c>
      <c r="C3977" s="2" t="inlineStr">
        <is>
          <t>openssl X25519 only (classical)</t>
        </is>
      </c>
      <c r="D3977" s="2" t="n">
        <v>314</v>
      </c>
      <c r="E3977" s="2" t="n">
        <v>314</v>
      </c>
      <c r="F3977" s="2" t="n">
        <v>0</v>
      </c>
      <c r="G3977" s="2" t="n">
        <v>0</v>
      </c>
      <c r="H3977" s="2" t="n">
        <v>0</v>
      </c>
      <c r="I3977" s="2" t="n">
        <v>0</v>
      </c>
    </row>
    <row r="3978">
      <c r="A3978" s="2" t="n">
        <v>3976</v>
      </c>
      <c r="B3978" s="2" t="inlineStr">
        <is>
          <t>insert</t>
        </is>
      </c>
      <c r="C3978" s="2" t="inlineStr">
        <is>
          <t>openssl X25519 only (classical)</t>
        </is>
      </c>
      <c r="D3978" s="2" t="n">
        <v>320</v>
      </c>
      <c r="E3978" s="2" t="n">
        <v>320</v>
      </c>
      <c r="F3978" s="2" t="n">
        <v>1</v>
      </c>
      <c r="G3978" s="2" t="n">
        <v>1</v>
      </c>
      <c r="H3978" s="2" t="n">
        <v>1</v>
      </c>
      <c r="I3978" s="2" t="n">
        <v>0</v>
      </c>
    </row>
    <row r="3979">
      <c r="A3979" s="2" t="n">
        <v>3977</v>
      </c>
      <c r="B3979" s="2" t="inlineStr">
        <is>
          <t>flip</t>
        </is>
      </c>
      <c r="C3979" s="2" t="inlineStr">
        <is>
          <t>browser chrome150</t>
        </is>
      </c>
      <c r="D3979" s="2" t="n">
        <v>1763</v>
      </c>
      <c r="E3979" s="2" t="n">
        <v>1763</v>
      </c>
      <c r="F3979" s="2" t="n">
        <v>1</v>
      </c>
      <c r="G3979" s="2" t="n">
        <v>1</v>
      </c>
      <c r="H3979" s="2" t="n">
        <v>1</v>
      </c>
      <c r="I3979" s="2" t="n">
        <v>0</v>
      </c>
    </row>
    <row r="3980">
      <c r="A3980" s="2" t="n">
        <v>3978</v>
      </c>
      <c r="B3980" s="2" t="inlineStr">
        <is>
          <t>truncate</t>
        </is>
      </c>
      <c r="C3980" s="2" t="inlineStr">
        <is>
          <t>browser chrome150</t>
        </is>
      </c>
      <c r="D3980" s="2" t="n">
        <v>1599</v>
      </c>
      <c r="E3980" s="2" t="n">
        <v>1599</v>
      </c>
      <c r="F3980" s="2" t="n">
        <v>1</v>
      </c>
      <c r="G3980" s="2" t="n">
        <v>1</v>
      </c>
      <c r="H3980" s="2" t="n">
        <v>1</v>
      </c>
      <c r="I3980" s="2" t="n">
        <v>0</v>
      </c>
    </row>
    <row r="3981">
      <c r="A3981" s="2" t="n">
        <v>3979</v>
      </c>
      <c r="B3981" s="2" t="inlineStr">
        <is>
          <t>length</t>
        </is>
      </c>
      <c r="C3981" s="2" t="inlineStr">
        <is>
          <t>openssl 3.5.8 default</t>
        </is>
      </c>
      <c r="D3981" s="2" t="n">
        <v>1548</v>
      </c>
      <c r="E3981" s="2" t="n">
        <v>1548</v>
      </c>
      <c r="F3981" s="2" t="n">
        <v>0</v>
      </c>
      <c r="G3981" s="2" t="n">
        <v>0</v>
      </c>
      <c r="H3981" s="2" t="n">
        <v>0</v>
      </c>
      <c r="I3981" s="2" t="n">
        <v>0</v>
      </c>
    </row>
    <row r="3982">
      <c r="A3982" s="2" t="n">
        <v>3980</v>
      </c>
      <c r="B3982" s="2" t="inlineStr">
        <is>
          <t>insert</t>
        </is>
      </c>
      <c r="C3982" s="2" t="inlineStr">
        <is>
          <t>browser chrome150</t>
        </is>
      </c>
      <c r="D3982" s="2" t="n">
        <v>1764</v>
      </c>
      <c r="E3982" s="2" t="n">
        <v>1764</v>
      </c>
      <c r="F3982" s="2" t="n">
        <v>1</v>
      </c>
      <c r="G3982" s="2" t="n">
        <v>1</v>
      </c>
      <c r="H3982" s="2" t="n">
        <v>1</v>
      </c>
      <c r="I3982" s="2" t="n">
        <v>0</v>
      </c>
    </row>
    <row r="3983">
      <c r="A3983" s="2" t="n">
        <v>3981</v>
      </c>
      <c r="B3983" s="2" t="inlineStr">
        <is>
          <t>flip</t>
        </is>
      </c>
      <c r="C3983" s="2" t="inlineStr">
        <is>
          <t>browser firefox147</t>
        </is>
      </c>
      <c r="D3983" s="2" t="n">
        <v>1901</v>
      </c>
      <c r="E3983" s="2" t="n">
        <v>1901</v>
      </c>
      <c r="F3983" s="2" t="n">
        <v>1</v>
      </c>
      <c r="G3983" s="2" t="n">
        <v>1</v>
      </c>
      <c r="H3983" s="2" t="n">
        <v>0</v>
      </c>
      <c r="I3983" s="2" t="n">
        <v>0</v>
      </c>
    </row>
    <row r="3984">
      <c r="A3984" s="2" t="n">
        <v>3982</v>
      </c>
      <c r="B3984" s="2" t="inlineStr">
        <is>
          <t>truncate</t>
        </is>
      </c>
      <c r="C3984" s="2" t="inlineStr">
        <is>
          <t>browser chrome150</t>
        </is>
      </c>
      <c r="D3984" s="2" t="n">
        <v>208</v>
      </c>
      <c r="E3984" s="2" t="n">
        <v>208</v>
      </c>
      <c r="F3984" s="2" t="n">
        <v>1</v>
      </c>
      <c r="G3984" s="2" t="n">
        <v>1</v>
      </c>
      <c r="H3984" s="2" t="n">
        <v>1</v>
      </c>
      <c r="I3984" s="2" t="n">
        <v>0</v>
      </c>
    </row>
    <row r="3985">
      <c r="A3985" s="2" t="n">
        <v>3983</v>
      </c>
      <c r="B3985" s="2" t="inlineStr">
        <is>
          <t>length</t>
        </is>
      </c>
      <c r="C3985" s="2" t="inlineStr">
        <is>
          <t>browser firefox147</t>
        </is>
      </c>
      <c r="D3985" s="2" t="n">
        <v>1901</v>
      </c>
      <c r="E3985" s="2" t="n">
        <v>1901</v>
      </c>
      <c r="F3985" s="2" t="n">
        <v>1</v>
      </c>
      <c r="G3985" s="2" t="n">
        <v>1</v>
      </c>
      <c r="H3985" s="2" t="n">
        <v>0</v>
      </c>
      <c r="I3985" s="2" t="n">
        <v>0</v>
      </c>
    </row>
    <row r="3986">
      <c r="A3986" s="2" t="n">
        <v>3984</v>
      </c>
      <c r="B3986" s="2" t="inlineStr">
        <is>
          <t>insert</t>
        </is>
      </c>
      <c r="C3986" s="2" t="inlineStr">
        <is>
          <t>openssl X25519 only (classical)</t>
        </is>
      </c>
      <c r="D3986" s="2" t="n">
        <v>329</v>
      </c>
      <c r="E3986" s="2" t="n">
        <v>329</v>
      </c>
      <c r="F3986" s="2" t="n">
        <v>1</v>
      </c>
      <c r="G3986" s="2" t="n">
        <v>1</v>
      </c>
      <c r="H3986" s="2" t="n">
        <v>1</v>
      </c>
      <c r="I3986" s="2" t="n">
        <v>0</v>
      </c>
    </row>
    <row r="3987">
      <c r="A3987" s="2" t="n">
        <v>3985</v>
      </c>
      <c r="B3987" s="2" t="inlineStr">
        <is>
          <t>flip</t>
        </is>
      </c>
      <c r="C3987" s="2" t="inlineStr">
        <is>
          <t>browser firefox147</t>
        </is>
      </c>
      <c r="D3987" s="2" t="n">
        <v>1901</v>
      </c>
      <c r="E3987" s="2" t="n">
        <v>1901</v>
      </c>
      <c r="F3987" s="2" t="n">
        <v>1</v>
      </c>
      <c r="G3987" s="2" t="n">
        <v>1</v>
      </c>
      <c r="H3987" s="2" t="n">
        <v>0</v>
      </c>
      <c r="I3987" s="2" t="n">
        <v>0</v>
      </c>
    </row>
    <row r="3988">
      <c r="A3988" s="2" t="n">
        <v>3986</v>
      </c>
      <c r="B3988" s="2" t="inlineStr">
        <is>
          <t>truncate</t>
        </is>
      </c>
      <c r="C3988" s="2" t="inlineStr">
        <is>
          <t>browser chrome150</t>
        </is>
      </c>
      <c r="D3988" s="2" t="n">
        <v>693</v>
      </c>
      <c r="E3988" s="2" t="n">
        <v>693</v>
      </c>
      <c r="F3988" s="2" t="n">
        <v>1</v>
      </c>
      <c r="G3988" s="2" t="n">
        <v>1</v>
      </c>
      <c r="H3988" s="2" t="n">
        <v>1</v>
      </c>
      <c r="I3988" s="2" t="n">
        <v>0</v>
      </c>
    </row>
    <row r="3989">
      <c r="A3989" s="2" t="n">
        <v>3987</v>
      </c>
      <c r="B3989" s="2" t="inlineStr">
        <is>
          <t>length</t>
        </is>
      </c>
      <c r="C3989" s="2" t="inlineStr">
        <is>
          <t>openssl X25519 only (classical)</t>
        </is>
      </c>
      <c r="D3989" s="2" t="n">
        <v>314</v>
      </c>
      <c r="E3989" s="2" t="n">
        <v>314</v>
      </c>
      <c r="F3989" s="2" t="n">
        <v>1</v>
      </c>
      <c r="G3989" s="2" t="n">
        <v>1</v>
      </c>
      <c r="H3989" s="2" t="n">
        <v>0</v>
      </c>
      <c r="I3989" s="2" t="n">
        <v>0</v>
      </c>
    </row>
    <row r="3990">
      <c r="A3990" s="2" t="n">
        <v>3988</v>
      </c>
      <c r="B3990" s="2" t="inlineStr">
        <is>
          <t>insert</t>
        </is>
      </c>
      <c r="C3990" s="2" t="inlineStr">
        <is>
          <t>openssl X25519 only (classical)</t>
        </is>
      </c>
      <c r="D3990" s="2" t="n">
        <v>319</v>
      </c>
      <c r="E3990" s="2" t="n">
        <v>319</v>
      </c>
      <c r="F3990" s="2" t="n">
        <v>1</v>
      </c>
      <c r="G3990" s="2" t="n">
        <v>0</v>
      </c>
      <c r="H3990" s="2" t="n">
        <v>0</v>
      </c>
      <c r="I3990" s="2" t="n">
        <v>0</v>
      </c>
    </row>
    <row r="3991">
      <c r="A3991" s="2" t="n">
        <v>3989</v>
      </c>
      <c r="B3991" s="2" t="inlineStr">
        <is>
          <t>flip</t>
        </is>
      </c>
      <c r="C3991" s="2" t="inlineStr">
        <is>
          <t>browser chrome150</t>
        </is>
      </c>
      <c r="D3991" s="2" t="n">
        <v>1763</v>
      </c>
      <c r="E3991" s="2" t="n">
        <v>1763</v>
      </c>
      <c r="F3991" s="2" t="n">
        <v>1</v>
      </c>
      <c r="G3991" s="2" t="n">
        <v>1</v>
      </c>
      <c r="H3991" s="2" t="n">
        <v>1</v>
      </c>
      <c r="I3991" s="2" t="n">
        <v>0</v>
      </c>
    </row>
    <row r="3992">
      <c r="A3992" s="2" t="n">
        <v>3990</v>
      </c>
      <c r="B3992" s="2" t="inlineStr">
        <is>
          <t>truncate</t>
        </is>
      </c>
      <c r="C3992" s="2" t="inlineStr">
        <is>
          <t>browser chrome150</t>
        </is>
      </c>
      <c r="D3992" s="2" t="n">
        <v>1415</v>
      </c>
      <c r="E3992" s="2" t="n">
        <v>1415</v>
      </c>
      <c r="F3992" s="2" t="n">
        <v>1</v>
      </c>
      <c r="G3992" s="2" t="n">
        <v>1</v>
      </c>
      <c r="H3992" s="2" t="n">
        <v>1</v>
      </c>
      <c r="I3992" s="2" t="n">
        <v>0</v>
      </c>
    </row>
    <row r="3993">
      <c r="A3993" s="2" t="n">
        <v>3991</v>
      </c>
      <c r="B3993" s="2" t="inlineStr">
        <is>
          <t>length</t>
        </is>
      </c>
      <c r="C3993" s="2" t="inlineStr">
        <is>
          <t>browser chrome150</t>
        </is>
      </c>
      <c r="D3993" s="2" t="n">
        <v>1763</v>
      </c>
      <c r="E3993" s="2" t="n">
        <v>1763</v>
      </c>
      <c r="F3993" s="2" t="n">
        <v>0</v>
      </c>
      <c r="G3993" s="2" t="n">
        <v>0</v>
      </c>
      <c r="H3993" s="2" t="n">
        <v>0</v>
      </c>
      <c r="I3993" s="2" t="n">
        <v>0</v>
      </c>
    </row>
    <row r="3994">
      <c r="A3994" s="2" t="n">
        <v>3992</v>
      </c>
      <c r="B3994" s="2" t="inlineStr">
        <is>
          <t>insert</t>
        </is>
      </c>
      <c r="C3994" s="2" t="inlineStr">
        <is>
          <t>browser firefox147</t>
        </is>
      </c>
      <c r="D3994" s="2" t="n">
        <v>1902</v>
      </c>
      <c r="E3994" s="2" t="n">
        <v>1902</v>
      </c>
      <c r="F3994" s="2" t="n">
        <v>1</v>
      </c>
      <c r="G3994" s="2" t="n">
        <v>1</v>
      </c>
      <c r="H3994" s="2" t="n">
        <v>0</v>
      </c>
      <c r="I3994" s="2" t="n">
        <v>0</v>
      </c>
    </row>
    <row r="3995">
      <c r="A3995" s="2" t="n">
        <v>3993</v>
      </c>
      <c r="B3995" s="2" t="inlineStr">
        <is>
          <t>flip</t>
        </is>
      </c>
      <c r="C3995" s="2" t="inlineStr">
        <is>
          <t>browser firefox147</t>
        </is>
      </c>
      <c r="D3995" s="2" t="n">
        <v>1901</v>
      </c>
      <c r="E3995" s="2" t="n">
        <v>1901</v>
      </c>
      <c r="F3995" s="2" t="n">
        <v>1</v>
      </c>
      <c r="G3995" s="2" t="n">
        <v>1</v>
      </c>
      <c r="H3995" s="2" t="n">
        <v>0</v>
      </c>
      <c r="I3995" s="2" t="n">
        <v>0</v>
      </c>
    </row>
    <row r="3996">
      <c r="A3996" s="2" t="n">
        <v>3994</v>
      </c>
      <c r="B3996" s="2" t="inlineStr">
        <is>
          <t>truncate</t>
        </is>
      </c>
      <c r="C3996" s="2" t="inlineStr">
        <is>
          <t>browser firefox147</t>
        </is>
      </c>
      <c r="D3996" s="2" t="n">
        <v>1482</v>
      </c>
      <c r="E3996" s="2" t="n">
        <v>1482</v>
      </c>
      <c r="F3996" s="2" t="n">
        <v>1</v>
      </c>
      <c r="G3996" s="2" t="n">
        <v>1</v>
      </c>
      <c r="H3996" s="2" t="n">
        <v>0</v>
      </c>
      <c r="I3996" s="2" t="n">
        <v>0</v>
      </c>
    </row>
    <row r="3997">
      <c r="A3997" s="2" t="n">
        <v>3995</v>
      </c>
      <c r="B3997" s="2" t="inlineStr">
        <is>
          <t>length</t>
        </is>
      </c>
      <c r="C3997" s="2" t="inlineStr">
        <is>
          <t>openssl X25519 only (classical)</t>
        </is>
      </c>
      <c r="D3997" s="2" t="n">
        <v>314</v>
      </c>
      <c r="E3997" s="2" t="n">
        <v>314</v>
      </c>
      <c r="F3997" s="2" t="n">
        <v>1</v>
      </c>
      <c r="G3997" s="2" t="n">
        <v>1</v>
      </c>
      <c r="H3997" s="2" t="n">
        <v>0</v>
      </c>
      <c r="I3997" s="2" t="n">
        <v>0</v>
      </c>
    </row>
    <row r="3998">
      <c r="A3998" s="2" t="n">
        <v>3996</v>
      </c>
      <c r="B3998" s="2" t="inlineStr">
        <is>
          <t>insert</t>
        </is>
      </c>
      <c r="C3998" s="2" t="inlineStr">
        <is>
          <t>openssl TLS 1.2 only</t>
        </is>
      </c>
      <c r="D3998" s="2" t="n">
        <v>224</v>
      </c>
      <c r="E3998" s="2" t="n">
        <v>224</v>
      </c>
      <c r="F3998" s="2" t="n">
        <v>1</v>
      </c>
      <c r="G3998" s="2" t="n">
        <v>1</v>
      </c>
      <c r="H3998" s="2" t="n">
        <v>0</v>
      </c>
      <c r="I3998" s="2" t="n">
        <v>0</v>
      </c>
    </row>
    <row r="3999">
      <c r="A3999" s="2" t="n">
        <v>3997</v>
      </c>
      <c r="B3999" s="2" t="inlineStr">
        <is>
          <t>flip</t>
        </is>
      </c>
      <c r="C3999" s="2" t="inlineStr">
        <is>
          <t>openssl 3.5.8 default</t>
        </is>
      </c>
      <c r="D3999" s="2" t="n">
        <v>1548</v>
      </c>
      <c r="E3999" s="2" t="n">
        <v>1548</v>
      </c>
      <c r="F3999" s="2" t="n">
        <v>1</v>
      </c>
      <c r="G3999" s="2" t="n">
        <v>0</v>
      </c>
      <c r="H3999" s="2" t="n">
        <v>0</v>
      </c>
      <c r="I3999" s="2" t="n">
        <v>0</v>
      </c>
    </row>
    <row r="4000">
      <c r="A4000" s="2" t="n">
        <v>3998</v>
      </c>
      <c r="B4000" s="2" t="inlineStr">
        <is>
          <t>truncate</t>
        </is>
      </c>
      <c r="C4000" s="2" t="inlineStr">
        <is>
          <t>browser firefox147</t>
        </is>
      </c>
      <c r="D4000" s="2" t="n">
        <v>1749</v>
      </c>
      <c r="E4000" s="2" t="n">
        <v>1749</v>
      </c>
      <c r="F4000" s="2" t="n">
        <v>1</v>
      </c>
      <c r="G4000" s="2" t="n">
        <v>1</v>
      </c>
      <c r="H4000" s="2" t="n">
        <v>0</v>
      </c>
      <c r="I4000" s="2" t="n">
        <v>0</v>
      </c>
    </row>
    <row r="4001">
      <c r="A4001" s="2" t="n">
        <v>3999</v>
      </c>
      <c r="B4001" s="2" t="inlineStr">
        <is>
          <t>length</t>
        </is>
      </c>
      <c r="C4001" s="2" t="inlineStr">
        <is>
          <t>openssl TLS 1.2 only</t>
        </is>
      </c>
      <c r="D4001" s="2" t="n">
        <v>215</v>
      </c>
      <c r="E4001" s="2" t="n">
        <v>215</v>
      </c>
      <c r="F4001" s="2" t="n">
        <v>1</v>
      </c>
      <c r="G4001" s="2" t="n">
        <v>1</v>
      </c>
      <c r="H4001" s="2" t="n">
        <v>1</v>
      </c>
      <c r="I4001" s="2" t="n">
        <v>0</v>
      </c>
    </row>
    <row r="4002">
      <c r="A4002" s="2" t="n">
        <v>4000</v>
      </c>
      <c r="B4002" s="2" t="inlineStr">
        <is>
          <t>insert</t>
        </is>
      </c>
      <c r="C4002" s="2" t="inlineStr">
        <is>
          <t>openssl X25519 only (classical)</t>
        </is>
      </c>
      <c r="D4002" s="2" t="n">
        <v>316</v>
      </c>
      <c r="E4002" s="2" t="n">
        <v>316</v>
      </c>
      <c r="F4002" s="2" t="n">
        <v>1</v>
      </c>
      <c r="G4002" s="2" t="n">
        <v>1</v>
      </c>
      <c r="H4002" s="2" t="n">
        <v>1</v>
      </c>
      <c r="I4002" s="2" t="n">
        <v>0</v>
      </c>
    </row>
    <row r="4003">
      <c r="A4003" s="2" t="n">
        <v>4001</v>
      </c>
      <c r="B4003" s="2" t="inlineStr">
        <is>
          <t>flip</t>
        </is>
      </c>
      <c r="C4003" s="2" t="inlineStr">
        <is>
          <t>openssl 3.5.8 default</t>
        </is>
      </c>
      <c r="D4003" s="2" t="n">
        <v>1548</v>
      </c>
      <c r="E4003" s="2" t="n">
        <v>1548</v>
      </c>
      <c r="F4003" s="2" t="n">
        <v>1</v>
      </c>
      <c r="G4003" s="2" t="n">
        <v>1</v>
      </c>
      <c r="H4003" s="2" t="n">
        <v>1</v>
      </c>
      <c r="I4003" s="2" t="n">
        <v>0</v>
      </c>
    </row>
    <row r="4004">
      <c r="A4004" s="2" t="n">
        <v>4002</v>
      </c>
      <c r="B4004" s="2" t="inlineStr">
        <is>
          <t>truncate</t>
        </is>
      </c>
      <c r="C4004" s="2" t="inlineStr">
        <is>
          <t>openssl X25519 only (classical)</t>
        </is>
      </c>
      <c r="D4004" s="2" t="n">
        <v>28</v>
      </c>
      <c r="E4004" s="2" t="n">
        <v>28</v>
      </c>
      <c r="F4004" s="2" t="n">
        <v>1</v>
      </c>
      <c r="G4004" s="2" t="n">
        <v>0</v>
      </c>
      <c r="H4004" s="2" t="n">
        <v>0</v>
      </c>
      <c r="I4004" s="2" t="n">
        <v>0</v>
      </c>
    </row>
    <row r="4005">
      <c r="A4005" s="2" t="n">
        <v>4003</v>
      </c>
      <c r="B4005" s="2" t="inlineStr">
        <is>
          <t>length</t>
        </is>
      </c>
      <c r="C4005" s="2" t="inlineStr">
        <is>
          <t>openssl TLS 1.2 only</t>
        </is>
      </c>
      <c r="D4005" s="2" t="n">
        <v>215</v>
      </c>
      <c r="E4005" s="2" t="n">
        <v>215</v>
      </c>
      <c r="F4005" s="2" t="n">
        <v>1</v>
      </c>
      <c r="G4005" s="2" t="n">
        <v>0</v>
      </c>
      <c r="H4005" s="2" t="n">
        <v>0</v>
      </c>
      <c r="I4005" s="2" t="n">
        <v>0</v>
      </c>
    </row>
    <row r="4006">
      <c r="A4006" s="2" t="n">
        <v>4004</v>
      </c>
      <c r="B4006" s="2" t="inlineStr">
        <is>
          <t>insert</t>
        </is>
      </c>
      <c r="C4006" s="2" t="inlineStr">
        <is>
          <t>openssl 3.5.8 default</t>
        </is>
      </c>
      <c r="D4006" s="2" t="n">
        <v>1556</v>
      </c>
      <c r="E4006" s="2" t="n">
        <v>1556</v>
      </c>
      <c r="F4006" s="2" t="n">
        <v>1</v>
      </c>
      <c r="G4006" s="2" t="n">
        <v>0</v>
      </c>
      <c r="H4006" s="2" t="n">
        <v>0</v>
      </c>
      <c r="I4006" s="2" t="n">
        <v>0</v>
      </c>
    </row>
    <row r="4007">
      <c r="A4007" s="2" t="n">
        <v>4005</v>
      </c>
      <c r="B4007" s="2" t="inlineStr">
        <is>
          <t>flip</t>
        </is>
      </c>
      <c r="C4007" s="2" t="inlineStr">
        <is>
          <t>browser chrome150</t>
        </is>
      </c>
      <c r="D4007" s="2" t="n">
        <v>1763</v>
      </c>
      <c r="E4007" s="2" t="n">
        <v>1763</v>
      </c>
      <c r="F4007" s="2" t="n">
        <v>1</v>
      </c>
      <c r="G4007" s="2" t="n">
        <v>1</v>
      </c>
      <c r="H4007" s="2" t="n">
        <v>1</v>
      </c>
      <c r="I4007" s="2" t="n">
        <v>0</v>
      </c>
    </row>
    <row r="4008">
      <c r="A4008" s="2" t="n">
        <v>4006</v>
      </c>
      <c r="B4008" s="2" t="inlineStr">
        <is>
          <t>truncate</t>
        </is>
      </c>
      <c r="C4008" s="2" t="inlineStr">
        <is>
          <t>openssl 3.5.8 default</t>
        </is>
      </c>
      <c r="D4008" s="2" t="n">
        <v>1485</v>
      </c>
      <c r="E4008" s="2" t="n">
        <v>1485</v>
      </c>
      <c r="F4008" s="2" t="n">
        <v>1</v>
      </c>
      <c r="G4008" s="2" t="n">
        <v>1</v>
      </c>
      <c r="H4008" s="2" t="n">
        <v>1</v>
      </c>
      <c r="I4008" s="2" t="n">
        <v>0</v>
      </c>
    </row>
    <row r="4009">
      <c r="A4009" s="2" t="n">
        <v>4007</v>
      </c>
      <c r="B4009" s="2" t="inlineStr">
        <is>
          <t>length</t>
        </is>
      </c>
      <c r="C4009" s="2" t="inlineStr">
        <is>
          <t>openssl X25519 only (classical)</t>
        </is>
      </c>
      <c r="D4009" s="2" t="n">
        <v>314</v>
      </c>
      <c r="E4009" s="2" t="n">
        <v>314</v>
      </c>
      <c r="F4009" s="2" t="n">
        <v>1</v>
      </c>
      <c r="G4009" s="2" t="n">
        <v>1</v>
      </c>
      <c r="H4009" s="2" t="n">
        <v>1</v>
      </c>
      <c r="I4009" s="2" t="n">
        <v>0</v>
      </c>
    </row>
    <row r="4010">
      <c r="A4010" s="2" t="n">
        <v>4008</v>
      </c>
      <c r="B4010" s="2" t="inlineStr">
        <is>
          <t>insert</t>
        </is>
      </c>
      <c r="C4010" s="2" t="inlineStr">
        <is>
          <t>openssl 3.5.8 default</t>
        </is>
      </c>
      <c r="D4010" s="2" t="n">
        <v>1559</v>
      </c>
      <c r="E4010" s="2" t="n">
        <v>1559</v>
      </c>
      <c r="F4010" s="2" t="n">
        <v>1</v>
      </c>
      <c r="G4010" s="2" t="n">
        <v>1</v>
      </c>
      <c r="H4010" s="2" t="n">
        <v>1</v>
      </c>
      <c r="I4010" s="2" t="n">
        <v>0</v>
      </c>
    </row>
    <row r="4011">
      <c r="A4011" s="2" t="n">
        <v>4009</v>
      </c>
      <c r="B4011" s="2" t="inlineStr">
        <is>
          <t>flip</t>
        </is>
      </c>
      <c r="C4011" s="2" t="inlineStr">
        <is>
          <t>browser firefox147</t>
        </is>
      </c>
      <c r="D4011" s="2" t="n">
        <v>1901</v>
      </c>
      <c r="E4011" s="2" t="n">
        <v>1901</v>
      </c>
      <c r="F4011" s="2" t="n">
        <v>1</v>
      </c>
      <c r="G4011" s="2" t="n">
        <v>1</v>
      </c>
      <c r="H4011" s="2" t="n">
        <v>0</v>
      </c>
      <c r="I4011" s="2" t="n">
        <v>0</v>
      </c>
    </row>
    <row r="4012">
      <c r="A4012" s="2" t="n">
        <v>4010</v>
      </c>
      <c r="B4012" s="2" t="inlineStr">
        <is>
          <t>truncate</t>
        </is>
      </c>
      <c r="C4012" s="2" t="inlineStr">
        <is>
          <t>openssl TLS 1.2 only</t>
        </is>
      </c>
      <c r="D4012" s="2" t="n">
        <v>68</v>
      </c>
      <c r="E4012" s="2" t="n">
        <v>68</v>
      </c>
      <c r="F4012" s="2" t="n">
        <v>1</v>
      </c>
      <c r="G4012" s="2" t="n">
        <v>0</v>
      </c>
      <c r="H4012" s="2" t="n">
        <v>0</v>
      </c>
      <c r="I4012" s="2" t="n">
        <v>0</v>
      </c>
    </row>
    <row r="4013">
      <c r="A4013" s="2" t="n">
        <v>4011</v>
      </c>
      <c r="B4013" s="2" t="inlineStr">
        <is>
          <t>length</t>
        </is>
      </c>
      <c r="C4013" s="2" t="inlineStr">
        <is>
          <t>browser firefox147</t>
        </is>
      </c>
      <c r="D4013" s="2" t="n">
        <v>1901</v>
      </c>
      <c r="E4013" s="2" t="n">
        <v>1901</v>
      </c>
      <c r="F4013" s="2" t="n">
        <v>0</v>
      </c>
      <c r="G4013" s="2" t="n">
        <v>0</v>
      </c>
      <c r="H4013" s="2" t="n">
        <v>0</v>
      </c>
      <c r="I4013" s="2" t="n">
        <v>0</v>
      </c>
    </row>
    <row r="4014">
      <c r="A4014" s="2" t="n">
        <v>4012</v>
      </c>
      <c r="B4014" s="2" t="inlineStr">
        <is>
          <t>insert</t>
        </is>
      </c>
      <c r="C4014" s="2" t="inlineStr">
        <is>
          <t>openssl TLS 1.2 only</t>
        </is>
      </c>
      <c r="D4014" s="2" t="n">
        <v>223</v>
      </c>
      <c r="E4014" s="2" t="n">
        <v>223</v>
      </c>
      <c r="F4014" s="2" t="n">
        <v>1</v>
      </c>
      <c r="G4014" s="2" t="n">
        <v>1</v>
      </c>
      <c r="H4014" s="2" t="n">
        <v>1</v>
      </c>
      <c r="I4014" s="2" t="n">
        <v>0</v>
      </c>
    </row>
    <row r="4015">
      <c r="A4015" s="2" t="n">
        <v>4013</v>
      </c>
      <c r="B4015" s="2" t="inlineStr">
        <is>
          <t>flip</t>
        </is>
      </c>
      <c r="C4015" s="2" t="inlineStr">
        <is>
          <t>openssl X25519 only (classical)</t>
        </is>
      </c>
      <c r="D4015" s="2" t="n">
        <v>314</v>
      </c>
      <c r="E4015" s="2" t="n">
        <v>314</v>
      </c>
      <c r="F4015" s="2" t="n">
        <v>1</v>
      </c>
      <c r="G4015" s="2" t="n">
        <v>1</v>
      </c>
      <c r="H4015" s="2" t="n">
        <v>1</v>
      </c>
      <c r="I4015" s="2" t="n">
        <v>0</v>
      </c>
    </row>
    <row r="4016">
      <c r="A4016" s="2" t="n">
        <v>4014</v>
      </c>
      <c r="B4016" s="2" t="inlineStr">
        <is>
          <t>truncate</t>
        </is>
      </c>
      <c r="C4016" s="2" t="inlineStr">
        <is>
          <t>openssl X25519 only (classical)</t>
        </is>
      </c>
      <c r="D4016" s="2" t="n">
        <v>22</v>
      </c>
      <c r="E4016" s="2" t="n">
        <v>22</v>
      </c>
      <c r="F4016" s="2" t="n">
        <v>1</v>
      </c>
      <c r="G4016" s="2" t="n">
        <v>0</v>
      </c>
      <c r="H4016" s="2" t="n">
        <v>0</v>
      </c>
      <c r="I4016" s="2" t="n">
        <v>0</v>
      </c>
    </row>
    <row r="4017">
      <c r="A4017" s="2" t="n">
        <v>4015</v>
      </c>
      <c r="B4017" s="2" t="inlineStr">
        <is>
          <t>length</t>
        </is>
      </c>
      <c r="C4017" s="2" t="inlineStr">
        <is>
          <t>browser firefox147</t>
        </is>
      </c>
      <c r="D4017" s="2" t="n">
        <v>1901</v>
      </c>
      <c r="E4017" s="2" t="n">
        <v>1901</v>
      </c>
      <c r="F4017" s="2" t="n">
        <v>0</v>
      </c>
      <c r="G4017" s="2" t="n">
        <v>0</v>
      </c>
      <c r="H4017" s="2" t="n">
        <v>0</v>
      </c>
      <c r="I4017" s="2" t="n">
        <v>0</v>
      </c>
    </row>
    <row r="4018">
      <c r="A4018" s="2" t="n">
        <v>4016</v>
      </c>
      <c r="B4018" s="2" t="inlineStr">
        <is>
          <t>insert</t>
        </is>
      </c>
      <c r="C4018" s="2" t="inlineStr">
        <is>
          <t>browser chrome150</t>
        </is>
      </c>
      <c r="D4018" s="2" t="n">
        <v>1777</v>
      </c>
      <c r="E4018" s="2" t="n">
        <v>1777</v>
      </c>
      <c r="F4018" s="2" t="n">
        <v>1</v>
      </c>
      <c r="G4018" s="2" t="n">
        <v>1</v>
      </c>
      <c r="H4018" s="2" t="n">
        <v>1</v>
      </c>
      <c r="I4018" s="2" t="n">
        <v>0</v>
      </c>
    </row>
    <row r="4019">
      <c r="A4019" s="2" t="n">
        <v>4017</v>
      </c>
      <c r="B4019" s="2" t="inlineStr">
        <is>
          <t>flip</t>
        </is>
      </c>
      <c r="C4019" s="2" t="inlineStr">
        <is>
          <t>openssl X25519 only (classical)</t>
        </is>
      </c>
      <c r="D4019" s="2" t="n">
        <v>314</v>
      </c>
      <c r="E4019" s="2" t="n">
        <v>314</v>
      </c>
      <c r="F4019" s="2" t="n">
        <v>1</v>
      </c>
      <c r="G4019" s="2" t="n">
        <v>1</v>
      </c>
      <c r="H4019" s="2" t="n">
        <v>1</v>
      </c>
      <c r="I4019" s="2" t="n">
        <v>0</v>
      </c>
    </row>
    <row r="4020">
      <c r="A4020" s="2" t="n">
        <v>4018</v>
      </c>
      <c r="B4020" s="2" t="inlineStr">
        <is>
          <t>truncate</t>
        </is>
      </c>
      <c r="C4020" s="2" t="inlineStr">
        <is>
          <t>browser firefox147</t>
        </is>
      </c>
      <c r="D4020" s="2" t="n">
        <v>289</v>
      </c>
      <c r="E4020" s="2" t="n">
        <v>289</v>
      </c>
      <c r="F4020" s="2" t="n">
        <v>1</v>
      </c>
      <c r="G4020" s="2" t="n">
        <v>1</v>
      </c>
      <c r="H4020" s="2" t="n">
        <v>0</v>
      </c>
      <c r="I4020" s="2" t="n">
        <v>0</v>
      </c>
    </row>
    <row r="4021">
      <c r="A4021" s="2" t="n">
        <v>4019</v>
      </c>
      <c r="B4021" s="2" t="inlineStr">
        <is>
          <t>length</t>
        </is>
      </c>
      <c r="C4021" s="2" t="inlineStr">
        <is>
          <t>browser chrome150</t>
        </is>
      </c>
      <c r="D4021" s="2" t="n">
        <v>1763</v>
      </c>
      <c r="E4021" s="2" t="n">
        <v>1763</v>
      </c>
      <c r="F4021" s="2" t="n">
        <v>0</v>
      </c>
      <c r="G4021" s="2" t="n">
        <v>0</v>
      </c>
      <c r="H4021" s="2" t="n">
        <v>0</v>
      </c>
      <c r="I4021" s="2" t="n">
        <v>0</v>
      </c>
    </row>
    <row r="4022">
      <c r="A4022" s="2" t="n">
        <v>4020</v>
      </c>
      <c r="B4022" s="2" t="inlineStr">
        <is>
          <t>insert</t>
        </is>
      </c>
      <c r="C4022" s="2" t="inlineStr">
        <is>
          <t>browser chrome150</t>
        </is>
      </c>
      <c r="D4022" s="2" t="n">
        <v>1766</v>
      </c>
      <c r="E4022" s="2" t="n">
        <v>1766</v>
      </c>
      <c r="F4022" s="2" t="n">
        <v>1</v>
      </c>
      <c r="G4022" s="2" t="n">
        <v>1</v>
      </c>
      <c r="H4022" s="2" t="n">
        <v>1</v>
      </c>
      <c r="I4022" s="2" t="n">
        <v>0</v>
      </c>
    </row>
    <row r="4023">
      <c r="A4023" s="2" t="n">
        <v>4021</v>
      </c>
      <c r="B4023" s="2" t="inlineStr">
        <is>
          <t>flip</t>
        </is>
      </c>
      <c r="C4023" s="2" t="inlineStr">
        <is>
          <t>openssl X25519 only (classical)</t>
        </is>
      </c>
      <c r="D4023" s="2" t="n">
        <v>314</v>
      </c>
      <c r="E4023" s="2" t="n">
        <v>314</v>
      </c>
      <c r="F4023" s="2" t="n">
        <v>1</v>
      </c>
      <c r="G4023" s="2" t="n">
        <v>1</v>
      </c>
      <c r="H4023" s="2" t="n">
        <v>1</v>
      </c>
      <c r="I4023" s="2" t="n">
        <v>0</v>
      </c>
    </row>
    <row r="4024">
      <c r="A4024" s="2" t="n">
        <v>4022</v>
      </c>
      <c r="B4024" s="2" t="inlineStr">
        <is>
          <t>truncate</t>
        </is>
      </c>
      <c r="C4024" s="2" t="inlineStr">
        <is>
          <t>openssl TLS 1.2 only</t>
        </is>
      </c>
      <c r="D4024" s="2" t="n">
        <v>11</v>
      </c>
      <c r="E4024" s="2" t="n">
        <v>11</v>
      </c>
      <c r="F4024" s="2" t="n">
        <v>1</v>
      </c>
      <c r="G4024" s="2" t="n">
        <v>0</v>
      </c>
      <c r="H4024" s="2" t="n">
        <v>0</v>
      </c>
      <c r="I4024" s="2" t="n">
        <v>0</v>
      </c>
    </row>
    <row r="4025">
      <c r="A4025" s="2" t="n">
        <v>4023</v>
      </c>
      <c r="B4025" s="2" t="inlineStr">
        <is>
          <t>length</t>
        </is>
      </c>
      <c r="C4025" s="2" t="inlineStr">
        <is>
          <t>browser firefox147</t>
        </is>
      </c>
      <c r="D4025" s="2" t="n">
        <v>1901</v>
      </c>
      <c r="E4025" s="2" t="n">
        <v>1901</v>
      </c>
      <c r="F4025" s="2" t="n">
        <v>1</v>
      </c>
      <c r="G4025" s="2" t="n">
        <v>1</v>
      </c>
      <c r="H4025" s="2" t="n">
        <v>0</v>
      </c>
      <c r="I4025" s="2" t="n">
        <v>0</v>
      </c>
    </row>
    <row r="4026">
      <c r="A4026" s="2" t="n">
        <v>4024</v>
      </c>
      <c r="B4026" s="2" t="inlineStr">
        <is>
          <t>insert</t>
        </is>
      </c>
      <c r="C4026" s="2" t="inlineStr">
        <is>
          <t>openssl 3.5.8 default</t>
        </is>
      </c>
      <c r="D4026" s="2" t="n">
        <v>1564</v>
      </c>
      <c r="E4026" s="2" t="n">
        <v>1564</v>
      </c>
      <c r="F4026" s="2" t="n">
        <v>1</v>
      </c>
      <c r="G4026" s="2" t="n">
        <v>1</v>
      </c>
      <c r="H4026" s="2" t="n">
        <v>1</v>
      </c>
      <c r="I4026" s="2" t="n">
        <v>0</v>
      </c>
    </row>
    <row r="4027">
      <c r="A4027" s="2" t="n">
        <v>4025</v>
      </c>
      <c r="B4027" s="2" t="inlineStr">
        <is>
          <t>flip</t>
        </is>
      </c>
      <c r="C4027" s="2" t="inlineStr">
        <is>
          <t>browser chrome150</t>
        </is>
      </c>
      <c r="D4027" s="2" t="n">
        <v>1763</v>
      </c>
      <c r="E4027" s="2" t="n">
        <v>1763</v>
      </c>
      <c r="F4027" s="2" t="n">
        <v>1</v>
      </c>
      <c r="G4027" s="2" t="n">
        <v>1</v>
      </c>
      <c r="H4027" s="2" t="n">
        <v>1</v>
      </c>
      <c r="I4027" s="2" t="n">
        <v>0</v>
      </c>
    </row>
    <row r="4028">
      <c r="A4028" s="2" t="n">
        <v>4026</v>
      </c>
      <c r="B4028" s="2" t="inlineStr">
        <is>
          <t>truncate</t>
        </is>
      </c>
      <c r="C4028" s="2" t="inlineStr">
        <is>
          <t>openssl X25519 only (classical)</t>
        </is>
      </c>
      <c r="D4028" s="2" t="n">
        <v>264</v>
      </c>
      <c r="E4028" s="2" t="n">
        <v>264</v>
      </c>
      <c r="F4028" s="2" t="n">
        <v>1</v>
      </c>
      <c r="G4028" s="2" t="n">
        <v>1</v>
      </c>
      <c r="H4028" s="2" t="n">
        <v>0</v>
      </c>
      <c r="I4028" s="2" t="n">
        <v>0</v>
      </c>
    </row>
    <row r="4029">
      <c r="A4029" s="2" t="n">
        <v>4027</v>
      </c>
      <c r="B4029" s="2" t="inlineStr">
        <is>
          <t>length</t>
        </is>
      </c>
      <c r="C4029" s="2" t="inlineStr">
        <is>
          <t>browser firefox147</t>
        </is>
      </c>
      <c r="D4029" s="2" t="n">
        <v>1901</v>
      </c>
      <c r="E4029" s="2" t="n">
        <v>1901</v>
      </c>
      <c r="F4029" s="2" t="n">
        <v>1</v>
      </c>
      <c r="G4029" s="2" t="n">
        <v>1</v>
      </c>
      <c r="H4029" s="2" t="n">
        <v>0</v>
      </c>
      <c r="I4029" s="2" t="n">
        <v>0</v>
      </c>
    </row>
    <row r="4030">
      <c r="A4030" s="2" t="n">
        <v>4028</v>
      </c>
      <c r="B4030" s="2" t="inlineStr">
        <is>
          <t>insert</t>
        </is>
      </c>
      <c r="C4030" s="2" t="inlineStr">
        <is>
          <t>openssl TLS 1.2 only</t>
        </is>
      </c>
      <c r="D4030" s="2" t="n">
        <v>224</v>
      </c>
      <c r="E4030" s="2" t="n">
        <v>224</v>
      </c>
      <c r="F4030" s="2" t="n">
        <v>1</v>
      </c>
      <c r="G4030" s="2" t="n">
        <v>1</v>
      </c>
      <c r="H4030" s="2" t="n">
        <v>1</v>
      </c>
      <c r="I4030" s="2" t="n">
        <v>0</v>
      </c>
    </row>
    <row r="4031">
      <c r="A4031" s="2" t="n">
        <v>4029</v>
      </c>
      <c r="B4031" s="2" t="inlineStr">
        <is>
          <t>flip</t>
        </is>
      </c>
      <c r="C4031" s="2" t="inlineStr">
        <is>
          <t>openssl 3.5.8 default</t>
        </is>
      </c>
      <c r="D4031" s="2" t="n">
        <v>1548</v>
      </c>
      <c r="E4031" s="2" t="n">
        <v>1548</v>
      </c>
      <c r="F4031" s="2" t="n">
        <v>1</v>
      </c>
      <c r="G4031" s="2" t="n">
        <v>1</v>
      </c>
      <c r="H4031" s="2" t="n">
        <v>1</v>
      </c>
      <c r="I4031" s="2" t="n">
        <v>0</v>
      </c>
    </row>
    <row r="4032">
      <c r="A4032" s="2" t="n">
        <v>4030</v>
      </c>
      <c r="B4032" s="2" t="inlineStr">
        <is>
          <t>truncate</t>
        </is>
      </c>
      <c r="C4032" s="2" t="inlineStr">
        <is>
          <t>openssl TLS 1.2 only</t>
        </is>
      </c>
      <c r="D4032" s="2" t="n">
        <v>63</v>
      </c>
      <c r="E4032" s="2" t="n">
        <v>63</v>
      </c>
      <c r="F4032" s="2" t="n">
        <v>1</v>
      </c>
      <c r="G4032" s="2" t="n">
        <v>0</v>
      </c>
      <c r="H4032" s="2" t="n">
        <v>0</v>
      </c>
      <c r="I4032" s="2" t="n">
        <v>0</v>
      </c>
    </row>
    <row r="4033">
      <c r="A4033" s="2" t="n">
        <v>4031</v>
      </c>
      <c r="B4033" s="2" t="inlineStr">
        <is>
          <t>length</t>
        </is>
      </c>
      <c r="C4033" s="2" t="inlineStr">
        <is>
          <t>openssl 3.5.8 default</t>
        </is>
      </c>
      <c r="D4033" s="2" t="n">
        <v>1548</v>
      </c>
      <c r="E4033" s="2" t="n">
        <v>1548</v>
      </c>
      <c r="F4033" s="2" t="n">
        <v>1</v>
      </c>
      <c r="G4033" s="2" t="n">
        <v>0</v>
      </c>
      <c r="H4033" s="2" t="n">
        <v>0</v>
      </c>
      <c r="I4033" s="2" t="n">
        <v>0</v>
      </c>
    </row>
    <row r="4034">
      <c r="A4034" s="2" t="n">
        <v>4032</v>
      </c>
      <c r="B4034" s="2" t="inlineStr">
        <is>
          <t>insert</t>
        </is>
      </c>
      <c r="C4034" s="2" t="inlineStr">
        <is>
          <t>browser firefox147</t>
        </is>
      </c>
      <c r="D4034" s="2" t="n">
        <v>1907</v>
      </c>
      <c r="E4034" s="2" t="n">
        <v>1907</v>
      </c>
      <c r="F4034" s="2" t="n">
        <v>1</v>
      </c>
      <c r="G4034" s="2" t="n">
        <v>1</v>
      </c>
      <c r="H4034" s="2" t="n">
        <v>0</v>
      </c>
      <c r="I4034" s="2" t="n">
        <v>0</v>
      </c>
    </row>
    <row r="4035">
      <c r="A4035" s="2" t="n">
        <v>4033</v>
      </c>
      <c r="B4035" s="2" t="inlineStr">
        <is>
          <t>flip</t>
        </is>
      </c>
      <c r="C4035" s="2" t="inlineStr">
        <is>
          <t>openssl TLS 1.2 only</t>
        </is>
      </c>
      <c r="D4035" s="2" t="n">
        <v>215</v>
      </c>
      <c r="E4035" s="2" t="n">
        <v>215</v>
      </c>
      <c r="F4035" s="2" t="n">
        <v>1</v>
      </c>
      <c r="G4035" s="2" t="n">
        <v>1</v>
      </c>
      <c r="H4035" s="2" t="n">
        <v>1</v>
      </c>
      <c r="I4035" s="2" t="n">
        <v>0</v>
      </c>
    </row>
    <row r="4036">
      <c r="A4036" s="2" t="n">
        <v>4034</v>
      </c>
      <c r="B4036" s="2" t="inlineStr">
        <is>
          <t>truncate</t>
        </is>
      </c>
      <c r="C4036" s="2" t="inlineStr">
        <is>
          <t>browser firefox147</t>
        </is>
      </c>
      <c r="D4036" s="2" t="n">
        <v>547</v>
      </c>
      <c r="E4036" s="2" t="n">
        <v>547</v>
      </c>
      <c r="F4036" s="2" t="n">
        <v>1</v>
      </c>
      <c r="G4036" s="2" t="n">
        <v>1</v>
      </c>
      <c r="H4036" s="2" t="n">
        <v>0</v>
      </c>
      <c r="I4036" s="2" t="n">
        <v>0</v>
      </c>
    </row>
    <row r="4037">
      <c r="A4037" s="2" t="n">
        <v>4035</v>
      </c>
      <c r="B4037" s="2" t="inlineStr">
        <is>
          <t>length</t>
        </is>
      </c>
      <c r="C4037" s="2" t="inlineStr">
        <is>
          <t>openssl TLS 1.2 only</t>
        </is>
      </c>
      <c r="D4037" s="2" t="n">
        <v>215</v>
      </c>
      <c r="E4037" s="2" t="n">
        <v>215</v>
      </c>
      <c r="F4037" s="2" t="n">
        <v>1</v>
      </c>
      <c r="G4037" s="2" t="n">
        <v>0</v>
      </c>
      <c r="H4037" s="2" t="n">
        <v>0</v>
      </c>
      <c r="I4037" s="2" t="n">
        <v>0</v>
      </c>
    </row>
    <row r="4038">
      <c r="A4038" s="2" t="n">
        <v>4036</v>
      </c>
      <c r="B4038" s="2" t="inlineStr">
        <is>
          <t>insert</t>
        </is>
      </c>
      <c r="C4038" s="2" t="inlineStr">
        <is>
          <t>openssl 3.5.8 default</t>
        </is>
      </c>
      <c r="D4038" s="2" t="n">
        <v>1550</v>
      </c>
      <c r="E4038" s="2" t="n">
        <v>1550</v>
      </c>
      <c r="F4038" s="2" t="n">
        <v>1</v>
      </c>
      <c r="G4038" s="2" t="n">
        <v>1</v>
      </c>
      <c r="H4038" s="2" t="n">
        <v>1</v>
      </c>
      <c r="I4038" s="2" t="n">
        <v>0</v>
      </c>
    </row>
    <row r="4039">
      <c r="A4039" s="2" t="n">
        <v>4037</v>
      </c>
      <c r="B4039" s="2" t="inlineStr">
        <is>
          <t>flip</t>
        </is>
      </c>
      <c r="C4039" s="2" t="inlineStr">
        <is>
          <t>browser firefox147</t>
        </is>
      </c>
      <c r="D4039" s="2" t="n">
        <v>1901</v>
      </c>
      <c r="E4039" s="2" t="n">
        <v>1901</v>
      </c>
      <c r="F4039" s="2" t="n">
        <v>1</v>
      </c>
      <c r="G4039" s="2" t="n">
        <v>1</v>
      </c>
      <c r="H4039" s="2" t="n">
        <v>0</v>
      </c>
      <c r="I4039" s="2" t="n">
        <v>0</v>
      </c>
    </row>
    <row r="4040">
      <c r="A4040" s="2" t="n">
        <v>4038</v>
      </c>
      <c r="B4040" s="2" t="inlineStr">
        <is>
          <t>truncate</t>
        </is>
      </c>
      <c r="C4040" s="2" t="inlineStr">
        <is>
          <t>browser chrome150</t>
        </is>
      </c>
      <c r="D4040" s="2" t="n">
        <v>463</v>
      </c>
      <c r="E4040" s="2" t="n">
        <v>463</v>
      </c>
      <c r="F4040" s="2" t="n">
        <v>1</v>
      </c>
      <c r="G4040" s="2" t="n">
        <v>1</v>
      </c>
      <c r="H4040" s="2" t="n">
        <v>1</v>
      </c>
      <c r="I4040" s="2" t="n">
        <v>0</v>
      </c>
    </row>
    <row r="4041">
      <c r="A4041" s="2" t="n">
        <v>4039</v>
      </c>
      <c r="B4041" s="2" t="inlineStr">
        <is>
          <t>length</t>
        </is>
      </c>
      <c r="C4041" s="2" t="inlineStr">
        <is>
          <t>browser chrome150</t>
        </is>
      </c>
      <c r="D4041" s="2" t="n">
        <v>1763</v>
      </c>
      <c r="E4041" s="2" t="n">
        <v>1763</v>
      </c>
      <c r="F4041" s="2" t="n">
        <v>1</v>
      </c>
      <c r="G4041" s="2" t="n">
        <v>1</v>
      </c>
      <c r="H4041" s="2" t="n">
        <v>1</v>
      </c>
      <c r="I4041" s="2" t="n">
        <v>0</v>
      </c>
    </row>
    <row r="4042">
      <c r="A4042" s="2" t="n">
        <v>4040</v>
      </c>
      <c r="B4042" s="2" t="inlineStr">
        <is>
          <t>insert</t>
        </is>
      </c>
      <c r="C4042" s="2" t="inlineStr">
        <is>
          <t>openssl TLS 1.2 only</t>
        </is>
      </c>
      <c r="D4042" s="2" t="n">
        <v>216</v>
      </c>
      <c r="E4042" s="2" t="n">
        <v>216</v>
      </c>
      <c r="F4042" s="2" t="n">
        <v>1</v>
      </c>
      <c r="G4042" s="2" t="n">
        <v>1</v>
      </c>
      <c r="H4042" s="2" t="n">
        <v>1</v>
      </c>
      <c r="I4042" s="2" t="n">
        <v>0</v>
      </c>
    </row>
    <row r="4043">
      <c r="A4043" s="2" t="n">
        <v>4041</v>
      </c>
      <c r="B4043" s="2" t="inlineStr">
        <is>
          <t>flip</t>
        </is>
      </c>
      <c r="C4043" s="2" t="inlineStr">
        <is>
          <t>openssl 3.5.8 default</t>
        </is>
      </c>
      <c r="D4043" s="2" t="n">
        <v>1548</v>
      </c>
      <c r="E4043" s="2" t="n">
        <v>1548</v>
      </c>
      <c r="F4043" s="2" t="n">
        <v>1</v>
      </c>
      <c r="G4043" s="2" t="n">
        <v>1</v>
      </c>
      <c r="H4043" s="2" t="n">
        <v>1</v>
      </c>
      <c r="I4043" s="2" t="n">
        <v>0</v>
      </c>
    </row>
    <row r="4044">
      <c r="A4044" s="2" t="n">
        <v>4042</v>
      </c>
      <c r="B4044" s="2" t="inlineStr">
        <is>
          <t>truncate</t>
        </is>
      </c>
      <c r="C4044" s="2" t="inlineStr">
        <is>
          <t>browser chrome150</t>
        </is>
      </c>
      <c r="D4044" s="2" t="n">
        <v>1314</v>
      </c>
      <c r="E4044" s="2" t="n">
        <v>1314</v>
      </c>
      <c r="F4044" s="2" t="n">
        <v>1</v>
      </c>
      <c r="G4044" s="2" t="n">
        <v>1</v>
      </c>
      <c r="H4044" s="2" t="n">
        <v>1</v>
      </c>
      <c r="I4044" s="2" t="n">
        <v>0</v>
      </c>
    </row>
    <row r="4045">
      <c r="A4045" s="2" t="n">
        <v>4043</v>
      </c>
      <c r="B4045" s="2" t="inlineStr">
        <is>
          <t>length</t>
        </is>
      </c>
      <c r="C4045" s="2" t="inlineStr">
        <is>
          <t>browser chrome150</t>
        </is>
      </c>
      <c r="D4045" s="2" t="n">
        <v>1763</v>
      </c>
      <c r="E4045" s="2" t="n">
        <v>1763</v>
      </c>
      <c r="F4045" s="2" t="n">
        <v>1</v>
      </c>
      <c r="G4045" s="2" t="n">
        <v>1</v>
      </c>
      <c r="H4045" s="2" t="n">
        <v>0</v>
      </c>
      <c r="I4045" s="2" t="n">
        <v>0</v>
      </c>
    </row>
    <row r="4046">
      <c r="A4046" s="2" t="n">
        <v>4044</v>
      </c>
      <c r="B4046" s="2" t="inlineStr">
        <is>
          <t>insert</t>
        </is>
      </c>
      <c r="C4046" s="2" t="inlineStr">
        <is>
          <t>openssl TLS 1.2 only</t>
        </is>
      </c>
      <c r="D4046" s="2" t="n">
        <v>219</v>
      </c>
      <c r="E4046" s="2" t="n">
        <v>219</v>
      </c>
      <c r="F4046" s="2" t="n">
        <v>1</v>
      </c>
      <c r="G4046" s="2" t="n">
        <v>1</v>
      </c>
      <c r="H4046" s="2" t="n">
        <v>1</v>
      </c>
      <c r="I4046" s="2" t="n">
        <v>0</v>
      </c>
    </row>
    <row r="4047">
      <c r="A4047" s="2" t="n">
        <v>4045</v>
      </c>
      <c r="B4047" s="2" t="inlineStr">
        <is>
          <t>flip</t>
        </is>
      </c>
      <c r="C4047" s="2" t="inlineStr">
        <is>
          <t>browser firefox147</t>
        </is>
      </c>
      <c r="D4047" s="2" t="n">
        <v>1901</v>
      </c>
      <c r="E4047" s="2" t="n">
        <v>1901</v>
      </c>
      <c r="F4047" s="2" t="n">
        <v>1</v>
      </c>
      <c r="G4047" s="2" t="n">
        <v>1</v>
      </c>
      <c r="H4047" s="2" t="n">
        <v>0</v>
      </c>
      <c r="I4047" s="2" t="n">
        <v>0</v>
      </c>
    </row>
    <row r="4048">
      <c r="A4048" s="2" t="n">
        <v>4046</v>
      </c>
      <c r="B4048" s="2" t="inlineStr">
        <is>
          <t>truncate</t>
        </is>
      </c>
      <c r="C4048" s="2" t="inlineStr">
        <is>
          <t>browser chrome150</t>
        </is>
      </c>
      <c r="D4048" s="2" t="n">
        <v>629</v>
      </c>
      <c r="E4048" s="2" t="n">
        <v>629</v>
      </c>
      <c r="F4048" s="2" t="n">
        <v>1</v>
      </c>
      <c r="G4048" s="2" t="n">
        <v>1</v>
      </c>
      <c r="H4048" s="2" t="n">
        <v>1</v>
      </c>
      <c r="I4048" s="2" t="n">
        <v>0</v>
      </c>
    </row>
    <row r="4049">
      <c r="A4049" s="2" t="n">
        <v>4047</v>
      </c>
      <c r="B4049" s="2" t="inlineStr">
        <is>
          <t>length</t>
        </is>
      </c>
      <c r="C4049" s="2" t="inlineStr">
        <is>
          <t>openssl TLS 1.2 only</t>
        </is>
      </c>
      <c r="D4049" s="2" t="n">
        <v>215</v>
      </c>
      <c r="E4049" s="2" t="n">
        <v>215</v>
      </c>
      <c r="F4049" s="2" t="n">
        <v>1</v>
      </c>
      <c r="G4049" s="2" t="n">
        <v>1</v>
      </c>
      <c r="H4049" s="2" t="n">
        <v>0</v>
      </c>
      <c r="I4049" s="2" t="n">
        <v>0</v>
      </c>
    </row>
    <row r="4050">
      <c r="A4050" s="2" t="n">
        <v>4048</v>
      </c>
      <c r="B4050" s="2" t="inlineStr">
        <is>
          <t>insert</t>
        </is>
      </c>
      <c r="C4050" s="2" t="inlineStr">
        <is>
          <t>openssl 3.5.8 default</t>
        </is>
      </c>
      <c r="D4050" s="2" t="n">
        <v>1556</v>
      </c>
      <c r="E4050" s="2" t="n">
        <v>1556</v>
      </c>
      <c r="F4050" s="2" t="n">
        <v>1</v>
      </c>
      <c r="G4050" s="2" t="n">
        <v>1</v>
      </c>
      <c r="H4050" s="2" t="n">
        <v>1</v>
      </c>
      <c r="I4050" s="2" t="n">
        <v>0</v>
      </c>
    </row>
    <row r="4051">
      <c r="A4051" s="2" t="n">
        <v>4049</v>
      </c>
      <c r="B4051" s="2" t="inlineStr">
        <is>
          <t>flip</t>
        </is>
      </c>
      <c r="C4051" s="2" t="inlineStr">
        <is>
          <t>openssl 3.5.8 default</t>
        </is>
      </c>
      <c r="D4051" s="2" t="n">
        <v>1548</v>
      </c>
      <c r="E4051" s="2" t="n">
        <v>1548</v>
      </c>
      <c r="F4051" s="2" t="n">
        <v>1</v>
      </c>
      <c r="G4051" s="2" t="n">
        <v>1</v>
      </c>
      <c r="H4051" s="2" t="n">
        <v>1</v>
      </c>
      <c r="I4051" s="2" t="n">
        <v>0</v>
      </c>
    </row>
    <row r="4052">
      <c r="A4052" s="2" t="n">
        <v>4050</v>
      </c>
      <c r="B4052" s="2" t="inlineStr">
        <is>
          <t>truncate</t>
        </is>
      </c>
      <c r="C4052" s="2" t="inlineStr">
        <is>
          <t>browser firefox147</t>
        </is>
      </c>
      <c r="D4052" s="2" t="n">
        <v>1264</v>
      </c>
      <c r="E4052" s="2" t="n">
        <v>1264</v>
      </c>
      <c r="F4052" s="2" t="n">
        <v>1</v>
      </c>
      <c r="G4052" s="2" t="n">
        <v>1</v>
      </c>
      <c r="H4052" s="2" t="n">
        <v>0</v>
      </c>
      <c r="I4052" s="2" t="n">
        <v>0</v>
      </c>
    </row>
    <row r="4053">
      <c r="A4053" s="2" t="n">
        <v>4051</v>
      </c>
      <c r="B4053" s="2" t="inlineStr">
        <is>
          <t>length</t>
        </is>
      </c>
      <c r="C4053" s="2" t="inlineStr">
        <is>
          <t>openssl TLS 1.2 only</t>
        </is>
      </c>
      <c r="D4053" s="2" t="n">
        <v>215</v>
      </c>
      <c r="E4053" s="2" t="n">
        <v>215</v>
      </c>
      <c r="F4053" s="2" t="n">
        <v>1</v>
      </c>
      <c r="G4053" s="2" t="n">
        <v>1</v>
      </c>
      <c r="H4053" s="2" t="n">
        <v>0</v>
      </c>
      <c r="I4053" s="2" t="n">
        <v>0</v>
      </c>
    </row>
    <row r="4054">
      <c r="A4054" s="2" t="n">
        <v>4052</v>
      </c>
      <c r="B4054" s="2" t="inlineStr">
        <is>
          <t>insert</t>
        </is>
      </c>
      <c r="C4054" s="2" t="inlineStr">
        <is>
          <t>browser firefox147</t>
        </is>
      </c>
      <c r="D4054" s="2" t="n">
        <v>1915</v>
      </c>
      <c r="E4054" s="2" t="n">
        <v>1915</v>
      </c>
      <c r="F4054" s="2" t="n">
        <v>1</v>
      </c>
      <c r="G4054" s="2" t="n">
        <v>1</v>
      </c>
      <c r="H4054" s="2" t="n">
        <v>0</v>
      </c>
      <c r="I4054" s="2" t="n">
        <v>0</v>
      </c>
    </row>
    <row r="4055">
      <c r="A4055" s="2" t="n">
        <v>4053</v>
      </c>
      <c r="B4055" s="2" t="inlineStr">
        <is>
          <t>flip</t>
        </is>
      </c>
      <c r="C4055" s="2" t="inlineStr">
        <is>
          <t>openssl 3.5.8 default</t>
        </is>
      </c>
      <c r="D4055" s="2" t="n">
        <v>1548</v>
      </c>
      <c r="E4055" s="2" t="n">
        <v>1548</v>
      </c>
      <c r="F4055" s="2" t="n">
        <v>1</v>
      </c>
      <c r="G4055" s="2" t="n">
        <v>1</v>
      </c>
      <c r="H4055" s="2" t="n">
        <v>1</v>
      </c>
      <c r="I4055" s="2" t="n">
        <v>0</v>
      </c>
    </row>
    <row r="4056">
      <c r="A4056" s="2" t="n">
        <v>4054</v>
      </c>
      <c r="B4056" s="2" t="inlineStr">
        <is>
          <t>truncate</t>
        </is>
      </c>
      <c r="C4056" s="2" t="inlineStr">
        <is>
          <t>openssl 3.5.8 default</t>
        </is>
      </c>
      <c r="D4056" s="2" t="n">
        <v>1056</v>
      </c>
      <c r="E4056" s="2" t="n">
        <v>1056</v>
      </c>
      <c r="F4056" s="2" t="n">
        <v>1</v>
      </c>
      <c r="G4056" s="2" t="n">
        <v>1</v>
      </c>
      <c r="H4056" s="2" t="n">
        <v>1</v>
      </c>
      <c r="I4056" s="2" t="n">
        <v>0</v>
      </c>
    </row>
    <row r="4057">
      <c r="A4057" s="2" t="n">
        <v>4055</v>
      </c>
      <c r="B4057" s="2" t="inlineStr">
        <is>
          <t>length</t>
        </is>
      </c>
      <c r="C4057" s="2" t="inlineStr">
        <is>
          <t>browser firefox147</t>
        </is>
      </c>
      <c r="D4057" s="2" t="n">
        <v>1901</v>
      </c>
      <c r="E4057" s="2" t="n">
        <v>1901</v>
      </c>
      <c r="F4057" s="2" t="n">
        <v>1</v>
      </c>
      <c r="G4057" s="2" t="n">
        <v>0</v>
      </c>
      <c r="H4057" s="2" t="n">
        <v>0</v>
      </c>
      <c r="I4057" s="2" t="n">
        <v>0</v>
      </c>
    </row>
    <row r="4058">
      <c r="A4058" s="2" t="n">
        <v>4056</v>
      </c>
      <c r="B4058" s="2" t="inlineStr">
        <is>
          <t>insert</t>
        </is>
      </c>
      <c r="C4058" s="2" t="inlineStr">
        <is>
          <t>openssl X25519 only (classical)</t>
        </is>
      </c>
      <c r="D4058" s="2" t="n">
        <v>317</v>
      </c>
      <c r="E4058" s="2" t="n">
        <v>317</v>
      </c>
      <c r="F4058" s="2" t="n">
        <v>1</v>
      </c>
      <c r="G4058" s="2" t="n">
        <v>1</v>
      </c>
      <c r="H4058" s="2" t="n">
        <v>1</v>
      </c>
      <c r="I4058" s="2" t="n">
        <v>0</v>
      </c>
    </row>
    <row r="4059">
      <c r="A4059" s="2" t="n">
        <v>4057</v>
      </c>
      <c r="B4059" s="2" t="inlineStr">
        <is>
          <t>flip</t>
        </is>
      </c>
      <c r="C4059" s="2" t="inlineStr">
        <is>
          <t>browser firefox147</t>
        </is>
      </c>
      <c r="D4059" s="2" t="n">
        <v>1901</v>
      </c>
      <c r="E4059" s="2" t="n">
        <v>1901</v>
      </c>
      <c r="F4059" s="2" t="n">
        <v>1</v>
      </c>
      <c r="G4059" s="2" t="n">
        <v>1</v>
      </c>
      <c r="H4059" s="2" t="n">
        <v>0</v>
      </c>
      <c r="I4059" s="2" t="n">
        <v>0</v>
      </c>
    </row>
    <row r="4060">
      <c r="A4060" s="2" t="n">
        <v>4058</v>
      </c>
      <c r="B4060" s="2" t="inlineStr">
        <is>
          <t>truncate</t>
        </is>
      </c>
      <c r="C4060" s="2" t="inlineStr">
        <is>
          <t>openssl 3.5.8 default</t>
        </is>
      </c>
      <c r="D4060" s="2" t="n">
        <v>110</v>
      </c>
      <c r="E4060" s="2" t="n">
        <v>110</v>
      </c>
      <c r="F4060" s="2" t="n">
        <v>1</v>
      </c>
      <c r="G4060" s="2" t="n">
        <v>0</v>
      </c>
      <c r="H4060" s="2" t="n">
        <v>0</v>
      </c>
      <c r="I4060" s="2" t="n">
        <v>0</v>
      </c>
    </row>
    <row r="4061">
      <c r="A4061" s="2" t="n">
        <v>4059</v>
      </c>
      <c r="B4061" s="2" t="inlineStr">
        <is>
          <t>length</t>
        </is>
      </c>
      <c r="C4061" s="2" t="inlineStr">
        <is>
          <t>openssl TLS 1.2 only</t>
        </is>
      </c>
      <c r="D4061" s="2" t="n">
        <v>215</v>
      </c>
      <c r="E4061" s="2" t="n">
        <v>215</v>
      </c>
      <c r="F4061" s="2" t="n">
        <v>0</v>
      </c>
      <c r="G4061" s="2" t="n">
        <v>0</v>
      </c>
      <c r="H4061" s="2" t="n">
        <v>0</v>
      </c>
      <c r="I4061" s="2" t="n">
        <v>0</v>
      </c>
    </row>
    <row r="4062">
      <c r="A4062" s="2" t="n">
        <v>4060</v>
      </c>
      <c r="B4062" s="2" t="inlineStr">
        <is>
          <t>insert</t>
        </is>
      </c>
      <c r="C4062" s="2" t="inlineStr">
        <is>
          <t>openssl TLS 1.2 only</t>
        </is>
      </c>
      <c r="D4062" s="2" t="n">
        <v>226</v>
      </c>
      <c r="E4062" s="2" t="n">
        <v>226</v>
      </c>
      <c r="F4062" s="2" t="n">
        <v>1</v>
      </c>
      <c r="G4062" s="2" t="n">
        <v>1</v>
      </c>
      <c r="H4062" s="2" t="n">
        <v>1</v>
      </c>
      <c r="I4062" s="2" t="n">
        <v>0</v>
      </c>
    </row>
    <row r="4063">
      <c r="A4063" s="2" t="n">
        <v>4061</v>
      </c>
      <c r="B4063" s="2" t="inlineStr">
        <is>
          <t>flip</t>
        </is>
      </c>
      <c r="C4063" s="2" t="inlineStr">
        <is>
          <t>openssl TLS 1.2 only</t>
        </is>
      </c>
      <c r="D4063" s="2" t="n">
        <v>215</v>
      </c>
      <c r="E4063" s="2" t="n">
        <v>215</v>
      </c>
      <c r="F4063" s="2" t="n">
        <v>1</v>
      </c>
      <c r="G4063" s="2" t="n">
        <v>1</v>
      </c>
      <c r="H4063" s="2" t="n">
        <v>1</v>
      </c>
      <c r="I4063" s="2" t="n">
        <v>0</v>
      </c>
    </row>
    <row r="4064">
      <c r="A4064" s="2" t="n">
        <v>4062</v>
      </c>
      <c r="B4064" s="2" t="inlineStr">
        <is>
          <t>truncate</t>
        </is>
      </c>
      <c r="C4064" s="2" t="inlineStr">
        <is>
          <t>openssl 3.5.8 default</t>
        </is>
      </c>
      <c r="D4064" s="2" t="n">
        <v>636</v>
      </c>
      <c r="E4064" s="2" t="n">
        <v>636</v>
      </c>
      <c r="F4064" s="2" t="n">
        <v>1</v>
      </c>
      <c r="G4064" s="2" t="n">
        <v>1</v>
      </c>
      <c r="H4064" s="2" t="n">
        <v>1</v>
      </c>
      <c r="I4064" s="2" t="n">
        <v>0</v>
      </c>
    </row>
    <row r="4065">
      <c r="A4065" s="2" t="n">
        <v>4063</v>
      </c>
      <c r="B4065" s="2" t="inlineStr">
        <is>
          <t>length</t>
        </is>
      </c>
      <c r="C4065" s="2" t="inlineStr">
        <is>
          <t>browser chrome150</t>
        </is>
      </c>
      <c r="D4065" s="2" t="n">
        <v>1763</v>
      </c>
      <c r="E4065" s="2" t="n">
        <v>1763</v>
      </c>
      <c r="F4065" s="2" t="n">
        <v>1</v>
      </c>
      <c r="G4065" s="2" t="n">
        <v>1</v>
      </c>
      <c r="H4065" s="2" t="n">
        <v>1</v>
      </c>
      <c r="I4065" s="2" t="n">
        <v>0</v>
      </c>
    </row>
    <row r="4066">
      <c r="A4066" s="2" t="n">
        <v>4064</v>
      </c>
      <c r="B4066" s="2" t="inlineStr">
        <is>
          <t>insert</t>
        </is>
      </c>
      <c r="C4066" s="2" t="inlineStr">
        <is>
          <t>openssl X25519 only (classical)</t>
        </is>
      </c>
      <c r="D4066" s="2" t="n">
        <v>327</v>
      </c>
      <c r="E4066" s="2" t="n">
        <v>327</v>
      </c>
      <c r="F4066" s="2" t="n">
        <v>1</v>
      </c>
      <c r="G4066" s="2" t="n">
        <v>1</v>
      </c>
      <c r="H4066" s="2" t="n">
        <v>1</v>
      </c>
      <c r="I4066" s="2" t="n">
        <v>0</v>
      </c>
    </row>
    <row r="4067">
      <c r="A4067" s="2" t="n">
        <v>4065</v>
      </c>
      <c r="B4067" s="2" t="inlineStr">
        <is>
          <t>flip</t>
        </is>
      </c>
      <c r="C4067" s="2" t="inlineStr">
        <is>
          <t>openssl TLS 1.2 only</t>
        </is>
      </c>
      <c r="D4067" s="2" t="n">
        <v>215</v>
      </c>
      <c r="E4067" s="2" t="n">
        <v>215</v>
      </c>
      <c r="F4067" s="2" t="n">
        <v>1</v>
      </c>
      <c r="G4067" s="2" t="n">
        <v>1</v>
      </c>
      <c r="H4067" s="2" t="n">
        <v>1</v>
      </c>
      <c r="I4067" s="2" t="n">
        <v>0</v>
      </c>
    </row>
    <row r="4068">
      <c r="A4068" s="2" t="n">
        <v>4066</v>
      </c>
      <c r="B4068" s="2" t="inlineStr">
        <is>
          <t>truncate</t>
        </is>
      </c>
      <c r="C4068" s="2" t="inlineStr">
        <is>
          <t>browser firefox147</t>
        </is>
      </c>
      <c r="D4068" s="2" t="n">
        <v>964</v>
      </c>
      <c r="E4068" s="2" t="n">
        <v>964</v>
      </c>
      <c r="F4068" s="2" t="n">
        <v>1</v>
      </c>
      <c r="G4068" s="2" t="n">
        <v>1</v>
      </c>
      <c r="H4068" s="2" t="n">
        <v>0</v>
      </c>
      <c r="I4068" s="2" t="n">
        <v>0</v>
      </c>
    </row>
    <row r="4069">
      <c r="A4069" s="2" t="n">
        <v>4067</v>
      </c>
      <c r="B4069" s="2" t="inlineStr">
        <is>
          <t>length</t>
        </is>
      </c>
      <c r="C4069" s="2" t="inlineStr">
        <is>
          <t>openssl TLS 1.2 only</t>
        </is>
      </c>
      <c r="D4069" s="2" t="n">
        <v>215</v>
      </c>
      <c r="E4069" s="2" t="n">
        <v>215</v>
      </c>
      <c r="F4069" s="2" t="n">
        <v>1</v>
      </c>
      <c r="G4069" s="2" t="n">
        <v>0</v>
      </c>
      <c r="H4069" s="2" t="n">
        <v>0</v>
      </c>
      <c r="I4069" s="2" t="n">
        <v>0</v>
      </c>
    </row>
    <row r="4070">
      <c r="A4070" s="2" t="n">
        <v>4068</v>
      </c>
      <c r="B4070" s="2" t="inlineStr">
        <is>
          <t>insert</t>
        </is>
      </c>
      <c r="C4070" s="2" t="inlineStr">
        <is>
          <t>openssl X25519 only (classical)</t>
        </is>
      </c>
      <c r="D4070" s="2" t="n">
        <v>317</v>
      </c>
      <c r="E4070" s="2" t="n">
        <v>317</v>
      </c>
      <c r="F4070" s="2" t="n">
        <v>1</v>
      </c>
      <c r="G4070" s="2" t="n">
        <v>1</v>
      </c>
      <c r="H4070" s="2" t="n">
        <v>1</v>
      </c>
      <c r="I4070" s="2" t="n">
        <v>0</v>
      </c>
    </row>
    <row r="4071">
      <c r="A4071" s="2" t="n">
        <v>4069</v>
      </c>
      <c r="B4071" s="2" t="inlineStr">
        <is>
          <t>flip</t>
        </is>
      </c>
      <c r="C4071" s="2" t="inlineStr">
        <is>
          <t>browser chrome150</t>
        </is>
      </c>
      <c r="D4071" s="2" t="n">
        <v>1763</v>
      </c>
      <c r="E4071" s="2" t="n">
        <v>1763</v>
      </c>
      <c r="F4071" s="2" t="n">
        <v>1</v>
      </c>
      <c r="G4071" s="2" t="n">
        <v>1</v>
      </c>
      <c r="H4071" s="2" t="n">
        <v>1</v>
      </c>
      <c r="I4071" s="2" t="n">
        <v>0</v>
      </c>
    </row>
    <row r="4072">
      <c r="A4072" s="2" t="n">
        <v>4070</v>
      </c>
      <c r="B4072" s="2" t="inlineStr">
        <is>
          <t>truncate</t>
        </is>
      </c>
      <c r="C4072" s="2" t="inlineStr">
        <is>
          <t>openssl TLS 1.2 only</t>
        </is>
      </c>
      <c r="D4072" s="2" t="n">
        <v>118</v>
      </c>
      <c r="E4072" s="2" t="n">
        <v>118</v>
      </c>
      <c r="F4072" s="2" t="n">
        <v>1</v>
      </c>
      <c r="G4072" s="2" t="n">
        <v>1</v>
      </c>
      <c r="H4072" s="2" t="n">
        <v>0</v>
      </c>
      <c r="I4072" s="2" t="n">
        <v>0</v>
      </c>
    </row>
    <row r="4073">
      <c r="A4073" s="2" t="n">
        <v>4071</v>
      </c>
      <c r="B4073" s="2" t="inlineStr">
        <is>
          <t>length</t>
        </is>
      </c>
      <c r="C4073" s="2" t="inlineStr">
        <is>
          <t>openssl 3.5.8 default</t>
        </is>
      </c>
      <c r="D4073" s="2" t="n">
        <v>1548</v>
      </c>
      <c r="E4073" s="2" t="n">
        <v>1548</v>
      </c>
      <c r="F4073" s="2" t="n">
        <v>1</v>
      </c>
      <c r="G4073" s="2" t="n">
        <v>0</v>
      </c>
      <c r="H4073" s="2" t="n">
        <v>0</v>
      </c>
      <c r="I4073" s="2" t="n">
        <v>0</v>
      </c>
    </row>
    <row r="4074">
      <c r="A4074" s="2" t="n">
        <v>4072</v>
      </c>
      <c r="B4074" s="2" t="inlineStr">
        <is>
          <t>insert</t>
        </is>
      </c>
      <c r="C4074" s="2" t="inlineStr">
        <is>
          <t>openssl 3.5.8 default</t>
        </is>
      </c>
      <c r="D4074" s="2" t="n">
        <v>1555</v>
      </c>
      <c r="E4074" s="2" t="n">
        <v>1555</v>
      </c>
      <c r="F4074" s="2" t="n">
        <v>1</v>
      </c>
      <c r="G4074" s="2" t="n">
        <v>1</v>
      </c>
      <c r="H4074" s="2" t="n">
        <v>1</v>
      </c>
      <c r="I4074" s="2" t="n">
        <v>0</v>
      </c>
    </row>
    <row r="4075">
      <c r="A4075" s="2" t="n">
        <v>4073</v>
      </c>
      <c r="B4075" s="2" t="inlineStr">
        <is>
          <t>flip</t>
        </is>
      </c>
      <c r="C4075" s="2" t="inlineStr">
        <is>
          <t>browser firefox147</t>
        </is>
      </c>
      <c r="D4075" s="2" t="n">
        <v>1901</v>
      </c>
      <c r="E4075" s="2" t="n">
        <v>1901</v>
      </c>
      <c r="F4075" s="2" t="n">
        <v>1</v>
      </c>
      <c r="G4075" s="2" t="n">
        <v>1</v>
      </c>
      <c r="H4075" s="2" t="n">
        <v>0</v>
      </c>
      <c r="I4075" s="2" t="n">
        <v>0</v>
      </c>
    </row>
    <row r="4076">
      <c r="A4076" s="2" t="n">
        <v>4074</v>
      </c>
      <c r="B4076" s="2" t="inlineStr">
        <is>
          <t>truncate</t>
        </is>
      </c>
      <c r="C4076" s="2" t="inlineStr">
        <is>
          <t>browser chrome150</t>
        </is>
      </c>
      <c r="D4076" s="2" t="n">
        <v>937</v>
      </c>
      <c r="E4076" s="2" t="n">
        <v>937</v>
      </c>
      <c r="F4076" s="2" t="n">
        <v>1</v>
      </c>
      <c r="G4076" s="2" t="n">
        <v>1</v>
      </c>
      <c r="H4076" s="2" t="n">
        <v>1</v>
      </c>
      <c r="I4076" s="2" t="n">
        <v>0</v>
      </c>
    </row>
    <row r="4077">
      <c r="A4077" s="2" t="n">
        <v>4075</v>
      </c>
      <c r="B4077" s="2" t="inlineStr">
        <is>
          <t>length</t>
        </is>
      </c>
      <c r="C4077" s="2" t="inlineStr">
        <is>
          <t>browser chrome150</t>
        </is>
      </c>
      <c r="D4077" s="2" t="n">
        <v>1763</v>
      </c>
      <c r="E4077" s="2" t="n">
        <v>1763</v>
      </c>
      <c r="F4077" s="2" t="n">
        <v>1</v>
      </c>
      <c r="G4077" s="2" t="n">
        <v>1</v>
      </c>
      <c r="H4077" s="2" t="n">
        <v>1</v>
      </c>
      <c r="I4077" s="2" t="n">
        <v>0</v>
      </c>
    </row>
    <row r="4078">
      <c r="A4078" s="2" t="n">
        <v>4076</v>
      </c>
      <c r="B4078" s="2" t="inlineStr">
        <is>
          <t>insert</t>
        </is>
      </c>
      <c r="C4078" s="2" t="inlineStr">
        <is>
          <t>openssl X25519 only (classical)</t>
        </is>
      </c>
      <c r="D4078" s="2" t="n">
        <v>321</v>
      </c>
      <c r="E4078" s="2" t="n">
        <v>321</v>
      </c>
      <c r="F4078" s="2" t="n">
        <v>1</v>
      </c>
      <c r="G4078" s="2" t="n">
        <v>1</v>
      </c>
      <c r="H4078" s="2" t="n">
        <v>1</v>
      </c>
      <c r="I4078" s="2" t="n">
        <v>0</v>
      </c>
    </row>
    <row r="4079">
      <c r="A4079" s="2" t="n">
        <v>4077</v>
      </c>
      <c r="B4079" s="2" t="inlineStr">
        <is>
          <t>flip</t>
        </is>
      </c>
      <c r="C4079" s="2" t="inlineStr">
        <is>
          <t>browser firefox147</t>
        </is>
      </c>
      <c r="D4079" s="2" t="n">
        <v>1901</v>
      </c>
      <c r="E4079" s="2" t="n">
        <v>1901</v>
      </c>
      <c r="F4079" s="2" t="n">
        <v>1</v>
      </c>
      <c r="G4079" s="2" t="n">
        <v>1</v>
      </c>
      <c r="H4079" s="2" t="n">
        <v>0</v>
      </c>
      <c r="I4079" s="2" t="n">
        <v>0</v>
      </c>
    </row>
    <row r="4080">
      <c r="A4080" s="2" t="n">
        <v>4078</v>
      </c>
      <c r="B4080" s="2" t="inlineStr">
        <is>
          <t>truncate</t>
        </is>
      </c>
      <c r="C4080" s="2" t="inlineStr">
        <is>
          <t>browser firefox147</t>
        </is>
      </c>
      <c r="D4080" s="2" t="n">
        <v>1865</v>
      </c>
      <c r="E4080" s="2" t="n">
        <v>1865</v>
      </c>
      <c r="F4080" s="2" t="n">
        <v>1</v>
      </c>
      <c r="G4080" s="2" t="n">
        <v>1</v>
      </c>
      <c r="H4080" s="2" t="n">
        <v>0</v>
      </c>
      <c r="I4080" s="2" t="n">
        <v>0</v>
      </c>
    </row>
    <row r="4081">
      <c r="A4081" s="2" t="n">
        <v>4079</v>
      </c>
      <c r="B4081" s="2" t="inlineStr">
        <is>
          <t>length</t>
        </is>
      </c>
      <c r="C4081" s="2" t="inlineStr">
        <is>
          <t>openssl X25519 only (classical)</t>
        </is>
      </c>
      <c r="D4081" s="2" t="n">
        <v>314</v>
      </c>
      <c r="E4081" s="2" t="n">
        <v>314</v>
      </c>
      <c r="F4081" s="2" t="n">
        <v>1</v>
      </c>
      <c r="G4081" s="2" t="n">
        <v>1</v>
      </c>
      <c r="H4081" s="2" t="n">
        <v>0</v>
      </c>
      <c r="I4081" s="2" t="n">
        <v>0</v>
      </c>
    </row>
    <row r="4082">
      <c r="A4082" s="2" t="n">
        <v>4080</v>
      </c>
      <c r="B4082" s="2" t="inlineStr">
        <is>
          <t>insert</t>
        </is>
      </c>
      <c r="C4082" s="2" t="inlineStr">
        <is>
          <t>openssl TLS 1.2 only</t>
        </is>
      </c>
      <c r="D4082" s="2" t="n">
        <v>223</v>
      </c>
      <c r="E4082" s="2" t="n">
        <v>223</v>
      </c>
      <c r="F4082" s="2" t="n">
        <v>1</v>
      </c>
      <c r="G4082" s="2" t="n">
        <v>1</v>
      </c>
      <c r="H4082" s="2" t="n">
        <v>0</v>
      </c>
      <c r="I4082" s="2" t="n">
        <v>0</v>
      </c>
    </row>
    <row r="4083">
      <c r="A4083" s="2" t="n">
        <v>4081</v>
      </c>
      <c r="B4083" s="2" t="inlineStr">
        <is>
          <t>flip</t>
        </is>
      </c>
      <c r="C4083" s="2" t="inlineStr">
        <is>
          <t>openssl 3.5.8 default</t>
        </is>
      </c>
      <c r="D4083" s="2" t="n">
        <v>1548</v>
      </c>
      <c r="E4083" s="2" t="n">
        <v>1548</v>
      </c>
      <c r="F4083" s="2" t="n">
        <v>1</v>
      </c>
      <c r="G4083" s="2" t="n">
        <v>1</v>
      </c>
      <c r="H4083" s="2" t="n">
        <v>1</v>
      </c>
      <c r="I4083" s="2" t="n">
        <v>0</v>
      </c>
    </row>
    <row r="4084">
      <c r="A4084" s="2" t="n">
        <v>4082</v>
      </c>
      <c r="B4084" s="2" t="inlineStr">
        <is>
          <t>truncate</t>
        </is>
      </c>
      <c r="C4084" s="2" t="inlineStr">
        <is>
          <t>browser firefox147</t>
        </is>
      </c>
      <c r="D4084" s="2" t="n">
        <v>1883</v>
      </c>
      <c r="E4084" s="2" t="n">
        <v>1883</v>
      </c>
      <c r="F4084" s="2" t="n">
        <v>1</v>
      </c>
      <c r="G4084" s="2" t="n">
        <v>1</v>
      </c>
      <c r="H4084" s="2" t="n">
        <v>0</v>
      </c>
      <c r="I4084" s="2" t="n">
        <v>0</v>
      </c>
    </row>
    <row r="4085">
      <c r="A4085" s="2" t="n">
        <v>4083</v>
      </c>
      <c r="B4085" s="2" t="inlineStr">
        <is>
          <t>length</t>
        </is>
      </c>
      <c r="C4085" s="2" t="inlineStr">
        <is>
          <t>browser firefox147</t>
        </is>
      </c>
      <c r="D4085" s="2" t="n">
        <v>1901</v>
      </c>
      <c r="E4085" s="2" t="n">
        <v>1901</v>
      </c>
      <c r="F4085" s="2" t="n">
        <v>1</v>
      </c>
      <c r="G4085" s="2" t="n">
        <v>0</v>
      </c>
      <c r="H4085" s="2" t="n">
        <v>0</v>
      </c>
      <c r="I4085" s="2" t="n">
        <v>0</v>
      </c>
    </row>
    <row r="4086">
      <c r="A4086" s="2" t="n">
        <v>4084</v>
      </c>
      <c r="B4086" s="2" t="inlineStr">
        <is>
          <t>insert</t>
        </is>
      </c>
      <c r="C4086" s="2" t="inlineStr">
        <is>
          <t>openssl X25519 only (classical)</t>
        </is>
      </c>
      <c r="D4086" s="2" t="n">
        <v>319</v>
      </c>
      <c r="E4086" s="2" t="n">
        <v>319</v>
      </c>
      <c r="F4086" s="2" t="n">
        <v>1</v>
      </c>
      <c r="G4086" s="2" t="n">
        <v>1</v>
      </c>
      <c r="H4086" s="2" t="n">
        <v>1</v>
      </c>
      <c r="I4086" s="2" t="n">
        <v>0</v>
      </c>
    </row>
    <row r="4087">
      <c r="A4087" s="2" t="n">
        <v>4085</v>
      </c>
      <c r="B4087" s="2" t="inlineStr">
        <is>
          <t>flip</t>
        </is>
      </c>
      <c r="C4087" s="2" t="inlineStr">
        <is>
          <t>openssl TLS 1.2 only</t>
        </is>
      </c>
      <c r="D4087" s="2" t="n">
        <v>215</v>
      </c>
      <c r="E4087" s="2" t="n">
        <v>215</v>
      </c>
      <c r="F4087" s="2" t="n">
        <v>1</v>
      </c>
      <c r="G4087" s="2" t="n">
        <v>1</v>
      </c>
      <c r="H4087" s="2" t="n">
        <v>1</v>
      </c>
      <c r="I4087" s="2" t="n">
        <v>0</v>
      </c>
    </row>
    <row r="4088">
      <c r="A4088" s="2" t="n">
        <v>4086</v>
      </c>
      <c r="B4088" s="2" t="inlineStr">
        <is>
          <t>truncate</t>
        </is>
      </c>
      <c r="C4088" s="2" t="inlineStr">
        <is>
          <t>openssl 3.5.8 default</t>
        </is>
      </c>
      <c r="D4088" s="2" t="n">
        <v>1190</v>
      </c>
      <c r="E4088" s="2" t="n">
        <v>1190</v>
      </c>
      <c r="F4088" s="2" t="n">
        <v>1</v>
      </c>
      <c r="G4088" s="2" t="n">
        <v>1</v>
      </c>
      <c r="H4088" s="2" t="n">
        <v>1</v>
      </c>
      <c r="I4088" s="2" t="n">
        <v>0</v>
      </c>
    </row>
    <row r="4089">
      <c r="A4089" s="2" t="n">
        <v>4087</v>
      </c>
      <c r="B4089" s="2" t="inlineStr">
        <is>
          <t>length</t>
        </is>
      </c>
      <c r="C4089" s="2" t="inlineStr">
        <is>
          <t>browser chrome150</t>
        </is>
      </c>
      <c r="D4089" s="2" t="n">
        <v>1763</v>
      </c>
      <c r="E4089" s="2" t="n">
        <v>1763</v>
      </c>
      <c r="F4089" s="2" t="n">
        <v>1</v>
      </c>
      <c r="G4089" s="2" t="n">
        <v>1</v>
      </c>
      <c r="H4089" s="2" t="n">
        <v>0</v>
      </c>
      <c r="I4089" s="2" t="n">
        <v>0</v>
      </c>
    </row>
    <row r="4090">
      <c r="A4090" s="2" t="n">
        <v>4088</v>
      </c>
      <c r="B4090" s="2" t="inlineStr">
        <is>
          <t>insert</t>
        </is>
      </c>
      <c r="C4090" s="2" t="inlineStr">
        <is>
          <t>openssl X25519 only (classical)</t>
        </is>
      </c>
      <c r="D4090" s="2" t="n">
        <v>321</v>
      </c>
      <c r="E4090" s="2" t="n">
        <v>321</v>
      </c>
      <c r="F4090" s="2" t="n">
        <v>1</v>
      </c>
      <c r="G4090" s="2" t="n">
        <v>1</v>
      </c>
      <c r="H4090" s="2" t="n">
        <v>1</v>
      </c>
      <c r="I4090" s="2" t="n">
        <v>0</v>
      </c>
    </row>
    <row r="4091">
      <c r="A4091" s="2" t="n">
        <v>4089</v>
      </c>
      <c r="B4091" s="2" t="inlineStr">
        <is>
          <t>flip</t>
        </is>
      </c>
      <c r="C4091" s="2" t="inlineStr">
        <is>
          <t>openssl TLS 1.2 only</t>
        </is>
      </c>
      <c r="D4091" s="2" t="n">
        <v>215</v>
      </c>
      <c r="E4091" s="2" t="n">
        <v>215</v>
      </c>
      <c r="F4091" s="2" t="n">
        <v>1</v>
      </c>
      <c r="G4091" s="2" t="n">
        <v>1</v>
      </c>
      <c r="H4091" s="2" t="n">
        <v>1</v>
      </c>
      <c r="I4091" s="2" t="n">
        <v>0</v>
      </c>
    </row>
    <row r="4092">
      <c r="A4092" s="2" t="n">
        <v>4090</v>
      </c>
      <c r="B4092" s="2" t="inlineStr">
        <is>
          <t>truncate</t>
        </is>
      </c>
      <c r="C4092" s="2" t="inlineStr">
        <is>
          <t>openssl X25519 only (classical)</t>
        </is>
      </c>
      <c r="D4092" s="2" t="n">
        <v>227</v>
      </c>
      <c r="E4092" s="2" t="n">
        <v>227</v>
      </c>
      <c r="F4092" s="2" t="n">
        <v>1</v>
      </c>
      <c r="G4092" s="2" t="n">
        <v>1</v>
      </c>
      <c r="H4092" s="2" t="n">
        <v>0</v>
      </c>
      <c r="I4092" s="2" t="n">
        <v>0</v>
      </c>
    </row>
    <row r="4093">
      <c r="A4093" s="2" t="n">
        <v>4091</v>
      </c>
      <c r="B4093" s="2" t="inlineStr">
        <is>
          <t>length</t>
        </is>
      </c>
      <c r="C4093" s="2" t="inlineStr">
        <is>
          <t>browser firefox147</t>
        </is>
      </c>
      <c r="D4093" s="2" t="n">
        <v>1901</v>
      </c>
      <c r="E4093" s="2" t="n">
        <v>1901</v>
      </c>
      <c r="F4093" s="2" t="n">
        <v>1</v>
      </c>
      <c r="G4093" s="2" t="n">
        <v>1</v>
      </c>
      <c r="H4093" s="2" t="n">
        <v>0</v>
      </c>
      <c r="I4093" s="2" t="n">
        <v>0</v>
      </c>
    </row>
    <row r="4094">
      <c r="A4094" s="2" t="n">
        <v>4092</v>
      </c>
      <c r="B4094" s="2" t="inlineStr">
        <is>
          <t>insert</t>
        </is>
      </c>
      <c r="C4094" s="2" t="inlineStr">
        <is>
          <t>browser firefox147</t>
        </is>
      </c>
      <c r="D4094" s="2" t="n">
        <v>1917</v>
      </c>
      <c r="E4094" s="2" t="n">
        <v>1917</v>
      </c>
      <c r="F4094" s="2" t="n">
        <v>1</v>
      </c>
      <c r="G4094" s="2" t="n">
        <v>1</v>
      </c>
      <c r="H4094" s="2" t="n">
        <v>0</v>
      </c>
      <c r="I4094" s="2" t="n">
        <v>0</v>
      </c>
    </row>
    <row r="4095">
      <c r="A4095" s="2" t="n">
        <v>4093</v>
      </c>
      <c r="B4095" s="2" t="inlineStr">
        <is>
          <t>flip</t>
        </is>
      </c>
      <c r="C4095" s="2" t="inlineStr">
        <is>
          <t>openssl 3.5.8 default</t>
        </is>
      </c>
      <c r="D4095" s="2" t="n">
        <v>1548</v>
      </c>
      <c r="E4095" s="2" t="n">
        <v>1548</v>
      </c>
      <c r="F4095" s="2" t="n">
        <v>1</v>
      </c>
      <c r="G4095" s="2" t="n">
        <v>1</v>
      </c>
      <c r="H4095" s="2" t="n">
        <v>1</v>
      </c>
      <c r="I4095" s="2" t="n">
        <v>0</v>
      </c>
    </row>
    <row r="4096">
      <c r="A4096" s="2" t="n">
        <v>4094</v>
      </c>
      <c r="B4096" s="2" t="inlineStr">
        <is>
          <t>truncate</t>
        </is>
      </c>
      <c r="C4096" s="2" t="inlineStr">
        <is>
          <t>openssl 3.5.8 default</t>
        </is>
      </c>
      <c r="D4096" s="2" t="n">
        <v>1027</v>
      </c>
      <c r="E4096" s="2" t="n">
        <v>1027</v>
      </c>
      <c r="F4096" s="2" t="n">
        <v>1</v>
      </c>
      <c r="G4096" s="2" t="n">
        <v>1</v>
      </c>
      <c r="H4096" s="2" t="n">
        <v>1</v>
      </c>
      <c r="I4096" s="2" t="n">
        <v>0</v>
      </c>
    </row>
    <row r="4097">
      <c r="A4097" s="2" t="n">
        <v>4095</v>
      </c>
      <c r="B4097" s="2" t="inlineStr">
        <is>
          <t>length</t>
        </is>
      </c>
      <c r="C4097" s="2" t="inlineStr">
        <is>
          <t>browser chrome150</t>
        </is>
      </c>
      <c r="D4097" s="2" t="n">
        <v>1763</v>
      </c>
      <c r="E4097" s="2" t="n">
        <v>1763</v>
      </c>
      <c r="F4097" s="2" t="n">
        <v>1</v>
      </c>
      <c r="G4097" s="2" t="n">
        <v>1</v>
      </c>
      <c r="H4097" s="2" t="n">
        <v>1</v>
      </c>
      <c r="I4097" s="2" t="n">
        <v>0</v>
      </c>
    </row>
    <row r="4098">
      <c r="A4098" s="2" t="n">
        <v>4096</v>
      </c>
      <c r="B4098" s="2" t="inlineStr">
        <is>
          <t>insert</t>
        </is>
      </c>
      <c r="C4098" s="2" t="inlineStr">
        <is>
          <t>openssl X25519 only (classical)</t>
        </is>
      </c>
      <c r="D4098" s="2" t="n">
        <v>316</v>
      </c>
      <c r="E4098" s="2" t="n">
        <v>316</v>
      </c>
      <c r="F4098" s="2" t="n">
        <v>1</v>
      </c>
      <c r="G4098" s="2" t="n">
        <v>1</v>
      </c>
      <c r="H4098" s="2" t="n">
        <v>1</v>
      </c>
      <c r="I4098" s="2" t="n">
        <v>0</v>
      </c>
    </row>
    <row r="4099">
      <c r="A4099" s="2" t="n">
        <v>4097</v>
      </c>
      <c r="B4099" s="2" t="inlineStr">
        <is>
          <t>flip</t>
        </is>
      </c>
      <c r="C4099" s="2" t="inlineStr">
        <is>
          <t>browser firefox147</t>
        </is>
      </c>
      <c r="D4099" s="2" t="n">
        <v>1901</v>
      </c>
      <c r="E4099" s="2" t="n">
        <v>1901</v>
      </c>
      <c r="F4099" s="2" t="n">
        <v>1</v>
      </c>
      <c r="G4099" s="2" t="n">
        <v>1</v>
      </c>
      <c r="H4099" s="2" t="n">
        <v>0</v>
      </c>
      <c r="I4099" s="2" t="n">
        <v>0</v>
      </c>
    </row>
    <row r="4100">
      <c r="A4100" s="2" t="n">
        <v>4098</v>
      </c>
      <c r="B4100" s="2" t="inlineStr">
        <is>
          <t>truncate</t>
        </is>
      </c>
      <c r="C4100" s="2" t="inlineStr">
        <is>
          <t>openssl 3.5.8 default</t>
        </is>
      </c>
      <c r="D4100" s="2" t="n">
        <v>1114</v>
      </c>
      <c r="E4100" s="2" t="n">
        <v>1114</v>
      </c>
      <c r="F4100" s="2" t="n">
        <v>1</v>
      </c>
      <c r="G4100" s="2" t="n">
        <v>1</v>
      </c>
      <c r="H4100" s="2" t="n">
        <v>1</v>
      </c>
      <c r="I4100" s="2" t="n">
        <v>0</v>
      </c>
    </row>
    <row r="4101">
      <c r="A4101" s="2" t="n">
        <v>4099</v>
      </c>
      <c r="B4101" s="2" t="inlineStr">
        <is>
          <t>length</t>
        </is>
      </c>
      <c r="C4101" s="2" t="inlineStr">
        <is>
          <t>openssl TLS 1.2 only</t>
        </is>
      </c>
      <c r="D4101" s="2" t="n">
        <v>215</v>
      </c>
      <c r="E4101" s="2" t="n">
        <v>215</v>
      </c>
      <c r="F4101" s="2" t="n">
        <v>1</v>
      </c>
      <c r="G4101" s="2" t="n">
        <v>0</v>
      </c>
      <c r="H4101" s="2" t="n">
        <v>0</v>
      </c>
      <c r="I4101" s="2" t="n">
        <v>0</v>
      </c>
    </row>
    <row r="4102">
      <c r="A4102" s="2" t="n">
        <v>4100</v>
      </c>
      <c r="B4102" s="2" t="inlineStr">
        <is>
          <t>insert</t>
        </is>
      </c>
      <c r="C4102" s="2" t="inlineStr">
        <is>
          <t>browser firefox147</t>
        </is>
      </c>
      <c r="D4102" s="2" t="n">
        <v>1913</v>
      </c>
      <c r="E4102" s="2" t="n">
        <v>1913</v>
      </c>
      <c r="F4102" s="2" t="n">
        <v>1</v>
      </c>
      <c r="G4102" s="2" t="n">
        <v>1</v>
      </c>
      <c r="H4102" s="2" t="n">
        <v>0</v>
      </c>
      <c r="I4102" s="2" t="n">
        <v>0</v>
      </c>
    </row>
    <row r="4103">
      <c r="A4103" s="2" t="n">
        <v>4101</v>
      </c>
      <c r="B4103" s="2" t="inlineStr">
        <is>
          <t>flip</t>
        </is>
      </c>
      <c r="C4103" s="2" t="inlineStr">
        <is>
          <t>openssl TLS 1.2 only</t>
        </is>
      </c>
      <c r="D4103" s="2" t="n">
        <v>215</v>
      </c>
      <c r="E4103" s="2" t="n">
        <v>215</v>
      </c>
      <c r="F4103" s="2" t="n">
        <v>1</v>
      </c>
      <c r="G4103" s="2" t="n">
        <v>1</v>
      </c>
      <c r="H4103" s="2" t="n">
        <v>1</v>
      </c>
      <c r="I4103" s="2" t="n">
        <v>0</v>
      </c>
    </row>
    <row r="4104">
      <c r="A4104" s="2" t="n">
        <v>4102</v>
      </c>
      <c r="B4104" s="2" t="inlineStr">
        <is>
          <t>truncate</t>
        </is>
      </c>
      <c r="C4104" s="2" t="inlineStr">
        <is>
          <t>browser firefox147</t>
        </is>
      </c>
      <c r="D4104" s="2" t="n">
        <v>876</v>
      </c>
      <c r="E4104" s="2" t="n">
        <v>876</v>
      </c>
      <c r="F4104" s="2" t="n">
        <v>1</v>
      </c>
      <c r="G4104" s="2" t="n">
        <v>1</v>
      </c>
      <c r="H4104" s="2" t="n">
        <v>0</v>
      </c>
      <c r="I4104" s="2" t="n">
        <v>0</v>
      </c>
    </row>
    <row r="4105">
      <c r="A4105" s="2" t="n">
        <v>4103</v>
      </c>
      <c r="B4105" s="2" t="inlineStr">
        <is>
          <t>length</t>
        </is>
      </c>
      <c r="C4105" s="2" t="inlineStr">
        <is>
          <t>browser firefox147</t>
        </is>
      </c>
      <c r="D4105" s="2" t="n">
        <v>1901</v>
      </c>
      <c r="E4105" s="2" t="n">
        <v>1901</v>
      </c>
      <c r="F4105" s="2" t="n">
        <v>0</v>
      </c>
      <c r="G4105" s="2" t="n">
        <v>0</v>
      </c>
      <c r="H4105" s="2" t="n">
        <v>0</v>
      </c>
      <c r="I4105" s="2" t="n">
        <v>0</v>
      </c>
    </row>
    <row r="4106">
      <c r="A4106" s="2" t="n">
        <v>4104</v>
      </c>
      <c r="B4106" s="2" t="inlineStr">
        <is>
          <t>insert</t>
        </is>
      </c>
      <c r="C4106" s="2" t="inlineStr">
        <is>
          <t>browser firefox147</t>
        </is>
      </c>
      <c r="D4106" s="2" t="n">
        <v>1903</v>
      </c>
      <c r="E4106" s="2" t="n">
        <v>1903</v>
      </c>
      <c r="F4106" s="2" t="n">
        <v>1</v>
      </c>
      <c r="G4106" s="2" t="n">
        <v>1</v>
      </c>
      <c r="H4106" s="2" t="n">
        <v>0</v>
      </c>
      <c r="I4106" s="2" t="n">
        <v>0</v>
      </c>
    </row>
    <row r="4107">
      <c r="A4107" s="2" t="n">
        <v>4105</v>
      </c>
      <c r="B4107" s="2" t="inlineStr">
        <is>
          <t>flip</t>
        </is>
      </c>
      <c r="C4107" s="2" t="inlineStr">
        <is>
          <t>openssl TLS 1.2 only</t>
        </is>
      </c>
      <c r="D4107" s="2" t="n">
        <v>215</v>
      </c>
      <c r="E4107" s="2" t="n">
        <v>215</v>
      </c>
      <c r="F4107" s="2" t="n">
        <v>1</v>
      </c>
      <c r="G4107" s="2" t="n">
        <v>1</v>
      </c>
      <c r="H4107" s="2" t="n">
        <v>1</v>
      </c>
      <c r="I4107" s="2" t="n">
        <v>0</v>
      </c>
    </row>
    <row r="4108">
      <c r="A4108" s="2" t="n">
        <v>4106</v>
      </c>
      <c r="B4108" s="2" t="inlineStr">
        <is>
          <t>truncate</t>
        </is>
      </c>
      <c r="C4108" s="2" t="inlineStr">
        <is>
          <t>browser chrome150</t>
        </is>
      </c>
      <c r="D4108" s="2" t="n">
        <v>499</v>
      </c>
      <c r="E4108" s="2" t="n">
        <v>499</v>
      </c>
      <c r="F4108" s="2" t="n">
        <v>1</v>
      </c>
      <c r="G4108" s="2" t="n">
        <v>1</v>
      </c>
      <c r="H4108" s="2" t="n">
        <v>1</v>
      </c>
      <c r="I4108" s="2" t="n">
        <v>0</v>
      </c>
    </row>
    <row r="4109">
      <c r="A4109" s="2" t="n">
        <v>4107</v>
      </c>
      <c r="B4109" s="2" t="inlineStr">
        <is>
          <t>length</t>
        </is>
      </c>
      <c r="C4109" s="2" t="inlineStr">
        <is>
          <t>openssl TLS 1.2 only</t>
        </is>
      </c>
      <c r="D4109" s="2" t="n">
        <v>215</v>
      </c>
      <c r="E4109" s="2" t="n">
        <v>215</v>
      </c>
      <c r="F4109" s="2" t="n">
        <v>1</v>
      </c>
      <c r="G4109" s="2" t="n">
        <v>1</v>
      </c>
      <c r="H4109" s="2" t="n">
        <v>1</v>
      </c>
      <c r="I4109" s="2" t="n">
        <v>0</v>
      </c>
    </row>
    <row r="4110">
      <c r="A4110" s="2" t="n">
        <v>4108</v>
      </c>
      <c r="B4110" s="2" t="inlineStr">
        <is>
          <t>insert</t>
        </is>
      </c>
      <c r="C4110" s="2" t="inlineStr">
        <is>
          <t>openssl 3.5.8 default</t>
        </is>
      </c>
      <c r="D4110" s="2" t="n">
        <v>1563</v>
      </c>
      <c r="E4110" s="2" t="n">
        <v>1563</v>
      </c>
      <c r="F4110" s="2" t="n">
        <v>1</v>
      </c>
      <c r="G4110" s="2" t="n">
        <v>1</v>
      </c>
      <c r="H4110" s="2" t="n">
        <v>1</v>
      </c>
      <c r="I4110" s="2" t="n">
        <v>0</v>
      </c>
    </row>
    <row r="4111">
      <c r="A4111" s="2" t="n">
        <v>4109</v>
      </c>
      <c r="B4111" s="2" t="inlineStr">
        <is>
          <t>flip</t>
        </is>
      </c>
      <c r="C4111" s="2" t="inlineStr">
        <is>
          <t>browser chrome150</t>
        </is>
      </c>
      <c r="D4111" s="2" t="n">
        <v>1763</v>
      </c>
      <c r="E4111" s="2" t="n">
        <v>1763</v>
      </c>
      <c r="F4111" s="2" t="n">
        <v>1</v>
      </c>
      <c r="G4111" s="2" t="n">
        <v>1</v>
      </c>
      <c r="H4111" s="2" t="n">
        <v>1</v>
      </c>
      <c r="I4111" s="2" t="n">
        <v>0</v>
      </c>
    </row>
    <row r="4112">
      <c r="A4112" s="2" t="n">
        <v>4110</v>
      </c>
      <c r="B4112" s="2" t="inlineStr">
        <is>
          <t>truncate</t>
        </is>
      </c>
      <c r="C4112" s="2" t="inlineStr">
        <is>
          <t>browser firefox147</t>
        </is>
      </c>
      <c r="D4112" s="2" t="n">
        <v>1312</v>
      </c>
      <c r="E4112" s="2" t="n">
        <v>1312</v>
      </c>
      <c r="F4112" s="2" t="n">
        <v>1</v>
      </c>
      <c r="G4112" s="2" t="n">
        <v>1</v>
      </c>
      <c r="H4112" s="2" t="n">
        <v>0</v>
      </c>
      <c r="I4112" s="2" t="n">
        <v>0</v>
      </c>
    </row>
    <row r="4113">
      <c r="A4113" s="2" t="n">
        <v>4111</v>
      </c>
      <c r="B4113" s="2" t="inlineStr">
        <is>
          <t>length</t>
        </is>
      </c>
      <c r="C4113" s="2" t="inlineStr">
        <is>
          <t>openssl 3.5.8 default</t>
        </is>
      </c>
      <c r="D4113" s="2" t="n">
        <v>1548</v>
      </c>
      <c r="E4113" s="2" t="n">
        <v>1548</v>
      </c>
      <c r="F4113" s="2" t="n">
        <v>1</v>
      </c>
      <c r="G4113" s="2" t="n">
        <v>1</v>
      </c>
      <c r="H4113" s="2" t="n">
        <v>1</v>
      </c>
      <c r="I4113" s="2" t="n">
        <v>0</v>
      </c>
    </row>
    <row r="4114">
      <c r="A4114" s="2" t="n">
        <v>4112</v>
      </c>
      <c r="B4114" s="2" t="inlineStr">
        <is>
          <t>insert</t>
        </is>
      </c>
      <c r="C4114" s="2" t="inlineStr">
        <is>
          <t>browser firefox147</t>
        </is>
      </c>
      <c r="D4114" s="2" t="n">
        <v>1914</v>
      </c>
      <c r="E4114" s="2" t="n">
        <v>1914</v>
      </c>
      <c r="F4114" s="2" t="n">
        <v>1</v>
      </c>
      <c r="G4114" s="2" t="n">
        <v>1</v>
      </c>
      <c r="H4114" s="2" t="n">
        <v>0</v>
      </c>
      <c r="I4114" s="2" t="n">
        <v>0</v>
      </c>
    </row>
    <row r="4115">
      <c r="A4115" s="2" t="n">
        <v>4113</v>
      </c>
      <c r="B4115" s="2" t="inlineStr">
        <is>
          <t>flip</t>
        </is>
      </c>
      <c r="C4115" s="2" t="inlineStr">
        <is>
          <t>openssl X25519 only (classical)</t>
        </is>
      </c>
      <c r="D4115" s="2" t="n">
        <v>314</v>
      </c>
      <c r="E4115" s="2" t="n">
        <v>314</v>
      </c>
      <c r="F4115" s="2" t="n">
        <v>1</v>
      </c>
      <c r="G4115" s="2" t="n">
        <v>1</v>
      </c>
      <c r="H4115" s="2" t="n">
        <v>1</v>
      </c>
      <c r="I4115" s="2" t="n">
        <v>0</v>
      </c>
    </row>
    <row r="4116">
      <c r="A4116" s="2" t="n">
        <v>4114</v>
      </c>
      <c r="B4116" s="2" t="inlineStr">
        <is>
          <t>truncate</t>
        </is>
      </c>
      <c r="C4116" s="2" t="inlineStr">
        <is>
          <t>openssl 3.5.8 default</t>
        </is>
      </c>
      <c r="D4116" s="2" t="n">
        <v>646</v>
      </c>
      <c r="E4116" s="2" t="n">
        <v>646</v>
      </c>
      <c r="F4116" s="2" t="n">
        <v>1</v>
      </c>
      <c r="G4116" s="2" t="n">
        <v>1</v>
      </c>
      <c r="H4116" s="2" t="n">
        <v>1</v>
      </c>
      <c r="I4116" s="2" t="n">
        <v>0</v>
      </c>
    </row>
    <row r="4117">
      <c r="A4117" s="2" t="n">
        <v>4115</v>
      </c>
      <c r="B4117" s="2" t="inlineStr">
        <is>
          <t>length</t>
        </is>
      </c>
      <c r="C4117" s="2" t="inlineStr">
        <is>
          <t>openssl TLS 1.2 only</t>
        </is>
      </c>
      <c r="D4117" s="2" t="n">
        <v>215</v>
      </c>
      <c r="E4117" s="2" t="n">
        <v>215</v>
      </c>
      <c r="F4117" s="2" t="n">
        <v>1</v>
      </c>
      <c r="G4117" s="2" t="n">
        <v>1</v>
      </c>
      <c r="H4117" s="2" t="n">
        <v>1</v>
      </c>
      <c r="I4117" s="2" t="n">
        <v>0</v>
      </c>
    </row>
    <row r="4118">
      <c r="A4118" s="2" t="n">
        <v>4116</v>
      </c>
      <c r="B4118" s="2" t="inlineStr">
        <is>
          <t>insert</t>
        </is>
      </c>
      <c r="C4118" s="2" t="inlineStr">
        <is>
          <t>openssl X25519 only (classical)</t>
        </is>
      </c>
      <c r="D4118" s="2" t="n">
        <v>325</v>
      </c>
      <c r="E4118" s="2" t="n">
        <v>325</v>
      </c>
      <c r="F4118" s="2" t="n">
        <v>1</v>
      </c>
      <c r="G4118" s="2" t="n">
        <v>1</v>
      </c>
      <c r="H4118" s="2" t="n">
        <v>0</v>
      </c>
      <c r="I4118" s="2" t="n">
        <v>0</v>
      </c>
    </row>
    <row r="4119">
      <c r="A4119" s="2" t="n">
        <v>4117</v>
      </c>
      <c r="B4119" s="2" t="inlineStr">
        <is>
          <t>flip</t>
        </is>
      </c>
      <c r="C4119" s="2" t="inlineStr">
        <is>
          <t>openssl TLS 1.2 only</t>
        </is>
      </c>
      <c r="D4119" s="2" t="n">
        <v>215</v>
      </c>
      <c r="E4119" s="2" t="n">
        <v>215</v>
      </c>
      <c r="F4119" s="2" t="n">
        <v>1</v>
      </c>
      <c r="G4119" s="2" t="n">
        <v>1</v>
      </c>
      <c r="H4119" s="2" t="n">
        <v>0</v>
      </c>
      <c r="I4119" s="2" t="n">
        <v>0</v>
      </c>
    </row>
    <row r="4120">
      <c r="A4120" s="2" t="n">
        <v>4118</v>
      </c>
      <c r="B4120" s="2" t="inlineStr">
        <is>
          <t>truncate</t>
        </is>
      </c>
      <c r="C4120" s="2" t="inlineStr">
        <is>
          <t>browser firefox147</t>
        </is>
      </c>
      <c r="D4120" s="2" t="n">
        <v>984</v>
      </c>
      <c r="E4120" s="2" t="n">
        <v>984</v>
      </c>
      <c r="F4120" s="2" t="n">
        <v>1</v>
      </c>
      <c r="G4120" s="2" t="n">
        <v>1</v>
      </c>
      <c r="H4120" s="2" t="n">
        <v>0</v>
      </c>
      <c r="I4120" s="2" t="n">
        <v>0</v>
      </c>
    </row>
    <row r="4121">
      <c r="A4121" s="2" t="n">
        <v>4119</v>
      </c>
      <c r="B4121" s="2" t="inlineStr">
        <is>
          <t>length</t>
        </is>
      </c>
      <c r="C4121" s="2" t="inlineStr">
        <is>
          <t>browser chrome150</t>
        </is>
      </c>
      <c r="D4121" s="2" t="n">
        <v>1763</v>
      </c>
      <c r="E4121" s="2" t="n">
        <v>1763</v>
      </c>
      <c r="F4121" s="2" t="n">
        <v>0</v>
      </c>
      <c r="G4121" s="2" t="n">
        <v>0</v>
      </c>
      <c r="H4121" s="2" t="n">
        <v>0</v>
      </c>
      <c r="I4121" s="2" t="n">
        <v>0</v>
      </c>
    </row>
    <row r="4122">
      <c r="A4122" s="2" t="n">
        <v>4120</v>
      </c>
      <c r="B4122" s="2" t="inlineStr">
        <is>
          <t>insert</t>
        </is>
      </c>
      <c r="C4122" s="2" t="inlineStr">
        <is>
          <t>browser firefox147</t>
        </is>
      </c>
      <c r="D4122" s="2" t="n">
        <v>1908</v>
      </c>
      <c r="E4122" s="2" t="n">
        <v>1908</v>
      </c>
      <c r="F4122" s="2" t="n">
        <v>1</v>
      </c>
      <c r="G4122" s="2" t="n">
        <v>1</v>
      </c>
      <c r="H4122" s="2" t="n">
        <v>0</v>
      </c>
      <c r="I4122" s="2" t="n">
        <v>0</v>
      </c>
    </row>
    <row r="4123">
      <c r="A4123" s="2" t="n">
        <v>4121</v>
      </c>
      <c r="B4123" s="2" t="inlineStr">
        <is>
          <t>flip</t>
        </is>
      </c>
      <c r="C4123" s="2" t="inlineStr">
        <is>
          <t>openssl TLS 1.2 only</t>
        </is>
      </c>
      <c r="D4123" s="2" t="n">
        <v>215</v>
      </c>
      <c r="E4123" s="2" t="n">
        <v>215</v>
      </c>
      <c r="F4123" s="2" t="n">
        <v>1</v>
      </c>
      <c r="G4123" s="2" t="n">
        <v>1</v>
      </c>
      <c r="H4123" s="2" t="n">
        <v>0</v>
      </c>
      <c r="I4123" s="2" t="n">
        <v>0</v>
      </c>
    </row>
    <row r="4124">
      <c r="A4124" s="2" t="n">
        <v>4122</v>
      </c>
      <c r="B4124" s="2" t="inlineStr">
        <is>
          <t>truncate</t>
        </is>
      </c>
      <c r="C4124" s="2" t="inlineStr">
        <is>
          <t>openssl X25519 only (classical)</t>
        </is>
      </c>
      <c r="D4124" s="2" t="n">
        <v>243</v>
      </c>
      <c r="E4124" s="2" t="n">
        <v>243</v>
      </c>
      <c r="F4124" s="2" t="n">
        <v>1</v>
      </c>
      <c r="G4124" s="2" t="n">
        <v>1</v>
      </c>
      <c r="H4124" s="2" t="n">
        <v>0</v>
      </c>
      <c r="I4124" s="2" t="n">
        <v>0</v>
      </c>
    </row>
    <row r="4125">
      <c r="A4125" s="2" t="n">
        <v>4123</v>
      </c>
      <c r="B4125" s="2" t="inlineStr">
        <is>
          <t>length</t>
        </is>
      </c>
      <c r="C4125" s="2" t="inlineStr">
        <is>
          <t>browser firefox147</t>
        </is>
      </c>
      <c r="D4125" s="2" t="n">
        <v>1901</v>
      </c>
      <c r="E4125" s="2" t="n">
        <v>1901</v>
      </c>
      <c r="F4125" s="2" t="n">
        <v>1</v>
      </c>
      <c r="G4125" s="2" t="n">
        <v>1</v>
      </c>
      <c r="H4125" s="2" t="n">
        <v>0</v>
      </c>
      <c r="I4125" s="2" t="n">
        <v>0</v>
      </c>
    </row>
    <row r="4126">
      <c r="A4126" s="2" t="n">
        <v>4124</v>
      </c>
      <c r="B4126" s="2" t="inlineStr">
        <is>
          <t>insert</t>
        </is>
      </c>
      <c r="C4126" s="2" t="inlineStr">
        <is>
          <t>browser firefox147</t>
        </is>
      </c>
      <c r="D4126" s="2" t="n">
        <v>1902</v>
      </c>
      <c r="E4126" s="2" t="n">
        <v>1902</v>
      </c>
      <c r="F4126" s="2" t="n">
        <v>1</v>
      </c>
      <c r="G4126" s="2" t="n">
        <v>1</v>
      </c>
      <c r="H4126" s="2" t="n">
        <v>0</v>
      </c>
      <c r="I4126" s="2" t="n">
        <v>0</v>
      </c>
    </row>
    <row r="4127">
      <c r="A4127" s="2" t="n">
        <v>4125</v>
      </c>
      <c r="B4127" s="2" t="inlineStr">
        <is>
          <t>flip</t>
        </is>
      </c>
      <c r="C4127" s="2" t="inlineStr">
        <is>
          <t>openssl TLS 1.2 only</t>
        </is>
      </c>
      <c r="D4127" s="2" t="n">
        <v>215</v>
      </c>
      <c r="E4127" s="2" t="n">
        <v>215</v>
      </c>
      <c r="F4127" s="2" t="n">
        <v>0</v>
      </c>
      <c r="G4127" s="2" t="n">
        <v>0</v>
      </c>
      <c r="H4127" s="2" t="n">
        <v>0</v>
      </c>
      <c r="I4127" s="2" t="n">
        <v>0</v>
      </c>
    </row>
    <row r="4128">
      <c r="A4128" s="2" t="n">
        <v>4126</v>
      </c>
      <c r="B4128" s="2" t="inlineStr">
        <is>
          <t>truncate</t>
        </is>
      </c>
      <c r="C4128" s="2" t="inlineStr">
        <is>
          <t>browser chrome150</t>
        </is>
      </c>
      <c r="D4128" s="2" t="n">
        <v>152</v>
      </c>
      <c r="E4128" s="2" t="n">
        <v>152</v>
      </c>
      <c r="F4128" s="2" t="n">
        <v>1</v>
      </c>
      <c r="G4128" s="2" t="n">
        <v>1</v>
      </c>
      <c r="H4128" s="2" t="n">
        <v>0</v>
      </c>
      <c r="I4128" s="2" t="n">
        <v>0</v>
      </c>
    </row>
    <row r="4129">
      <c r="A4129" s="2" t="n">
        <v>4127</v>
      </c>
      <c r="B4129" s="2" t="inlineStr">
        <is>
          <t>length</t>
        </is>
      </c>
      <c r="C4129" s="2" t="inlineStr">
        <is>
          <t>openssl 3.5.8 default</t>
        </is>
      </c>
      <c r="D4129" s="2" t="n">
        <v>1548</v>
      </c>
      <c r="E4129" s="2" t="n">
        <v>1548</v>
      </c>
      <c r="F4129" s="2" t="n">
        <v>1</v>
      </c>
      <c r="G4129" s="2" t="n">
        <v>1</v>
      </c>
      <c r="H4129" s="2" t="n">
        <v>1</v>
      </c>
      <c r="I4129" s="2" t="n">
        <v>0</v>
      </c>
    </row>
    <row r="4130">
      <c r="A4130" s="2" t="n">
        <v>4128</v>
      </c>
      <c r="B4130" s="2" t="inlineStr">
        <is>
          <t>insert</t>
        </is>
      </c>
      <c r="C4130" s="2" t="inlineStr">
        <is>
          <t>openssl X25519 only (classical)</t>
        </is>
      </c>
      <c r="D4130" s="2" t="n">
        <v>321</v>
      </c>
      <c r="E4130" s="2" t="n">
        <v>321</v>
      </c>
      <c r="F4130" s="2" t="n">
        <v>1</v>
      </c>
      <c r="G4130" s="2" t="n">
        <v>1</v>
      </c>
      <c r="H4130" s="2" t="n">
        <v>1</v>
      </c>
      <c r="I4130" s="2" t="n">
        <v>0</v>
      </c>
    </row>
    <row r="4131">
      <c r="A4131" s="2" t="n">
        <v>4129</v>
      </c>
      <c r="B4131" s="2" t="inlineStr">
        <is>
          <t>flip</t>
        </is>
      </c>
      <c r="C4131" s="2" t="inlineStr">
        <is>
          <t>openssl X25519 only (classical)</t>
        </is>
      </c>
      <c r="D4131" s="2" t="n">
        <v>314</v>
      </c>
      <c r="E4131" s="2" t="n">
        <v>314</v>
      </c>
      <c r="F4131" s="2" t="n">
        <v>1</v>
      </c>
      <c r="G4131" s="2" t="n">
        <v>1</v>
      </c>
      <c r="H4131" s="2" t="n">
        <v>1</v>
      </c>
      <c r="I4131" s="2" t="n">
        <v>0</v>
      </c>
    </row>
    <row r="4132">
      <c r="A4132" s="2" t="n">
        <v>4130</v>
      </c>
      <c r="B4132" s="2" t="inlineStr">
        <is>
          <t>truncate</t>
        </is>
      </c>
      <c r="C4132" s="2" t="inlineStr">
        <is>
          <t>openssl TLS 1.2 only</t>
        </is>
      </c>
      <c r="D4132" s="2" t="n">
        <v>188</v>
      </c>
      <c r="E4132" s="2" t="n">
        <v>188</v>
      </c>
      <c r="F4132" s="2" t="n">
        <v>1</v>
      </c>
      <c r="G4132" s="2" t="n">
        <v>1</v>
      </c>
      <c r="H4132" s="2" t="n">
        <v>1</v>
      </c>
      <c r="I4132" s="2" t="n">
        <v>0</v>
      </c>
    </row>
    <row r="4133">
      <c r="A4133" s="2" t="n">
        <v>4131</v>
      </c>
      <c r="B4133" s="2" t="inlineStr">
        <is>
          <t>length</t>
        </is>
      </c>
      <c r="C4133" s="2" t="inlineStr">
        <is>
          <t>browser chrome150</t>
        </is>
      </c>
      <c r="D4133" s="2" t="n">
        <v>1763</v>
      </c>
      <c r="E4133" s="2" t="n">
        <v>1763</v>
      </c>
      <c r="F4133" s="2" t="n">
        <v>0</v>
      </c>
      <c r="G4133" s="2" t="n">
        <v>0</v>
      </c>
      <c r="H4133" s="2" t="n">
        <v>0</v>
      </c>
      <c r="I4133" s="2" t="n">
        <v>0</v>
      </c>
    </row>
    <row r="4134">
      <c r="A4134" s="2" t="n">
        <v>4132</v>
      </c>
      <c r="B4134" s="2" t="inlineStr">
        <is>
          <t>insert</t>
        </is>
      </c>
      <c r="C4134" s="2" t="inlineStr">
        <is>
          <t>browser chrome150</t>
        </is>
      </c>
      <c r="D4134" s="2" t="n">
        <v>1764</v>
      </c>
      <c r="E4134" s="2" t="n">
        <v>1764</v>
      </c>
      <c r="F4134" s="2" t="n">
        <v>1</v>
      </c>
      <c r="G4134" s="2" t="n">
        <v>1</v>
      </c>
      <c r="H4134" s="2" t="n">
        <v>1</v>
      </c>
      <c r="I4134" s="2" t="n">
        <v>0</v>
      </c>
    </row>
    <row r="4135">
      <c r="A4135" s="2" t="n">
        <v>4133</v>
      </c>
      <c r="B4135" s="2" t="inlineStr">
        <is>
          <t>flip</t>
        </is>
      </c>
      <c r="C4135" s="2" t="inlineStr">
        <is>
          <t>openssl 3.5.8 default</t>
        </is>
      </c>
      <c r="D4135" s="2" t="n">
        <v>1548</v>
      </c>
      <c r="E4135" s="2" t="n">
        <v>1548</v>
      </c>
      <c r="F4135" s="2" t="n">
        <v>1</v>
      </c>
      <c r="G4135" s="2" t="n">
        <v>1</v>
      </c>
      <c r="H4135" s="2" t="n">
        <v>1</v>
      </c>
      <c r="I4135" s="2" t="n">
        <v>0</v>
      </c>
    </row>
    <row r="4136">
      <c r="A4136" s="2" t="n">
        <v>4134</v>
      </c>
      <c r="B4136" s="2" t="inlineStr">
        <is>
          <t>truncate</t>
        </is>
      </c>
      <c r="C4136" s="2" t="inlineStr">
        <is>
          <t>openssl TLS 1.2 only</t>
        </is>
      </c>
      <c r="D4136" s="2" t="n">
        <v>152</v>
      </c>
      <c r="E4136" s="2" t="n">
        <v>152</v>
      </c>
      <c r="F4136" s="2" t="n">
        <v>1</v>
      </c>
      <c r="G4136" s="2" t="n">
        <v>1</v>
      </c>
      <c r="H4136" s="2" t="n">
        <v>0</v>
      </c>
      <c r="I4136" s="2" t="n">
        <v>0</v>
      </c>
    </row>
    <row r="4137">
      <c r="A4137" s="2" t="n">
        <v>4135</v>
      </c>
      <c r="B4137" s="2" t="inlineStr">
        <is>
          <t>length</t>
        </is>
      </c>
      <c r="C4137" s="2" t="inlineStr">
        <is>
          <t>openssl TLS 1.2 only</t>
        </is>
      </c>
      <c r="D4137" s="2" t="n">
        <v>215</v>
      </c>
      <c r="E4137" s="2" t="n">
        <v>215</v>
      </c>
      <c r="F4137" s="2" t="n">
        <v>1</v>
      </c>
      <c r="G4137" s="2" t="n">
        <v>1</v>
      </c>
      <c r="H4137" s="2" t="n">
        <v>1</v>
      </c>
      <c r="I4137" s="2" t="n">
        <v>0</v>
      </c>
    </row>
    <row r="4138">
      <c r="A4138" s="2" t="n">
        <v>4136</v>
      </c>
      <c r="B4138" s="2" t="inlineStr">
        <is>
          <t>insert</t>
        </is>
      </c>
      <c r="C4138" s="2" t="inlineStr">
        <is>
          <t>openssl TLS 1.2 only</t>
        </is>
      </c>
      <c r="D4138" s="2" t="n">
        <v>221</v>
      </c>
      <c r="E4138" s="2" t="n">
        <v>221</v>
      </c>
      <c r="F4138" s="2" t="n">
        <v>1</v>
      </c>
      <c r="G4138" s="2" t="n">
        <v>1</v>
      </c>
      <c r="H4138" s="2" t="n">
        <v>1</v>
      </c>
      <c r="I4138" s="2" t="n">
        <v>0</v>
      </c>
    </row>
    <row r="4139">
      <c r="A4139" s="2" t="n">
        <v>4137</v>
      </c>
      <c r="B4139" s="2" t="inlineStr">
        <is>
          <t>flip</t>
        </is>
      </c>
      <c r="C4139" s="2" t="inlineStr">
        <is>
          <t>openssl TLS 1.2 only</t>
        </is>
      </c>
      <c r="D4139" s="2" t="n">
        <v>215</v>
      </c>
      <c r="E4139" s="2" t="n">
        <v>215</v>
      </c>
      <c r="F4139" s="2" t="n">
        <v>1</v>
      </c>
      <c r="G4139" s="2" t="n">
        <v>1</v>
      </c>
      <c r="H4139" s="2" t="n">
        <v>1</v>
      </c>
      <c r="I4139" s="2" t="n">
        <v>0</v>
      </c>
    </row>
    <row r="4140">
      <c r="A4140" s="2" t="n">
        <v>4138</v>
      </c>
      <c r="B4140" s="2" t="inlineStr">
        <is>
          <t>truncate</t>
        </is>
      </c>
      <c r="C4140" s="2" t="inlineStr">
        <is>
          <t>openssl 3.5.8 default</t>
        </is>
      </c>
      <c r="D4140" s="2" t="n">
        <v>606</v>
      </c>
      <c r="E4140" s="2" t="n">
        <v>606</v>
      </c>
      <c r="F4140" s="2" t="n">
        <v>1</v>
      </c>
      <c r="G4140" s="2" t="n">
        <v>1</v>
      </c>
      <c r="H4140" s="2" t="n">
        <v>1</v>
      </c>
      <c r="I4140" s="2" t="n">
        <v>0</v>
      </c>
    </row>
    <row r="4141">
      <c r="A4141" s="2" t="n">
        <v>4139</v>
      </c>
      <c r="B4141" s="2" t="inlineStr">
        <is>
          <t>length</t>
        </is>
      </c>
      <c r="C4141" s="2" t="inlineStr">
        <is>
          <t>openssl X25519 only (classical)</t>
        </is>
      </c>
      <c r="D4141" s="2" t="n">
        <v>314</v>
      </c>
      <c r="E4141" s="2" t="n">
        <v>314</v>
      </c>
      <c r="F4141" s="2" t="n">
        <v>1</v>
      </c>
      <c r="G4141" s="2" t="n">
        <v>1</v>
      </c>
      <c r="H4141" s="2" t="n">
        <v>1</v>
      </c>
      <c r="I4141" s="2" t="n">
        <v>0</v>
      </c>
    </row>
    <row r="4142">
      <c r="A4142" s="2" t="n">
        <v>4140</v>
      </c>
      <c r="B4142" s="2" t="inlineStr">
        <is>
          <t>insert</t>
        </is>
      </c>
      <c r="C4142" s="2" t="inlineStr">
        <is>
          <t>openssl TLS 1.2 only</t>
        </is>
      </c>
      <c r="D4142" s="2" t="n">
        <v>222</v>
      </c>
      <c r="E4142" s="2" t="n">
        <v>222</v>
      </c>
      <c r="F4142" s="2" t="n">
        <v>1</v>
      </c>
      <c r="G4142" s="2" t="n">
        <v>1</v>
      </c>
      <c r="H4142" s="2" t="n">
        <v>1</v>
      </c>
      <c r="I4142" s="2" t="n">
        <v>0</v>
      </c>
    </row>
    <row r="4143">
      <c r="A4143" s="2" t="n">
        <v>4141</v>
      </c>
      <c r="B4143" s="2" t="inlineStr">
        <is>
          <t>flip</t>
        </is>
      </c>
      <c r="C4143" s="2" t="inlineStr">
        <is>
          <t>openssl X25519 only (classical)</t>
        </is>
      </c>
      <c r="D4143" s="2" t="n">
        <v>314</v>
      </c>
      <c r="E4143" s="2" t="n">
        <v>314</v>
      </c>
      <c r="F4143" s="2" t="n">
        <v>1</v>
      </c>
      <c r="G4143" s="2" t="n">
        <v>1</v>
      </c>
      <c r="H4143" s="2" t="n">
        <v>1</v>
      </c>
      <c r="I4143" s="2" t="n">
        <v>0</v>
      </c>
    </row>
    <row r="4144">
      <c r="A4144" s="2" t="n">
        <v>4142</v>
      </c>
      <c r="B4144" s="2" t="inlineStr">
        <is>
          <t>truncate</t>
        </is>
      </c>
      <c r="C4144" s="2" t="inlineStr">
        <is>
          <t>openssl 3.5.8 default</t>
        </is>
      </c>
      <c r="D4144" s="2" t="n">
        <v>24</v>
      </c>
      <c r="E4144" s="2" t="n">
        <v>24</v>
      </c>
      <c r="F4144" s="2" t="n">
        <v>1</v>
      </c>
      <c r="G4144" s="2" t="n">
        <v>0</v>
      </c>
      <c r="H4144" s="2" t="n">
        <v>0</v>
      </c>
      <c r="I4144" s="2" t="n">
        <v>0</v>
      </c>
    </row>
    <row r="4145">
      <c r="A4145" s="2" t="n">
        <v>4143</v>
      </c>
      <c r="B4145" s="2" t="inlineStr">
        <is>
          <t>length</t>
        </is>
      </c>
      <c r="C4145" s="2" t="inlineStr">
        <is>
          <t>browser chrome150</t>
        </is>
      </c>
      <c r="D4145" s="2" t="n">
        <v>1763</v>
      </c>
      <c r="E4145" s="2" t="n">
        <v>1763</v>
      </c>
      <c r="F4145" s="2" t="n">
        <v>1</v>
      </c>
      <c r="G4145" s="2" t="n">
        <v>1</v>
      </c>
      <c r="H4145" s="2" t="n">
        <v>1</v>
      </c>
      <c r="I4145" s="2" t="n">
        <v>0</v>
      </c>
    </row>
    <row r="4146">
      <c r="A4146" s="2" t="n">
        <v>4144</v>
      </c>
      <c r="B4146" s="2" t="inlineStr">
        <is>
          <t>insert</t>
        </is>
      </c>
      <c r="C4146" s="2" t="inlineStr">
        <is>
          <t>openssl X25519 only (classical)</t>
        </is>
      </c>
      <c r="D4146" s="2" t="n">
        <v>328</v>
      </c>
      <c r="E4146" s="2" t="n">
        <v>328</v>
      </c>
      <c r="F4146" s="2" t="n">
        <v>1</v>
      </c>
      <c r="G4146" s="2" t="n">
        <v>0</v>
      </c>
      <c r="H4146" s="2" t="n">
        <v>0</v>
      </c>
      <c r="I4146" s="2" t="n">
        <v>0</v>
      </c>
    </row>
    <row r="4147">
      <c r="A4147" s="2" t="n">
        <v>4145</v>
      </c>
      <c r="B4147" s="2" t="inlineStr">
        <is>
          <t>flip</t>
        </is>
      </c>
      <c r="C4147" s="2" t="inlineStr">
        <is>
          <t>openssl 3.5.8 default</t>
        </is>
      </c>
      <c r="D4147" s="2" t="n">
        <v>1548</v>
      </c>
      <c r="E4147" s="2" t="n">
        <v>1548</v>
      </c>
      <c r="F4147" s="2" t="n">
        <v>1</v>
      </c>
      <c r="G4147" s="2" t="n">
        <v>1</v>
      </c>
      <c r="H4147" s="2" t="n">
        <v>0</v>
      </c>
      <c r="I4147" s="2" t="n">
        <v>0</v>
      </c>
    </row>
    <row r="4148">
      <c r="A4148" s="2" t="n">
        <v>4146</v>
      </c>
      <c r="B4148" s="2" t="inlineStr">
        <is>
          <t>truncate</t>
        </is>
      </c>
      <c r="C4148" s="2" t="inlineStr">
        <is>
          <t>openssl X25519 only (classical)</t>
        </is>
      </c>
      <c r="D4148" s="2" t="n">
        <v>249</v>
      </c>
      <c r="E4148" s="2" t="n">
        <v>249</v>
      </c>
      <c r="F4148" s="2" t="n">
        <v>1</v>
      </c>
      <c r="G4148" s="2" t="n">
        <v>1</v>
      </c>
      <c r="H4148" s="2" t="n">
        <v>0</v>
      </c>
      <c r="I4148" s="2" t="n">
        <v>0</v>
      </c>
    </row>
    <row r="4149">
      <c r="A4149" s="2" t="n">
        <v>4147</v>
      </c>
      <c r="B4149" s="2" t="inlineStr">
        <is>
          <t>length</t>
        </is>
      </c>
      <c r="C4149" s="2" t="inlineStr">
        <is>
          <t>browser chrome150</t>
        </is>
      </c>
      <c r="D4149" s="2" t="n">
        <v>1763</v>
      </c>
      <c r="E4149" s="2" t="n">
        <v>1763</v>
      </c>
      <c r="F4149" s="2" t="n">
        <v>1</v>
      </c>
      <c r="G4149" s="2" t="n">
        <v>1</v>
      </c>
      <c r="H4149" s="2" t="n">
        <v>1</v>
      </c>
      <c r="I4149" s="2" t="n">
        <v>0</v>
      </c>
    </row>
    <row r="4150">
      <c r="A4150" s="2" t="n">
        <v>4148</v>
      </c>
      <c r="B4150" s="2" t="inlineStr">
        <is>
          <t>insert</t>
        </is>
      </c>
      <c r="C4150" s="2" t="inlineStr">
        <is>
          <t>openssl 3.5.8 default</t>
        </is>
      </c>
      <c r="D4150" s="2" t="n">
        <v>1557</v>
      </c>
      <c r="E4150" s="2" t="n">
        <v>1557</v>
      </c>
      <c r="F4150" s="2" t="n">
        <v>1</v>
      </c>
      <c r="G4150" s="2" t="n">
        <v>1</v>
      </c>
      <c r="H4150" s="2" t="n">
        <v>1</v>
      </c>
      <c r="I4150" s="2" t="n">
        <v>0</v>
      </c>
    </row>
    <row r="4151">
      <c r="A4151" s="2" t="n">
        <v>4149</v>
      </c>
      <c r="B4151" s="2" t="inlineStr">
        <is>
          <t>flip</t>
        </is>
      </c>
      <c r="C4151" s="2" t="inlineStr">
        <is>
          <t>browser firefox147</t>
        </is>
      </c>
      <c r="D4151" s="2" t="n">
        <v>1901</v>
      </c>
      <c r="E4151" s="2" t="n">
        <v>1901</v>
      </c>
      <c r="F4151" s="2" t="n">
        <v>1</v>
      </c>
      <c r="G4151" s="2" t="n">
        <v>1</v>
      </c>
      <c r="H4151" s="2" t="n">
        <v>0</v>
      </c>
      <c r="I4151" s="2" t="n">
        <v>0</v>
      </c>
    </row>
    <row r="4152">
      <c r="A4152" s="2" t="n">
        <v>4150</v>
      </c>
      <c r="B4152" s="2" t="inlineStr">
        <is>
          <t>truncate</t>
        </is>
      </c>
      <c r="C4152" s="2" t="inlineStr">
        <is>
          <t>browser chrome150</t>
        </is>
      </c>
      <c r="D4152" s="2" t="n">
        <v>846</v>
      </c>
      <c r="E4152" s="2" t="n">
        <v>846</v>
      </c>
      <c r="F4152" s="2" t="n">
        <v>1</v>
      </c>
      <c r="G4152" s="2" t="n">
        <v>1</v>
      </c>
      <c r="H4152" s="2" t="n">
        <v>1</v>
      </c>
      <c r="I4152" s="2" t="n">
        <v>0</v>
      </c>
    </row>
    <row r="4153">
      <c r="A4153" s="2" t="n">
        <v>4151</v>
      </c>
      <c r="B4153" s="2" t="inlineStr">
        <is>
          <t>length</t>
        </is>
      </c>
      <c r="C4153" s="2" t="inlineStr">
        <is>
          <t>openssl 3.5.8 default</t>
        </is>
      </c>
      <c r="D4153" s="2" t="n">
        <v>1548</v>
      </c>
      <c r="E4153" s="2" t="n">
        <v>1548</v>
      </c>
      <c r="F4153" s="2" t="n">
        <v>0</v>
      </c>
      <c r="G4153" s="2" t="n">
        <v>0</v>
      </c>
      <c r="H4153" s="2" t="n">
        <v>0</v>
      </c>
      <c r="I4153" s="2" t="n">
        <v>0</v>
      </c>
    </row>
    <row r="4154">
      <c r="A4154" s="2" t="n">
        <v>4152</v>
      </c>
      <c r="B4154" s="2" t="inlineStr">
        <is>
          <t>insert</t>
        </is>
      </c>
      <c r="C4154" s="2" t="inlineStr">
        <is>
          <t>openssl TLS 1.2 only</t>
        </is>
      </c>
      <c r="D4154" s="2" t="n">
        <v>217</v>
      </c>
      <c r="E4154" s="2" t="n">
        <v>217</v>
      </c>
      <c r="F4154" s="2" t="n">
        <v>1</v>
      </c>
      <c r="G4154" s="2" t="n">
        <v>1</v>
      </c>
      <c r="H4154" s="2" t="n">
        <v>1</v>
      </c>
      <c r="I4154" s="2" t="n">
        <v>0</v>
      </c>
    </row>
    <row r="4155">
      <c r="A4155" s="2" t="n">
        <v>4153</v>
      </c>
      <c r="B4155" s="2" t="inlineStr">
        <is>
          <t>flip</t>
        </is>
      </c>
      <c r="C4155" s="2" t="inlineStr">
        <is>
          <t>openssl 3.5.8 default</t>
        </is>
      </c>
      <c r="D4155" s="2" t="n">
        <v>1548</v>
      </c>
      <c r="E4155" s="2" t="n">
        <v>1548</v>
      </c>
      <c r="F4155" s="2" t="n">
        <v>1</v>
      </c>
      <c r="G4155" s="2" t="n">
        <v>1</v>
      </c>
      <c r="H4155" s="2" t="n">
        <v>1</v>
      </c>
      <c r="I4155" s="2" t="n">
        <v>0</v>
      </c>
    </row>
    <row r="4156">
      <c r="A4156" s="2" t="n">
        <v>4154</v>
      </c>
      <c r="B4156" s="2" t="inlineStr">
        <is>
          <t>truncate</t>
        </is>
      </c>
      <c r="C4156" s="2" t="inlineStr">
        <is>
          <t>openssl 3.5.8 default</t>
        </is>
      </c>
      <c r="D4156" s="2" t="n">
        <v>419</v>
      </c>
      <c r="E4156" s="2" t="n">
        <v>419</v>
      </c>
      <c r="F4156" s="2" t="n">
        <v>1</v>
      </c>
      <c r="G4156" s="2" t="n">
        <v>1</v>
      </c>
      <c r="H4156" s="2" t="n">
        <v>1</v>
      </c>
      <c r="I4156" s="2" t="n">
        <v>0</v>
      </c>
    </row>
    <row r="4157">
      <c r="A4157" s="2" t="n">
        <v>4155</v>
      </c>
      <c r="B4157" s="2" t="inlineStr">
        <is>
          <t>length</t>
        </is>
      </c>
      <c r="C4157" s="2" t="inlineStr">
        <is>
          <t>openssl X25519 only (classical)</t>
        </is>
      </c>
      <c r="D4157" s="2" t="n">
        <v>314</v>
      </c>
      <c r="E4157" s="2" t="n">
        <v>314</v>
      </c>
      <c r="F4157" s="2" t="n">
        <v>0</v>
      </c>
      <c r="G4157" s="2" t="n">
        <v>0</v>
      </c>
      <c r="H4157" s="2" t="n">
        <v>0</v>
      </c>
      <c r="I4157" s="2" t="n">
        <v>0</v>
      </c>
    </row>
    <row r="4158">
      <c r="A4158" s="2" t="n">
        <v>4156</v>
      </c>
      <c r="B4158" s="2" t="inlineStr">
        <is>
          <t>insert</t>
        </is>
      </c>
      <c r="C4158" s="2" t="inlineStr">
        <is>
          <t>openssl X25519 only (classical)</t>
        </is>
      </c>
      <c r="D4158" s="2" t="n">
        <v>318</v>
      </c>
      <c r="E4158" s="2" t="n">
        <v>318</v>
      </c>
      <c r="F4158" s="2" t="n">
        <v>1</v>
      </c>
      <c r="G4158" s="2" t="n">
        <v>1</v>
      </c>
      <c r="H4158" s="2" t="n">
        <v>1</v>
      </c>
      <c r="I4158" s="2" t="n">
        <v>0</v>
      </c>
    </row>
    <row r="4159">
      <c r="A4159" s="2" t="n">
        <v>4157</v>
      </c>
      <c r="B4159" s="2" t="inlineStr">
        <is>
          <t>flip</t>
        </is>
      </c>
      <c r="C4159" s="2" t="inlineStr">
        <is>
          <t>openssl X25519 only (classical)</t>
        </is>
      </c>
      <c r="D4159" s="2" t="n">
        <v>314</v>
      </c>
      <c r="E4159" s="2" t="n">
        <v>314</v>
      </c>
      <c r="F4159" s="2" t="n">
        <v>1</v>
      </c>
      <c r="G4159" s="2" t="n">
        <v>1</v>
      </c>
      <c r="H4159" s="2" t="n">
        <v>1</v>
      </c>
      <c r="I4159" s="2" t="n">
        <v>0</v>
      </c>
    </row>
    <row r="4160">
      <c r="A4160" s="2" t="n">
        <v>4158</v>
      </c>
      <c r="B4160" s="2" t="inlineStr">
        <is>
          <t>truncate</t>
        </is>
      </c>
      <c r="C4160" s="2" t="inlineStr">
        <is>
          <t>openssl X25519 only (classical)</t>
        </is>
      </c>
      <c r="D4160" s="2" t="n">
        <v>313</v>
      </c>
      <c r="E4160" s="2" t="n">
        <v>313</v>
      </c>
      <c r="F4160" s="2" t="n">
        <v>1</v>
      </c>
      <c r="G4160" s="2" t="n">
        <v>1</v>
      </c>
      <c r="H4160" s="2" t="n">
        <v>1</v>
      </c>
      <c r="I4160" s="2" t="n">
        <v>0</v>
      </c>
    </row>
    <row r="4161">
      <c r="A4161" s="2" t="n">
        <v>4159</v>
      </c>
      <c r="B4161" s="2" t="inlineStr">
        <is>
          <t>length</t>
        </is>
      </c>
      <c r="C4161" s="2" t="inlineStr">
        <is>
          <t>browser firefox147</t>
        </is>
      </c>
      <c r="D4161" s="2" t="n">
        <v>1901</v>
      </c>
      <c r="E4161" s="2" t="n">
        <v>1901</v>
      </c>
      <c r="F4161" s="2" t="n">
        <v>1</v>
      </c>
      <c r="G4161" s="2" t="n">
        <v>1</v>
      </c>
      <c r="H4161" s="2" t="n">
        <v>0</v>
      </c>
      <c r="I4161" s="2" t="n">
        <v>0</v>
      </c>
    </row>
    <row r="4162">
      <c r="A4162" s="2" t="n">
        <v>4160</v>
      </c>
      <c r="B4162" s="2" t="inlineStr">
        <is>
          <t>insert</t>
        </is>
      </c>
      <c r="C4162" s="2" t="inlineStr">
        <is>
          <t>openssl TLS 1.2 only</t>
        </is>
      </c>
      <c r="D4162" s="2" t="n">
        <v>218</v>
      </c>
      <c r="E4162" s="2" t="n">
        <v>218</v>
      </c>
      <c r="F4162" s="2" t="n">
        <v>1</v>
      </c>
      <c r="G4162" s="2" t="n">
        <v>1</v>
      </c>
      <c r="H4162" s="2" t="n">
        <v>1</v>
      </c>
      <c r="I4162" s="2" t="n">
        <v>0</v>
      </c>
    </row>
    <row r="4163">
      <c r="A4163" s="2" t="n">
        <v>4161</v>
      </c>
      <c r="B4163" s="2" t="inlineStr">
        <is>
          <t>flip</t>
        </is>
      </c>
      <c r="C4163" s="2" t="inlineStr">
        <is>
          <t>browser firefox147</t>
        </is>
      </c>
      <c r="D4163" s="2" t="n">
        <v>1901</v>
      </c>
      <c r="E4163" s="2" t="n">
        <v>1901</v>
      </c>
      <c r="F4163" s="2" t="n">
        <v>1</v>
      </c>
      <c r="G4163" s="2" t="n">
        <v>1</v>
      </c>
      <c r="H4163" s="2" t="n">
        <v>0</v>
      </c>
      <c r="I4163" s="2" t="n">
        <v>0</v>
      </c>
    </row>
    <row r="4164">
      <c r="A4164" s="2" t="n">
        <v>4162</v>
      </c>
      <c r="B4164" s="2" t="inlineStr">
        <is>
          <t>truncate</t>
        </is>
      </c>
      <c r="C4164" s="2" t="inlineStr">
        <is>
          <t>browser chrome150</t>
        </is>
      </c>
      <c r="D4164" s="2" t="n">
        <v>1228</v>
      </c>
      <c r="E4164" s="2" t="n">
        <v>1228</v>
      </c>
      <c r="F4164" s="2" t="n">
        <v>1</v>
      </c>
      <c r="G4164" s="2" t="n">
        <v>1</v>
      </c>
      <c r="H4164" s="2" t="n">
        <v>1</v>
      </c>
      <c r="I4164" s="2" t="n">
        <v>0</v>
      </c>
    </row>
    <row r="4165">
      <c r="A4165" s="2" t="n">
        <v>4163</v>
      </c>
      <c r="B4165" s="2" t="inlineStr">
        <is>
          <t>length</t>
        </is>
      </c>
      <c r="C4165" s="2" t="inlineStr">
        <is>
          <t>browser chrome150</t>
        </is>
      </c>
      <c r="D4165" s="2" t="n">
        <v>1763</v>
      </c>
      <c r="E4165" s="2" t="n">
        <v>1763</v>
      </c>
      <c r="F4165" s="2" t="n">
        <v>1</v>
      </c>
      <c r="G4165" s="2" t="n">
        <v>0</v>
      </c>
      <c r="H4165" s="2" t="n">
        <v>0</v>
      </c>
      <c r="I4165" s="2" t="n">
        <v>0</v>
      </c>
    </row>
    <row r="4166">
      <c r="A4166" s="2" t="n">
        <v>4164</v>
      </c>
      <c r="B4166" s="2" t="inlineStr">
        <is>
          <t>insert</t>
        </is>
      </c>
      <c r="C4166" s="2" t="inlineStr">
        <is>
          <t>openssl TLS 1.2 only</t>
        </is>
      </c>
      <c r="D4166" s="2" t="n">
        <v>223</v>
      </c>
      <c r="E4166" s="2" t="n">
        <v>223</v>
      </c>
      <c r="F4166" s="2" t="n">
        <v>1</v>
      </c>
      <c r="G4166" s="2" t="n">
        <v>0</v>
      </c>
      <c r="H4166" s="2" t="n">
        <v>0</v>
      </c>
      <c r="I4166" s="2" t="n">
        <v>0</v>
      </c>
    </row>
    <row r="4167">
      <c r="A4167" s="2" t="n">
        <v>4165</v>
      </c>
      <c r="B4167" s="2" t="inlineStr">
        <is>
          <t>flip</t>
        </is>
      </c>
      <c r="C4167" s="2" t="inlineStr">
        <is>
          <t>browser chrome150</t>
        </is>
      </c>
      <c r="D4167" s="2" t="n">
        <v>1763</v>
      </c>
      <c r="E4167" s="2" t="n">
        <v>1763</v>
      </c>
      <c r="F4167" s="2" t="n">
        <v>1</v>
      </c>
      <c r="G4167" s="2" t="n">
        <v>1</v>
      </c>
      <c r="H4167" s="2" t="n">
        <v>1</v>
      </c>
      <c r="I4167" s="2" t="n">
        <v>0</v>
      </c>
    </row>
    <row r="4168">
      <c r="A4168" s="2" t="n">
        <v>4166</v>
      </c>
      <c r="B4168" s="2" t="inlineStr">
        <is>
          <t>truncate</t>
        </is>
      </c>
      <c r="C4168" s="2" t="inlineStr">
        <is>
          <t>browser chrome150</t>
        </is>
      </c>
      <c r="D4168" s="2" t="n">
        <v>1042</v>
      </c>
      <c r="E4168" s="2" t="n">
        <v>1042</v>
      </c>
      <c r="F4168" s="2" t="n">
        <v>1</v>
      </c>
      <c r="G4168" s="2" t="n">
        <v>1</v>
      </c>
      <c r="H4168" s="2" t="n">
        <v>1</v>
      </c>
      <c r="I4168" s="2" t="n">
        <v>0</v>
      </c>
    </row>
    <row r="4169">
      <c r="A4169" s="2" t="n">
        <v>4167</v>
      </c>
      <c r="B4169" s="2" t="inlineStr">
        <is>
          <t>length</t>
        </is>
      </c>
      <c r="C4169" s="2" t="inlineStr">
        <is>
          <t>openssl 3.5.8 default</t>
        </is>
      </c>
      <c r="D4169" s="2" t="n">
        <v>1548</v>
      </c>
      <c r="E4169" s="2" t="n">
        <v>1548</v>
      </c>
      <c r="F4169" s="2" t="n">
        <v>1</v>
      </c>
      <c r="G4169" s="2" t="n">
        <v>1</v>
      </c>
      <c r="H4169" s="2" t="n">
        <v>1</v>
      </c>
      <c r="I4169" s="2" t="n">
        <v>0</v>
      </c>
    </row>
    <row r="4170">
      <c r="A4170" s="2" t="n">
        <v>4168</v>
      </c>
      <c r="B4170" s="2" t="inlineStr">
        <is>
          <t>insert</t>
        </is>
      </c>
      <c r="C4170" s="2" t="inlineStr">
        <is>
          <t>browser chrome150</t>
        </is>
      </c>
      <c r="D4170" s="2" t="n">
        <v>1774</v>
      </c>
      <c r="E4170" s="2" t="n">
        <v>1774</v>
      </c>
      <c r="F4170" s="2" t="n">
        <v>1</v>
      </c>
      <c r="G4170" s="2" t="n">
        <v>1</v>
      </c>
      <c r="H4170" s="2" t="n">
        <v>1</v>
      </c>
      <c r="I4170" s="2" t="n">
        <v>0</v>
      </c>
    </row>
    <row r="4171">
      <c r="A4171" s="2" t="n">
        <v>4169</v>
      </c>
      <c r="B4171" s="2" t="inlineStr">
        <is>
          <t>flip</t>
        </is>
      </c>
      <c r="C4171" s="2" t="inlineStr">
        <is>
          <t>browser chrome150</t>
        </is>
      </c>
      <c r="D4171" s="2" t="n">
        <v>1763</v>
      </c>
      <c r="E4171" s="2" t="n">
        <v>1763</v>
      </c>
      <c r="F4171" s="2" t="n">
        <v>1</v>
      </c>
      <c r="G4171" s="2" t="n">
        <v>1</v>
      </c>
      <c r="H4171" s="2" t="n">
        <v>1</v>
      </c>
      <c r="I4171" s="2" t="n">
        <v>0</v>
      </c>
    </row>
    <row r="4172">
      <c r="A4172" s="2" t="n">
        <v>4170</v>
      </c>
      <c r="B4172" s="2" t="inlineStr">
        <is>
          <t>truncate</t>
        </is>
      </c>
      <c r="C4172" s="2" t="inlineStr">
        <is>
          <t>browser firefox147</t>
        </is>
      </c>
      <c r="D4172" s="2" t="n">
        <v>1257</v>
      </c>
      <c r="E4172" s="2" t="n">
        <v>1257</v>
      </c>
      <c r="F4172" s="2" t="n">
        <v>1</v>
      </c>
      <c r="G4172" s="2" t="n">
        <v>1</v>
      </c>
      <c r="H4172" s="2" t="n">
        <v>0</v>
      </c>
      <c r="I4172" s="2" t="n">
        <v>0</v>
      </c>
    </row>
    <row r="4173">
      <c r="A4173" s="2" t="n">
        <v>4171</v>
      </c>
      <c r="B4173" s="2" t="inlineStr">
        <is>
          <t>length</t>
        </is>
      </c>
      <c r="C4173" s="2" t="inlineStr">
        <is>
          <t>openssl X25519 only (classical)</t>
        </is>
      </c>
      <c r="D4173" s="2" t="n">
        <v>314</v>
      </c>
      <c r="E4173" s="2" t="n">
        <v>314</v>
      </c>
      <c r="F4173" s="2" t="n">
        <v>1</v>
      </c>
      <c r="G4173" s="2" t="n">
        <v>1</v>
      </c>
      <c r="H4173" s="2" t="n">
        <v>1</v>
      </c>
      <c r="I4173" s="2" t="n">
        <v>0</v>
      </c>
    </row>
    <row r="4174">
      <c r="A4174" s="2" t="n">
        <v>4172</v>
      </c>
      <c r="B4174" s="2" t="inlineStr">
        <is>
          <t>insert</t>
        </is>
      </c>
      <c r="C4174" s="2" t="inlineStr">
        <is>
          <t>openssl X25519 only (classical)</t>
        </is>
      </c>
      <c r="D4174" s="2" t="n">
        <v>316</v>
      </c>
      <c r="E4174" s="2" t="n">
        <v>316</v>
      </c>
      <c r="F4174" s="2" t="n">
        <v>0</v>
      </c>
      <c r="G4174" s="2" t="n">
        <v>0</v>
      </c>
      <c r="H4174" s="2" t="n">
        <v>0</v>
      </c>
      <c r="I4174" s="2" t="n">
        <v>0</v>
      </c>
    </row>
    <row r="4175">
      <c r="A4175" s="2" t="n">
        <v>4173</v>
      </c>
      <c r="B4175" s="2" t="inlineStr">
        <is>
          <t>flip</t>
        </is>
      </c>
      <c r="C4175" s="2" t="inlineStr">
        <is>
          <t>openssl X25519 only (classical)</t>
        </is>
      </c>
      <c r="D4175" s="2" t="n">
        <v>314</v>
      </c>
      <c r="E4175" s="2" t="n">
        <v>314</v>
      </c>
      <c r="F4175" s="2" t="n">
        <v>1</v>
      </c>
      <c r="G4175" s="2" t="n">
        <v>1</v>
      </c>
      <c r="H4175" s="2" t="n">
        <v>0</v>
      </c>
      <c r="I4175" s="2" t="n">
        <v>0</v>
      </c>
    </row>
    <row r="4176">
      <c r="A4176" s="2" t="n">
        <v>4174</v>
      </c>
      <c r="B4176" s="2" t="inlineStr">
        <is>
          <t>truncate</t>
        </is>
      </c>
      <c r="C4176" s="2" t="inlineStr">
        <is>
          <t>browser chrome150</t>
        </is>
      </c>
      <c r="D4176" s="2" t="n">
        <v>1631</v>
      </c>
      <c r="E4176" s="2" t="n">
        <v>1631</v>
      </c>
      <c r="F4176" s="2" t="n">
        <v>1</v>
      </c>
      <c r="G4176" s="2" t="n">
        <v>1</v>
      </c>
      <c r="H4176" s="2" t="n">
        <v>1</v>
      </c>
      <c r="I4176" s="2" t="n">
        <v>0</v>
      </c>
    </row>
    <row r="4177">
      <c r="A4177" s="2" t="n">
        <v>4175</v>
      </c>
      <c r="B4177" s="2" t="inlineStr">
        <is>
          <t>length</t>
        </is>
      </c>
      <c r="C4177" s="2" t="inlineStr">
        <is>
          <t>openssl X25519 only (classical)</t>
        </is>
      </c>
      <c r="D4177" s="2" t="n">
        <v>314</v>
      </c>
      <c r="E4177" s="2" t="n">
        <v>314</v>
      </c>
      <c r="F4177" s="2" t="n">
        <v>1</v>
      </c>
      <c r="G4177" s="2" t="n">
        <v>1</v>
      </c>
      <c r="H4177" s="2" t="n">
        <v>0</v>
      </c>
      <c r="I4177" s="2" t="n">
        <v>0</v>
      </c>
    </row>
    <row r="4178">
      <c r="A4178" s="2" t="n">
        <v>4176</v>
      </c>
      <c r="B4178" s="2" t="inlineStr">
        <is>
          <t>insert</t>
        </is>
      </c>
      <c r="C4178" s="2" t="inlineStr">
        <is>
          <t>browser firefox147</t>
        </is>
      </c>
      <c r="D4178" s="2" t="n">
        <v>1906</v>
      </c>
      <c r="E4178" s="2" t="n">
        <v>1906</v>
      </c>
      <c r="F4178" s="2" t="n">
        <v>0</v>
      </c>
      <c r="G4178" s="2" t="n">
        <v>0</v>
      </c>
      <c r="H4178" s="2" t="n">
        <v>0</v>
      </c>
      <c r="I4178" s="2" t="n">
        <v>0</v>
      </c>
    </row>
    <row r="4179">
      <c r="A4179" s="2" t="n">
        <v>4177</v>
      </c>
      <c r="B4179" s="2" t="inlineStr">
        <is>
          <t>flip</t>
        </is>
      </c>
      <c r="C4179" s="2" t="inlineStr">
        <is>
          <t>browser chrome150</t>
        </is>
      </c>
      <c r="D4179" s="2" t="n">
        <v>1763</v>
      </c>
      <c r="E4179" s="2" t="n">
        <v>1763</v>
      </c>
      <c r="F4179" s="2" t="n">
        <v>1</v>
      </c>
      <c r="G4179" s="2" t="n">
        <v>1</v>
      </c>
      <c r="H4179" s="2" t="n">
        <v>1</v>
      </c>
      <c r="I4179" s="2" t="n">
        <v>0</v>
      </c>
    </row>
    <row r="4180">
      <c r="A4180" s="2" t="n">
        <v>4178</v>
      </c>
      <c r="B4180" s="2" t="inlineStr">
        <is>
          <t>truncate</t>
        </is>
      </c>
      <c r="C4180" s="2" t="inlineStr">
        <is>
          <t>browser chrome150</t>
        </is>
      </c>
      <c r="D4180" s="2" t="n">
        <v>751</v>
      </c>
      <c r="E4180" s="2" t="n">
        <v>751</v>
      </c>
      <c r="F4180" s="2" t="n">
        <v>1</v>
      </c>
      <c r="G4180" s="2" t="n">
        <v>1</v>
      </c>
      <c r="H4180" s="2" t="n">
        <v>1</v>
      </c>
      <c r="I4180" s="2" t="n">
        <v>0</v>
      </c>
    </row>
    <row r="4181">
      <c r="A4181" s="2" t="n">
        <v>4179</v>
      </c>
      <c r="B4181" s="2" t="inlineStr">
        <is>
          <t>length</t>
        </is>
      </c>
      <c r="C4181" s="2" t="inlineStr">
        <is>
          <t>openssl X25519 only (classical)</t>
        </is>
      </c>
      <c r="D4181" s="2" t="n">
        <v>314</v>
      </c>
      <c r="E4181" s="2" t="n">
        <v>314</v>
      </c>
      <c r="F4181" s="2" t="n">
        <v>0</v>
      </c>
      <c r="G4181" s="2" t="n">
        <v>0</v>
      </c>
      <c r="H4181" s="2" t="n">
        <v>0</v>
      </c>
      <c r="I4181" s="2" t="n">
        <v>0</v>
      </c>
    </row>
    <row r="4182">
      <c r="A4182" s="2" t="n">
        <v>4180</v>
      </c>
      <c r="B4182" s="2" t="inlineStr">
        <is>
          <t>insert</t>
        </is>
      </c>
      <c r="C4182" s="2" t="inlineStr">
        <is>
          <t>openssl TLS 1.2 only</t>
        </is>
      </c>
      <c r="D4182" s="2" t="n">
        <v>225</v>
      </c>
      <c r="E4182" s="2" t="n">
        <v>225</v>
      </c>
      <c r="F4182" s="2" t="n">
        <v>1</v>
      </c>
      <c r="G4182" s="2" t="n">
        <v>1</v>
      </c>
      <c r="H4182" s="2" t="n">
        <v>1</v>
      </c>
      <c r="I4182" s="2" t="n">
        <v>0</v>
      </c>
    </row>
    <row r="4183">
      <c r="A4183" s="2" t="n">
        <v>4181</v>
      </c>
      <c r="B4183" s="2" t="inlineStr">
        <is>
          <t>flip</t>
        </is>
      </c>
      <c r="C4183" s="2" t="inlineStr">
        <is>
          <t>openssl X25519 only (classical)</t>
        </is>
      </c>
      <c r="D4183" s="2" t="n">
        <v>314</v>
      </c>
      <c r="E4183" s="2" t="n">
        <v>314</v>
      </c>
      <c r="F4183" s="2" t="n">
        <v>1</v>
      </c>
      <c r="G4183" s="2" t="n">
        <v>1</v>
      </c>
      <c r="H4183" s="2" t="n">
        <v>0</v>
      </c>
      <c r="I4183" s="2" t="n">
        <v>0</v>
      </c>
    </row>
    <row r="4184">
      <c r="A4184" s="2" t="n">
        <v>4182</v>
      </c>
      <c r="B4184" s="2" t="inlineStr">
        <is>
          <t>truncate</t>
        </is>
      </c>
      <c r="C4184" s="2" t="inlineStr">
        <is>
          <t>browser firefox147</t>
        </is>
      </c>
      <c r="D4184" s="2" t="n">
        <v>1082</v>
      </c>
      <c r="E4184" s="2" t="n">
        <v>1082</v>
      </c>
      <c r="F4184" s="2" t="n">
        <v>1</v>
      </c>
      <c r="G4184" s="2" t="n">
        <v>1</v>
      </c>
      <c r="H4184" s="2" t="n">
        <v>0</v>
      </c>
      <c r="I4184" s="2" t="n">
        <v>0</v>
      </c>
    </row>
    <row r="4185">
      <c r="A4185" s="2" t="n">
        <v>4183</v>
      </c>
      <c r="B4185" s="2" t="inlineStr">
        <is>
          <t>length</t>
        </is>
      </c>
      <c r="C4185" s="2" t="inlineStr">
        <is>
          <t>browser chrome150</t>
        </is>
      </c>
      <c r="D4185" s="2" t="n">
        <v>1763</v>
      </c>
      <c r="E4185" s="2" t="n">
        <v>1763</v>
      </c>
      <c r="F4185" s="2" t="n">
        <v>1</v>
      </c>
      <c r="G4185" s="2" t="n">
        <v>1</v>
      </c>
      <c r="H4185" s="2" t="n">
        <v>1</v>
      </c>
      <c r="I4185" s="2" t="n">
        <v>0</v>
      </c>
    </row>
    <row r="4186">
      <c r="A4186" s="2" t="n">
        <v>4184</v>
      </c>
      <c r="B4186" s="2" t="inlineStr">
        <is>
          <t>insert</t>
        </is>
      </c>
      <c r="C4186" s="2" t="inlineStr">
        <is>
          <t>browser chrome150</t>
        </is>
      </c>
      <c r="D4186" s="2" t="n">
        <v>1767</v>
      </c>
      <c r="E4186" s="2" t="n">
        <v>1767</v>
      </c>
      <c r="F4186" s="2" t="n">
        <v>1</v>
      </c>
      <c r="G4186" s="2" t="n">
        <v>1</v>
      </c>
      <c r="H4186" s="2" t="n">
        <v>1</v>
      </c>
      <c r="I4186" s="2" t="n">
        <v>0</v>
      </c>
    </row>
    <row r="4187">
      <c r="A4187" s="2" t="n">
        <v>4185</v>
      </c>
      <c r="B4187" s="2" t="inlineStr">
        <is>
          <t>flip</t>
        </is>
      </c>
      <c r="C4187" s="2" t="inlineStr">
        <is>
          <t>openssl TLS 1.2 only</t>
        </is>
      </c>
      <c r="D4187" s="2" t="n">
        <v>215</v>
      </c>
      <c r="E4187" s="2" t="n">
        <v>215</v>
      </c>
      <c r="F4187" s="2" t="n">
        <v>1</v>
      </c>
      <c r="G4187" s="2" t="n">
        <v>0</v>
      </c>
      <c r="H4187" s="2" t="n">
        <v>0</v>
      </c>
      <c r="I4187" s="2" t="n">
        <v>0</v>
      </c>
    </row>
    <row r="4188">
      <c r="A4188" s="2" t="n">
        <v>4186</v>
      </c>
      <c r="B4188" s="2" t="inlineStr">
        <is>
          <t>truncate</t>
        </is>
      </c>
      <c r="C4188" s="2" t="inlineStr">
        <is>
          <t>openssl 3.5.8 default</t>
        </is>
      </c>
      <c r="D4188" s="2" t="n">
        <v>1462</v>
      </c>
      <c r="E4188" s="2" t="n">
        <v>1462</v>
      </c>
      <c r="F4188" s="2" t="n">
        <v>1</v>
      </c>
      <c r="G4188" s="2" t="n">
        <v>1</v>
      </c>
      <c r="H4188" s="2" t="n">
        <v>1</v>
      </c>
      <c r="I4188" s="2" t="n">
        <v>0</v>
      </c>
    </row>
    <row r="4189">
      <c r="A4189" s="2" t="n">
        <v>4187</v>
      </c>
      <c r="B4189" s="2" t="inlineStr">
        <is>
          <t>length</t>
        </is>
      </c>
      <c r="C4189" s="2" t="inlineStr">
        <is>
          <t>openssl TLS 1.2 only</t>
        </is>
      </c>
      <c r="D4189" s="2" t="n">
        <v>215</v>
      </c>
      <c r="E4189" s="2" t="n">
        <v>215</v>
      </c>
      <c r="F4189" s="2" t="n">
        <v>1</v>
      </c>
      <c r="G4189" s="2" t="n">
        <v>1</v>
      </c>
      <c r="H4189" s="2" t="n">
        <v>1</v>
      </c>
      <c r="I4189" s="2" t="n">
        <v>0</v>
      </c>
    </row>
    <row r="4190">
      <c r="A4190" s="2" t="n">
        <v>4188</v>
      </c>
      <c r="B4190" s="2" t="inlineStr">
        <is>
          <t>insert</t>
        </is>
      </c>
      <c r="C4190" s="2" t="inlineStr">
        <is>
          <t>browser firefox147</t>
        </is>
      </c>
      <c r="D4190" s="2" t="n">
        <v>1902</v>
      </c>
      <c r="E4190" s="2" t="n">
        <v>1902</v>
      </c>
      <c r="F4190" s="2" t="n">
        <v>1</v>
      </c>
      <c r="G4190" s="2" t="n">
        <v>1</v>
      </c>
      <c r="H4190" s="2" t="n">
        <v>0</v>
      </c>
      <c r="I4190" s="2" t="n">
        <v>0</v>
      </c>
    </row>
    <row r="4191">
      <c r="A4191" s="2" t="n">
        <v>4189</v>
      </c>
      <c r="B4191" s="2" t="inlineStr">
        <is>
          <t>flip</t>
        </is>
      </c>
      <c r="C4191" s="2" t="inlineStr">
        <is>
          <t>openssl 3.5.8 default</t>
        </is>
      </c>
      <c r="D4191" s="2" t="n">
        <v>1548</v>
      </c>
      <c r="E4191" s="2" t="n">
        <v>1548</v>
      </c>
      <c r="F4191" s="2" t="n">
        <v>1</v>
      </c>
      <c r="G4191" s="2" t="n">
        <v>1</v>
      </c>
      <c r="H4191" s="2" t="n">
        <v>1</v>
      </c>
      <c r="I4191" s="2" t="n">
        <v>0</v>
      </c>
    </row>
    <row r="4192">
      <c r="A4192" s="2" t="n">
        <v>4190</v>
      </c>
      <c r="B4192" s="2" t="inlineStr">
        <is>
          <t>truncate</t>
        </is>
      </c>
      <c r="C4192" s="2" t="inlineStr">
        <is>
          <t>openssl 3.5.8 default</t>
        </is>
      </c>
      <c r="D4192" s="2" t="n">
        <v>1267</v>
      </c>
      <c r="E4192" s="2" t="n">
        <v>1267</v>
      </c>
      <c r="F4192" s="2" t="n">
        <v>1</v>
      </c>
      <c r="G4192" s="2" t="n">
        <v>1</v>
      </c>
      <c r="H4192" s="2" t="n">
        <v>1</v>
      </c>
      <c r="I4192" s="2" t="n">
        <v>0</v>
      </c>
    </row>
    <row r="4193">
      <c r="A4193" s="2" t="n">
        <v>4191</v>
      </c>
      <c r="B4193" s="2" t="inlineStr">
        <is>
          <t>length</t>
        </is>
      </c>
      <c r="C4193" s="2" t="inlineStr">
        <is>
          <t>browser firefox147</t>
        </is>
      </c>
      <c r="D4193" s="2" t="n">
        <v>1901</v>
      </c>
      <c r="E4193" s="2" t="n">
        <v>1901</v>
      </c>
      <c r="F4193" s="2" t="n">
        <v>0</v>
      </c>
      <c r="G4193" s="2" t="n">
        <v>0</v>
      </c>
      <c r="H4193" s="2" t="n">
        <v>0</v>
      </c>
      <c r="I4193" s="2" t="n">
        <v>0</v>
      </c>
    </row>
    <row r="4194">
      <c r="A4194" s="2" t="n">
        <v>4192</v>
      </c>
      <c r="B4194" s="2" t="inlineStr">
        <is>
          <t>insert</t>
        </is>
      </c>
      <c r="C4194" s="2" t="inlineStr">
        <is>
          <t>openssl TLS 1.2 only</t>
        </is>
      </c>
      <c r="D4194" s="2" t="n">
        <v>221</v>
      </c>
      <c r="E4194" s="2" t="n">
        <v>221</v>
      </c>
      <c r="F4194" s="2" t="n">
        <v>1</v>
      </c>
      <c r="G4194" s="2" t="n">
        <v>1</v>
      </c>
      <c r="H4194" s="2" t="n">
        <v>0</v>
      </c>
      <c r="I4194" s="2" t="n">
        <v>0</v>
      </c>
    </row>
    <row r="4195">
      <c r="A4195" s="2" t="n">
        <v>4193</v>
      </c>
      <c r="B4195" s="2" t="inlineStr">
        <is>
          <t>flip</t>
        </is>
      </c>
      <c r="C4195" s="2" t="inlineStr">
        <is>
          <t>browser firefox147</t>
        </is>
      </c>
      <c r="D4195" s="2" t="n">
        <v>1901</v>
      </c>
      <c r="E4195" s="2" t="n">
        <v>1901</v>
      </c>
      <c r="F4195" s="2" t="n">
        <v>1</v>
      </c>
      <c r="G4195" s="2" t="n">
        <v>1</v>
      </c>
      <c r="H4195" s="2" t="n">
        <v>0</v>
      </c>
      <c r="I4195" s="2" t="n">
        <v>0</v>
      </c>
    </row>
    <row r="4196">
      <c r="A4196" s="2" t="n">
        <v>4194</v>
      </c>
      <c r="B4196" s="2" t="inlineStr">
        <is>
          <t>truncate</t>
        </is>
      </c>
      <c r="C4196" s="2" t="inlineStr">
        <is>
          <t>browser chrome150</t>
        </is>
      </c>
      <c r="D4196" s="2" t="n">
        <v>1734</v>
      </c>
      <c r="E4196" s="2" t="n">
        <v>1734</v>
      </c>
      <c r="F4196" s="2" t="n">
        <v>1</v>
      </c>
      <c r="G4196" s="2" t="n">
        <v>1</v>
      </c>
      <c r="H4196" s="2" t="n">
        <v>1</v>
      </c>
      <c r="I4196" s="2" t="n">
        <v>0</v>
      </c>
    </row>
    <row r="4197">
      <c r="A4197" s="2" t="n">
        <v>4195</v>
      </c>
      <c r="B4197" s="2" t="inlineStr">
        <is>
          <t>length</t>
        </is>
      </c>
      <c r="C4197" s="2" t="inlineStr">
        <is>
          <t>openssl X25519 only (classical)</t>
        </is>
      </c>
      <c r="D4197" s="2" t="n">
        <v>314</v>
      </c>
      <c r="E4197" s="2" t="n">
        <v>314</v>
      </c>
      <c r="F4197" s="2" t="n">
        <v>1</v>
      </c>
      <c r="G4197" s="2" t="n">
        <v>1</v>
      </c>
      <c r="H4197" s="2" t="n">
        <v>1</v>
      </c>
      <c r="I4197" s="2" t="n">
        <v>0</v>
      </c>
    </row>
    <row r="4198">
      <c r="A4198" s="2" t="n">
        <v>4196</v>
      </c>
      <c r="B4198" s="2" t="inlineStr">
        <is>
          <t>insert</t>
        </is>
      </c>
      <c r="C4198" s="2" t="inlineStr">
        <is>
          <t>browser firefox147</t>
        </is>
      </c>
      <c r="D4198" s="2" t="n">
        <v>1916</v>
      </c>
      <c r="E4198" s="2" t="n">
        <v>1916</v>
      </c>
      <c r="F4198" s="2" t="n">
        <v>1</v>
      </c>
      <c r="G4198" s="2" t="n">
        <v>1</v>
      </c>
      <c r="H4198" s="2" t="n">
        <v>0</v>
      </c>
      <c r="I4198" s="2" t="n">
        <v>0</v>
      </c>
    </row>
    <row r="4199">
      <c r="A4199" s="2" t="n">
        <v>4197</v>
      </c>
      <c r="B4199" s="2" t="inlineStr">
        <is>
          <t>flip</t>
        </is>
      </c>
      <c r="C4199" s="2" t="inlineStr">
        <is>
          <t>openssl 3.5.8 default</t>
        </is>
      </c>
      <c r="D4199" s="2" t="n">
        <v>1548</v>
      </c>
      <c r="E4199" s="2" t="n">
        <v>1548</v>
      </c>
      <c r="F4199" s="2" t="n">
        <v>1</v>
      </c>
      <c r="G4199" s="2" t="n">
        <v>1</v>
      </c>
      <c r="H4199" s="2" t="n">
        <v>1</v>
      </c>
      <c r="I4199" s="2" t="n">
        <v>0</v>
      </c>
    </row>
    <row r="4200">
      <c r="A4200" s="2" t="n">
        <v>4198</v>
      </c>
      <c r="B4200" s="2" t="inlineStr">
        <is>
          <t>truncate</t>
        </is>
      </c>
      <c r="C4200" s="2" t="inlineStr">
        <is>
          <t>openssl TLS 1.2 only</t>
        </is>
      </c>
      <c r="D4200" s="2" t="n">
        <v>103</v>
      </c>
      <c r="E4200" s="2" t="n">
        <v>103</v>
      </c>
      <c r="F4200" s="2" t="n">
        <v>1</v>
      </c>
      <c r="G4200" s="2" t="n">
        <v>1</v>
      </c>
      <c r="H4200" s="2" t="n">
        <v>0</v>
      </c>
      <c r="I4200" s="2" t="n">
        <v>0</v>
      </c>
    </row>
    <row r="4201">
      <c r="A4201" s="2" t="n">
        <v>4199</v>
      </c>
      <c r="B4201" s="2" t="inlineStr">
        <is>
          <t>length</t>
        </is>
      </c>
      <c r="C4201" s="2" t="inlineStr">
        <is>
          <t>browser chrome150</t>
        </is>
      </c>
      <c r="D4201" s="2" t="n">
        <v>1763</v>
      </c>
      <c r="E4201" s="2" t="n">
        <v>1763</v>
      </c>
      <c r="F4201" s="2" t="n">
        <v>1</v>
      </c>
      <c r="G4201" s="2" t="n">
        <v>1</v>
      </c>
      <c r="H4201" s="2" t="n">
        <v>1</v>
      </c>
      <c r="I4201" s="2" t="n">
        <v>0</v>
      </c>
    </row>
    <row r="4202">
      <c r="A4202" s="2" t="n">
        <v>4200</v>
      </c>
      <c r="B4202" s="2" t="inlineStr">
        <is>
          <t>insert</t>
        </is>
      </c>
      <c r="C4202" s="2" t="inlineStr">
        <is>
          <t>openssl X25519 only (classical)</t>
        </is>
      </c>
      <c r="D4202" s="2" t="n">
        <v>329</v>
      </c>
      <c r="E4202" s="2" t="n">
        <v>329</v>
      </c>
      <c r="F4202" s="2" t="n">
        <v>1</v>
      </c>
      <c r="G4202" s="2" t="n">
        <v>1</v>
      </c>
      <c r="H4202" s="2" t="n">
        <v>1</v>
      </c>
      <c r="I4202" s="2" t="n">
        <v>0</v>
      </c>
    </row>
    <row r="4203">
      <c r="A4203" s="2" t="n">
        <v>4201</v>
      </c>
      <c r="B4203" s="2" t="inlineStr">
        <is>
          <t>flip</t>
        </is>
      </c>
      <c r="C4203" s="2" t="inlineStr">
        <is>
          <t>openssl X25519 only (classical)</t>
        </is>
      </c>
      <c r="D4203" s="2" t="n">
        <v>314</v>
      </c>
      <c r="E4203" s="2" t="n">
        <v>314</v>
      </c>
      <c r="F4203" s="2" t="n">
        <v>1</v>
      </c>
      <c r="G4203" s="2" t="n">
        <v>1</v>
      </c>
      <c r="H4203" s="2" t="n">
        <v>1</v>
      </c>
      <c r="I4203" s="2" t="n">
        <v>0</v>
      </c>
    </row>
    <row r="4204">
      <c r="A4204" s="2" t="n">
        <v>4202</v>
      </c>
      <c r="B4204" s="2" t="inlineStr">
        <is>
          <t>truncate</t>
        </is>
      </c>
      <c r="C4204" s="2" t="inlineStr">
        <is>
          <t>openssl TLS 1.2 only</t>
        </is>
      </c>
      <c r="D4204" s="2" t="n">
        <v>126</v>
      </c>
      <c r="E4204" s="2" t="n">
        <v>126</v>
      </c>
      <c r="F4204" s="2" t="n">
        <v>1</v>
      </c>
      <c r="G4204" s="2" t="n">
        <v>1</v>
      </c>
      <c r="H4204" s="2" t="n">
        <v>0</v>
      </c>
      <c r="I4204" s="2" t="n">
        <v>0</v>
      </c>
    </row>
    <row r="4205">
      <c r="A4205" s="2" t="n">
        <v>4203</v>
      </c>
      <c r="B4205" s="2" t="inlineStr">
        <is>
          <t>length</t>
        </is>
      </c>
      <c r="C4205" s="2" t="inlineStr">
        <is>
          <t>openssl X25519 only (classical)</t>
        </is>
      </c>
      <c r="D4205" s="2" t="n">
        <v>314</v>
      </c>
      <c r="E4205" s="2" t="n">
        <v>314</v>
      </c>
      <c r="F4205" s="2" t="n">
        <v>1</v>
      </c>
      <c r="G4205" s="2" t="n">
        <v>1</v>
      </c>
      <c r="H4205" s="2" t="n">
        <v>1</v>
      </c>
      <c r="I4205" s="2" t="n">
        <v>0</v>
      </c>
    </row>
    <row r="4206">
      <c r="A4206" s="2" t="n">
        <v>4204</v>
      </c>
      <c r="B4206" s="2" t="inlineStr">
        <is>
          <t>insert</t>
        </is>
      </c>
      <c r="C4206" s="2" t="inlineStr">
        <is>
          <t>browser firefox147</t>
        </is>
      </c>
      <c r="D4206" s="2" t="n">
        <v>1915</v>
      </c>
      <c r="E4206" s="2" t="n">
        <v>1915</v>
      </c>
      <c r="F4206" s="2" t="n">
        <v>1</v>
      </c>
      <c r="G4206" s="2" t="n">
        <v>1</v>
      </c>
      <c r="H4206" s="2" t="n">
        <v>0</v>
      </c>
      <c r="I4206" s="2" t="n">
        <v>0</v>
      </c>
    </row>
    <row r="4207">
      <c r="A4207" s="2" t="n">
        <v>4205</v>
      </c>
      <c r="B4207" s="2" t="inlineStr">
        <is>
          <t>flip</t>
        </is>
      </c>
      <c r="C4207" s="2" t="inlineStr">
        <is>
          <t>openssl TLS 1.2 only</t>
        </is>
      </c>
      <c r="D4207" s="2" t="n">
        <v>215</v>
      </c>
      <c r="E4207" s="2" t="n">
        <v>215</v>
      </c>
      <c r="F4207" s="2" t="n">
        <v>1</v>
      </c>
      <c r="G4207" s="2" t="n">
        <v>1</v>
      </c>
      <c r="H4207" s="2" t="n">
        <v>1</v>
      </c>
      <c r="I4207" s="2" t="n">
        <v>0</v>
      </c>
    </row>
    <row r="4208">
      <c r="A4208" s="2" t="n">
        <v>4206</v>
      </c>
      <c r="B4208" s="2" t="inlineStr">
        <is>
          <t>truncate</t>
        </is>
      </c>
      <c r="C4208" s="2" t="inlineStr">
        <is>
          <t>browser chrome150</t>
        </is>
      </c>
      <c r="D4208" s="2" t="n">
        <v>989</v>
      </c>
      <c r="E4208" s="2" t="n">
        <v>989</v>
      </c>
      <c r="F4208" s="2" t="n">
        <v>1</v>
      </c>
      <c r="G4208" s="2" t="n">
        <v>1</v>
      </c>
      <c r="H4208" s="2" t="n">
        <v>1</v>
      </c>
      <c r="I4208" s="2" t="n">
        <v>0</v>
      </c>
    </row>
    <row r="4209">
      <c r="A4209" s="2" t="n">
        <v>4207</v>
      </c>
      <c r="B4209" s="2" t="inlineStr">
        <is>
          <t>length</t>
        </is>
      </c>
      <c r="C4209" s="2" t="inlineStr">
        <is>
          <t>openssl 3.5.8 default</t>
        </is>
      </c>
      <c r="D4209" s="2" t="n">
        <v>1548</v>
      </c>
      <c r="E4209" s="2" t="n">
        <v>1548</v>
      </c>
      <c r="F4209" s="2" t="n">
        <v>1</v>
      </c>
      <c r="G4209" s="2" t="n">
        <v>1</v>
      </c>
      <c r="H4209" s="2" t="n">
        <v>1</v>
      </c>
      <c r="I4209" s="2" t="n">
        <v>0</v>
      </c>
    </row>
    <row r="4210">
      <c r="A4210" s="2" t="n">
        <v>4208</v>
      </c>
      <c r="B4210" s="2" t="inlineStr">
        <is>
          <t>insert</t>
        </is>
      </c>
      <c r="C4210" s="2" t="inlineStr">
        <is>
          <t>browser firefox147</t>
        </is>
      </c>
      <c r="D4210" s="2" t="n">
        <v>1913</v>
      </c>
      <c r="E4210" s="2" t="n">
        <v>1913</v>
      </c>
      <c r="F4210" s="2" t="n">
        <v>1</v>
      </c>
      <c r="G4210" s="2" t="n">
        <v>1</v>
      </c>
      <c r="H4210" s="2" t="n">
        <v>0</v>
      </c>
      <c r="I4210" s="2" t="n">
        <v>0</v>
      </c>
    </row>
    <row r="4211">
      <c r="A4211" s="2" t="n">
        <v>4209</v>
      </c>
      <c r="B4211" s="2" t="inlineStr">
        <is>
          <t>flip</t>
        </is>
      </c>
      <c r="C4211" s="2" t="inlineStr">
        <is>
          <t>openssl 3.5.8 default</t>
        </is>
      </c>
      <c r="D4211" s="2" t="n">
        <v>1548</v>
      </c>
      <c r="E4211" s="2" t="n">
        <v>1548</v>
      </c>
      <c r="F4211" s="2" t="n">
        <v>1</v>
      </c>
      <c r="G4211" s="2" t="n">
        <v>1</v>
      </c>
      <c r="H4211" s="2" t="n">
        <v>1</v>
      </c>
      <c r="I4211" s="2" t="n">
        <v>0</v>
      </c>
    </row>
    <row r="4212">
      <c r="A4212" s="2" t="n">
        <v>4210</v>
      </c>
      <c r="B4212" s="2" t="inlineStr">
        <is>
          <t>truncate</t>
        </is>
      </c>
      <c r="C4212" s="2" t="inlineStr">
        <is>
          <t>openssl X25519 only (classical)</t>
        </is>
      </c>
      <c r="D4212" s="2" t="n">
        <v>37</v>
      </c>
      <c r="E4212" s="2" t="n">
        <v>37</v>
      </c>
      <c r="F4212" s="2" t="n">
        <v>1</v>
      </c>
      <c r="G4212" s="2" t="n">
        <v>0</v>
      </c>
      <c r="H4212" s="2" t="n">
        <v>0</v>
      </c>
      <c r="I4212" s="2" t="n">
        <v>0</v>
      </c>
    </row>
    <row r="4213">
      <c r="A4213" s="2" t="n">
        <v>4211</v>
      </c>
      <c r="B4213" s="2" t="inlineStr">
        <is>
          <t>length</t>
        </is>
      </c>
      <c r="C4213" s="2" t="inlineStr">
        <is>
          <t>browser firefox147</t>
        </is>
      </c>
      <c r="D4213" s="2" t="n">
        <v>1901</v>
      </c>
      <c r="E4213" s="2" t="n">
        <v>1901</v>
      </c>
      <c r="F4213" s="2" t="n">
        <v>1</v>
      </c>
      <c r="G4213" s="2" t="n">
        <v>1</v>
      </c>
      <c r="H4213" s="2" t="n">
        <v>0</v>
      </c>
      <c r="I4213" s="2" t="n">
        <v>0</v>
      </c>
    </row>
    <row r="4214">
      <c r="A4214" s="2" t="n">
        <v>4212</v>
      </c>
      <c r="B4214" s="2" t="inlineStr">
        <is>
          <t>insert</t>
        </is>
      </c>
      <c r="C4214" s="2" t="inlineStr">
        <is>
          <t>browser chrome150</t>
        </is>
      </c>
      <c r="D4214" s="2" t="n">
        <v>1770</v>
      </c>
      <c r="E4214" s="2" t="n">
        <v>1770</v>
      </c>
      <c r="F4214" s="2" t="n">
        <v>1</v>
      </c>
      <c r="G4214" s="2" t="n">
        <v>1</v>
      </c>
      <c r="H4214" s="2" t="n">
        <v>1</v>
      </c>
      <c r="I4214" s="2" t="n">
        <v>0</v>
      </c>
    </row>
    <row r="4215">
      <c r="A4215" s="2" t="n">
        <v>4213</v>
      </c>
      <c r="B4215" s="2" t="inlineStr">
        <is>
          <t>flip</t>
        </is>
      </c>
      <c r="C4215" s="2" t="inlineStr">
        <is>
          <t>openssl X25519 only (classical)</t>
        </is>
      </c>
      <c r="D4215" s="2" t="n">
        <v>314</v>
      </c>
      <c r="E4215" s="2" t="n">
        <v>314</v>
      </c>
      <c r="F4215" s="2" t="n">
        <v>1</v>
      </c>
      <c r="G4215" s="2" t="n">
        <v>1</v>
      </c>
      <c r="H4215" s="2" t="n">
        <v>1</v>
      </c>
      <c r="I4215" s="2" t="n">
        <v>0</v>
      </c>
    </row>
    <row r="4216">
      <c r="A4216" s="2" t="n">
        <v>4214</v>
      </c>
      <c r="B4216" s="2" t="inlineStr">
        <is>
          <t>truncate</t>
        </is>
      </c>
      <c r="C4216" s="2" t="inlineStr">
        <is>
          <t>openssl TLS 1.2 only</t>
        </is>
      </c>
      <c r="D4216" s="2" t="n">
        <v>180</v>
      </c>
      <c r="E4216" s="2" t="n">
        <v>180</v>
      </c>
      <c r="F4216" s="2" t="n">
        <v>1</v>
      </c>
      <c r="G4216" s="2" t="n">
        <v>1</v>
      </c>
      <c r="H4216" s="2" t="n">
        <v>1</v>
      </c>
      <c r="I4216" s="2" t="n">
        <v>0</v>
      </c>
    </row>
    <row r="4217">
      <c r="A4217" s="2" t="n">
        <v>4215</v>
      </c>
      <c r="B4217" s="2" t="inlineStr">
        <is>
          <t>length</t>
        </is>
      </c>
      <c r="C4217" s="2" t="inlineStr">
        <is>
          <t>browser chrome150</t>
        </is>
      </c>
      <c r="D4217" s="2" t="n">
        <v>1763</v>
      </c>
      <c r="E4217" s="2" t="n">
        <v>1763</v>
      </c>
      <c r="F4217" s="2" t="n">
        <v>1</v>
      </c>
      <c r="G4217" s="2" t="n">
        <v>1</v>
      </c>
      <c r="H4217" s="2" t="n">
        <v>1</v>
      </c>
      <c r="I4217" s="2" t="n">
        <v>0</v>
      </c>
    </row>
    <row r="4218">
      <c r="A4218" s="2" t="n">
        <v>4216</v>
      </c>
      <c r="B4218" s="2" t="inlineStr">
        <is>
          <t>insert</t>
        </is>
      </c>
      <c r="C4218" s="2" t="inlineStr">
        <is>
          <t>openssl 3.5.8 default</t>
        </is>
      </c>
      <c r="D4218" s="2" t="n">
        <v>1564</v>
      </c>
      <c r="E4218" s="2" t="n">
        <v>1564</v>
      </c>
      <c r="F4218" s="2" t="n">
        <v>1</v>
      </c>
      <c r="G4218" s="2" t="n">
        <v>1</v>
      </c>
      <c r="H4218" s="2" t="n">
        <v>1</v>
      </c>
      <c r="I4218" s="2" t="n">
        <v>0</v>
      </c>
    </row>
    <row r="4219">
      <c r="A4219" s="2" t="n">
        <v>4217</v>
      </c>
      <c r="B4219" s="2" t="inlineStr">
        <is>
          <t>flip</t>
        </is>
      </c>
      <c r="C4219" s="2" t="inlineStr">
        <is>
          <t>browser firefox147</t>
        </is>
      </c>
      <c r="D4219" s="2" t="n">
        <v>1901</v>
      </c>
      <c r="E4219" s="2" t="n">
        <v>1901</v>
      </c>
      <c r="F4219" s="2" t="n">
        <v>1</v>
      </c>
      <c r="G4219" s="2" t="n">
        <v>1</v>
      </c>
      <c r="H4219" s="2" t="n">
        <v>0</v>
      </c>
      <c r="I4219" s="2" t="n">
        <v>0</v>
      </c>
    </row>
    <row r="4220">
      <c r="A4220" s="2" t="n">
        <v>4218</v>
      </c>
      <c r="B4220" s="2" t="inlineStr">
        <is>
          <t>truncate</t>
        </is>
      </c>
      <c r="C4220" s="2" t="inlineStr">
        <is>
          <t>browser chrome150</t>
        </is>
      </c>
      <c r="D4220" s="2" t="n">
        <v>715</v>
      </c>
      <c r="E4220" s="2" t="n">
        <v>715</v>
      </c>
      <c r="F4220" s="2" t="n">
        <v>1</v>
      </c>
      <c r="G4220" s="2" t="n">
        <v>1</v>
      </c>
      <c r="H4220" s="2" t="n">
        <v>1</v>
      </c>
      <c r="I4220" s="2" t="n">
        <v>0</v>
      </c>
    </row>
    <row r="4221">
      <c r="A4221" s="2" t="n">
        <v>4219</v>
      </c>
      <c r="B4221" s="2" t="inlineStr">
        <is>
          <t>length</t>
        </is>
      </c>
      <c r="C4221" s="2" t="inlineStr">
        <is>
          <t>openssl TLS 1.2 only</t>
        </is>
      </c>
      <c r="D4221" s="2" t="n">
        <v>215</v>
      </c>
      <c r="E4221" s="2" t="n">
        <v>215</v>
      </c>
      <c r="F4221" s="2" t="n">
        <v>1</v>
      </c>
      <c r="G4221" s="2" t="n">
        <v>1</v>
      </c>
      <c r="H4221" s="2" t="n">
        <v>1</v>
      </c>
      <c r="I4221" s="2" t="n">
        <v>0</v>
      </c>
    </row>
    <row r="4222">
      <c r="A4222" s="2" t="n">
        <v>4220</v>
      </c>
      <c r="B4222" s="2" t="inlineStr">
        <is>
          <t>insert</t>
        </is>
      </c>
      <c r="C4222" s="2" t="inlineStr">
        <is>
          <t>openssl 3.5.8 default</t>
        </is>
      </c>
      <c r="D4222" s="2" t="n">
        <v>1550</v>
      </c>
      <c r="E4222" s="2" t="n">
        <v>1550</v>
      </c>
      <c r="F4222" s="2" t="n">
        <v>1</v>
      </c>
      <c r="G4222" s="2" t="n">
        <v>1</v>
      </c>
      <c r="H4222" s="2" t="n">
        <v>1</v>
      </c>
      <c r="I4222" s="2" t="n">
        <v>0</v>
      </c>
    </row>
    <row r="4223">
      <c r="A4223" s="2" t="n">
        <v>4221</v>
      </c>
      <c r="B4223" s="2" t="inlineStr">
        <is>
          <t>flip</t>
        </is>
      </c>
      <c r="C4223" s="2" t="inlineStr">
        <is>
          <t>openssl X25519 only (classical)</t>
        </is>
      </c>
      <c r="D4223" s="2" t="n">
        <v>314</v>
      </c>
      <c r="E4223" s="2" t="n">
        <v>314</v>
      </c>
      <c r="F4223" s="2" t="n">
        <v>1</v>
      </c>
      <c r="G4223" s="2" t="n">
        <v>1</v>
      </c>
      <c r="H4223" s="2" t="n">
        <v>1</v>
      </c>
      <c r="I4223" s="2" t="n">
        <v>0</v>
      </c>
    </row>
    <row r="4224">
      <c r="A4224" s="2" t="n">
        <v>4222</v>
      </c>
      <c r="B4224" s="2" t="inlineStr">
        <is>
          <t>truncate</t>
        </is>
      </c>
      <c r="C4224" s="2" t="inlineStr">
        <is>
          <t>browser chrome150</t>
        </is>
      </c>
      <c r="D4224" s="2" t="n">
        <v>1101</v>
      </c>
      <c r="E4224" s="2" t="n">
        <v>1101</v>
      </c>
      <c r="F4224" s="2" t="n">
        <v>1</v>
      </c>
      <c r="G4224" s="2" t="n">
        <v>1</v>
      </c>
      <c r="H4224" s="2" t="n">
        <v>1</v>
      </c>
      <c r="I4224" s="2" t="n">
        <v>0</v>
      </c>
    </row>
    <row r="4225">
      <c r="A4225" s="2" t="n">
        <v>4223</v>
      </c>
      <c r="B4225" s="2" t="inlineStr">
        <is>
          <t>length</t>
        </is>
      </c>
      <c r="C4225" s="2" t="inlineStr">
        <is>
          <t>browser firefox147</t>
        </is>
      </c>
      <c r="D4225" s="2" t="n">
        <v>1901</v>
      </c>
      <c r="E4225" s="2" t="n">
        <v>1901</v>
      </c>
      <c r="F4225" s="2" t="n">
        <v>1</v>
      </c>
      <c r="G4225" s="2" t="n">
        <v>1</v>
      </c>
      <c r="H4225" s="2" t="n">
        <v>1</v>
      </c>
      <c r="I4225" s="2" t="n">
        <v>0</v>
      </c>
    </row>
    <row r="4226">
      <c r="A4226" s="2" t="n">
        <v>4224</v>
      </c>
      <c r="B4226" s="2" t="inlineStr">
        <is>
          <t>insert</t>
        </is>
      </c>
      <c r="C4226" s="2" t="inlineStr">
        <is>
          <t>openssl X25519 only (classical)</t>
        </is>
      </c>
      <c r="D4226" s="2" t="n">
        <v>325</v>
      </c>
      <c r="E4226" s="2" t="n">
        <v>325</v>
      </c>
      <c r="F4226" s="2" t="n">
        <v>1</v>
      </c>
      <c r="G4226" s="2" t="n">
        <v>1</v>
      </c>
      <c r="H4226" s="2" t="n">
        <v>1</v>
      </c>
      <c r="I4226" s="2" t="n">
        <v>0</v>
      </c>
    </row>
    <row r="4227">
      <c r="A4227" s="2" t="n">
        <v>4225</v>
      </c>
      <c r="B4227" s="2" t="inlineStr">
        <is>
          <t>flip</t>
        </is>
      </c>
      <c r="C4227" s="2" t="inlineStr">
        <is>
          <t>browser firefox147</t>
        </is>
      </c>
      <c r="D4227" s="2" t="n">
        <v>1901</v>
      </c>
      <c r="E4227" s="2" t="n">
        <v>1901</v>
      </c>
      <c r="F4227" s="2" t="n">
        <v>1</v>
      </c>
      <c r="G4227" s="2" t="n">
        <v>1</v>
      </c>
      <c r="H4227" s="2" t="n">
        <v>0</v>
      </c>
      <c r="I4227" s="2" t="n">
        <v>0</v>
      </c>
    </row>
    <row r="4228">
      <c r="A4228" s="2" t="n">
        <v>4226</v>
      </c>
      <c r="B4228" s="2" t="inlineStr">
        <is>
          <t>truncate</t>
        </is>
      </c>
      <c r="C4228" s="2" t="inlineStr">
        <is>
          <t>browser chrome150</t>
        </is>
      </c>
      <c r="D4228" s="2" t="n">
        <v>706</v>
      </c>
      <c r="E4228" s="2" t="n">
        <v>706</v>
      </c>
      <c r="F4228" s="2" t="n">
        <v>1</v>
      </c>
      <c r="G4228" s="2" t="n">
        <v>1</v>
      </c>
      <c r="H4228" s="2" t="n">
        <v>1</v>
      </c>
      <c r="I4228" s="2" t="n">
        <v>0</v>
      </c>
    </row>
    <row r="4229">
      <c r="A4229" s="2" t="n">
        <v>4227</v>
      </c>
      <c r="B4229" s="2" t="inlineStr">
        <is>
          <t>length</t>
        </is>
      </c>
      <c r="C4229" s="2" t="inlineStr">
        <is>
          <t>browser chrome150</t>
        </is>
      </c>
      <c r="D4229" s="2" t="n">
        <v>1763</v>
      </c>
      <c r="E4229" s="2" t="n">
        <v>1763</v>
      </c>
      <c r="F4229" s="2" t="n">
        <v>1</v>
      </c>
      <c r="G4229" s="2" t="n">
        <v>1</v>
      </c>
      <c r="H4229" s="2" t="n">
        <v>1</v>
      </c>
      <c r="I4229" s="2" t="n">
        <v>0</v>
      </c>
    </row>
    <row r="4230">
      <c r="A4230" s="2" t="n">
        <v>4228</v>
      </c>
      <c r="B4230" s="2" t="inlineStr">
        <is>
          <t>insert</t>
        </is>
      </c>
      <c r="C4230" s="2" t="inlineStr">
        <is>
          <t>browser chrome150</t>
        </is>
      </c>
      <c r="D4230" s="2" t="n">
        <v>1771</v>
      </c>
      <c r="E4230" s="2" t="n">
        <v>1771</v>
      </c>
      <c r="F4230" s="2" t="n">
        <v>1</v>
      </c>
      <c r="G4230" s="2" t="n">
        <v>1</v>
      </c>
      <c r="H4230" s="2" t="n">
        <v>1</v>
      </c>
      <c r="I4230" s="2" t="n">
        <v>0</v>
      </c>
    </row>
    <row r="4231">
      <c r="A4231" s="2" t="n">
        <v>4229</v>
      </c>
      <c r="B4231" s="2" t="inlineStr">
        <is>
          <t>flip</t>
        </is>
      </c>
      <c r="C4231" s="2" t="inlineStr">
        <is>
          <t>openssl X25519 only (classical)</t>
        </is>
      </c>
      <c r="D4231" s="2" t="n">
        <v>314</v>
      </c>
      <c r="E4231" s="2" t="n">
        <v>314</v>
      </c>
      <c r="F4231" s="2" t="n">
        <v>1</v>
      </c>
      <c r="G4231" s="2" t="n">
        <v>1</v>
      </c>
      <c r="H4231" s="2" t="n">
        <v>1</v>
      </c>
      <c r="I4231" s="2" t="n">
        <v>0</v>
      </c>
    </row>
    <row r="4232">
      <c r="A4232" s="2" t="n">
        <v>4230</v>
      </c>
      <c r="B4232" s="2" t="inlineStr">
        <is>
          <t>truncate</t>
        </is>
      </c>
      <c r="C4232" s="2" t="inlineStr">
        <is>
          <t>browser firefox147</t>
        </is>
      </c>
      <c r="D4232" s="2" t="n">
        <v>1225</v>
      </c>
      <c r="E4232" s="2" t="n">
        <v>1225</v>
      </c>
      <c r="F4232" s="2" t="n">
        <v>1</v>
      </c>
      <c r="G4232" s="2" t="n">
        <v>1</v>
      </c>
      <c r="H4232" s="2" t="n">
        <v>0</v>
      </c>
      <c r="I4232" s="2" t="n">
        <v>0</v>
      </c>
    </row>
    <row r="4233">
      <c r="A4233" s="2" t="n">
        <v>4231</v>
      </c>
      <c r="B4233" s="2" t="inlineStr">
        <is>
          <t>length</t>
        </is>
      </c>
      <c r="C4233" s="2" t="inlineStr">
        <is>
          <t>browser firefox147</t>
        </is>
      </c>
      <c r="D4233" s="2" t="n">
        <v>1901</v>
      </c>
      <c r="E4233" s="2" t="n">
        <v>1901</v>
      </c>
      <c r="F4233" s="2" t="n">
        <v>1</v>
      </c>
      <c r="G4233" s="2" t="n">
        <v>1</v>
      </c>
      <c r="H4233" s="2" t="n">
        <v>0</v>
      </c>
      <c r="I4233" s="2" t="n">
        <v>0</v>
      </c>
    </row>
    <row r="4234">
      <c r="A4234" s="2" t="n">
        <v>4232</v>
      </c>
      <c r="B4234" s="2" t="inlineStr">
        <is>
          <t>insert</t>
        </is>
      </c>
      <c r="C4234" s="2" t="inlineStr">
        <is>
          <t>browser firefox147</t>
        </is>
      </c>
      <c r="D4234" s="2" t="n">
        <v>1914</v>
      </c>
      <c r="E4234" s="2" t="n">
        <v>1914</v>
      </c>
      <c r="F4234" s="2" t="n">
        <v>1</v>
      </c>
      <c r="G4234" s="2" t="n">
        <v>1</v>
      </c>
      <c r="H4234" s="2" t="n">
        <v>0</v>
      </c>
      <c r="I4234" s="2" t="n">
        <v>0</v>
      </c>
    </row>
    <row r="4235">
      <c r="A4235" s="2" t="n">
        <v>4233</v>
      </c>
      <c r="B4235" s="2" t="inlineStr">
        <is>
          <t>flip</t>
        </is>
      </c>
      <c r="C4235" s="2" t="inlineStr">
        <is>
          <t>browser chrome150</t>
        </is>
      </c>
      <c r="D4235" s="2" t="n">
        <v>1763</v>
      </c>
      <c r="E4235" s="2" t="n">
        <v>1763</v>
      </c>
      <c r="F4235" s="2" t="n">
        <v>1</v>
      </c>
      <c r="G4235" s="2" t="n">
        <v>1</v>
      </c>
      <c r="H4235" s="2" t="n">
        <v>1</v>
      </c>
      <c r="I4235" s="2" t="n">
        <v>0</v>
      </c>
    </row>
    <row r="4236">
      <c r="A4236" s="2" t="n">
        <v>4234</v>
      </c>
      <c r="B4236" s="2" t="inlineStr">
        <is>
          <t>truncate</t>
        </is>
      </c>
      <c r="C4236" s="2" t="inlineStr">
        <is>
          <t>openssl X25519 only (classical)</t>
        </is>
      </c>
      <c r="D4236" s="2" t="n">
        <v>182</v>
      </c>
      <c r="E4236" s="2" t="n">
        <v>182</v>
      </c>
      <c r="F4236" s="2" t="n">
        <v>1</v>
      </c>
      <c r="G4236" s="2" t="n">
        <v>1</v>
      </c>
      <c r="H4236" s="2" t="n">
        <v>0</v>
      </c>
      <c r="I4236" s="2" t="n">
        <v>0</v>
      </c>
    </row>
    <row r="4237">
      <c r="A4237" s="2" t="n">
        <v>4235</v>
      </c>
      <c r="B4237" s="2" t="inlineStr">
        <is>
          <t>length</t>
        </is>
      </c>
      <c r="C4237" s="2" t="inlineStr">
        <is>
          <t>browser firefox147</t>
        </is>
      </c>
      <c r="D4237" s="2" t="n">
        <v>1901</v>
      </c>
      <c r="E4237" s="2" t="n">
        <v>1901</v>
      </c>
      <c r="F4237" s="2" t="n">
        <v>1</v>
      </c>
      <c r="G4237" s="2" t="n">
        <v>1</v>
      </c>
      <c r="H4237" s="2" t="n">
        <v>0</v>
      </c>
      <c r="I4237" s="2" t="n">
        <v>0</v>
      </c>
    </row>
    <row r="4238">
      <c r="A4238" s="2" t="n">
        <v>4236</v>
      </c>
      <c r="B4238" s="2" t="inlineStr">
        <is>
          <t>insert</t>
        </is>
      </c>
      <c r="C4238" s="2" t="inlineStr">
        <is>
          <t>browser chrome150</t>
        </is>
      </c>
      <c r="D4238" s="2" t="n">
        <v>1766</v>
      </c>
      <c r="E4238" s="2" t="n">
        <v>1766</v>
      </c>
      <c r="F4238" s="2" t="n">
        <v>1</v>
      </c>
      <c r="G4238" s="2" t="n">
        <v>1</v>
      </c>
      <c r="H4238" s="2" t="n">
        <v>1</v>
      </c>
      <c r="I4238" s="2" t="n">
        <v>0</v>
      </c>
    </row>
    <row r="4239">
      <c r="A4239" s="2" t="n">
        <v>4237</v>
      </c>
      <c r="B4239" s="2" t="inlineStr">
        <is>
          <t>flip</t>
        </is>
      </c>
      <c r="C4239" s="2" t="inlineStr">
        <is>
          <t>openssl X25519 only (classical)</t>
        </is>
      </c>
      <c r="D4239" s="2" t="n">
        <v>314</v>
      </c>
      <c r="E4239" s="2" t="n">
        <v>314</v>
      </c>
      <c r="F4239" s="2" t="n">
        <v>1</v>
      </c>
      <c r="G4239" s="2" t="n">
        <v>1</v>
      </c>
      <c r="H4239" s="2" t="n">
        <v>1</v>
      </c>
      <c r="I4239" s="2" t="n">
        <v>0</v>
      </c>
    </row>
    <row r="4240">
      <c r="A4240" s="2" t="n">
        <v>4238</v>
      </c>
      <c r="B4240" s="2" t="inlineStr">
        <is>
          <t>truncate</t>
        </is>
      </c>
      <c r="C4240" s="2" t="inlineStr">
        <is>
          <t>openssl 3.5.8 default</t>
        </is>
      </c>
      <c r="D4240" s="2" t="n">
        <v>455</v>
      </c>
      <c r="E4240" s="2" t="n">
        <v>455</v>
      </c>
      <c r="F4240" s="2" t="n">
        <v>1</v>
      </c>
      <c r="G4240" s="2" t="n">
        <v>1</v>
      </c>
      <c r="H4240" s="2" t="n">
        <v>1</v>
      </c>
      <c r="I4240" s="2" t="n">
        <v>0</v>
      </c>
    </row>
    <row r="4241">
      <c r="A4241" s="2" t="n">
        <v>4239</v>
      </c>
      <c r="B4241" s="2" t="inlineStr">
        <is>
          <t>length</t>
        </is>
      </c>
      <c r="C4241" s="2" t="inlineStr">
        <is>
          <t>openssl TLS 1.2 only</t>
        </is>
      </c>
      <c r="D4241" s="2" t="n">
        <v>215</v>
      </c>
      <c r="E4241" s="2" t="n">
        <v>215</v>
      </c>
      <c r="F4241" s="2" t="n">
        <v>1</v>
      </c>
      <c r="G4241" s="2" t="n">
        <v>1</v>
      </c>
      <c r="H4241" s="2" t="n">
        <v>1</v>
      </c>
      <c r="I4241" s="2" t="n">
        <v>0</v>
      </c>
    </row>
    <row r="4242">
      <c r="A4242" s="2" t="n">
        <v>4240</v>
      </c>
      <c r="B4242" s="2" t="inlineStr">
        <is>
          <t>insert</t>
        </is>
      </c>
      <c r="C4242" s="2" t="inlineStr">
        <is>
          <t>openssl 3.5.8 default</t>
        </is>
      </c>
      <c r="D4242" s="2" t="n">
        <v>1549</v>
      </c>
      <c r="E4242" s="2" t="n">
        <v>1549</v>
      </c>
      <c r="F4242" s="2" t="n">
        <v>1</v>
      </c>
      <c r="G4242" s="2" t="n">
        <v>1</v>
      </c>
      <c r="H4242" s="2" t="n">
        <v>1</v>
      </c>
      <c r="I4242" s="2" t="n">
        <v>0</v>
      </c>
    </row>
    <row r="4243">
      <c r="A4243" s="2" t="n">
        <v>4241</v>
      </c>
      <c r="B4243" s="2" t="inlineStr">
        <is>
          <t>flip</t>
        </is>
      </c>
      <c r="C4243" s="2" t="inlineStr">
        <is>
          <t>openssl X25519 only (classical)</t>
        </is>
      </c>
      <c r="D4243" s="2" t="n">
        <v>314</v>
      </c>
      <c r="E4243" s="2" t="n">
        <v>314</v>
      </c>
      <c r="F4243" s="2" t="n">
        <v>1</v>
      </c>
      <c r="G4243" s="2" t="n">
        <v>1</v>
      </c>
      <c r="H4243" s="2" t="n">
        <v>1</v>
      </c>
      <c r="I4243" s="2" t="n">
        <v>0</v>
      </c>
    </row>
    <row r="4244">
      <c r="A4244" s="2" t="n">
        <v>4242</v>
      </c>
      <c r="B4244" s="2" t="inlineStr">
        <is>
          <t>truncate</t>
        </is>
      </c>
      <c r="C4244" s="2" t="inlineStr">
        <is>
          <t>openssl TLS 1.2 only</t>
        </is>
      </c>
      <c r="D4244" s="2" t="n">
        <v>202</v>
      </c>
      <c r="E4244" s="2" t="n">
        <v>202</v>
      </c>
      <c r="F4244" s="2" t="n">
        <v>1</v>
      </c>
      <c r="G4244" s="2" t="n">
        <v>1</v>
      </c>
      <c r="H4244" s="2" t="n">
        <v>1</v>
      </c>
      <c r="I4244" s="2" t="n">
        <v>0</v>
      </c>
    </row>
    <row r="4245">
      <c r="A4245" s="2" t="n">
        <v>4243</v>
      </c>
      <c r="B4245" s="2" t="inlineStr">
        <is>
          <t>length</t>
        </is>
      </c>
      <c r="C4245" s="2" t="inlineStr">
        <is>
          <t>openssl TLS 1.2 only</t>
        </is>
      </c>
      <c r="D4245" s="2" t="n">
        <v>215</v>
      </c>
      <c r="E4245" s="2" t="n">
        <v>215</v>
      </c>
      <c r="F4245" s="2" t="n">
        <v>1</v>
      </c>
      <c r="G4245" s="2" t="n">
        <v>0</v>
      </c>
      <c r="H4245" s="2" t="n">
        <v>0</v>
      </c>
      <c r="I4245" s="2" t="n">
        <v>0</v>
      </c>
    </row>
    <row r="4246">
      <c r="A4246" s="2" t="n">
        <v>4244</v>
      </c>
      <c r="B4246" s="2" t="inlineStr">
        <is>
          <t>insert</t>
        </is>
      </c>
      <c r="C4246" s="2" t="inlineStr">
        <is>
          <t>openssl TLS 1.2 only</t>
        </is>
      </c>
      <c r="D4246" s="2" t="n">
        <v>224</v>
      </c>
      <c r="E4246" s="2" t="n">
        <v>224</v>
      </c>
      <c r="F4246" s="2" t="n">
        <v>1</v>
      </c>
      <c r="G4246" s="2" t="n">
        <v>1</v>
      </c>
      <c r="H4246" s="2" t="n">
        <v>1</v>
      </c>
      <c r="I4246" s="2" t="n">
        <v>0</v>
      </c>
    </row>
    <row r="4247">
      <c r="A4247" s="2" t="n">
        <v>4245</v>
      </c>
      <c r="B4247" s="2" t="inlineStr">
        <is>
          <t>flip</t>
        </is>
      </c>
      <c r="C4247" s="2" t="inlineStr">
        <is>
          <t>openssl TLS 1.2 only</t>
        </is>
      </c>
      <c r="D4247" s="2" t="n">
        <v>215</v>
      </c>
      <c r="E4247" s="2" t="n">
        <v>215</v>
      </c>
      <c r="F4247" s="2" t="n">
        <v>1</v>
      </c>
      <c r="G4247" s="2" t="n">
        <v>1</v>
      </c>
      <c r="H4247" s="2" t="n">
        <v>1</v>
      </c>
      <c r="I4247" s="2" t="n">
        <v>0</v>
      </c>
    </row>
    <row r="4248">
      <c r="A4248" s="2" t="n">
        <v>4246</v>
      </c>
      <c r="B4248" s="2" t="inlineStr">
        <is>
          <t>truncate</t>
        </is>
      </c>
      <c r="C4248" s="2" t="inlineStr">
        <is>
          <t>browser chrome150</t>
        </is>
      </c>
      <c r="D4248" s="2" t="n">
        <v>1512</v>
      </c>
      <c r="E4248" s="2" t="n">
        <v>1512</v>
      </c>
      <c r="F4248" s="2" t="n">
        <v>1</v>
      </c>
      <c r="G4248" s="2" t="n">
        <v>1</v>
      </c>
      <c r="H4248" s="2" t="n">
        <v>1</v>
      </c>
      <c r="I4248" s="2" t="n">
        <v>0</v>
      </c>
    </row>
    <row r="4249">
      <c r="A4249" s="2" t="n">
        <v>4247</v>
      </c>
      <c r="B4249" s="2" t="inlineStr">
        <is>
          <t>length</t>
        </is>
      </c>
      <c r="C4249" s="2" t="inlineStr">
        <is>
          <t>browser chrome150</t>
        </is>
      </c>
      <c r="D4249" s="2" t="n">
        <v>1763</v>
      </c>
      <c r="E4249" s="2" t="n">
        <v>1763</v>
      </c>
      <c r="F4249" s="2" t="n">
        <v>1</v>
      </c>
      <c r="G4249" s="2" t="n">
        <v>1</v>
      </c>
      <c r="H4249" s="2" t="n">
        <v>1</v>
      </c>
      <c r="I4249" s="2" t="n">
        <v>0</v>
      </c>
    </row>
    <row r="4250">
      <c r="A4250" s="2" t="n">
        <v>4248</v>
      </c>
      <c r="B4250" s="2" t="inlineStr">
        <is>
          <t>insert</t>
        </is>
      </c>
      <c r="C4250" s="2" t="inlineStr">
        <is>
          <t>browser chrome150</t>
        </is>
      </c>
      <c r="D4250" s="2" t="n">
        <v>1778</v>
      </c>
      <c r="E4250" s="2" t="n">
        <v>1778</v>
      </c>
      <c r="F4250" s="2" t="n">
        <v>1</v>
      </c>
      <c r="G4250" s="2" t="n">
        <v>1</v>
      </c>
      <c r="H4250" s="2" t="n">
        <v>1</v>
      </c>
      <c r="I4250" s="2" t="n">
        <v>0</v>
      </c>
    </row>
    <row r="4251">
      <c r="A4251" s="2" t="n">
        <v>4249</v>
      </c>
      <c r="B4251" s="2" t="inlineStr">
        <is>
          <t>flip</t>
        </is>
      </c>
      <c r="C4251" s="2" t="inlineStr">
        <is>
          <t>openssl X25519 only (classical)</t>
        </is>
      </c>
      <c r="D4251" s="2" t="n">
        <v>314</v>
      </c>
      <c r="E4251" s="2" t="n">
        <v>314</v>
      </c>
      <c r="F4251" s="2" t="n">
        <v>1</v>
      </c>
      <c r="G4251" s="2" t="n">
        <v>1</v>
      </c>
      <c r="H4251" s="2" t="n">
        <v>1</v>
      </c>
      <c r="I4251" s="2" t="n">
        <v>0</v>
      </c>
    </row>
    <row r="4252">
      <c r="A4252" s="2" t="n">
        <v>4250</v>
      </c>
      <c r="B4252" s="2" t="inlineStr">
        <is>
          <t>truncate</t>
        </is>
      </c>
      <c r="C4252" s="2" t="inlineStr">
        <is>
          <t>openssl 3.5.8 default</t>
        </is>
      </c>
      <c r="D4252" s="2" t="n">
        <v>1391</v>
      </c>
      <c r="E4252" s="2" t="n">
        <v>1391</v>
      </c>
      <c r="F4252" s="2" t="n">
        <v>1</v>
      </c>
      <c r="G4252" s="2" t="n">
        <v>1</v>
      </c>
      <c r="H4252" s="2" t="n">
        <v>1</v>
      </c>
      <c r="I4252" s="2" t="n">
        <v>0</v>
      </c>
    </row>
    <row r="4253">
      <c r="A4253" s="2" t="n">
        <v>4251</v>
      </c>
      <c r="B4253" s="2" t="inlineStr">
        <is>
          <t>length</t>
        </is>
      </c>
      <c r="C4253" s="2" t="inlineStr">
        <is>
          <t>openssl X25519 only (classical)</t>
        </is>
      </c>
      <c r="D4253" s="2" t="n">
        <v>314</v>
      </c>
      <c r="E4253" s="2" t="n">
        <v>314</v>
      </c>
      <c r="F4253" s="2" t="n">
        <v>1</v>
      </c>
      <c r="G4253" s="2" t="n">
        <v>1</v>
      </c>
      <c r="H4253" s="2" t="n">
        <v>1</v>
      </c>
      <c r="I4253" s="2" t="n">
        <v>0</v>
      </c>
    </row>
    <row r="4254">
      <c r="A4254" s="2" t="n">
        <v>4252</v>
      </c>
      <c r="B4254" s="2" t="inlineStr">
        <is>
          <t>insert</t>
        </is>
      </c>
      <c r="C4254" s="2" t="inlineStr">
        <is>
          <t>browser firefox147</t>
        </is>
      </c>
      <c r="D4254" s="2" t="n">
        <v>1910</v>
      </c>
      <c r="E4254" s="2" t="n">
        <v>1910</v>
      </c>
      <c r="F4254" s="2" t="n">
        <v>1</v>
      </c>
      <c r="G4254" s="2" t="n">
        <v>1</v>
      </c>
      <c r="H4254" s="2" t="n">
        <v>0</v>
      </c>
      <c r="I4254" s="2" t="n">
        <v>0</v>
      </c>
    </row>
    <row r="4255">
      <c r="A4255" s="2" t="n">
        <v>4253</v>
      </c>
      <c r="B4255" s="2" t="inlineStr">
        <is>
          <t>flip</t>
        </is>
      </c>
      <c r="C4255" s="2" t="inlineStr">
        <is>
          <t>openssl 3.5.8 default</t>
        </is>
      </c>
      <c r="D4255" s="2" t="n">
        <v>1548</v>
      </c>
      <c r="E4255" s="2" t="n">
        <v>1548</v>
      </c>
      <c r="F4255" s="2" t="n">
        <v>1</v>
      </c>
      <c r="G4255" s="2" t="n">
        <v>1</v>
      </c>
      <c r="H4255" s="2" t="n">
        <v>1</v>
      </c>
      <c r="I4255" s="2" t="n">
        <v>0</v>
      </c>
    </row>
    <row r="4256">
      <c r="A4256" s="2" t="n">
        <v>4254</v>
      </c>
      <c r="B4256" s="2" t="inlineStr">
        <is>
          <t>truncate</t>
        </is>
      </c>
      <c r="C4256" s="2" t="inlineStr">
        <is>
          <t>openssl X25519 only (classical)</t>
        </is>
      </c>
      <c r="D4256" s="2" t="n">
        <v>147</v>
      </c>
      <c r="E4256" s="2" t="n">
        <v>147</v>
      </c>
      <c r="F4256" s="2" t="n">
        <v>1</v>
      </c>
      <c r="G4256" s="2" t="n">
        <v>1</v>
      </c>
      <c r="H4256" s="2" t="n">
        <v>0</v>
      </c>
      <c r="I4256" s="2" t="n">
        <v>0</v>
      </c>
    </row>
    <row r="4257">
      <c r="A4257" s="2" t="n">
        <v>4255</v>
      </c>
      <c r="B4257" s="2" t="inlineStr">
        <is>
          <t>length</t>
        </is>
      </c>
      <c r="C4257" s="2" t="inlineStr">
        <is>
          <t>browser chrome150</t>
        </is>
      </c>
      <c r="D4257" s="2" t="n">
        <v>1763</v>
      </c>
      <c r="E4257" s="2" t="n">
        <v>1763</v>
      </c>
      <c r="F4257" s="2" t="n">
        <v>1</v>
      </c>
      <c r="G4257" s="2" t="n">
        <v>1</v>
      </c>
      <c r="H4257" s="2" t="n">
        <v>1</v>
      </c>
      <c r="I4257" s="2" t="n">
        <v>0</v>
      </c>
    </row>
    <row r="4258">
      <c r="A4258" s="2" t="n">
        <v>4256</v>
      </c>
      <c r="B4258" s="2" t="inlineStr">
        <is>
          <t>insert</t>
        </is>
      </c>
      <c r="C4258" s="2" t="inlineStr">
        <is>
          <t>openssl TLS 1.2 only</t>
        </is>
      </c>
      <c r="D4258" s="2" t="n">
        <v>229</v>
      </c>
      <c r="E4258" s="2" t="n">
        <v>229</v>
      </c>
      <c r="F4258" s="2" t="n">
        <v>1</v>
      </c>
      <c r="G4258" s="2" t="n">
        <v>1</v>
      </c>
      <c r="H4258" s="2" t="n">
        <v>0</v>
      </c>
      <c r="I4258" s="2" t="n">
        <v>0</v>
      </c>
    </row>
    <row r="4259">
      <c r="A4259" s="2" t="n">
        <v>4257</v>
      </c>
      <c r="B4259" s="2" t="inlineStr">
        <is>
          <t>flip</t>
        </is>
      </c>
      <c r="C4259" s="2" t="inlineStr">
        <is>
          <t>browser firefox147</t>
        </is>
      </c>
      <c r="D4259" s="2" t="n">
        <v>1901</v>
      </c>
      <c r="E4259" s="2" t="n">
        <v>1901</v>
      </c>
      <c r="F4259" s="2" t="n">
        <v>1</v>
      </c>
      <c r="G4259" s="2" t="n">
        <v>1</v>
      </c>
      <c r="H4259" s="2" t="n">
        <v>0</v>
      </c>
      <c r="I4259" s="2" t="n">
        <v>0</v>
      </c>
    </row>
    <row r="4260">
      <c r="A4260" s="2" t="n">
        <v>4258</v>
      </c>
      <c r="B4260" s="2" t="inlineStr">
        <is>
          <t>truncate</t>
        </is>
      </c>
      <c r="C4260" s="2" t="inlineStr">
        <is>
          <t>browser chrome150</t>
        </is>
      </c>
      <c r="D4260" s="2" t="n">
        <v>1660</v>
      </c>
      <c r="E4260" s="2" t="n">
        <v>1660</v>
      </c>
      <c r="F4260" s="2" t="n">
        <v>1</v>
      </c>
      <c r="G4260" s="2" t="n">
        <v>1</v>
      </c>
      <c r="H4260" s="2" t="n">
        <v>1</v>
      </c>
      <c r="I4260" s="2" t="n">
        <v>0</v>
      </c>
    </row>
    <row r="4261">
      <c r="A4261" s="2" t="n">
        <v>4259</v>
      </c>
      <c r="B4261" s="2" t="inlineStr">
        <is>
          <t>length</t>
        </is>
      </c>
      <c r="C4261" s="2" t="inlineStr">
        <is>
          <t>openssl X25519 only (classical)</t>
        </is>
      </c>
      <c r="D4261" s="2" t="n">
        <v>314</v>
      </c>
      <c r="E4261" s="2" t="n">
        <v>314</v>
      </c>
      <c r="F4261" s="2" t="n">
        <v>1</v>
      </c>
      <c r="G4261" s="2" t="n">
        <v>1</v>
      </c>
      <c r="H4261" s="2" t="n">
        <v>1</v>
      </c>
      <c r="I4261" s="2" t="n">
        <v>0</v>
      </c>
    </row>
    <row r="4262">
      <c r="A4262" s="2" t="n">
        <v>4260</v>
      </c>
      <c r="B4262" s="2" t="inlineStr">
        <is>
          <t>insert</t>
        </is>
      </c>
      <c r="C4262" s="2" t="inlineStr">
        <is>
          <t>browser firefox147</t>
        </is>
      </c>
      <c r="D4262" s="2" t="n">
        <v>1912</v>
      </c>
      <c r="E4262" s="2" t="n">
        <v>1912</v>
      </c>
      <c r="F4262" s="2" t="n">
        <v>1</v>
      </c>
      <c r="G4262" s="2" t="n">
        <v>1</v>
      </c>
      <c r="H4262" s="2" t="n">
        <v>0</v>
      </c>
      <c r="I4262" s="2" t="n">
        <v>0</v>
      </c>
    </row>
    <row r="4263">
      <c r="A4263" s="2" t="n">
        <v>4261</v>
      </c>
      <c r="B4263" s="2" t="inlineStr">
        <is>
          <t>flip</t>
        </is>
      </c>
      <c r="C4263" s="2" t="inlineStr">
        <is>
          <t>browser chrome150</t>
        </is>
      </c>
      <c r="D4263" s="2" t="n">
        <v>1763</v>
      </c>
      <c r="E4263" s="2" t="n">
        <v>1763</v>
      </c>
      <c r="F4263" s="2" t="n">
        <v>1</v>
      </c>
      <c r="G4263" s="2" t="n">
        <v>1</v>
      </c>
      <c r="H4263" s="2" t="n">
        <v>0</v>
      </c>
      <c r="I4263" s="2" t="n">
        <v>0</v>
      </c>
    </row>
    <row r="4264">
      <c r="A4264" s="2" t="n">
        <v>4262</v>
      </c>
      <c r="B4264" s="2" t="inlineStr">
        <is>
          <t>truncate</t>
        </is>
      </c>
      <c r="C4264" s="2" t="inlineStr">
        <is>
          <t>browser chrome150</t>
        </is>
      </c>
      <c r="D4264" s="2" t="n">
        <v>1606</v>
      </c>
      <c r="E4264" s="2" t="n">
        <v>1606</v>
      </c>
      <c r="F4264" s="2" t="n">
        <v>1</v>
      </c>
      <c r="G4264" s="2" t="n">
        <v>1</v>
      </c>
      <c r="H4264" s="2" t="n">
        <v>1</v>
      </c>
      <c r="I4264" s="2" t="n">
        <v>0</v>
      </c>
    </row>
    <row r="4265">
      <c r="A4265" s="2" t="n">
        <v>4263</v>
      </c>
      <c r="B4265" s="2" t="inlineStr">
        <is>
          <t>length</t>
        </is>
      </c>
      <c r="C4265" s="2" t="inlineStr">
        <is>
          <t>browser chrome150</t>
        </is>
      </c>
      <c r="D4265" s="2" t="n">
        <v>1763</v>
      </c>
      <c r="E4265" s="2" t="n">
        <v>1763</v>
      </c>
      <c r="F4265" s="2" t="n">
        <v>1</v>
      </c>
      <c r="G4265" s="2" t="n">
        <v>0</v>
      </c>
      <c r="H4265" s="2" t="n">
        <v>0</v>
      </c>
      <c r="I4265" s="2" t="n">
        <v>0</v>
      </c>
    </row>
    <row r="4266">
      <c r="A4266" s="2" t="n">
        <v>4264</v>
      </c>
      <c r="B4266" s="2" t="inlineStr">
        <is>
          <t>insert</t>
        </is>
      </c>
      <c r="C4266" s="2" t="inlineStr">
        <is>
          <t>openssl 3.5.8 default</t>
        </is>
      </c>
      <c r="D4266" s="2" t="n">
        <v>1550</v>
      </c>
      <c r="E4266" s="2" t="n">
        <v>1550</v>
      </c>
      <c r="F4266" s="2" t="n">
        <v>1</v>
      </c>
      <c r="G4266" s="2" t="n">
        <v>0</v>
      </c>
      <c r="H4266" s="2" t="n">
        <v>0</v>
      </c>
      <c r="I4266" s="2" t="n">
        <v>0</v>
      </c>
    </row>
    <row r="4267">
      <c r="A4267" s="2" t="n">
        <v>4265</v>
      </c>
      <c r="B4267" s="2" t="inlineStr">
        <is>
          <t>flip</t>
        </is>
      </c>
      <c r="C4267" s="2" t="inlineStr">
        <is>
          <t>openssl 3.5.8 default</t>
        </is>
      </c>
      <c r="D4267" s="2" t="n">
        <v>1548</v>
      </c>
      <c r="E4267" s="2" t="n">
        <v>1548</v>
      </c>
      <c r="F4267" s="2" t="n">
        <v>1</v>
      </c>
      <c r="G4267" s="2" t="n">
        <v>1</v>
      </c>
      <c r="H4267" s="2" t="n">
        <v>1</v>
      </c>
      <c r="I4267" s="2" t="n">
        <v>0</v>
      </c>
    </row>
    <row r="4268">
      <c r="A4268" s="2" t="n">
        <v>4266</v>
      </c>
      <c r="B4268" s="2" t="inlineStr">
        <is>
          <t>truncate</t>
        </is>
      </c>
      <c r="C4268" s="2" t="inlineStr">
        <is>
          <t>openssl TLS 1.2 only</t>
        </is>
      </c>
      <c r="D4268" s="2" t="n">
        <v>199</v>
      </c>
      <c r="E4268" s="2" t="n">
        <v>199</v>
      </c>
      <c r="F4268" s="2" t="n">
        <v>1</v>
      </c>
      <c r="G4268" s="2" t="n">
        <v>1</v>
      </c>
      <c r="H4268" s="2" t="n">
        <v>1</v>
      </c>
      <c r="I4268" s="2" t="n">
        <v>0</v>
      </c>
    </row>
    <row r="4269">
      <c r="A4269" s="2" t="n">
        <v>4267</v>
      </c>
      <c r="B4269" s="2" t="inlineStr">
        <is>
          <t>length</t>
        </is>
      </c>
      <c r="C4269" s="2" t="inlineStr">
        <is>
          <t>browser firefox147</t>
        </is>
      </c>
      <c r="D4269" s="2" t="n">
        <v>1901</v>
      </c>
      <c r="E4269" s="2" t="n">
        <v>1901</v>
      </c>
      <c r="F4269" s="2" t="n">
        <v>0</v>
      </c>
      <c r="G4269" s="2" t="n">
        <v>0</v>
      </c>
      <c r="H4269" s="2" t="n">
        <v>0</v>
      </c>
      <c r="I4269" s="2" t="n">
        <v>0</v>
      </c>
    </row>
    <row r="4270">
      <c r="A4270" s="2" t="n">
        <v>4268</v>
      </c>
      <c r="B4270" s="2" t="inlineStr">
        <is>
          <t>insert</t>
        </is>
      </c>
      <c r="C4270" s="2" t="inlineStr">
        <is>
          <t>browser chrome150</t>
        </is>
      </c>
      <c r="D4270" s="2" t="n">
        <v>1778</v>
      </c>
      <c r="E4270" s="2" t="n">
        <v>1778</v>
      </c>
      <c r="F4270" s="2" t="n">
        <v>1</v>
      </c>
      <c r="G4270" s="2" t="n">
        <v>1</v>
      </c>
      <c r="H4270" s="2" t="n">
        <v>1</v>
      </c>
      <c r="I4270" s="2" t="n">
        <v>0</v>
      </c>
    </row>
    <row r="4271">
      <c r="A4271" s="2" t="n">
        <v>4269</v>
      </c>
      <c r="B4271" s="2" t="inlineStr">
        <is>
          <t>flip</t>
        </is>
      </c>
      <c r="C4271" s="2" t="inlineStr">
        <is>
          <t>browser chrome150</t>
        </is>
      </c>
      <c r="D4271" s="2" t="n">
        <v>1763</v>
      </c>
      <c r="E4271" s="2" t="n">
        <v>1763</v>
      </c>
      <c r="F4271" s="2" t="n">
        <v>1</v>
      </c>
      <c r="G4271" s="2" t="n">
        <v>1</v>
      </c>
      <c r="H4271" s="2" t="n">
        <v>1</v>
      </c>
      <c r="I4271" s="2" t="n">
        <v>0</v>
      </c>
    </row>
    <row r="4272">
      <c r="A4272" s="2" t="n">
        <v>4270</v>
      </c>
      <c r="B4272" s="2" t="inlineStr">
        <is>
          <t>truncate</t>
        </is>
      </c>
      <c r="C4272" s="2" t="inlineStr">
        <is>
          <t>openssl TLS 1.2 only</t>
        </is>
      </c>
      <c r="D4272" s="2" t="n">
        <v>179</v>
      </c>
      <c r="E4272" s="2" t="n">
        <v>179</v>
      </c>
      <c r="F4272" s="2" t="n">
        <v>1</v>
      </c>
      <c r="G4272" s="2" t="n">
        <v>1</v>
      </c>
      <c r="H4272" s="2" t="n">
        <v>1</v>
      </c>
      <c r="I4272" s="2" t="n">
        <v>0</v>
      </c>
    </row>
    <row r="4273">
      <c r="A4273" s="2" t="n">
        <v>4271</v>
      </c>
      <c r="B4273" s="2" t="inlineStr">
        <is>
          <t>length</t>
        </is>
      </c>
      <c r="C4273" s="2" t="inlineStr">
        <is>
          <t>browser firefox147</t>
        </is>
      </c>
      <c r="D4273" s="2" t="n">
        <v>1901</v>
      </c>
      <c r="E4273" s="2" t="n">
        <v>1901</v>
      </c>
      <c r="F4273" s="2" t="n">
        <v>1</v>
      </c>
      <c r="G4273" s="2" t="n">
        <v>1</v>
      </c>
      <c r="H4273" s="2" t="n">
        <v>0</v>
      </c>
      <c r="I4273" s="2" t="n">
        <v>0</v>
      </c>
    </row>
    <row r="4274">
      <c r="A4274" s="2" t="n">
        <v>4272</v>
      </c>
      <c r="B4274" s="2" t="inlineStr">
        <is>
          <t>insert</t>
        </is>
      </c>
      <c r="C4274" s="2" t="inlineStr">
        <is>
          <t>openssl 3.5.8 default</t>
        </is>
      </c>
      <c r="D4274" s="2" t="n">
        <v>1552</v>
      </c>
      <c r="E4274" s="2" t="n">
        <v>1552</v>
      </c>
      <c r="F4274" s="2" t="n">
        <v>1</v>
      </c>
      <c r="G4274" s="2" t="n">
        <v>1</v>
      </c>
      <c r="H4274" s="2" t="n">
        <v>1</v>
      </c>
      <c r="I4274" s="2" t="n">
        <v>0</v>
      </c>
    </row>
    <row r="4275">
      <c r="A4275" s="2" t="n">
        <v>4273</v>
      </c>
      <c r="B4275" s="2" t="inlineStr">
        <is>
          <t>flip</t>
        </is>
      </c>
      <c r="C4275" s="2" t="inlineStr">
        <is>
          <t>browser firefox147</t>
        </is>
      </c>
      <c r="D4275" s="2" t="n">
        <v>1901</v>
      </c>
      <c r="E4275" s="2" t="n">
        <v>1901</v>
      </c>
      <c r="F4275" s="2" t="n">
        <v>1</v>
      </c>
      <c r="G4275" s="2" t="n">
        <v>1</v>
      </c>
      <c r="H4275" s="2" t="n">
        <v>1</v>
      </c>
      <c r="I4275" s="2" t="n">
        <v>0</v>
      </c>
    </row>
    <row r="4276">
      <c r="A4276" s="2" t="n">
        <v>4274</v>
      </c>
      <c r="B4276" s="2" t="inlineStr">
        <is>
          <t>truncate</t>
        </is>
      </c>
      <c r="C4276" s="2" t="inlineStr">
        <is>
          <t>openssl 3.5.8 default</t>
        </is>
      </c>
      <c r="D4276" s="2" t="n">
        <v>969</v>
      </c>
      <c r="E4276" s="2" t="n">
        <v>969</v>
      </c>
      <c r="F4276" s="2" t="n">
        <v>1</v>
      </c>
      <c r="G4276" s="2" t="n">
        <v>1</v>
      </c>
      <c r="H4276" s="2" t="n">
        <v>1</v>
      </c>
      <c r="I4276" s="2" t="n">
        <v>0</v>
      </c>
    </row>
    <row r="4277">
      <c r="A4277" s="2" t="n">
        <v>4275</v>
      </c>
      <c r="B4277" s="2" t="inlineStr">
        <is>
          <t>length</t>
        </is>
      </c>
      <c r="C4277" s="2" t="inlineStr">
        <is>
          <t>openssl 3.5.8 default</t>
        </is>
      </c>
      <c r="D4277" s="2" t="n">
        <v>1548</v>
      </c>
      <c r="E4277" s="2" t="n">
        <v>1548</v>
      </c>
      <c r="F4277" s="2" t="n">
        <v>1</v>
      </c>
      <c r="G4277" s="2" t="n">
        <v>1</v>
      </c>
      <c r="H4277" s="2" t="n">
        <v>1</v>
      </c>
      <c r="I4277" s="2" t="n">
        <v>0</v>
      </c>
    </row>
    <row r="4278">
      <c r="A4278" s="2" t="n">
        <v>4276</v>
      </c>
      <c r="B4278" s="2" t="inlineStr">
        <is>
          <t>insert</t>
        </is>
      </c>
      <c r="C4278" s="2" t="inlineStr">
        <is>
          <t>browser firefox147</t>
        </is>
      </c>
      <c r="D4278" s="2" t="n">
        <v>1911</v>
      </c>
      <c r="E4278" s="2" t="n">
        <v>1911</v>
      </c>
      <c r="F4278" s="2" t="n">
        <v>1</v>
      </c>
      <c r="G4278" s="2" t="n">
        <v>1</v>
      </c>
      <c r="H4278" s="2" t="n">
        <v>0</v>
      </c>
      <c r="I4278" s="2" t="n">
        <v>0</v>
      </c>
    </row>
    <row r="4279">
      <c r="A4279" s="2" t="n">
        <v>4277</v>
      </c>
      <c r="B4279" s="2" t="inlineStr">
        <is>
          <t>flip</t>
        </is>
      </c>
      <c r="C4279" s="2" t="inlineStr">
        <is>
          <t>openssl 3.5.8 default</t>
        </is>
      </c>
      <c r="D4279" s="2" t="n">
        <v>1548</v>
      </c>
      <c r="E4279" s="2" t="n">
        <v>1548</v>
      </c>
      <c r="F4279" s="2" t="n">
        <v>1</v>
      </c>
      <c r="G4279" s="2" t="n">
        <v>1</v>
      </c>
      <c r="H4279" s="2" t="n">
        <v>1</v>
      </c>
      <c r="I4279" s="2" t="n">
        <v>0</v>
      </c>
    </row>
    <row r="4280">
      <c r="A4280" s="2" t="n">
        <v>4278</v>
      </c>
      <c r="B4280" s="2" t="inlineStr">
        <is>
          <t>truncate</t>
        </is>
      </c>
      <c r="C4280" s="2" t="inlineStr">
        <is>
          <t>openssl TLS 1.2 only</t>
        </is>
      </c>
      <c r="D4280" s="2" t="n">
        <v>118</v>
      </c>
      <c r="E4280" s="2" t="n">
        <v>118</v>
      </c>
      <c r="F4280" s="2" t="n">
        <v>1</v>
      </c>
      <c r="G4280" s="2" t="n">
        <v>1</v>
      </c>
      <c r="H4280" s="2" t="n">
        <v>0</v>
      </c>
      <c r="I4280" s="2" t="n">
        <v>0</v>
      </c>
    </row>
    <row r="4281">
      <c r="A4281" s="2" t="n">
        <v>4279</v>
      </c>
      <c r="B4281" s="2" t="inlineStr">
        <is>
          <t>length</t>
        </is>
      </c>
      <c r="C4281" s="2" t="inlineStr">
        <is>
          <t>browser firefox147</t>
        </is>
      </c>
      <c r="D4281" s="2" t="n">
        <v>1901</v>
      </c>
      <c r="E4281" s="2" t="n">
        <v>1901</v>
      </c>
      <c r="F4281" s="2" t="n">
        <v>0</v>
      </c>
      <c r="G4281" s="2" t="n">
        <v>0</v>
      </c>
      <c r="H4281" s="2" t="n">
        <v>0</v>
      </c>
      <c r="I4281" s="2" t="n">
        <v>0</v>
      </c>
    </row>
    <row r="4282">
      <c r="A4282" s="2" t="n">
        <v>4280</v>
      </c>
      <c r="B4282" s="2" t="inlineStr">
        <is>
          <t>insert</t>
        </is>
      </c>
      <c r="C4282" s="2" t="inlineStr">
        <is>
          <t>browser chrome150</t>
        </is>
      </c>
      <c r="D4282" s="2" t="n">
        <v>1766</v>
      </c>
      <c r="E4282" s="2" t="n">
        <v>1766</v>
      </c>
      <c r="F4282" s="2" t="n">
        <v>1</v>
      </c>
      <c r="G4282" s="2" t="n">
        <v>1</v>
      </c>
      <c r="H4282" s="2" t="n">
        <v>1</v>
      </c>
      <c r="I4282" s="2" t="n">
        <v>0</v>
      </c>
    </row>
    <row r="4283">
      <c r="A4283" s="2" t="n">
        <v>4281</v>
      </c>
      <c r="B4283" s="2" t="inlineStr">
        <is>
          <t>flip</t>
        </is>
      </c>
      <c r="C4283" s="2" t="inlineStr">
        <is>
          <t>openssl 3.5.8 default</t>
        </is>
      </c>
      <c r="D4283" s="2" t="n">
        <v>1548</v>
      </c>
      <c r="E4283" s="2" t="n">
        <v>1548</v>
      </c>
      <c r="F4283" s="2" t="n">
        <v>1</v>
      </c>
      <c r="G4283" s="2" t="n">
        <v>1</v>
      </c>
      <c r="H4283" s="2" t="n">
        <v>1</v>
      </c>
      <c r="I4283" s="2" t="n">
        <v>0</v>
      </c>
    </row>
    <row r="4284">
      <c r="A4284" s="2" t="n">
        <v>4282</v>
      </c>
      <c r="B4284" s="2" t="inlineStr">
        <is>
          <t>truncate</t>
        </is>
      </c>
      <c r="C4284" s="2" t="inlineStr">
        <is>
          <t>openssl TLS 1.2 only</t>
        </is>
      </c>
      <c r="D4284" s="2" t="n">
        <v>75</v>
      </c>
      <c r="E4284" s="2" t="n">
        <v>75</v>
      </c>
      <c r="F4284" s="2" t="n">
        <v>1</v>
      </c>
      <c r="G4284" s="2" t="n">
        <v>0</v>
      </c>
      <c r="H4284" s="2" t="n">
        <v>0</v>
      </c>
      <c r="I4284" s="2" t="n">
        <v>0</v>
      </c>
    </row>
    <row r="4285">
      <c r="A4285" s="2" t="n">
        <v>4283</v>
      </c>
      <c r="B4285" s="2" t="inlineStr">
        <is>
          <t>length</t>
        </is>
      </c>
      <c r="C4285" s="2" t="inlineStr">
        <is>
          <t>browser firefox147</t>
        </is>
      </c>
      <c r="D4285" s="2" t="n">
        <v>1901</v>
      </c>
      <c r="E4285" s="2" t="n">
        <v>1901</v>
      </c>
      <c r="F4285" s="2" t="n">
        <v>1</v>
      </c>
      <c r="G4285" s="2" t="n">
        <v>0</v>
      </c>
      <c r="H4285" s="2" t="n">
        <v>0</v>
      </c>
      <c r="I4285" s="2" t="n">
        <v>0</v>
      </c>
    </row>
    <row r="4286">
      <c r="A4286" s="2" t="n">
        <v>4284</v>
      </c>
      <c r="B4286" s="2" t="inlineStr">
        <is>
          <t>insert</t>
        </is>
      </c>
      <c r="C4286" s="2" t="inlineStr">
        <is>
          <t>openssl 3.5.8 default</t>
        </is>
      </c>
      <c r="D4286" s="2" t="n">
        <v>1559</v>
      </c>
      <c r="E4286" s="2" t="n">
        <v>1559</v>
      </c>
      <c r="F4286" s="2" t="n">
        <v>1</v>
      </c>
      <c r="G4286" s="2" t="n">
        <v>1</v>
      </c>
      <c r="H4286" s="2" t="n">
        <v>1</v>
      </c>
      <c r="I4286" s="2" t="n">
        <v>0</v>
      </c>
    </row>
    <row r="4287">
      <c r="A4287" s="2" t="n">
        <v>4285</v>
      </c>
      <c r="B4287" s="2" t="inlineStr">
        <is>
          <t>flip</t>
        </is>
      </c>
      <c r="C4287" s="2" t="inlineStr">
        <is>
          <t>openssl X25519 only (classical)</t>
        </is>
      </c>
      <c r="D4287" s="2" t="n">
        <v>314</v>
      </c>
      <c r="E4287" s="2" t="n">
        <v>314</v>
      </c>
      <c r="F4287" s="2" t="n">
        <v>1</v>
      </c>
      <c r="G4287" s="2" t="n">
        <v>1</v>
      </c>
      <c r="H4287" s="2" t="n">
        <v>1</v>
      </c>
      <c r="I4287" s="2" t="n">
        <v>0</v>
      </c>
    </row>
    <row r="4288">
      <c r="A4288" s="2" t="n">
        <v>4286</v>
      </c>
      <c r="B4288" s="2" t="inlineStr">
        <is>
          <t>truncate</t>
        </is>
      </c>
      <c r="C4288" s="2" t="inlineStr">
        <is>
          <t>openssl TLS 1.2 only</t>
        </is>
      </c>
      <c r="D4288" s="2" t="n">
        <v>210</v>
      </c>
      <c r="E4288" s="2" t="n">
        <v>210</v>
      </c>
      <c r="F4288" s="2" t="n">
        <v>1</v>
      </c>
      <c r="G4288" s="2" t="n">
        <v>1</v>
      </c>
      <c r="H4288" s="2" t="n">
        <v>1</v>
      </c>
      <c r="I4288" s="2" t="n">
        <v>0</v>
      </c>
    </row>
    <row r="4289">
      <c r="A4289" s="2" t="n">
        <v>4287</v>
      </c>
      <c r="B4289" s="2" t="inlineStr">
        <is>
          <t>length</t>
        </is>
      </c>
      <c r="C4289" s="2" t="inlineStr">
        <is>
          <t>openssl 3.5.8 default</t>
        </is>
      </c>
      <c r="D4289" s="2" t="n">
        <v>1548</v>
      </c>
      <c r="E4289" s="2" t="n">
        <v>1548</v>
      </c>
      <c r="F4289" s="2" t="n">
        <v>0</v>
      </c>
      <c r="G4289" s="2" t="n">
        <v>0</v>
      </c>
      <c r="H4289" s="2" t="n">
        <v>0</v>
      </c>
      <c r="I4289" s="2" t="n">
        <v>0</v>
      </c>
    </row>
    <row r="4290">
      <c r="A4290" s="2" t="n">
        <v>4288</v>
      </c>
      <c r="B4290" s="2" t="inlineStr">
        <is>
          <t>insert</t>
        </is>
      </c>
      <c r="C4290" s="2" t="inlineStr">
        <is>
          <t>browser firefox147</t>
        </is>
      </c>
      <c r="D4290" s="2" t="n">
        <v>1908</v>
      </c>
      <c r="E4290" s="2" t="n">
        <v>1908</v>
      </c>
      <c r="F4290" s="2" t="n">
        <v>1</v>
      </c>
      <c r="G4290" s="2" t="n">
        <v>1</v>
      </c>
      <c r="H4290" s="2" t="n">
        <v>0</v>
      </c>
      <c r="I4290" s="2" t="n">
        <v>0</v>
      </c>
    </row>
    <row r="4291">
      <c r="A4291" s="2" t="n">
        <v>4289</v>
      </c>
      <c r="B4291" s="2" t="inlineStr">
        <is>
          <t>flip</t>
        </is>
      </c>
      <c r="C4291" s="2" t="inlineStr">
        <is>
          <t>browser firefox147</t>
        </is>
      </c>
      <c r="D4291" s="2" t="n">
        <v>1901</v>
      </c>
      <c r="E4291" s="2" t="n">
        <v>1901</v>
      </c>
      <c r="F4291" s="2" t="n">
        <v>1</v>
      </c>
      <c r="G4291" s="2" t="n">
        <v>1</v>
      </c>
      <c r="H4291" s="2" t="n">
        <v>0</v>
      </c>
      <c r="I4291" s="2" t="n">
        <v>0</v>
      </c>
    </row>
    <row r="4292">
      <c r="A4292" s="2" t="n">
        <v>4290</v>
      </c>
      <c r="B4292" s="2" t="inlineStr">
        <is>
          <t>truncate</t>
        </is>
      </c>
      <c r="C4292" s="2" t="inlineStr">
        <is>
          <t>browser chrome150</t>
        </is>
      </c>
      <c r="D4292" s="2" t="n">
        <v>1724</v>
      </c>
      <c r="E4292" s="2" t="n">
        <v>1724</v>
      </c>
      <c r="F4292" s="2" t="n">
        <v>1</v>
      </c>
      <c r="G4292" s="2" t="n">
        <v>1</v>
      </c>
      <c r="H4292" s="2" t="n">
        <v>1</v>
      </c>
      <c r="I4292" s="2" t="n">
        <v>0</v>
      </c>
    </row>
    <row r="4293">
      <c r="A4293" s="2" t="n">
        <v>4291</v>
      </c>
      <c r="B4293" s="2" t="inlineStr">
        <is>
          <t>length</t>
        </is>
      </c>
      <c r="C4293" s="2" t="inlineStr">
        <is>
          <t>browser chrome150</t>
        </is>
      </c>
      <c r="D4293" s="2" t="n">
        <v>1763</v>
      </c>
      <c r="E4293" s="2" t="n">
        <v>1763</v>
      </c>
      <c r="F4293" s="2" t="n">
        <v>1</v>
      </c>
      <c r="G4293" s="2" t="n">
        <v>1</v>
      </c>
      <c r="H4293" s="2" t="n">
        <v>1</v>
      </c>
      <c r="I4293" s="2" t="n">
        <v>0</v>
      </c>
    </row>
    <row r="4294">
      <c r="A4294" s="2" t="n">
        <v>4292</v>
      </c>
      <c r="B4294" s="2" t="inlineStr">
        <is>
          <t>insert</t>
        </is>
      </c>
      <c r="C4294" s="2" t="inlineStr">
        <is>
          <t>browser chrome150</t>
        </is>
      </c>
      <c r="D4294" s="2" t="n">
        <v>1778</v>
      </c>
      <c r="E4294" s="2" t="n">
        <v>1778</v>
      </c>
      <c r="F4294" s="2" t="n">
        <v>1</v>
      </c>
      <c r="G4294" s="2" t="n">
        <v>1</v>
      </c>
      <c r="H4294" s="2" t="n">
        <v>1</v>
      </c>
      <c r="I4294" s="2" t="n">
        <v>0</v>
      </c>
    </row>
    <row r="4295">
      <c r="A4295" s="2" t="n">
        <v>4293</v>
      </c>
      <c r="B4295" s="2" t="inlineStr">
        <is>
          <t>flip</t>
        </is>
      </c>
      <c r="C4295" s="2" t="inlineStr">
        <is>
          <t>openssl TLS 1.2 only</t>
        </is>
      </c>
      <c r="D4295" s="2" t="n">
        <v>215</v>
      </c>
      <c r="E4295" s="2" t="n">
        <v>215</v>
      </c>
      <c r="F4295" s="2" t="n">
        <v>1</v>
      </c>
      <c r="G4295" s="2" t="n">
        <v>1</v>
      </c>
      <c r="H4295" s="2" t="n">
        <v>1</v>
      </c>
      <c r="I4295" s="2" t="n">
        <v>0</v>
      </c>
    </row>
    <row r="4296">
      <c r="A4296" s="2" t="n">
        <v>4294</v>
      </c>
      <c r="B4296" s="2" t="inlineStr">
        <is>
          <t>truncate</t>
        </is>
      </c>
      <c r="C4296" s="2" t="inlineStr">
        <is>
          <t>openssl X25519 only (classical)</t>
        </is>
      </c>
      <c r="D4296" s="2" t="n">
        <v>109</v>
      </c>
      <c r="E4296" s="2" t="n">
        <v>109</v>
      </c>
      <c r="F4296" s="2" t="n">
        <v>1</v>
      </c>
      <c r="G4296" s="2" t="n">
        <v>0</v>
      </c>
      <c r="H4296" s="2" t="n">
        <v>0</v>
      </c>
      <c r="I4296" s="2" t="n">
        <v>0</v>
      </c>
    </row>
    <row r="4297">
      <c r="A4297" s="2" t="n">
        <v>4295</v>
      </c>
      <c r="B4297" s="2" t="inlineStr">
        <is>
          <t>length</t>
        </is>
      </c>
      <c r="C4297" s="2" t="inlineStr">
        <is>
          <t>openssl X25519 only (classical)</t>
        </is>
      </c>
      <c r="D4297" s="2" t="n">
        <v>314</v>
      </c>
      <c r="E4297" s="2" t="n">
        <v>314</v>
      </c>
      <c r="F4297" s="2" t="n">
        <v>1</v>
      </c>
      <c r="G4297" s="2" t="n">
        <v>1</v>
      </c>
      <c r="H4297" s="2" t="n">
        <v>1</v>
      </c>
      <c r="I4297" s="2" t="n">
        <v>0</v>
      </c>
    </row>
    <row r="4298">
      <c r="A4298" s="2" t="n">
        <v>4296</v>
      </c>
      <c r="B4298" s="2" t="inlineStr">
        <is>
          <t>insert</t>
        </is>
      </c>
      <c r="C4298" s="2" t="inlineStr">
        <is>
          <t>openssl 3.5.8 default</t>
        </is>
      </c>
      <c r="D4298" s="2" t="n">
        <v>1556</v>
      </c>
      <c r="E4298" s="2" t="n">
        <v>1556</v>
      </c>
      <c r="F4298" s="2" t="n">
        <v>1</v>
      </c>
      <c r="G4298" s="2" t="n">
        <v>1</v>
      </c>
      <c r="H4298" s="2" t="n">
        <v>1</v>
      </c>
      <c r="I4298" s="2" t="n">
        <v>0</v>
      </c>
    </row>
    <row r="4299">
      <c r="A4299" s="2" t="n">
        <v>4297</v>
      </c>
      <c r="B4299" s="2" t="inlineStr">
        <is>
          <t>flip</t>
        </is>
      </c>
      <c r="C4299" s="2" t="inlineStr">
        <is>
          <t>browser chrome150</t>
        </is>
      </c>
      <c r="D4299" s="2" t="n">
        <v>1763</v>
      </c>
      <c r="E4299" s="2" t="n">
        <v>1763</v>
      </c>
      <c r="F4299" s="2" t="n">
        <v>1</v>
      </c>
      <c r="G4299" s="2" t="n">
        <v>1</v>
      </c>
      <c r="H4299" s="2" t="n">
        <v>1</v>
      </c>
      <c r="I4299" s="2" t="n">
        <v>0</v>
      </c>
    </row>
    <row r="4300">
      <c r="A4300" s="2" t="n">
        <v>4298</v>
      </c>
      <c r="B4300" s="2" t="inlineStr">
        <is>
          <t>truncate</t>
        </is>
      </c>
      <c r="C4300" s="2" t="inlineStr">
        <is>
          <t>openssl X25519 only (classical)</t>
        </is>
      </c>
      <c r="D4300" s="2" t="n">
        <v>283</v>
      </c>
      <c r="E4300" s="2" t="n">
        <v>283</v>
      </c>
      <c r="F4300" s="2" t="n">
        <v>1</v>
      </c>
      <c r="G4300" s="2" t="n">
        <v>1</v>
      </c>
      <c r="H4300" s="2" t="n">
        <v>1</v>
      </c>
      <c r="I4300" s="2" t="n">
        <v>0</v>
      </c>
    </row>
    <row r="4301">
      <c r="A4301" s="2" t="n">
        <v>4299</v>
      </c>
      <c r="B4301" s="2" t="inlineStr">
        <is>
          <t>length</t>
        </is>
      </c>
      <c r="C4301" s="2" t="inlineStr">
        <is>
          <t>browser firefox147</t>
        </is>
      </c>
      <c r="D4301" s="2" t="n">
        <v>1901</v>
      </c>
      <c r="E4301" s="2" t="n">
        <v>1901</v>
      </c>
      <c r="F4301" s="2" t="n">
        <v>1</v>
      </c>
      <c r="G4301" s="2" t="n">
        <v>1</v>
      </c>
      <c r="H4301" s="2" t="n">
        <v>0</v>
      </c>
      <c r="I4301" s="2" t="n">
        <v>0</v>
      </c>
    </row>
    <row r="4302">
      <c r="A4302" s="2" t="n">
        <v>4300</v>
      </c>
      <c r="B4302" s="2" t="inlineStr">
        <is>
          <t>insert</t>
        </is>
      </c>
      <c r="C4302" s="2" t="inlineStr">
        <is>
          <t>browser firefox147</t>
        </is>
      </c>
      <c r="D4302" s="2" t="n">
        <v>1905</v>
      </c>
      <c r="E4302" s="2" t="n">
        <v>1905</v>
      </c>
      <c r="F4302" s="2" t="n">
        <v>1</v>
      </c>
      <c r="G4302" s="2" t="n">
        <v>1</v>
      </c>
      <c r="H4302" s="2" t="n">
        <v>0</v>
      </c>
      <c r="I4302" s="2" t="n">
        <v>0</v>
      </c>
    </row>
    <row r="4303">
      <c r="A4303" s="2" t="n">
        <v>4301</v>
      </c>
      <c r="B4303" s="2" t="inlineStr">
        <is>
          <t>flip</t>
        </is>
      </c>
      <c r="C4303" s="2" t="inlineStr">
        <is>
          <t>browser firefox147</t>
        </is>
      </c>
      <c r="D4303" s="2" t="n">
        <v>1901</v>
      </c>
      <c r="E4303" s="2" t="n">
        <v>1901</v>
      </c>
      <c r="F4303" s="2" t="n">
        <v>1</v>
      </c>
      <c r="G4303" s="2" t="n">
        <v>1</v>
      </c>
      <c r="H4303" s="2" t="n">
        <v>0</v>
      </c>
      <c r="I4303" s="2" t="n">
        <v>0</v>
      </c>
    </row>
    <row r="4304">
      <c r="A4304" s="2" t="n">
        <v>4302</v>
      </c>
      <c r="B4304" s="2" t="inlineStr">
        <is>
          <t>truncate</t>
        </is>
      </c>
      <c r="C4304" s="2" t="inlineStr">
        <is>
          <t>browser firefox147</t>
        </is>
      </c>
      <c r="D4304" s="2" t="n">
        <v>1737</v>
      </c>
      <c r="E4304" s="2" t="n">
        <v>1737</v>
      </c>
      <c r="F4304" s="2" t="n">
        <v>1</v>
      </c>
      <c r="G4304" s="2" t="n">
        <v>1</v>
      </c>
      <c r="H4304" s="2" t="n">
        <v>0</v>
      </c>
      <c r="I4304" s="2" t="n">
        <v>0</v>
      </c>
    </row>
    <row r="4305">
      <c r="A4305" s="2" t="n">
        <v>4303</v>
      </c>
      <c r="B4305" s="2" t="inlineStr">
        <is>
          <t>length</t>
        </is>
      </c>
      <c r="C4305" s="2" t="inlineStr">
        <is>
          <t>openssl 3.5.8 default</t>
        </is>
      </c>
      <c r="D4305" s="2" t="n">
        <v>1548</v>
      </c>
      <c r="E4305" s="2" t="n">
        <v>1548</v>
      </c>
      <c r="F4305" s="2" t="n">
        <v>1</v>
      </c>
      <c r="G4305" s="2" t="n">
        <v>1</v>
      </c>
      <c r="H4305" s="2" t="n">
        <v>1</v>
      </c>
      <c r="I4305" s="2" t="n">
        <v>0</v>
      </c>
    </row>
    <row r="4306">
      <c r="A4306" s="2" t="n">
        <v>4304</v>
      </c>
      <c r="B4306" s="2" t="inlineStr">
        <is>
          <t>insert</t>
        </is>
      </c>
      <c r="C4306" s="2" t="inlineStr">
        <is>
          <t>openssl X25519 only (classical)</t>
        </is>
      </c>
      <c r="D4306" s="2" t="n">
        <v>327</v>
      </c>
      <c r="E4306" s="2" t="n">
        <v>327</v>
      </c>
      <c r="F4306" s="2" t="n">
        <v>1</v>
      </c>
      <c r="G4306" s="2" t="n">
        <v>1</v>
      </c>
      <c r="H4306" s="2" t="n">
        <v>1</v>
      </c>
      <c r="I4306" s="2" t="n">
        <v>0</v>
      </c>
    </row>
    <row r="4307">
      <c r="A4307" s="2" t="n">
        <v>4305</v>
      </c>
      <c r="B4307" s="2" t="inlineStr">
        <is>
          <t>flip</t>
        </is>
      </c>
      <c r="C4307" s="2" t="inlineStr">
        <is>
          <t>openssl TLS 1.2 only</t>
        </is>
      </c>
      <c r="D4307" s="2" t="n">
        <v>215</v>
      </c>
      <c r="E4307" s="2" t="n">
        <v>215</v>
      </c>
      <c r="F4307" s="2" t="n">
        <v>1</v>
      </c>
      <c r="G4307" s="2" t="n">
        <v>1</v>
      </c>
      <c r="H4307" s="2" t="n">
        <v>1</v>
      </c>
      <c r="I4307" s="2" t="n">
        <v>0</v>
      </c>
    </row>
    <row r="4308">
      <c r="A4308" s="2" t="n">
        <v>4306</v>
      </c>
      <c r="B4308" s="2" t="inlineStr">
        <is>
          <t>truncate</t>
        </is>
      </c>
      <c r="C4308" s="2" t="inlineStr">
        <is>
          <t>openssl TLS 1.2 only</t>
        </is>
      </c>
      <c r="D4308" s="2" t="n">
        <v>107</v>
      </c>
      <c r="E4308" s="2" t="n">
        <v>107</v>
      </c>
      <c r="F4308" s="2" t="n">
        <v>1</v>
      </c>
      <c r="G4308" s="2" t="n">
        <v>1</v>
      </c>
      <c r="H4308" s="2" t="n">
        <v>0</v>
      </c>
      <c r="I4308" s="2" t="n">
        <v>0</v>
      </c>
    </row>
    <row r="4309">
      <c r="A4309" s="2" t="n">
        <v>4307</v>
      </c>
      <c r="B4309" s="2" t="inlineStr">
        <is>
          <t>length</t>
        </is>
      </c>
      <c r="C4309" s="2" t="inlineStr">
        <is>
          <t>browser firefox147</t>
        </is>
      </c>
      <c r="D4309" s="2" t="n">
        <v>1901</v>
      </c>
      <c r="E4309" s="2" t="n">
        <v>1901</v>
      </c>
      <c r="F4309" s="2" t="n">
        <v>1</v>
      </c>
      <c r="G4309" s="2" t="n">
        <v>1</v>
      </c>
      <c r="H4309" s="2" t="n">
        <v>0</v>
      </c>
      <c r="I4309" s="2" t="n">
        <v>0</v>
      </c>
    </row>
    <row r="4310">
      <c r="A4310" s="2" t="n">
        <v>4308</v>
      </c>
      <c r="B4310" s="2" t="inlineStr">
        <is>
          <t>insert</t>
        </is>
      </c>
      <c r="C4310" s="2" t="inlineStr">
        <is>
          <t>openssl TLS 1.2 only</t>
        </is>
      </c>
      <c r="D4310" s="2" t="n">
        <v>218</v>
      </c>
      <c r="E4310" s="2" t="n">
        <v>218</v>
      </c>
      <c r="F4310" s="2" t="n">
        <v>1</v>
      </c>
      <c r="G4310" s="2" t="n">
        <v>1</v>
      </c>
      <c r="H4310" s="2" t="n">
        <v>1</v>
      </c>
      <c r="I4310" s="2" t="n">
        <v>0</v>
      </c>
    </row>
    <row r="4311">
      <c r="A4311" s="2" t="n">
        <v>4309</v>
      </c>
      <c r="B4311" s="2" t="inlineStr">
        <is>
          <t>flip</t>
        </is>
      </c>
      <c r="C4311" s="2" t="inlineStr">
        <is>
          <t>openssl X25519 only (classical)</t>
        </is>
      </c>
      <c r="D4311" s="2" t="n">
        <v>314</v>
      </c>
      <c r="E4311" s="2" t="n">
        <v>314</v>
      </c>
      <c r="F4311" s="2" t="n">
        <v>1</v>
      </c>
      <c r="G4311" s="2" t="n">
        <v>1</v>
      </c>
      <c r="H4311" s="2" t="n">
        <v>1</v>
      </c>
      <c r="I4311" s="2" t="n">
        <v>0</v>
      </c>
    </row>
    <row r="4312">
      <c r="A4312" s="2" t="n">
        <v>4310</v>
      </c>
      <c r="B4312" s="2" t="inlineStr">
        <is>
          <t>truncate</t>
        </is>
      </c>
      <c r="C4312" s="2" t="inlineStr">
        <is>
          <t>browser firefox147</t>
        </is>
      </c>
      <c r="D4312" s="2" t="n">
        <v>590</v>
      </c>
      <c r="E4312" s="2" t="n">
        <v>590</v>
      </c>
      <c r="F4312" s="2" t="n">
        <v>1</v>
      </c>
      <c r="G4312" s="2" t="n">
        <v>1</v>
      </c>
      <c r="H4312" s="2" t="n">
        <v>0</v>
      </c>
      <c r="I4312" s="2" t="n">
        <v>0</v>
      </c>
    </row>
    <row r="4313">
      <c r="A4313" s="2" t="n">
        <v>4311</v>
      </c>
      <c r="B4313" s="2" t="inlineStr">
        <is>
          <t>length</t>
        </is>
      </c>
      <c r="C4313" s="2" t="inlineStr">
        <is>
          <t>openssl X25519 only (classical)</t>
        </is>
      </c>
      <c r="D4313" s="2" t="n">
        <v>314</v>
      </c>
      <c r="E4313" s="2" t="n">
        <v>314</v>
      </c>
      <c r="F4313" s="2" t="n">
        <v>1</v>
      </c>
      <c r="G4313" s="2" t="n">
        <v>1</v>
      </c>
      <c r="H4313" s="2" t="n">
        <v>0</v>
      </c>
      <c r="I4313" s="2" t="n">
        <v>0</v>
      </c>
    </row>
    <row r="4314">
      <c r="A4314" s="2" t="n">
        <v>4312</v>
      </c>
      <c r="B4314" s="2" t="inlineStr">
        <is>
          <t>insert</t>
        </is>
      </c>
      <c r="C4314" s="2" t="inlineStr">
        <is>
          <t>browser firefox147</t>
        </is>
      </c>
      <c r="D4314" s="2" t="n">
        <v>1909</v>
      </c>
      <c r="E4314" s="2" t="n">
        <v>1909</v>
      </c>
      <c r="F4314" s="2" t="n">
        <v>1</v>
      </c>
      <c r="G4314" s="2" t="n">
        <v>1</v>
      </c>
      <c r="H4314" s="2" t="n">
        <v>0</v>
      </c>
      <c r="I4314" s="2" t="n">
        <v>0</v>
      </c>
    </row>
    <row r="4315">
      <c r="A4315" s="2" t="n">
        <v>4313</v>
      </c>
      <c r="B4315" s="2" t="inlineStr">
        <is>
          <t>flip</t>
        </is>
      </c>
      <c r="C4315" s="2" t="inlineStr">
        <is>
          <t>openssl X25519 only (classical)</t>
        </is>
      </c>
      <c r="D4315" s="2" t="n">
        <v>314</v>
      </c>
      <c r="E4315" s="2" t="n">
        <v>314</v>
      </c>
      <c r="F4315" s="2" t="n">
        <v>1</v>
      </c>
      <c r="G4315" s="2" t="n">
        <v>1</v>
      </c>
      <c r="H4315" s="2" t="n">
        <v>0</v>
      </c>
      <c r="I4315" s="2" t="n">
        <v>0</v>
      </c>
    </row>
    <row r="4316">
      <c r="A4316" s="2" t="n">
        <v>4314</v>
      </c>
      <c r="B4316" s="2" t="inlineStr">
        <is>
          <t>truncate</t>
        </is>
      </c>
      <c r="C4316" s="2" t="inlineStr">
        <is>
          <t>browser chrome150</t>
        </is>
      </c>
      <c r="D4316" s="2" t="n">
        <v>104</v>
      </c>
      <c r="E4316" s="2" t="n">
        <v>104</v>
      </c>
      <c r="F4316" s="2" t="n">
        <v>1</v>
      </c>
      <c r="G4316" s="2" t="n">
        <v>0</v>
      </c>
      <c r="H4316" s="2" t="n">
        <v>0</v>
      </c>
      <c r="I4316" s="2" t="n">
        <v>0</v>
      </c>
    </row>
    <row r="4317">
      <c r="A4317" s="2" t="n">
        <v>4315</v>
      </c>
      <c r="B4317" s="2" t="inlineStr">
        <is>
          <t>length</t>
        </is>
      </c>
      <c r="C4317" s="2" t="inlineStr">
        <is>
          <t>openssl X25519 only (classical)</t>
        </is>
      </c>
      <c r="D4317" s="2" t="n">
        <v>314</v>
      </c>
      <c r="E4317" s="2" t="n">
        <v>314</v>
      </c>
      <c r="F4317" s="2" t="n">
        <v>0</v>
      </c>
      <c r="G4317" s="2" t="n">
        <v>0</v>
      </c>
      <c r="H4317" s="2" t="n">
        <v>0</v>
      </c>
      <c r="I4317" s="2" t="n">
        <v>0</v>
      </c>
    </row>
    <row r="4318">
      <c r="A4318" s="2" t="n">
        <v>4316</v>
      </c>
      <c r="B4318" s="2" t="inlineStr">
        <is>
          <t>insert</t>
        </is>
      </c>
      <c r="C4318" s="2" t="inlineStr">
        <is>
          <t>openssl 3.5.8 default</t>
        </is>
      </c>
      <c r="D4318" s="2" t="n">
        <v>1553</v>
      </c>
      <c r="E4318" s="2" t="n">
        <v>1553</v>
      </c>
      <c r="F4318" s="2" t="n">
        <v>1</v>
      </c>
      <c r="G4318" s="2" t="n">
        <v>1</v>
      </c>
      <c r="H4318" s="2" t="n">
        <v>1</v>
      </c>
      <c r="I4318" s="2" t="n">
        <v>0</v>
      </c>
    </row>
    <row r="4319">
      <c r="A4319" s="2" t="n">
        <v>4317</v>
      </c>
      <c r="B4319" s="2" t="inlineStr">
        <is>
          <t>flip</t>
        </is>
      </c>
      <c r="C4319" s="2" t="inlineStr">
        <is>
          <t>openssl TLS 1.2 only</t>
        </is>
      </c>
      <c r="D4319" s="2" t="n">
        <v>215</v>
      </c>
      <c r="E4319" s="2" t="n">
        <v>215</v>
      </c>
      <c r="F4319" s="2" t="n">
        <v>1</v>
      </c>
      <c r="G4319" s="2" t="n">
        <v>1</v>
      </c>
      <c r="H4319" s="2" t="n">
        <v>1</v>
      </c>
      <c r="I4319" s="2" t="n">
        <v>0</v>
      </c>
    </row>
    <row r="4320">
      <c r="A4320" s="2" t="n">
        <v>4318</v>
      </c>
      <c r="B4320" s="2" t="inlineStr">
        <is>
          <t>truncate</t>
        </is>
      </c>
      <c r="C4320" s="2" t="inlineStr">
        <is>
          <t>openssl TLS 1.2 only</t>
        </is>
      </c>
      <c r="D4320" s="2" t="n">
        <v>165</v>
      </c>
      <c r="E4320" s="2" t="n">
        <v>165</v>
      </c>
      <c r="F4320" s="2" t="n">
        <v>1</v>
      </c>
      <c r="G4320" s="2" t="n">
        <v>1</v>
      </c>
      <c r="H4320" s="2" t="n">
        <v>0</v>
      </c>
      <c r="I4320" s="2" t="n">
        <v>0</v>
      </c>
    </row>
    <row r="4321">
      <c r="A4321" s="2" t="n">
        <v>4319</v>
      </c>
      <c r="B4321" s="2" t="inlineStr">
        <is>
          <t>length</t>
        </is>
      </c>
      <c r="C4321" s="2" t="inlineStr">
        <is>
          <t>openssl TLS 1.2 only</t>
        </is>
      </c>
      <c r="D4321" s="2" t="n">
        <v>215</v>
      </c>
      <c r="E4321" s="2" t="n">
        <v>215</v>
      </c>
      <c r="F4321" s="2" t="n">
        <v>1</v>
      </c>
      <c r="G4321" s="2" t="n">
        <v>1</v>
      </c>
      <c r="H4321" s="2" t="n">
        <v>1</v>
      </c>
      <c r="I4321" s="2" t="n">
        <v>0</v>
      </c>
    </row>
    <row r="4322">
      <c r="A4322" s="2" t="n">
        <v>4320</v>
      </c>
      <c r="B4322" s="2" t="inlineStr">
        <is>
          <t>insert</t>
        </is>
      </c>
      <c r="C4322" s="2" t="inlineStr">
        <is>
          <t>openssl 3.5.8 default</t>
        </is>
      </c>
      <c r="D4322" s="2" t="n">
        <v>1551</v>
      </c>
      <c r="E4322" s="2" t="n">
        <v>1551</v>
      </c>
      <c r="F4322" s="2" t="n">
        <v>1</v>
      </c>
      <c r="G4322" s="2" t="n">
        <v>1</v>
      </c>
      <c r="H4322" s="2" t="n">
        <v>1</v>
      </c>
      <c r="I4322" s="2" t="n">
        <v>0</v>
      </c>
    </row>
    <row r="4323">
      <c r="A4323" s="2" t="n">
        <v>4321</v>
      </c>
      <c r="B4323" s="2" t="inlineStr">
        <is>
          <t>flip</t>
        </is>
      </c>
      <c r="C4323" s="2" t="inlineStr">
        <is>
          <t>openssl X25519 only (classical)</t>
        </is>
      </c>
      <c r="D4323" s="2" t="n">
        <v>314</v>
      </c>
      <c r="E4323" s="2" t="n">
        <v>314</v>
      </c>
      <c r="F4323" s="2" t="n">
        <v>1</v>
      </c>
      <c r="G4323" s="2" t="n">
        <v>1</v>
      </c>
      <c r="H4323" s="2" t="n">
        <v>1</v>
      </c>
      <c r="I4323" s="2" t="n">
        <v>0</v>
      </c>
    </row>
    <row r="4324">
      <c r="A4324" s="2" t="n">
        <v>4322</v>
      </c>
      <c r="B4324" s="2" t="inlineStr">
        <is>
          <t>truncate</t>
        </is>
      </c>
      <c r="C4324" s="2" t="inlineStr">
        <is>
          <t>browser firefox147</t>
        </is>
      </c>
      <c r="D4324" s="2" t="n">
        <v>86</v>
      </c>
      <c r="E4324" s="2" t="n">
        <v>86</v>
      </c>
      <c r="F4324" s="2" t="n">
        <v>1</v>
      </c>
      <c r="G4324" s="2" t="n">
        <v>0</v>
      </c>
      <c r="H4324" s="2" t="n">
        <v>0</v>
      </c>
      <c r="I4324" s="2" t="n">
        <v>0</v>
      </c>
    </row>
    <row r="4325">
      <c r="A4325" s="2" t="n">
        <v>4323</v>
      </c>
      <c r="B4325" s="2" t="inlineStr">
        <is>
          <t>length</t>
        </is>
      </c>
      <c r="C4325" s="2" t="inlineStr">
        <is>
          <t>openssl X25519 only (classical)</t>
        </is>
      </c>
      <c r="D4325" s="2" t="n">
        <v>314</v>
      </c>
      <c r="E4325" s="2" t="n">
        <v>314</v>
      </c>
      <c r="F4325" s="2" t="n">
        <v>0</v>
      </c>
      <c r="G4325" s="2" t="n">
        <v>0</v>
      </c>
      <c r="H4325" s="2" t="n">
        <v>0</v>
      </c>
      <c r="I4325" s="2" t="n">
        <v>0</v>
      </c>
    </row>
    <row r="4326">
      <c r="A4326" s="2" t="n">
        <v>4324</v>
      </c>
      <c r="B4326" s="2" t="inlineStr">
        <is>
          <t>insert</t>
        </is>
      </c>
      <c r="C4326" s="2" t="inlineStr">
        <is>
          <t>browser firefox147</t>
        </is>
      </c>
      <c r="D4326" s="2" t="n">
        <v>1915</v>
      </c>
      <c r="E4326" s="2" t="n">
        <v>1915</v>
      </c>
      <c r="F4326" s="2" t="n">
        <v>1</v>
      </c>
      <c r="G4326" s="2" t="n">
        <v>1</v>
      </c>
      <c r="H4326" s="2" t="n">
        <v>0</v>
      </c>
      <c r="I4326" s="2" t="n">
        <v>0</v>
      </c>
    </row>
    <row r="4327">
      <c r="A4327" s="2" t="n">
        <v>4325</v>
      </c>
      <c r="B4327" s="2" t="inlineStr">
        <is>
          <t>flip</t>
        </is>
      </c>
      <c r="C4327" s="2" t="inlineStr">
        <is>
          <t>openssl TLS 1.2 only</t>
        </is>
      </c>
      <c r="D4327" s="2" t="n">
        <v>215</v>
      </c>
      <c r="E4327" s="2" t="n">
        <v>215</v>
      </c>
      <c r="F4327" s="2" t="n">
        <v>0</v>
      </c>
      <c r="G4327" s="2" t="n">
        <v>0</v>
      </c>
      <c r="H4327" s="2" t="n">
        <v>0</v>
      </c>
      <c r="I4327" s="2" t="n">
        <v>0</v>
      </c>
    </row>
    <row r="4328">
      <c r="A4328" s="2" t="n">
        <v>4326</v>
      </c>
      <c r="B4328" s="2" t="inlineStr">
        <is>
          <t>truncate</t>
        </is>
      </c>
      <c r="C4328" s="2" t="inlineStr">
        <is>
          <t>openssl TLS 1.2 only</t>
        </is>
      </c>
      <c r="D4328" s="2" t="n">
        <v>161</v>
      </c>
      <c r="E4328" s="2" t="n">
        <v>161</v>
      </c>
      <c r="F4328" s="2" t="n">
        <v>1</v>
      </c>
      <c r="G4328" s="2" t="n">
        <v>1</v>
      </c>
      <c r="H4328" s="2" t="n">
        <v>0</v>
      </c>
      <c r="I4328" s="2" t="n">
        <v>0</v>
      </c>
    </row>
    <row r="4329">
      <c r="A4329" s="2" t="n">
        <v>4327</v>
      </c>
      <c r="B4329" s="2" t="inlineStr">
        <is>
          <t>length</t>
        </is>
      </c>
      <c r="C4329" s="2" t="inlineStr">
        <is>
          <t>openssl 3.5.8 default</t>
        </is>
      </c>
      <c r="D4329" s="2" t="n">
        <v>1548</v>
      </c>
      <c r="E4329" s="2" t="n">
        <v>1548</v>
      </c>
      <c r="F4329" s="2" t="n">
        <v>1</v>
      </c>
      <c r="G4329" s="2" t="n">
        <v>1</v>
      </c>
      <c r="H4329" s="2" t="n">
        <v>1</v>
      </c>
      <c r="I4329" s="2" t="n">
        <v>0</v>
      </c>
    </row>
    <row r="4330">
      <c r="A4330" s="2" t="n">
        <v>4328</v>
      </c>
      <c r="B4330" s="2" t="inlineStr">
        <is>
          <t>insert</t>
        </is>
      </c>
      <c r="C4330" s="2" t="inlineStr">
        <is>
          <t>browser firefox147</t>
        </is>
      </c>
      <c r="D4330" s="2" t="n">
        <v>1915</v>
      </c>
      <c r="E4330" s="2" t="n">
        <v>1915</v>
      </c>
      <c r="F4330" s="2" t="n">
        <v>1</v>
      </c>
      <c r="G4330" s="2" t="n">
        <v>1</v>
      </c>
      <c r="H4330" s="2" t="n">
        <v>0</v>
      </c>
      <c r="I4330" s="2" t="n">
        <v>0</v>
      </c>
    </row>
    <row r="4331">
      <c r="A4331" s="2" t="n">
        <v>4329</v>
      </c>
      <c r="B4331" s="2" t="inlineStr">
        <is>
          <t>flip</t>
        </is>
      </c>
      <c r="C4331" s="2" t="inlineStr">
        <is>
          <t>browser chrome150</t>
        </is>
      </c>
      <c r="D4331" s="2" t="n">
        <v>1763</v>
      </c>
      <c r="E4331" s="2" t="n">
        <v>1763</v>
      </c>
      <c r="F4331" s="2" t="n">
        <v>1</v>
      </c>
      <c r="G4331" s="2" t="n">
        <v>1</v>
      </c>
      <c r="H4331" s="2" t="n">
        <v>1</v>
      </c>
      <c r="I4331" s="2" t="n">
        <v>0</v>
      </c>
    </row>
    <row r="4332">
      <c r="A4332" s="2" t="n">
        <v>4330</v>
      </c>
      <c r="B4332" s="2" t="inlineStr">
        <is>
          <t>truncate</t>
        </is>
      </c>
      <c r="C4332" s="2" t="inlineStr">
        <is>
          <t>openssl 3.5.8 default</t>
        </is>
      </c>
      <c r="D4332" s="2" t="n">
        <v>977</v>
      </c>
      <c r="E4332" s="2" t="n">
        <v>977</v>
      </c>
      <c r="F4332" s="2" t="n">
        <v>1</v>
      </c>
      <c r="G4332" s="2" t="n">
        <v>1</v>
      </c>
      <c r="H4332" s="2" t="n">
        <v>1</v>
      </c>
      <c r="I4332" s="2" t="n">
        <v>0</v>
      </c>
    </row>
    <row r="4333">
      <c r="A4333" s="2" t="n">
        <v>4331</v>
      </c>
      <c r="B4333" s="2" t="inlineStr">
        <is>
          <t>length</t>
        </is>
      </c>
      <c r="C4333" s="2" t="inlineStr">
        <is>
          <t>openssl X25519 only (classical)</t>
        </is>
      </c>
      <c r="D4333" s="2" t="n">
        <v>314</v>
      </c>
      <c r="E4333" s="2" t="n">
        <v>314</v>
      </c>
      <c r="F4333" s="2" t="n">
        <v>1</v>
      </c>
      <c r="G4333" s="2" t="n">
        <v>1</v>
      </c>
      <c r="H4333" s="2" t="n">
        <v>1</v>
      </c>
      <c r="I4333" s="2" t="n">
        <v>0</v>
      </c>
    </row>
    <row r="4334">
      <c r="A4334" s="2" t="n">
        <v>4332</v>
      </c>
      <c r="B4334" s="2" t="inlineStr">
        <is>
          <t>insert</t>
        </is>
      </c>
      <c r="C4334" s="2" t="inlineStr">
        <is>
          <t>openssl X25519 only (classical)</t>
        </is>
      </c>
      <c r="D4334" s="2" t="n">
        <v>327</v>
      </c>
      <c r="E4334" s="2" t="n">
        <v>327</v>
      </c>
      <c r="F4334" s="2" t="n">
        <v>1</v>
      </c>
      <c r="G4334" s="2" t="n">
        <v>0</v>
      </c>
      <c r="H4334" s="2" t="n">
        <v>0</v>
      </c>
      <c r="I4334" s="2" t="n">
        <v>0</v>
      </c>
    </row>
    <row r="4335">
      <c r="A4335" s="2" t="n">
        <v>4333</v>
      </c>
      <c r="B4335" s="2" t="inlineStr">
        <is>
          <t>flip</t>
        </is>
      </c>
      <c r="C4335" s="2" t="inlineStr">
        <is>
          <t>openssl TLS 1.2 only</t>
        </is>
      </c>
      <c r="D4335" s="2" t="n">
        <v>215</v>
      </c>
      <c r="E4335" s="2" t="n">
        <v>215</v>
      </c>
      <c r="F4335" s="2" t="n">
        <v>1</v>
      </c>
      <c r="G4335" s="2" t="n">
        <v>1</v>
      </c>
      <c r="H4335" s="2" t="n">
        <v>1</v>
      </c>
      <c r="I4335" s="2" t="n">
        <v>0</v>
      </c>
    </row>
    <row r="4336">
      <c r="A4336" s="2" t="n">
        <v>4334</v>
      </c>
      <c r="B4336" s="2" t="inlineStr">
        <is>
          <t>truncate</t>
        </is>
      </c>
      <c r="C4336" s="2" t="inlineStr">
        <is>
          <t>openssl X25519 only (classical)</t>
        </is>
      </c>
      <c r="D4336" s="2" t="n">
        <v>118</v>
      </c>
      <c r="E4336" s="2" t="n">
        <v>118</v>
      </c>
      <c r="F4336" s="2" t="n">
        <v>1</v>
      </c>
      <c r="G4336" s="2" t="n">
        <v>0</v>
      </c>
      <c r="H4336" s="2" t="n">
        <v>0</v>
      </c>
      <c r="I4336" s="2" t="n">
        <v>0</v>
      </c>
    </row>
    <row r="4337">
      <c r="A4337" s="2" t="n">
        <v>4335</v>
      </c>
      <c r="B4337" s="2" t="inlineStr">
        <is>
          <t>length</t>
        </is>
      </c>
      <c r="C4337" s="2" t="inlineStr">
        <is>
          <t>openssl X25519 only (classical)</t>
        </is>
      </c>
      <c r="D4337" s="2" t="n">
        <v>314</v>
      </c>
      <c r="E4337" s="2" t="n">
        <v>314</v>
      </c>
      <c r="F4337" s="2" t="n">
        <v>0</v>
      </c>
      <c r="G4337" s="2" t="n">
        <v>0</v>
      </c>
      <c r="H4337" s="2" t="n">
        <v>0</v>
      </c>
      <c r="I4337" s="2" t="n">
        <v>0</v>
      </c>
    </row>
    <row r="4338">
      <c r="A4338" s="2" t="n">
        <v>4336</v>
      </c>
      <c r="B4338" s="2" t="inlineStr">
        <is>
          <t>insert</t>
        </is>
      </c>
      <c r="C4338" s="2" t="inlineStr">
        <is>
          <t>openssl TLS 1.2 only</t>
        </is>
      </c>
      <c r="D4338" s="2" t="n">
        <v>224</v>
      </c>
      <c r="E4338" s="2" t="n">
        <v>224</v>
      </c>
      <c r="F4338" s="2" t="n">
        <v>1</v>
      </c>
      <c r="G4338" s="2" t="n">
        <v>1</v>
      </c>
      <c r="H4338" s="2" t="n">
        <v>1</v>
      </c>
      <c r="I4338" s="2" t="n">
        <v>0</v>
      </c>
    </row>
    <row r="4339">
      <c r="A4339" s="2" t="n">
        <v>4337</v>
      </c>
      <c r="B4339" s="2" t="inlineStr">
        <is>
          <t>flip</t>
        </is>
      </c>
      <c r="C4339" s="2" t="inlineStr">
        <is>
          <t>browser chrome150</t>
        </is>
      </c>
      <c r="D4339" s="2" t="n">
        <v>1763</v>
      </c>
      <c r="E4339" s="2" t="n">
        <v>1763</v>
      </c>
      <c r="F4339" s="2" t="n">
        <v>1</v>
      </c>
      <c r="G4339" s="2" t="n">
        <v>1</v>
      </c>
      <c r="H4339" s="2" t="n">
        <v>1</v>
      </c>
      <c r="I4339" s="2" t="n">
        <v>0</v>
      </c>
    </row>
    <row r="4340">
      <c r="A4340" s="2" t="n">
        <v>4338</v>
      </c>
      <c r="B4340" s="2" t="inlineStr">
        <is>
          <t>truncate</t>
        </is>
      </c>
      <c r="C4340" s="2" t="inlineStr">
        <is>
          <t>openssl 3.5.8 default</t>
        </is>
      </c>
      <c r="D4340" s="2" t="n">
        <v>861</v>
      </c>
      <c r="E4340" s="2" t="n">
        <v>861</v>
      </c>
      <c r="F4340" s="2" t="n">
        <v>1</v>
      </c>
      <c r="G4340" s="2" t="n">
        <v>1</v>
      </c>
      <c r="H4340" s="2" t="n">
        <v>1</v>
      </c>
      <c r="I4340" s="2" t="n">
        <v>0</v>
      </c>
    </row>
    <row r="4341">
      <c r="A4341" s="2" t="n">
        <v>4339</v>
      </c>
      <c r="B4341" s="2" t="inlineStr">
        <is>
          <t>length</t>
        </is>
      </c>
      <c r="C4341" s="2" t="inlineStr">
        <is>
          <t>browser firefox147</t>
        </is>
      </c>
      <c r="D4341" s="2" t="n">
        <v>1901</v>
      </c>
      <c r="E4341" s="2" t="n">
        <v>1901</v>
      </c>
      <c r="F4341" s="2" t="n">
        <v>1</v>
      </c>
      <c r="G4341" s="2" t="n">
        <v>1</v>
      </c>
      <c r="H4341" s="2" t="n">
        <v>0</v>
      </c>
      <c r="I4341" s="2" t="n">
        <v>0</v>
      </c>
    </row>
    <row r="4342">
      <c r="A4342" s="2" t="n">
        <v>4340</v>
      </c>
      <c r="B4342" s="2" t="inlineStr">
        <is>
          <t>insert</t>
        </is>
      </c>
      <c r="C4342" s="2" t="inlineStr">
        <is>
          <t>browser firefox147</t>
        </is>
      </c>
      <c r="D4342" s="2" t="n">
        <v>1915</v>
      </c>
      <c r="E4342" s="2" t="n">
        <v>1915</v>
      </c>
      <c r="F4342" s="2" t="n">
        <v>1</v>
      </c>
      <c r="G4342" s="2" t="n">
        <v>1</v>
      </c>
      <c r="H4342" s="2" t="n">
        <v>0</v>
      </c>
      <c r="I4342" s="2" t="n">
        <v>0</v>
      </c>
    </row>
    <row r="4343">
      <c r="A4343" s="2" t="n">
        <v>4341</v>
      </c>
      <c r="B4343" s="2" t="inlineStr">
        <is>
          <t>flip</t>
        </is>
      </c>
      <c r="C4343" s="2" t="inlineStr">
        <is>
          <t>openssl 3.5.8 default</t>
        </is>
      </c>
      <c r="D4343" s="2" t="n">
        <v>1548</v>
      </c>
      <c r="E4343" s="2" t="n">
        <v>1548</v>
      </c>
      <c r="F4343" s="2" t="n">
        <v>1</v>
      </c>
      <c r="G4343" s="2" t="n">
        <v>1</v>
      </c>
      <c r="H4343" s="2" t="n">
        <v>1</v>
      </c>
      <c r="I4343" s="2" t="n">
        <v>0</v>
      </c>
    </row>
    <row r="4344">
      <c r="A4344" s="2" t="n">
        <v>4342</v>
      </c>
      <c r="B4344" s="2" t="inlineStr">
        <is>
          <t>truncate</t>
        </is>
      </c>
      <c r="C4344" s="2" t="inlineStr">
        <is>
          <t>browser firefox147</t>
        </is>
      </c>
      <c r="D4344" s="2" t="n">
        <v>903</v>
      </c>
      <c r="E4344" s="2" t="n">
        <v>903</v>
      </c>
      <c r="F4344" s="2" t="n">
        <v>1</v>
      </c>
      <c r="G4344" s="2" t="n">
        <v>1</v>
      </c>
      <c r="H4344" s="2" t="n">
        <v>0</v>
      </c>
      <c r="I4344" s="2" t="n">
        <v>0</v>
      </c>
    </row>
    <row r="4345">
      <c r="A4345" s="2" t="n">
        <v>4343</v>
      </c>
      <c r="B4345" s="2" t="inlineStr">
        <is>
          <t>length</t>
        </is>
      </c>
      <c r="C4345" s="2" t="inlineStr">
        <is>
          <t>openssl 3.5.8 default</t>
        </is>
      </c>
      <c r="D4345" s="2" t="n">
        <v>1548</v>
      </c>
      <c r="E4345" s="2" t="n">
        <v>1548</v>
      </c>
      <c r="F4345" s="2" t="n">
        <v>1</v>
      </c>
      <c r="G4345" s="2" t="n">
        <v>1</v>
      </c>
      <c r="H4345" s="2" t="n">
        <v>1</v>
      </c>
      <c r="I4345" s="2" t="n">
        <v>0</v>
      </c>
    </row>
    <row r="4346">
      <c r="A4346" s="2" t="n">
        <v>4344</v>
      </c>
      <c r="B4346" s="2" t="inlineStr">
        <is>
          <t>insert</t>
        </is>
      </c>
      <c r="C4346" s="2" t="inlineStr">
        <is>
          <t>openssl TLS 1.2 only</t>
        </is>
      </c>
      <c r="D4346" s="2" t="n">
        <v>230</v>
      </c>
      <c r="E4346" s="2" t="n">
        <v>230</v>
      </c>
      <c r="F4346" s="2" t="n">
        <v>1</v>
      </c>
      <c r="G4346" s="2" t="n">
        <v>1</v>
      </c>
      <c r="H4346" s="2" t="n">
        <v>1</v>
      </c>
      <c r="I4346" s="2" t="n">
        <v>0</v>
      </c>
    </row>
    <row r="4347">
      <c r="A4347" s="2" t="n">
        <v>4345</v>
      </c>
      <c r="B4347" s="2" t="inlineStr">
        <is>
          <t>flip</t>
        </is>
      </c>
      <c r="C4347" s="2" t="inlineStr">
        <is>
          <t>openssl TLS 1.2 only</t>
        </is>
      </c>
      <c r="D4347" s="2" t="n">
        <v>215</v>
      </c>
      <c r="E4347" s="2" t="n">
        <v>215</v>
      </c>
      <c r="F4347" s="2" t="n">
        <v>0</v>
      </c>
      <c r="G4347" s="2" t="n">
        <v>0</v>
      </c>
      <c r="H4347" s="2" t="n">
        <v>0</v>
      </c>
      <c r="I4347" s="2" t="n">
        <v>0</v>
      </c>
    </row>
    <row r="4348">
      <c r="A4348" s="2" t="n">
        <v>4346</v>
      </c>
      <c r="B4348" s="2" t="inlineStr">
        <is>
          <t>truncate</t>
        </is>
      </c>
      <c r="C4348" s="2" t="inlineStr">
        <is>
          <t>openssl X25519 only (classical)</t>
        </is>
      </c>
      <c r="D4348" s="2" t="n">
        <v>282</v>
      </c>
      <c r="E4348" s="2" t="n">
        <v>282</v>
      </c>
      <c r="F4348" s="2" t="n">
        <v>1</v>
      </c>
      <c r="G4348" s="2" t="n">
        <v>1</v>
      </c>
      <c r="H4348" s="2" t="n">
        <v>1</v>
      </c>
      <c r="I4348" s="2" t="n">
        <v>0</v>
      </c>
    </row>
    <row r="4349">
      <c r="A4349" s="2" t="n">
        <v>4347</v>
      </c>
      <c r="B4349" s="2" t="inlineStr">
        <is>
          <t>length</t>
        </is>
      </c>
      <c r="C4349" s="2" t="inlineStr">
        <is>
          <t>browser firefox147</t>
        </is>
      </c>
      <c r="D4349" s="2" t="n">
        <v>1901</v>
      </c>
      <c r="E4349" s="2" t="n">
        <v>1901</v>
      </c>
      <c r="F4349" s="2" t="n">
        <v>1</v>
      </c>
      <c r="G4349" s="2" t="n">
        <v>1</v>
      </c>
      <c r="H4349" s="2" t="n">
        <v>1</v>
      </c>
      <c r="I4349" s="2" t="n">
        <v>0</v>
      </c>
    </row>
    <row r="4350">
      <c r="A4350" s="2" t="n">
        <v>4348</v>
      </c>
      <c r="B4350" s="2" t="inlineStr">
        <is>
          <t>insert</t>
        </is>
      </c>
      <c r="C4350" s="2" t="inlineStr">
        <is>
          <t>browser chrome150</t>
        </is>
      </c>
      <c r="D4350" s="2" t="n">
        <v>1779</v>
      </c>
      <c r="E4350" s="2" t="n">
        <v>1779</v>
      </c>
      <c r="F4350" s="2" t="n">
        <v>1</v>
      </c>
      <c r="G4350" s="2" t="n">
        <v>1</v>
      </c>
      <c r="H4350" s="2" t="n">
        <v>1</v>
      </c>
      <c r="I4350" s="2" t="n">
        <v>0</v>
      </c>
    </row>
    <row r="4351">
      <c r="A4351" s="2" t="n">
        <v>4349</v>
      </c>
      <c r="B4351" s="2" t="inlineStr">
        <is>
          <t>flip</t>
        </is>
      </c>
      <c r="C4351" s="2" t="inlineStr">
        <is>
          <t>openssl TLS 1.2 only</t>
        </is>
      </c>
      <c r="D4351" s="2" t="n">
        <v>215</v>
      </c>
      <c r="E4351" s="2" t="n">
        <v>215</v>
      </c>
      <c r="F4351" s="2" t="n">
        <v>1</v>
      </c>
      <c r="G4351" s="2" t="n">
        <v>1</v>
      </c>
      <c r="H4351" s="2" t="n">
        <v>0</v>
      </c>
      <c r="I4351" s="2" t="n">
        <v>0</v>
      </c>
    </row>
    <row r="4352">
      <c r="A4352" s="2" t="n">
        <v>4350</v>
      </c>
      <c r="B4352" s="2" t="inlineStr">
        <is>
          <t>truncate</t>
        </is>
      </c>
      <c r="C4352" s="2" t="inlineStr">
        <is>
          <t>openssl 3.5.8 default</t>
        </is>
      </c>
      <c r="D4352" s="2" t="n">
        <v>69</v>
      </c>
      <c r="E4352" s="2" t="n">
        <v>69</v>
      </c>
      <c r="F4352" s="2" t="n">
        <v>1</v>
      </c>
      <c r="G4352" s="2" t="n">
        <v>0</v>
      </c>
      <c r="H4352" s="2" t="n">
        <v>0</v>
      </c>
      <c r="I4352" s="2" t="n">
        <v>0</v>
      </c>
    </row>
    <row r="4353">
      <c r="A4353" s="2" t="n">
        <v>4351</v>
      </c>
      <c r="B4353" s="2" t="inlineStr">
        <is>
          <t>length</t>
        </is>
      </c>
      <c r="C4353" s="2" t="inlineStr">
        <is>
          <t>openssl 3.5.8 default</t>
        </is>
      </c>
      <c r="D4353" s="2" t="n">
        <v>1548</v>
      </c>
      <c r="E4353" s="2" t="n">
        <v>1548</v>
      </c>
      <c r="F4353" s="2" t="n">
        <v>0</v>
      </c>
      <c r="G4353" s="2" t="n">
        <v>0</v>
      </c>
      <c r="H4353" s="2" t="n">
        <v>0</v>
      </c>
      <c r="I4353" s="2" t="n">
        <v>0</v>
      </c>
    </row>
    <row r="4354">
      <c r="A4354" s="2" t="n">
        <v>4352</v>
      </c>
      <c r="B4354" s="2" t="inlineStr">
        <is>
          <t>insert</t>
        </is>
      </c>
      <c r="C4354" s="2" t="inlineStr">
        <is>
          <t>openssl 3.5.8 default</t>
        </is>
      </c>
      <c r="D4354" s="2" t="n">
        <v>1564</v>
      </c>
      <c r="E4354" s="2" t="n">
        <v>1564</v>
      </c>
      <c r="F4354" s="2" t="n">
        <v>1</v>
      </c>
      <c r="G4354" s="2" t="n">
        <v>1</v>
      </c>
      <c r="H4354" s="2" t="n">
        <v>0</v>
      </c>
      <c r="I4354" s="2" t="n">
        <v>0</v>
      </c>
    </row>
    <row r="4355">
      <c r="A4355" s="2" t="n">
        <v>4353</v>
      </c>
      <c r="B4355" s="2" t="inlineStr">
        <is>
          <t>flip</t>
        </is>
      </c>
      <c r="C4355" s="2" t="inlineStr">
        <is>
          <t>browser chrome150</t>
        </is>
      </c>
      <c r="D4355" s="2" t="n">
        <v>1763</v>
      </c>
      <c r="E4355" s="2" t="n">
        <v>1763</v>
      </c>
      <c r="F4355" s="2" t="n">
        <v>1</v>
      </c>
      <c r="G4355" s="2" t="n">
        <v>1</v>
      </c>
      <c r="H4355" s="2" t="n">
        <v>1</v>
      </c>
      <c r="I4355" s="2" t="n">
        <v>0</v>
      </c>
    </row>
    <row r="4356">
      <c r="A4356" s="2" t="n">
        <v>4354</v>
      </c>
      <c r="B4356" s="2" t="inlineStr">
        <is>
          <t>truncate</t>
        </is>
      </c>
      <c r="C4356" s="2" t="inlineStr">
        <is>
          <t>openssl TLS 1.2 only</t>
        </is>
      </c>
      <c r="D4356" s="2" t="n">
        <v>89</v>
      </c>
      <c r="E4356" s="2" t="n">
        <v>89</v>
      </c>
      <c r="F4356" s="2" t="n">
        <v>1</v>
      </c>
      <c r="G4356" s="2" t="n">
        <v>0</v>
      </c>
      <c r="H4356" s="2" t="n">
        <v>0</v>
      </c>
      <c r="I4356" s="2" t="n">
        <v>0</v>
      </c>
    </row>
    <row r="4357">
      <c r="A4357" s="2" t="n">
        <v>4355</v>
      </c>
      <c r="B4357" s="2" t="inlineStr">
        <is>
          <t>length</t>
        </is>
      </c>
      <c r="C4357" s="2" t="inlineStr">
        <is>
          <t>browser chrome150</t>
        </is>
      </c>
      <c r="D4357" s="2" t="n">
        <v>1763</v>
      </c>
      <c r="E4357" s="2" t="n">
        <v>1763</v>
      </c>
      <c r="F4357" s="2" t="n">
        <v>1</v>
      </c>
      <c r="G4357" s="2" t="n">
        <v>1</v>
      </c>
      <c r="H4357" s="2" t="n">
        <v>1</v>
      </c>
      <c r="I4357" s="2" t="n">
        <v>0</v>
      </c>
    </row>
    <row r="4358">
      <c r="A4358" s="2" t="n">
        <v>4356</v>
      </c>
      <c r="B4358" s="2" t="inlineStr">
        <is>
          <t>insert</t>
        </is>
      </c>
      <c r="C4358" s="2" t="inlineStr">
        <is>
          <t>browser firefox147</t>
        </is>
      </c>
      <c r="D4358" s="2" t="n">
        <v>1910</v>
      </c>
      <c r="E4358" s="2" t="n">
        <v>1910</v>
      </c>
      <c r="F4358" s="2" t="n">
        <v>1</v>
      </c>
      <c r="G4358" s="2" t="n">
        <v>1</v>
      </c>
      <c r="H4358" s="2" t="n">
        <v>0</v>
      </c>
      <c r="I4358" s="2" t="n">
        <v>0</v>
      </c>
    </row>
    <row r="4359">
      <c r="A4359" s="2" t="n">
        <v>4357</v>
      </c>
      <c r="B4359" s="2" t="inlineStr">
        <is>
          <t>flip</t>
        </is>
      </c>
      <c r="C4359" s="2" t="inlineStr">
        <is>
          <t>openssl X25519 only (classical)</t>
        </is>
      </c>
      <c r="D4359" s="2" t="n">
        <v>314</v>
      </c>
      <c r="E4359" s="2" t="n">
        <v>314</v>
      </c>
      <c r="F4359" s="2" t="n">
        <v>1</v>
      </c>
      <c r="G4359" s="2" t="n">
        <v>1</v>
      </c>
      <c r="H4359" s="2" t="n">
        <v>1</v>
      </c>
      <c r="I4359" s="2" t="n">
        <v>0</v>
      </c>
    </row>
    <row r="4360">
      <c r="A4360" s="2" t="n">
        <v>4358</v>
      </c>
      <c r="B4360" s="2" t="inlineStr">
        <is>
          <t>truncate</t>
        </is>
      </c>
      <c r="C4360" s="2" t="inlineStr">
        <is>
          <t>openssl 3.5.8 default</t>
        </is>
      </c>
      <c r="D4360" s="2" t="n">
        <v>1148</v>
      </c>
      <c r="E4360" s="2" t="n">
        <v>1148</v>
      </c>
      <c r="F4360" s="2" t="n">
        <v>1</v>
      </c>
      <c r="G4360" s="2" t="n">
        <v>1</v>
      </c>
      <c r="H4360" s="2" t="n">
        <v>1</v>
      </c>
      <c r="I4360" s="2" t="n">
        <v>0</v>
      </c>
    </row>
    <row r="4361">
      <c r="A4361" s="2" t="n">
        <v>4359</v>
      </c>
      <c r="B4361" s="2" t="inlineStr">
        <is>
          <t>length</t>
        </is>
      </c>
      <c r="C4361" s="2" t="inlineStr">
        <is>
          <t>openssl X25519 only (classical)</t>
        </is>
      </c>
      <c r="D4361" s="2" t="n">
        <v>314</v>
      </c>
      <c r="E4361" s="2" t="n">
        <v>314</v>
      </c>
      <c r="F4361" s="2" t="n">
        <v>1</v>
      </c>
      <c r="G4361" s="2" t="n">
        <v>1</v>
      </c>
      <c r="H4361" s="2" t="n">
        <v>1</v>
      </c>
      <c r="I4361" s="2" t="n">
        <v>0</v>
      </c>
    </row>
    <row r="4362">
      <c r="A4362" s="2" t="n">
        <v>4360</v>
      </c>
      <c r="B4362" s="2" t="inlineStr">
        <is>
          <t>insert</t>
        </is>
      </c>
      <c r="C4362" s="2" t="inlineStr">
        <is>
          <t>openssl TLS 1.2 only</t>
        </is>
      </c>
      <c r="D4362" s="2" t="n">
        <v>228</v>
      </c>
      <c r="E4362" s="2" t="n">
        <v>228</v>
      </c>
      <c r="F4362" s="2" t="n">
        <v>1</v>
      </c>
      <c r="G4362" s="2" t="n">
        <v>1</v>
      </c>
      <c r="H4362" s="2" t="n">
        <v>1</v>
      </c>
      <c r="I4362" s="2" t="n">
        <v>0</v>
      </c>
    </row>
    <row r="4363">
      <c r="A4363" s="2" t="n">
        <v>4361</v>
      </c>
      <c r="B4363" s="2" t="inlineStr">
        <is>
          <t>flip</t>
        </is>
      </c>
      <c r="C4363" s="2" t="inlineStr">
        <is>
          <t>openssl TLS 1.2 only</t>
        </is>
      </c>
      <c r="D4363" s="2" t="n">
        <v>215</v>
      </c>
      <c r="E4363" s="2" t="n">
        <v>215</v>
      </c>
      <c r="F4363" s="2" t="n">
        <v>1</v>
      </c>
      <c r="G4363" s="2" t="n">
        <v>1</v>
      </c>
      <c r="H4363" s="2" t="n">
        <v>1</v>
      </c>
      <c r="I4363" s="2" t="n">
        <v>0</v>
      </c>
    </row>
    <row r="4364">
      <c r="A4364" s="2" t="n">
        <v>4362</v>
      </c>
      <c r="B4364" s="2" t="inlineStr">
        <is>
          <t>truncate</t>
        </is>
      </c>
      <c r="C4364" s="2" t="inlineStr">
        <is>
          <t>openssl X25519 only (classical)</t>
        </is>
      </c>
      <c r="D4364" s="2" t="n">
        <v>134</v>
      </c>
      <c r="E4364" s="2" t="n">
        <v>134</v>
      </c>
      <c r="F4364" s="2" t="n">
        <v>1</v>
      </c>
      <c r="G4364" s="2" t="n">
        <v>0</v>
      </c>
      <c r="H4364" s="2" t="n">
        <v>0</v>
      </c>
      <c r="I4364" s="2" t="n">
        <v>0</v>
      </c>
    </row>
    <row r="4365">
      <c r="A4365" s="2" t="n">
        <v>4363</v>
      </c>
      <c r="B4365" s="2" t="inlineStr">
        <is>
          <t>length</t>
        </is>
      </c>
      <c r="C4365" s="2" t="inlineStr">
        <is>
          <t>browser chrome150</t>
        </is>
      </c>
      <c r="D4365" s="2" t="n">
        <v>1763</v>
      </c>
      <c r="E4365" s="2" t="n">
        <v>1763</v>
      </c>
      <c r="F4365" s="2" t="n">
        <v>1</v>
      </c>
      <c r="G4365" s="2" t="n">
        <v>1</v>
      </c>
      <c r="H4365" s="2" t="n">
        <v>1</v>
      </c>
      <c r="I4365" s="2" t="n">
        <v>0</v>
      </c>
    </row>
    <row r="4366">
      <c r="A4366" s="2" t="n">
        <v>4364</v>
      </c>
      <c r="B4366" s="2" t="inlineStr">
        <is>
          <t>insert</t>
        </is>
      </c>
      <c r="C4366" s="2" t="inlineStr">
        <is>
          <t>openssl X25519 only (classical)</t>
        </is>
      </c>
      <c r="D4366" s="2" t="n">
        <v>315</v>
      </c>
      <c r="E4366" s="2" t="n">
        <v>315</v>
      </c>
      <c r="F4366" s="2" t="n">
        <v>1</v>
      </c>
      <c r="G4366" s="2" t="n">
        <v>1</v>
      </c>
      <c r="H4366" s="2" t="n">
        <v>1</v>
      </c>
      <c r="I4366" s="2" t="n">
        <v>0</v>
      </c>
    </row>
    <row r="4367">
      <c r="A4367" s="2" t="n">
        <v>4365</v>
      </c>
      <c r="B4367" s="2" t="inlineStr">
        <is>
          <t>flip</t>
        </is>
      </c>
      <c r="C4367" s="2" t="inlineStr">
        <is>
          <t>browser firefox147</t>
        </is>
      </c>
      <c r="D4367" s="2" t="n">
        <v>1901</v>
      </c>
      <c r="E4367" s="2" t="n">
        <v>1901</v>
      </c>
      <c r="F4367" s="2" t="n">
        <v>1</v>
      </c>
      <c r="G4367" s="2" t="n">
        <v>1</v>
      </c>
      <c r="H4367" s="2" t="n">
        <v>0</v>
      </c>
      <c r="I4367" s="2" t="n">
        <v>0</v>
      </c>
    </row>
    <row r="4368">
      <c r="A4368" s="2" t="n">
        <v>4366</v>
      </c>
      <c r="B4368" s="2" t="inlineStr">
        <is>
          <t>truncate</t>
        </is>
      </c>
      <c r="C4368" s="2" t="inlineStr">
        <is>
          <t>browser chrome150</t>
        </is>
      </c>
      <c r="D4368" s="2" t="n">
        <v>1217</v>
      </c>
      <c r="E4368" s="2" t="n">
        <v>1217</v>
      </c>
      <c r="F4368" s="2" t="n">
        <v>1</v>
      </c>
      <c r="G4368" s="2" t="n">
        <v>1</v>
      </c>
      <c r="H4368" s="2" t="n">
        <v>1</v>
      </c>
      <c r="I4368" s="2" t="n">
        <v>0</v>
      </c>
    </row>
    <row r="4369">
      <c r="A4369" s="2" t="n">
        <v>4367</v>
      </c>
      <c r="B4369" s="2" t="inlineStr">
        <is>
          <t>length</t>
        </is>
      </c>
      <c r="C4369" s="2" t="inlineStr">
        <is>
          <t>openssl 3.5.8 default</t>
        </is>
      </c>
      <c r="D4369" s="2" t="n">
        <v>1548</v>
      </c>
      <c r="E4369" s="2" t="n">
        <v>1548</v>
      </c>
      <c r="F4369" s="2" t="n">
        <v>1</v>
      </c>
      <c r="G4369" s="2" t="n">
        <v>0</v>
      </c>
      <c r="H4369" s="2" t="n">
        <v>0</v>
      </c>
      <c r="I4369" s="2" t="n">
        <v>0</v>
      </c>
    </row>
    <row r="4370">
      <c r="A4370" s="2" t="n">
        <v>4368</v>
      </c>
      <c r="B4370" s="2" t="inlineStr">
        <is>
          <t>insert</t>
        </is>
      </c>
      <c r="C4370" s="2" t="inlineStr">
        <is>
          <t>browser chrome150</t>
        </is>
      </c>
      <c r="D4370" s="2" t="n">
        <v>1766</v>
      </c>
      <c r="E4370" s="2" t="n">
        <v>1766</v>
      </c>
      <c r="F4370" s="2" t="n">
        <v>1</v>
      </c>
      <c r="G4370" s="2" t="n">
        <v>1</v>
      </c>
      <c r="H4370" s="2" t="n">
        <v>1</v>
      </c>
      <c r="I4370" s="2" t="n">
        <v>0</v>
      </c>
    </row>
    <row r="4371">
      <c r="A4371" s="2" t="n">
        <v>4369</v>
      </c>
      <c r="B4371" s="2" t="inlineStr">
        <is>
          <t>flip</t>
        </is>
      </c>
      <c r="C4371" s="2" t="inlineStr">
        <is>
          <t>browser firefox147</t>
        </is>
      </c>
      <c r="D4371" s="2" t="n">
        <v>1901</v>
      </c>
      <c r="E4371" s="2" t="n">
        <v>1901</v>
      </c>
      <c r="F4371" s="2" t="n">
        <v>1</v>
      </c>
      <c r="G4371" s="2" t="n">
        <v>1</v>
      </c>
      <c r="H4371" s="2" t="n">
        <v>0</v>
      </c>
      <c r="I4371" s="2" t="n">
        <v>0</v>
      </c>
    </row>
    <row r="4372">
      <c r="A4372" s="2" t="n">
        <v>4370</v>
      </c>
      <c r="B4372" s="2" t="inlineStr">
        <is>
          <t>truncate</t>
        </is>
      </c>
      <c r="C4372" s="2" t="inlineStr">
        <is>
          <t>openssl TLS 1.2 only</t>
        </is>
      </c>
      <c r="D4372" s="2" t="n">
        <v>144</v>
      </c>
      <c r="E4372" s="2" t="n">
        <v>144</v>
      </c>
      <c r="F4372" s="2" t="n">
        <v>1</v>
      </c>
      <c r="G4372" s="2" t="n">
        <v>1</v>
      </c>
      <c r="H4372" s="2" t="n">
        <v>0</v>
      </c>
      <c r="I4372" s="2" t="n">
        <v>0</v>
      </c>
    </row>
    <row r="4373">
      <c r="A4373" s="2" t="n">
        <v>4371</v>
      </c>
      <c r="B4373" s="2" t="inlineStr">
        <is>
          <t>length</t>
        </is>
      </c>
      <c r="C4373" s="2" t="inlineStr">
        <is>
          <t>openssl 3.5.8 default</t>
        </is>
      </c>
      <c r="D4373" s="2" t="n">
        <v>1548</v>
      </c>
      <c r="E4373" s="2" t="n">
        <v>1548</v>
      </c>
      <c r="F4373" s="2" t="n">
        <v>1</v>
      </c>
      <c r="G4373" s="2" t="n">
        <v>0</v>
      </c>
      <c r="H4373" s="2" t="n">
        <v>0</v>
      </c>
      <c r="I4373" s="2" t="n">
        <v>0</v>
      </c>
    </row>
    <row r="4374">
      <c r="A4374" s="2" t="n">
        <v>4372</v>
      </c>
      <c r="B4374" s="2" t="inlineStr">
        <is>
          <t>insert</t>
        </is>
      </c>
      <c r="C4374" s="2" t="inlineStr">
        <is>
          <t>openssl TLS 1.2 only</t>
        </is>
      </c>
      <c r="D4374" s="2" t="n">
        <v>225</v>
      </c>
      <c r="E4374" s="2" t="n">
        <v>225</v>
      </c>
      <c r="F4374" s="2" t="n">
        <v>1</v>
      </c>
      <c r="G4374" s="2" t="n">
        <v>1</v>
      </c>
      <c r="H4374" s="2" t="n">
        <v>1</v>
      </c>
      <c r="I4374" s="2" t="n">
        <v>0</v>
      </c>
    </row>
    <row r="4375">
      <c r="A4375" s="2" t="n">
        <v>4373</v>
      </c>
      <c r="B4375" s="2" t="inlineStr">
        <is>
          <t>flip</t>
        </is>
      </c>
      <c r="C4375" s="2" t="inlineStr">
        <is>
          <t>openssl 3.5.8 default</t>
        </is>
      </c>
      <c r="D4375" s="2" t="n">
        <v>1548</v>
      </c>
      <c r="E4375" s="2" t="n">
        <v>1548</v>
      </c>
      <c r="F4375" s="2" t="n">
        <v>1</v>
      </c>
      <c r="G4375" s="2" t="n">
        <v>1</v>
      </c>
      <c r="H4375" s="2" t="n">
        <v>1</v>
      </c>
      <c r="I4375" s="2" t="n">
        <v>0</v>
      </c>
    </row>
    <row r="4376">
      <c r="A4376" s="2" t="n">
        <v>4374</v>
      </c>
      <c r="B4376" s="2" t="inlineStr">
        <is>
          <t>truncate</t>
        </is>
      </c>
      <c r="C4376" s="2" t="inlineStr">
        <is>
          <t>browser chrome150</t>
        </is>
      </c>
      <c r="D4376" s="2" t="n">
        <v>1066</v>
      </c>
      <c r="E4376" s="2" t="n">
        <v>1066</v>
      </c>
      <c r="F4376" s="2" t="n">
        <v>1</v>
      </c>
      <c r="G4376" s="2" t="n">
        <v>1</v>
      </c>
      <c r="H4376" s="2" t="n">
        <v>1</v>
      </c>
      <c r="I4376" s="2" t="n">
        <v>0</v>
      </c>
    </row>
    <row r="4377">
      <c r="A4377" s="2" t="n">
        <v>4375</v>
      </c>
      <c r="B4377" s="2" t="inlineStr">
        <is>
          <t>length</t>
        </is>
      </c>
      <c r="C4377" s="2" t="inlineStr">
        <is>
          <t>browser chrome150</t>
        </is>
      </c>
      <c r="D4377" s="2" t="n">
        <v>1763</v>
      </c>
      <c r="E4377" s="2" t="n">
        <v>1763</v>
      </c>
      <c r="F4377" s="2" t="n">
        <v>1</v>
      </c>
      <c r="G4377" s="2" t="n">
        <v>1</v>
      </c>
      <c r="H4377" s="2" t="n">
        <v>1</v>
      </c>
      <c r="I4377" s="2" t="n">
        <v>0</v>
      </c>
    </row>
    <row r="4378">
      <c r="A4378" s="2" t="n">
        <v>4376</v>
      </c>
      <c r="B4378" s="2" t="inlineStr">
        <is>
          <t>insert</t>
        </is>
      </c>
      <c r="C4378" s="2" t="inlineStr">
        <is>
          <t>browser firefox147</t>
        </is>
      </c>
      <c r="D4378" s="2" t="n">
        <v>1912</v>
      </c>
      <c r="E4378" s="2" t="n">
        <v>1912</v>
      </c>
      <c r="F4378" s="2" t="n">
        <v>1</v>
      </c>
      <c r="G4378" s="2" t="n">
        <v>1</v>
      </c>
      <c r="H4378" s="2" t="n">
        <v>1</v>
      </c>
      <c r="I4378" s="2" t="n">
        <v>0</v>
      </c>
    </row>
    <row r="4379">
      <c r="A4379" s="2" t="n">
        <v>4377</v>
      </c>
      <c r="B4379" s="2" t="inlineStr">
        <is>
          <t>flip</t>
        </is>
      </c>
      <c r="C4379" s="2" t="inlineStr">
        <is>
          <t>openssl TLS 1.2 only</t>
        </is>
      </c>
      <c r="D4379" s="2" t="n">
        <v>215</v>
      </c>
      <c r="E4379" s="2" t="n">
        <v>215</v>
      </c>
      <c r="F4379" s="2" t="n">
        <v>1</v>
      </c>
      <c r="G4379" s="2" t="n">
        <v>1</v>
      </c>
      <c r="H4379" s="2" t="n">
        <v>1</v>
      </c>
      <c r="I4379" s="2" t="n">
        <v>0</v>
      </c>
    </row>
    <row r="4380">
      <c r="A4380" s="2" t="n">
        <v>4378</v>
      </c>
      <c r="B4380" s="2" t="inlineStr">
        <is>
          <t>truncate</t>
        </is>
      </c>
      <c r="C4380" s="2" t="inlineStr">
        <is>
          <t>browser firefox147</t>
        </is>
      </c>
      <c r="D4380" s="2" t="n">
        <v>612</v>
      </c>
      <c r="E4380" s="2" t="n">
        <v>612</v>
      </c>
      <c r="F4380" s="2" t="n">
        <v>1</v>
      </c>
      <c r="G4380" s="2" t="n">
        <v>1</v>
      </c>
      <c r="H4380" s="2" t="n">
        <v>0</v>
      </c>
      <c r="I4380" s="2" t="n">
        <v>0</v>
      </c>
    </row>
    <row r="4381">
      <c r="A4381" s="2" t="n">
        <v>4379</v>
      </c>
      <c r="B4381" s="2" t="inlineStr">
        <is>
          <t>length</t>
        </is>
      </c>
      <c r="C4381" s="2" t="inlineStr">
        <is>
          <t>openssl X25519 only (classical)</t>
        </is>
      </c>
      <c r="D4381" s="2" t="n">
        <v>314</v>
      </c>
      <c r="E4381" s="2" t="n">
        <v>314</v>
      </c>
      <c r="F4381" s="2" t="n">
        <v>1</v>
      </c>
      <c r="G4381" s="2" t="n">
        <v>0</v>
      </c>
      <c r="H4381" s="2" t="n">
        <v>0</v>
      </c>
      <c r="I4381" s="2" t="n">
        <v>0</v>
      </c>
    </row>
    <row r="4382">
      <c r="A4382" s="2" t="n">
        <v>4380</v>
      </c>
      <c r="B4382" s="2" t="inlineStr">
        <is>
          <t>insert</t>
        </is>
      </c>
      <c r="C4382" s="2" t="inlineStr">
        <is>
          <t>openssl TLS 1.2 only</t>
        </is>
      </c>
      <c r="D4382" s="2" t="n">
        <v>225</v>
      </c>
      <c r="E4382" s="2" t="n">
        <v>225</v>
      </c>
      <c r="F4382" s="2" t="n">
        <v>1</v>
      </c>
      <c r="G4382" s="2" t="n">
        <v>1</v>
      </c>
      <c r="H4382" s="2" t="n">
        <v>1</v>
      </c>
      <c r="I4382" s="2" t="n">
        <v>0</v>
      </c>
    </row>
    <row r="4383">
      <c r="A4383" s="2" t="n">
        <v>4381</v>
      </c>
      <c r="B4383" s="2" t="inlineStr">
        <is>
          <t>flip</t>
        </is>
      </c>
      <c r="C4383" s="2" t="inlineStr">
        <is>
          <t>openssl TLS 1.2 only</t>
        </is>
      </c>
      <c r="D4383" s="2" t="n">
        <v>215</v>
      </c>
      <c r="E4383" s="2" t="n">
        <v>215</v>
      </c>
      <c r="F4383" s="2" t="n">
        <v>1</v>
      </c>
      <c r="G4383" s="2" t="n">
        <v>1</v>
      </c>
      <c r="H4383" s="2" t="n">
        <v>1</v>
      </c>
      <c r="I4383" s="2" t="n">
        <v>0</v>
      </c>
    </row>
    <row r="4384">
      <c r="A4384" s="2" t="n">
        <v>4382</v>
      </c>
      <c r="B4384" s="2" t="inlineStr">
        <is>
          <t>truncate</t>
        </is>
      </c>
      <c r="C4384" s="2" t="inlineStr">
        <is>
          <t>browser chrome150</t>
        </is>
      </c>
      <c r="D4384" s="2" t="n">
        <v>216</v>
      </c>
      <c r="E4384" s="2" t="n">
        <v>216</v>
      </c>
      <c r="F4384" s="2" t="n">
        <v>1</v>
      </c>
      <c r="G4384" s="2" t="n">
        <v>1</v>
      </c>
      <c r="H4384" s="2" t="n">
        <v>1</v>
      </c>
      <c r="I4384" s="2" t="n">
        <v>0</v>
      </c>
    </row>
    <row r="4385">
      <c r="A4385" s="2" t="n">
        <v>4383</v>
      </c>
      <c r="B4385" s="2" t="inlineStr">
        <is>
          <t>length</t>
        </is>
      </c>
      <c r="C4385" s="2" t="inlineStr">
        <is>
          <t>openssl X25519 only (classical)</t>
        </is>
      </c>
      <c r="D4385" s="2" t="n">
        <v>314</v>
      </c>
      <c r="E4385" s="2" t="n">
        <v>314</v>
      </c>
      <c r="F4385" s="2" t="n">
        <v>1</v>
      </c>
      <c r="G4385" s="2" t="n">
        <v>0</v>
      </c>
      <c r="H4385" s="2" t="n">
        <v>0</v>
      </c>
      <c r="I4385" s="2" t="n">
        <v>0</v>
      </c>
    </row>
    <row r="4386">
      <c r="A4386" s="2" t="n">
        <v>4384</v>
      </c>
      <c r="B4386" s="2" t="inlineStr">
        <is>
          <t>insert</t>
        </is>
      </c>
      <c r="C4386" s="2" t="inlineStr">
        <is>
          <t>browser firefox147</t>
        </is>
      </c>
      <c r="D4386" s="2" t="n">
        <v>1910</v>
      </c>
      <c r="E4386" s="2" t="n">
        <v>1910</v>
      </c>
      <c r="F4386" s="2" t="n">
        <v>1</v>
      </c>
      <c r="G4386" s="2" t="n">
        <v>1</v>
      </c>
      <c r="H4386" s="2" t="n">
        <v>0</v>
      </c>
      <c r="I4386" s="2" t="n">
        <v>0</v>
      </c>
    </row>
    <row r="4387">
      <c r="A4387" s="2" t="n">
        <v>4385</v>
      </c>
      <c r="B4387" s="2" t="inlineStr">
        <is>
          <t>flip</t>
        </is>
      </c>
      <c r="C4387" s="2" t="inlineStr">
        <is>
          <t>openssl 3.5.8 default</t>
        </is>
      </c>
      <c r="D4387" s="2" t="n">
        <v>1548</v>
      </c>
      <c r="E4387" s="2" t="n">
        <v>1548</v>
      </c>
      <c r="F4387" s="2" t="n">
        <v>1</v>
      </c>
      <c r="G4387" s="2" t="n">
        <v>1</v>
      </c>
      <c r="H4387" s="2" t="n">
        <v>1</v>
      </c>
      <c r="I4387" s="2" t="n">
        <v>0</v>
      </c>
    </row>
    <row r="4388">
      <c r="A4388" s="2" t="n">
        <v>4386</v>
      </c>
      <c r="B4388" s="2" t="inlineStr">
        <is>
          <t>truncate</t>
        </is>
      </c>
      <c r="C4388" s="2" t="inlineStr">
        <is>
          <t>openssl X25519 only (classical)</t>
        </is>
      </c>
      <c r="D4388" s="2" t="n">
        <v>285</v>
      </c>
      <c r="E4388" s="2" t="n">
        <v>285</v>
      </c>
      <c r="F4388" s="2" t="n">
        <v>1</v>
      </c>
      <c r="G4388" s="2" t="n">
        <v>1</v>
      </c>
      <c r="H4388" s="2" t="n">
        <v>1</v>
      </c>
      <c r="I4388" s="2" t="n">
        <v>0</v>
      </c>
    </row>
    <row r="4389">
      <c r="A4389" s="2" t="n">
        <v>4387</v>
      </c>
      <c r="B4389" s="2" t="inlineStr">
        <is>
          <t>length</t>
        </is>
      </c>
      <c r="C4389" s="2" t="inlineStr">
        <is>
          <t>openssl X25519 only (classical)</t>
        </is>
      </c>
      <c r="D4389" s="2" t="n">
        <v>314</v>
      </c>
      <c r="E4389" s="2" t="n">
        <v>314</v>
      </c>
      <c r="F4389" s="2" t="n">
        <v>1</v>
      </c>
      <c r="G4389" s="2" t="n">
        <v>1</v>
      </c>
      <c r="H4389" s="2" t="n">
        <v>1</v>
      </c>
      <c r="I4389" s="2" t="n">
        <v>0</v>
      </c>
    </row>
    <row r="4390">
      <c r="A4390" s="2" t="n">
        <v>4388</v>
      </c>
      <c r="B4390" s="2" t="inlineStr">
        <is>
          <t>insert</t>
        </is>
      </c>
      <c r="C4390" s="2" t="inlineStr">
        <is>
          <t>browser firefox147</t>
        </is>
      </c>
      <c r="D4390" s="2" t="n">
        <v>1913</v>
      </c>
      <c r="E4390" s="2" t="n">
        <v>1913</v>
      </c>
      <c r="F4390" s="2" t="n">
        <v>1</v>
      </c>
      <c r="G4390" s="2" t="n">
        <v>1</v>
      </c>
      <c r="H4390" s="2" t="n">
        <v>0</v>
      </c>
      <c r="I4390" s="2" t="n">
        <v>0</v>
      </c>
    </row>
    <row r="4391">
      <c r="A4391" s="2" t="n">
        <v>4389</v>
      </c>
      <c r="B4391" s="2" t="inlineStr">
        <is>
          <t>flip</t>
        </is>
      </c>
      <c r="C4391" s="2" t="inlineStr">
        <is>
          <t>browser chrome150</t>
        </is>
      </c>
      <c r="D4391" s="2" t="n">
        <v>1763</v>
      </c>
      <c r="E4391" s="2" t="n">
        <v>1763</v>
      </c>
      <c r="F4391" s="2" t="n">
        <v>1</v>
      </c>
      <c r="G4391" s="2" t="n">
        <v>1</v>
      </c>
      <c r="H4391" s="2" t="n">
        <v>1</v>
      </c>
      <c r="I4391" s="2" t="n">
        <v>0</v>
      </c>
    </row>
    <row r="4392">
      <c r="A4392" s="2" t="n">
        <v>4390</v>
      </c>
      <c r="B4392" s="2" t="inlineStr">
        <is>
          <t>truncate</t>
        </is>
      </c>
      <c r="C4392" s="2" t="inlineStr">
        <is>
          <t>openssl TLS 1.2 only</t>
        </is>
      </c>
      <c r="D4392" s="2" t="n">
        <v>171</v>
      </c>
      <c r="E4392" s="2" t="n">
        <v>171</v>
      </c>
      <c r="F4392" s="2" t="n">
        <v>1</v>
      </c>
      <c r="G4392" s="2" t="n">
        <v>1</v>
      </c>
      <c r="H4392" s="2" t="n">
        <v>0</v>
      </c>
      <c r="I4392" s="2" t="n">
        <v>0</v>
      </c>
    </row>
    <row r="4393">
      <c r="A4393" s="2" t="n">
        <v>4391</v>
      </c>
      <c r="B4393" s="2" t="inlineStr">
        <is>
          <t>length</t>
        </is>
      </c>
      <c r="C4393" s="2" t="inlineStr">
        <is>
          <t>openssl X25519 only (classical)</t>
        </is>
      </c>
      <c r="D4393" s="2" t="n">
        <v>314</v>
      </c>
      <c r="E4393" s="2" t="n">
        <v>314</v>
      </c>
      <c r="F4393" s="2" t="n">
        <v>1</v>
      </c>
      <c r="G4393" s="2" t="n">
        <v>1</v>
      </c>
      <c r="H4393" s="2" t="n">
        <v>1</v>
      </c>
      <c r="I4393" s="2" t="n">
        <v>0</v>
      </c>
    </row>
    <row r="4394">
      <c r="A4394" s="2" t="n">
        <v>4392</v>
      </c>
      <c r="B4394" s="2" t="inlineStr">
        <is>
          <t>insert</t>
        </is>
      </c>
      <c r="C4394" s="2" t="inlineStr">
        <is>
          <t>browser firefox147</t>
        </is>
      </c>
      <c r="D4394" s="2" t="n">
        <v>1906</v>
      </c>
      <c r="E4394" s="2" t="n">
        <v>1906</v>
      </c>
      <c r="F4394" s="2" t="n">
        <v>1</v>
      </c>
      <c r="G4394" s="2" t="n">
        <v>1</v>
      </c>
      <c r="H4394" s="2" t="n">
        <v>0</v>
      </c>
      <c r="I4394" s="2" t="n">
        <v>0</v>
      </c>
    </row>
    <row r="4395">
      <c r="A4395" s="2" t="n">
        <v>4393</v>
      </c>
      <c r="B4395" s="2" t="inlineStr">
        <is>
          <t>flip</t>
        </is>
      </c>
      <c r="C4395" s="2" t="inlineStr">
        <is>
          <t>openssl TLS 1.2 only</t>
        </is>
      </c>
      <c r="D4395" s="2" t="n">
        <v>215</v>
      </c>
      <c r="E4395" s="2" t="n">
        <v>215</v>
      </c>
      <c r="F4395" s="2" t="n">
        <v>1</v>
      </c>
      <c r="G4395" s="2" t="n">
        <v>1</v>
      </c>
      <c r="H4395" s="2" t="n">
        <v>1</v>
      </c>
      <c r="I4395" s="2" t="n">
        <v>0</v>
      </c>
    </row>
    <row r="4396">
      <c r="A4396" s="2" t="n">
        <v>4394</v>
      </c>
      <c r="B4396" s="2" t="inlineStr">
        <is>
          <t>truncate</t>
        </is>
      </c>
      <c r="C4396" s="2" t="inlineStr">
        <is>
          <t>browser chrome150</t>
        </is>
      </c>
      <c r="D4396" s="2" t="n">
        <v>814</v>
      </c>
      <c r="E4396" s="2" t="n">
        <v>814</v>
      </c>
      <c r="F4396" s="2" t="n">
        <v>1</v>
      </c>
      <c r="G4396" s="2" t="n">
        <v>1</v>
      </c>
      <c r="H4396" s="2" t="n">
        <v>1</v>
      </c>
      <c r="I4396" s="2" t="n">
        <v>0</v>
      </c>
    </row>
    <row r="4397">
      <c r="A4397" s="2" t="n">
        <v>4395</v>
      </c>
      <c r="B4397" s="2" t="inlineStr">
        <is>
          <t>length</t>
        </is>
      </c>
      <c r="C4397" s="2" t="inlineStr">
        <is>
          <t>browser firefox147</t>
        </is>
      </c>
      <c r="D4397" s="2" t="n">
        <v>1901</v>
      </c>
      <c r="E4397" s="2" t="n">
        <v>1901</v>
      </c>
      <c r="F4397" s="2" t="n">
        <v>1</v>
      </c>
      <c r="G4397" s="2" t="n">
        <v>1</v>
      </c>
      <c r="H4397" s="2" t="n">
        <v>0</v>
      </c>
      <c r="I4397" s="2" t="n">
        <v>0</v>
      </c>
    </row>
    <row r="4398">
      <c r="A4398" s="2" t="n">
        <v>4396</v>
      </c>
      <c r="B4398" s="2" t="inlineStr">
        <is>
          <t>insert</t>
        </is>
      </c>
      <c r="C4398" s="2" t="inlineStr">
        <is>
          <t>openssl TLS 1.2 only</t>
        </is>
      </c>
      <c r="D4398" s="2" t="n">
        <v>225</v>
      </c>
      <c r="E4398" s="2" t="n">
        <v>225</v>
      </c>
      <c r="F4398" s="2" t="n">
        <v>0</v>
      </c>
      <c r="G4398" s="2" t="n">
        <v>0</v>
      </c>
      <c r="H4398" s="2" t="n">
        <v>0</v>
      </c>
      <c r="I4398" s="2" t="n">
        <v>0</v>
      </c>
    </row>
    <row r="4399">
      <c r="A4399" s="2" t="n">
        <v>4397</v>
      </c>
      <c r="B4399" s="2" t="inlineStr">
        <is>
          <t>flip</t>
        </is>
      </c>
      <c r="C4399" s="2" t="inlineStr">
        <is>
          <t>openssl TLS 1.2 only</t>
        </is>
      </c>
      <c r="D4399" s="2" t="n">
        <v>215</v>
      </c>
      <c r="E4399" s="2" t="n">
        <v>215</v>
      </c>
      <c r="F4399" s="2" t="n">
        <v>1</v>
      </c>
      <c r="G4399" s="2" t="n">
        <v>1</v>
      </c>
      <c r="H4399" s="2" t="n">
        <v>1</v>
      </c>
      <c r="I4399" s="2" t="n">
        <v>0</v>
      </c>
    </row>
    <row r="4400">
      <c r="A4400" s="2" t="n">
        <v>4398</v>
      </c>
      <c r="B4400" s="2" t="inlineStr">
        <is>
          <t>truncate</t>
        </is>
      </c>
      <c r="C4400" s="2" t="inlineStr">
        <is>
          <t>openssl TLS 1.2 only</t>
        </is>
      </c>
      <c r="D4400" s="2" t="n">
        <v>110</v>
      </c>
      <c r="E4400" s="2" t="n">
        <v>110</v>
      </c>
      <c r="F4400" s="2" t="n">
        <v>1</v>
      </c>
      <c r="G4400" s="2" t="n">
        <v>1</v>
      </c>
      <c r="H4400" s="2" t="n">
        <v>0</v>
      </c>
      <c r="I4400" s="2" t="n">
        <v>0</v>
      </c>
    </row>
    <row r="4401">
      <c r="A4401" s="2" t="n">
        <v>4399</v>
      </c>
      <c r="B4401" s="2" t="inlineStr">
        <is>
          <t>length</t>
        </is>
      </c>
      <c r="C4401" s="2" t="inlineStr">
        <is>
          <t>openssl 3.5.8 default</t>
        </is>
      </c>
      <c r="D4401" s="2" t="n">
        <v>1548</v>
      </c>
      <c r="E4401" s="2" t="n">
        <v>1548</v>
      </c>
      <c r="F4401" s="2" t="n">
        <v>1</v>
      </c>
      <c r="G4401" s="2" t="n">
        <v>1</v>
      </c>
      <c r="H4401" s="2" t="n">
        <v>1</v>
      </c>
      <c r="I4401" s="2" t="n">
        <v>0</v>
      </c>
    </row>
    <row r="4402">
      <c r="A4402" s="2" t="n">
        <v>4400</v>
      </c>
      <c r="B4402" s="2" t="inlineStr">
        <is>
          <t>insert</t>
        </is>
      </c>
      <c r="C4402" s="2" t="inlineStr">
        <is>
          <t>openssl 3.5.8 default</t>
        </is>
      </c>
      <c r="D4402" s="2" t="n">
        <v>1564</v>
      </c>
      <c r="E4402" s="2" t="n">
        <v>1564</v>
      </c>
      <c r="F4402" s="2" t="n">
        <v>1</v>
      </c>
      <c r="G4402" s="2" t="n">
        <v>1</v>
      </c>
      <c r="H4402" s="2" t="n">
        <v>1</v>
      </c>
      <c r="I4402" s="2" t="n">
        <v>0</v>
      </c>
    </row>
    <row r="4403">
      <c r="A4403" s="2" t="n">
        <v>4401</v>
      </c>
      <c r="B4403" s="2" t="inlineStr">
        <is>
          <t>flip</t>
        </is>
      </c>
      <c r="C4403" s="2" t="inlineStr">
        <is>
          <t>browser firefox147</t>
        </is>
      </c>
      <c r="D4403" s="2" t="n">
        <v>1901</v>
      </c>
      <c r="E4403" s="2" t="n">
        <v>1901</v>
      </c>
      <c r="F4403" s="2" t="n">
        <v>1</v>
      </c>
      <c r="G4403" s="2" t="n">
        <v>1</v>
      </c>
      <c r="H4403" s="2" t="n">
        <v>0</v>
      </c>
      <c r="I4403" s="2" t="n">
        <v>0</v>
      </c>
    </row>
    <row r="4404">
      <c r="A4404" s="2" t="n">
        <v>4402</v>
      </c>
      <c r="B4404" s="2" t="inlineStr">
        <is>
          <t>truncate</t>
        </is>
      </c>
      <c r="C4404" s="2" t="inlineStr">
        <is>
          <t>openssl TLS 1.2 only</t>
        </is>
      </c>
      <c r="D4404" s="2" t="n">
        <v>109</v>
      </c>
      <c r="E4404" s="2" t="n">
        <v>109</v>
      </c>
      <c r="F4404" s="2" t="n">
        <v>1</v>
      </c>
      <c r="G4404" s="2" t="n">
        <v>1</v>
      </c>
      <c r="H4404" s="2" t="n">
        <v>0</v>
      </c>
      <c r="I4404" s="2" t="n">
        <v>0</v>
      </c>
    </row>
    <row r="4405">
      <c r="A4405" s="2" t="n">
        <v>4403</v>
      </c>
      <c r="B4405" s="2" t="inlineStr">
        <is>
          <t>length</t>
        </is>
      </c>
      <c r="C4405" s="2" t="inlineStr">
        <is>
          <t>browser firefox147</t>
        </is>
      </c>
      <c r="D4405" s="2" t="n">
        <v>1901</v>
      </c>
      <c r="E4405" s="2" t="n">
        <v>1901</v>
      </c>
      <c r="F4405" s="2" t="n">
        <v>0</v>
      </c>
      <c r="G4405" s="2" t="n">
        <v>0</v>
      </c>
      <c r="H4405" s="2" t="n">
        <v>0</v>
      </c>
      <c r="I4405" s="2" t="n">
        <v>0</v>
      </c>
    </row>
    <row r="4406">
      <c r="A4406" s="2" t="n">
        <v>4404</v>
      </c>
      <c r="B4406" s="2" t="inlineStr">
        <is>
          <t>insert</t>
        </is>
      </c>
      <c r="C4406" s="2" t="inlineStr">
        <is>
          <t>browser chrome150</t>
        </is>
      </c>
      <c r="D4406" s="2" t="n">
        <v>1775</v>
      </c>
      <c r="E4406" s="2" t="n">
        <v>1775</v>
      </c>
      <c r="F4406" s="2" t="n">
        <v>1</v>
      </c>
      <c r="G4406" s="2" t="n">
        <v>1</v>
      </c>
      <c r="H4406" s="2" t="n">
        <v>1</v>
      </c>
      <c r="I4406" s="2" t="n">
        <v>0</v>
      </c>
    </row>
    <row r="4407">
      <c r="A4407" s="2" t="n">
        <v>4405</v>
      </c>
      <c r="B4407" s="2" t="inlineStr">
        <is>
          <t>flip</t>
        </is>
      </c>
      <c r="C4407" s="2" t="inlineStr">
        <is>
          <t>openssl TLS 1.2 only</t>
        </is>
      </c>
      <c r="D4407" s="2" t="n">
        <v>215</v>
      </c>
      <c r="E4407" s="2" t="n">
        <v>215</v>
      </c>
      <c r="F4407" s="2" t="n">
        <v>1</v>
      </c>
      <c r="G4407" s="2" t="n">
        <v>1</v>
      </c>
      <c r="H4407" s="2" t="n">
        <v>1</v>
      </c>
      <c r="I4407" s="2" t="n">
        <v>0</v>
      </c>
    </row>
    <row r="4408">
      <c r="A4408" s="2" t="n">
        <v>4406</v>
      </c>
      <c r="B4408" s="2" t="inlineStr">
        <is>
          <t>truncate</t>
        </is>
      </c>
      <c r="C4408" s="2" t="inlineStr">
        <is>
          <t>openssl 3.5.8 default</t>
        </is>
      </c>
      <c r="D4408" s="2" t="n">
        <v>282</v>
      </c>
      <c r="E4408" s="2" t="n">
        <v>282</v>
      </c>
      <c r="F4408" s="2" t="n">
        <v>1</v>
      </c>
      <c r="G4408" s="2" t="n">
        <v>1</v>
      </c>
      <c r="H4408" s="2" t="n">
        <v>1</v>
      </c>
      <c r="I4408" s="2" t="n">
        <v>0</v>
      </c>
    </row>
    <row r="4409">
      <c r="A4409" s="2" t="n">
        <v>4407</v>
      </c>
      <c r="B4409" s="2" t="inlineStr">
        <is>
          <t>length</t>
        </is>
      </c>
      <c r="C4409" s="2" t="inlineStr">
        <is>
          <t>openssl 3.5.8 default</t>
        </is>
      </c>
      <c r="D4409" s="2" t="n">
        <v>1548</v>
      </c>
      <c r="E4409" s="2" t="n">
        <v>1548</v>
      </c>
      <c r="F4409" s="2" t="n">
        <v>1</v>
      </c>
      <c r="G4409" s="2" t="n">
        <v>1</v>
      </c>
      <c r="H4409" s="2" t="n">
        <v>1</v>
      </c>
      <c r="I4409" s="2" t="n">
        <v>0</v>
      </c>
    </row>
    <row r="4410">
      <c r="A4410" s="2" t="n">
        <v>4408</v>
      </c>
      <c r="B4410" s="2" t="inlineStr">
        <is>
          <t>insert</t>
        </is>
      </c>
      <c r="C4410" s="2" t="inlineStr">
        <is>
          <t>openssl TLS 1.2 only</t>
        </is>
      </c>
      <c r="D4410" s="2" t="n">
        <v>220</v>
      </c>
      <c r="E4410" s="2" t="n">
        <v>220</v>
      </c>
      <c r="F4410" s="2" t="n">
        <v>1</v>
      </c>
      <c r="G4410" s="2" t="n">
        <v>0</v>
      </c>
      <c r="H4410" s="2" t="n">
        <v>0</v>
      </c>
      <c r="I4410" s="2" t="n">
        <v>0</v>
      </c>
    </row>
    <row r="4411">
      <c r="A4411" s="2" t="n">
        <v>4409</v>
      </c>
      <c r="B4411" s="2" t="inlineStr">
        <is>
          <t>flip</t>
        </is>
      </c>
      <c r="C4411" s="2" t="inlineStr">
        <is>
          <t>browser firefox147</t>
        </is>
      </c>
      <c r="D4411" s="2" t="n">
        <v>1901</v>
      </c>
      <c r="E4411" s="2" t="n">
        <v>1901</v>
      </c>
      <c r="F4411" s="2" t="n">
        <v>1</v>
      </c>
      <c r="G4411" s="2" t="n">
        <v>1</v>
      </c>
      <c r="H4411" s="2" t="n">
        <v>0</v>
      </c>
      <c r="I4411" s="2" t="n">
        <v>0</v>
      </c>
    </row>
    <row r="4412">
      <c r="A4412" s="2" t="n">
        <v>4410</v>
      </c>
      <c r="B4412" s="2" t="inlineStr">
        <is>
          <t>truncate</t>
        </is>
      </c>
      <c r="C4412" s="2" t="inlineStr">
        <is>
          <t>openssl X25519 only (classical)</t>
        </is>
      </c>
      <c r="D4412" s="2" t="n">
        <v>306</v>
      </c>
      <c r="E4412" s="2" t="n">
        <v>306</v>
      </c>
      <c r="F4412" s="2" t="n">
        <v>1</v>
      </c>
      <c r="G4412" s="2" t="n">
        <v>1</v>
      </c>
      <c r="H4412" s="2" t="n">
        <v>1</v>
      </c>
      <c r="I4412" s="2" t="n">
        <v>0</v>
      </c>
    </row>
    <row r="4413">
      <c r="A4413" s="2" t="n">
        <v>4411</v>
      </c>
      <c r="B4413" s="2" t="inlineStr">
        <is>
          <t>length</t>
        </is>
      </c>
      <c r="C4413" s="2" t="inlineStr">
        <is>
          <t>browser firefox147</t>
        </is>
      </c>
      <c r="D4413" s="2" t="n">
        <v>1901</v>
      </c>
      <c r="E4413" s="2" t="n">
        <v>1901</v>
      </c>
      <c r="F4413" s="2" t="n">
        <v>1</v>
      </c>
      <c r="G4413" s="2" t="n">
        <v>1</v>
      </c>
      <c r="H4413" s="2" t="n">
        <v>0</v>
      </c>
      <c r="I4413" s="2" t="n">
        <v>0</v>
      </c>
    </row>
    <row r="4414">
      <c r="A4414" s="2" t="n">
        <v>4412</v>
      </c>
      <c r="B4414" s="2" t="inlineStr">
        <is>
          <t>insert</t>
        </is>
      </c>
      <c r="C4414" s="2" t="inlineStr">
        <is>
          <t>openssl X25519 only (classical)</t>
        </is>
      </c>
      <c r="D4414" s="2" t="n">
        <v>319</v>
      </c>
      <c r="E4414" s="2" t="n">
        <v>319</v>
      </c>
      <c r="F4414" s="2" t="n">
        <v>1</v>
      </c>
      <c r="G4414" s="2" t="n">
        <v>1</v>
      </c>
      <c r="H4414" s="2" t="n">
        <v>1</v>
      </c>
      <c r="I4414" s="2" t="n">
        <v>0</v>
      </c>
    </row>
    <row r="4415">
      <c r="A4415" s="2" t="n">
        <v>4413</v>
      </c>
      <c r="B4415" s="2" t="inlineStr">
        <is>
          <t>flip</t>
        </is>
      </c>
      <c r="C4415" s="2" t="inlineStr">
        <is>
          <t>browser chrome150</t>
        </is>
      </c>
      <c r="D4415" s="2" t="n">
        <v>1763</v>
      </c>
      <c r="E4415" s="2" t="n">
        <v>1763</v>
      </c>
      <c r="F4415" s="2" t="n">
        <v>1</v>
      </c>
      <c r="G4415" s="2" t="n">
        <v>1</v>
      </c>
      <c r="H4415" s="2" t="n">
        <v>1</v>
      </c>
      <c r="I4415" s="2" t="n">
        <v>0</v>
      </c>
    </row>
    <row r="4416">
      <c r="A4416" s="2" t="n">
        <v>4414</v>
      </c>
      <c r="B4416" s="2" t="inlineStr">
        <is>
          <t>truncate</t>
        </is>
      </c>
      <c r="C4416" s="2" t="inlineStr">
        <is>
          <t>browser firefox147</t>
        </is>
      </c>
      <c r="D4416" s="2" t="n">
        <v>763</v>
      </c>
      <c r="E4416" s="2" t="n">
        <v>763</v>
      </c>
      <c r="F4416" s="2" t="n">
        <v>1</v>
      </c>
      <c r="G4416" s="2" t="n">
        <v>1</v>
      </c>
      <c r="H4416" s="2" t="n">
        <v>0</v>
      </c>
      <c r="I4416" s="2" t="n">
        <v>0</v>
      </c>
    </row>
    <row r="4417">
      <c r="A4417" s="2" t="n">
        <v>4415</v>
      </c>
      <c r="B4417" s="2" t="inlineStr">
        <is>
          <t>length</t>
        </is>
      </c>
      <c r="C4417" s="2" t="inlineStr">
        <is>
          <t>browser firefox147</t>
        </is>
      </c>
      <c r="D4417" s="2" t="n">
        <v>1901</v>
      </c>
      <c r="E4417" s="2" t="n">
        <v>1901</v>
      </c>
      <c r="F4417" s="2" t="n">
        <v>1</v>
      </c>
      <c r="G4417" s="2" t="n">
        <v>0</v>
      </c>
      <c r="H4417" s="2" t="n">
        <v>0</v>
      </c>
      <c r="I4417" s="2" t="n">
        <v>0</v>
      </c>
    </row>
    <row r="4418">
      <c r="A4418" s="2" t="n">
        <v>4416</v>
      </c>
      <c r="B4418" s="2" t="inlineStr">
        <is>
          <t>insert</t>
        </is>
      </c>
      <c r="C4418" s="2" t="inlineStr">
        <is>
          <t>openssl 3.5.8 default</t>
        </is>
      </c>
      <c r="D4418" s="2" t="n">
        <v>1551</v>
      </c>
      <c r="E4418" s="2" t="n">
        <v>1551</v>
      </c>
      <c r="F4418" s="2" t="n">
        <v>1</v>
      </c>
      <c r="G4418" s="2" t="n">
        <v>1</v>
      </c>
      <c r="H4418" s="2" t="n">
        <v>1</v>
      </c>
      <c r="I4418" s="2" t="n">
        <v>0</v>
      </c>
    </row>
    <row r="4419">
      <c r="A4419" s="2" t="n">
        <v>4417</v>
      </c>
      <c r="B4419" s="2" t="inlineStr">
        <is>
          <t>flip</t>
        </is>
      </c>
      <c r="C4419" s="2" t="inlineStr">
        <is>
          <t>openssl 3.5.8 default</t>
        </is>
      </c>
      <c r="D4419" s="2" t="n">
        <v>1548</v>
      </c>
      <c r="E4419" s="2" t="n">
        <v>1548</v>
      </c>
      <c r="F4419" s="2" t="n">
        <v>1</v>
      </c>
      <c r="G4419" s="2" t="n">
        <v>1</v>
      </c>
      <c r="H4419" s="2" t="n">
        <v>1</v>
      </c>
      <c r="I4419" s="2" t="n">
        <v>0</v>
      </c>
    </row>
    <row r="4420">
      <c r="A4420" s="2" t="n">
        <v>4418</v>
      </c>
      <c r="B4420" s="2" t="inlineStr">
        <is>
          <t>truncate</t>
        </is>
      </c>
      <c r="C4420" s="2" t="inlineStr">
        <is>
          <t>openssl 3.5.8 default</t>
        </is>
      </c>
      <c r="D4420" s="2" t="n">
        <v>150</v>
      </c>
      <c r="E4420" s="2" t="n">
        <v>150</v>
      </c>
      <c r="F4420" s="2" t="n">
        <v>1</v>
      </c>
      <c r="G4420" s="2" t="n">
        <v>1</v>
      </c>
      <c r="H4420" s="2" t="n">
        <v>0</v>
      </c>
      <c r="I4420" s="2" t="n">
        <v>0</v>
      </c>
    </row>
    <row r="4421">
      <c r="A4421" s="2" t="n">
        <v>4419</v>
      </c>
      <c r="B4421" s="2" t="inlineStr">
        <is>
          <t>length</t>
        </is>
      </c>
      <c r="C4421" s="2" t="inlineStr">
        <is>
          <t>browser chrome150</t>
        </is>
      </c>
      <c r="D4421" s="2" t="n">
        <v>1763</v>
      </c>
      <c r="E4421" s="2" t="n">
        <v>1763</v>
      </c>
      <c r="F4421" s="2" t="n">
        <v>1</v>
      </c>
      <c r="G4421" s="2" t="n">
        <v>1</v>
      </c>
      <c r="H4421" s="2" t="n">
        <v>1</v>
      </c>
      <c r="I4421" s="2" t="n">
        <v>0</v>
      </c>
    </row>
    <row r="4422">
      <c r="A4422" s="2" t="n">
        <v>4420</v>
      </c>
      <c r="B4422" s="2" t="inlineStr">
        <is>
          <t>insert</t>
        </is>
      </c>
      <c r="C4422" s="2" t="inlineStr">
        <is>
          <t>openssl TLS 1.2 only</t>
        </is>
      </c>
      <c r="D4422" s="2" t="n">
        <v>223</v>
      </c>
      <c r="E4422" s="2" t="n">
        <v>223</v>
      </c>
      <c r="F4422" s="2" t="n">
        <v>1</v>
      </c>
      <c r="G4422" s="2" t="n">
        <v>0</v>
      </c>
      <c r="H4422" s="2" t="n">
        <v>0</v>
      </c>
      <c r="I4422" s="2" t="n">
        <v>0</v>
      </c>
    </row>
    <row r="4423">
      <c r="A4423" s="2" t="n">
        <v>4421</v>
      </c>
      <c r="B4423" s="2" t="inlineStr">
        <is>
          <t>flip</t>
        </is>
      </c>
      <c r="C4423" s="2" t="inlineStr">
        <is>
          <t>openssl X25519 only (classical)</t>
        </is>
      </c>
      <c r="D4423" s="2" t="n">
        <v>314</v>
      </c>
      <c r="E4423" s="2" t="n">
        <v>314</v>
      </c>
      <c r="F4423" s="2" t="n">
        <v>1</v>
      </c>
      <c r="G4423" s="2" t="n">
        <v>1</v>
      </c>
      <c r="H4423" s="2" t="n">
        <v>1</v>
      </c>
      <c r="I4423" s="2" t="n">
        <v>0</v>
      </c>
    </row>
    <row r="4424">
      <c r="A4424" s="2" t="n">
        <v>4422</v>
      </c>
      <c r="B4424" s="2" t="inlineStr">
        <is>
          <t>truncate</t>
        </is>
      </c>
      <c r="C4424" s="2" t="inlineStr">
        <is>
          <t>openssl X25519 only (classical)</t>
        </is>
      </c>
      <c r="D4424" s="2" t="n">
        <v>170</v>
      </c>
      <c r="E4424" s="2" t="n">
        <v>170</v>
      </c>
      <c r="F4424" s="2" t="n">
        <v>1</v>
      </c>
      <c r="G4424" s="2" t="n">
        <v>1</v>
      </c>
      <c r="H4424" s="2" t="n">
        <v>0</v>
      </c>
      <c r="I4424" s="2" t="n">
        <v>0</v>
      </c>
    </row>
    <row r="4425">
      <c r="A4425" s="2" t="n">
        <v>4423</v>
      </c>
      <c r="B4425" s="2" t="inlineStr">
        <is>
          <t>length</t>
        </is>
      </c>
      <c r="C4425" s="2" t="inlineStr">
        <is>
          <t>browser chrome150</t>
        </is>
      </c>
      <c r="D4425" s="2" t="n">
        <v>1763</v>
      </c>
      <c r="E4425" s="2" t="n">
        <v>1763</v>
      </c>
      <c r="F4425" s="2" t="n">
        <v>0</v>
      </c>
      <c r="G4425" s="2" t="n">
        <v>0</v>
      </c>
      <c r="H4425" s="2" t="n">
        <v>0</v>
      </c>
      <c r="I4425" s="2" t="n">
        <v>0</v>
      </c>
    </row>
    <row r="4426">
      <c r="A4426" s="2" t="n">
        <v>4424</v>
      </c>
      <c r="B4426" s="2" t="inlineStr">
        <is>
          <t>insert</t>
        </is>
      </c>
      <c r="C4426" s="2" t="inlineStr">
        <is>
          <t>openssl 3.5.8 default</t>
        </is>
      </c>
      <c r="D4426" s="2" t="n">
        <v>1559</v>
      </c>
      <c r="E4426" s="2" t="n">
        <v>1559</v>
      </c>
      <c r="F4426" s="2" t="n">
        <v>1</v>
      </c>
      <c r="G4426" s="2" t="n">
        <v>1</v>
      </c>
      <c r="H4426" s="2" t="n">
        <v>1</v>
      </c>
      <c r="I4426" s="2" t="n">
        <v>0</v>
      </c>
    </row>
    <row r="4427">
      <c r="A4427" s="2" t="n">
        <v>4425</v>
      </c>
      <c r="B4427" s="2" t="inlineStr">
        <is>
          <t>flip</t>
        </is>
      </c>
      <c r="C4427" s="2" t="inlineStr">
        <is>
          <t>browser chrome150</t>
        </is>
      </c>
      <c r="D4427" s="2" t="n">
        <v>1763</v>
      </c>
      <c r="E4427" s="2" t="n">
        <v>1763</v>
      </c>
      <c r="F4427" s="2" t="n">
        <v>1</v>
      </c>
      <c r="G4427" s="2" t="n">
        <v>1</v>
      </c>
      <c r="H4427" s="2" t="n">
        <v>1</v>
      </c>
      <c r="I4427" s="2" t="n">
        <v>0</v>
      </c>
    </row>
    <row r="4428">
      <c r="A4428" s="2" t="n">
        <v>4426</v>
      </c>
      <c r="B4428" s="2" t="inlineStr">
        <is>
          <t>truncate</t>
        </is>
      </c>
      <c r="C4428" s="2" t="inlineStr">
        <is>
          <t>openssl TLS 1.2 only</t>
        </is>
      </c>
      <c r="D4428" s="2" t="n">
        <v>32</v>
      </c>
      <c r="E4428" s="2" t="n">
        <v>32</v>
      </c>
      <c r="F4428" s="2" t="n">
        <v>1</v>
      </c>
      <c r="G4428" s="2" t="n">
        <v>0</v>
      </c>
      <c r="H4428" s="2" t="n">
        <v>0</v>
      </c>
      <c r="I4428" s="2" t="n">
        <v>0</v>
      </c>
    </row>
    <row r="4429">
      <c r="A4429" s="2" t="n">
        <v>4427</v>
      </c>
      <c r="B4429" s="2" t="inlineStr">
        <is>
          <t>length</t>
        </is>
      </c>
      <c r="C4429" s="2" t="inlineStr">
        <is>
          <t>openssl X25519 only (classical)</t>
        </is>
      </c>
      <c r="D4429" s="2" t="n">
        <v>314</v>
      </c>
      <c r="E4429" s="2" t="n">
        <v>314</v>
      </c>
      <c r="F4429" s="2" t="n">
        <v>0</v>
      </c>
      <c r="G4429" s="2" t="n">
        <v>0</v>
      </c>
      <c r="H4429" s="2" t="n">
        <v>0</v>
      </c>
      <c r="I4429" s="2" t="n">
        <v>0</v>
      </c>
    </row>
    <row r="4430">
      <c r="A4430" s="2" t="n">
        <v>4428</v>
      </c>
      <c r="B4430" s="2" t="inlineStr">
        <is>
          <t>insert</t>
        </is>
      </c>
      <c r="C4430" s="2" t="inlineStr">
        <is>
          <t>openssl TLS 1.2 only</t>
        </is>
      </c>
      <c r="D4430" s="2" t="n">
        <v>225</v>
      </c>
      <c r="E4430" s="2" t="n">
        <v>225</v>
      </c>
      <c r="F4430" s="2" t="n">
        <v>1</v>
      </c>
      <c r="G4430" s="2" t="n">
        <v>1</v>
      </c>
      <c r="H4430" s="2" t="n">
        <v>1</v>
      </c>
      <c r="I4430" s="2" t="n">
        <v>0</v>
      </c>
    </row>
    <row r="4431">
      <c r="A4431" s="2" t="n">
        <v>4429</v>
      </c>
      <c r="B4431" s="2" t="inlineStr">
        <is>
          <t>flip</t>
        </is>
      </c>
      <c r="C4431" s="2" t="inlineStr">
        <is>
          <t>browser firefox147</t>
        </is>
      </c>
      <c r="D4431" s="2" t="n">
        <v>1901</v>
      </c>
      <c r="E4431" s="2" t="n">
        <v>1901</v>
      </c>
      <c r="F4431" s="2" t="n">
        <v>1</v>
      </c>
      <c r="G4431" s="2" t="n">
        <v>1</v>
      </c>
      <c r="H4431" s="2" t="n">
        <v>0</v>
      </c>
      <c r="I4431" s="2" t="n">
        <v>0</v>
      </c>
    </row>
    <row r="4432">
      <c r="A4432" s="2" t="n">
        <v>4430</v>
      </c>
      <c r="B4432" s="2" t="inlineStr">
        <is>
          <t>truncate</t>
        </is>
      </c>
      <c r="C4432" s="2" t="inlineStr">
        <is>
          <t>browser firefox147</t>
        </is>
      </c>
      <c r="D4432" s="2" t="n">
        <v>974</v>
      </c>
      <c r="E4432" s="2" t="n">
        <v>974</v>
      </c>
      <c r="F4432" s="2" t="n">
        <v>1</v>
      </c>
      <c r="G4432" s="2" t="n">
        <v>1</v>
      </c>
      <c r="H4432" s="2" t="n">
        <v>0</v>
      </c>
      <c r="I4432" s="2" t="n">
        <v>0</v>
      </c>
    </row>
    <row r="4433">
      <c r="A4433" s="2" t="n">
        <v>4431</v>
      </c>
      <c r="B4433" s="2" t="inlineStr">
        <is>
          <t>length</t>
        </is>
      </c>
      <c r="C4433" s="2" t="inlineStr">
        <is>
          <t>browser firefox147</t>
        </is>
      </c>
      <c r="D4433" s="2" t="n">
        <v>1901</v>
      </c>
      <c r="E4433" s="2" t="n">
        <v>1901</v>
      </c>
      <c r="F4433" s="2" t="n">
        <v>0</v>
      </c>
      <c r="G4433" s="2" t="n">
        <v>0</v>
      </c>
      <c r="H4433" s="2" t="n">
        <v>0</v>
      </c>
      <c r="I4433" s="2" t="n">
        <v>0</v>
      </c>
    </row>
    <row r="4434">
      <c r="A4434" s="2" t="n">
        <v>4432</v>
      </c>
      <c r="B4434" s="2" t="inlineStr">
        <is>
          <t>insert</t>
        </is>
      </c>
      <c r="C4434" s="2" t="inlineStr">
        <is>
          <t>openssl TLS 1.2 only</t>
        </is>
      </c>
      <c r="D4434" s="2" t="n">
        <v>220</v>
      </c>
      <c r="E4434" s="2" t="n">
        <v>220</v>
      </c>
      <c r="F4434" s="2" t="n">
        <v>1</v>
      </c>
      <c r="G4434" s="2" t="n">
        <v>1</v>
      </c>
      <c r="H4434" s="2" t="n">
        <v>0</v>
      </c>
      <c r="I4434" s="2" t="n">
        <v>0</v>
      </c>
    </row>
    <row r="4435">
      <c r="A4435" s="2" t="n">
        <v>4433</v>
      </c>
      <c r="B4435" s="2" t="inlineStr">
        <is>
          <t>flip</t>
        </is>
      </c>
      <c r="C4435" s="2" t="inlineStr">
        <is>
          <t>browser firefox147</t>
        </is>
      </c>
      <c r="D4435" s="2" t="n">
        <v>1901</v>
      </c>
      <c r="E4435" s="2" t="n">
        <v>1901</v>
      </c>
      <c r="F4435" s="2" t="n">
        <v>1</v>
      </c>
      <c r="G4435" s="2" t="n">
        <v>1</v>
      </c>
      <c r="H4435" s="2" t="n">
        <v>0</v>
      </c>
      <c r="I4435" s="2" t="n">
        <v>0</v>
      </c>
    </row>
    <row r="4436">
      <c r="A4436" s="2" t="n">
        <v>4434</v>
      </c>
      <c r="B4436" s="2" t="inlineStr">
        <is>
          <t>truncate</t>
        </is>
      </c>
      <c r="C4436" s="2" t="inlineStr">
        <is>
          <t>browser firefox147</t>
        </is>
      </c>
      <c r="D4436" s="2" t="n">
        <v>972</v>
      </c>
      <c r="E4436" s="2" t="n">
        <v>972</v>
      </c>
      <c r="F4436" s="2" t="n">
        <v>1</v>
      </c>
      <c r="G4436" s="2" t="n">
        <v>1</v>
      </c>
      <c r="H4436" s="2" t="n">
        <v>0</v>
      </c>
      <c r="I4436" s="2" t="n">
        <v>0</v>
      </c>
    </row>
    <row r="4437">
      <c r="A4437" s="2" t="n">
        <v>4435</v>
      </c>
      <c r="B4437" s="2" t="inlineStr">
        <is>
          <t>length</t>
        </is>
      </c>
      <c r="C4437" s="2" t="inlineStr">
        <is>
          <t>openssl TLS 1.2 only</t>
        </is>
      </c>
      <c r="D4437" s="2" t="n">
        <v>215</v>
      </c>
      <c r="E4437" s="2" t="n">
        <v>215</v>
      </c>
      <c r="F4437" s="2" t="n">
        <v>1</v>
      </c>
      <c r="G4437" s="2" t="n">
        <v>1</v>
      </c>
      <c r="H4437" s="2" t="n">
        <v>1</v>
      </c>
      <c r="I4437" s="2" t="n">
        <v>0</v>
      </c>
    </row>
    <row r="4438">
      <c r="A4438" s="2" t="n">
        <v>4436</v>
      </c>
      <c r="B4438" s="2" t="inlineStr">
        <is>
          <t>insert</t>
        </is>
      </c>
      <c r="C4438" s="2" t="inlineStr">
        <is>
          <t>openssl X25519 only (classical)</t>
        </is>
      </c>
      <c r="D4438" s="2" t="n">
        <v>321</v>
      </c>
      <c r="E4438" s="2" t="n">
        <v>321</v>
      </c>
      <c r="F4438" s="2" t="n">
        <v>1</v>
      </c>
      <c r="G4438" s="2" t="n">
        <v>1</v>
      </c>
      <c r="H4438" s="2" t="n">
        <v>1</v>
      </c>
      <c r="I4438" s="2" t="n">
        <v>0</v>
      </c>
    </row>
    <row r="4439">
      <c r="A4439" s="2" t="n">
        <v>4437</v>
      </c>
      <c r="B4439" s="2" t="inlineStr">
        <is>
          <t>flip</t>
        </is>
      </c>
      <c r="C4439" s="2" t="inlineStr">
        <is>
          <t>openssl TLS 1.2 only</t>
        </is>
      </c>
      <c r="D4439" s="2" t="n">
        <v>215</v>
      </c>
      <c r="E4439" s="2" t="n">
        <v>215</v>
      </c>
      <c r="F4439" s="2" t="n">
        <v>1</v>
      </c>
      <c r="G4439" s="2" t="n">
        <v>1</v>
      </c>
      <c r="H4439" s="2" t="n">
        <v>1</v>
      </c>
      <c r="I4439" s="2" t="n">
        <v>0</v>
      </c>
    </row>
    <row r="4440">
      <c r="A4440" s="2" t="n">
        <v>4438</v>
      </c>
      <c r="B4440" s="2" t="inlineStr">
        <is>
          <t>truncate</t>
        </is>
      </c>
      <c r="C4440" s="2" t="inlineStr">
        <is>
          <t>openssl TLS 1.2 only</t>
        </is>
      </c>
      <c r="D4440" s="2" t="n">
        <v>156</v>
      </c>
      <c r="E4440" s="2" t="n">
        <v>156</v>
      </c>
      <c r="F4440" s="2" t="n">
        <v>1</v>
      </c>
      <c r="G4440" s="2" t="n">
        <v>1</v>
      </c>
      <c r="H4440" s="2" t="n">
        <v>0</v>
      </c>
      <c r="I4440" s="2" t="n">
        <v>0</v>
      </c>
    </row>
    <row r="4441">
      <c r="A4441" s="2" t="n">
        <v>4439</v>
      </c>
      <c r="B4441" s="2" t="inlineStr">
        <is>
          <t>length</t>
        </is>
      </c>
      <c r="C4441" s="2" t="inlineStr">
        <is>
          <t>openssl TLS 1.2 only</t>
        </is>
      </c>
      <c r="D4441" s="2" t="n">
        <v>215</v>
      </c>
      <c r="E4441" s="2" t="n">
        <v>215</v>
      </c>
      <c r="F4441" s="2" t="n">
        <v>1</v>
      </c>
      <c r="G4441" s="2" t="n">
        <v>1</v>
      </c>
      <c r="H4441" s="2" t="n">
        <v>1</v>
      </c>
      <c r="I4441" s="2" t="n">
        <v>0</v>
      </c>
    </row>
    <row r="4442">
      <c r="A4442" s="2" t="n">
        <v>4440</v>
      </c>
      <c r="B4442" s="2" t="inlineStr">
        <is>
          <t>insert</t>
        </is>
      </c>
      <c r="C4442" s="2" t="inlineStr">
        <is>
          <t>openssl X25519 only (classical)</t>
        </is>
      </c>
      <c r="D4442" s="2" t="n">
        <v>324</v>
      </c>
      <c r="E4442" s="2" t="n">
        <v>324</v>
      </c>
      <c r="F4442" s="2" t="n">
        <v>1</v>
      </c>
      <c r="G4442" s="2" t="n">
        <v>1</v>
      </c>
      <c r="H4442" s="2" t="n">
        <v>1</v>
      </c>
      <c r="I4442" s="2" t="n">
        <v>0</v>
      </c>
    </row>
    <row r="4443">
      <c r="A4443" s="2" t="n">
        <v>4441</v>
      </c>
      <c r="B4443" s="2" t="inlineStr">
        <is>
          <t>flip</t>
        </is>
      </c>
      <c r="C4443" s="2" t="inlineStr">
        <is>
          <t>openssl X25519 only (classical)</t>
        </is>
      </c>
      <c r="D4443" s="2" t="n">
        <v>314</v>
      </c>
      <c r="E4443" s="2" t="n">
        <v>314</v>
      </c>
      <c r="F4443" s="2" t="n">
        <v>1</v>
      </c>
      <c r="G4443" s="2" t="n">
        <v>1</v>
      </c>
      <c r="H4443" s="2" t="n">
        <v>1</v>
      </c>
      <c r="I4443" s="2" t="n">
        <v>0</v>
      </c>
    </row>
    <row r="4444">
      <c r="A4444" s="2" t="n">
        <v>4442</v>
      </c>
      <c r="B4444" s="2" t="inlineStr">
        <is>
          <t>truncate</t>
        </is>
      </c>
      <c r="C4444" s="2" t="inlineStr">
        <is>
          <t>openssl 3.5.8 default</t>
        </is>
      </c>
      <c r="D4444" s="2" t="n">
        <v>289</v>
      </c>
      <c r="E4444" s="2" t="n">
        <v>289</v>
      </c>
      <c r="F4444" s="2" t="n">
        <v>1</v>
      </c>
      <c r="G4444" s="2" t="n">
        <v>1</v>
      </c>
      <c r="H4444" s="2" t="n">
        <v>1</v>
      </c>
      <c r="I4444" s="2" t="n">
        <v>0</v>
      </c>
    </row>
    <row r="4445">
      <c r="A4445" s="2" t="n">
        <v>4443</v>
      </c>
      <c r="B4445" s="2" t="inlineStr">
        <is>
          <t>length</t>
        </is>
      </c>
      <c r="C4445" s="2" t="inlineStr">
        <is>
          <t>browser firefox147</t>
        </is>
      </c>
      <c r="D4445" s="2" t="n">
        <v>1901</v>
      </c>
      <c r="E4445" s="2" t="n">
        <v>1901</v>
      </c>
      <c r="F4445" s="2" t="n">
        <v>0</v>
      </c>
      <c r="G4445" s="2" t="n">
        <v>0</v>
      </c>
      <c r="H4445" s="2" t="n">
        <v>0</v>
      </c>
      <c r="I4445" s="2" t="n">
        <v>0</v>
      </c>
    </row>
    <row r="4446">
      <c r="A4446" s="2" t="n">
        <v>4444</v>
      </c>
      <c r="B4446" s="2" t="inlineStr">
        <is>
          <t>insert</t>
        </is>
      </c>
      <c r="C4446" s="2" t="inlineStr">
        <is>
          <t>openssl TLS 1.2 only</t>
        </is>
      </c>
      <c r="D4446" s="2" t="n">
        <v>217</v>
      </c>
      <c r="E4446" s="2" t="n">
        <v>217</v>
      </c>
      <c r="F4446" s="2" t="n">
        <v>1</v>
      </c>
      <c r="G4446" s="2" t="n">
        <v>1</v>
      </c>
      <c r="H4446" s="2" t="n">
        <v>1</v>
      </c>
      <c r="I4446" s="2" t="n">
        <v>0</v>
      </c>
    </row>
    <row r="4447">
      <c r="A4447" s="2" t="n">
        <v>4445</v>
      </c>
      <c r="B4447" s="2" t="inlineStr">
        <is>
          <t>flip</t>
        </is>
      </c>
      <c r="C4447" s="2" t="inlineStr">
        <is>
          <t>browser chrome150</t>
        </is>
      </c>
      <c r="D4447" s="2" t="n">
        <v>1763</v>
      </c>
      <c r="E4447" s="2" t="n">
        <v>1763</v>
      </c>
      <c r="F4447" s="2" t="n">
        <v>1</v>
      </c>
      <c r="G4447" s="2" t="n">
        <v>1</v>
      </c>
      <c r="H4447" s="2" t="n">
        <v>1</v>
      </c>
      <c r="I4447" s="2" t="n">
        <v>0</v>
      </c>
    </row>
    <row r="4448">
      <c r="A4448" s="2" t="n">
        <v>4446</v>
      </c>
      <c r="B4448" s="2" t="inlineStr">
        <is>
          <t>truncate</t>
        </is>
      </c>
      <c r="C4448" s="2" t="inlineStr">
        <is>
          <t>browser firefox147</t>
        </is>
      </c>
      <c r="D4448" s="2" t="n">
        <v>400</v>
      </c>
      <c r="E4448" s="2" t="n">
        <v>400</v>
      </c>
      <c r="F4448" s="2" t="n">
        <v>1</v>
      </c>
      <c r="G4448" s="2" t="n">
        <v>1</v>
      </c>
      <c r="H4448" s="2" t="n">
        <v>0</v>
      </c>
      <c r="I4448" s="2" t="n">
        <v>0</v>
      </c>
    </row>
    <row r="4449">
      <c r="A4449" s="2" t="n">
        <v>4447</v>
      </c>
      <c r="B4449" s="2" t="inlineStr">
        <is>
          <t>length</t>
        </is>
      </c>
      <c r="C4449" s="2" t="inlineStr">
        <is>
          <t>browser firefox147</t>
        </is>
      </c>
      <c r="D4449" s="2" t="n">
        <v>1901</v>
      </c>
      <c r="E4449" s="2" t="n">
        <v>1901</v>
      </c>
      <c r="F4449" s="2" t="n">
        <v>1</v>
      </c>
      <c r="G4449" s="2" t="n">
        <v>1</v>
      </c>
      <c r="H4449" s="2" t="n">
        <v>0</v>
      </c>
      <c r="I4449" s="2" t="n">
        <v>0</v>
      </c>
    </row>
    <row r="4450">
      <c r="A4450" s="2" t="n">
        <v>4448</v>
      </c>
      <c r="B4450" s="2" t="inlineStr">
        <is>
          <t>insert</t>
        </is>
      </c>
      <c r="C4450" s="2" t="inlineStr">
        <is>
          <t>openssl 3.5.8 default</t>
        </is>
      </c>
      <c r="D4450" s="2" t="n">
        <v>1550</v>
      </c>
      <c r="E4450" s="2" t="n">
        <v>1550</v>
      </c>
      <c r="F4450" s="2" t="n">
        <v>1</v>
      </c>
      <c r="G4450" s="2" t="n">
        <v>1</v>
      </c>
      <c r="H4450" s="2" t="n">
        <v>1</v>
      </c>
      <c r="I4450" s="2" t="n">
        <v>0</v>
      </c>
    </row>
    <row r="4451">
      <c r="A4451" s="2" t="n">
        <v>4449</v>
      </c>
      <c r="B4451" s="2" t="inlineStr">
        <is>
          <t>flip</t>
        </is>
      </c>
      <c r="C4451" s="2" t="inlineStr">
        <is>
          <t>browser chrome150</t>
        </is>
      </c>
      <c r="D4451" s="2" t="n">
        <v>1763</v>
      </c>
      <c r="E4451" s="2" t="n">
        <v>1763</v>
      </c>
      <c r="F4451" s="2" t="n">
        <v>1</v>
      </c>
      <c r="G4451" s="2" t="n">
        <v>1</v>
      </c>
      <c r="H4451" s="2" t="n">
        <v>1</v>
      </c>
      <c r="I4451" s="2" t="n">
        <v>0</v>
      </c>
    </row>
    <row r="4452">
      <c r="A4452" s="2" t="n">
        <v>4450</v>
      </c>
      <c r="B4452" s="2" t="inlineStr">
        <is>
          <t>truncate</t>
        </is>
      </c>
      <c r="C4452" s="2" t="inlineStr">
        <is>
          <t>openssl TLS 1.2 only</t>
        </is>
      </c>
      <c r="D4452" s="2" t="n">
        <v>188</v>
      </c>
      <c r="E4452" s="2" t="n">
        <v>188</v>
      </c>
      <c r="F4452" s="2" t="n">
        <v>1</v>
      </c>
      <c r="G4452" s="2" t="n">
        <v>1</v>
      </c>
      <c r="H4452" s="2" t="n">
        <v>1</v>
      </c>
      <c r="I4452" s="2" t="n">
        <v>0</v>
      </c>
    </row>
    <row r="4453">
      <c r="A4453" s="2" t="n">
        <v>4451</v>
      </c>
      <c r="B4453" s="2" t="inlineStr">
        <is>
          <t>length</t>
        </is>
      </c>
      <c r="C4453" s="2" t="inlineStr">
        <is>
          <t>openssl TLS 1.2 only</t>
        </is>
      </c>
      <c r="D4453" s="2" t="n">
        <v>215</v>
      </c>
      <c r="E4453" s="2" t="n">
        <v>215</v>
      </c>
      <c r="F4453" s="2" t="n">
        <v>1</v>
      </c>
      <c r="G4453" s="2" t="n">
        <v>1</v>
      </c>
      <c r="H4453" s="2" t="n">
        <v>1</v>
      </c>
      <c r="I4453" s="2" t="n">
        <v>0</v>
      </c>
    </row>
    <row r="4454">
      <c r="A4454" s="2" t="n">
        <v>4452</v>
      </c>
      <c r="B4454" s="2" t="inlineStr">
        <is>
          <t>insert</t>
        </is>
      </c>
      <c r="C4454" s="2" t="inlineStr">
        <is>
          <t>browser firefox147</t>
        </is>
      </c>
      <c r="D4454" s="2" t="n">
        <v>1905</v>
      </c>
      <c r="E4454" s="2" t="n">
        <v>1905</v>
      </c>
      <c r="F4454" s="2" t="n">
        <v>1</v>
      </c>
      <c r="G4454" s="2" t="n">
        <v>1</v>
      </c>
      <c r="H4454" s="2" t="n">
        <v>1</v>
      </c>
      <c r="I4454" s="2" t="n">
        <v>0</v>
      </c>
    </row>
    <row r="4455">
      <c r="A4455" s="2" t="n">
        <v>4453</v>
      </c>
      <c r="B4455" s="2" t="inlineStr">
        <is>
          <t>flip</t>
        </is>
      </c>
      <c r="C4455" s="2" t="inlineStr">
        <is>
          <t>openssl X25519 only (classical)</t>
        </is>
      </c>
      <c r="D4455" s="2" t="n">
        <v>314</v>
      </c>
      <c r="E4455" s="2" t="n">
        <v>314</v>
      </c>
      <c r="F4455" s="2" t="n">
        <v>1</v>
      </c>
      <c r="G4455" s="2" t="n">
        <v>1</v>
      </c>
      <c r="H4455" s="2" t="n">
        <v>1</v>
      </c>
      <c r="I4455" s="2" t="n">
        <v>0</v>
      </c>
    </row>
    <row r="4456">
      <c r="A4456" s="2" t="n">
        <v>4454</v>
      </c>
      <c r="B4456" s="2" t="inlineStr">
        <is>
          <t>truncate</t>
        </is>
      </c>
      <c r="C4456" s="2" t="inlineStr">
        <is>
          <t>openssl X25519 only (classical)</t>
        </is>
      </c>
      <c r="D4456" s="2" t="n">
        <v>236</v>
      </c>
      <c r="E4456" s="2" t="n">
        <v>236</v>
      </c>
      <c r="F4456" s="2" t="n">
        <v>1</v>
      </c>
      <c r="G4456" s="2" t="n">
        <v>1</v>
      </c>
      <c r="H4456" s="2" t="n">
        <v>0</v>
      </c>
      <c r="I4456" s="2" t="n">
        <v>0</v>
      </c>
    </row>
    <row r="4457">
      <c r="A4457" s="2" t="n">
        <v>4455</v>
      </c>
      <c r="B4457" s="2" t="inlineStr">
        <is>
          <t>length</t>
        </is>
      </c>
      <c r="C4457" s="2" t="inlineStr">
        <is>
          <t>openssl X25519 only (classical)</t>
        </is>
      </c>
      <c r="D4457" s="2" t="n">
        <v>314</v>
      </c>
      <c r="E4457" s="2" t="n">
        <v>314</v>
      </c>
      <c r="F4457" s="2" t="n">
        <v>0</v>
      </c>
      <c r="G4457" s="2" t="n">
        <v>0</v>
      </c>
      <c r="H4457" s="2" t="n">
        <v>0</v>
      </c>
      <c r="I4457" s="2" t="n">
        <v>0</v>
      </c>
    </row>
    <row r="4458">
      <c r="A4458" s="2" t="n">
        <v>4456</v>
      </c>
      <c r="B4458" s="2" t="inlineStr">
        <is>
          <t>insert</t>
        </is>
      </c>
      <c r="C4458" s="2" t="inlineStr">
        <is>
          <t>openssl TLS 1.2 only</t>
        </is>
      </c>
      <c r="D4458" s="2" t="n">
        <v>217</v>
      </c>
      <c r="E4458" s="2" t="n">
        <v>217</v>
      </c>
      <c r="F4458" s="2" t="n">
        <v>1</v>
      </c>
      <c r="G4458" s="2" t="n">
        <v>0</v>
      </c>
      <c r="H4458" s="2" t="n">
        <v>0</v>
      </c>
      <c r="I4458" s="2" t="n">
        <v>0</v>
      </c>
    </row>
    <row r="4459">
      <c r="A4459" s="2" t="n">
        <v>4457</v>
      </c>
      <c r="B4459" s="2" t="inlineStr">
        <is>
          <t>flip</t>
        </is>
      </c>
      <c r="C4459" s="2" t="inlineStr">
        <is>
          <t>browser firefox147</t>
        </is>
      </c>
      <c r="D4459" s="2" t="n">
        <v>1901</v>
      </c>
      <c r="E4459" s="2" t="n">
        <v>1901</v>
      </c>
      <c r="F4459" s="2" t="n">
        <v>1</v>
      </c>
      <c r="G4459" s="2" t="n">
        <v>1</v>
      </c>
      <c r="H4459" s="2" t="n">
        <v>0</v>
      </c>
      <c r="I4459" s="2" t="n">
        <v>0</v>
      </c>
    </row>
    <row r="4460">
      <c r="A4460" s="2" t="n">
        <v>4458</v>
      </c>
      <c r="B4460" s="2" t="inlineStr">
        <is>
          <t>truncate</t>
        </is>
      </c>
      <c r="C4460" s="2" t="inlineStr">
        <is>
          <t>openssl X25519 only (classical)</t>
        </is>
      </c>
      <c r="D4460" s="2" t="n">
        <v>312</v>
      </c>
      <c r="E4460" s="2" t="n">
        <v>312</v>
      </c>
      <c r="F4460" s="2" t="n">
        <v>1</v>
      </c>
      <c r="G4460" s="2" t="n">
        <v>1</v>
      </c>
      <c r="H4460" s="2" t="n">
        <v>1</v>
      </c>
      <c r="I4460" s="2" t="n">
        <v>0</v>
      </c>
    </row>
    <row r="4461">
      <c r="A4461" s="2" t="n">
        <v>4459</v>
      </c>
      <c r="B4461" s="2" t="inlineStr">
        <is>
          <t>length</t>
        </is>
      </c>
      <c r="C4461" s="2" t="inlineStr">
        <is>
          <t>openssl X25519 only (classical)</t>
        </is>
      </c>
      <c r="D4461" s="2" t="n">
        <v>314</v>
      </c>
      <c r="E4461" s="2" t="n">
        <v>314</v>
      </c>
      <c r="F4461" s="2" t="n">
        <v>1</v>
      </c>
      <c r="G4461" s="2" t="n">
        <v>1</v>
      </c>
      <c r="H4461" s="2" t="n">
        <v>1</v>
      </c>
      <c r="I4461" s="2" t="n">
        <v>0</v>
      </c>
    </row>
    <row r="4462">
      <c r="A4462" s="2" t="n">
        <v>4460</v>
      </c>
      <c r="B4462" s="2" t="inlineStr">
        <is>
          <t>insert</t>
        </is>
      </c>
      <c r="C4462" s="2" t="inlineStr">
        <is>
          <t>browser firefox147</t>
        </is>
      </c>
      <c r="D4462" s="2" t="n">
        <v>1909</v>
      </c>
      <c r="E4462" s="2" t="n">
        <v>1909</v>
      </c>
      <c r="F4462" s="2" t="n">
        <v>1</v>
      </c>
      <c r="G4462" s="2" t="n">
        <v>1</v>
      </c>
      <c r="H4462" s="2" t="n">
        <v>0</v>
      </c>
      <c r="I4462" s="2" t="n">
        <v>0</v>
      </c>
    </row>
    <row r="4463">
      <c r="A4463" s="2" t="n">
        <v>4461</v>
      </c>
      <c r="B4463" s="2" t="inlineStr">
        <is>
          <t>flip</t>
        </is>
      </c>
      <c r="C4463" s="2" t="inlineStr">
        <is>
          <t>openssl X25519 only (classical)</t>
        </is>
      </c>
      <c r="D4463" s="2" t="n">
        <v>314</v>
      </c>
      <c r="E4463" s="2" t="n">
        <v>314</v>
      </c>
      <c r="F4463" s="2" t="n">
        <v>1</v>
      </c>
      <c r="G4463" s="2" t="n">
        <v>1</v>
      </c>
      <c r="H4463" s="2" t="n">
        <v>1</v>
      </c>
      <c r="I4463" s="2" t="n">
        <v>0</v>
      </c>
    </row>
    <row r="4464">
      <c r="A4464" s="2" t="n">
        <v>4462</v>
      </c>
      <c r="B4464" s="2" t="inlineStr">
        <is>
          <t>truncate</t>
        </is>
      </c>
      <c r="C4464" s="2" t="inlineStr">
        <is>
          <t>openssl 3.5.8 default</t>
        </is>
      </c>
      <c r="D4464" s="2" t="n">
        <v>1159</v>
      </c>
      <c r="E4464" s="2" t="n">
        <v>1159</v>
      </c>
      <c r="F4464" s="2" t="n">
        <v>1</v>
      </c>
      <c r="G4464" s="2" t="n">
        <v>1</v>
      </c>
      <c r="H4464" s="2" t="n">
        <v>1</v>
      </c>
      <c r="I4464" s="2" t="n">
        <v>0</v>
      </c>
    </row>
    <row r="4465">
      <c r="A4465" s="2" t="n">
        <v>4463</v>
      </c>
      <c r="B4465" s="2" t="inlineStr">
        <is>
          <t>length</t>
        </is>
      </c>
      <c r="C4465" s="2" t="inlineStr">
        <is>
          <t>openssl TLS 1.2 only</t>
        </is>
      </c>
      <c r="D4465" s="2" t="n">
        <v>215</v>
      </c>
      <c r="E4465" s="2" t="n">
        <v>215</v>
      </c>
      <c r="F4465" s="2" t="n">
        <v>1</v>
      </c>
      <c r="G4465" s="2" t="n">
        <v>1</v>
      </c>
      <c r="H4465" s="2" t="n">
        <v>0</v>
      </c>
      <c r="I4465" s="2" t="n">
        <v>0</v>
      </c>
    </row>
    <row r="4466">
      <c r="A4466" s="2" t="n">
        <v>4464</v>
      </c>
      <c r="B4466" s="2" t="inlineStr">
        <is>
          <t>insert</t>
        </is>
      </c>
      <c r="C4466" s="2" t="inlineStr">
        <is>
          <t>browser chrome150</t>
        </is>
      </c>
      <c r="D4466" s="2" t="n">
        <v>1770</v>
      </c>
      <c r="E4466" s="2" t="n">
        <v>1770</v>
      </c>
      <c r="F4466" s="2" t="n">
        <v>1</v>
      </c>
      <c r="G4466" s="2" t="n">
        <v>1</v>
      </c>
      <c r="H4466" s="2" t="n">
        <v>1</v>
      </c>
      <c r="I4466" s="2" t="n">
        <v>0</v>
      </c>
    </row>
    <row r="4467">
      <c r="A4467" s="2" t="n">
        <v>4465</v>
      </c>
      <c r="B4467" s="2" t="inlineStr">
        <is>
          <t>flip</t>
        </is>
      </c>
      <c r="C4467" s="2" t="inlineStr">
        <is>
          <t>openssl TLS 1.2 only</t>
        </is>
      </c>
      <c r="D4467" s="2" t="n">
        <v>215</v>
      </c>
      <c r="E4467" s="2" t="n">
        <v>215</v>
      </c>
      <c r="F4467" s="2" t="n">
        <v>1</v>
      </c>
      <c r="G4467" s="2" t="n">
        <v>1</v>
      </c>
      <c r="H4467" s="2" t="n">
        <v>1</v>
      </c>
      <c r="I4467" s="2" t="n">
        <v>0</v>
      </c>
    </row>
    <row r="4468">
      <c r="A4468" s="2" t="n">
        <v>4466</v>
      </c>
      <c r="B4468" s="2" t="inlineStr">
        <is>
          <t>truncate</t>
        </is>
      </c>
      <c r="C4468" s="2" t="inlineStr">
        <is>
          <t>openssl X25519 only (classical)</t>
        </is>
      </c>
      <c r="D4468" s="2" t="n">
        <v>248</v>
      </c>
      <c r="E4468" s="2" t="n">
        <v>248</v>
      </c>
      <c r="F4468" s="2" t="n">
        <v>1</v>
      </c>
      <c r="G4468" s="2" t="n">
        <v>1</v>
      </c>
      <c r="H4468" s="2" t="n">
        <v>0</v>
      </c>
      <c r="I4468" s="2" t="n">
        <v>0</v>
      </c>
    </row>
    <row r="4469">
      <c r="A4469" s="2" t="n">
        <v>4467</v>
      </c>
      <c r="B4469" s="2" t="inlineStr">
        <is>
          <t>length</t>
        </is>
      </c>
      <c r="C4469" s="2" t="inlineStr">
        <is>
          <t>openssl TLS 1.2 only</t>
        </is>
      </c>
      <c r="D4469" s="2" t="n">
        <v>215</v>
      </c>
      <c r="E4469" s="2" t="n">
        <v>215</v>
      </c>
      <c r="F4469" s="2" t="n">
        <v>1</v>
      </c>
      <c r="G4469" s="2" t="n">
        <v>1</v>
      </c>
      <c r="H4469" s="2" t="n">
        <v>0</v>
      </c>
      <c r="I4469" s="2" t="n">
        <v>0</v>
      </c>
    </row>
    <row r="4470">
      <c r="A4470" s="2" t="n">
        <v>4468</v>
      </c>
      <c r="B4470" s="2" t="inlineStr">
        <is>
          <t>insert</t>
        </is>
      </c>
      <c r="C4470" s="2" t="inlineStr">
        <is>
          <t>openssl TLS 1.2 only</t>
        </is>
      </c>
      <c r="D4470" s="2" t="n">
        <v>216</v>
      </c>
      <c r="E4470" s="2" t="n">
        <v>216</v>
      </c>
      <c r="F4470" s="2" t="n">
        <v>0</v>
      </c>
      <c r="G4470" s="2" t="n">
        <v>0</v>
      </c>
      <c r="H4470" s="2" t="n">
        <v>0</v>
      </c>
      <c r="I4470" s="2" t="n">
        <v>0</v>
      </c>
    </row>
    <row r="4471">
      <c r="A4471" s="2" t="n">
        <v>4469</v>
      </c>
      <c r="B4471" s="2" t="inlineStr">
        <is>
          <t>flip</t>
        </is>
      </c>
      <c r="C4471" s="2" t="inlineStr">
        <is>
          <t>openssl TLS 1.2 only</t>
        </is>
      </c>
      <c r="D4471" s="2" t="n">
        <v>215</v>
      </c>
      <c r="E4471" s="2" t="n">
        <v>215</v>
      </c>
      <c r="F4471" s="2" t="n">
        <v>1</v>
      </c>
      <c r="G4471" s="2" t="n">
        <v>1</v>
      </c>
      <c r="H4471" s="2" t="n">
        <v>1</v>
      </c>
      <c r="I4471" s="2" t="n">
        <v>0</v>
      </c>
    </row>
    <row r="4472">
      <c r="A4472" s="2" t="n">
        <v>4470</v>
      </c>
      <c r="B4472" s="2" t="inlineStr">
        <is>
          <t>truncate</t>
        </is>
      </c>
      <c r="C4472" s="2" t="inlineStr">
        <is>
          <t>browser firefox147</t>
        </is>
      </c>
      <c r="D4472" s="2" t="n">
        <v>1546</v>
      </c>
      <c r="E4472" s="2" t="n">
        <v>1546</v>
      </c>
      <c r="F4472" s="2" t="n">
        <v>1</v>
      </c>
      <c r="G4472" s="2" t="n">
        <v>1</v>
      </c>
      <c r="H4472" s="2" t="n">
        <v>0</v>
      </c>
      <c r="I4472" s="2" t="n">
        <v>0</v>
      </c>
    </row>
    <row r="4473">
      <c r="A4473" s="2" t="n">
        <v>4471</v>
      </c>
      <c r="B4473" s="2" t="inlineStr">
        <is>
          <t>length</t>
        </is>
      </c>
      <c r="C4473" s="2" t="inlineStr">
        <is>
          <t>openssl 3.5.8 default</t>
        </is>
      </c>
      <c r="D4473" s="2" t="n">
        <v>1548</v>
      </c>
      <c r="E4473" s="2" t="n">
        <v>1548</v>
      </c>
      <c r="F4473" s="2" t="n">
        <v>0</v>
      </c>
      <c r="G4473" s="2" t="n">
        <v>0</v>
      </c>
      <c r="H4473" s="2" t="n">
        <v>0</v>
      </c>
      <c r="I4473" s="2" t="n">
        <v>0</v>
      </c>
    </row>
    <row r="4474">
      <c r="A4474" s="2" t="n">
        <v>4472</v>
      </c>
      <c r="B4474" s="2" t="inlineStr">
        <is>
          <t>insert</t>
        </is>
      </c>
      <c r="C4474" s="2" t="inlineStr">
        <is>
          <t>openssl 3.5.8 default</t>
        </is>
      </c>
      <c r="D4474" s="2" t="n">
        <v>1557</v>
      </c>
      <c r="E4474" s="2" t="n">
        <v>1557</v>
      </c>
      <c r="F4474" s="2" t="n">
        <v>1</v>
      </c>
      <c r="G4474" s="2" t="n">
        <v>0</v>
      </c>
      <c r="H4474" s="2" t="n">
        <v>0</v>
      </c>
      <c r="I4474" s="2" t="n">
        <v>0</v>
      </c>
    </row>
    <row r="4475">
      <c r="A4475" s="2" t="n">
        <v>4473</v>
      </c>
      <c r="B4475" s="2" t="inlineStr">
        <is>
          <t>flip</t>
        </is>
      </c>
      <c r="C4475" s="2" t="inlineStr">
        <is>
          <t>openssl X25519 only (classical)</t>
        </is>
      </c>
      <c r="D4475" s="2" t="n">
        <v>314</v>
      </c>
      <c r="E4475" s="2" t="n">
        <v>314</v>
      </c>
      <c r="F4475" s="2" t="n">
        <v>1</v>
      </c>
      <c r="G4475" s="2" t="n">
        <v>1</v>
      </c>
      <c r="H4475" s="2" t="n">
        <v>1</v>
      </c>
      <c r="I4475" s="2" t="n">
        <v>0</v>
      </c>
    </row>
    <row r="4476">
      <c r="A4476" s="2" t="n">
        <v>4474</v>
      </c>
      <c r="B4476" s="2" t="inlineStr">
        <is>
          <t>truncate</t>
        </is>
      </c>
      <c r="C4476" s="2" t="inlineStr">
        <is>
          <t>openssl TLS 1.2 only</t>
        </is>
      </c>
      <c r="D4476" s="2" t="n">
        <v>56</v>
      </c>
      <c r="E4476" s="2" t="n">
        <v>56</v>
      </c>
      <c r="F4476" s="2" t="n">
        <v>1</v>
      </c>
      <c r="G4476" s="2" t="n">
        <v>0</v>
      </c>
      <c r="H4476" s="2" t="n">
        <v>0</v>
      </c>
      <c r="I4476" s="2" t="n">
        <v>0</v>
      </c>
    </row>
    <row r="4477">
      <c r="A4477" s="2" t="n">
        <v>4475</v>
      </c>
      <c r="B4477" s="2" t="inlineStr">
        <is>
          <t>length</t>
        </is>
      </c>
      <c r="C4477" s="2" t="inlineStr">
        <is>
          <t>openssl X25519 only (classical)</t>
        </is>
      </c>
      <c r="D4477" s="2" t="n">
        <v>314</v>
      </c>
      <c r="E4477" s="2" t="n">
        <v>314</v>
      </c>
      <c r="F4477" s="2" t="n">
        <v>1</v>
      </c>
      <c r="G4477" s="2" t="n">
        <v>1</v>
      </c>
      <c r="H4477" s="2" t="n">
        <v>0</v>
      </c>
      <c r="I4477" s="2" t="n">
        <v>0</v>
      </c>
    </row>
    <row r="4478">
      <c r="A4478" s="2" t="n">
        <v>4476</v>
      </c>
      <c r="B4478" s="2" t="inlineStr">
        <is>
          <t>insert</t>
        </is>
      </c>
      <c r="C4478" s="2" t="inlineStr">
        <is>
          <t>openssl 3.5.8 default</t>
        </is>
      </c>
      <c r="D4478" s="2" t="n">
        <v>1559</v>
      </c>
      <c r="E4478" s="2" t="n">
        <v>1559</v>
      </c>
      <c r="F4478" s="2" t="n">
        <v>1</v>
      </c>
      <c r="G4478" s="2" t="n">
        <v>1</v>
      </c>
      <c r="H4478" s="2" t="n">
        <v>1</v>
      </c>
      <c r="I4478" s="2" t="n">
        <v>0</v>
      </c>
    </row>
    <row r="4479">
      <c r="A4479" s="2" t="n">
        <v>4477</v>
      </c>
      <c r="B4479" s="2" t="inlineStr">
        <is>
          <t>flip</t>
        </is>
      </c>
      <c r="C4479" s="2" t="inlineStr">
        <is>
          <t>openssl X25519 only (classical)</t>
        </is>
      </c>
      <c r="D4479" s="2" t="n">
        <v>314</v>
      </c>
      <c r="E4479" s="2" t="n">
        <v>314</v>
      </c>
      <c r="F4479" s="2" t="n">
        <v>1</v>
      </c>
      <c r="G4479" s="2" t="n">
        <v>1</v>
      </c>
      <c r="H4479" s="2" t="n">
        <v>1</v>
      </c>
      <c r="I4479" s="2" t="n">
        <v>0</v>
      </c>
    </row>
    <row r="4480">
      <c r="A4480" s="2" t="n">
        <v>4478</v>
      </c>
      <c r="B4480" s="2" t="inlineStr">
        <is>
          <t>truncate</t>
        </is>
      </c>
      <c r="C4480" s="2" t="inlineStr">
        <is>
          <t>browser chrome150</t>
        </is>
      </c>
      <c r="D4480" s="2" t="n">
        <v>1427</v>
      </c>
      <c r="E4480" s="2" t="n">
        <v>1427</v>
      </c>
      <c r="F4480" s="2" t="n">
        <v>1</v>
      </c>
      <c r="G4480" s="2" t="n">
        <v>1</v>
      </c>
      <c r="H4480" s="2" t="n">
        <v>1</v>
      </c>
      <c r="I4480" s="2" t="n">
        <v>0</v>
      </c>
    </row>
    <row r="4481">
      <c r="A4481" s="2" t="n">
        <v>4479</v>
      </c>
      <c r="B4481" s="2" t="inlineStr">
        <is>
          <t>length</t>
        </is>
      </c>
      <c r="C4481" s="2" t="inlineStr">
        <is>
          <t>openssl X25519 only (classical)</t>
        </is>
      </c>
      <c r="D4481" s="2" t="n">
        <v>314</v>
      </c>
      <c r="E4481" s="2" t="n">
        <v>314</v>
      </c>
      <c r="F4481" s="2" t="n">
        <v>1</v>
      </c>
      <c r="G4481" s="2" t="n">
        <v>1</v>
      </c>
      <c r="H4481" s="2" t="n">
        <v>1</v>
      </c>
      <c r="I4481" s="2" t="n">
        <v>0</v>
      </c>
    </row>
    <row r="4482">
      <c r="A4482" s="2" t="n">
        <v>4480</v>
      </c>
      <c r="B4482" s="2" t="inlineStr">
        <is>
          <t>insert</t>
        </is>
      </c>
      <c r="C4482" s="2" t="inlineStr">
        <is>
          <t>browser firefox147</t>
        </is>
      </c>
      <c r="D4482" s="2" t="n">
        <v>1902</v>
      </c>
      <c r="E4482" s="2" t="n">
        <v>1902</v>
      </c>
      <c r="F4482" s="2" t="n">
        <v>1</v>
      </c>
      <c r="G4482" s="2" t="n">
        <v>1</v>
      </c>
      <c r="H4482" s="2" t="n">
        <v>0</v>
      </c>
      <c r="I4482" s="2" t="n">
        <v>0</v>
      </c>
    </row>
    <row r="4483">
      <c r="A4483" s="2" t="n">
        <v>4481</v>
      </c>
      <c r="B4483" s="2" t="inlineStr">
        <is>
          <t>flip</t>
        </is>
      </c>
      <c r="C4483" s="2" t="inlineStr">
        <is>
          <t>openssl X25519 only (classical)</t>
        </is>
      </c>
      <c r="D4483" s="2" t="n">
        <v>314</v>
      </c>
      <c r="E4483" s="2" t="n">
        <v>314</v>
      </c>
      <c r="F4483" s="2" t="n">
        <v>1</v>
      </c>
      <c r="G4483" s="2" t="n">
        <v>1</v>
      </c>
      <c r="H4483" s="2" t="n">
        <v>1</v>
      </c>
      <c r="I4483" s="2" t="n">
        <v>0</v>
      </c>
    </row>
    <row r="4484">
      <c r="A4484" s="2" t="n">
        <v>4482</v>
      </c>
      <c r="B4484" s="2" t="inlineStr">
        <is>
          <t>truncate</t>
        </is>
      </c>
      <c r="C4484" s="2" t="inlineStr">
        <is>
          <t>openssl TLS 1.2 only</t>
        </is>
      </c>
      <c r="D4484" s="2" t="n">
        <v>144</v>
      </c>
      <c r="E4484" s="2" t="n">
        <v>144</v>
      </c>
      <c r="F4484" s="2" t="n">
        <v>1</v>
      </c>
      <c r="G4484" s="2" t="n">
        <v>1</v>
      </c>
      <c r="H4484" s="2" t="n">
        <v>0</v>
      </c>
      <c r="I4484" s="2" t="n">
        <v>0</v>
      </c>
    </row>
    <row r="4485">
      <c r="A4485" s="2" t="n">
        <v>4483</v>
      </c>
      <c r="B4485" s="2" t="inlineStr">
        <is>
          <t>length</t>
        </is>
      </c>
      <c r="C4485" s="2" t="inlineStr">
        <is>
          <t>openssl TLS 1.2 only</t>
        </is>
      </c>
      <c r="D4485" s="2" t="n">
        <v>215</v>
      </c>
      <c r="E4485" s="2" t="n">
        <v>215</v>
      </c>
      <c r="F4485" s="2" t="n">
        <v>0</v>
      </c>
      <c r="G4485" s="2" t="n">
        <v>0</v>
      </c>
      <c r="H4485" s="2" t="n">
        <v>0</v>
      </c>
      <c r="I4485" s="2" t="n">
        <v>0</v>
      </c>
    </row>
    <row r="4486">
      <c r="A4486" s="2" t="n">
        <v>4484</v>
      </c>
      <c r="B4486" s="2" t="inlineStr">
        <is>
          <t>insert</t>
        </is>
      </c>
      <c r="C4486" s="2" t="inlineStr">
        <is>
          <t>openssl TLS 1.2 only</t>
        </is>
      </c>
      <c r="D4486" s="2" t="n">
        <v>231</v>
      </c>
      <c r="E4486" s="2" t="n">
        <v>231</v>
      </c>
      <c r="F4486" s="2" t="n">
        <v>1</v>
      </c>
      <c r="G4486" s="2" t="n">
        <v>1</v>
      </c>
      <c r="H4486" s="2" t="n">
        <v>0</v>
      </c>
      <c r="I4486" s="2" t="n">
        <v>0</v>
      </c>
    </row>
    <row r="4487">
      <c r="A4487" s="2" t="n">
        <v>4485</v>
      </c>
      <c r="B4487" s="2" t="inlineStr">
        <is>
          <t>flip</t>
        </is>
      </c>
      <c r="C4487" s="2" t="inlineStr">
        <is>
          <t>openssl TLS 1.2 only</t>
        </is>
      </c>
      <c r="D4487" s="2" t="n">
        <v>215</v>
      </c>
      <c r="E4487" s="2" t="n">
        <v>215</v>
      </c>
      <c r="F4487" s="2" t="n">
        <v>1</v>
      </c>
      <c r="G4487" s="2" t="n">
        <v>1</v>
      </c>
      <c r="H4487" s="2" t="n">
        <v>1</v>
      </c>
      <c r="I4487" s="2" t="n">
        <v>0</v>
      </c>
    </row>
    <row r="4488">
      <c r="A4488" s="2" t="n">
        <v>4486</v>
      </c>
      <c r="B4488" s="2" t="inlineStr">
        <is>
          <t>truncate</t>
        </is>
      </c>
      <c r="C4488" s="2" t="inlineStr">
        <is>
          <t>openssl X25519 only (classical)</t>
        </is>
      </c>
      <c r="D4488" s="2" t="n">
        <v>166</v>
      </c>
      <c r="E4488" s="2" t="n">
        <v>166</v>
      </c>
      <c r="F4488" s="2" t="n">
        <v>1</v>
      </c>
      <c r="G4488" s="2" t="n">
        <v>1</v>
      </c>
      <c r="H4488" s="2" t="n">
        <v>0</v>
      </c>
      <c r="I4488" s="2" t="n">
        <v>0</v>
      </c>
    </row>
    <row r="4489">
      <c r="A4489" s="2" t="n">
        <v>4487</v>
      </c>
      <c r="B4489" s="2" t="inlineStr">
        <is>
          <t>length</t>
        </is>
      </c>
      <c r="C4489" s="2" t="inlineStr">
        <is>
          <t>openssl X25519 only (classical)</t>
        </is>
      </c>
      <c r="D4489" s="2" t="n">
        <v>314</v>
      </c>
      <c r="E4489" s="2" t="n">
        <v>314</v>
      </c>
      <c r="F4489" s="2" t="n">
        <v>1</v>
      </c>
      <c r="G4489" s="2" t="n">
        <v>0</v>
      </c>
      <c r="H4489" s="2" t="n">
        <v>0</v>
      </c>
      <c r="I4489" s="2" t="n">
        <v>0</v>
      </c>
    </row>
    <row r="4490">
      <c r="A4490" s="2" t="n">
        <v>4488</v>
      </c>
      <c r="B4490" s="2" t="inlineStr">
        <is>
          <t>insert</t>
        </is>
      </c>
      <c r="C4490" s="2" t="inlineStr">
        <is>
          <t>openssl 3.5.8 default</t>
        </is>
      </c>
      <c r="D4490" s="2" t="n">
        <v>1551</v>
      </c>
      <c r="E4490" s="2" t="n">
        <v>1551</v>
      </c>
      <c r="F4490" s="2" t="n">
        <v>1</v>
      </c>
      <c r="G4490" s="2" t="n">
        <v>1</v>
      </c>
      <c r="H4490" s="2" t="n">
        <v>1</v>
      </c>
      <c r="I4490" s="2" t="n">
        <v>0</v>
      </c>
    </row>
    <row r="4491">
      <c r="A4491" s="2" t="n">
        <v>4489</v>
      </c>
      <c r="B4491" s="2" t="inlineStr">
        <is>
          <t>flip</t>
        </is>
      </c>
      <c r="C4491" s="2" t="inlineStr">
        <is>
          <t>openssl 3.5.8 default</t>
        </is>
      </c>
      <c r="D4491" s="2" t="n">
        <v>1548</v>
      </c>
      <c r="E4491" s="2" t="n">
        <v>1548</v>
      </c>
      <c r="F4491" s="2" t="n">
        <v>1</v>
      </c>
      <c r="G4491" s="2" t="n">
        <v>1</v>
      </c>
      <c r="H4491" s="2" t="n">
        <v>1</v>
      </c>
      <c r="I4491" s="2" t="n">
        <v>0</v>
      </c>
    </row>
    <row r="4492">
      <c r="A4492" s="2" t="n">
        <v>4490</v>
      </c>
      <c r="B4492" s="2" t="inlineStr">
        <is>
          <t>truncate</t>
        </is>
      </c>
      <c r="C4492" s="2" t="inlineStr">
        <is>
          <t>openssl X25519 only (classical)</t>
        </is>
      </c>
      <c r="D4492" s="2" t="n">
        <v>137</v>
      </c>
      <c r="E4492" s="2" t="n">
        <v>137</v>
      </c>
      <c r="F4492" s="2" t="n">
        <v>1</v>
      </c>
      <c r="G4492" s="2" t="n">
        <v>0</v>
      </c>
      <c r="H4492" s="2" t="n">
        <v>0</v>
      </c>
      <c r="I4492" s="2" t="n">
        <v>0</v>
      </c>
    </row>
    <row r="4493">
      <c r="A4493" s="2" t="n">
        <v>4491</v>
      </c>
      <c r="B4493" s="2" t="inlineStr">
        <is>
          <t>length</t>
        </is>
      </c>
      <c r="C4493" s="2" t="inlineStr">
        <is>
          <t>browser chrome150</t>
        </is>
      </c>
      <c r="D4493" s="2" t="n">
        <v>1763</v>
      </c>
      <c r="E4493" s="2" t="n">
        <v>1763</v>
      </c>
      <c r="F4493" s="2" t="n">
        <v>1</v>
      </c>
      <c r="G4493" s="2" t="n">
        <v>1</v>
      </c>
      <c r="H4493" s="2" t="n">
        <v>1</v>
      </c>
      <c r="I4493" s="2" t="n">
        <v>0</v>
      </c>
    </row>
    <row r="4494">
      <c r="A4494" s="2" t="n">
        <v>4492</v>
      </c>
      <c r="B4494" s="2" t="inlineStr">
        <is>
          <t>insert</t>
        </is>
      </c>
      <c r="C4494" s="2" t="inlineStr">
        <is>
          <t>browser firefox147</t>
        </is>
      </c>
      <c r="D4494" s="2" t="n">
        <v>1916</v>
      </c>
      <c r="E4494" s="2" t="n">
        <v>1916</v>
      </c>
      <c r="F4494" s="2" t="n">
        <v>1</v>
      </c>
      <c r="G4494" s="2" t="n">
        <v>1</v>
      </c>
      <c r="H4494" s="2" t="n">
        <v>0</v>
      </c>
      <c r="I4494" s="2" t="n">
        <v>0</v>
      </c>
    </row>
    <row r="4495">
      <c r="A4495" s="2" t="n">
        <v>4493</v>
      </c>
      <c r="B4495" s="2" t="inlineStr">
        <is>
          <t>flip</t>
        </is>
      </c>
      <c r="C4495" s="2" t="inlineStr">
        <is>
          <t>browser chrome150</t>
        </is>
      </c>
      <c r="D4495" s="2" t="n">
        <v>1763</v>
      </c>
      <c r="E4495" s="2" t="n">
        <v>1763</v>
      </c>
      <c r="F4495" s="2" t="n">
        <v>1</v>
      </c>
      <c r="G4495" s="2" t="n">
        <v>1</v>
      </c>
      <c r="H4495" s="2" t="n">
        <v>1</v>
      </c>
      <c r="I4495" s="2" t="n">
        <v>0</v>
      </c>
    </row>
    <row r="4496">
      <c r="A4496" s="2" t="n">
        <v>4494</v>
      </c>
      <c r="B4496" s="2" t="inlineStr">
        <is>
          <t>truncate</t>
        </is>
      </c>
      <c r="C4496" s="2" t="inlineStr">
        <is>
          <t>openssl X25519 only (classical)</t>
        </is>
      </c>
      <c r="D4496" s="2" t="n">
        <v>61</v>
      </c>
      <c r="E4496" s="2" t="n">
        <v>61</v>
      </c>
      <c r="F4496" s="2" t="n">
        <v>1</v>
      </c>
      <c r="G4496" s="2" t="n">
        <v>0</v>
      </c>
      <c r="H4496" s="2" t="n">
        <v>0</v>
      </c>
      <c r="I4496" s="2" t="n">
        <v>0</v>
      </c>
    </row>
    <row r="4497">
      <c r="A4497" s="2" t="n">
        <v>4495</v>
      </c>
      <c r="B4497" s="2" t="inlineStr">
        <is>
          <t>length</t>
        </is>
      </c>
      <c r="C4497" s="2" t="inlineStr">
        <is>
          <t>openssl 3.5.8 default</t>
        </is>
      </c>
      <c r="D4497" s="2" t="n">
        <v>1548</v>
      </c>
      <c r="E4497" s="2" t="n">
        <v>1548</v>
      </c>
      <c r="F4497" s="2" t="n">
        <v>1</v>
      </c>
      <c r="G4497" s="2" t="n">
        <v>1</v>
      </c>
      <c r="H4497" s="2" t="n">
        <v>1</v>
      </c>
      <c r="I4497" s="2" t="n">
        <v>0</v>
      </c>
    </row>
    <row r="4498">
      <c r="A4498" s="2" t="n">
        <v>4496</v>
      </c>
      <c r="B4498" s="2" t="inlineStr">
        <is>
          <t>insert</t>
        </is>
      </c>
      <c r="C4498" s="2" t="inlineStr">
        <is>
          <t>openssl TLS 1.2 only</t>
        </is>
      </c>
      <c r="D4498" s="2" t="n">
        <v>226</v>
      </c>
      <c r="E4498" s="2" t="n">
        <v>226</v>
      </c>
      <c r="F4498" s="2" t="n">
        <v>1</v>
      </c>
      <c r="G4498" s="2" t="n">
        <v>1</v>
      </c>
      <c r="H4498" s="2" t="n">
        <v>1</v>
      </c>
      <c r="I4498" s="2" t="n">
        <v>0</v>
      </c>
    </row>
    <row r="4499">
      <c r="A4499" s="2" t="n">
        <v>4497</v>
      </c>
      <c r="B4499" s="2" t="inlineStr">
        <is>
          <t>flip</t>
        </is>
      </c>
      <c r="C4499" s="2" t="inlineStr">
        <is>
          <t>browser chrome150</t>
        </is>
      </c>
      <c r="D4499" s="2" t="n">
        <v>1763</v>
      </c>
      <c r="E4499" s="2" t="n">
        <v>1763</v>
      </c>
      <c r="F4499" s="2" t="n">
        <v>1</v>
      </c>
      <c r="G4499" s="2" t="n">
        <v>1</v>
      </c>
      <c r="H4499" s="2" t="n">
        <v>1</v>
      </c>
      <c r="I4499" s="2" t="n">
        <v>0</v>
      </c>
    </row>
    <row r="4500">
      <c r="A4500" s="2" t="n">
        <v>4498</v>
      </c>
      <c r="B4500" s="2" t="inlineStr">
        <is>
          <t>truncate</t>
        </is>
      </c>
      <c r="C4500" s="2" t="inlineStr">
        <is>
          <t>openssl TLS 1.2 only</t>
        </is>
      </c>
      <c r="D4500" s="2" t="n">
        <v>56</v>
      </c>
      <c r="E4500" s="2" t="n">
        <v>56</v>
      </c>
      <c r="F4500" s="2" t="n">
        <v>1</v>
      </c>
      <c r="G4500" s="2" t="n">
        <v>0</v>
      </c>
      <c r="H4500" s="2" t="n">
        <v>0</v>
      </c>
      <c r="I4500" s="2" t="n">
        <v>0</v>
      </c>
    </row>
    <row r="4501">
      <c r="A4501" s="2" t="n">
        <v>4499</v>
      </c>
      <c r="B4501" s="2" t="inlineStr">
        <is>
          <t>length</t>
        </is>
      </c>
      <c r="C4501" s="2" t="inlineStr">
        <is>
          <t>openssl TLS 1.2 only</t>
        </is>
      </c>
      <c r="D4501" s="2" t="n">
        <v>215</v>
      </c>
      <c r="E4501" s="2" t="n">
        <v>215</v>
      </c>
      <c r="F4501" s="2" t="n">
        <v>1</v>
      </c>
      <c r="G4501" s="2" t="n">
        <v>1</v>
      </c>
      <c r="H4501" s="2" t="n">
        <v>0</v>
      </c>
      <c r="I4501" s="2" t="n">
        <v>0</v>
      </c>
    </row>
    <row r="4502">
      <c r="A4502" s="2" t="n">
        <v>4500</v>
      </c>
      <c r="B4502" s="2" t="inlineStr">
        <is>
          <t>insert</t>
        </is>
      </c>
      <c r="C4502" s="2" t="inlineStr">
        <is>
          <t>openssl 3.5.8 default</t>
        </is>
      </c>
      <c r="D4502" s="2" t="n">
        <v>1560</v>
      </c>
      <c r="E4502" s="2" t="n">
        <v>1560</v>
      </c>
      <c r="F4502" s="2" t="n">
        <v>1</v>
      </c>
      <c r="G4502" s="2" t="n">
        <v>1</v>
      </c>
      <c r="H4502" s="2" t="n">
        <v>0</v>
      </c>
      <c r="I4502" s="2" t="n">
        <v>0</v>
      </c>
    </row>
    <row r="4503">
      <c r="A4503" s="2" t="n">
        <v>4501</v>
      </c>
      <c r="B4503" s="2" t="inlineStr">
        <is>
          <t>flip</t>
        </is>
      </c>
      <c r="C4503" s="2" t="inlineStr">
        <is>
          <t>browser firefox147</t>
        </is>
      </c>
      <c r="D4503" s="2" t="n">
        <v>1901</v>
      </c>
      <c r="E4503" s="2" t="n">
        <v>1901</v>
      </c>
      <c r="F4503" s="2" t="n">
        <v>1</v>
      </c>
      <c r="G4503" s="2" t="n">
        <v>1</v>
      </c>
      <c r="H4503" s="2" t="n">
        <v>0</v>
      </c>
      <c r="I4503" s="2" t="n">
        <v>0</v>
      </c>
    </row>
    <row r="4504">
      <c r="A4504" s="2" t="n">
        <v>4502</v>
      </c>
      <c r="B4504" s="2" t="inlineStr">
        <is>
          <t>truncate</t>
        </is>
      </c>
      <c r="C4504" s="2" t="inlineStr">
        <is>
          <t>openssl X25519 only (classical)</t>
        </is>
      </c>
      <c r="D4504" s="2" t="n">
        <v>144</v>
      </c>
      <c r="E4504" s="2" t="n">
        <v>144</v>
      </c>
      <c r="F4504" s="2" t="n">
        <v>1</v>
      </c>
      <c r="G4504" s="2" t="n">
        <v>1</v>
      </c>
      <c r="H4504" s="2" t="n">
        <v>0</v>
      </c>
      <c r="I4504" s="2" t="n">
        <v>0</v>
      </c>
    </row>
    <row r="4505">
      <c r="A4505" s="2" t="n">
        <v>4503</v>
      </c>
      <c r="B4505" s="2" t="inlineStr">
        <is>
          <t>length</t>
        </is>
      </c>
      <c r="C4505" s="2" t="inlineStr">
        <is>
          <t>browser chrome150</t>
        </is>
      </c>
      <c r="D4505" s="2" t="n">
        <v>1763</v>
      </c>
      <c r="E4505" s="2" t="n">
        <v>1763</v>
      </c>
      <c r="F4505" s="2" t="n">
        <v>1</v>
      </c>
      <c r="G4505" s="2" t="n">
        <v>0</v>
      </c>
      <c r="H4505" s="2" t="n">
        <v>0</v>
      </c>
      <c r="I4505" s="2" t="n">
        <v>0</v>
      </c>
    </row>
    <row r="4506">
      <c r="A4506" s="2" t="n">
        <v>4504</v>
      </c>
      <c r="B4506" s="2" t="inlineStr">
        <is>
          <t>insert</t>
        </is>
      </c>
      <c r="C4506" s="2" t="inlineStr">
        <is>
          <t>openssl TLS 1.2 only</t>
        </is>
      </c>
      <c r="D4506" s="2" t="n">
        <v>218</v>
      </c>
      <c r="E4506" s="2" t="n">
        <v>218</v>
      </c>
      <c r="F4506" s="2" t="n">
        <v>1</v>
      </c>
      <c r="G4506" s="2" t="n">
        <v>1</v>
      </c>
      <c r="H4506" s="2" t="n">
        <v>1</v>
      </c>
      <c r="I4506" s="2" t="n">
        <v>0</v>
      </c>
    </row>
    <row r="4507">
      <c r="A4507" s="2" t="n">
        <v>4505</v>
      </c>
      <c r="B4507" s="2" t="inlineStr">
        <is>
          <t>flip</t>
        </is>
      </c>
      <c r="C4507" s="2" t="inlineStr">
        <is>
          <t>browser firefox147</t>
        </is>
      </c>
      <c r="D4507" s="2" t="n">
        <v>1901</v>
      </c>
      <c r="E4507" s="2" t="n">
        <v>1901</v>
      </c>
      <c r="F4507" s="2" t="n">
        <v>1</v>
      </c>
      <c r="G4507" s="2" t="n">
        <v>1</v>
      </c>
      <c r="H4507" s="2" t="n">
        <v>0</v>
      </c>
      <c r="I4507" s="2" t="n">
        <v>0</v>
      </c>
    </row>
    <row r="4508">
      <c r="A4508" s="2" t="n">
        <v>4506</v>
      </c>
      <c r="B4508" s="2" t="inlineStr">
        <is>
          <t>truncate</t>
        </is>
      </c>
      <c r="C4508" s="2" t="inlineStr">
        <is>
          <t>openssl TLS 1.2 only</t>
        </is>
      </c>
      <c r="D4508" s="2" t="n">
        <v>36</v>
      </c>
      <c r="E4508" s="2" t="n">
        <v>36</v>
      </c>
      <c r="F4508" s="2" t="n">
        <v>1</v>
      </c>
      <c r="G4508" s="2" t="n">
        <v>0</v>
      </c>
      <c r="H4508" s="2" t="n">
        <v>0</v>
      </c>
      <c r="I4508" s="2" t="n">
        <v>0</v>
      </c>
    </row>
    <row r="4509">
      <c r="A4509" s="2" t="n">
        <v>4507</v>
      </c>
      <c r="B4509" s="2" t="inlineStr">
        <is>
          <t>length</t>
        </is>
      </c>
      <c r="C4509" s="2" t="inlineStr">
        <is>
          <t>openssl X25519 only (classical)</t>
        </is>
      </c>
      <c r="D4509" s="2" t="n">
        <v>314</v>
      </c>
      <c r="E4509" s="2" t="n">
        <v>314</v>
      </c>
      <c r="F4509" s="2" t="n">
        <v>1</v>
      </c>
      <c r="G4509" s="2" t="n">
        <v>1</v>
      </c>
      <c r="H4509" s="2" t="n">
        <v>1</v>
      </c>
      <c r="I4509" s="2" t="n">
        <v>0</v>
      </c>
    </row>
    <row r="4510">
      <c r="A4510" s="2" t="n">
        <v>4508</v>
      </c>
      <c r="B4510" s="2" t="inlineStr">
        <is>
          <t>insert</t>
        </is>
      </c>
      <c r="C4510" s="2" t="inlineStr">
        <is>
          <t>openssl X25519 only (classical)</t>
        </is>
      </c>
      <c r="D4510" s="2" t="n">
        <v>330</v>
      </c>
      <c r="E4510" s="2" t="n">
        <v>330</v>
      </c>
      <c r="F4510" s="2" t="n">
        <v>1</v>
      </c>
      <c r="G4510" s="2" t="n">
        <v>1</v>
      </c>
      <c r="H4510" s="2" t="n">
        <v>1</v>
      </c>
      <c r="I4510" s="2" t="n">
        <v>0</v>
      </c>
    </row>
    <row r="4511">
      <c r="A4511" s="2" t="n">
        <v>4509</v>
      </c>
      <c r="B4511" s="2" t="inlineStr">
        <is>
          <t>flip</t>
        </is>
      </c>
      <c r="C4511" s="2" t="inlineStr">
        <is>
          <t>browser firefox147</t>
        </is>
      </c>
      <c r="D4511" s="2" t="n">
        <v>1901</v>
      </c>
      <c r="E4511" s="2" t="n">
        <v>1901</v>
      </c>
      <c r="F4511" s="2" t="n">
        <v>1</v>
      </c>
      <c r="G4511" s="2" t="n">
        <v>1</v>
      </c>
      <c r="H4511" s="2" t="n">
        <v>0</v>
      </c>
      <c r="I4511" s="2" t="n">
        <v>0</v>
      </c>
    </row>
    <row r="4512">
      <c r="A4512" s="2" t="n">
        <v>4510</v>
      </c>
      <c r="B4512" s="2" t="inlineStr">
        <is>
          <t>truncate</t>
        </is>
      </c>
      <c r="C4512" s="2" t="inlineStr">
        <is>
          <t>openssl TLS 1.2 only</t>
        </is>
      </c>
      <c r="D4512" s="2" t="n">
        <v>204</v>
      </c>
      <c r="E4512" s="2" t="n">
        <v>204</v>
      </c>
      <c r="F4512" s="2" t="n">
        <v>1</v>
      </c>
      <c r="G4512" s="2" t="n">
        <v>1</v>
      </c>
      <c r="H4512" s="2" t="n">
        <v>1</v>
      </c>
      <c r="I4512" s="2" t="n">
        <v>0</v>
      </c>
    </row>
    <row r="4513">
      <c r="A4513" s="2" t="n">
        <v>4511</v>
      </c>
      <c r="B4513" s="2" t="inlineStr">
        <is>
          <t>length</t>
        </is>
      </c>
      <c r="C4513" s="2" t="inlineStr">
        <is>
          <t>openssl 3.5.8 default</t>
        </is>
      </c>
      <c r="D4513" s="2" t="n">
        <v>1548</v>
      </c>
      <c r="E4513" s="2" t="n">
        <v>1548</v>
      </c>
      <c r="F4513" s="2" t="n">
        <v>1</v>
      </c>
      <c r="G4513" s="2" t="n">
        <v>1</v>
      </c>
      <c r="H4513" s="2" t="n">
        <v>1</v>
      </c>
      <c r="I4513" s="2" t="n">
        <v>0</v>
      </c>
    </row>
    <row r="4514">
      <c r="A4514" s="2" t="n">
        <v>4512</v>
      </c>
      <c r="B4514" s="2" t="inlineStr">
        <is>
          <t>insert</t>
        </is>
      </c>
      <c r="C4514" s="2" t="inlineStr">
        <is>
          <t>openssl 3.5.8 default</t>
        </is>
      </c>
      <c r="D4514" s="2" t="n">
        <v>1551</v>
      </c>
      <c r="E4514" s="2" t="n">
        <v>1551</v>
      </c>
      <c r="F4514" s="2" t="n">
        <v>1</v>
      </c>
      <c r="G4514" s="2" t="n">
        <v>1</v>
      </c>
      <c r="H4514" s="2" t="n">
        <v>1</v>
      </c>
      <c r="I4514" s="2" t="n">
        <v>0</v>
      </c>
    </row>
    <row r="4515">
      <c r="A4515" s="2" t="n">
        <v>4513</v>
      </c>
      <c r="B4515" s="2" t="inlineStr">
        <is>
          <t>flip</t>
        </is>
      </c>
      <c r="C4515" s="2" t="inlineStr">
        <is>
          <t>openssl X25519 only (classical)</t>
        </is>
      </c>
      <c r="D4515" s="2" t="n">
        <v>314</v>
      </c>
      <c r="E4515" s="2" t="n">
        <v>314</v>
      </c>
      <c r="F4515" s="2" t="n">
        <v>1</v>
      </c>
      <c r="G4515" s="2" t="n">
        <v>1</v>
      </c>
      <c r="H4515" s="2" t="n">
        <v>1</v>
      </c>
      <c r="I4515" s="2" t="n">
        <v>0</v>
      </c>
    </row>
    <row r="4516">
      <c r="A4516" s="2" t="n">
        <v>4514</v>
      </c>
      <c r="B4516" s="2" t="inlineStr">
        <is>
          <t>truncate</t>
        </is>
      </c>
      <c r="C4516" s="2" t="inlineStr">
        <is>
          <t>openssl X25519 only (classical)</t>
        </is>
      </c>
      <c r="D4516" s="2" t="n">
        <v>153</v>
      </c>
      <c r="E4516" s="2" t="n">
        <v>153</v>
      </c>
      <c r="F4516" s="2" t="n">
        <v>1</v>
      </c>
      <c r="G4516" s="2" t="n">
        <v>1</v>
      </c>
      <c r="H4516" s="2" t="n">
        <v>0</v>
      </c>
      <c r="I4516" s="2" t="n">
        <v>0</v>
      </c>
    </row>
    <row r="4517">
      <c r="A4517" s="2" t="n">
        <v>4515</v>
      </c>
      <c r="B4517" s="2" t="inlineStr">
        <is>
          <t>length</t>
        </is>
      </c>
      <c r="C4517" s="2" t="inlineStr">
        <is>
          <t>browser chrome150</t>
        </is>
      </c>
      <c r="D4517" s="2" t="n">
        <v>1763</v>
      </c>
      <c r="E4517" s="2" t="n">
        <v>1763</v>
      </c>
      <c r="F4517" s="2" t="n">
        <v>1</v>
      </c>
      <c r="G4517" s="2" t="n">
        <v>1</v>
      </c>
      <c r="H4517" s="2" t="n">
        <v>1</v>
      </c>
      <c r="I4517" s="2" t="n">
        <v>0</v>
      </c>
    </row>
    <row r="4518">
      <c r="A4518" s="2" t="n">
        <v>4516</v>
      </c>
      <c r="B4518" s="2" t="inlineStr">
        <is>
          <t>insert</t>
        </is>
      </c>
      <c r="C4518" s="2" t="inlineStr">
        <is>
          <t>openssl X25519 only (classical)</t>
        </is>
      </c>
      <c r="D4518" s="2" t="n">
        <v>329</v>
      </c>
      <c r="E4518" s="2" t="n">
        <v>329</v>
      </c>
      <c r="F4518" s="2" t="n">
        <v>1</v>
      </c>
      <c r="G4518" s="2" t="n">
        <v>1</v>
      </c>
      <c r="H4518" s="2" t="n">
        <v>1</v>
      </c>
      <c r="I4518" s="2" t="n">
        <v>0</v>
      </c>
    </row>
    <row r="4519">
      <c r="A4519" s="2" t="n">
        <v>4517</v>
      </c>
      <c r="B4519" s="2" t="inlineStr">
        <is>
          <t>flip</t>
        </is>
      </c>
      <c r="C4519" s="2" t="inlineStr">
        <is>
          <t>openssl X25519 only (classical)</t>
        </is>
      </c>
      <c r="D4519" s="2" t="n">
        <v>314</v>
      </c>
      <c r="E4519" s="2" t="n">
        <v>314</v>
      </c>
      <c r="F4519" s="2" t="n">
        <v>1</v>
      </c>
      <c r="G4519" s="2" t="n">
        <v>1</v>
      </c>
      <c r="H4519" s="2" t="n">
        <v>1</v>
      </c>
      <c r="I4519" s="2" t="n">
        <v>0</v>
      </c>
    </row>
    <row r="4520">
      <c r="A4520" s="2" t="n">
        <v>4518</v>
      </c>
      <c r="B4520" s="2" t="inlineStr">
        <is>
          <t>truncate</t>
        </is>
      </c>
      <c r="C4520" s="2" t="inlineStr">
        <is>
          <t>openssl TLS 1.2 only</t>
        </is>
      </c>
      <c r="D4520" s="2" t="n">
        <v>199</v>
      </c>
      <c r="E4520" s="2" t="n">
        <v>199</v>
      </c>
      <c r="F4520" s="2" t="n">
        <v>1</v>
      </c>
      <c r="G4520" s="2" t="n">
        <v>1</v>
      </c>
      <c r="H4520" s="2" t="n">
        <v>1</v>
      </c>
      <c r="I4520" s="2" t="n">
        <v>0</v>
      </c>
    </row>
    <row r="4521">
      <c r="A4521" s="2" t="n">
        <v>4519</v>
      </c>
      <c r="B4521" s="2" t="inlineStr">
        <is>
          <t>length</t>
        </is>
      </c>
      <c r="C4521" s="2" t="inlineStr">
        <is>
          <t>browser chrome150</t>
        </is>
      </c>
      <c r="D4521" s="2" t="n">
        <v>1763</v>
      </c>
      <c r="E4521" s="2" t="n">
        <v>1763</v>
      </c>
      <c r="F4521" s="2" t="n">
        <v>1</v>
      </c>
      <c r="G4521" s="2" t="n">
        <v>1</v>
      </c>
      <c r="H4521" s="2" t="n">
        <v>1</v>
      </c>
      <c r="I4521" s="2" t="n">
        <v>0</v>
      </c>
    </row>
    <row r="4522">
      <c r="A4522" s="2" t="n">
        <v>4520</v>
      </c>
      <c r="B4522" s="2" t="inlineStr">
        <is>
          <t>insert</t>
        </is>
      </c>
      <c r="C4522" s="2" t="inlineStr">
        <is>
          <t>openssl TLS 1.2 only</t>
        </is>
      </c>
      <c r="D4522" s="2" t="n">
        <v>226</v>
      </c>
      <c r="E4522" s="2" t="n">
        <v>226</v>
      </c>
      <c r="F4522" s="2" t="n">
        <v>1</v>
      </c>
      <c r="G4522" s="2" t="n">
        <v>1</v>
      </c>
      <c r="H4522" s="2" t="n">
        <v>0</v>
      </c>
      <c r="I4522" s="2" t="n">
        <v>0</v>
      </c>
    </row>
    <row r="4523">
      <c r="A4523" s="2" t="n">
        <v>4521</v>
      </c>
      <c r="B4523" s="2" t="inlineStr">
        <is>
          <t>flip</t>
        </is>
      </c>
      <c r="C4523" s="2" t="inlineStr">
        <is>
          <t>browser firefox147</t>
        </is>
      </c>
      <c r="D4523" s="2" t="n">
        <v>1901</v>
      </c>
      <c r="E4523" s="2" t="n">
        <v>1901</v>
      </c>
      <c r="F4523" s="2" t="n">
        <v>1</v>
      </c>
      <c r="G4523" s="2" t="n">
        <v>1</v>
      </c>
      <c r="H4523" s="2" t="n">
        <v>0</v>
      </c>
      <c r="I4523" s="2" t="n">
        <v>0</v>
      </c>
    </row>
    <row r="4524">
      <c r="A4524" s="2" t="n">
        <v>4522</v>
      </c>
      <c r="B4524" s="2" t="inlineStr">
        <is>
          <t>truncate</t>
        </is>
      </c>
      <c r="C4524" s="2" t="inlineStr">
        <is>
          <t>openssl X25519 only (classical)</t>
        </is>
      </c>
      <c r="D4524" s="2" t="n">
        <v>12</v>
      </c>
      <c r="E4524" s="2" t="n">
        <v>12</v>
      </c>
      <c r="F4524" s="2" t="n">
        <v>1</v>
      </c>
      <c r="G4524" s="2" t="n">
        <v>0</v>
      </c>
      <c r="H4524" s="2" t="n">
        <v>0</v>
      </c>
      <c r="I4524" s="2" t="n">
        <v>0</v>
      </c>
    </row>
    <row r="4525">
      <c r="A4525" s="2" t="n">
        <v>4523</v>
      </c>
      <c r="B4525" s="2" t="inlineStr">
        <is>
          <t>length</t>
        </is>
      </c>
      <c r="C4525" s="2" t="inlineStr">
        <is>
          <t>openssl 3.5.8 default</t>
        </is>
      </c>
      <c r="D4525" s="2" t="n">
        <v>1548</v>
      </c>
      <c r="E4525" s="2" t="n">
        <v>1548</v>
      </c>
      <c r="F4525" s="2" t="n">
        <v>1</v>
      </c>
      <c r="G4525" s="2" t="n">
        <v>1</v>
      </c>
      <c r="H4525" s="2" t="n">
        <v>1</v>
      </c>
      <c r="I4525" s="2" t="n">
        <v>0</v>
      </c>
    </row>
    <row r="4526">
      <c r="A4526" s="2" t="n">
        <v>4524</v>
      </c>
      <c r="B4526" s="2" t="inlineStr">
        <is>
          <t>insert</t>
        </is>
      </c>
      <c r="C4526" s="2" t="inlineStr">
        <is>
          <t>browser firefox147</t>
        </is>
      </c>
      <c r="D4526" s="2" t="n">
        <v>1916</v>
      </c>
      <c r="E4526" s="2" t="n">
        <v>1916</v>
      </c>
      <c r="F4526" s="2" t="n">
        <v>1</v>
      </c>
      <c r="G4526" s="2" t="n">
        <v>1</v>
      </c>
      <c r="H4526" s="2" t="n">
        <v>0</v>
      </c>
      <c r="I4526" s="2" t="n">
        <v>0</v>
      </c>
    </row>
    <row r="4527">
      <c r="A4527" s="2" t="n">
        <v>4525</v>
      </c>
      <c r="B4527" s="2" t="inlineStr">
        <is>
          <t>flip</t>
        </is>
      </c>
      <c r="C4527" s="2" t="inlineStr">
        <is>
          <t>openssl 3.5.8 default</t>
        </is>
      </c>
      <c r="D4527" s="2" t="n">
        <v>1548</v>
      </c>
      <c r="E4527" s="2" t="n">
        <v>1548</v>
      </c>
      <c r="F4527" s="2" t="n">
        <v>1</v>
      </c>
      <c r="G4527" s="2" t="n">
        <v>1</v>
      </c>
      <c r="H4527" s="2" t="n">
        <v>1</v>
      </c>
      <c r="I4527" s="2" t="n">
        <v>0</v>
      </c>
    </row>
    <row r="4528">
      <c r="A4528" s="2" t="n">
        <v>4526</v>
      </c>
      <c r="B4528" s="2" t="inlineStr">
        <is>
          <t>truncate</t>
        </is>
      </c>
      <c r="C4528" s="2" t="inlineStr">
        <is>
          <t>browser chrome150</t>
        </is>
      </c>
      <c r="D4528" s="2" t="n">
        <v>748</v>
      </c>
      <c r="E4528" s="2" t="n">
        <v>748</v>
      </c>
      <c r="F4528" s="2" t="n">
        <v>1</v>
      </c>
      <c r="G4528" s="2" t="n">
        <v>1</v>
      </c>
      <c r="H4528" s="2" t="n">
        <v>1</v>
      </c>
      <c r="I4528" s="2" t="n">
        <v>0</v>
      </c>
    </row>
    <row r="4529">
      <c r="A4529" s="2" t="n">
        <v>4527</v>
      </c>
      <c r="B4529" s="2" t="inlineStr">
        <is>
          <t>length</t>
        </is>
      </c>
      <c r="C4529" s="2" t="inlineStr">
        <is>
          <t>openssl TLS 1.2 only</t>
        </is>
      </c>
      <c r="D4529" s="2" t="n">
        <v>215</v>
      </c>
      <c r="E4529" s="2" t="n">
        <v>215</v>
      </c>
      <c r="F4529" s="2" t="n">
        <v>1</v>
      </c>
      <c r="G4529" s="2" t="n">
        <v>1</v>
      </c>
      <c r="H4529" s="2" t="n">
        <v>1</v>
      </c>
      <c r="I4529" s="2" t="n">
        <v>0</v>
      </c>
    </row>
    <row r="4530">
      <c r="A4530" s="2" t="n">
        <v>4528</v>
      </c>
      <c r="B4530" s="2" t="inlineStr">
        <is>
          <t>insert</t>
        </is>
      </c>
      <c r="C4530" s="2" t="inlineStr">
        <is>
          <t>openssl X25519 only (classical)</t>
        </is>
      </c>
      <c r="D4530" s="2" t="n">
        <v>323</v>
      </c>
      <c r="E4530" s="2" t="n">
        <v>323</v>
      </c>
      <c r="F4530" s="2" t="n">
        <v>1</v>
      </c>
      <c r="G4530" s="2" t="n">
        <v>0</v>
      </c>
      <c r="H4530" s="2" t="n">
        <v>0</v>
      </c>
      <c r="I4530" s="2" t="n">
        <v>0</v>
      </c>
    </row>
    <row r="4531">
      <c r="A4531" s="2" t="n">
        <v>4529</v>
      </c>
      <c r="B4531" s="2" t="inlineStr">
        <is>
          <t>flip</t>
        </is>
      </c>
      <c r="C4531" s="2" t="inlineStr">
        <is>
          <t>openssl TLS 1.2 only</t>
        </is>
      </c>
      <c r="D4531" s="2" t="n">
        <v>215</v>
      </c>
      <c r="E4531" s="2" t="n">
        <v>215</v>
      </c>
      <c r="F4531" s="2" t="n">
        <v>1</v>
      </c>
      <c r="G4531" s="2" t="n">
        <v>1</v>
      </c>
      <c r="H4531" s="2" t="n">
        <v>1</v>
      </c>
      <c r="I4531" s="2" t="n">
        <v>0</v>
      </c>
    </row>
    <row r="4532">
      <c r="A4532" s="2" t="n">
        <v>4530</v>
      </c>
      <c r="B4532" s="2" t="inlineStr">
        <is>
          <t>truncate</t>
        </is>
      </c>
      <c r="C4532" s="2" t="inlineStr">
        <is>
          <t>openssl X25519 only (classical)</t>
        </is>
      </c>
      <c r="D4532" s="2" t="n">
        <v>308</v>
      </c>
      <c r="E4532" s="2" t="n">
        <v>308</v>
      </c>
      <c r="F4532" s="2" t="n">
        <v>1</v>
      </c>
      <c r="G4532" s="2" t="n">
        <v>1</v>
      </c>
      <c r="H4532" s="2" t="n">
        <v>1</v>
      </c>
      <c r="I4532" s="2" t="n">
        <v>0</v>
      </c>
    </row>
    <row r="4533">
      <c r="A4533" s="2" t="n">
        <v>4531</v>
      </c>
      <c r="B4533" s="2" t="inlineStr">
        <is>
          <t>length</t>
        </is>
      </c>
      <c r="C4533" s="2" t="inlineStr">
        <is>
          <t>browser chrome150</t>
        </is>
      </c>
      <c r="D4533" s="2" t="n">
        <v>1763</v>
      </c>
      <c r="E4533" s="2" t="n">
        <v>1763</v>
      </c>
      <c r="F4533" s="2" t="n">
        <v>1</v>
      </c>
      <c r="G4533" s="2" t="n">
        <v>1</v>
      </c>
      <c r="H4533" s="2" t="n">
        <v>1</v>
      </c>
      <c r="I4533" s="2" t="n">
        <v>0</v>
      </c>
    </row>
    <row r="4534">
      <c r="A4534" s="2" t="n">
        <v>4532</v>
      </c>
      <c r="B4534" s="2" t="inlineStr">
        <is>
          <t>insert</t>
        </is>
      </c>
      <c r="C4534" s="2" t="inlineStr">
        <is>
          <t>openssl X25519 only (classical)</t>
        </is>
      </c>
      <c r="D4534" s="2" t="n">
        <v>316</v>
      </c>
      <c r="E4534" s="2" t="n">
        <v>316</v>
      </c>
      <c r="F4534" s="2" t="n">
        <v>1</v>
      </c>
      <c r="G4534" s="2" t="n">
        <v>1</v>
      </c>
      <c r="H4534" s="2" t="n">
        <v>1</v>
      </c>
      <c r="I4534" s="2" t="n">
        <v>0</v>
      </c>
    </row>
    <row r="4535">
      <c r="A4535" s="2" t="n">
        <v>4533</v>
      </c>
      <c r="B4535" s="2" t="inlineStr">
        <is>
          <t>flip</t>
        </is>
      </c>
      <c r="C4535" s="2" t="inlineStr">
        <is>
          <t>openssl X25519 only (classical)</t>
        </is>
      </c>
      <c r="D4535" s="2" t="n">
        <v>314</v>
      </c>
      <c r="E4535" s="2" t="n">
        <v>314</v>
      </c>
      <c r="F4535" s="2" t="n">
        <v>1</v>
      </c>
      <c r="G4535" s="2" t="n">
        <v>1</v>
      </c>
      <c r="H4535" s="2" t="n">
        <v>1</v>
      </c>
      <c r="I4535" s="2" t="n">
        <v>0</v>
      </c>
    </row>
    <row r="4536">
      <c r="A4536" s="2" t="n">
        <v>4534</v>
      </c>
      <c r="B4536" s="2" t="inlineStr">
        <is>
          <t>truncate</t>
        </is>
      </c>
      <c r="C4536" s="2" t="inlineStr">
        <is>
          <t>openssl 3.5.8 default</t>
        </is>
      </c>
      <c r="D4536" s="2" t="n">
        <v>527</v>
      </c>
      <c r="E4536" s="2" t="n">
        <v>527</v>
      </c>
      <c r="F4536" s="2" t="n">
        <v>1</v>
      </c>
      <c r="G4536" s="2" t="n">
        <v>1</v>
      </c>
      <c r="H4536" s="2" t="n">
        <v>1</v>
      </c>
      <c r="I4536" s="2" t="n">
        <v>0</v>
      </c>
    </row>
    <row r="4537">
      <c r="A4537" s="2" t="n">
        <v>4535</v>
      </c>
      <c r="B4537" s="2" t="inlineStr">
        <is>
          <t>length</t>
        </is>
      </c>
      <c r="C4537" s="2" t="inlineStr">
        <is>
          <t>openssl X25519 only (classical)</t>
        </is>
      </c>
      <c r="D4537" s="2" t="n">
        <v>314</v>
      </c>
      <c r="E4537" s="2" t="n">
        <v>314</v>
      </c>
      <c r="F4537" s="2" t="n">
        <v>1</v>
      </c>
      <c r="G4537" s="2" t="n">
        <v>0</v>
      </c>
      <c r="H4537" s="2" t="n">
        <v>0</v>
      </c>
      <c r="I4537" s="2" t="n">
        <v>0</v>
      </c>
    </row>
    <row r="4538">
      <c r="A4538" s="2" t="n">
        <v>4536</v>
      </c>
      <c r="B4538" s="2" t="inlineStr">
        <is>
          <t>insert</t>
        </is>
      </c>
      <c r="C4538" s="2" t="inlineStr">
        <is>
          <t>openssl TLS 1.2 only</t>
        </is>
      </c>
      <c r="D4538" s="2" t="n">
        <v>219</v>
      </c>
      <c r="E4538" s="2" t="n">
        <v>219</v>
      </c>
      <c r="F4538" s="2" t="n">
        <v>0</v>
      </c>
      <c r="G4538" s="2" t="n">
        <v>0</v>
      </c>
      <c r="H4538" s="2" t="n">
        <v>0</v>
      </c>
      <c r="I4538" s="2" t="n">
        <v>0</v>
      </c>
    </row>
    <row r="4539">
      <c r="A4539" s="2" t="n">
        <v>4537</v>
      </c>
      <c r="B4539" s="2" t="inlineStr">
        <is>
          <t>flip</t>
        </is>
      </c>
      <c r="C4539" s="2" t="inlineStr">
        <is>
          <t>openssl TLS 1.2 only</t>
        </is>
      </c>
      <c r="D4539" s="2" t="n">
        <v>215</v>
      </c>
      <c r="E4539" s="2" t="n">
        <v>215</v>
      </c>
      <c r="F4539" s="2" t="n">
        <v>1</v>
      </c>
      <c r="G4539" s="2" t="n">
        <v>1</v>
      </c>
      <c r="H4539" s="2" t="n">
        <v>1</v>
      </c>
      <c r="I4539" s="2" t="n">
        <v>0</v>
      </c>
    </row>
    <row r="4540">
      <c r="A4540" s="2" t="n">
        <v>4538</v>
      </c>
      <c r="B4540" s="2" t="inlineStr">
        <is>
          <t>truncate</t>
        </is>
      </c>
      <c r="C4540" s="2" t="inlineStr">
        <is>
          <t>browser chrome150</t>
        </is>
      </c>
      <c r="D4540" s="2" t="n">
        <v>97</v>
      </c>
      <c r="E4540" s="2" t="n">
        <v>97</v>
      </c>
      <c r="F4540" s="2" t="n">
        <v>1</v>
      </c>
      <c r="G4540" s="2" t="n">
        <v>0</v>
      </c>
      <c r="H4540" s="2" t="n">
        <v>0</v>
      </c>
      <c r="I4540" s="2" t="n">
        <v>0</v>
      </c>
    </row>
    <row r="4541">
      <c r="A4541" s="2" t="n">
        <v>4539</v>
      </c>
      <c r="B4541" s="2" t="inlineStr">
        <is>
          <t>length</t>
        </is>
      </c>
      <c r="C4541" s="2" t="inlineStr">
        <is>
          <t>browser firefox147</t>
        </is>
      </c>
      <c r="D4541" s="2" t="n">
        <v>1901</v>
      </c>
      <c r="E4541" s="2" t="n">
        <v>1901</v>
      </c>
      <c r="F4541" s="2" t="n">
        <v>1</v>
      </c>
      <c r="G4541" s="2" t="n">
        <v>0</v>
      </c>
      <c r="H4541" s="2" t="n">
        <v>0</v>
      </c>
      <c r="I4541" s="2" t="n">
        <v>0</v>
      </c>
    </row>
    <row r="4542">
      <c r="A4542" s="2" t="n">
        <v>4540</v>
      </c>
      <c r="B4542" s="2" t="inlineStr">
        <is>
          <t>insert</t>
        </is>
      </c>
      <c r="C4542" s="2" t="inlineStr">
        <is>
          <t>browser chrome150</t>
        </is>
      </c>
      <c r="D4542" s="2" t="n">
        <v>1769</v>
      </c>
      <c r="E4542" s="2" t="n">
        <v>1769</v>
      </c>
      <c r="F4542" s="2" t="n">
        <v>1</v>
      </c>
      <c r="G4542" s="2" t="n">
        <v>1</v>
      </c>
      <c r="H4542" s="2" t="n">
        <v>1</v>
      </c>
      <c r="I4542" s="2" t="n">
        <v>0</v>
      </c>
    </row>
    <row r="4543">
      <c r="A4543" s="2" t="n">
        <v>4541</v>
      </c>
      <c r="B4543" s="2" t="inlineStr">
        <is>
          <t>flip</t>
        </is>
      </c>
      <c r="C4543" s="2" t="inlineStr">
        <is>
          <t>browser chrome150</t>
        </is>
      </c>
      <c r="D4543" s="2" t="n">
        <v>1763</v>
      </c>
      <c r="E4543" s="2" t="n">
        <v>1763</v>
      </c>
      <c r="F4543" s="2" t="n">
        <v>1</v>
      </c>
      <c r="G4543" s="2" t="n">
        <v>1</v>
      </c>
      <c r="H4543" s="2" t="n">
        <v>1</v>
      </c>
      <c r="I4543" s="2" t="n">
        <v>0</v>
      </c>
    </row>
    <row r="4544">
      <c r="A4544" s="2" t="n">
        <v>4542</v>
      </c>
      <c r="B4544" s="2" t="inlineStr">
        <is>
          <t>truncate</t>
        </is>
      </c>
      <c r="C4544" s="2" t="inlineStr">
        <is>
          <t>openssl 3.5.8 default</t>
        </is>
      </c>
      <c r="D4544" s="2" t="n">
        <v>713</v>
      </c>
      <c r="E4544" s="2" t="n">
        <v>713</v>
      </c>
      <c r="F4544" s="2" t="n">
        <v>1</v>
      </c>
      <c r="G4544" s="2" t="n">
        <v>1</v>
      </c>
      <c r="H4544" s="2" t="n">
        <v>1</v>
      </c>
      <c r="I4544" s="2" t="n">
        <v>0</v>
      </c>
    </row>
    <row r="4545">
      <c r="A4545" s="2" t="n">
        <v>4543</v>
      </c>
      <c r="B4545" s="2" t="inlineStr">
        <is>
          <t>length</t>
        </is>
      </c>
      <c r="C4545" s="2" t="inlineStr">
        <is>
          <t>openssl TLS 1.2 only</t>
        </is>
      </c>
      <c r="D4545" s="2" t="n">
        <v>215</v>
      </c>
      <c r="E4545" s="2" t="n">
        <v>215</v>
      </c>
      <c r="F4545" s="2" t="n">
        <v>1</v>
      </c>
      <c r="G4545" s="2" t="n">
        <v>0</v>
      </c>
      <c r="H4545" s="2" t="n">
        <v>0</v>
      </c>
      <c r="I4545" s="2" t="n">
        <v>0</v>
      </c>
    </row>
    <row r="4546">
      <c r="A4546" s="2" t="n">
        <v>4544</v>
      </c>
      <c r="B4546" s="2" t="inlineStr">
        <is>
          <t>insert</t>
        </is>
      </c>
      <c r="C4546" s="2" t="inlineStr">
        <is>
          <t>openssl X25519 only (classical)</t>
        </is>
      </c>
      <c r="D4546" s="2" t="n">
        <v>323</v>
      </c>
      <c r="E4546" s="2" t="n">
        <v>323</v>
      </c>
      <c r="F4546" s="2" t="n">
        <v>1</v>
      </c>
      <c r="G4546" s="2" t="n">
        <v>1</v>
      </c>
      <c r="H4546" s="2" t="n">
        <v>1</v>
      </c>
      <c r="I4546" s="2" t="n">
        <v>0</v>
      </c>
    </row>
    <row r="4547">
      <c r="A4547" s="2" t="n">
        <v>4545</v>
      </c>
      <c r="B4547" s="2" t="inlineStr">
        <is>
          <t>flip</t>
        </is>
      </c>
      <c r="C4547" s="2" t="inlineStr">
        <is>
          <t>openssl TLS 1.2 only</t>
        </is>
      </c>
      <c r="D4547" s="2" t="n">
        <v>215</v>
      </c>
      <c r="E4547" s="2" t="n">
        <v>215</v>
      </c>
      <c r="F4547" s="2" t="n">
        <v>1</v>
      </c>
      <c r="G4547" s="2" t="n">
        <v>1</v>
      </c>
      <c r="H4547" s="2" t="n">
        <v>1</v>
      </c>
      <c r="I4547" s="2" t="n">
        <v>0</v>
      </c>
    </row>
    <row r="4548">
      <c r="A4548" s="2" t="n">
        <v>4546</v>
      </c>
      <c r="B4548" s="2" t="inlineStr">
        <is>
          <t>truncate</t>
        </is>
      </c>
      <c r="C4548" s="2" t="inlineStr">
        <is>
          <t>openssl TLS 1.2 only</t>
        </is>
      </c>
      <c r="D4548" s="2" t="n">
        <v>45</v>
      </c>
      <c r="E4548" s="2" t="n">
        <v>45</v>
      </c>
      <c r="F4548" s="2" t="n">
        <v>1</v>
      </c>
      <c r="G4548" s="2" t="n">
        <v>0</v>
      </c>
      <c r="H4548" s="2" t="n">
        <v>0</v>
      </c>
      <c r="I4548" s="2" t="n">
        <v>0</v>
      </c>
    </row>
    <row r="4549">
      <c r="A4549" s="2" t="n">
        <v>4547</v>
      </c>
      <c r="B4549" s="2" t="inlineStr">
        <is>
          <t>length</t>
        </is>
      </c>
      <c r="C4549" s="2" t="inlineStr">
        <is>
          <t>openssl X25519 only (classical)</t>
        </is>
      </c>
      <c r="D4549" s="2" t="n">
        <v>314</v>
      </c>
      <c r="E4549" s="2" t="n">
        <v>314</v>
      </c>
      <c r="F4549" s="2" t="n">
        <v>1</v>
      </c>
      <c r="G4549" s="2" t="n">
        <v>1</v>
      </c>
      <c r="H4549" s="2" t="n">
        <v>1</v>
      </c>
      <c r="I4549" s="2" t="n">
        <v>0</v>
      </c>
    </row>
    <row r="4550">
      <c r="A4550" s="2" t="n">
        <v>4548</v>
      </c>
      <c r="B4550" s="2" t="inlineStr">
        <is>
          <t>insert</t>
        </is>
      </c>
      <c r="C4550" s="2" t="inlineStr">
        <is>
          <t>openssl 3.5.8 default</t>
        </is>
      </c>
      <c r="D4550" s="2" t="n">
        <v>1562</v>
      </c>
      <c r="E4550" s="2" t="n">
        <v>1562</v>
      </c>
      <c r="F4550" s="2" t="n">
        <v>1</v>
      </c>
      <c r="G4550" s="2" t="n">
        <v>0</v>
      </c>
      <c r="H4550" s="2" t="n">
        <v>0</v>
      </c>
      <c r="I4550" s="2" t="n">
        <v>0</v>
      </c>
    </row>
    <row r="4551">
      <c r="A4551" s="2" t="n">
        <v>4549</v>
      </c>
      <c r="B4551" s="2" t="inlineStr">
        <is>
          <t>flip</t>
        </is>
      </c>
      <c r="C4551" s="2" t="inlineStr">
        <is>
          <t>browser firefox147</t>
        </is>
      </c>
      <c r="D4551" s="2" t="n">
        <v>1901</v>
      </c>
      <c r="E4551" s="2" t="n">
        <v>1901</v>
      </c>
      <c r="F4551" s="2" t="n">
        <v>1</v>
      </c>
      <c r="G4551" s="2" t="n">
        <v>1</v>
      </c>
      <c r="H4551" s="2" t="n">
        <v>0</v>
      </c>
      <c r="I4551" s="2" t="n">
        <v>0</v>
      </c>
    </row>
    <row r="4552">
      <c r="A4552" s="2" t="n">
        <v>4550</v>
      </c>
      <c r="B4552" s="2" t="inlineStr">
        <is>
          <t>truncate</t>
        </is>
      </c>
      <c r="C4552" s="2" t="inlineStr">
        <is>
          <t>browser chrome150</t>
        </is>
      </c>
      <c r="D4552" s="2" t="n">
        <v>1098</v>
      </c>
      <c r="E4552" s="2" t="n">
        <v>1098</v>
      </c>
      <c r="F4552" s="2" t="n">
        <v>1</v>
      </c>
      <c r="G4552" s="2" t="n">
        <v>1</v>
      </c>
      <c r="H4552" s="2" t="n">
        <v>1</v>
      </c>
      <c r="I4552" s="2" t="n">
        <v>0</v>
      </c>
    </row>
    <row r="4553">
      <c r="A4553" s="2" t="n">
        <v>4551</v>
      </c>
      <c r="B4553" s="2" t="inlineStr">
        <is>
          <t>length</t>
        </is>
      </c>
      <c r="C4553" s="2" t="inlineStr">
        <is>
          <t>openssl X25519 only (classical)</t>
        </is>
      </c>
      <c r="D4553" s="2" t="n">
        <v>314</v>
      </c>
      <c r="E4553" s="2" t="n">
        <v>314</v>
      </c>
      <c r="F4553" s="2" t="n">
        <v>1</v>
      </c>
      <c r="G4553" s="2" t="n">
        <v>1</v>
      </c>
      <c r="H4553" s="2" t="n">
        <v>1</v>
      </c>
      <c r="I4553" s="2" t="n">
        <v>0</v>
      </c>
    </row>
    <row r="4554">
      <c r="A4554" s="2" t="n">
        <v>4552</v>
      </c>
      <c r="B4554" s="2" t="inlineStr">
        <is>
          <t>insert</t>
        </is>
      </c>
      <c r="C4554" s="2" t="inlineStr">
        <is>
          <t>browser firefox147</t>
        </is>
      </c>
      <c r="D4554" s="2" t="n">
        <v>1905</v>
      </c>
      <c r="E4554" s="2" t="n">
        <v>1905</v>
      </c>
      <c r="F4554" s="2" t="n">
        <v>1</v>
      </c>
      <c r="G4554" s="2" t="n">
        <v>1</v>
      </c>
      <c r="H4554" s="2" t="n">
        <v>0</v>
      </c>
      <c r="I4554" s="2" t="n">
        <v>0</v>
      </c>
    </row>
    <row r="4555">
      <c r="A4555" s="2" t="n">
        <v>4553</v>
      </c>
      <c r="B4555" s="2" t="inlineStr">
        <is>
          <t>flip</t>
        </is>
      </c>
      <c r="C4555" s="2" t="inlineStr">
        <is>
          <t>browser firefox147</t>
        </is>
      </c>
      <c r="D4555" s="2" t="n">
        <v>1901</v>
      </c>
      <c r="E4555" s="2" t="n">
        <v>1901</v>
      </c>
      <c r="F4555" s="2" t="n">
        <v>1</v>
      </c>
      <c r="G4555" s="2" t="n">
        <v>1</v>
      </c>
      <c r="H4555" s="2" t="n">
        <v>0</v>
      </c>
      <c r="I4555" s="2" t="n">
        <v>0</v>
      </c>
    </row>
    <row r="4556">
      <c r="A4556" s="2" t="n">
        <v>4554</v>
      </c>
      <c r="B4556" s="2" t="inlineStr">
        <is>
          <t>truncate</t>
        </is>
      </c>
      <c r="C4556" s="2" t="inlineStr">
        <is>
          <t>browser firefox147</t>
        </is>
      </c>
      <c r="D4556" s="2" t="n">
        <v>500</v>
      </c>
      <c r="E4556" s="2" t="n">
        <v>500</v>
      </c>
      <c r="F4556" s="2" t="n">
        <v>1</v>
      </c>
      <c r="G4556" s="2" t="n">
        <v>1</v>
      </c>
      <c r="H4556" s="2" t="n">
        <v>0</v>
      </c>
      <c r="I4556" s="2" t="n">
        <v>0</v>
      </c>
    </row>
    <row r="4557">
      <c r="A4557" s="2" t="n">
        <v>4555</v>
      </c>
      <c r="B4557" s="2" t="inlineStr">
        <is>
          <t>length</t>
        </is>
      </c>
      <c r="C4557" s="2" t="inlineStr">
        <is>
          <t>openssl X25519 only (classical)</t>
        </is>
      </c>
      <c r="D4557" s="2" t="n">
        <v>314</v>
      </c>
      <c r="E4557" s="2" t="n">
        <v>314</v>
      </c>
      <c r="F4557" s="2" t="n">
        <v>0</v>
      </c>
      <c r="G4557" s="2" t="n">
        <v>0</v>
      </c>
      <c r="H4557" s="2" t="n">
        <v>0</v>
      </c>
      <c r="I4557" s="2" t="n">
        <v>0</v>
      </c>
    </row>
    <row r="4558">
      <c r="A4558" s="2" t="n">
        <v>4556</v>
      </c>
      <c r="B4558" s="2" t="inlineStr">
        <is>
          <t>insert</t>
        </is>
      </c>
      <c r="C4558" s="2" t="inlineStr">
        <is>
          <t>browser firefox147</t>
        </is>
      </c>
      <c r="D4558" s="2" t="n">
        <v>1911</v>
      </c>
      <c r="E4558" s="2" t="n">
        <v>1911</v>
      </c>
      <c r="F4558" s="2" t="n">
        <v>1</v>
      </c>
      <c r="G4558" s="2" t="n">
        <v>1</v>
      </c>
      <c r="H4558" s="2" t="n">
        <v>0</v>
      </c>
      <c r="I4558" s="2" t="n">
        <v>0</v>
      </c>
    </row>
    <row r="4559">
      <c r="A4559" s="2" t="n">
        <v>4557</v>
      </c>
      <c r="B4559" s="2" t="inlineStr">
        <is>
          <t>flip</t>
        </is>
      </c>
      <c r="C4559" s="2" t="inlineStr">
        <is>
          <t>openssl 3.5.8 default</t>
        </is>
      </c>
      <c r="D4559" s="2" t="n">
        <v>1548</v>
      </c>
      <c r="E4559" s="2" t="n">
        <v>1548</v>
      </c>
      <c r="F4559" s="2" t="n">
        <v>1</v>
      </c>
      <c r="G4559" s="2" t="n">
        <v>1</v>
      </c>
      <c r="H4559" s="2" t="n">
        <v>1</v>
      </c>
      <c r="I4559" s="2" t="n">
        <v>0</v>
      </c>
    </row>
    <row r="4560">
      <c r="A4560" s="2" t="n">
        <v>4558</v>
      </c>
      <c r="B4560" s="2" t="inlineStr">
        <is>
          <t>truncate</t>
        </is>
      </c>
      <c r="C4560" s="2" t="inlineStr">
        <is>
          <t>browser firefox147</t>
        </is>
      </c>
      <c r="D4560" s="2" t="n">
        <v>1493</v>
      </c>
      <c r="E4560" s="2" t="n">
        <v>1493</v>
      </c>
      <c r="F4560" s="2" t="n">
        <v>1</v>
      </c>
      <c r="G4560" s="2" t="n">
        <v>1</v>
      </c>
      <c r="H4560" s="2" t="n">
        <v>0</v>
      </c>
      <c r="I4560" s="2" t="n">
        <v>0</v>
      </c>
    </row>
    <row r="4561">
      <c r="A4561" s="2" t="n">
        <v>4559</v>
      </c>
      <c r="B4561" s="2" t="inlineStr">
        <is>
          <t>length</t>
        </is>
      </c>
      <c r="C4561" s="2" t="inlineStr">
        <is>
          <t>browser firefox147</t>
        </is>
      </c>
      <c r="D4561" s="2" t="n">
        <v>1901</v>
      </c>
      <c r="E4561" s="2" t="n">
        <v>1901</v>
      </c>
      <c r="F4561" s="2" t="n">
        <v>0</v>
      </c>
      <c r="G4561" s="2" t="n">
        <v>0</v>
      </c>
      <c r="H4561" s="2" t="n">
        <v>0</v>
      </c>
      <c r="I4561" s="2" t="n">
        <v>0</v>
      </c>
    </row>
    <row r="4562">
      <c r="A4562" s="2" t="n">
        <v>4560</v>
      </c>
      <c r="B4562" s="2" t="inlineStr">
        <is>
          <t>insert</t>
        </is>
      </c>
      <c r="C4562" s="2" t="inlineStr">
        <is>
          <t>browser firefox147</t>
        </is>
      </c>
      <c r="D4562" s="2" t="n">
        <v>1911</v>
      </c>
      <c r="E4562" s="2" t="n">
        <v>1911</v>
      </c>
      <c r="F4562" s="2" t="n">
        <v>1</v>
      </c>
      <c r="G4562" s="2" t="n">
        <v>1</v>
      </c>
      <c r="H4562" s="2" t="n">
        <v>0</v>
      </c>
      <c r="I4562" s="2" t="n">
        <v>0</v>
      </c>
    </row>
    <row r="4563">
      <c r="A4563" s="2" t="n">
        <v>4561</v>
      </c>
      <c r="B4563" s="2" t="inlineStr">
        <is>
          <t>flip</t>
        </is>
      </c>
      <c r="C4563" s="2" t="inlineStr">
        <is>
          <t>openssl TLS 1.2 only</t>
        </is>
      </c>
      <c r="D4563" s="2" t="n">
        <v>215</v>
      </c>
      <c r="E4563" s="2" t="n">
        <v>215</v>
      </c>
      <c r="F4563" s="2" t="n">
        <v>1</v>
      </c>
      <c r="G4563" s="2" t="n">
        <v>1</v>
      </c>
      <c r="H4563" s="2" t="n">
        <v>1</v>
      </c>
      <c r="I4563" s="2" t="n">
        <v>0</v>
      </c>
    </row>
    <row r="4564">
      <c r="A4564" s="2" t="n">
        <v>4562</v>
      </c>
      <c r="B4564" s="2" t="inlineStr">
        <is>
          <t>truncate</t>
        </is>
      </c>
      <c r="C4564" s="2" t="inlineStr">
        <is>
          <t>openssl 3.5.8 default</t>
        </is>
      </c>
      <c r="D4564" s="2" t="n">
        <v>691</v>
      </c>
      <c r="E4564" s="2" t="n">
        <v>691</v>
      </c>
      <c r="F4564" s="2" t="n">
        <v>1</v>
      </c>
      <c r="G4564" s="2" t="n">
        <v>1</v>
      </c>
      <c r="H4564" s="2" t="n">
        <v>1</v>
      </c>
      <c r="I4564" s="2" t="n">
        <v>0</v>
      </c>
    </row>
    <row r="4565">
      <c r="A4565" s="2" t="n">
        <v>4563</v>
      </c>
      <c r="B4565" s="2" t="inlineStr">
        <is>
          <t>length</t>
        </is>
      </c>
      <c r="C4565" s="2" t="inlineStr">
        <is>
          <t>browser chrome150</t>
        </is>
      </c>
      <c r="D4565" s="2" t="n">
        <v>1763</v>
      </c>
      <c r="E4565" s="2" t="n">
        <v>1763</v>
      </c>
      <c r="F4565" s="2" t="n">
        <v>1</v>
      </c>
      <c r="G4565" s="2" t="n">
        <v>1</v>
      </c>
      <c r="H4565" s="2" t="n">
        <v>0</v>
      </c>
      <c r="I4565" s="2" t="n">
        <v>0</v>
      </c>
    </row>
    <row r="4566">
      <c r="A4566" s="2" t="n">
        <v>4564</v>
      </c>
      <c r="B4566" s="2" t="inlineStr">
        <is>
          <t>insert</t>
        </is>
      </c>
      <c r="C4566" s="2" t="inlineStr">
        <is>
          <t>openssl X25519 only (classical)</t>
        </is>
      </c>
      <c r="D4566" s="2" t="n">
        <v>322</v>
      </c>
      <c r="E4566" s="2" t="n">
        <v>322</v>
      </c>
      <c r="F4566" s="2" t="n">
        <v>1</v>
      </c>
      <c r="G4566" s="2" t="n">
        <v>1</v>
      </c>
      <c r="H4566" s="2" t="n">
        <v>1</v>
      </c>
      <c r="I4566" s="2" t="n">
        <v>0</v>
      </c>
    </row>
    <row r="4567">
      <c r="A4567" s="2" t="n">
        <v>4565</v>
      </c>
      <c r="B4567" s="2" t="inlineStr">
        <is>
          <t>flip</t>
        </is>
      </c>
      <c r="C4567" s="2" t="inlineStr">
        <is>
          <t>openssl TLS 1.2 only</t>
        </is>
      </c>
      <c r="D4567" s="2" t="n">
        <v>215</v>
      </c>
      <c r="E4567" s="2" t="n">
        <v>215</v>
      </c>
      <c r="F4567" s="2" t="n">
        <v>1</v>
      </c>
      <c r="G4567" s="2" t="n">
        <v>1</v>
      </c>
      <c r="H4567" s="2" t="n">
        <v>1</v>
      </c>
      <c r="I4567" s="2" t="n">
        <v>0</v>
      </c>
    </row>
    <row r="4568">
      <c r="A4568" s="2" t="n">
        <v>4566</v>
      </c>
      <c r="B4568" s="2" t="inlineStr">
        <is>
          <t>truncate</t>
        </is>
      </c>
      <c r="C4568" s="2" t="inlineStr">
        <is>
          <t>openssl X25519 only (classical)</t>
        </is>
      </c>
      <c r="D4568" s="2" t="n">
        <v>118</v>
      </c>
      <c r="E4568" s="2" t="n">
        <v>118</v>
      </c>
      <c r="F4568" s="2" t="n">
        <v>1</v>
      </c>
      <c r="G4568" s="2" t="n">
        <v>0</v>
      </c>
      <c r="H4568" s="2" t="n">
        <v>0</v>
      </c>
      <c r="I4568" s="2" t="n">
        <v>0</v>
      </c>
    </row>
    <row r="4569">
      <c r="A4569" s="2" t="n">
        <v>4567</v>
      </c>
      <c r="B4569" s="2" t="inlineStr">
        <is>
          <t>length</t>
        </is>
      </c>
      <c r="C4569" s="2" t="inlineStr">
        <is>
          <t>browser chrome150</t>
        </is>
      </c>
      <c r="D4569" s="2" t="n">
        <v>1763</v>
      </c>
      <c r="E4569" s="2" t="n">
        <v>1763</v>
      </c>
      <c r="F4569" s="2" t="n">
        <v>1</v>
      </c>
      <c r="G4569" s="2" t="n">
        <v>0</v>
      </c>
      <c r="H4569" s="2" t="n">
        <v>0</v>
      </c>
      <c r="I4569" s="2" t="n">
        <v>0</v>
      </c>
    </row>
    <row r="4570">
      <c r="A4570" s="2" t="n">
        <v>4568</v>
      </c>
      <c r="B4570" s="2" t="inlineStr">
        <is>
          <t>insert</t>
        </is>
      </c>
      <c r="C4570" s="2" t="inlineStr">
        <is>
          <t>browser chrome150</t>
        </is>
      </c>
      <c r="D4570" s="2" t="n">
        <v>1765</v>
      </c>
      <c r="E4570" s="2" t="n">
        <v>1765</v>
      </c>
      <c r="F4570" s="2" t="n">
        <v>1</v>
      </c>
      <c r="G4570" s="2" t="n">
        <v>1</v>
      </c>
      <c r="H4570" s="2" t="n">
        <v>1</v>
      </c>
      <c r="I4570" s="2" t="n">
        <v>0</v>
      </c>
    </row>
    <row r="4571">
      <c r="A4571" s="2" t="n">
        <v>4569</v>
      </c>
      <c r="B4571" s="2" t="inlineStr">
        <is>
          <t>flip</t>
        </is>
      </c>
      <c r="C4571" s="2" t="inlineStr">
        <is>
          <t>openssl 3.5.8 default</t>
        </is>
      </c>
      <c r="D4571" s="2" t="n">
        <v>1548</v>
      </c>
      <c r="E4571" s="2" t="n">
        <v>1548</v>
      </c>
      <c r="F4571" s="2" t="n">
        <v>1</v>
      </c>
      <c r="G4571" s="2" t="n">
        <v>1</v>
      </c>
      <c r="H4571" s="2" t="n">
        <v>1</v>
      </c>
      <c r="I4571" s="2" t="n">
        <v>0</v>
      </c>
    </row>
    <row r="4572">
      <c r="A4572" s="2" t="n">
        <v>4570</v>
      </c>
      <c r="B4572" s="2" t="inlineStr">
        <is>
          <t>truncate</t>
        </is>
      </c>
      <c r="C4572" s="2" t="inlineStr">
        <is>
          <t>browser firefox147</t>
        </is>
      </c>
      <c r="D4572" s="2" t="n">
        <v>734</v>
      </c>
      <c r="E4572" s="2" t="n">
        <v>734</v>
      </c>
      <c r="F4572" s="2" t="n">
        <v>1</v>
      </c>
      <c r="G4572" s="2" t="n">
        <v>1</v>
      </c>
      <c r="H4572" s="2" t="n">
        <v>0</v>
      </c>
      <c r="I4572" s="2" t="n">
        <v>0</v>
      </c>
    </row>
    <row r="4573">
      <c r="A4573" s="2" t="n">
        <v>4571</v>
      </c>
      <c r="B4573" s="2" t="inlineStr">
        <is>
          <t>length</t>
        </is>
      </c>
      <c r="C4573" s="2" t="inlineStr">
        <is>
          <t>browser chrome150</t>
        </is>
      </c>
      <c r="D4573" s="2" t="n">
        <v>1763</v>
      </c>
      <c r="E4573" s="2" t="n">
        <v>1763</v>
      </c>
      <c r="F4573" s="2" t="n">
        <v>1</v>
      </c>
      <c r="G4573" s="2" t="n">
        <v>1</v>
      </c>
      <c r="H4573" s="2" t="n">
        <v>1</v>
      </c>
      <c r="I4573" s="2" t="n">
        <v>0</v>
      </c>
    </row>
    <row r="4574">
      <c r="A4574" s="2" t="n">
        <v>4572</v>
      </c>
      <c r="B4574" s="2" t="inlineStr">
        <is>
          <t>insert</t>
        </is>
      </c>
      <c r="C4574" s="2" t="inlineStr">
        <is>
          <t>openssl 3.5.8 default</t>
        </is>
      </c>
      <c r="D4574" s="2" t="n">
        <v>1560</v>
      </c>
      <c r="E4574" s="2" t="n">
        <v>1560</v>
      </c>
      <c r="F4574" s="2" t="n">
        <v>1</v>
      </c>
      <c r="G4574" s="2" t="n">
        <v>0</v>
      </c>
      <c r="H4574" s="2" t="n">
        <v>0</v>
      </c>
      <c r="I4574" s="2" t="n">
        <v>0</v>
      </c>
    </row>
    <row r="4575">
      <c r="A4575" s="2" t="n">
        <v>4573</v>
      </c>
      <c r="B4575" s="2" t="inlineStr">
        <is>
          <t>flip</t>
        </is>
      </c>
      <c r="C4575" s="2" t="inlineStr">
        <is>
          <t>openssl X25519 only (classical)</t>
        </is>
      </c>
      <c r="D4575" s="2" t="n">
        <v>314</v>
      </c>
      <c r="E4575" s="2" t="n">
        <v>314</v>
      </c>
      <c r="F4575" s="2" t="n">
        <v>1</v>
      </c>
      <c r="G4575" s="2" t="n">
        <v>1</v>
      </c>
      <c r="H4575" s="2" t="n">
        <v>1</v>
      </c>
      <c r="I4575" s="2" t="n">
        <v>0</v>
      </c>
    </row>
    <row r="4576">
      <c r="A4576" s="2" t="n">
        <v>4574</v>
      </c>
      <c r="B4576" s="2" t="inlineStr">
        <is>
          <t>truncate</t>
        </is>
      </c>
      <c r="C4576" s="2" t="inlineStr">
        <is>
          <t>openssl 3.5.8 default</t>
        </is>
      </c>
      <c r="D4576" s="2" t="n">
        <v>295</v>
      </c>
      <c r="E4576" s="2" t="n">
        <v>295</v>
      </c>
      <c r="F4576" s="2" t="n">
        <v>1</v>
      </c>
      <c r="G4576" s="2" t="n">
        <v>1</v>
      </c>
      <c r="H4576" s="2" t="n">
        <v>1</v>
      </c>
      <c r="I4576" s="2" t="n">
        <v>0</v>
      </c>
    </row>
    <row r="4577">
      <c r="A4577" s="2" t="n">
        <v>4575</v>
      </c>
      <c r="B4577" s="2" t="inlineStr">
        <is>
          <t>length</t>
        </is>
      </c>
      <c r="C4577" s="2" t="inlineStr">
        <is>
          <t>openssl 3.5.8 default</t>
        </is>
      </c>
      <c r="D4577" s="2" t="n">
        <v>1548</v>
      </c>
      <c r="E4577" s="2" t="n">
        <v>1548</v>
      </c>
      <c r="F4577" s="2" t="n">
        <v>1</v>
      </c>
      <c r="G4577" s="2" t="n">
        <v>1</v>
      </c>
      <c r="H4577" s="2" t="n">
        <v>1</v>
      </c>
      <c r="I4577" s="2" t="n">
        <v>0</v>
      </c>
    </row>
    <row r="4578">
      <c r="A4578" s="2" t="n">
        <v>4576</v>
      </c>
      <c r="B4578" s="2" t="inlineStr">
        <is>
          <t>insert</t>
        </is>
      </c>
      <c r="C4578" s="2" t="inlineStr">
        <is>
          <t>openssl X25519 only (classical)</t>
        </is>
      </c>
      <c r="D4578" s="2" t="n">
        <v>327</v>
      </c>
      <c r="E4578" s="2" t="n">
        <v>327</v>
      </c>
      <c r="F4578" s="2" t="n">
        <v>1</v>
      </c>
      <c r="G4578" s="2" t="n">
        <v>1</v>
      </c>
      <c r="H4578" s="2" t="n">
        <v>1</v>
      </c>
      <c r="I4578" s="2" t="n">
        <v>0</v>
      </c>
    </row>
    <row r="4579">
      <c r="A4579" s="2" t="n">
        <v>4577</v>
      </c>
      <c r="B4579" s="2" t="inlineStr">
        <is>
          <t>flip</t>
        </is>
      </c>
      <c r="C4579" s="2" t="inlineStr">
        <is>
          <t>openssl X25519 only (classical)</t>
        </is>
      </c>
      <c r="D4579" s="2" t="n">
        <v>314</v>
      </c>
      <c r="E4579" s="2" t="n">
        <v>314</v>
      </c>
      <c r="F4579" s="2" t="n">
        <v>1</v>
      </c>
      <c r="G4579" s="2" t="n">
        <v>1</v>
      </c>
      <c r="H4579" s="2" t="n">
        <v>1</v>
      </c>
      <c r="I4579" s="2" t="n">
        <v>0</v>
      </c>
    </row>
    <row r="4580">
      <c r="A4580" s="2" t="n">
        <v>4578</v>
      </c>
      <c r="B4580" s="2" t="inlineStr">
        <is>
          <t>truncate</t>
        </is>
      </c>
      <c r="C4580" s="2" t="inlineStr">
        <is>
          <t>browser chrome150</t>
        </is>
      </c>
      <c r="D4580" s="2" t="n">
        <v>1329</v>
      </c>
      <c r="E4580" s="2" t="n">
        <v>1329</v>
      </c>
      <c r="F4580" s="2" t="n">
        <v>1</v>
      </c>
      <c r="G4580" s="2" t="n">
        <v>1</v>
      </c>
      <c r="H4580" s="2" t="n">
        <v>1</v>
      </c>
      <c r="I4580" s="2" t="n">
        <v>0</v>
      </c>
    </row>
    <row r="4581">
      <c r="A4581" s="2" t="n">
        <v>4579</v>
      </c>
      <c r="B4581" s="2" t="inlineStr">
        <is>
          <t>length</t>
        </is>
      </c>
      <c r="C4581" s="2" t="inlineStr">
        <is>
          <t>openssl 3.5.8 default</t>
        </is>
      </c>
      <c r="D4581" s="2" t="n">
        <v>1548</v>
      </c>
      <c r="E4581" s="2" t="n">
        <v>1548</v>
      </c>
      <c r="F4581" s="2" t="n">
        <v>1</v>
      </c>
      <c r="G4581" s="2" t="n">
        <v>1</v>
      </c>
      <c r="H4581" s="2" t="n">
        <v>1</v>
      </c>
      <c r="I4581" s="2" t="n">
        <v>0</v>
      </c>
    </row>
    <row r="4582">
      <c r="A4582" s="2" t="n">
        <v>4580</v>
      </c>
      <c r="B4582" s="2" t="inlineStr">
        <is>
          <t>insert</t>
        </is>
      </c>
      <c r="C4582" s="2" t="inlineStr">
        <is>
          <t>browser firefox147</t>
        </is>
      </c>
      <c r="D4582" s="2" t="n">
        <v>1902</v>
      </c>
      <c r="E4582" s="2" t="n">
        <v>1902</v>
      </c>
      <c r="F4582" s="2" t="n">
        <v>1</v>
      </c>
      <c r="G4582" s="2" t="n">
        <v>1</v>
      </c>
      <c r="H4582" s="2" t="n">
        <v>0</v>
      </c>
      <c r="I4582" s="2" t="n">
        <v>0</v>
      </c>
    </row>
    <row r="4583">
      <c r="A4583" s="2" t="n">
        <v>4581</v>
      </c>
      <c r="B4583" s="2" t="inlineStr">
        <is>
          <t>flip</t>
        </is>
      </c>
      <c r="C4583" s="2" t="inlineStr">
        <is>
          <t>openssl X25519 only (classical)</t>
        </is>
      </c>
      <c r="D4583" s="2" t="n">
        <v>314</v>
      </c>
      <c r="E4583" s="2" t="n">
        <v>314</v>
      </c>
      <c r="F4583" s="2" t="n">
        <v>1</v>
      </c>
      <c r="G4583" s="2" t="n">
        <v>1</v>
      </c>
      <c r="H4583" s="2" t="n">
        <v>1</v>
      </c>
      <c r="I4583" s="2" t="n">
        <v>0</v>
      </c>
    </row>
    <row r="4584">
      <c r="A4584" s="2" t="n">
        <v>4582</v>
      </c>
      <c r="B4584" s="2" t="inlineStr">
        <is>
          <t>truncate</t>
        </is>
      </c>
      <c r="C4584" s="2" t="inlineStr">
        <is>
          <t>openssl TLS 1.2 only</t>
        </is>
      </c>
      <c r="D4584" s="2" t="n">
        <v>34</v>
      </c>
      <c r="E4584" s="2" t="n">
        <v>34</v>
      </c>
      <c r="F4584" s="2" t="n">
        <v>1</v>
      </c>
      <c r="G4584" s="2" t="n">
        <v>0</v>
      </c>
      <c r="H4584" s="2" t="n">
        <v>0</v>
      </c>
      <c r="I4584" s="2" t="n">
        <v>0</v>
      </c>
    </row>
    <row r="4585">
      <c r="A4585" s="2" t="n">
        <v>4583</v>
      </c>
      <c r="B4585" s="2" t="inlineStr">
        <is>
          <t>length</t>
        </is>
      </c>
      <c r="C4585" s="2" t="inlineStr">
        <is>
          <t>openssl 3.5.8 default</t>
        </is>
      </c>
      <c r="D4585" s="2" t="n">
        <v>1548</v>
      </c>
      <c r="E4585" s="2" t="n">
        <v>1548</v>
      </c>
      <c r="F4585" s="2" t="n">
        <v>1</v>
      </c>
      <c r="G4585" s="2" t="n">
        <v>1</v>
      </c>
      <c r="H4585" s="2" t="n">
        <v>1</v>
      </c>
      <c r="I4585" s="2" t="n">
        <v>0</v>
      </c>
    </row>
    <row r="4586">
      <c r="A4586" s="2" t="n">
        <v>4584</v>
      </c>
      <c r="B4586" s="2" t="inlineStr">
        <is>
          <t>insert</t>
        </is>
      </c>
      <c r="C4586" s="2" t="inlineStr">
        <is>
          <t>openssl X25519 only (classical)</t>
        </is>
      </c>
      <c r="D4586" s="2" t="n">
        <v>315</v>
      </c>
      <c r="E4586" s="2" t="n">
        <v>315</v>
      </c>
      <c r="F4586" s="2" t="n">
        <v>1</v>
      </c>
      <c r="G4586" s="2" t="n">
        <v>0</v>
      </c>
      <c r="H4586" s="2" t="n">
        <v>0</v>
      </c>
      <c r="I4586" s="2" t="n">
        <v>0</v>
      </c>
    </row>
    <row r="4587">
      <c r="A4587" s="2" t="n">
        <v>4585</v>
      </c>
      <c r="B4587" s="2" t="inlineStr">
        <is>
          <t>flip</t>
        </is>
      </c>
      <c r="C4587" s="2" t="inlineStr">
        <is>
          <t>openssl TLS 1.2 only</t>
        </is>
      </c>
      <c r="D4587" s="2" t="n">
        <v>215</v>
      </c>
      <c r="E4587" s="2" t="n">
        <v>215</v>
      </c>
      <c r="F4587" s="2" t="n">
        <v>1</v>
      </c>
      <c r="G4587" s="2" t="n">
        <v>1</v>
      </c>
      <c r="H4587" s="2" t="n">
        <v>1</v>
      </c>
      <c r="I4587" s="2" t="n">
        <v>0</v>
      </c>
    </row>
    <row r="4588">
      <c r="A4588" s="2" t="n">
        <v>4586</v>
      </c>
      <c r="B4588" s="2" t="inlineStr">
        <is>
          <t>truncate</t>
        </is>
      </c>
      <c r="C4588" s="2" t="inlineStr">
        <is>
          <t>browser firefox147</t>
        </is>
      </c>
      <c r="D4588" s="2" t="n">
        <v>1683</v>
      </c>
      <c r="E4588" s="2" t="n">
        <v>1683</v>
      </c>
      <c r="F4588" s="2" t="n">
        <v>1</v>
      </c>
      <c r="G4588" s="2" t="n">
        <v>1</v>
      </c>
      <c r="H4588" s="2" t="n">
        <v>0</v>
      </c>
      <c r="I4588" s="2" t="n">
        <v>0</v>
      </c>
    </row>
    <row r="4589">
      <c r="A4589" s="2" t="n">
        <v>4587</v>
      </c>
      <c r="B4589" s="2" t="inlineStr">
        <is>
          <t>length</t>
        </is>
      </c>
      <c r="C4589" s="2" t="inlineStr">
        <is>
          <t>openssl 3.5.8 default</t>
        </is>
      </c>
      <c r="D4589" s="2" t="n">
        <v>1548</v>
      </c>
      <c r="E4589" s="2" t="n">
        <v>1548</v>
      </c>
      <c r="F4589" s="2" t="n">
        <v>1</v>
      </c>
      <c r="G4589" s="2" t="n">
        <v>0</v>
      </c>
      <c r="H4589" s="2" t="n">
        <v>0</v>
      </c>
      <c r="I4589" s="2" t="n">
        <v>0</v>
      </c>
    </row>
    <row r="4590">
      <c r="A4590" s="2" t="n">
        <v>4588</v>
      </c>
      <c r="B4590" s="2" t="inlineStr">
        <is>
          <t>insert</t>
        </is>
      </c>
      <c r="C4590" s="2" t="inlineStr">
        <is>
          <t>openssl 3.5.8 default</t>
        </is>
      </c>
      <c r="D4590" s="2" t="n">
        <v>1554</v>
      </c>
      <c r="E4590" s="2" t="n">
        <v>1554</v>
      </c>
      <c r="F4590" s="2" t="n">
        <v>1</v>
      </c>
      <c r="G4590" s="2" t="n">
        <v>1</v>
      </c>
      <c r="H4590" s="2" t="n">
        <v>1</v>
      </c>
      <c r="I4590" s="2" t="n">
        <v>0</v>
      </c>
    </row>
    <row r="4591">
      <c r="A4591" s="2" t="n">
        <v>4589</v>
      </c>
      <c r="B4591" s="2" t="inlineStr">
        <is>
          <t>flip</t>
        </is>
      </c>
      <c r="C4591" s="2" t="inlineStr">
        <is>
          <t>browser chrome150</t>
        </is>
      </c>
      <c r="D4591" s="2" t="n">
        <v>1763</v>
      </c>
      <c r="E4591" s="2" t="n">
        <v>1763</v>
      </c>
      <c r="F4591" s="2" t="n">
        <v>1</v>
      </c>
      <c r="G4591" s="2" t="n">
        <v>1</v>
      </c>
      <c r="H4591" s="2" t="n">
        <v>1</v>
      </c>
      <c r="I4591" s="2" t="n">
        <v>0</v>
      </c>
    </row>
    <row r="4592">
      <c r="A4592" s="2" t="n">
        <v>4590</v>
      </c>
      <c r="B4592" s="2" t="inlineStr">
        <is>
          <t>truncate</t>
        </is>
      </c>
      <c r="C4592" s="2" t="inlineStr">
        <is>
          <t>browser chrome150</t>
        </is>
      </c>
      <c r="D4592" s="2" t="n">
        <v>867</v>
      </c>
      <c r="E4592" s="2" t="n">
        <v>867</v>
      </c>
      <c r="F4592" s="2" t="n">
        <v>1</v>
      </c>
      <c r="G4592" s="2" t="n">
        <v>1</v>
      </c>
      <c r="H4592" s="2" t="n">
        <v>1</v>
      </c>
      <c r="I4592" s="2" t="n">
        <v>0</v>
      </c>
    </row>
    <row r="4593">
      <c r="A4593" s="2" t="n">
        <v>4591</v>
      </c>
      <c r="B4593" s="2" t="inlineStr">
        <is>
          <t>length</t>
        </is>
      </c>
      <c r="C4593" s="2" t="inlineStr">
        <is>
          <t>openssl TLS 1.2 only</t>
        </is>
      </c>
      <c r="D4593" s="2" t="n">
        <v>215</v>
      </c>
      <c r="E4593" s="2" t="n">
        <v>215</v>
      </c>
      <c r="F4593" s="2" t="n">
        <v>1</v>
      </c>
      <c r="G4593" s="2" t="n">
        <v>1</v>
      </c>
      <c r="H4593" s="2" t="n">
        <v>0</v>
      </c>
      <c r="I4593" s="2" t="n">
        <v>0</v>
      </c>
    </row>
    <row r="4594">
      <c r="A4594" s="2" t="n">
        <v>4592</v>
      </c>
      <c r="B4594" s="2" t="inlineStr">
        <is>
          <t>insert</t>
        </is>
      </c>
      <c r="C4594" s="2" t="inlineStr">
        <is>
          <t>browser firefox147</t>
        </is>
      </c>
      <c r="D4594" s="2" t="n">
        <v>1912</v>
      </c>
      <c r="E4594" s="2" t="n">
        <v>1912</v>
      </c>
      <c r="F4594" s="2" t="n">
        <v>1</v>
      </c>
      <c r="G4594" s="2" t="n">
        <v>1</v>
      </c>
      <c r="H4594" s="2" t="n">
        <v>0</v>
      </c>
      <c r="I4594" s="2" t="n">
        <v>0</v>
      </c>
    </row>
    <row r="4595">
      <c r="A4595" s="2" t="n">
        <v>4593</v>
      </c>
      <c r="B4595" s="2" t="inlineStr">
        <is>
          <t>flip</t>
        </is>
      </c>
      <c r="C4595" s="2" t="inlineStr">
        <is>
          <t>openssl 3.5.8 default</t>
        </is>
      </c>
      <c r="D4595" s="2" t="n">
        <v>1548</v>
      </c>
      <c r="E4595" s="2" t="n">
        <v>1548</v>
      </c>
      <c r="F4595" s="2" t="n">
        <v>1</v>
      </c>
      <c r="G4595" s="2" t="n">
        <v>0</v>
      </c>
      <c r="H4595" s="2" t="n">
        <v>0</v>
      </c>
      <c r="I4595" s="2" t="n">
        <v>0</v>
      </c>
    </row>
    <row r="4596">
      <c r="A4596" s="2" t="n">
        <v>4594</v>
      </c>
      <c r="B4596" s="2" t="inlineStr">
        <is>
          <t>truncate</t>
        </is>
      </c>
      <c r="C4596" s="2" t="inlineStr">
        <is>
          <t>openssl X25519 only (classical)</t>
        </is>
      </c>
      <c r="D4596" s="2" t="n">
        <v>85</v>
      </c>
      <c r="E4596" s="2" t="n">
        <v>85</v>
      </c>
      <c r="F4596" s="2" t="n">
        <v>1</v>
      </c>
      <c r="G4596" s="2" t="n">
        <v>0</v>
      </c>
      <c r="H4596" s="2" t="n">
        <v>0</v>
      </c>
      <c r="I4596" s="2" t="n">
        <v>0</v>
      </c>
    </row>
    <row r="4597">
      <c r="A4597" s="2" t="n">
        <v>4595</v>
      </c>
      <c r="B4597" s="2" t="inlineStr">
        <is>
          <t>length</t>
        </is>
      </c>
      <c r="C4597" s="2" t="inlineStr">
        <is>
          <t>openssl 3.5.8 default</t>
        </is>
      </c>
      <c r="D4597" s="2" t="n">
        <v>1548</v>
      </c>
      <c r="E4597" s="2" t="n">
        <v>1548</v>
      </c>
      <c r="F4597" s="2" t="n">
        <v>0</v>
      </c>
      <c r="G4597" s="2" t="n">
        <v>0</v>
      </c>
      <c r="H4597" s="2" t="n">
        <v>0</v>
      </c>
      <c r="I4597" s="2" t="n">
        <v>0</v>
      </c>
    </row>
    <row r="4598">
      <c r="A4598" s="2" t="n">
        <v>4596</v>
      </c>
      <c r="B4598" s="2" t="inlineStr">
        <is>
          <t>insert</t>
        </is>
      </c>
      <c r="C4598" s="2" t="inlineStr">
        <is>
          <t>browser firefox147</t>
        </is>
      </c>
      <c r="D4598" s="2" t="n">
        <v>1916</v>
      </c>
      <c r="E4598" s="2" t="n">
        <v>1916</v>
      </c>
      <c r="F4598" s="2" t="n">
        <v>1</v>
      </c>
      <c r="G4598" s="2" t="n">
        <v>1</v>
      </c>
      <c r="H4598" s="2" t="n">
        <v>0</v>
      </c>
      <c r="I4598" s="2" t="n">
        <v>0</v>
      </c>
    </row>
    <row r="4599">
      <c r="A4599" s="2" t="n">
        <v>4597</v>
      </c>
      <c r="B4599" s="2" t="inlineStr">
        <is>
          <t>flip</t>
        </is>
      </c>
      <c r="C4599" s="2" t="inlineStr">
        <is>
          <t>browser firefox147</t>
        </is>
      </c>
      <c r="D4599" s="2" t="n">
        <v>1901</v>
      </c>
      <c r="E4599" s="2" t="n">
        <v>1901</v>
      </c>
      <c r="F4599" s="2" t="n">
        <v>1</v>
      </c>
      <c r="G4599" s="2" t="n">
        <v>1</v>
      </c>
      <c r="H4599" s="2" t="n">
        <v>0</v>
      </c>
      <c r="I4599" s="2" t="n">
        <v>0</v>
      </c>
    </row>
    <row r="4600">
      <c r="A4600" s="2" t="n">
        <v>4598</v>
      </c>
      <c r="B4600" s="2" t="inlineStr">
        <is>
          <t>truncate</t>
        </is>
      </c>
      <c r="C4600" s="2" t="inlineStr">
        <is>
          <t>openssl TLS 1.2 only</t>
        </is>
      </c>
      <c r="D4600" s="2" t="n">
        <v>70</v>
      </c>
      <c r="E4600" s="2" t="n">
        <v>70</v>
      </c>
      <c r="F4600" s="2" t="n">
        <v>1</v>
      </c>
      <c r="G4600" s="2" t="n">
        <v>0</v>
      </c>
      <c r="H4600" s="2" t="n">
        <v>0</v>
      </c>
      <c r="I4600" s="2" t="n">
        <v>0</v>
      </c>
    </row>
    <row r="4601">
      <c r="A4601" s="2" t="n">
        <v>4599</v>
      </c>
      <c r="B4601" s="2" t="inlineStr">
        <is>
          <t>length</t>
        </is>
      </c>
      <c r="C4601" s="2" t="inlineStr">
        <is>
          <t>openssl TLS 1.2 only</t>
        </is>
      </c>
      <c r="D4601" s="2" t="n">
        <v>215</v>
      </c>
      <c r="E4601" s="2" t="n">
        <v>215</v>
      </c>
      <c r="F4601" s="2" t="n">
        <v>1</v>
      </c>
      <c r="G4601" s="2" t="n">
        <v>1</v>
      </c>
      <c r="H4601" s="2" t="n">
        <v>0</v>
      </c>
      <c r="I4601" s="2" t="n">
        <v>0</v>
      </c>
    </row>
    <row r="4602">
      <c r="A4602" s="2" t="n">
        <v>4600</v>
      </c>
      <c r="B4602" s="2" t="inlineStr">
        <is>
          <t>insert</t>
        </is>
      </c>
      <c r="C4602" s="2" t="inlineStr">
        <is>
          <t>openssl TLS 1.2 only</t>
        </is>
      </c>
      <c r="D4602" s="2" t="n">
        <v>229</v>
      </c>
      <c r="E4602" s="2" t="n">
        <v>229</v>
      </c>
      <c r="F4602" s="2" t="n">
        <v>1</v>
      </c>
      <c r="G4602" s="2" t="n">
        <v>1</v>
      </c>
      <c r="H4602" s="2" t="n">
        <v>0</v>
      </c>
      <c r="I4602" s="2" t="n">
        <v>0</v>
      </c>
    </row>
    <row r="4603">
      <c r="A4603" s="2" t="n">
        <v>4601</v>
      </c>
      <c r="B4603" s="2" t="inlineStr">
        <is>
          <t>flip</t>
        </is>
      </c>
      <c r="C4603" s="2" t="inlineStr">
        <is>
          <t>browser chrome150</t>
        </is>
      </c>
      <c r="D4603" s="2" t="n">
        <v>1763</v>
      </c>
      <c r="E4603" s="2" t="n">
        <v>1763</v>
      </c>
      <c r="F4603" s="2" t="n">
        <v>1</v>
      </c>
      <c r="G4603" s="2" t="n">
        <v>1</v>
      </c>
      <c r="H4603" s="2" t="n">
        <v>1</v>
      </c>
      <c r="I4603" s="2" t="n">
        <v>0</v>
      </c>
    </row>
    <row r="4604">
      <c r="A4604" s="2" t="n">
        <v>4602</v>
      </c>
      <c r="B4604" s="2" t="inlineStr">
        <is>
          <t>truncate</t>
        </is>
      </c>
      <c r="C4604" s="2" t="inlineStr">
        <is>
          <t>openssl 3.5.8 default</t>
        </is>
      </c>
      <c r="D4604" s="2" t="n">
        <v>506</v>
      </c>
      <c r="E4604" s="2" t="n">
        <v>506</v>
      </c>
      <c r="F4604" s="2" t="n">
        <v>1</v>
      </c>
      <c r="G4604" s="2" t="n">
        <v>1</v>
      </c>
      <c r="H4604" s="2" t="n">
        <v>1</v>
      </c>
      <c r="I4604" s="2" t="n">
        <v>0</v>
      </c>
    </row>
    <row r="4605">
      <c r="A4605" s="2" t="n">
        <v>4603</v>
      </c>
      <c r="B4605" s="2" t="inlineStr">
        <is>
          <t>length</t>
        </is>
      </c>
      <c r="C4605" s="2" t="inlineStr">
        <is>
          <t>openssl 3.5.8 default</t>
        </is>
      </c>
      <c r="D4605" s="2" t="n">
        <v>1548</v>
      </c>
      <c r="E4605" s="2" t="n">
        <v>1548</v>
      </c>
      <c r="F4605" s="2" t="n">
        <v>1</v>
      </c>
      <c r="G4605" s="2" t="n">
        <v>0</v>
      </c>
      <c r="H4605" s="2" t="n">
        <v>0</v>
      </c>
      <c r="I4605" s="2" t="n">
        <v>0</v>
      </c>
    </row>
    <row r="4606">
      <c r="A4606" s="2" t="n">
        <v>4604</v>
      </c>
      <c r="B4606" s="2" t="inlineStr">
        <is>
          <t>insert</t>
        </is>
      </c>
      <c r="C4606" s="2" t="inlineStr">
        <is>
          <t>openssl 3.5.8 default</t>
        </is>
      </c>
      <c r="D4606" s="2" t="n">
        <v>1551</v>
      </c>
      <c r="E4606" s="2" t="n">
        <v>1551</v>
      </c>
      <c r="F4606" s="2" t="n">
        <v>1</v>
      </c>
      <c r="G4606" s="2" t="n">
        <v>1</v>
      </c>
      <c r="H4606" s="2" t="n">
        <v>1</v>
      </c>
      <c r="I4606" s="2" t="n">
        <v>0</v>
      </c>
    </row>
    <row r="4607">
      <c r="A4607" s="2" t="n">
        <v>4605</v>
      </c>
      <c r="B4607" s="2" t="inlineStr">
        <is>
          <t>flip</t>
        </is>
      </c>
      <c r="C4607" s="2" t="inlineStr">
        <is>
          <t>openssl X25519 only (classical)</t>
        </is>
      </c>
      <c r="D4607" s="2" t="n">
        <v>314</v>
      </c>
      <c r="E4607" s="2" t="n">
        <v>314</v>
      </c>
      <c r="F4607" s="2" t="n">
        <v>1</v>
      </c>
      <c r="G4607" s="2" t="n">
        <v>1</v>
      </c>
      <c r="H4607" s="2" t="n">
        <v>1</v>
      </c>
      <c r="I4607" s="2" t="n">
        <v>0</v>
      </c>
    </row>
    <row r="4608">
      <c r="A4608" s="2" t="n">
        <v>4606</v>
      </c>
      <c r="B4608" s="2" t="inlineStr">
        <is>
          <t>truncate</t>
        </is>
      </c>
      <c r="C4608" s="2" t="inlineStr">
        <is>
          <t>openssl TLS 1.2 only</t>
        </is>
      </c>
      <c r="D4608" s="2" t="n">
        <v>31</v>
      </c>
      <c r="E4608" s="2" t="n">
        <v>31</v>
      </c>
      <c r="F4608" s="2" t="n">
        <v>1</v>
      </c>
      <c r="G4608" s="2" t="n">
        <v>0</v>
      </c>
      <c r="H4608" s="2" t="n">
        <v>0</v>
      </c>
      <c r="I4608" s="2" t="n">
        <v>0</v>
      </c>
    </row>
    <row r="4609">
      <c r="A4609" s="2" t="n">
        <v>4607</v>
      </c>
      <c r="B4609" s="2" t="inlineStr">
        <is>
          <t>length</t>
        </is>
      </c>
      <c r="C4609" s="2" t="inlineStr">
        <is>
          <t>openssl X25519 only (classical)</t>
        </is>
      </c>
      <c r="D4609" s="2" t="n">
        <v>314</v>
      </c>
      <c r="E4609" s="2" t="n">
        <v>314</v>
      </c>
      <c r="F4609" s="2" t="n">
        <v>1</v>
      </c>
      <c r="G4609" s="2" t="n">
        <v>0</v>
      </c>
      <c r="H4609" s="2" t="n">
        <v>0</v>
      </c>
      <c r="I4609" s="2" t="n">
        <v>0</v>
      </c>
    </row>
    <row r="4610">
      <c r="A4610" s="2" t="n">
        <v>4608</v>
      </c>
      <c r="B4610" s="2" t="inlineStr">
        <is>
          <t>insert</t>
        </is>
      </c>
      <c r="C4610" s="2" t="inlineStr">
        <is>
          <t>browser firefox147</t>
        </is>
      </c>
      <c r="D4610" s="2" t="n">
        <v>1908</v>
      </c>
      <c r="E4610" s="2" t="n">
        <v>1908</v>
      </c>
      <c r="F4610" s="2" t="n">
        <v>1</v>
      </c>
      <c r="G4610" s="2" t="n">
        <v>1</v>
      </c>
      <c r="H4610" s="2" t="n">
        <v>0</v>
      </c>
      <c r="I4610" s="2" t="n">
        <v>0</v>
      </c>
    </row>
    <row r="4611">
      <c r="A4611" s="2" t="n">
        <v>4609</v>
      </c>
      <c r="B4611" s="2" t="inlineStr">
        <is>
          <t>flip</t>
        </is>
      </c>
      <c r="C4611" s="2" t="inlineStr">
        <is>
          <t>openssl TLS 1.2 only</t>
        </is>
      </c>
      <c r="D4611" s="2" t="n">
        <v>215</v>
      </c>
      <c r="E4611" s="2" t="n">
        <v>215</v>
      </c>
      <c r="F4611" s="2" t="n">
        <v>1</v>
      </c>
      <c r="G4611" s="2" t="n">
        <v>1</v>
      </c>
      <c r="H4611" s="2" t="n">
        <v>1</v>
      </c>
      <c r="I4611" s="2" t="n">
        <v>0</v>
      </c>
    </row>
    <row r="4612">
      <c r="A4612" s="2" t="n">
        <v>4610</v>
      </c>
      <c r="B4612" s="2" t="inlineStr">
        <is>
          <t>truncate</t>
        </is>
      </c>
      <c r="C4612" s="2" t="inlineStr">
        <is>
          <t>openssl TLS 1.2 only</t>
        </is>
      </c>
      <c r="D4612" s="2" t="n">
        <v>192</v>
      </c>
      <c r="E4612" s="2" t="n">
        <v>192</v>
      </c>
      <c r="F4612" s="2" t="n">
        <v>1</v>
      </c>
      <c r="G4612" s="2" t="n">
        <v>1</v>
      </c>
      <c r="H4612" s="2" t="n">
        <v>1</v>
      </c>
      <c r="I4612" s="2" t="n">
        <v>0</v>
      </c>
    </row>
    <row r="4613">
      <c r="A4613" s="2" t="n">
        <v>4611</v>
      </c>
      <c r="B4613" s="2" t="inlineStr">
        <is>
          <t>length</t>
        </is>
      </c>
      <c r="C4613" s="2" t="inlineStr">
        <is>
          <t>openssl X25519 only (classical)</t>
        </is>
      </c>
      <c r="D4613" s="2" t="n">
        <v>314</v>
      </c>
      <c r="E4613" s="2" t="n">
        <v>314</v>
      </c>
      <c r="F4613" s="2" t="n">
        <v>1</v>
      </c>
      <c r="G4613" s="2" t="n">
        <v>1</v>
      </c>
      <c r="H4613" s="2" t="n">
        <v>1</v>
      </c>
      <c r="I4613" s="2" t="n">
        <v>0</v>
      </c>
    </row>
    <row r="4614">
      <c r="A4614" s="2" t="n">
        <v>4612</v>
      </c>
      <c r="B4614" s="2" t="inlineStr">
        <is>
          <t>insert</t>
        </is>
      </c>
      <c r="C4614" s="2" t="inlineStr">
        <is>
          <t>openssl TLS 1.2 only</t>
        </is>
      </c>
      <c r="D4614" s="2" t="n">
        <v>226</v>
      </c>
      <c r="E4614" s="2" t="n">
        <v>226</v>
      </c>
      <c r="F4614" s="2" t="n">
        <v>1</v>
      </c>
      <c r="G4614" s="2" t="n">
        <v>1</v>
      </c>
      <c r="H4614" s="2" t="n">
        <v>1</v>
      </c>
      <c r="I4614" s="2" t="n">
        <v>0</v>
      </c>
    </row>
    <row r="4615">
      <c r="A4615" s="2" t="n">
        <v>4613</v>
      </c>
      <c r="B4615" s="2" t="inlineStr">
        <is>
          <t>flip</t>
        </is>
      </c>
      <c r="C4615" s="2" t="inlineStr">
        <is>
          <t>openssl X25519 only (classical)</t>
        </is>
      </c>
      <c r="D4615" s="2" t="n">
        <v>314</v>
      </c>
      <c r="E4615" s="2" t="n">
        <v>314</v>
      </c>
      <c r="F4615" s="2" t="n">
        <v>1</v>
      </c>
      <c r="G4615" s="2" t="n">
        <v>1</v>
      </c>
      <c r="H4615" s="2" t="n">
        <v>1</v>
      </c>
      <c r="I4615" s="2" t="n">
        <v>0</v>
      </c>
    </row>
    <row r="4616">
      <c r="A4616" s="2" t="n">
        <v>4614</v>
      </c>
      <c r="B4616" s="2" t="inlineStr">
        <is>
          <t>truncate</t>
        </is>
      </c>
      <c r="C4616" s="2" t="inlineStr">
        <is>
          <t>browser chrome150</t>
        </is>
      </c>
      <c r="D4616" s="2" t="n">
        <v>1558</v>
      </c>
      <c r="E4616" s="2" t="n">
        <v>1558</v>
      </c>
      <c r="F4616" s="2" t="n">
        <v>1</v>
      </c>
      <c r="G4616" s="2" t="n">
        <v>1</v>
      </c>
      <c r="H4616" s="2" t="n">
        <v>1</v>
      </c>
      <c r="I4616" s="2" t="n">
        <v>0</v>
      </c>
    </row>
    <row r="4617">
      <c r="A4617" s="2" t="n">
        <v>4615</v>
      </c>
      <c r="B4617" s="2" t="inlineStr">
        <is>
          <t>length</t>
        </is>
      </c>
      <c r="C4617" s="2" t="inlineStr">
        <is>
          <t>browser chrome150</t>
        </is>
      </c>
      <c r="D4617" s="2" t="n">
        <v>1763</v>
      </c>
      <c r="E4617" s="2" t="n">
        <v>1763</v>
      </c>
      <c r="F4617" s="2" t="n">
        <v>1</v>
      </c>
      <c r="G4617" s="2" t="n">
        <v>1</v>
      </c>
      <c r="H4617" s="2" t="n">
        <v>1</v>
      </c>
      <c r="I4617" s="2" t="n">
        <v>0</v>
      </c>
    </row>
    <row r="4618">
      <c r="A4618" s="2" t="n">
        <v>4616</v>
      </c>
      <c r="B4618" s="2" t="inlineStr">
        <is>
          <t>insert</t>
        </is>
      </c>
      <c r="C4618" s="2" t="inlineStr">
        <is>
          <t>browser firefox147</t>
        </is>
      </c>
      <c r="D4618" s="2" t="n">
        <v>1908</v>
      </c>
      <c r="E4618" s="2" t="n">
        <v>1908</v>
      </c>
      <c r="F4618" s="2" t="n">
        <v>1</v>
      </c>
      <c r="G4618" s="2" t="n">
        <v>1</v>
      </c>
      <c r="H4618" s="2" t="n">
        <v>0</v>
      </c>
      <c r="I4618" s="2" t="n">
        <v>0</v>
      </c>
    </row>
    <row r="4619">
      <c r="A4619" s="2" t="n">
        <v>4617</v>
      </c>
      <c r="B4619" s="2" t="inlineStr">
        <is>
          <t>flip</t>
        </is>
      </c>
      <c r="C4619" s="2" t="inlineStr">
        <is>
          <t>openssl X25519 only (classical)</t>
        </is>
      </c>
      <c r="D4619" s="2" t="n">
        <v>314</v>
      </c>
      <c r="E4619" s="2" t="n">
        <v>314</v>
      </c>
      <c r="F4619" s="2" t="n">
        <v>1</v>
      </c>
      <c r="G4619" s="2" t="n">
        <v>1</v>
      </c>
      <c r="H4619" s="2" t="n">
        <v>0</v>
      </c>
      <c r="I4619" s="2" t="n">
        <v>0</v>
      </c>
    </row>
    <row r="4620">
      <c r="A4620" s="2" t="n">
        <v>4618</v>
      </c>
      <c r="B4620" s="2" t="inlineStr">
        <is>
          <t>truncate</t>
        </is>
      </c>
      <c r="C4620" s="2" t="inlineStr">
        <is>
          <t>openssl X25519 only (classical)</t>
        </is>
      </c>
      <c r="D4620" s="2" t="n">
        <v>158</v>
      </c>
      <c r="E4620" s="2" t="n">
        <v>158</v>
      </c>
      <c r="F4620" s="2" t="n">
        <v>1</v>
      </c>
      <c r="G4620" s="2" t="n">
        <v>1</v>
      </c>
      <c r="H4620" s="2" t="n">
        <v>0</v>
      </c>
      <c r="I4620" s="2" t="n">
        <v>0</v>
      </c>
    </row>
    <row r="4621">
      <c r="A4621" s="2" t="n">
        <v>4619</v>
      </c>
      <c r="B4621" s="2" t="inlineStr">
        <is>
          <t>length</t>
        </is>
      </c>
      <c r="C4621" s="2" t="inlineStr">
        <is>
          <t>openssl X25519 only (classical)</t>
        </is>
      </c>
      <c r="D4621" s="2" t="n">
        <v>314</v>
      </c>
      <c r="E4621" s="2" t="n">
        <v>314</v>
      </c>
      <c r="F4621" s="2" t="n">
        <v>1</v>
      </c>
      <c r="G4621" s="2" t="n">
        <v>1</v>
      </c>
      <c r="H4621" s="2" t="n">
        <v>1</v>
      </c>
      <c r="I4621" s="2" t="n">
        <v>0</v>
      </c>
    </row>
    <row r="4622">
      <c r="A4622" s="2" t="n">
        <v>4620</v>
      </c>
      <c r="B4622" s="2" t="inlineStr">
        <is>
          <t>insert</t>
        </is>
      </c>
      <c r="C4622" s="2" t="inlineStr">
        <is>
          <t>browser chrome150</t>
        </is>
      </c>
      <c r="D4622" s="2" t="n">
        <v>1769</v>
      </c>
      <c r="E4622" s="2" t="n">
        <v>1769</v>
      </c>
      <c r="F4622" s="2" t="n">
        <v>1</v>
      </c>
      <c r="G4622" s="2" t="n">
        <v>1</v>
      </c>
      <c r="H4622" s="2" t="n">
        <v>1</v>
      </c>
      <c r="I4622" s="2" t="n">
        <v>0</v>
      </c>
    </row>
    <row r="4623">
      <c r="A4623" s="2" t="n">
        <v>4621</v>
      </c>
      <c r="B4623" s="2" t="inlineStr">
        <is>
          <t>flip</t>
        </is>
      </c>
      <c r="C4623" s="2" t="inlineStr">
        <is>
          <t>browser firefox147</t>
        </is>
      </c>
      <c r="D4623" s="2" t="n">
        <v>1901</v>
      </c>
      <c r="E4623" s="2" t="n">
        <v>1901</v>
      </c>
      <c r="F4623" s="2" t="n">
        <v>1</v>
      </c>
      <c r="G4623" s="2" t="n">
        <v>1</v>
      </c>
      <c r="H4623" s="2" t="n">
        <v>0</v>
      </c>
      <c r="I4623" s="2" t="n">
        <v>0</v>
      </c>
    </row>
    <row r="4624">
      <c r="A4624" s="2" t="n">
        <v>4622</v>
      </c>
      <c r="B4624" s="2" t="inlineStr">
        <is>
          <t>truncate</t>
        </is>
      </c>
      <c r="C4624" s="2" t="inlineStr">
        <is>
          <t>openssl 3.5.8 default</t>
        </is>
      </c>
      <c r="D4624" s="2" t="n">
        <v>1071</v>
      </c>
      <c r="E4624" s="2" t="n">
        <v>1071</v>
      </c>
      <c r="F4624" s="2" t="n">
        <v>1</v>
      </c>
      <c r="G4624" s="2" t="n">
        <v>1</v>
      </c>
      <c r="H4624" s="2" t="n">
        <v>1</v>
      </c>
      <c r="I4624" s="2" t="n">
        <v>0</v>
      </c>
    </row>
    <row r="4625">
      <c r="A4625" s="2" t="n">
        <v>4623</v>
      </c>
      <c r="B4625" s="2" t="inlineStr">
        <is>
          <t>length</t>
        </is>
      </c>
      <c r="C4625" s="2" t="inlineStr">
        <is>
          <t>openssl TLS 1.2 only</t>
        </is>
      </c>
      <c r="D4625" s="2" t="n">
        <v>215</v>
      </c>
      <c r="E4625" s="2" t="n">
        <v>215</v>
      </c>
      <c r="F4625" s="2" t="n">
        <v>0</v>
      </c>
      <c r="G4625" s="2" t="n">
        <v>0</v>
      </c>
      <c r="H4625" s="2" t="n">
        <v>0</v>
      </c>
      <c r="I4625" s="2" t="n">
        <v>0</v>
      </c>
    </row>
    <row r="4626">
      <c r="A4626" s="2" t="n">
        <v>4624</v>
      </c>
      <c r="B4626" s="2" t="inlineStr">
        <is>
          <t>insert</t>
        </is>
      </c>
      <c r="C4626" s="2" t="inlineStr">
        <is>
          <t>openssl X25519 only (classical)</t>
        </is>
      </c>
      <c r="D4626" s="2" t="n">
        <v>324</v>
      </c>
      <c r="E4626" s="2" t="n">
        <v>324</v>
      </c>
      <c r="F4626" s="2" t="n">
        <v>1</v>
      </c>
      <c r="G4626" s="2" t="n">
        <v>1</v>
      </c>
      <c r="H4626" s="2" t="n">
        <v>0</v>
      </c>
      <c r="I4626" s="2" t="n">
        <v>0</v>
      </c>
    </row>
    <row r="4627">
      <c r="A4627" s="2" t="n">
        <v>4625</v>
      </c>
      <c r="B4627" s="2" t="inlineStr">
        <is>
          <t>flip</t>
        </is>
      </c>
      <c r="C4627" s="2" t="inlineStr">
        <is>
          <t>browser firefox147</t>
        </is>
      </c>
      <c r="D4627" s="2" t="n">
        <v>1901</v>
      </c>
      <c r="E4627" s="2" t="n">
        <v>1901</v>
      </c>
      <c r="F4627" s="2" t="n">
        <v>1</v>
      </c>
      <c r="G4627" s="2" t="n">
        <v>1</v>
      </c>
      <c r="H4627" s="2" t="n">
        <v>1</v>
      </c>
      <c r="I4627" s="2" t="n">
        <v>0</v>
      </c>
    </row>
    <row r="4628">
      <c r="A4628" s="2" t="n">
        <v>4626</v>
      </c>
      <c r="B4628" s="2" t="inlineStr">
        <is>
          <t>truncate</t>
        </is>
      </c>
      <c r="C4628" s="2" t="inlineStr">
        <is>
          <t>openssl X25519 only (classical)</t>
        </is>
      </c>
      <c r="D4628" s="2" t="n">
        <v>263</v>
      </c>
      <c r="E4628" s="2" t="n">
        <v>263</v>
      </c>
      <c r="F4628" s="2" t="n">
        <v>1</v>
      </c>
      <c r="G4628" s="2" t="n">
        <v>1</v>
      </c>
      <c r="H4628" s="2" t="n">
        <v>0</v>
      </c>
      <c r="I4628" s="2" t="n">
        <v>0</v>
      </c>
    </row>
    <row r="4629">
      <c r="A4629" s="2" t="n">
        <v>4627</v>
      </c>
      <c r="B4629" s="2" t="inlineStr">
        <is>
          <t>length</t>
        </is>
      </c>
      <c r="C4629" s="2" t="inlineStr">
        <is>
          <t>browser firefox147</t>
        </is>
      </c>
      <c r="D4629" s="2" t="n">
        <v>1901</v>
      </c>
      <c r="E4629" s="2" t="n">
        <v>1901</v>
      </c>
      <c r="F4629" s="2" t="n">
        <v>1</v>
      </c>
      <c r="G4629" s="2" t="n">
        <v>1</v>
      </c>
      <c r="H4629" s="2" t="n">
        <v>0</v>
      </c>
      <c r="I4629" s="2" t="n">
        <v>0</v>
      </c>
    </row>
    <row r="4630">
      <c r="A4630" s="2" t="n">
        <v>4628</v>
      </c>
      <c r="B4630" s="2" t="inlineStr">
        <is>
          <t>insert</t>
        </is>
      </c>
      <c r="C4630" s="2" t="inlineStr">
        <is>
          <t>browser chrome150</t>
        </is>
      </c>
      <c r="D4630" s="2" t="n">
        <v>1774</v>
      </c>
      <c r="E4630" s="2" t="n">
        <v>1774</v>
      </c>
      <c r="F4630" s="2" t="n">
        <v>1</v>
      </c>
      <c r="G4630" s="2" t="n">
        <v>1</v>
      </c>
      <c r="H4630" s="2" t="n">
        <v>1</v>
      </c>
      <c r="I4630" s="2" t="n">
        <v>0</v>
      </c>
    </row>
    <row r="4631">
      <c r="A4631" s="2" t="n">
        <v>4629</v>
      </c>
      <c r="B4631" s="2" t="inlineStr">
        <is>
          <t>flip</t>
        </is>
      </c>
      <c r="C4631" s="2" t="inlineStr">
        <is>
          <t>openssl TLS 1.2 only</t>
        </is>
      </c>
      <c r="D4631" s="2" t="n">
        <v>215</v>
      </c>
      <c r="E4631" s="2" t="n">
        <v>215</v>
      </c>
      <c r="F4631" s="2" t="n">
        <v>1</v>
      </c>
      <c r="G4631" s="2" t="n">
        <v>1</v>
      </c>
      <c r="H4631" s="2" t="n">
        <v>1</v>
      </c>
      <c r="I4631" s="2" t="n">
        <v>0</v>
      </c>
    </row>
    <row r="4632">
      <c r="A4632" s="2" t="n">
        <v>4630</v>
      </c>
      <c r="B4632" s="2" t="inlineStr">
        <is>
          <t>truncate</t>
        </is>
      </c>
      <c r="C4632" s="2" t="inlineStr">
        <is>
          <t>openssl 3.5.8 default</t>
        </is>
      </c>
      <c r="D4632" s="2" t="n">
        <v>1400</v>
      </c>
      <c r="E4632" s="2" t="n">
        <v>1400</v>
      </c>
      <c r="F4632" s="2" t="n">
        <v>1</v>
      </c>
      <c r="G4632" s="2" t="n">
        <v>1</v>
      </c>
      <c r="H4632" s="2" t="n">
        <v>1</v>
      </c>
      <c r="I4632" s="2" t="n">
        <v>0</v>
      </c>
    </row>
    <row r="4633">
      <c r="A4633" s="2" t="n">
        <v>4631</v>
      </c>
      <c r="B4633" s="2" t="inlineStr">
        <is>
          <t>length</t>
        </is>
      </c>
      <c r="C4633" s="2" t="inlineStr">
        <is>
          <t>openssl 3.5.8 default</t>
        </is>
      </c>
      <c r="D4633" s="2" t="n">
        <v>1548</v>
      </c>
      <c r="E4633" s="2" t="n">
        <v>1548</v>
      </c>
      <c r="F4633" s="2" t="n">
        <v>1</v>
      </c>
      <c r="G4633" s="2" t="n">
        <v>1</v>
      </c>
      <c r="H4633" s="2" t="n">
        <v>0</v>
      </c>
      <c r="I4633" s="2" t="n">
        <v>0</v>
      </c>
    </row>
    <row r="4634">
      <c r="A4634" s="2" t="n">
        <v>4632</v>
      </c>
      <c r="B4634" s="2" t="inlineStr">
        <is>
          <t>insert</t>
        </is>
      </c>
      <c r="C4634" s="2" t="inlineStr">
        <is>
          <t>browser chrome150</t>
        </is>
      </c>
      <c r="D4634" s="2" t="n">
        <v>1772</v>
      </c>
      <c r="E4634" s="2" t="n">
        <v>1772</v>
      </c>
      <c r="F4634" s="2" t="n">
        <v>1</v>
      </c>
      <c r="G4634" s="2" t="n">
        <v>1</v>
      </c>
      <c r="H4634" s="2" t="n">
        <v>1</v>
      </c>
      <c r="I4634" s="2" t="n">
        <v>0</v>
      </c>
    </row>
    <row r="4635">
      <c r="A4635" s="2" t="n">
        <v>4633</v>
      </c>
      <c r="B4635" s="2" t="inlineStr">
        <is>
          <t>flip</t>
        </is>
      </c>
      <c r="C4635" s="2" t="inlineStr">
        <is>
          <t>browser chrome150</t>
        </is>
      </c>
      <c r="D4635" s="2" t="n">
        <v>1763</v>
      </c>
      <c r="E4635" s="2" t="n">
        <v>1763</v>
      </c>
      <c r="F4635" s="2" t="n">
        <v>1</v>
      </c>
      <c r="G4635" s="2" t="n">
        <v>1</v>
      </c>
      <c r="H4635" s="2" t="n">
        <v>1</v>
      </c>
      <c r="I4635" s="2" t="n">
        <v>0</v>
      </c>
    </row>
    <row r="4636">
      <c r="A4636" s="2" t="n">
        <v>4634</v>
      </c>
      <c r="B4636" s="2" t="inlineStr">
        <is>
          <t>truncate</t>
        </is>
      </c>
      <c r="C4636" s="2" t="inlineStr">
        <is>
          <t>openssl TLS 1.2 only</t>
        </is>
      </c>
      <c r="D4636" s="2" t="n">
        <v>160</v>
      </c>
      <c r="E4636" s="2" t="n">
        <v>160</v>
      </c>
      <c r="F4636" s="2" t="n">
        <v>1</v>
      </c>
      <c r="G4636" s="2" t="n">
        <v>1</v>
      </c>
      <c r="H4636" s="2" t="n">
        <v>0</v>
      </c>
      <c r="I4636" s="2" t="n">
        <v>0</v>
      </c>
    </row>
    <row r="4637">
      <c r="A4637" s="2" t="n">
        <v>4635</v>
      </c>
      <c r="B4637" s="2" t="inlineStr">
        <is>
          <t>length</t>
        </is>
      </c>
      <c r="C4637" s="2" t="inlineStr">
        <is>
          <t>browser chrome150</t>
        </is>
      </c>
      <c r="D4637" s="2" t="n">
        <v>1763</v>
      </c>
      <c r="E4637" s="2" t="n">
        <v>1763</v>
      </c>
      <c r="F4637" s="2" t="n">
        <v>0</v>
      </c>
      <c r="G4637" s="2" t="n">
        <v>0</v>
      </c>
      <c r="H4637" s="2" t="n">
        <v>0</v>
      </c>
      <c r="I4637" s="2" t="n">
        <v>0</v>
      </c>
    </row>
    <row r="4638">
      <c r="A4638" s="2" t="n">
        <v>4636</v>
      </c>
      <c r="B4638" s="2" t="inlineStr">
        <is>
          <t>insert</t>
        </is>
      </c>
      <c r="C4638" s="2" t="inlineStr">
        <is>
          <t>openssl TLS 1.2 only</t>
        </is>
      </c>
      <c r="D4638" s="2" t="n">
        <v>227</v>
      </c>
      <c r="E4638" s="2" t="n">
        <v>227</v>
      </c>
      <c r="F4638" s="2" t="n">
        <v>1</v>
      </c>
      <c r="G4638" s="2" t="n">
        <v>1</v>
      </c>
      <c r="H4638" s="2" t="n">
        <v>1</v>
      </c>
      <c r="I4638" s="2" t="n">
        <v>0</v>
      </c>
    </row>
    <row r="4639">
      <c r="A4639" s="2" t="n">
        <v>4637</v>
      </c>
      <c r="B4639" s="2" t="inlineStr">
        <is>
          <t>flip</t>
        </is>
      </c>
      <c r="C4639" s="2" t="inlineStr">
        <is>
          <t>browser chrome150</t>
        </is>
      </c>
      <c r="D4639" s="2" t="n">
        <v>1763</v>
      </c>
      <c r="E4639" s="2" t="n">
        <v>1763</v>
      </c>
      <c r="F4639" s="2" t="n">
        <v>1</v>
      </c>
      <c r="G4639" s="2" t="n">
        <v>1</v>
      </c>
      <c r="H4639" s="2" t="n">
        <v>1</v>
      </c>
      <c r="I4639" s="2" t="n">
        <v>0</v>
      </c>
    </row>
    <row r="4640">
      <c r="A4640" s="2" t="n">
        <v>4638</v>
      </c>
      <c r="B4640" s="2" t="inlineStr">
        <is>
          <t>truncate</t>
        </is>
      </c>
      <c r="C4640" s="2" t="inlineStr">
        <is>
          <t>browser chrome150</t>
        </is>
      </c>
      <c r="D4640" s="2" t="n">
        <v>203</v>
      </c>
      <c r="E4640" s="2" t="n">
        <v>203</v>
      </c>
      <c r="F4640" s="2" t="n">
        <v>1</v>
      </c>
      <c r="G4640" s="2" t="n">
        <v>1</v>
      </c>
      <c r="H4640" s="2" t="n">
        <v>1</v>
      </c>
      <c r="I4640" s="2" t="n">
        <v>0</v>
      </c>
    </row>
    <row r="4641">
      <c r="A4641" s="2" t="n">
        <v>4639</v>
      </c>
      <c r="B4641" s="2" t="inlineStr">
        <is>
          <t>length</t>
        </is>
      </c>
      <c r="C4641" s="2" t="inlineStr">
        <is>
          <t>browser chrome150</t>
        </is>
      </c>
      <c r="D4641" s="2" t="n">
        <v>1763</v>
      </c>
      <c r="E4641" s="2" t="n">
        <v>1763</v>
      </c>
      <c r="F4641" s="2" t="n">
        <v>1</v>
      </c>
      <c r="G4641" s="2" t="n">
        <v>0</v>
      </c>
      <c r="H4641" s="2" t="n">
        <v>0</v>
      </c>
      <c r="I4641" s="2" t="n">
        <v>0</v>
      </c>
    </row>
    <row r="4642">
      <c r="A4642" s="2" t="n">
        <v>4640</v>
      </c>
      <c r="B4642" s="2" t="inlineStr">
        <is>
          <t>insert</t>
        </is>
      </c>
      <c r="C4642" s="2" t="inlineStr">
        <is>
          <t>openssl X25519 only (classical)</t>
        </is>
      </c>
      <c r="D4642" s="2" t="n">
        <v>327</v>
      </c>
      <c r="E4642" s="2" t="n">
        <v>327</v>
      </c>
      <c r="F4642" s="2" t="n">
        <v>1</v>
      </c>
      <c r="G4642" s="2" t="n">
        <v>1</v>
      </c>
      <c r="H4642" s="2" t="n">
        <v>1</v>
      </c>
      <c r="I4642" s="2" t="n">
        <v>0</v>
      </c>
    </row>
    <row r="4643">
      <c r="A4643" s="2" t="n">
        <v>4641</v>
      </c>
      <c r="B4643" s="2" t="inlineStr">
        <is>
          <t>flip</t>
        </is>
      </c>
      <c r="C4643" s="2" t="inlineStr">
        <is>
          <t>openssl X25519 only (classical)</t>
        </is>
      </c>
      <c r="D4643" s="2" t="n">
        <v>314</v>
      </c>
      <c r="E4643" s="2" t="n">
        <v>314</v>
      </c>
      <c r="F4643" s="2" t="n">
        <v>0</v>
      </c>
      <c r="G4643" s="2" t="n">
        <v>0</v>
      </c>
      <c r="H4643" s="2" t="n">
        <v>0</v>
      </c>
      <c r="I4643" s="2" t="n">
        <v>0</v>
      </c>
    </row>
    <row r="4644">
      <c r="A4644" s="2" t="n">
        <v>4642</v>
      </c>
      <c r="B4644" s="2" t="inlineStr">
        <is>
          <t>truncate</t>
        </is>
      </c>
      <c r="C4644" s="2" t="inlineStr">
        <is>
          <t>openssl X25519 only (classical)</t>
        </is>
      </c>
      <c r="D4644" s="2" t="n">
        <v>186</v>
      </c>
      <c r="E4644" s="2" t="n">
        <v>186</v>
      </c>
      <c r="F4644" s="2" t="n">
        <v>1</v>
      </c>
      <c r="G4644" s="2" t="n">
        <v>1</v>
      </c>
      <c r="H4644" s="2" t="n">
        <v>0</v>
      </c>
      <c r="I4644" s="2" t="n">
        <v>0</v>
      </c>
    </row>
    <row r="4645">
      <c r="A4645" s="2" t="n">
        <v>4643</v>
      </c>
      <c r="B4645" s="2" t="inlineStr">
        <is>
          <t>length</t>
        </is>
      </c>
      <c r="C4645" s="2" t="inlineStr">
        <is>
          <t>openssl X25519 only (classical)</t>
        </is>
      </c>
      <c r="D4645" s="2" t="n">
        <v>314</v>
      </c>
      <c r="E4645" s="2" t="n">
        <v>314</v>
      </c>
      <c r="F4645" s="2" t="n">
        <v>1</v>
      </c>
      <c r="G4645" s="2" t="n">
        <v>0</v>
      </c>
      <c r="H4645" s="2" t="n">
        <v>0</v>
      </c>
      <c r="I4645" s="2" t="n">
        <v>0</v>
      </c>
    </row>
    <row r="4646">
      <c r="A4646" s="2" t="n">
        <v>4644</v>
      </c>
      <c r="B4646" s="2" t="inlineStr">
        <is>
          <t>insert</t>
        </is>
      </c>
      <c r="C4646" s="2" t="inlineStr">
        <is>
          <t>openssl TLS 1.2 only</t>
        </is>
      </c>
      <c r="D4646" s="2" t="n">
        <v>221</v>
      </c>
      <c r="E4646" s="2" t="n">
        <v>221</v>
      </c>
      <c r="F4646" s="2" t="n">
        <v>1</v>
      </c>
      <c r="G4646" s="2" t="n">
        <v>1</v>
      </c>
      <c r="H4646" s="2" t="n">
        <v>1</v>
      </c>
      <c r="I4646" s="2" t="n">
        <v>0</v>
      </c>
    </row>
    <row r="4647">
      <c r="A4647" s="2" t="n">
        <v>4645</v>
      </c>
      <c r="B4647" s="2" t="inlineStr">
        <is>
          <t>flip</t>
        </is>
      </c>
      <c r="C4647" s="2" t="inlineStr">
        <is>
          <t>browser chrome150</t>
        </is>
      </c>
      <c r="D4647" s="2" t="n">
        <v>1763</v>
      </c>
      <c r="E4647" s="2" t="n">
        <v>1763</v>
      </c>
      <c r="F4647" s="2" t="n">
        <v>1</v>
      </c>
      <c r="G4647" s="2" t="n">
        <v>1</v>
      </c>
      <c r="H4647" s="2" t="n">
        <v>1</v>
      </c>
      <c r="I4647" s="2" t="n">
        <v>0</v>
      </c>
    </row>
    <row r="4648">
      <c r="A4648" s="2" t="n">
        <v>4646</v>
      </c>
      <c r="B4648" s="2" t="inlineStr">
        <is>
          <t>truncate</t>
        </is>
      </c>
      <c r="C4648" s="2" t="inlineStr">
        <is>
          <t>openssl TLS 1.2 only</t>
        </is>
      </c>
      <c r="D4648" s="2" t="n">
        <v>63</v>
      </c>
      <c r="E4648" s="2" t="n">
        <v>63</v>
      </c>
      <c r="F4648" s="2" t="n">
        <v>1</v>
      </c>
      <c r="G4648" s="2" t="n">
        <v>0</v>
      </c>
      <c r="H4648" s="2" t="n">
        <v>0</v>
      </c>
      <c r="I4648" s="2" t="n">
        <v>0</v>
      </c>
    </row>
    <row r="4649">
      <c r="A4649" s="2" t="n">
        <v>4647</v>
      </c>
      <c r="B4649" s="2" t="inlineStr">
        <is>
          <t>length</t>
        </is>
      </c>
      <c r="C4649" s="2" t="inlineStr">
        <is>
          <t>browser firefox147</t>
        </is>
      </c>
      <c r="D4649" s="2" t="n">
        <v>1901</v>
      </c>
      <c r="E4649" s="2" t="n">
        <v>1901</v>
      </c>
      <c r="F4649" s="2" t="n">
        <v>0</v>
      </c>
      <c r="G4649" s="2" t="n">
        <v>0</v>
      </c>
      <c r="H4649" s="2" t="n">
        <v>0</v>
      </c>
      <c r="I4649" s="2" t="n">
        <v>0</v>
      </c>
    </row>
    <row r="4650">
      <c r="A4650" s="2" t="n">
        <v>4648</v>
      </c>
      <c r="B4650" s="2" t="inlineStr">
        <is>
          <t>insert</t>
        </is>
      </c>
      <c r="C4650" s="2" t="inlineStr">
        <is>
          <t>openssl X25519 only (classical)</t>
        </is>
      </c>
      <c r="D4650" s="2" t="n">
        <v>326</v>
      </c>
      <c r="E4650" s="2" t="n">
        <v>326</v>
      </c>
      <c r="F4650" s="2" t="n">
        <v>1</v>
      </c>
      <c r="G4650" s="2" t="n">
        <v>1</v>
      </c>
      <c r="H4650" s="2" t="n">
        <v>1</v>
      </c>
      <c r="I4650" s="2" t="n">
        <v>0</v>
      </c>
    </row>
    <row r="4651">
      <c r="A4651" s="2" t="n">
        <v>4649</v>
      </c>
      <c r="B4651" s="2" t="inlineStr">
        <is>
          <t>flip</t>
        </is>
      </c>
      <c r="C4651" s="2" t="inlineStr">
        <is>
          <t>browser chrome150</t>
        </is>
      </c>
      <c r="D4651" s="2" t="n">
        <v>1763</v>
      </c>
      <c r="E4651" s="2" t="n">
        <v>1763</v>
      </c>
      <c r="F4651" s="2" t="n">
        <v>1</v>
      </c>
      <c r="G4651" s="2" t="n">
        <v>1</v>
      </c>
      <c r="H4651" s="2" t="n">
        <v>1</v>
      </c>
      <c r="I4651" s="2" t="n">
        <v>0</v>
      </c>
    </row>
    <row r="4652">
      <c r="A4652" s="2" t="n">
        <v>4650</v>
      </c>
      <c r="B4652" s="2" t="inlineStr">
        <is>
          <t>truncate</t>
        </is>
      </c>
      <c r="C4652" s="2" t="inlineStr">
        <is>
          <t>openssl X25519 only (classical)</t>
        </is>
      </c>
      <c r="D4652" s="2" t="n">
        <v>308</v>
      </c>
      <c r="E4652" s="2" t="n">
        <v>308</v>
      </c>
      <c r="F4652" s="2" t="n">
        <v>1</v>
      </c>
      <c r="G4652" s="2" t="n">
        <v>1</v>
      </c>
      <c r="H4652" s="2" t="n">
        <v>1</v>
      </c>
      <c r="I4652" s="2" t="n">
        <v>0</v>
      </c>
    </row>
    <row r="4653">
      <c r="A4653" s="2" t="n">
        <v>4651</v>
      </c>
      <c r="B4653" s="2" t="inlineStr">
        <is>
          <t>length</t>
        </is>
      </c>
      <c r="C4653" s="2" t="inlineStr">
        <is>
          <t>openssl TLS 1.2 only</t>
        </is>
      </c>
      <c r="D4653" s="2" t="n">
        <v>215</v>
      </c>
      <c r="E4653" s="2" t="n">
        <v>215</v>
      </c>
      <c r="F4653" s="2" t="n">
        <v>1</v>
      </c>
      <c r="G4653" s="2" t="n">
        <v>1</v>
      </c>
      <c r="H4653" s="2" t="n">
        <v>0</v>
      </c>
      <c r="I4653" s="2" t="n">
        <v>0</v>
      </c>
    </row>
    <row r="4654">
      <c r="A4654" s="2" t="n">
        <v>4652</v>
      </c>
      <c r="B4654" s="2" t="inlineStr">
        <is>
          <t>insert</t>
        </is>
      </c>
      <c r="C4654" s="2" t="inlineStr">
        <is>
          <t>openssl TLS 1.2 only</t>
        </is>
      </c>
      <c r="D4654" s="2" t="n">
        <v>225</v>
      </c>
      <c r="E4654" s="2" t="n">
        <v>225</v>
      </c>
      <c r="F4654" s="2" t="n">
        <v>1</v>
      </c>
      <c r="G4654" s="2" t="n">
        <v>1</v>
      </c>
      <c r="H4654" s="2" t="n">
        <v>0</v>
      </c>
      <c r="I4654" s="2" t="n">
        <v>0</v>
      </c>
    </row>
    <row r="4655">
      <c r="A4655" s="2" t="n">
        <v>4653</v>
      </c>
      <c r="B4655" s="2" t="inlineStr">
        <is>
          <t>flip</t>
        </is>
      </c>
      <c r="C4655" s="2" t="inlineStr">
        <is>
          <t>browser chrome150</t>
        </is>
      </c>
      <c r="D4655" s="2" t="n">
        <v>1763</v>
      </c>
      <c r="E4655" s="2" t="n">
        <v>1763</v>
      </c>
      <c r="F4655" s="2" t="n">
        <v>1</v>
      </c>
      <c r="G4655" s="2" t="n">
        <v>1</v>
      </c>
      <c r="H4655" s="2" t="n">
        <v>1</v>
      </c>
      <c r="I4655" s="2" t="n">
        <v>0</v>
      </c>
    </row>
    <row r="4656">
      <c r="A4656" s="2" t="n">
        <v>4654</v>
      </c>
      <c r="B4656" s="2" t="inlineStr">
        <is>
          <t>truncate</t>
        </is>
      </c>
      <c r="C4656" s="2" t="inlineStr">
        <is>
          <t>browser chrome150</t>
        </is>
      </c>
      <c r="D4656" s="2" t="n">
        <v>1208</v>
      </c>
      <c r="E4656" s="2" t="n">
        <v>1208</v>
      </c>
      <c r="F4656" s="2" t="n">
        <v>1</v>
      </c>
      <c r="G4656" s="2" t="n">
        <v>1</v>
      </c>
      <c r="H4656" s="2" t="n">
        <v>1</v>
      </c>
      <c r="I4656" s="2" t="n">
        <v>0</v>
      </c>
    </row>
    <row r="4657">
      <c r="A4657" s="2" t="n">
        <v>4655</v>
      </c>
      <c r="B4657" s="2" t="inlineStr">
        <is>
          <t>length</t>
        </is>
      </c>
      <c r="C4657" s="2" t="inlineStr">
        <is>
          <t>openssl X25519 only (classical)</t>
        </is>
      </c>
      <c r="D4657" s="2" t="n">
        <v>314</v>
      </c>
      <c r="E4657" s="2" t="n">
        <v>314</v>
      </c>
      <c r="F4657" s="2" t="n">
        <v>0</v>
      </c>
      <c r="G4657" s="2" t="n">
        <v>0</v>
      </c>
      <c r="H4657" s="2" t="n">
        <v>0</v>
      </c>
      <c r="I4657" s="2" t="n">
        <v>0</v>
      </c>
    </row>
    <row r="4658">
      <c r="A4658" s="2" t="n">
        <v>4656</v>
      </c>
      <c r="B4658" s="2" t="inlineStr">
        <is>
          <t>insert</t>
        </is>
      </c>
      <c r="C4658" s="2" t="inlineStr">
        <is>
          <t>browser firefox147</t>
        </is>
      </c>
      <c r="D4658" s="2" t="n">
        <v>1915</v>
      </c>
      <c r="E4658" s="2" t="n">
        <v>1915</v>
      </c>
      <c r="F4658" s="2" t="n">
        <v>1</v>
      </c>
      <c r="G4658" s="2" t="n">
        <v>1</v>
      </c>
      <c r="H4658" s="2" t="n">
        <v>0</v>
      </c>
      <c r="I4658" s="2" t="n">
        <v>0</v>
      </c>
    </row>
    <row r="4659">
      <c r="A4659" s="2" t="n">
        <v>4657</v>
      </c>
      <c r="B4659" s="2" t="inlineStr">
        <is>
          <t>flip</t>
        </is>
      </c>
      <c r="C4659" s="2" t="inlineStr">
        <is>
          <t>openssl 3.5.8 default</t>
        </is>
      </c>
      <c r="D4659" s="2" t="n">
        <v>1548</v>
      </c>
      <c r="E4659" s="2" t="n">
        <v>1548</v>
      </c>
      <c r="F4659" s="2" t="n">
        <v>1</v>
      </c>
      <c r="G4659" s="2" t="n">
        <v>1</v>
      </c>
      <c r="H4659" s="2" t="n">
        <v>1</v>
      </c>
      <c r="I4659" s="2" t="n">
        <v>0</v>
      </c>
    </row>
    <row r="4660">
      <c r="A4660" s="2" t="n">
        <v>4658</v>
      </c>
      <c r="B4660" s="2" t="inlineStr">
        <is>
          <t>truncate</t>
        </is>
      </c>
      <c r="C4660" s="2" t="inlineStr">
        <is>
          <t>openssl X25519 only (classical)</t>
        </is>
      </c>
      <c r="D4660" s="2" t="n">
        <v>136</v>
      </c>
      <c r="E4660" s="2" t="n">
        <v>136</v>
      </c>
      <c r="F4660" s="2" t="n">
        <v>1</v>
      </c>
      <c r="G4660" s="2" t="n">
        <v>0</v>
      </c>
      <c r="H4660" s="2" t="n">
        <v>0</v>
      </c>
      <c r="I4660" s="2" t="n">
        <v>0</v>
      </c>
    </row>
    <row r="4661">
      <c r="A4661" s="2" t="n">
        <v>4659</v>
      </c>
      <c r="B4661" s="2" t="inlineStr">
        <is>
          <t>length</t>
        </is>
      </c>
      <c r="C4661" s="2" t="inlineStr">
        <is>
          <t>browser chrome150</t>
        </is>
      </c>
      <c r="D4661" s="2" t="n">
        <v>1763</v>
      </c>
      <c r="E4661" s="2" t="n">
        <v>1763</v>
      </c>
      <c r="F4661" s="2" t="n">
        <v>0</v>
      </c>
      <c r="G4661" s="2" t="n">
        <v>0</v>
      </c>
      <c r="H4661" s="2" t="n">
        <v>0</v>
      </c>
      <c r="I4661" s="2" t="n">
        <v>0</v>
      </c>
    </row>
    <row r="4662">
      <c r="A4662" s="2" t="n">
        <v>4660</v>
      </c>
      <c r="B4662" s="2" t="inlineStr">
        <is>
          <t>insert</t>
        </is>
      </c>
      <c r="C4662" s="2" t="inlineStr">
        <is>
          <t>browser firefox147</t>
        </is>
      </c>
      <c r="D4662" s="2" t="n">
        <v>1913</v>
      </c>
      <c r="E4662" s="2" t="n">
        <v>1913</v>
      </c>
      <c r="F4662" s="2" t="n">
        <v>1</v>
      </c>
      <c r="G4662" s="2" t="n">
        <v>1</v>
      </c>
      <c r="H4662" s="2" t="n">
        <v>0</v>
      </c>
      <c r="I4662" s="2" t="n">
        <v>0</v>
      </c>
    </row>
    <row r="4663">
      <c r="A4663" s="2" t="n">
        <v>4661</v>
      </c>
      <c r="B4663" s="2" t="inlineStr">
        <is>
          <t>flip</t>
        </is>
      </c>
      <c r="C4663" s="2" t="inlineStr">
        <is>
          <t>browser firefox147</t>
        </is>
      </c>
      <c r="D4663" s="2" t="n">
        <v>1901</v>
      </c>
      <c r="E4663" s="2" t="n">
        <v>1901</v>
      </c>
      <c r="F4663" s="2" t="n">
        <v>1</v>
      </c>
      <c r="G4663" s="2" t="n">
        <v>1</v>
      </c>
      <c r="H4663" s="2" t="n">
        <v>0</v>
      </c>
      <c r="I4663" s="2" t="n">
        <v>0</v>
      </c>
    </row>
    <row r="4664">
      <c r="A4664" s="2" t="n">
        <v>4662</v>
      </c>
      <c r="B4664" s="2" t="inlineStr">
        <is>
          <t>truncate</t>
        </is>
      </c>
      <c r="C4664" s="2" t="inlineStr">
        <is>
          <t>openssl 3.5.8 default</t>
        </is>
      </c>
      <c r="D4664" s="2" t="n">
        <v>1301</v>
      </c>
      <c r="E4664" s="2" t="n">
        <v>1301</v>
      </c>
      <c r="F4664" s="2" t="n">
        <v>1</v>
      </c>
      <c r="G4664" s="2" t="n">
        <v>1</v>
      </c>
      <c r="H4664" s="2" t="n">
        <v>1</v>
      </c>
      <c r="I4664" s="2" t="n">
        <v>0</v>
      </c>
    </row>
    <row r="4665">
      <c r="A4665" s="2" t="n">
        <v>4663</v>
      </c>
      <c r="B4665" s="2" t="inlineStr">
        <is>
          <t>length</t>
        </is>
      </c>
      <c r="C4665" s="2" t="inlineStr">
        <is>
          <t>openssl TLS 1.2 only</t>
        </is>
      </c>
      <c r="D4665" s="2" t="n">
        <v>215</v>
      </c>
      <c r="E4665" s="2" t="n">
        <v>215</v>
      </c>
      <c r="F4665" s="2" t="n">
        <v>1</v>
      </c>
      <c r="G4665" s="2" t="n">
        <v>1</v>
      </c>
      <c r="H4665" s="2" t="n">
        <v>1</v>
      </c>
      <c r="I4665" s="2" t="n">
        <v>0</v>
      </c>
    </row>
    <row r="4666">
      <c r="A4666" s="2" t="n">
        <v>4664</v>
      </c>
      <c r="B4666" s="2" t="inlineStr">
        <is>
          <t>insert</t>
        </is>
      </c>
      <c r="C4666" s="2" t="inlineStr">
        <is>
          <t>browser chrome150</t>
        </is>
      </c>
      <c r="D4666" s="2" t="n">
        <v>1777</v>
      </c>
      <c r="E4666" s="2" t="n">
        <v>1777</v>
      </c>
      <c r="F4666" s="2" t="n">
        <v>1</v>
      </c>
      <c r="G4666" s="2" t="n">
        <v>1</v>
      </c>
      <c r="H4666" s="2" t="n">
        <v>1</v>
      </c>
      <c r="I4666" s="2" t="n">
        <v>0</v>
      </c>
    </row>
    <row r="4667">
      <c r="A4667" s="2" t="n">
        <v>4665</v>
      </c>
      <c r="B4667" s="2" t="inlineStr">
        <is>
          <t>flip</t>
        </is>
      </c>
      <c r="C4667" s="2" t="inlineStr">
        <is>
          <t>openssl 3.5.8 default</t>
        </is>
      </c>
      <c r="D4667" s="2" t="n">
        <v>1548</v>
      </c>
      <c r="E4667" s="2" t="n">
        <v>1548</v>
      </c>
      <c r="F4667" s="2" t="n">
        <v>1</v>
      </c>
      <c r="G4667" s="2" t="n">
        <v>1</v>
      </c>
      <c r="H4667" s="2" t="n">
        <v>1</v>
      </c>
      <c r="I4667" s="2" t="n">
        <v>0</v>
      </c>
    </row>
    <row r="4668">
      <c r="A4668" s="2" t="n">
        <v>4666</v>
      </c>
      <c r="B4668" s="2" t="inlineStr">
        <is>
          <t>truncate</t>
        </is>
      </c>
      <c r="C4668" s="2" t="inlineStr">
        <is>
          <t>openssl 3.5.8 default</t>
        </is>
      </c>
      <c r="D4668" s="2" t="n">
        <v>1161</v>
      </c>
      <c r="E4668" s="2" t="n">
        <v>1161</v>
      </c>
      <c r="F4668" s="2" t="n">
        <v>1</v>
      </c>
      <c r="G4668" s="2" t="n">
        <v>1</v>
      </c>
      <c r="H4668" s="2" t="n">
        <v>1</v>
      </c>
      <c r="I4668" s="2" t="n">
        <v>0</v>
      </c>
    </row>
    <row r="4669">
      <c r="A4669" s="2" t="n">
        <v>4667</v>
      </c>
      <c r="B4669" s="2" t="inlineStr">
        <is>
          <t>length</t>
        </is>
      </c>
      <c r="C4669" s="2" t="inlineStr">
        <is>
          <t>openssl 3.5.8 default</t>
        </is>
      </c>
      <c r="D4669" s="2" t="n">
        <v>1548</v>
      </c>
      <c r="E4669" s="2" t="n">
        <v>1548</v>
      </c>
      <c r="F4669" s="2" t="n">
        <v>1</v>
      </c>
      <c r="G4669" s="2" t="n">
        <v>0</v>
      </c>
      <c r="H4669" s="2" t="n">
        <v>0</v>
      </c>
      <c r="I4669" s="2" t="n">
        <v>0</v>
      </c>
    </row>
    <row r="4670">
      <c r="A4670" s="2" t="n">
        <v>4668</v>
      </c>
      <c r="B4670" s="2" t="inlineStr">
        <is>
          <t>insert</t>
        </is>
      </c>
      <c r="C4670" s="2" t="inlineStr">
        <is>
          <t>openssl TLS 1.2 only</t>
        </is>
      </c>
      <c r="D4670" s="2" t="n">
        <v>218</v>
      </c>
      <c r="E4670" s="2" t="n">
        <v>218</v>
      </c>
      <c r="F4670" s="2" t="n">
        <v>1</v>
      </c>
      <c r="G4670" s="2" t="n">
        <v>1</v>
      </c>
      <c r="H4670" s="2" t="n">
        <v>1</v>
      </c>
      <c r="I4670" s="2" t="n">
        <v>0</v>
      </c>
    </row>
    <row r="4671">
      <c r="A4671" s="2" t="n">
        <v>4669</v>
      </c>
      <c r="B4671" s="2" t="inlineStr">
        <is>
          <t>flip</t>
        </is>
      </c>
      <c r="C4671" s="2" t="inlineStr">
        <is>
          <t>openssl X25519 only (classical)</t>
        </is>
      </c>
      <c r="D4671" s="2" t="n">
        <v>314</v>
      </c>
      <c r="E4671" s="2" t="n">
        <v>314</v>
      </c>
      <c r="F4671" s="2" t="n">
        <v>1</v>
      </c>
      <c r="G4671" s="2" t="n">
        <v>1</v>
      </c>
      <c r="H4671" s="2" t="n">
        <v>1</v>
      </c>
      <c r="I4671" s="2" t="n">
        <v>0</v>
      </c>
    </row>
    <row r="4672">
      <c r="A4672" s="2" t="n">
        <v>4670</v>
      </c>
      <c r="B4672" s="2" t="inlineStr">
        <is>
          <t>truncate</t>
        </is>
      </c>
      <c r="C4672" s="2" t="inlineStr">
        <is>
          <t>browser chrome150</t>
        </is>
      </c>
      <c r="D4672" s="2" t="n">
        <v>1379</v>
      </c>
      <c r="E4672" s="2" t="n">
        <v>1379</v>
      </c>
      <c r="F4672" s="2" t="n">
        <v>1</v>
      </c>
      <c r="G4672" s="2" t="n">
        <v>1</v>
      </c>
      <c r="H4672" s="2" t="n">
        <v>1</v>
      </c>
      <c r="I4672" s="2" t="n">
        <v>0</v>
      </c>
    </row>
    <row r="4673">
      <c r="A4673" s="2" t="n">
        <v>4671</v>
      </c>
      <c r="B4673" s="2" t="inlineStr">
        <is>
          <t>length</t>
        </is>
      </c>
      <c r="C4673" s="2" t="inlineStr">
        <is>
          <t>openssl TLS 1.2 only</t>
        </is>
      </c>
      <c r="D4673" s="2" t="n">
        <v>215</v>
      </c>
      <c r="E4673" s="2" t="n">
        <v>215</v>
      </c>
      <c r="F4673" s="2" t="n">
        <v>0</v>
      </c>
      <c r="G4673" s="2" t="n">
        <v>0</v>
      </c>
      <c r="H4673" s="2" t="n">
        <v>0</v>
      </c>
      <c r="I4673" s="2" t="n">
        <v>0</v>
      </c>
    </row>
    <row r="4674">
      <c r="A4674" s="2" t="n">
        <v>4672</v>
      </c>
      <c r="B4674" s="2" t="inlineStr">
        <is>
          <t>insert</t>
        </is>
      </c>
      <c r="C4674" s="2" t="inlineStr">
        <is>
          <t>browser firefox147</t>
        </is>
      </c>
      <c r="D4674" s="2" t="n">
        <v>1908</v>
      </c>
      <c r="E4674" s="2" t="n">
        <v>1908</v>
      </c>
      <c r="F4674" s="2" t="n">
        <v>1</v>
      </c>
      <c r="G4674" s="2" t="n">
        <v>1</v>
      </c>
      <c r="H4674" s="2" t="n">
        <v>0</v>
      </c>
      <c r="I4674" s="2" t="n">
        <v>0</v>
      </c>
    </row>
    <row r="4675">
      <c r="A4675" s="2" t="n">
        <v>4673</v>
      </c>
      <c r="B4675" s="2" t="inlineStr">
        <is>
          <t>flip</t>
        </is>
      </c>
      <c r="C4675" s="2" t="inlineStr">
        <is>
          <t>openssl 3.5.8 default</t>
        </is>
      </c>
      <c r="D4675" s="2" t="n">
        <v>1548</v>
      </c>
      <c r="E4675" s="2" t="n">
        <v>1548</v>
      </c>
      <c r="F4675" s="2" t="n">
        <v>1</v>
      </c>
      <c r="G4675" s="2" t="n">
        <v>1</v>
      </c>
      <c r="H4675" s="2" t="n">
        <v>1</v>
      </c>
      <c r="I4675" s="2" t="n">
        <v>0</v>
      </c>
    </row>
    <row r="4676">
      <c r="A4676" s="2" t="n">
        <v>4674</v>
      </c>
      <c r="B4676" s="2" t="inlineStr">
        <is>
          <t>truncate</t>
        </is>
      </c>
      <c r="C4676" s="2" t="inlineStr">
        <is>
          <t>openssl X25519 only (classical)</t>
        </is>
      </c>
      <c r="D4676" s="2" t="n">
        <v>246</v>
      </c>
      <c r="E4676" s="2" t="n">
        <v>246</v>
      </c>
      <c r="F4676" s="2" t="n">
        <v>1</v>
      </c>
      <c r="G4676" s="2" t="n">
        <v>1</v>
      </c>
      <c r="H4676" s="2" t="n">
        <v>0</v>
      </c>
      <c r="I4676" s="2" t="n">
        <v>0</v>
      </c>
    </row>
    <row r="4677">
      <c r="A4677" s="2" t="n">
        <v>4675</v>
      </c>
      <c r="B4677" s="2" t="inlineStr">
        <is>
          <t>length</t>
        </is>
      </c>
      <c r="C4677" s="2" t="inlineStr">
        <is>
          <t>browser chrome150</t>
        </is>
      </c>
      <c r="D4677" s="2" t="n">
        <v>1763</v>
      </c>
      <c r="E4677" s="2" t="n">
        <v>1763</v>
      </c>
      <c r="F4677" s="2" t="n">
        <v>1</v>
      </c>
      <c r="G4677" s="2" t="n">
        <v>1</v>
      </c>
      <c r="H4677" s="2" t="n">
        <v>1</v>
      </c>
      <c r="I4677" s="2" t="n">
        <v>0</v>
      </c>
    </row>
    <row r="4678">
      <c r="A4678" s="2" t="n">
        <v>4676</v>
      </c>
      <c r="B4678" s="2" t="inlineStr">
        <is>
          <t>insert</t>
        </is>
      </c>
      <c r="C4678" s="2" t="inlineStr">
        <is>
          <t>browser firefox147</t>
        </is>
      </c>
      <c r="D4678" s="2" t="n">
        <v>1904</v>
      </c>
      <c r="E4678" s="2" t="n">
        <v>1904</v>
      </c>
      <c r="F4678" s="2" t="n">
        <v>1</v>
      </c>
      <c r="G4678" s="2" t="n">
        <v>1</v>
      </c>
      <c r="H4678" s="2" t="n">
        <v>0</v>
      </c>
      <c r="I4678" s="2" t="n">
        <v>0</v>
      </c>
    </row>
    <row r="4679">
      <c r="A4679" s="2" t="n">
        <v>4677</v>
      </c>
      <c r="B4679" s="2" t="inlineStr">
        <is>
          <t>flip</t>
        </is>
      </c>
      <c r="C4679" s="2" t="inlineStr">
        <is>
          <t>openssl 3.5.8 default</t>
        </is>
      </c>
      <c r="D4679" s="2" t="n">
        <v>1548</v>
      </c>
      <c r="E4679" s="2" t="n">
        <v>1548</v>
      </c>
      <c r="F4679" s="2" t="n">
        <v>1</v>
      </c>
      <c r="G4679" s="2" t="n">
        <v>1</v>
      </c>
      <c r="H4679" s="2" t="n">
        <v>0</v>
      </c>
      <c r="I4679" s="2" t="n">
        <v>0</v>
      </c>
    </row>
    <row r="4680">
      <c r="A4680" s="2" t="n">
        <v>4678</v>
      </c>
      <c r="B4680" s="2" t="inlineStr">
        <is>
          <t>truncate</t>
        </is>
      </c>
      <c r="C4680" s="2" t="inlineStr">
        <is>
          <t>browser firefox147</t>
        </is>
      </c>
      <c r="D4680" s="2" t="n">
        <v>257</v>
      </c>
      <c r="E4680" s="2" t="n">
        <v>257</v>
      </c>
      <c r="F4680" s="2" t="n">
        <v>1</v>
      </c>
      <c r="G4680" s="2" t="n">
        <v>1</v>
      </c>
      <c r="H4680" s="2" t="n">
        <v>0</v>
      </c>
      <c r="I4680" s="2" t="n">
        <v>0</v>
      </c>
    </row>
    <row r="4681">
      <c r="A4681" s="2" t="n">
        <v>4679</v>
      </c>
      <c r="B4681" s="2" t="inlineStr">
        <is>
          <t>length</t>
        </is>
      </c>
      <c r="C4681" s="2" t="inlineStr">
        <is>
          <t>openssl 3.5.8 default</t>
        </is>
      </c>
      <c r="D4681" s="2" t="n">
        <v>1548</v>
      </c>
      <c r="E4681" s="2" t="n">
        <v>1548</v>
      </c>
      <c r="F4681" s="2" t="n">
        <v>1</v>
      </c>
      <c r="G4681" s="2" t="n">
        <v>1</v>
      </c>
      <c r="H4681" s="2" t="n">
        <v>1</v>
      </c>
      <c r="I4681" s="2" t="n">
        <v>0</v>
      </c>
    </row>
    <row r="4682">
      <c r="A4682" s="2" t="n">
        <v>4680</v>
      </c>
      <c r="B4682" s="2" t="inlineStr">
        <is>
          <t>insert</t>
        </is>
      </c>
      <c r="C4682" s="2" t="inlineStr">
        <is>
          <t>browser chrome150</t>
        </is>
      </c>
      <c r="D4682" s="2" t="n">
        <v>1769</v>
      </c>
      <c r="E4682" s="2" t="n">
        <v>1769</v>
      </c>
      <c r="F4682" s="2" t="n">
        <v>1</v>
      </c>
      <c r="G4682" s="2" t="n">
        <v>1</v>
      </c>
      <c r="H4682" s="2" t="n">
        <v>1</v>
      </c>
      <c r="I4682" s="2" t="n">
        <v>0</v>
      </c>
    </row>
    <row r="4683">
      <c r="A4683" s="2" t="n">
        <v>4681</v>
      </c>
      <c r="B4683" s="2" t="inlineStr">
        <is>
          <t>flip</t>
        </is>
      </c>
      <c r="C4683" s="2" t="inlineStr">
        <is>
          <t>openssl X25519 only (classical)</t>
        </is>
      </c>
      <c r="D4683" s="2" t="n">
        <v>314</v>
      </c>
      <c r="E4683" s="2" t="n">
        <v>314</v>
      </c>
      <c r="F4683" s="2" t="n">
        <v>0</v>
      </c>
      <c r="G4683" s="2" t="n">
        <v>0</v>
      </c>
      <c r="H4683" s="2" t="n">
        <v>0</v>
      </c>
      <c r="I4683" s="2" t="n">
        <v>0</v>
      </c>
    </row>
    <row r="4684">
      <c r="A4684" s="2" t="n">
        <v>4682</v>
      </c>
      <c r="B4684" s="2" t="inlineStr">
        <is>
          <t>truncate</t>
        </is>
      </c>
      <c r="C4684" s="2" t="inlineStr">
        <is>
          <t>browser chrome150</t>
        </is>
      </c>
      <c r="D4684" s="2" t="n">
        <v>1363</v>
      </c>
      <c r="E4684" s="2" t="n">
        <v>1363</v>
      </c>
      <c r="F4684" s="2" t="n">
        <v>1</v>
      </c>
      <c r="G4684" s="2" t="n">
        <v>1</v>
      </c>
      <c r="H4684" s="2" t="n">
        <v>1</v>
      </c>
      <c r="I4684" s="2" t="n">
        <v>0</v>
      </c>
    </row>
    <row r="4685">
      <c r="A4685" s="2" t="n">
        <v>4683</v>
      </c>
      <c r="B4685" s="2" t="inlineStr">
        <is>
          <t>length</t>
        </is>
      </c>
      <c r="C4685" s="2" t="inlineStr">
        <is>
          <t>browser chrome150</t>
        </is>
      </c>
      <c r="D4685" s="2" t="n">
        <v>1763</v>
      </c>
      <c r="E4685" s="2" t="n">
        <v>1763</v>
      </c>
      <c r="F4685" s="2" t="n">
        <v>1</v>
      </c>
      <c r="G4685" s="2" t="n">
        <v>1</v>
      </c>
      <c r="H4685" s="2" t="n">
        <v>1</v>
      </c>
      <c r="I4685" s="2" t="n">
        <v>0</v>
      </c>
    </row>
    <row r="4686">
      <c r="A4686" s="2" t="n">
        <v>4684</v>
      </c>
      <c r="B4686" s="2" t="inlineStr">
        <is>
          <t>insert</t>
        </is>
      </c>
      <c r="C4686" s="2" t="inlineStr">
        <is>
          <t>browser firefox147</t>
        </is>
      </c>
      <c r="D4686" s="2" t="n">
        <v>1903</v>
      </c>
      <c r="E4686" s="2" t="n">
        <v>1903</v>
      </c>
      <c r="F4686" s="2" t="n">
        <v>1</v>
      </c>
      <c r="G4686" s="2" t="n">
        <v>1</v>
      </c>
      <c r="H4686" s="2" t="n">
        <v>0</v>
      </c>
      <c r="I4686" s="2" t="n">
        <v>0</v>
      </c>
    </row>
    <row r="4687">
      <c r="A4687" s="2" t="n">
        <v>4685</v>
      </c>
      <c r="B4687" s="2" t="inlineStr">
        <is>
          <t>flip</t>
        </is>
      </c>
      <c r="C4687" s="2" t="inlineStr">
        <is>
          <t>openssl X25519 only (classical)</t>
        </is>
      </c>
      <c r="D4687" s="2" t="n">
        <v>314</v>
      </c>
      <c r="E4687" s="2" t="n">
        <v>314</v>
      </c>
      <c r="F4687" s="2" t="n">
        <v>1</v>
      </c>
      <c r="G4687" s="2" t="n">
        <v>1</v>
      </c>
      <c r="H4687" s="2" t="n">
        <v>1</v>
      </c>
      <c r="I4687" s="2" t="n">
        <v>0</v>
      </c>
    </row>
    <row r="4688">
      <c r="A4688" s="2" t="n">
        <v>4686</v>
      </c>
      <c r="B4688" s="2" t="inlineStr">
        <is>
          <t>truncate</t>
        </is>
      </c>
      <c r="C4688" s="2" t="inlineStr">
        <is>
          <t>browser firefox147</t>
        </is>
      </c>
      <c r="D4688" s="2" t="n">
        <v>734</v>
      </c>
      <c r="E4688" s="2" t="n">
        <v>734</v>
      </c>
      <c r="F4688" s="2" t="n">
        <v>1</v>
      </c>
      <c r="G4688" s="2" t="n">
        <v>1</v>
      </c>
      <c r="H4688" s="2" t="n">
        <v>0</v>
      </c>
      <c r="I4688" s="2" t="n">
        <v>0</v>
      </c>
    </row>
    <row r="4689">
      <c r="A4689" s="2" t="n">
        <v>4687</v>
      </c>
      <c r="B4689" s="2" t="inlineStr">
        <is>
          <t>length</t>
        </is>
      </c>
      <c r="C4689" s="2" t="inlineStr">
        <is>
          <t>browser chrome150</t>
        </is>
      </c>
      <c r="D4689" s="2" t="n">
        <v>1763</v>
      </c>
      <c r="E4689" s="2" t="n">
        <v>1763</v>
      </c>
      <c r="F4689" s="2" t="n">
        <v>0</v>
      </c>
      <c r="G4689" s="2" t="n">
        <v>0</v>
      </c>
      <c r="H4689" s="2" t="n">
        <v>0</v>
      </c>
      <c r="I4689" s="2" t="n">
        <v>0</v>
      </c>
    </row>
    <row r="4690">
      <c r="A4690" s="2" t="n">
        <v>4688</v>
      </c>
      <c r="B4690" s="2" t="inlineStr">
        <is>
          <t>insert</t>
        </is>
      </c>
      <c r="C4690" s="2" t="inlineStr">
        <is>
          <t>openssl TLS 1.2 only</t>
        </is>
      </c>
      <c r="D4690" s="2" t="n">
        <v>227</v>
      </c>
      <c r="E4690" s="2" t="n">
        <v>227</v>
      </c>
      <c r="F4690" s="2" t="n">
        <v>1</v>
      </c>
      <c r="G4690" s="2" t="n">
        <v>1</v>
      </c>
      <c r="H4690" s="2" t="n">
        <v>0</v>
      </c>
      <c r="I4690" s="2" t="n">
        <v>0</v>
      </c>
    </row>
    <row r="4691">
      <c r="A4691" s="2" t="n">
        <v>4689</v>
      </c>
      <c r="B4691" s="2" t="inlineStr">
        <is>
          <t>flip</t>
        </is>
      </c>
      <c r="C4691" s="2" t="inlineStr">
        <is>
          <t>openssl 3.5.8 default</t>
        </is>
      </c>
      <c r="D4691" s="2" t="n">
        <v>1548</v>
      </c>
      <c r="E4691" s="2" t="n">
        <v>1548</v>
      </c>
      <c r="F4691" s="2" t="n">
        <v>1</v>
      </c>
      <c r="G4691" s="2" t="n">
        <v>1</v>
      </c>
      <c r="H4691" s="2" t="n">
        <v>1</v>
      </c>
      <c r="I4691" s="2" t="n">
        <v>0</v>
      </c>
    </row>
    <row r="4692">
      <c r="A4692" s="2" t="n">
        <v>4690</v>
      </c>
      <c r="B4692" s="2" t="inlineStr">
        <is>
          <t>truncate</t>
        </is>
      </c>
      <c r="C4692" s="2" t="inlineStr">
        <is>
          <t>browser chrome150</t>
        </is>
      </c>
      <c r="D4692" s="2" t="n">
        <v>957</v>
      </c>
      <c r="E4692" s="2" t="n">
        <v>957</v>
      </c>
      <c r="F4692" s="2" t="n">
        <v>1</v>
      </c>
      <c r="G4692" s="2" t="n">
        <v>1</v>
      </c>
      <c r="H4692" s="2" t="n">
        <v>1</v>
      </c>
      <c r="I4692" s="2" t="n">
        <v>0</v>
      </c>
    </row>
    <row r="4693">
      <c r="A4693" s="2" t="n">
        <v>4691</v>
      </c>
      <c r="B4693" s="2" t="inlineStr">
        <is>
          <t>length</t>
        </is>
      </c>
      <c r="C4693" s="2" t="inlineStr">
        <is>
          <t>browser firefox147</t>
        </is>
      </c>
      <c r="D4693" s="2" t="n">
        <v>1901</v>
      </c>
      <c r="E4693" s="2" t="n">
        <v>1901</v>
      </c>
      <c r="F4693" s="2" t="n">
        <v>1</v>
      </c>
      <c r="G4693" s="2" t="n">
        <v>0</v>
      </c>
      <c r="H4693" s="2" t="n">
        <v>0</v>
      </c>
      <c r="I4693" s="2" t="n">
        <v>0</v>
      </c>
    </row>
    <row r="4694">
      <c r="A4694" s="2" t="n">
        <v>4692</v>
      </c>
      <c r="B4694" s="2" t="inlineStr">
        <is>
          <t>insert</t>
        </is>
      </c>
      <c r="C4694" s="2" t="inlineStr">
        <is>
          <t>openssl 3.5.8 default</t>
        </is>
      </c>
      <c r="D4694" s="2" t="n">
        <v>1549</v>
      </c>
      <c r="E4694" s="2" t="n">
        <v>1549</v>
      </c>
      <c r="F4694" s="2" t="n">
        <v>1</v>
      </c>
      <c r="G4694" s="2" t="n">
        <v>1</v>
      </c>
      <c r="H4694" s="2" t="n">
        <v>1</v>
      </c>
      <c r="I4694" s="2" t="n">
        <v>0</v>
      </c>
    </row>
    <row r="4695">
      <c r="A4695" s="2" t="n">
        <v>4693</v>
      </c>
      <c r="B4695" s="2" t="inlineStr">
        <is>
          <t>flip</t>
        </is>
      </c>
      <c r="C4695" s="2" t="inlineStr">
        <is>
          <t>browser firefox147</t>
        </is>
      </c>
      <c r="D4695" s="2" t="n">
        <v>1901</v>
      </c>
      <c r="E4695" s="2" t="n">
        <v>1901</v>
      </c>
      <c r="F4695" s="2" t="n">
        <v>1</v>
      </c>
      <c r="G4695" s="2" t="n">
        <v>1</v>
      </c>
      <c r="H4695" s="2" t="n">
        <v>0</v>
      </c>
      <c r="I4695" s="2" t="n">
        <v>0</v>
      </c>
    </row>
    <row r="4696">
      <c r="A4696" s="2" t="n">
        <v>4694</v>
      </c>
      <c r="B4696" s="2" t="inlineStr">
        <is>
          <t>truncate</t>
        </is>
      </c>
      <c r="C4696" s="2" t="inlineStr">
        <is>
          <t>openssl 3.5.8 default</t>
        </is>
      </c>
      <c r="D4696" s="2" t="n">
        <v>946</v>
      </c>
      <c r="E4696" s="2" t="n">
        <v>946</v>
      </c>
      <c r="F4696" s="2" t="n">
        <v>1</v>
      </c>
      <c r="G4696" s="2" t="n">
        <v>1</v>
      </c>
      <c r="H4696" s="2" t="n">
        <v>1</v>
      </c>
      <c r="I4696" s="2" t="n">
        <v>0</v>
      </c>
    </row>
    <row r="4697">
      <c r="A4697" s="2" t="n">
        <v>4695</v>
      </c>
      <c r="B4697" s="2" t="inlineStr">
        <is>
          <t>length</t>
        </is>
      </c>
      <c r="C4697" s="2" t="inlineStr">
        <is>
          <t>openssl X25519 only (classical)</t>
        </is>
      </c>
      <c r="D4697" s="2" t="n">
        <v>314</v>
      </c>
      <c r="E4697" s="2" t="n">
        <v>314</v>
      </c>
      <c r="F4697" s="2" t="n">
        <v>1</v>
      </c>
      <c r="G4697" s="2" t="n">
        <v>1</v>
      </c>
      <c r="H4697" s="2" t="n">
        <v>1</v>
      </c>
      <c r="I4697" s="2" t="n">
        <v>0</v>
      </c>
    </row>
    <row r="4698">
      <c r="A4698" s="2" t="n">
        <v>4696</v>
      </c>
      <c r="B4698" s="2" t="inlineStr">
        <is>
          <t>insert</t>
        </is>
      </c>
      <c r="C4698" s="2" t="inlineStr">
        <is>
          <t>openssl X25519 only (classical)</t>
        </is>
      </c>
      <c r="D4698" s="2" t="n">
        <v>317</v>
      </c>
      <c r="E4698" s="2" t="n">
        <v>317</v>
      </c>
      <c r="F4698" s="2" t="n">
        <v>1</v>
      </c>
      <c r="G4698" s="2" t="n">
        <v>1</v>
      </c>
      <c r="H4698" s="2" t="n">
        <v>1</v>
      </c>
      <c r="I4698" s="2" t="n">
        <v>0</v>
      </c>
    </row>
    <row r="4699">
      <c r="A4699" s="2" t="n">
        <v>4697</v>
      </c>
      <c r="B4699" s="2" t="inlineStr">
        <is>
          <t>flip</t>
        </is>
      </c>
      <c r="C4699" s="2" t="inlineStr">
        <is>
          <t>openssl X25519 only (classical)</t>
        </is>
      </c>
      <c r="D4699" s="2" t="n">
        <v>314</v>
      </c>
      <c r="E4699" s="2" t="n">
        <v>314</v>
      </c>
      <c r="F4699" s="2" t="n">
        <v>1</v>
      </c>
      <c r="G4699" s="2" t="n">
        <v>1</v>
      </c>
      <c r="H4699" s="2" t="n">
        <v>1</v>
      </c>
      <c r="I4699" s="2" t="n">
        <v>0</v>
      </c>
    </row>
    <row r="4700">
      <c r="A4700" s="2" t="n">
        <v>4698</v>
      </c>
      <c r="B4700" s="2" t="inlineStr">
        <is>
          <t>truncate</t>
        </is>
      </c>
      <c r="C4700" s="2" t="inlineStr">
        <is>
          <t>openssl X25519 only (classical)</t>
        </is>
      </c>
      <c r="D4700" s="2" t="n">
        <v>181</v>
      </c>
      <c r="E4700" s="2" t="n">
        <v>181</v>
      </c>
      <c r="F4700" s="2" t="n">
        <v>1</v>
      </c>
      <c r="G4700" s="2" t="n">
        <v>1</v>
      </c>
      <c r="H4700" s="2" t="n">
        <v>0</v>
      </c>
      <c r="I4700" s="2" t="n">
        <v>0</v>
      </c>
    </row>
    <row r="4701">
      <c r="A4701" s="2" t="n">
        <v>4699</v>
      </c>
      <c r="B4701" s="2" t="inlineStr">
        <is>
          <t>length</t>
        </is>
      </c>
      <c r="C4701" s="2" t="inlineStr">
        <is>
          <t>browser chrome150</t>
        </is>
      </c>
      <c r="D4701" s="2" t="n">
        <v>1763</v>
      </c>
      <c r="E4701" s="2" t="n">
        <v>1763</v>
      </c>
      <c r="F4701" s="2" t="n">
        <v>1</v>
      </c>
      <c r="G4701" s="2" t="n">
        <v>1</v>
      </c>
      <c r="H4701" s="2" t="n">
        <v>1</v>
      </c>
      <c r="I4701" s="2" t="n">
        <v>0</v>
      </c>
    </row>
    <row r="4702">
      <c r="A4702" s="2" t="n">
        <v>4700</v>
      </c>
      <c r="B4702" s="2" t="inlineStr">
        <is>
          <t>insert</t>
        </is>
      </c>
      <c r="C4702" s="2" t="inlineStr">
        <is>
          <t>openssl 3.5.8 default</t>
        </is>
      </c>
      <c r="D4702" s="2" t="n">
        <v>1562</v>
      </c>
      <c r="E4702" s="2" t="n">
        <v>1562</v>
      </c>
      <c r="F4702" s="2" t="n">
        <v>1</v>
      </c>
      <c r="G4702" s="2" t="n">
        <v>1</v>
      </c>
      <c r="H4702" s="2" t="n">
        <v>1</v>
      </c>
      <c r="I4702" s="2" t="n">
        <v>0</v>
      </c>
    </row>
    <row r="4703">
      <c r="A4703" s="2" t="n">
        <v>4701</v>
      </c>
      <c r="B4703" s="2" t="inlineStr">
        <is>
          <t>flip</t>
        </is>
      </c>
      <c r="C4703" s="2" t="inlineStr">
        <is>
          <t>openssl 3.5.8 default</t>
        </is>
      </c>
      <c r="D4703" s="2" t="n">
        <v>1548</v>
      </c>
      <c r="E4703" s="2" t="n">
        <v>1548</v>
      </c>
      <c r="F4703" s="2" t="n">
        <v>1</v>
      </c>
      <c r="G4703" s="2" t="n">
        <v>1</v>
      </c>
      <c r="H4703" s="2" t="n">
        <v>1</v>
      </c>
      <c r="I4703" s="2" t="n">
        <v>0</v>
      </c>
    </row>
    <row r="4704">
      <c r="A4704" s="2" t="n">
        <v>4702</v>
      </c>
      <c r="B4704" s="2" t="inlineStr">
        <is>
          <t>truncate</t>
        </is>
      </c>
      <c r="C4704" s="2" t="inlineStr">
        <is>
          <t>openssl 3.5.8 default</t>
        </is>
      </c>
      <c r="D4704" s="2" t="n">
        <v>903</v>
      </c>
      <c r="E4704" s="2" t="n">
        <v>903</v>
      </c>
      <c r="F4704" s="2" t="n">
        <v>1</v>
      </c>
      <c r="G4704" s="2" t="n">
        <v>1</v>
      </c>
      <c r="H4704" s="2" t="n">
        <v>1</v>
      </c>
      <c r="I4704" s="2" t="n">
        <v>0</v>
      </c>
    </row>
    <row r="4705">
      <c r="A4705" s="2" t="n">
        <v>4703</v>
      </c>
      <c r="B4705" s="2" t="inlineStr">
        <is>
          <t>length</t>
        </is>
      </c>
      <c r="C4705" s="2" t="inlineStr">
        <is>
          <t>openssl TLS 1.2 only</t>
        </is>
      </c>
      <c r="D4705" s="2" t="n">
        <v>215</v>
      </c>
      <c r="E4705" s="2" t="n">
        <v>215</v>
      </c>
      <c r="F4705" s="2" t="n">
        <v>1</v>
      </c>
      <c r="G4705" s="2" t="n">
        <v>1</v>
      </c>
      <c r="H4705" s="2" t="n">
        <v>0</v>
      </c>
      <c r="I4705" s="2" t="n">
        <v>0</v>
      </c>
    </row>
    <row r="4706">
      <c r="A4706" s="2" t="n">
        <v>4704</v>
      </c>
      <c r="B4706" s="2" t="inlineStr">
        <is>
          <t>insert</t>
        </is>
      </c>
      <c r="C4706" s="2" t="inlineStr">
        <is>
          <t>browser firefox147</t>
        </is>
      </c>
      <c r="D4706" s="2" t="n">
        <v>1907</v>
      </c>
      <c r="E4706" s="2" t="n">
        <v>1907</v>
      </c>
      <c r="F4706" s="2" t="n">
        <v>1</v>
      </c>
      <c r="G4706" s="2" t="n">
        <v>1</v>
      </c>
      <c r="H4706" s="2" t="n">
        <v>0</v>
      </c>
      <c r="I4706" s="2" t="n">
        <v>0</v>
      </c>
    </row>
    <row r="4707">
      <c r="A4707" s="2" t="n">
        <v>4705</v>
      </c>
      <c r="B4707" s="2" t="inlineStr">
        <is>
          <t>flip</t>
        </is>
      </c>
      <c r="C4707" s="2" t="inlineStr">
        <is>
          <t>openssl 3.5.8 default</t>
        </is>
      </c>
      <c r="D4707" s="2" t="n">
        <v>1548</v>
      </c>
      <c r="E4707" s="2" t="n">
        <v>1548</v>
      </c>
      <c r="F4707" s="2" t="n">
        <v>1</v>
      </c>
      <c r="G4707" s="2" t="n">
        <v>1</v>
      </c>
      <c r="H4707" s="2" t="n">
        <v>1</v>
      </c>
      <c r="I4707" s="2" t="n">
        <v>0</v>
      </c>
    </row>
    <row r="4708">
      <c r="A4708" s="2" t="n">
        <v>4706</v>
      </c>
      <c r="B4708" s="2" t="inlineStr">
        <is>
          <t>truncate</t>
        </is>
      </c>
      <c r="C4708" s="2" t="inlineStr">
        <is>
          <t>openssl TLS 1.2 only</t>
        </is>
      </c>
      <c r="D4708" s="2" t="n">
        <v>106</v>
      </c>
      <c r="E4708" s="2" t="n">
        <v>106</v>
      </c>
      <c r="F4708" s="2" t="n">
        <v>1</v>
      </c>
      <c r="G4708" s="2" t="n">
        <v>1</v>
      </c>
      <c r="H4708" s="2" t="n">
        <v>0</v>
      </c>
      <c r="I4708" s="2" t="n">
        <v>0</v>
      </c>
    </row>
    <row r="4709">
      <c r="A4709" s="2" t="n">
        <v>4707</v>
      </c>
      <c r="B4709" s="2" t="inlineStr">
        <is>
          <t>length</t>
        </is>
      </c>
      <c r="C4709" s="2" t="inlineStr">
        <is>
          <t>openssl TLS 1.2 only</t>
        </is>
      </c>
      <c r="D4709" s="2" t="n">
        <v>215</v>
      </c>
      <c r="E4709" s="2" t="n">
        <v>215</v>
      </c>
      <c r="F4709" s="2" t="n">
        <v>1</v>
      </c>
      <c r="G4709" s="2" t="n">
        <v>1</v>
      </c>
      <c r="H4709" s="2" t="n">
        <v>1</v>
      </c>
      <c r="I4709" s="2" t="n">
        <v>0</v>
      </c>
    </row>
    <row r="4710">
      <c r="A4710" s="2" t="n">
        <v>4708</v>
      </c>
      <c r="B4710" s="2" t="inlineStr">
        <is>
          <t>insert</t>
        </is>
      </c>
      <c r="C4710" s="2" t="inlineStr">
        <is>
          <t>openssl X25519 only (classical)</t>
        </is>
      </c>
      <c r="D4710" s="2" t="n">
        <v>325</v>
      </c>
      <c r="E4710" s="2" t="n">
        <v>325</v>
      </c>
      <c r="F4710" s="2" t="n">
        <v>1</v>
      </c>
      <c r="G4710" s="2" t="n">
        <v>1</v>
      </c>
      <c r="H4710" s="2" t="n">
        <v>1</v>
      </c>
      <c r="I4710" s="2" t="n">
        <v>0</v>
      </c>
    </row>
    <row r="4711">
      <c r="A4711" s="2" t="n">
        <v>4709</v>
      </c>
      <c r="B4711" s="2" t="inlineStr">
        <is>
          <t>flip</t>
        </is>
      </c>
      <c r="C4711" s="2" t="inlineStr">
        <is>
          <t>openssl X25519 only (classical)</t>
        </is>
      </c>
      <c r="D4711" s="2" t="n">
        <v>314</v>
      </c>
      <c r="E4711" s="2" t="n">
        <v>314</v>
      </c>
      <c r="F4711" s="2" t="n">
        <v>0</v>
      </c>
      <c r="G4711" s="2" t="n">
        <v>0</v>
      </c>
      <c r="H4711" s="2" t="n">
        <v>0</v>
      </c>
      <c r="I4711" s="2" t="n">
        <v>0</v>
      </c>
    </row>
    <row r="4712">
      <c r="A4712" s="2" t="n">
        <v>4710</v>
      </c>
      <c r="B4712" s="2" t="inlineStr">
        <is>
          <t>truncate</t>
        </is>
      </c>
      <c r="C4712" s="2" t="inlineStr">
        <is>
          <t>openssl 3.5.8 default</t>
        </is>
      </c>
      <c r="D4712" s="2" t="n">
        <v>190</v>
      </c>
      <c r="E4712" s="2" t="n">
        <v>190</v>
      </c>
      <c r="F4712" s="2" t="n">
        <v>1</v>
      </c>
      <c r="G4712" s="2" t="n">
        <v>1</v>
      </c>
      <c r="H4712" s="2" t="n">
        <v>0</v>
      </c>
      <c r="I4712" s="2" t="n">
        <v>0</v>
      </c>
    </row>
    <row r="4713">
      <c r="A4713" s="2" t="n">
        <v>4711</v>
      </c>
      <c r="B4713" s="2" t="inlineStr">
        <is>
          <t>length</t>
        </is>
      </c>
      <c r="C4713" s="2" t="inlineStr">
        <is>
          <t>openssl X25519 only (classical)</t>
        </is>
      </c>
      <c r="D4713" s="2" t="n">
        <v>314</v>
      </c>
      <c r="E4713" s="2" t="n">
        <v>314</v>
      </c>
      <c r="F4713" s="2" t="n">
        <v>0</v>
      </c>
      <c r="G4713" s="2" t="n">
        <v>0</v>
      </c>
      <c r="H4713" s="2" t="n">
        <v>0</v>
      </c>
      <c r="I4713" s="2" t="n">
        <v>0</v>
      </c>
    </row>
    <row r="4714">
      <c r="A4714" s="2" t="n">
        <v>4712</v>
      </c>
      <c r="B4714" s="2" t="inlineStr">
        <is>
          <t>insert</t>
        </is>
      </c>
      <c r="C4714" s="2" t="inlineStr">
        <is>
          <t>openssl 3.5.8 default</t>
        </is>
      </c>
      <c r="D4714" s="2" t="n">
        <v>1564</v>
      </c>
      <c r="E4714" s="2" t="n">
        <v>1564</v>
      </c>
      <c r="F4714" s="2" t="n">
        <v>1</v>
      </c>
      <c r="G4714" s="2" t="n">
        <v>1</v>
      </c>
      <c r="H4714" s="2" t="n">
        <v>1</v>
      </c>
      <c r="I4714" s="2" t="n">
        <v>0</v>
      </c>
    </row>
    <row r="4715">
      <c r="A4715" s="2" t="n">
        <v>4713</v>
      </c>
      <c r="B4715" s="2" t="inlineStr">
        <is>
          <t>flip</t>
        </is>
      </c>
      <c r="C4715" s="2" t="inlineStr">
        <is>
          <t>browser chrome150</t>
        </is>
      </c>
      <c r="D4715" s="2" t="n">
        <v>1763</v>
      </c>
      <c r="E4715" s="2" t="n">
        <v>1763</v>
      </c>
      <c r="F4715" s="2" t="n">
        <v>1</v>
      </c>
      <c r="G4715" s="2" t="n">
        <v>1</v>
      </c>
      <c r="H4715" s="2" t="n">
        <v>1</v>
      </c>
      <c r="I4715" s="2" t="n">
        <v>0</v>
      </c>
    </row>
    <row r="4716">
      <c r="A4716" s="2" t="n">
        <v>4714</v>
      </c>
      <c r="B4716" s="2" t="inlineStr">
        <is>
          <t>truncate</t>
        </is>
      </c>
      <c r="C4716" s="2" t="inlineStr">
        <is>
          <t>openssl X25519 only (classical)</t>
        </is>
      </c>
      <c r="D4716" s="2" t="n">
        <v>46</v>
      </c>
      <c r="E4716" s="2" t="n">
        <v>46</v>
      </c>
      <c r="F4716" s="2" t="n">
        <v>1</v>
      </c>
      <c r="G4716" s="2" t="n">
        <v>0</v>
      </c>
      <c r="H4716" s="2" t="n">
        <v>0</v>
      </c>
      <c r="I4716" s="2" t="n">
        <v>0</v>
      </c>
    </row>
    <row r="4717">
      <c r="A4717" s="2" t="n">
        <v>4715</v>
      </c>
      <c r="B4717" s="2" t="inlineStr">
        <is>
          <t>length</t>
        </is>
      </c>
      <c r="C4717" s="2" t="inlineStr">
        <is>
          <t>openssl X25519 only (classical)</t>
        </is>
      </c>
      <c r="D4717" s="2" t="n">
        <v>314</v>
      </c>
      <c r="E4717" s="2" t="n">
        <v>314</v>
      </c>
      <c r="F4717" s="2" t="n">
        <v>1</v>
      </c>
      <c r="G4717" s="2" t="n">
        <v>1</v>
      </c>
      <c r="H4717" s="2" t="n">
        <v>1</v>
      </c>
      <c r="I4717" s="2" t="n">
        <v>0</v>
      </c>
    </row>
    <row r="4718">
      <c r="A4718" s="2" t="n">
        <v>4716</v>
      </c>
      <c r="B4718" s="2" t="inlineStr">
        <is>
          <t>insert</t>
        </is>
      </c>
      <c r="C4718" s="2" t="inlineStr">
        <is>
          <t>openssl X25519 only (classical)</t>
        </is>
      </c>
      <c r="D4718" s="2" t="n">
        <v>325</v>
      </c>
      <c r="E4718" s="2" t="n">
        <v>325</v>
      </c>
      <c r="F4718" s="2" t="n">
        <v>1</v>
      </c>
      <c r="G4718" s="2" t="n">
        <v>1</v>
      </c>
      <c r="H4718" s="2" t="n">
        <v>1</v>
      </c>
      <c r="I4718" s="2" t="n">
        <v>0</v>
      </c>
    </row>
    <row r="4719">
      <c r="A4719" s="2" t="n">
        <v>4717</v>
      </c>
      <c r="B4719" s="2" t="inlineStr">
        <is>
          <t>flip</t>
        </is>
      </c>
      <c r="C4719" s="2" t="inlineStr">
        <is>
          <t>openssl X25519 only (classical)</t>
        </is>
      </c>
      <c r="D4719" s="2" t="n">
        <v>314</v>
      </c>
      <c r="E4719" s="2" t="n">
        <v>314</v>
      </c>
      <c r="F4719" s="2" t="n">
        <v>1</v>
      </c>
      <c r="G4719" s="2" t="n">
        <v>1</v>
      </c>
      <c r="H4719" s="2" t="n">
        <v>1</v>
      </c>
      <c r="I4719" s="2" t="n">
        <v>0</v>
      </c>
    </row>
    <row r="4720">
      <c r="A4720" s="2" t="n">
        <v>4718</v>
      </c>
      <c r="B4720" s="2" t="inlineStr">
        <is>
          <t>truncate</t>
        </is>
      </c>
      <c r="C4720" s="2" t="inlineStr">
        <is>
          <t>browser chrome150</t>
        </is>
      </c>
      <c r="D4720" s="2" t="n">
        <v>131</v>
      </c>
      <c r="E4720" s="2" t="n">
        <v>131</v>
      </c>
      <c r="F4720" s="2" t="n">
        <v>1</v>
      </c>
      <c r="G4720" s="2" t="n">
        <v>1</v>
      </c>
      <c r="H4720" s="2" t="n">
        <v>0</v>
      </c>
      <c r="I4720" s="2" t="n">
        <v>0</v>
      </c>
    </row>
    <row r="4721">
      <c r="A4721" s="2" t="n">
        <v>4719</v>
      </c>
      <c r="B4721" s="2" t="inlineStr">
        <is>
          <t>length</t>
        </is>
      </c>
      <c r="C4721" s="2" t="inlineStr">
        <is>
          <t>browser chrome150</t>
        </is>
      </c>
      <c r="D4721" s="2" t="n">
        <v>1763</v>
      </c>
      <c r="E4721" s="2" t="n">
        <v>1763</v>
      </c>
      <c r="F4721" s="2" t="n">
        <v>1</v>
      </c>
      <c r="G4721" s="2" t="n">
        <v>1</v>
      </c>
      <c r="H4721" s="2" t="n">
        <v>1</v>
      </c>
      <c r="I4721" s="2" t="n">
        <v>0</v>
      </c>
    </row>
    <row r="4722">
      <c r="A4722" s="2" t="n">
        <v>4720</v>
      </c>
      <c r="B4722" s="2" t="inlineStr">
        <is>
          <t>insert</t>
        </is>
      </c>
      <c r="C4722" s="2" t="inlineStr">
        <is>
          <t>openssl X25519 only (classical)</t>
        </is>
      </c>
      <c r="D4722" s="2" t="n">
        <v>329</v>
      </c>
      <c r="E4722" s="2" t="n">
        <v>329</v>
      </c>
      <c r="F4722" s="2" t="n">
        <v>1</v>
      </c>
      <c r="G4722" s="2" t="n">
        <v>1</v>
      </c>
      <c r="H4722" s="2" t="n">
        <v>1</v>
      </c>
      <c r="I4722" s="2" t="n">
        <v>0</v>
      </c>
    </row>
    <row r="4723">
      <c r="A4723" s="2" t="n">
        <v>4721</v>
      </c>
      <c r="B4723" s="2" t="inlineStr">
        <is>
          <t>flip</t>
        </is>
      </c>
      <c r="C4723" s="2" t="inlineStr">
        <is>
          <t>openssl 3.5.8 default</t>
        </is>
      </c>
      <c r="D4723" s="2" t="n">
        <v>1548</v>
      </c>
      <c r="E4723" s="2" t="n">
        <v>1548</v>
      </c>
      <c r="F4723" s="2" t="n">
        <v>1</v>
      </c>
      <c r="G4723" s="2" t="n">
        <v>1</v>
      </c>
      <c r="H4723" s="2" t="n">
        <v>1</v>
      </c>
      <c r="I4723" s="2" t="n">
        <v>0</v>
      </c>
    </row>
    <row r="4724">
      <c r="A4724" s="2" t="n">
        <v>4722</v>
      </c>
      <c r="B4724" s="2" t="inlineStr">
        <is>
          <t>truncate</t>
        </is>
      </c>
      <c r="C4724" s="2" t="inlineStr">
        <is>
          <t>openssl X25519 only (classical)</t>
        </is>
      </c>
      <c r="D4724" s="2" t="n">
        <v>120</v>
      </c>
      <c r="E4724" s="2" t="n">
        <v>120</v>
      </c>
      <c r="F4724" s="2" t="n">
        <v>1</v>
      </c>
      <c r="G4724" s="2" t="n">
        <v>0</v>
      </c>
      <c r="H4724" s="2" t="n">
        <v>0</v>
      </c>
      <c r="I4724" s="2" t="n">
        <v>0</v>
      </c>
    </row>
    <row r="4725">
      <c r="A4725" s="2" t="n">
        <v>4723</v>
      </c>
      <c r="B4725" s="2" t="inlineStr">
        <is>
          <t>length</t>
        </is>
      </c>
      <c r="C4725" s="2" t="inlineStr">
        <is>
          <t>openssl TLS 1.2 only</t>
        </is>
      </c>
      <c r="D4725" s="2" t="n">
        <v>215</v>
      </c>
      <c r="E4725" s="2" t="n">
        <v>215</v>
      </c>
      <c r="F4725" s="2" t="n">
        <v>0</v>
      </c>
      <c r="G4725" s="2" t="n">
        <v>0</v>
      </c>
      <c r="H4725" s="2" t="n">
        <v>0</v>
      </c>
      <c r="I4725" s="2" t="n">
        <v>0</v>
      </c>
    </row>
    <row r="4726">
      <c r="A4726" s="2" t="n">
        <v>4724</v>
      </c>
      <c r="B4726" s="2" t="inlineStr">
        <is>
          <t>insert</t>
        </is>
      </c>
      <c r="C4726" s="2" t="inlineStr">
        <is>
          <t>browser chrome150</t>
        </is>
      </c>
      <c r="D4726" s="2" t="n">
        <v>1764</v>
      </c>
      <c r="E4726" s="2" t="n">
        <v>1764</v>
      </c>
      <c r="F4726" s="2" t="n">
        <v>1</v>
      </c>
      <c r="G4726" s="2" t="n">
        <v>1</v>
      </c>
      <c r="H4726" s="2" t="n">
        <v>1</v>
      </c>
      <c r="I4726" s="2" t="n">
        <v>0</v>
      </c>
    </row>
    <row r="4727">
      <c r="A4727" s="2" t="n">
        <v>4725</v>
      </c>
      <c r="B4727" s="2" t="inlineStr">
        <is>
          <t>flip</t>
        </is>
      </c>
      <c r="C4727" s="2" t="inlineStr">
        <is>
          <t>browser firefox147</t>
        </is>
      </c>
      <c r="D4727" s="2" t="n">
        <v>1901</v>
      </c>
      <c r="E4727" s="2" t="n">
        <v>1901</v>
      </c>
      <c r="F4727" s="2" t="n">
        <v>1</v>
      </c>
      <c r="G4727" s="2" t="n">
        <v>1</v>
      </c>
      <c r="H4727" s="2" t="n">
        <v>0</v>
      </c>
      <c r="I4727" s="2" t="n">
        <v>0</v>
      </c>
    </row>
    <row r="4728">
      <c r="A4728" s="2" t="n">
        <v>4726</v>
      </c>
      <c r="B4728" s="2" t="inlineStr">
        <is>
          <t>truncate</t>
        </is>
      </c>
      <c r="C4728" s="2" t="inlineStr">
        <is>
          <t>openssl X25519 only (classical)</t>
        </is>
      </c>
      <c r="D4728" s="2" t="n">
        <v>197</v>
      </c>
      <c r="E4728" s="2" t="n">
        <v>197</v>
      </c>
      <c r="F4728" s="2" t="n">
        <v>1</v>
      </c>
      <c r="G4728" s="2" t="n">
        <v>1</v>
      </c>
      <c r="H4728" s="2" t="n">
        <v>0</v>
      </c>
      <c r="I4728" s="2" t="n">
        <v>0</v>
      </c>
    </row>
    <row r="4729">
      <c r="A4729" s="2" t="n">
        <v>4727</v>
      </c>
      <c r="B4729" s="2" t="inlineStr">
        <is>
          <t>length</t>
        </is>
      </c>
      <c r="C4729" s="2" t="inlineStr">
        <is>
          <t>openssl TLS 1.2 only</t>
        </is>
      </c>
      <c r="D4729" s="2" t="n">
        <v>215</v>
      </c>
      <c r="E4729" s="2" t="n">
        <v>215</v>
      </c>
      <c r="F4729" s="2" t="n">
        <v>1</v>
      </c>
      <c r="G4729" s="2" t="n">
        <v>0</v>
      </c>
      <c r="H4729" s="2" t="n">
        <v>0</v>
      </c>
      <c r="I4729" s="2" t="n">
        <v>0</v>
      </c>
    </row>
    <row r="4730">
      <c r="A4730" s="2" t="n">
        <v>4728</v>
      </c>
      <c r="B4730" s="2" t="inlineStr">
        <is>
          <t>insert</t>
        </is>
      </c>
      <c r="C4730" s="2" t="inlineStr">
        <is>
          <t>openssl 3.5.8 default</t>
        </is>
      </c>
      <c r="D4730" s="2" t="n">
        <v>1562</v>
      </c>
      <c r="E4730" s="2" t="n">
        <v>1562</v>
      </c>
      <c r="F4730" s="2" t="n">
        <v>1</v>
      </c>
      <c r="G4730" s="2" t="n">
        <v>1</v>
      </c>
      <c r="H4730" s="2" t="n">
        <v>1</v>
      </c>
      <c r="I4730" s="2" t="n">
        <v>0</v>
      </c>
    </row>
    <row r="4731">
      <c r="A4731" s="2" t="n">
        <v>4729</v>
      </c>
      <c r="B4731" s="2" t="inlineStr">
        <is>
          <t>flip</t>
        </is>
      </c>
      <c r="C4731" s="2" t="inlineStr">
        <is>
          <t>openssl X25519 only (classical)</t>
        </is>
      </c>
      <c r="D4731" s="2" t="n">
        <v>314</v>
      </c>
      <c r="E4731" s="2" t="n">
        <v>314</v>
      </c>
      <c r="F4731" s="2" t="n">
        <v>1</v>
      </c>
      <c r="G4731" s="2" t="n">
        <v>1</v>
      </c>
      <c r="H4731" s="2" t="n">
        <v>1</v>
      </c>
      <c r="I4731" s="2" t="n">
        <v>0</v>
      </c>
    </row>
    <row r="4732">
      <c r="A4732" s="2" t="n">
        <v>4730</v>
      </c>
      <c r="B4732" s="2" t="inlineStr">
        <is>
          <t>truncate</t>
        </is>
      </c>
      <c r="C4732" s="2" t="inlineStr">
        <is>
          <t>browser chrome150</t>
        </is>
      </c>
      <c r="D4732" s="2" t="n">
        <v>107</v>
      </c>
      <c r="E4732" s="2" t="n">
        <v>107</v>
      </c>
      <c r="F4732" s="2" t="n">
        <v>1</v>
      </c>
      <c r="G4732" s="2" t="n">
        <v>0</v>
      </c>
      <c r="H4732" s="2" t="n">
        <v>0</v>
      </c>
      <c r="I4732" s="2" t="n">
        <v>0</v>
      </c>
    </row>
    <row r="4733">
      <c r="A4733" s="2" t="n">
        <v>4731</v>
      </c>
      <c r="B4733" s="2" t="inlineStr">
        <is>
          <t>length</t>
        </is>
      </c>
      <c r="C4733" s="2" t="inlineStr">
        <is>
          <t>browser firefox147</t>
        </is>
      </c>
      <c r="D4733" s="2" t="n">
        <v>1901</v>
      </c>
      <c r="E4733" s="2" t="n">
        <v>1901</v>
      </c>
      <c r="F4733" s="2" t="n">
        <v>1</v>
      </c>
      <c r="G4733" s="2" t="n">
        <v>1</v>
      </c>
      <c r="H4733" s="2" t="n">
        <v>0</v>
      </c>
      <c r="I4733" s="2" t="n">
        <v>0</v>
      </c>
    </row>
    <row r="4734">
      <c r="A4734" s="2" t="n">
        <v>4732</v>
      </c>
      <c r="B4734" s="2" t="inlineStr">
        <is>
          <t>insert</t>
        </is>
      </c>
      <c r="C4734" s="2" t="inlineStr">
        <is>
          <t>browser firefox147</t>
        </is>
      </c>
      <c r="D4734" s="2" t="n">
        <v>1911</v>
      </c>
      <c r="E4734" s="2" t="n">
        <v>1911</v>
      </c>
      <c r="F4734" s="2" t="n">
        <v>1</v>
      </c>
      <c r="G4734" s="2" t="n">
        <v>1</v>
      </c>
      <c r="H4734" s="2" t="n">
        <v>0</v>
      </c>
      <c r="I4734" s="2" t="n">
        <v>0</v>
      </c>
    </row>
    <row r="4735">
      <c r="A4735" s="2" t="n">
        <v>4733</v>
      </c>
      <c r="B4735" s="2" t="inlineStr">
        <is>
          <t>flip</t>
        </is>
      </c>
      <c r="C4735" s="2" t="inlineStr">
        <is>
          <t>browser chrome150</t>
        </is>
      </c>
      <c r="D4735" s="2" t="n">
        <v>1763</v>
      </c>
      <c r="E4735" s="2" t="n">
        <v>1763</v>
      </c>
      <c r="F4735" s="2" t="n">
        <v>1</v>
      </c>
      <c r="G4735" s="2" t="n">
        <v>1</v>
      </c>
      <c r="H4735" s="2" t="n">
        <v>1</v>
      </c>
      <c r="I4735" s="2" t="n">
        <v>0</v>
      </c>
    </row>
    <row r="4736">
      <c r="A4736" s="2" t="n">
        <v>4734</v>
      </c>
      <c r="B4736" s="2" t="inlineStr">
        <is>
          <t>truncate</t>
        </is>
      </c>
      <c r="C4736" s="2" t="inlineStr">
        <is>
          <t>openssl TLS 1.2 only</t>
        </is>
      </c>
      <c r="D4736" s="2" t="n">
        <v>204</v>
      </c>
      <c r="E4736" s="2" t="n">
        <v>204</v>
      </c>
      <c r="F4736" s="2" t="n">
        <v>1</v>
      </c>
      <c r="G4736" s="2" t="n">
        <v>1</v>
      </c>
      <c r="H4736" s="2" t="n">
        <v>1</v>
      </c>
      <c r="I4736" s="2" t="n">
        <v>0</v>
      </c>
    </row>
    <row r="4737">
      <c r="A4737" s="2" t="n">
        <v>4735</v>
      </c>
      <c r="B4737" s="2" t="inlineStr">
        <is>
          <t>length</t>
        </is>
      </c>
      <c r="C4737" s="2" t="inlineStr">
        <is>
          <t>browser chrome150</t>
        </is>
      </c>
      <c r="D4737" s="2" t="n">
        <v>1763</v>
      </c>
      <c r="E4737" s="2" t="n">
        <v>1763</v>
      </c>
      <c r="F4737" s="2" t="n">
        <v>0</v>
      </c>
      <c r="G4737" s="2" t="n">
        <v>0</v>
      </c>
      <c r="H4737" s="2" t="n">
        <v>0</v>
      </c>
      <c r="I4737" s="2" t="n">
        <v>0</v>
      </c>
    </row>
    <row r="4738">
      <c r="A4738" s="2" t="n">
        <v>4736</v>
      </c>
      <c r="B4738" s="2" t="inlineStr">
        <is>
          <t>insert</t>
        </is>
      </c>
      <c r="C4738" s="2" t="inlineStr">
        <is>
          <t>openssl X25519 only (classical)</t>
        </is>
      </c>
      <c r="D4738" s="2" t="n">
        <v>328</v>
      </c>
      <c r="E4738" s="2" t="n">
        <v>328</v>
      </c>
      <c r="F4738" s="2" t="n">
        <v>1</v>
      </c>
      <c r="G4738" s="2" t="n">
        <v>0</v>
      </c>
      <c r="H4738" s="2" t="n">
        <v>0</v>
      </c>
      <c r="I4738" s="2" t="n">
        <v>0</v>
      </c>
    </row>
    <row r="4739">
      <c r="A4739" s="2" t="n">
        <v>4737</v>
      </c>
      <c r="B4739" s="2" t="inlineStr">
        <is>
          <t>flip</t>
        </is>
      </c>
      <c r="C4739" s="2" t="inlineStr">
        <is>
          <t>browser chrome150</t>
        </is>
      </c>
      <c r="D4739" s="2" t="n">
        <v>1763</v>
      </c>
      <c r="E4739" s="2" t="n">
        <v>1763</v>
      </c>
      <c r="F4739" s="2" t="n">
        <v>1</v>
      </c>
      <c r="G4739" s="2" t="n">
        <v>1</v>
      </c>
      <c r="H4739" s="2" t="n">
        <v>1</v>
      </c>
      <c r="I4739" s="2" t="n">
        <v>0</v>
      </c>
    </row>
    <row r="4740">
      <c r="A4740" s="2" t="n">
        <v>4738</v>
      </c>
      <c r="B4740" s="2" t="inlineStr">
        <is>
          <t>truncate</t>
        </is>
      </c>
      <c r="C4740" s="2" t="inlineStr">
        <is>
          <t>openssl TLS 1.2 only</t>
        </is>
      </c>
      <c r="D4740" s="2" t="n">
        <v>103</v>
      </c>
      <c r="E4740" s="2" t="n">
        <v>103</v>
      </c>
      <c r="F4740" s="2" t="n">
        <v>1</v>
      </c>
      <c r="G4740" s="2" t="n">
        <v>1</v>
      </c>
      <c r="H4740" s="2" t="n">
        <v>0</v>
      </c>
      <c r="I4740" s="2" t="n">
        <v>0</v>
      </c>
    </row>
    <row r="4741">
      <c r="A4741" s="2" t="n">
        <v>4739</v>
      </c>
      <c r="B4741" s="2" t="inlineStr">
        <is>
          <t>length</t>
        </is>
      </c>
      <c r="C4741" s="2" t="inlineStr">
        <is>
          <t>openssl X25519 only (classical)</t>
        </is>
      </c>
      <c r="D4741" s="2" t="n">
        <v>314</v>
      </c>
      <c r="E4741" s="2" t="n">
        <v>314</v>
      </c>
      <c r="F4741" s="2" t="n">
        <v>1</v>
      </c>
      <c r="G4741" s="2" t="n">
        <v>0</v>
      </c>
      <c r="H4741" s="2" t="n">
        <v>0</v>
      </c>
      <c r="I4741" s="2" t="n">
        <v>0</v>
      </c>
    </row>
    <row r="4742">
      <c r="A4742" s="2" t="n">
        <v>4740</v>
      </c>
      <c r="B4742" s="2" t="inlineStr">
        <is>
          <t>insert</t>
        </is>
      </c>
      <c r="C4742" s="2" t="inlineStr">
        <is>
          <t>browser firefox147</t>
        </is>
      </c>
      <c r="D4742" s="2" t="n">
        <v>1902</v>
      </c>
      <c r="E4742" s="2" t="n">
        <v>1902</v>
      </c>
      <c r="F4742" s="2" t="n">
        <v>1</v>
      </c>
      <c r="G4742" s="2" t="n">
        <v>1</v>
      </c>
      <c r="H4742" s="2" t="n">
        <v>0</v>
      </c>
      <c r="I4742" s="2" t="n">
        <v>0</v>
      </c>
    </row>
    <row r="4743">
      <c r="A4743" s="2" t="n">
        <v>4741</v>
      </c>
      <c r="B4743" s="2" t="inlineStr">
        <is>
          <t>flip</t>
        </is>
      </c>
      <c r="C4743" s="2" t="inlineStr">
        <is>
          <t>browser chrome150</t>
        </is>
      </c>
      <c r="D4743" s="2" t="n">
        <v>1763</v>
      </c>
      <c r="E4743" s="2" t="n">
        <v>1763</v>
      </c>
      <c r="F4743" s="2" t="n">
        <v>1</v>
      </c>
      <c r="G4743" s="2" t="n">
        <v>1</v>
      </c>
      <c r="H4743" s="2" t="n">
        <v>1</v>
      </c>
      <c r="I4743" s="2" t="n">
        <v>0</v>
      </c>
    </row>
    <row r="4744">
      <c r="A4744" s="2" t="n">
        <v>4742</v>
      </c>
      <c r="B4744" s="2" t="inlineStr">
        <is>
          <t>truncate</t>
        </is>
      </c>
      <c r="C4744" s="2" t="inlineStr">
        <is>
          <t>browser firefox147</t>
        </is>
      </c>
      <c r="D4744" s="2" t="n">
        <v>64</v>
      </c>
      <c r="E4744" s="2" t="n">
        <v>64</v>
      </c>
      <c r="F4744" s="2" t="n">
        <v>1</v>
      </c>
      <c r="G4744" s="2" t="n">
        <v>0</v>
      </c>
      <c r="H4744" s="2" t="n">
        <v>0</v>
      </c>
      <c r="I4744" s="2" t="n">
        <v>0</v>
      </c>
    </row>
    <row r="4745">
      <c r="A4745" s="2" t="n">
        <v>4743</v>
      </c>
      <c r="B4745" s="2" t="inlineStr">
        <is>
          <t>length</t>
        </is>
      </c>
      <c r="C4745" s="2" t="inlineStr">
        <is>
          <t>openssl 3.5.8 default</t>
        </is>
      </c>
      <c r="D4745" s="2" t="n">
        <v>1548</v>
      </c>
      <c r="E4745" s="2" t="n">
        <v>1548</v>
      </c>
      <c r="F4745" s="2" t="n">
        <v>1</v>
      </c>
      <c r="G4745" s="2" t="n">
        <v>1</v>
      </c>
      <c r="H4745" s="2" t="n">
        <v>1</v>
      </c>
      <c r="I4745" s="2" t="n">
        <v>0</v>
      </c>
    </row>
    <row r="4746">
      <c r="A4746" s="2" t="n">
        <v>4744</v>
      </c>
      <c r="B4746" s="2" t="inlineStr">
        <is>
          <t>insert</t>
        </is>
      </c>
      <c r="C4746" s="2" t="inlineStr">
        <is>
          <t>browser chrome150</t>
        </is>
      </c>
      <c r="D4746" s="2" t="n">
        <v>1772</v>
      </c>
      <c r="E4746" s="2" t="n">
        <v>1772</v>
      </c>
      <c r="F4746" s="2" t="n">
        <v>1</v>
      </c>
      <c r="G4746" s="2" t="n">
        <v>1</v>
      </c>
      <c r="H4746" s="2" t="n">
        <v>1</v>
      </c>
      <c r="I4746" s="2" t="n">
        <v>0</v>
      </c>
    </row>
    <row r="4747">
      <c r="A4747" s="2" t="n">
        <v>4745</v>
      </c>
      <c r="B4747" s="2" t="inlineStr">
        <is>
          <t>flip</t>
        </is>
      </c>
      <c r="C4747" s="2" t="inlineStr">
        <is>
          <t>openssl TLS 1.2 only</t>
        </is>
      </c>
      <c r="D4747" s="2" t="n">
        <v>215</v>
      </c>
      <c r="E4747" s="2" t="n">
        <v>215</v>
      </c>
      <c r="F4747" s="2" t="n">
        <v>1</v>
      </c>
      <c r="G4747" s="2" t="n">
        <v>1</v>
      </c>
      <c r="H4747" s="2" t="n">
        <v>1</v>
      </c>
      <c r="I4747" s="2" t="n">
        <v>0</v>
      </c>
    </row>
    <row r="4748">
      <c r="A4748" s="2" t="n">
        <v>4746</v>
      </c>
      <c r="B4748" s="2" t="inlineStr">
        <is>
          <t>truncate</t>
        </is>
      </c>
      <c r="C4748" s="2" t="inlineStr">
        <is>
          <t>browser chrome150</t>
        </is>
      </c>
      <c r="D4748" s="2" t="n">
        <v>769</v>
      </c>
      <c r="E4748" s="2" t="n">
        <v>769</v>
      </c>
      <c r="F4748" s="2" t="n">
        <v>1</v>
      </c>
      <c r="G4748" s="2" t="n">
        <v>1</v>
      </c>
      <c r="H4748" s="2" t="n">
        <v>1</v>
      </c>
      <c r="I4748" s="2" t="n">
        <v>0</v>
      </c>
    </row>
    <row r="4749">
      <c r="A4749" s="2" t="n">
        <v>4747</v>
      </c>
      <c r="B4749" s="2" t="inlineStr">
        <is>
          <t>length</t>
        </is>
      </c>
      <c r="C4749" s="2" t="inlineStr">
        <is>
          <t>browser chrome150</t>
        </is>
      </c>
      <c r="D4749" s="2" t="n">
        <v>1763</v>
      </c>
      <c r="E4749" s="2" t="n">
        <v>1763</v>
      </c>
      <c r="F4749" s="2" t="n">
        <v>1</v>
      </c>
      <c r="G4749" s="2" t="n">
        <v>1</v>
      </c>
      <c r="H4749" s="2" t="n">
        <v>1</v>
      </c>
      <c r="I4749" s="2" t="n">
        <v>0</v>
      </c>
    </row>
    <row r="4750">
      <c r="A4750" s="2" t="n">
        <v>4748</v>
      </c>
      <c r="B4750" s="2" t="inlineStr">
        <is>
          <t>insert</t>
        </is>
      </c>
      <c r="C4750" s="2" t="inlineStr">
        <is>
          <t>browser firefox147</t>
        </is>
      </c>
      <c r="D4750" s="2" t="n">
        <v>1915</v>
      </c>
      <c r="E4750" s="2" t="n">
        <v>1915</v>
      </c>
      <c r="F4750" s="2" t="n">
        <v>1</v>
      </c>
      <c r="G4750" s="2" t="n">
        <v>1</v>
      </c>
      <c r="H4750" s="2" t="n">
        <v>0</v>
      </c>
      <c r="I4750" s="2" t="n">
        <v>0</v>
      </c>
    </row>
    <row r="4751">
      <c r="A4751" s="2" t="n">
        <v>4749</v>
      </c>
      <c r="B4751" s="2" t="inlineStr">
        <is>
          <t>flip</t>
        </is>
      </c>
      <c r="C4751" s="2" t="inlineStr">
        <is>
          <t>openssl X25519 only (classical)</t>
        </is>
      </c>
      <c r="D4751" s="2" t="n">
        <v>314</v>
      </c>
      <c r="E4751" s="2" t="n">
        <v>314</v>
      </c>
      <c r="F4751" s="2" t="n">
        <v>1</v>
      </c>
      <c r="G4751" s="2" t="n">
        <v>1</v>
      </c>
      <c r="H4751" s="2" t="n">
        <v>1</v>
      </c>
      <c r="I4751" s="2" t="n">
        <v>0</v>
      </c>
    </row>
    <row r="4752">
      <c r="A4752" s="2" t="n">
        <v>4750</v>
      </c>
      <c r="B4752" s="2" t="inlineStr">
        <is>
          <t>truncate</t>
        </is>
      </c>
      <c r="C4752" s="2" t="inlineStr">
        <is>
          <t>openssl 3.5.8 default</t>
        </is>
      </c>
      <c r="D4752" s="2" t="n">
        <v>944</v>
      </c>
      <c r="E4752" s="2" t="n">
        <v>944</v>
      </c>
      <c r="F4752" s="2" t="n">
        <v>1</v>
      </c>
      <c r="G4752" s="2" t="n">
        <v>1</v>
      </c>
      <c r="H4752" s="2" t="n">
        <v>1</v>
      </c>
      <c r="I4752" s="2" t="n">
        <v>0</v>
      </c>
    </row>
    <row r="4753">
      <c r="A4753" s="2" t="n">
        <v>4751</v>
      </c>
      <c r="B4753" s="2" t="inlineStr">
        <is>
          <t>length</t>
        </is>
      </c>
      <c r="C4753" s="2" t="inlineStr">
        <is>
          <t>openssl 3.5.8 default</t>
        </is>
      </c>
      <c r="D4753" s="2" t="n">
        <v>1548</v>
      </c>
      <c r="E4753" s="2" t="n">
        <v>1548</v>
      </c>
      <c r="F4753" s="2" t="n">
        <v>1</v>
      </c>
      <c r="G4753" s="2" t="n">
        <v>0</v>
      </c>
      <c r="H4753" s="2" t="n">
        <v>0</v>
      </c>
      <c r="I4753" s="2" t="n">
        <v>0</v>
      </c>
    </row>
    <row r="4754">
      <c r="A4754" s="2" t="n">
        <v>4752</v>
      </c>
      <c r="B4754" s="2" t="inlineStr">
        <is>
          <t>insert</t>
        </is>
      </c>
      <c r="C4754" s="2" t="inlineStr">
        <is>
          <t>openssl TLS 1.2 only</t>
        </is>
      </c>
      <c r="D4754" s="2" t="n">
        <v>222</v>
      </c>
      <c r="E4754" s="2" t="n">
        <v>222</v>
      </c>
      <c r="F4754" s="2" t="n">
        <v>1</v>
      </c>
      <c r="G4754" s="2" t="n">
        <v>1</v>
      </c>
      <c r="H4754" s="2" t="n">
        <v>1</v>
      </c>
      <c r="I4754" s="2" t="n">
        <v>0</v>
      </c>
    </row>
    <row r="4755">
      <c r="A4755" s="2" t="n">
        <v>4753</v>
      </c>
      <c r="B4755" s="2" t="inlineStr">
        <is>
          <t>flip</t>
        </is>
      </c>
      <c r="C4755" s="2" t="inlineStr">
        <is>
          <t>browser firefox147</t>
        </is>
      </c>
      <c r="D4755" s="2" t="n">
        <v>1901</v>
      </c>
      <c r="E4755" s="2" t="n">
        <v>1901</v>
      </c>
      <c r="F4755" s="2" t="n">
        <v>1</v>
      </c>
      <c r="G4755" s="2" t="n">
        <v>1</v>
      </c>
      <c r="H4755" s="2" t="n">
        <v>0</v>
      </c>
      <c r="I4755" s="2" t="n">
        <v>0</v>
      </c>
    </row>
    <row r="4756">
      <c r="A4756" s="2" t="n">
        <v>4754</v>
      </c>
      <c r="B4756" s="2" t="inlineStr">
        <is>
          <t>truncate</t>
        </is>
      </c>
      <c r="C4756" s="2" t="inlineStr">
        <is>
          <t>browser chrome150</t>
        </is>
      </c>
      <c r="D4756" s="2" t="n">
        <v>1254</v>
      </c>
      <c r="E4756" s="2" t="n">
        <v>1254</v>
      </c>
      <c r="F4756" s="2" t="n">
        <v>1</v>
      </c>
      <c r="G4756" s="2" t="n">
        <v>1</v>
      </c>
      <c r="H4756" s="2" t="n">
        <v>1</v>
      </c>
      <c r="I4756" s="2" t="n">
        <v>0</v>
      </c>
    </row>
    <row r="4757">
      <c r="A4757" s="2" t="n">
        <v>4755</v>
      </c>
      <c r="B4757" s="2" t="inlineStr">
        <is>
          <t>length</t>
        </is>
      </c>
      <c r="C4757" s="2" t="inlineStr">
        <is>
          <t>openssl TLS 1.2 only</t>
        </is>
      </c>
      <c r="D4757" s="2" t="n">
        <v>215</v>
      </c>
      <c r="E4757" s="2" t="n">
        <v>215</v>
      </c>
      <c r="F4757" s="2" t="n">
        <v>1</v>
      </c>
      <c r="G4757" s="2" t="n">
        <v>1</v>
      </c>
      <c r="H4757" s="2" t="n">
        <v>1</v>
      </c>
      <c r="I4757" s="2" t="n">
        <v>0</v>
      </c>
    </row>
    <row r="4758">
      <c r="A4758" s="2" t="n">
        <v>4756</v>
      </c>
      <c r="B4758" s="2" t="inlineStr">
        <is>
          <t>insert</t>
        </is>
      </c>
      <c r="C4758" s="2" t="inlineStr">
        <is>
          <t>openssl 3.5.8 default</t>
        </is>
      </c>
      <c r="D4758" s="2" t="n">
        <v>1553</v>
      </c>
      <c r="E4758" s="2" t="n">
        <v>1553</v>
      </c>
      <c r="F4758" s="2" t="n">
        <v>1</v>
      </c>
      <c r="G4758" s="2" t="n">
        <v>1</v>
      </c>
      <c r="H4758" s="2" t="n">
        <v>1</v>
      </c>
      <c r="I4758" s="2" t="n">
        <v>0</v>
      </c>
    </row>
    <row r="4759">
      <c r="A4759" s="2" t="n">
        <v>4757</v>
      </c>
      <c r="B4759" s="2" t="inlineStr">
        <is>
          <t>flip</t>
        </is>
      </c>
      <c r="C4759" s="2" t="inlineStr">
        <is>
          <t>browser chrome150</t>
        </is>
      </c>
      <c r="D4759" s="2" t="n">
        <v>1763</v>
      </c>
      <c r="E4759" s="2" t="n">
        <v>1763</v>
      </c>
      <c r="F4759" s="2" t="n">
        <v>1</v>
      </c>
      <c r="G4759" s="2" t="n">
        <v>1</v>
      </c>
      <c r="H4759" s="2" t="n">
        <v>1</v>
      </c>
      <c r="I4759" s="2" t="n">
        <v>0</v>
      </c>
    </row>
    <row r="4760">
      <c r="A4760" s="2" t="n">
        <v>4758</v>
      </c>
      <c r="B4760" s="2" t="inlineStr">
        <is>
          <t>truncate</t>
        </is>
      </c>
      <c r="C4760" s="2" t="inlineStr">
        <is>
          <t>openssl TLS 1.2 only</t>
        </is>
      </c>
      <c r="D4760" s="2" t="n">
        <v>181</v>
      </c>
      <c r="E4760" s="2" t="n">
        <v>181</v>
      </c>
      <c r="F4760" s="2" t="n">
        <v>1</v>
      </c>
      <c r="G4760" s="2" t="n">
        <v>1</v>
      </c>
      <c r="H4760" s="2" t="n">
        <v>1</v>
      </c>
      <c r="I4760" s="2" t="n">
        <v>0</v>
      </c>
    </row>
    <row r="4761">
      <c r="A4761" s="2" t="n">
        <v>4759</v>
      </c>
      <c r="B4761" s="2" t="inlineStr">
        <is>
          <t>length</t>
        </is>
      </c>
      <c r="C4761" s="2" t="inlineStr">
        <is>
          <t>browser chrome150</t>
        </is>
      </c>
      <c r="D4761" s="2" t="n">
        <v>1763</v>
      </c>
      <c r="E4761" s="2" t="n">
        <v>1763</v>
      </c>
      <c r="F4761" s="2" t="n">
        <v>0</v>
      </c>
      <c r="G4761" s="2" t="n">
        <v>0</v>
      </c>
      <c r="H4761" s="2" t="n">
        <v>0</v>
      </c>
      <c r="I4761" s="2" t="n">
        <v>0</v>
      </c>
    </row>
    <row r="4762">
      <c r="A4762" s="2" t="n">
        <v>4760</v>
      </c>
      <c r="B4762" s="2" t="inlineStr">
        <is>
          <t>insert</t>
        </is>
      </c>
      <c r="C4762" s="2" t="inlineStr">
        <is>
          <t>openssl 3.5.8 default</t>
        </is>
      </c>
      <c r="D4762" s="2" t="n">
        <v>1555</v>
      </c>
      <c r="E4762" s="2" t="n">
        <v>1555</v>
      </c>
      <c r="F4762" s="2" t="n">
        <v>1</v>
      </c>
      <c r="G4762" s="2" t="n">
        <v>1</v>
      </c>
      <c r="H4762" s="2" t="n">
        <v>1</v>
      </c>
      <c r="I4762" s="2" t="n">
        <v>0</v>
      </c>
    </row>
    <row r="4763">
      <c r="A4763" s="2" t="n">
        <v>4761</v>
      </c>
      <c r="B4763" s="2" t="inlineStr">
        <is>
          <t>flip</t>
        </is>
      </c>
      <c r="C4763" s="2" t="inlineStr">
        <is>
          <t>openssl 3.5.8 default</t>
        </is>
      </c>
      <c r="D4763" s="2" t="n">
        <v>1548</v>
      </c>
      <c r="E4763" s="2" t="n">
        <v>1548</v>
      </c>
      <c r="F4763" s="2" t="n">
        <v>1</v>
      </c>
      <c r="G4763" s="2" t="n">
        <v>1</v>
      </c>
      <c r="H4763" s="2" t="n">
        <v>1</v>
      </c>
      <c r="I4763" s="2" t="n">
        <v>0</v>
      </c>
    </row>
    <row r="4764">
      <c r="A4764" s="2" t="n">
        <v>4762</v>
      </c>
      <c r="B4764" s="2" t="inlineStr">
        <is>
          <t>truncate</t>
        </is>
      </c>
      <c r="C4764" s="2" t="inlineStr">
        <is>
          <t>browser firefox147</t>
        </is>
      </c>
      <c r="D4764" s="2" t="n">
        <v>1127</v>
      </c>
      <c r="E4764" s="2" t="n">
        <v>1127</v>
      </c>
      <c r="F4764" s="2" t="n">
        <v>1</v>
      </c>
      <c r="G4764" s="2" t="n">
        <v>1</v>
      </c>
      <c r="H4764" s="2" t="n">
        <v>0</v>
      </c>
      <c r="I4764" s="2" t="n">
        <v>0</v>
      </c>
    </row>
    <row r="4765">
      <c r="A4765" s="2" t="n">
        <v>4763</v>
      </c>
      <c r="B4765" s="2" t="inlineStr">
        <is>
          <t>length</t>
        </is>
      </c>
      <c r="C4765" s="2" t="inlineStr">
        <is>
          <t>openssl TLS 1.2 only</t>
        </is>
      </c>
      <c r="D4765" s="2" t="n">
        <v>215</v>
      </c>
      <c r="E4765" s="2" t="n">
        <v>215</v>
      </c>
      <c r="F4765" s="2" t="n">
        <v>0</v>
      </c>
      <c r="G4765" s="2" t="n">
        <v>0</v>
      </c>
      <c r="H4765" s="2" t="n">
        <v>0</v>
      </c>
      <c r="I4765" s="2" t="n">
        <v>0</v>
      </c>
    </row>
    <row r="4766">
      <c r="A4766" s="2" t="n">
        <v>4764</v>
      </c>
      <c r="B4766" s="2" t="inlineStr">
        <is>
          <t>insert</t>
        </is>
      </c>
      <c r="C4766" s="2" t="inlineStr">
        <is>
          <t>browser firefox147</t>
        </is>
      </c>
      <c r="D4766" s="2" t="n">
        <v>1906</v>
      </c>
      <c r="E4766" s="2" t="n">
        <v>1906</v>
      </c>
      <c r="F4766" s="2" t="n">
        <v>1</v>
      </c>
      <c r="G4766" s="2" t="n">
        <v>1</v>
      </c>
      <c r="H4766" s="2" t="n">
        <v>0</v>
      </c>
      <c r="I4766" s="2" t="n">
        <v>0</v>
      </c>
    </row>
    <row r="4767">
      <c r="A4767" s="2" t="n">
        <v>4765</v>
      </c>
      <c r="B4767" s="2" t="inlineStr">
        <is>
          <t>flip</t>
        </is>
      </c>
      <c r="C4767" s="2" t="inlineStr">
        <is>
          <t>openssl X25519 only (classical)</t>
        </is>
      </c>
      <c r="D4767" s="2" t="n">
        <v>314</v>
      </c>
      <c r="E4767" s="2" t="n">
        <v>314</v>
      </c>
      <c r="F4767" s="2" t="n">
        <v>1</v>
      </c>
      <c r="G4767" s="2" t="n">
        <v>1</v>
      </c>
      <c r="H4767" s="2" t="n">
        <v>1</v>
      </c>
      <c r="I4767" s="2" t="n">
        <v>0</v>
      </c>
    </row>
    <row r="4768">
      <c r="A4768" s="2" t="n">
        <v>4766</v>
      </c>
      <c r="B4768" s="2" t="inlineStr">
        <is>
          <t>truncate</t>
        </is>
      </c>
      <c r="C4768" s="2" t="inlineStr">
        <is>
          <t>openssl X25519 only (classical)</t>
        </is>
      </c>
      <c r="D4768" s="2" t="n">
        <v>70</v>
      </c>
      <c r="E4768" s="2" t="n">
        <v>70</v>
      </c>
      <c r="F4768" s="2" t="n">
        <v>1</v>
      </c>
      <c r="G4768" s="2" t="n">
        <v>0</v>
      </c>
      <c r="H4768" s="2" t="n">
        <v>0</v>
      </c>
      <c r="I4768" s="2" t="n">
        <v>0</v>
      </c>
    </row>
    <row r="4769">
      <c r="A4769" s="2" t="n">
        <v>4767</v>
      </c>
      <c r="B4769" s="2" t="inlineStr">
        <is>
          <t>length</t>
        </is>
      </c>
      <c r="C4769" s="2" t="inlineStr">
        <is>
          <t>browser firefox147</t>
        </is>
      </c>
      <c r="D4769" s="2" t="n">
        <v>1901</v>
      </c>
      <c r="E4769" s="2" t="n">
        <v>1901</v>
      </c>
      <c r="F4769" s="2" t="n">
        <v>1</v>
      </c>
      <c r="G4769" s="2" t="n">
        <v>1</v>
      </c>
      <c r="H4769" s="2" t="n">
        <v>0</v>
      </c>
      <c r="I4769" s="2" t="n">
        <v>0</v>
      </c>
    </row>
    <row r="4770">
      <c r="A4770" s="2" t="n">
        <v>4768</v>
      </c>
      <c r="B4770" s="2" t="inlineStr">
        <is>
          <t>insert</t>
        </is>
      </c>
      <c r="C4770" s="2" t="inlineStr">
        <is>
          <t>openssl TLS 1.2 only</t>
        </is>
      </c>
      <c r="D4770" s="2" t="n">
        <v>222</v>
      </c>
      <c r="E4770" s="2" t="n">
        <v>222</v>
      </c>
      <c r="F4770" s="2" t="n">
        <v>1</v>
      </c>
      <c r="G4770" s="2" t="n">
        <v>1</v>
      </c>
      <c r="H4770" s="2" t="n">
        <v>1</v>
      </c>
      <c r="I4770" s="2" t="n">
        <v>0</v>
      </c>
    </row>
    <row r="4771">
      <c r="A4771" s="2" t="n">
        <v>4769</v>
      </c>
      <c r="B4771" s="2" t="inlineStr">
        <is>
          <t>flip</t>
        </is>
      </c>
      <c r="C4771" s="2" t="inlineStr">
        <is>
          <t>openssl TLS 1.2 only</t>
        </is>
      </c>
      <c r="D4771" s="2" t="n">
        <v>215</v>
      </c>
      <c r="E4771" s="2" t="n">
        <v>215</v>
      </c>
      <c r="F4771" s="2" t="n">
        <v>1</v>
      </c>
      <c r="G4771" s="2" t="n">
        <v>1</v>
      </c>
      <c r="H4771" s="2" t="n">
        <v>1</v>
      </c>
      <c r="I4771" s="2" t="n">
        <v>0</v>
      </c>
    </row>
    <row r="4772">
      <c r="A4772" s="2" t="n">
        <v>4770</v>
      </c>
      <c r="B4772" s="2" t="inlineStr">
        <is>
          <t>truncate</t>
        </is>
      </c>
      <c r="C4772" s="2" t="inlineStr">
        <is>
          <t>browser firefox147</t>
        </is>
      </c>
      <c r="D4772" s="2" t="n">
        <v>162</v>
      </c>
      <c r="E4772" s="2" t="n">
        <v>162</v>
      </c>
      <c r="F4772" s="2" t="n">
        <v>1</v>
      </c>
      <c r="G4772" s="2" t="n">
        <v>1</v>
      </c>
      <c r="H4772" s="2" t="n">
        <v>0</v>
      </c>
      <c r="I4772" s="2" t="n">
        <v>0</v>
      </c>
    </row>
    <row r="4773">
      <c r="A4773" s="2" t="n">
        <v>4771</v>
      </c>
      <c r="B4773" s="2" t="inlineStr">
        <is>
          <t>length</t>
        </is>
      </c>
      <c r="C4773" s="2" t="inlineStr">
        <is>
          <t>openssl TLS 1.2 only</t>
        </is>
      </c>
      <c r="D4773" s="2" t="n">
        <v>215</v>
      </c>
      <c r="E4773" s="2" t="n">
        <v>215</v>
      </c>
      <c r="F4773" s="2" t="n">
        <v>0</v>
      </c>
      <c r="G4773" s="2" t="n">
        <v>0</v>
      </c>
      <c r="H4773" s="2" t="n">
        <v>0</v>
      </c>
      <c r="I4773" s="2" t="n">
        <v>0</v>
      </c>
    </row>
    <row r="4774">
      <c r="A4774" s="2" t="n">
        <v>4772</v>
      </c>
      <c r="B4774" s="2" t="inlineStr">
        <is>
          <t>insert</t>
        </is>
      </c>
      <c r="C4774" s="2" t="inlineStr">
        <is>
          <t>openssl X25519 only (classical)</t>
        </is>
      </c>
      <c r="D4774" s="2" t="n">
        <v>324</v>
      </c>
      <c r="E4774" s="2" t="n">
        <v>324</v>
      </c>
      <c r="F4774" s="2" t="n">
        <v>1</v>
      </c>
      <c r="G4774" s="2" t="n">
        <v>1</v>
      </c>
      <c r="H4774" s="2" t="n">
        <v>1</v>
      </c>
      <c r="I4774" s="2" t="n">
        <v>0</v>
      </c>
    </row>
    <row r="4775">
      <c r="A4775" s="2" t="n">
        <v>4773</v>
      </c>
      <c r="B4775" s="2" t="inlineStr">
        <is>
          <t>flip</t>
        </is>
      </c>
      <c r="C4775" s="2" t="inlineStr">
        <is>
          <t>openssl 3.5.8 default</t>
        </is>
      </c>
      <c r="D4775" s="2" t="n">
        <v>1548</v>
      </c>
      <c r="E4775" s="2" t="n">
        <v>1548</v>
      </c>
      <c r="F4775" s="2" t="n">
        <v>1</v>
      </c>
      <c r="G4775" s="2" t="n">
        <v>1</v>
      </c>
      <c r="H4775" s="2" t="n">
        <v>1</v>
      </c>
      <c r="I4775" s="2" t="n">
        <v>0</v>
      </c>
    </row>
    <row r="4776">
      <c r="A4776" s="2" t="n">
        <v>4774</v>
      </c>
      <c r="B4776" s="2" t="inlineStr">
        <is>
          <t>truncate</t>
        </is>
      </c>
      <c r="C4776" s="2" t="inlineStr">
        <is>
          <t>openssl X25519 only (classical)</t>
        </is>
      </c>
      <c r="D4776" s="2" t="n">
        <v>71</v>
      </c>
      <c r="E4776" s="2" t="n">
        <v>71</v>
      </c>
      <c r="F4776" s="2" t="n">
        <v>1</v>
      </c>
      <c r="G4776" s="2" t="n">
        <v>0</v>
      </c>
      <c r="H4776" s="2" t="n">
        <v>0</v>
      </c>
      <c r="I4776" s="2" t="n">
        <v>0</v>
      </c>
    </row>
    <row r="4777">
      <c r="A4777" s="2" t="n">
        <v>4775</v>
      </c>
      <c r="B4777" s="2" t="inlineStr">
        <is>
          <t>length</t>
        </is>
      </c>
      <c r="C4777" s="2" t="inlineStr">
        <is>
          <t>openssl TLS 1.2 only</t>
        </is>
      </c>
      <c r="D4777" s="2" t="n">
        <v>215</v>
      </c>
      <c r="E4777" s="2" t="n">
        <v>215</v>
      </c>
      <c r="F4777" s="2" t="n">
        <v>1</v>
      </c>
      <c r="G4777" s="2" t="n">
        <v>0</v>
      </c>
      <c r="H4777" s="2" t="n">
        <v>0</v>
      </c>
      <c r="I4777" s="2" t="n">
        <v>0</v>
      </c>
    </row>
    <row r="4778">
      <c r="A4778" s="2" t="n">
        <v>4776</v>
      </c>
      <c r="B4778" s="2" t="inlineStr">
        <is>
          <t>insert</t>
        </is>
      </c>
      <c r="C4778" s="2" t="inlineStr">
        <is>
          <t>openssl 3.5.8 default</t>
        </is>
      </c>
      <c r="D4778" s="2" t="n">
        <v>1562</v>
      </c>
      <c r="E4778" s="2" t="n">
        <v>1562</v>
      </c>
      <c r="F4778" s="2" t="n">
        <v>1</v>
      </c>
      <c r="G4778" s="2" t="n">
        <v>1</v>
      </c>
      <c r="H4778" s="2" t="n">
        <v>0</v>
      </c>
      <c r="I4778" s="2" t="n">
        <v>0</v>
      </c>
    </row>
    <row r="4779">
      <c r="A4779" s="2" t="n">
        <v>4777</v>
      </c>
      <c r="B4779" s="2" t="inlineStr">
        <is>
          <t>flip</t>
        </is>
      </c>
      <c r="C4779" s="2" t="inlineStr">
        <is>
          <t>browser chrome150</t>
        </is>
      </c>
      <c r="D4779" s="2" t="n">
        <v>1763</v>
      </c>
      <c r="E4779" s="2" t="n">
        <v>1763</v>
      </c>
      <c r="F4779" s="2" t="n">
        <v>1</v>
      </c>
      <c r="G4779" s="2" t="n">
        <v>1</v>
      </c>
      <c r="H4779" s="2" t="n">
        <v>1</v>
      </c>
      <c r="I4779" s="2" t="n">
        <v>0</v>
      </c>
    </row>
    <row r="4780">
      <c r="A4780" s="2" t="n">
        <v>4778</v>
      </c>
      <c r="B4780" s="2" t="inlineStr">
        <is>
          <t>truncate</t>
        </is>
      </c>
      <c r="C4780" s="2" t="inlineStr">
        <is>
          <t>openssl 3.5.8 default</t>
        </is>
      </c>
      <c r="D4780" s="2" t="n">
        <v>762</v>
      </c>
      <c r="E4780" s="2" t="n">
        <v>762</v>
      </c>
      <c r="F4780" s="2" t="n">
        <v>1</v>
      </c>
      <c r="G4780" s="2" t="n">
        <v>1</v>
      </c>
      <c r="H4780" s="2" t="n">
        <v>1</v>
      </c>
      <c r="I4780" s="2" t="n">
        <v>0</v>
      </c>
    </row>
    <row r="4781">
      <c r="A4781" s="2" t="n">
        <v>4779</v>
      </c>
      <c r="B4781" s="2" t="inlineStr">
        <is>
          <t>length</t>
        </is>
      </c>
      <c r="C4781" s="2" t="inlineStr">
        <is>
          <t>browser chrome150</t>
        </is>
      </c>
      <c r="D4781" s="2" t="n">
        <v>1763</v>
      </c>
      <c r="E4781" s="2" t="n">
        <v>1763</v>
      </c>
      <c r="F4781" s="2" t="n">
        <v>1</v>
      </c>
      <c r="G4781" s="2" t="n">
        <v>1</v>
      </c>
      <c r="H4781" s="2" t="n">
        <v>1</v>
      </c>
      <c r="I4781" s="2" t="n">
        <v>0</v>
      </c>
    </row>
    <row r="4782">
      <c r="A4782" s="2" t="n">
        <v>4780</v>
      </c>
      <c r="B4782" s="2" t="inlineStr">
        <is>
          <t>insert</t>
        </is>
      </c>
      <c r="C4782" s="2" t="inlineStr">
        <is>
          <t>openssl X25519 only (classical)</t>
        </is>
      </c>
      <c r="D4782" s="2" t="n">
        <v>327</v>
      </c>
      <c r="E4782" s="2" t="n">
        <v>327</v>
      </c>
      <c r="F4782" s="2" t="n">
        <v>1</v>
      </c>
      <c r="G4782" s="2" t="n">
        <v>1</v>
      </c>
      <c r="H4782" s="2" t="n">
        <v>1</v>
      </c>
      <c r="I4782" s="2" t="n">
        <v>0</v>
      </c>
    </row>
    <row r="4783">
      <c r="A4783" s="2" t="n">
        <v>4781</v>
      </c>
      <c r="B4783" s="2" t="inlineStr">
        <is>
          <t>flip</t>
        </is>
      </c>
      <c r="C4783" s="2" t="inlineStr">
        <is>
          <t>browser chrome150</t>
        </is>
      </c>
      <c r="D4783" s="2" t="n">
        <v>1763</v>
      </c>
      <c r="E4783" s="2" t="n">
        <v>1763</v>
      </c>
      <c r="F4783" s="2" t="n">
        <v>1</v>
      </c>
      <c r="G4783" s="2" t="n">
        <v>1</v>
      </c>
      <c r="H4783" s="2" t="n">
        <v>1</v>
      </c>
      <c r="I4783" s="2" t="n">
        <v>0</v>
      </c>
    </row>
    <row r="4784">
      <c r="A4784" s="2" t="n">
        <v>4782</v>
      </c>
      <c r="B4784" s="2" t="inlineStr">
        <is>
          <t>truncate</t>
        </is>
      </c>
      <c r="C4784" s="2" t="inlineStr">
        <is>
          <t>browser firefox147</t>
        </is>
      </c>
      <c r="D4784" s="2" t="n">
        <v>590</v>
      </c>
      <c r="E4784" s="2" t="n">
        <v>590</v>
      </c>
      <c r="F4784" s="2" t="n">
        <v>1</v>
      </c>
      <c r="G4784" s="2" t="n">
        <v>1</v>
      </c>
      <c r="H4784" s="2" t="n">
        <v>0</v>
      </c>
      <c r="I4784" s="2" t="n">
        <v>0</v>
      </c>
    </row>
    <row r="4785">
      <c r="A4785" s="2" t="n">
        <v>4783</v>
      </c>
      <c r="B4785" s="2" t="inlineStr">
        <is>
          <t>length</t>
        </is>
      </c>
      <c r="C4785" s="2" t="inlineStr">
        <is>
          <t>browser firefox147</t>
        </is>
      </c>
      <c r="D4785" s="2" t="n">
        <v>1901</v>
      </c>
      <c r="E4785" s="2" t="n">
        <v>1901</v>
      </c>
      <c r="F4785" s="2" t="n">
        <v>1</v>
      </c>
      <c r="G4785" s="2" t="n">
        <v>0</v>
      </c>
      <c r="H4785" s="2" t="n">
        <v>0</v>
      </c>
      <c r="I4785" s="2" t="n">
        <v>0</v>
      </c>
    </row>
    <row r="4786">
      <c r="A4786" s="2" t="n">
        <v>4784</v>
      </c>
      <c r="B4786" s="2" t="inlineStr">
        <is>
          <t>insert</t>
        </is>
      </c>
      <c r="C4786" s="2" t="inlineStr">
        <is>
          <t>openssl X25519 only (classical)</t>
        </is>
      </c>
      <c r="D4786" s="2" t="n">
        <v>323</v>
      </c>
      <c r="E4786" s="2" t="n">
        <v>323</v>
      </c>
      <c r="F4786" s="2" t="n">
        <v>1</v>
      </c>
      <c r="G4786" s="2" t="n">
        <v>1</v>
      </c>
      <c r="H4786" s="2" t="n">
        <v>1</v>
      </c>
      <c r="I4786" s="2" t="n">
        <v>0</v>
      </c>
    </row>
    <row r="4787">
      <c r="A4787" s="2" t="n">
        <v>4785</v>
      </c>
      <c r="B4787" s="2" t="inlineStr">
        <is>
          <t>flip</t>
        </is>
      </c>
      <c r="C4787" s="2" t="inlineStr">
        <is>
          <t>openssl 3.5.8 default</t>
        </is>
      </c>
      <c r="D4787" s="2" t="n">
        <v>1548</v>
      </c>
      <c r="E4787" s="2" t="n">
        <v>1548</v>
      </c>
      <c r="F4787" s="2" t="n">
        <v>1</v>
      </c>
      <c r="G4787" s="2" t="n">
        <v>1</v>
      </c>
      <c r="H4787" s="2" t="n">
        <v>1</v>
      </c>
      <c r="I4787" s="2" t="n">
        <v>0</v>
      </c>
    </row>
    <row r="4788">
      <c r="A4788" s="2" t="n">
        <v>4786</v>
      </c>
      <c r="B4788" s="2" t="inlineStr">
        <is>
          <t>truncate</t>
        </is>
      </c>
      <c r="C4788" s="2" t="inlineStr">
        <is>
          <t>openssl X25519 only (classical)</t>
        </is>
      </c>
      <c r="D4788" s="2" t="n">
        <v>36</v>
      </c>
      <c r="E4788" s="2" t="n">
        <v>36</v>
      </c>
      <c r="F4788" s="2" t="n">
        <v>1</v>
      </c>
      <c r="G4788" s="2" t="n">
        <v>0</v>
      </c>
      <c r="H4788" s="2" t="n">
        <v>0</v>
      </c>
      <c r="I4788" s="2" t="n">
        <v>0</v>
      </c>
    </row>
    <row r="4789">
      <c r="A4789" s="2" t="n">
        <v>4787</v>
      </c>
      <c r="B4789" s="2" t="inlineStr">
        <is>
          <t>length</t>
        </is>
      </c>
      <c r="C4789" s="2" t="inlineStr">
        <is>
          <t>browser chrome150</t>
        </is>
      </c>
      <c r="D4789" s="2" t="n">
        <v>1763</v>
      </c>
      <c r="E4789" s="2" t="n">
        <v>1763</v>
      </c>
      <c r="F4789" s="2" t="n">
        <v>1</v>
      </c>
      <c r="G4789" s="2" t="n">
        <v>0</v>
      </c>
      <c r="H4789" s="2" t="n">
        <v>0</v>
      </c>
      <c r="I4789" s="2" t="n">
        <v>0</v>
      </c>
    </row>
    <row r="4790">
      <c r="A4790" s="2" t="n">
        <v>4788</v>
      </c>
      <c r="B4790" s="2" t="inlineStr">
        <is>
          <t>insert</t>
        </is>
      </c>
      <c r="C4790" s="2" t="inlineStr">
        <is>
          <t>openssl X25519 only (classical)</t>
        </is>
      </c>
      <c r="D4790" s="2" t="n">
        <v>316</v>
      </c>
      <c r="E4790" s="2" t="n">
        <v>316</v>
      </c>
      <c r="F4790" s="2" t="n">
        <v>1</v>
      </c>
      <c r="G4790" s="2" t="n">
        <v>1</v>
      </c>
      <c r="H4790" s="2" t="n">
        <v>1</v>
      </c>
      <c r="I4790" s="2" t="n">
        <v>0</v>
      </c>
    </row>
    <row r="4791">
      <c r="A4791" s="2" t="n">
        <v>4789</v>
      </c>
      <c r="B4791" s="2" t="inlineStr">
        <is>
          <t>flip</t>
        </is>
      </c>
      <c r="C4791" s="2" t="inlineStr">
        <is>
          <t>openssl 3.5.8 default</t>
        </is>
      </c>
      <c r="D4791" s="2" t="n">
        <v>1548</v>
      </c>
      <c r="E4791" s="2" t="n">
        <v>1548</v>
      </c>
      <c r="F4791" s="2" t="n">
        <v>1</v>
      </c>
      <c r="G4791" s="2" t="n">
        <v>1</v>
      </c>
      <c r="H4791" s="2" t="n">
        <v>1</v>
      </c>
      <c r="I4791" s="2" t="n">
        <v>0</v>
      </c>
    </row>
    <row r="4792">
      <c r="A4792" s="2" t="n">
        <v>4790</v>
      </c>
      <c r="B4792" s="2" t="inlineStr">
        <is>
          <t>truncate</t>
        </is>
      </c>
      <c r="C4792" s="2" t="inlineStr">
        <is>
          <t>openssl X25519 only (classical)</t>
        </is>
      </c>
      <c r="D4792" s="2" t="n">
        <v>163</v>
      </c>
      <c r="E4792" s="2" t="n">
        <v>163</v>
      </c>
      <c r="F4792" s="2" t="n">
        <v>1</v>
      </c>
      <c r="G4792" s="2" t="n">
        <v>1</v>
      </c>
      <c r="H4792" s="2" t="n">
        <v>0</v>
      </c>
      <c r="I4792" s="2" t="n">
        <v>0</v>
      </c>
    </row>
    <row r="4793">
      <c r="A4793" s="2" t="n">
        <v>4791</v>
      </c>
      <c r="B4793" s="2" t="inlineStr">
        <is>
          <t>length</t>
        </is>
      </c>
      <c r="C4793" s="2" t="inlineStr">
        <is>
          <t>openssl 3.5.8 default</t>
        </is>
      </c>
      <c r="D4793" s="2" t="n">
        <v>1548</v>
      </c>
      <c r="E4793" s="2" t="n">
        <v>1548</v>
      </c>
      <c r="F4793" s="2" t="n">
        <v>1</v>
      </c>
      <c r="G4793" s="2" t="n">
        <v>1</v>
      </c>
      <c r="H4793" s="2" t="n">
        <v>1</v>
      </c>
      <c r="I4793" s="2" t="n">
        <v>0</v>
      </c>
    </row>
    <row r="4794">
      <c r="A4794" s="2" t="n">
        <v>4792</v>
      </c>
      <c r="B4794" s="2" t="inlineStr">
        <is>
          <t>insert</t>
        </is>
      </c>
      <c r="C4794" s="2" t="inlineStr">
        <is>
          <t>browser chrome150</t>
        </is>
      </c>
      <c r="D4794" s="2" t="n">
        <v>1773</v>
      </c>
      <c r="E4794" s="2" t="n">
        <v>1773</v>
      </c>
      <c r="F4794" s="2" t="n">
        <v>1</v>
      </c>
      <c r="G4794" s="2" t="n">
        <v>1</v>
      </c>
      <c r="H4794" s="2" t="n">
        <v>1</v>
      </c>
      <c r="I4794" s="2" t="n">
        <v>0</v>
      </c>
    </row>
    <row r="4795">
      <c r="A4795" s="2" t="n">
        <v>4793</v>
      </c>
      <c r="B4795" s="2" t="inlineStr">
        <is>
          <t>flip</t>
        </is>
      </c>
      <c r="C4795" s="2" t="inlineStr">
        <is>
          <t>openssl TLS 1.2 only</t>
        </is>
      </c>
      <c r="D4795" s="2" t="n">
        <v>215</v>
      </c>
      <c r="E4795" s="2" t="n">
        <v>215</v>
      </c>
      <c r="F4795" s="2" t="n">
        <v>1</v>
      </c>
      <c r="G4795" s="2" t="n">
        <v>1</v>
      </c>
      <c r="H4795" s="2" t="n">
        <v>1</v>
      </c>
      <c r="I4795" s="2" t="n">
        <v>0</v>
      </c>
    </row>
    <row r="4796">
      <c r="A4796" s="2" t="n">
        <v>4794</v>
      </c>
      <c r="B4796" s="2" t="inlineStr">
        <is>
          <t>truncate</t>
        </is>
      </c>
      <c r="C4796" s="2" t="inlineStr">
        <is>
          <t>browser chrome150</t>
        </is>
      </c>
      <c r="D4796" s="2" t="n">
        <v>759</v>
      </c>
      <c r="E4796" s="2" t="n">
        <v>759</v>
      </c>
      <c r="F4796" s="2" t="n">
        <v>1</v>
      </c>
      <c r="G4796" s="2" t="n">
        <v>1</v>
      </c>
      <c r="H4796" s="2" t="n">
        <v>1</v>
      </c>
      <c r="I4796" s="2" t="n">
        <v>0</v>
      </c>
    </row>
    <row r="4797">
      <c r="A4797" s="2" t="n">
        <v>4795</v>
      </c>
      <c r="B4797" s="2" t="inlineStr">
        <is>
          <t>length</t>
        </is>
      </c>
      <c r="C4797" s="2" t="inlineStr">
        <is>
          <t>openssl X25519 only (classical)</t>
        </is>
      </c>
      <c r="D4797" s="2" t="n">
        <v>314</v>
      </c>
      <c r="E4797" s="2" t="n">
        <v>314</v>
      </c>
      <c r="F4797" s="2" t="n">
        <v>1</v>
      </c>
      <c r="G4797" s="2" t="n">
        <v>0</v>
      </c>
      <c r="H4797" s="2" t="n">
        <v>0</v>
      </c>
      <c r="I4797" s="2" t="n">
        <v>0</v>
      </c>
    </row>
    <row r="4798">
      <c r="A4798" s="2" t="n">
        <v>4796</v>
      </c>
      <c r="B4798" s="2" t="inlineStr">
        <is>
          <t>insert</t>
        </is>
      </c>
      <c r="C4798" s="2" t="inlineStr">
        <is>
          <t>openssl TLS 1.2 only</t>
        </is>
      </c>
      <c r="D4798" s="2" t="n">
        <v>227</v>
      </c>
      <c r="E4798" s="2" t="n">
        <v>227</v>
      </c>
      <c r="F4798" s="2" t="n">
        <v>1</v>
      </c>
      <c r="G4798" s="2" t="n">
        <v>0</v>
      </c>
      <c r="H4798" s="2" t="n">
        <v>0</v>
      </c>
      <c r="I4798" s="2" t="n">
        <v>0</v>
      </c>
    </row>
    <row r="4799">
      <c r="A4799" s="2" t="n">
        <v>4797</v>
      </c>
      <c r="B4799" s="2" t="inlineStr">
        <is>
          <t>flip</t>
        </is>
      </c>
      <c r="C4799" s="2" t="inlineStr">
        <is>
          <t>openssl 3.5.8 default</t>
        </is>
      </c>
      <c r="D4799" s="2" t="n">
        <v>1548</v>
      </c>
      <c r="E4799" s="2" t="n">
        <v>1548</v>
      </c>
      <c r="F4799" s="2" t="n">
        <v>1</v>
      </c>
      <c r="G4799" s="2" t="n">
        <v>1</v>
      </c>
      <c r="H4799" s="2" t="n">
        <v>1</v>
      </c>
      <c r="I4799" s="2" t="n">
        <v>0</v>
      </c>
    </row>
    <row r="4800">
      <c r="A4800" s="2" t="n">
        <v>4798</v>
      </c>
      <c r="B4800" s="2" t="inlineStr">
        <is>
          <t>truncate</t>
        </is>
      </c>
      <c r="C4800" s="2" t="inlineStr">
        <is>
          <t>openssl X25519 only (classical)</t>
        </is>
      </c>
      <c r="D4800" s="2" t="n">
        <v>16</v>
      </c>
      <c r="E4800" s="2" t="n">
        <v>16</v>
      </c>
      <c r="F4800" s="2" t="n">
        <v>1</v>
      </c>
      <c r="G4800" s="2" t="n">
        <v>0</v>
      </c>
      <c r="H4800" s="2" t="n">
        <v>0</v>
      </c>
      <c r="I4800" s="2" t="n">
        <v>0</v>
      </c>
    </row>
    <row r="4801">
      <c r="A4801" s="2" t="n">
        <v>4799</v>
      </c>
      <c r="B4801" s="2" t="inlineStr">
        <is>
          <t>length</t>
        </is>
      </c>
      <c r="C4801" s="2" t="inlineStr">
        <is>
          <t>browser chrome150</t>
        </is>
      </c>
      <c r="D4801" s="2" t="n">
        <v>1763</v>
      </c>
      <c r="E4801" s="2" t="n">
        <v>1763</v>
      </c>
      <c r="F4801" s="2" t="n">
        <v>1</v>
      </c>
      <c r="G4801" s="2" t="n">
        <v>1</v>
      </c>
      <c r="H4801" s="2" t="n">
        <v>1</v>
      </c>
      <c r="I4801" s="2" t="n">
        <v>0</v>
      </c>
    </row>
    <row r="4802">
      <c r="A4802" s="2" t="n">
        <v>4800</v>
      </c>
      <c r="B4802" s="2" t="inlineStr">
        <is>
          <t>insert</t>
        </is>
      </c>
      <c r="C4802" s="2" t="inlineStr">
        <is>
          <t>openssl TLS 1.2 only</t>
        </is>
      </c>
      <c r="D4802" s="2" t="n">
        <v>229</v>
      </c>
      <c r="E4802" s="2" t="n">
        <v>229</v>
      </c>
      <c r="F4802" s="2" t="n">
        <v>1</v>
      </c>
      <c r="G4802" s="2" t="n">
        <v>1</v>
      </c>
      <c r="H4802" s="2" t="n">
        <v>1</v>
      </c>
      <c r="I4802" s="2" t="n">
        <v>0</v>
      </c>
    </row>
    <row r="4803">
      <c r="A4803" s="2" t="n">
        <v>4801</v>
      </c>
      <c r="B4803" s="2" t="inlineStr">
        <is>
          <t>flip</t>
        </is>
      </c>
      <c r="C4803" s="2" t="inlineStr">
        <is>
          <t>openssl TLS 1.2 only</t>
        </is>
      </c>
      <c r="D4803" s="2" t="n">
        <v>215</v>
      </c>
      <c r="E4803" s="2" t="n">
        <v>215</v>
      </c>
      <c r="F4803" s="2" t="n">
        <v>1</v>
      </c>
      <c r="G4803" s="2" t="n">
        <v>1</v>
      </c>
      <c r="H4803" s="2" t="n">
        <v>1</v>
      </c>
      <c r="I4803" s="2" t="n">
        <v>0</v>
      </c>
    </row>
    <row r="4804">
      <c r="A4804" s="2" t="n">
        <v>4802</v>
      </c>
      <c r="B4804" s="2" t="inlineStr">
        <is>
          <t>truncate</t>
        </is>
      </c>
      <c r="C4804" s="2" t="inlineStr">
        <is>
          <t>browser firefox147</t>
        </is>
      </c>
      <c r="D4804" s="2" t="n">
        <v>406</v>
      </c>
      <c r="E4804" s="2" t="n">
        <v>406</v>
      </c>
      <c r="F4804" s="2" t="n">
        <v>1</v>
      </c>
      <c r="G4804" s="2" t="n">
        <v>1</v>
      </c>
      <c r="H4804" s="2" t="n">
        <v>0</v>
      </c>
      <c r="I4804" s="2" t="n">
        <v>0</v>
      </c>
    </row>
    <row r="4805">
      <c r="A4805" s="2" t="n">
        <v>4803</v>
      </c>
      <c r="B4805" s="2" t="inlineStr">
        <is>
          <t>length</t>
        </is>
      </c>
      <c r="C4805" s="2" t="inlineStr">
        <is>
          <t>openssl X25519 only (classical)</t>
        </is>
      </c>
      <c r="D4805" s="2" t="n">
        <v>314</v>
      </c>
      <c r="E4805" s="2" t="n">
        <v>314</v>
      </c>
      <c r="F4805" s="2" t="n">
        <v>1</v>
      </c>
      <c r="G4805" s="2" t="n">
        <v>1</v>
      </c>
      <c r="H4805" s="2" t="n">
        <v>1</v>
      </c>
      <c r="I4805" s="2" t="n">
        <v>0</v>
      </c>
    </row>
    <row r="4806">
      <c r="A4806" s="2" t="n">
        <v>4804</v>
      </c>
      <c r="B4806" s="2" t="inlineStr">
        <is>
          <t>insert</t>
        </is>
      </c>
      <c r="C4806" s="2" t="inlineStr">
        <is>
          <t>openssl 3.5.8 default</t>
        </is>
      </c>
      <c r="D4806" s="2" t="n">
        <v>1561</v>
      </c>
      <c r="E4806" s="2" t="n">
        <v>1561</v>
      </c>
      <c r="F4806" s="2" t="n">
        <v>1</v>
      </c>
      <c r="G4806" s="2" t="n">
        <v>1</v>
      </c>
      <c r="H4806" s="2" t="n">
        <v>1</v>
      </c>
      <c r="I4806" s="2" t="n">
        <v>0</v>
      </c>
    </row>
    <row r="4807">
      <c r="A4807" s="2" t="n">
        <v>4805</v>
      </c>
      <c r="B4807" s="2" t="inlineStr">
        <is>
          <t>flip</t>
        </is>
      </c>
      <c r="C4807" s="2" t="inlineStr">
        <is>
          <t>browser firefox147</t>
        </is>
      </c>
      <c r="D4807" s="2" t="n">
        <v>1901</v>
      </c>
      <c r="E4807" s="2" t="n">
        <v>1901</v>
      </c>
      <c r="F4807" s="2" t="n">
        <v>1</v>
      </c>
      <c r="G4807" s="2" t="n">
        <v>1</v>
      </c>
      <c r="H4807" s="2" t="n">
        <v>0</v>
      </c>
      <c r="I4807" s="2" t="n">
        <v>0</v>
      </c>
    </row>
    <row r="4808">
      <c r="A4808" s="2" t="n">
        <v>4806</v>
      </c>
      <c r="B4808" s="2" t="inlineStr">
        <is>
          <t>truncate</t>
        </is>
      </c>
      <c r="C4808" s="2" t="inlineStr">
        <is>
          <t>openssl X25519 only (classical)</t>
        </is>
      </c>
      <c r="D4808" s="2" t="n">
        <v>110</v>
      </c>
      <c r="E4808" s="2" t="n">
        <v>110</v>
      </c>
      <c r="F4808" s="2" t="n">
        <v>1</v>
      </c>
      <c r="G4808" s="2" t="n">
        <v>0</v>
      </c>
      <c r="H4808" s="2" t="n">
        <v>0</v>
      </c>
      <c r="I4808" s="2" t="n">
        <v>0</v>
      </c>
    </row>
    <row r="4809">
      <c r="A4809" s="2" t="n">
        <v>4807</v>
      </c>
      <c r="B4809" s="2" t="inlineStr">
        <is>
          <t>length</t>
        </is>
      </c>
      <c r="C4809" s="2" t="inlineStr">
        <is>
          <t>browser firefox147</t>
        </is>
      </c>
      <c r="D4809" s="2" t="n">
        <v>1901</v>
      </c>
      <c r="E4809" s="2" t="n">
        <v>1901</v>
      </c>
      <c r="F4809" s="2" t="n">
        <v>1</v>
      </c>
      <c r="G4809" s="2" t="n">
        <v>1</v>
      </c>
      <c r="H4809" s="2" t="n">
        <v>0</v>
      </c>
      <c r="I4809" s="2" t="n">
        <v>0</v>
      </c>
    </row>
    <row r="4810">
      <c r="A4810" s="2" t="n">
        <v>4808</v>
      </c>
      <c r="B4810" s="2" t="inlineStr">
        <is>
          <t>insert</t>
        </is>
      </c>
      <c r="C4810" s="2" t="inlineStr">
        <is>
          <t>openssl TLS 1.2 only</t>
        </is>
      </c>
      <c r="D4810" s="2" t="n">
        <v>229</v>
      </c>
      <c r="E4810" s="2" t="n">
        <v>229</v>
      </c>
      <c r="F4810" s="2" t="n">
        <v>1</v>
      </c>
      <c r="G4810" s="2" t="n">
        <v>1</v>
      </c>
      <c r="H4810" s="2" t="n">
        <v>0</v>
      </c>
      <c r="I4810" s="2" t="n">
        <v>0</v>
      </c>
    </row>
    <row r="4811">
      <c r="A4811" s="2" t="n">
        <v>4809</v>
      </c>
      <c r="B4811" s="2" t="inlineStr">
        <is>
          <t>flip</t>
        </is>
      </c>
      <c r="C4811" s="2" t="inlineStr">
        <is>
          <t>browser chrome150</t>
        </is>
      </c>
      <c r="D4811" s="2" t="n">
        <v>1763</v>
      </c>
      <c r="E4811" s="2" t="n">
        <v>1763</v>
      </c>
      <c r="F4811" s="2" t="n">
        <v>1</v>
      </c>
      <c r="G4811" s="2" t="n">
        <v>1</v>
      </c>
      <c r="H4811" s="2" t="n">
        <v>1</v>
      </c>
      <c r="I4811" s="2" t="n">
        <v>0</v>
      </c>
    </row>
    <row r="4812">
      <c r="A4812" s="2" t="n">
        <v>4810</v>
      </c>
      <c r="B4812" s="2" t="inlineStr">
        <is>
          <t>truncate</t>
        </is>
      </c>
      <c r="C4812" s="2" t="inlineStr">
        <is>
          <t>openssl X25519 only (classical)</t>
        </is>
      </c>
      <c r="D4812" s="2" t="n">
        <v>51</v>
      </c>
      <c r="E4812" s="2" t="n">
        <v>51</v>
      </c>
      <c r="F4812" s="2" t="n">
        <v>1</v>
      </c>
      <c r="G4812" s="2" t="n">
        <v>0</v>
      </c>
      <c r="H4812" s="2" t="n">
        <v>0</v>
      </c>
      <c r="I4812" s="2" t="n">
        <v>0</v>
      </c>
    </row>
    <row r="4813">
      <c r="A4813" s="2" t="n">
        <v>4811</v>
      </c>
      <c r="B4813" s="2" t="inlineStr">
        <is>
          <t>length</t>
        </is>
      </c>
      <c r="C4813" s="2" t="inlineStr">
        <is>
          <t>browser firefox147</t>
        </is>
      </c>
      <c r="D4813" s="2" t="n">
        <v>1901</v>
      </c>
      <c r="E4813" s="2" t="n">
        <v>1901</v>
      </c>
      <c r="F4813" s="2" t="n">
        <v>1</v>
      </c>
      <c r="G4813" s="2" t="n">
        <v>1</v>
      </c>
      <c r="H4813" s="2" t="n">
        <v>0</v>
      </c>
      <c r="I4813" s="2" t="n">
        <v>0</v>
      </c>
    </row>
    <row r="4814">
      <c r="A4814" s="2" t="n">
        <v>4812</v>
      </c>
      <c r="B4814" s="2" t="inlineStr">
        <is>
          <t>insert</t>
        </is>
      </c>
      <c r="C4814" s="2" t="inlineStr">
        <is>
          <t>openssl X25519 only (classical)</t>
        </is>
      </c>
      <c r="D4814" s="2" t="n">
        <v>328</v>
      </c>
      <c r="E4814" s="2" t="n">
        <v>328</v>
      </c>
      <c r="F4814" s="2" t="n">
        <v>1</v>
      </c>
      <c r="G4814" s="2" t="n">
        <v>0</v>
      </c>
      <c r="H4814" s="2" t="n">
        <v>0</v>
      </c>
      <c r="I4814" s="2" t="n">
        <v>0</v>
      </c>
    </row>
    <row r="4815">
      <c r="A4815" s="2" t="n">
        <v>4813</v>
      </c>
      <c r="B4815" s="2" t="inlineStr">
        <is>
          <t>flip</t>
        </is>
      </c>
      <c r="C4815" s="2" t="inlineStr">
        <is>
          <t>openssl X25519 only (classical)</t>
        </is>
      </c>
      <c r="D4815" s="2" t="n">
        <v>314</v>
      </c>
      <c r="E4815" s="2" t="n">
        <v>314</v>
      </c>
      <c r="F4815" s="2" t="n">
        <v>1</v>
      </c>
      <c r="G4815" s="2" t="n">
        <v>1</v>
      </c>
      <c r="H4815" s="2" t="n">
        <v>1</v>
      </c>
      <c r="I4815" s="2" t="n">
        <v>0</v>
      </c>
    </row>
    <row r="4816">
      <c r="A4816" s="2" t="n">
        <v>4814</v>
      </c>
      <c r="B4816" s="2" t="inlineStr">
        <is>
          <t>truncate</t>
        </is>
      </c>
      <c r="C4816" s="2" t="inlineStr">
        <is>
          <t>openssl X25519 only (classical)</t>
        </is>
      </c>
      <c r="D4816" s="2" t="n">
        <v>54</v>
      </c>
      <c r="E4816" s="2" t="n">
        <v>54</v>
      </c>
      <c r="F4816" s="2" t="n">
        <v>1</v>
      </c>
      <c r="G4816" s="2" t="n">
        <v>0</v>
      </c>
      <c r="H4816" s="2" t="n">
        <v>0</v>
      </c>
      <c r="I4816" s="2" t="n">
        <v>0</v>
      </c>
    </row>
    <row r="4817">
      <c r="A4817" s="2" t="n">
        <v>4815</v>
      </c>
      <c r="B4817" s="2" t="inlineStr">
        <is>
          <t>length</t>
        </is>
      </c>
      <c r="C4817" s="2" t="inlineStr">
        <is>
          <t>openssl X25519 only (classical)</t>
        </is>
      </c>
      <c r="D4817" s="2" t="n">
        <v>314</v>
      </c>
      <c r="E4817" s="2" t="n">
        <v>314</v>
      </c>
      <c r="F4817" s="2" t="n">
        <v>1</v>
      </c>
      <c r="G4817" s="2" t="n">
        <v>0</v>
      </c>
      <c r="H4817" s="2" t="n">
        <v>0</v>
      </c>
      <c r="I4817" s="2" t="n">
        <v>0</v>
      </c>
    </row>
    <row r="4818">
      <c r="A4818" s="2" t="n">
        <v>4816</v>
      </c>
      <c r="B4818" s="2" t="inlineStr">
        <is>
          <t>insert</t>
        </is>
      </c>
      <c r="C4818" s="2" t="inlineStr">
        <is>
          <t>openssl X25519 only (classical)</t>
        </is>
      </c>
      <c r="D4818" s="2" t="n">
        <v>316</v>
      </c>
      <c r="E4818" s="2" t="n">
        <v>316</v>
      </c>
      <c r="F4818" s="2" t="n">
        <v>1</v>
      </c>
      <c r="G4818" s="2" t="n">
        <v>1</v>
      </c>
      <c r="H4818" s="2" t="n">
        <v>0</v>
      </c>
      <c r="I4818" s="2" t="n">
        <v>0</v>
      </c>
    </row>
    <row r="4819">
      <c r="A4819" s="2" t="n">
        <v>4817</v>
      </c>
      <c r="B4819" s="2" t="inlineStr">
        <is>
          <t>flip</t>
        </is>
      </c>
      <c r="C4819" s="2" t="inlineStr">
        <is>
          <t>browser firefox147</t>
        </is>
      </c>
      <c r="D4819" s="2" t="n">
        <v>1901</v>
      </c>
      <c r="E4819" s="2" t="n">
        <v>1901</v>
      </c>
      <c r="F4819" s="2" t="n">
        <v>1</v>
      </c>
      <c r="G4819" s="2" t="n">
        <v>1</v>
      </c>
      <c r="H4819" s="2" t="n">
        <v>0</v>
      </c>
      <c r="I4819" s="2" t="n">
        <v>0</v>
      </c>
    </row>
    <row r="4820">
      <c r="A4820" s="2" t="n">
        <v>4818</v>
      </c>
      <c r="B4820" s="2" t="inlineStr">
        <is>
          <t>truncate</t>
        </is>
      </c>
      <c r="C4820" s="2" t="inlineStr">
        <is>
          <t>openssl X25519 only (classical)</t>
        </is>
      </c>
      <c r="D4820" s="2" t="n">
        <v>293</v>
      </c>
      <c r="E4820" s="2" t="n">
        <v>293</v>
      </c>
      <c r="F4820" s="2" t="n">
        <v>1</v>
      </c>
      <c r="G4820" s="2" t="n">
        <v>1</v>
      </c>
      <c r="H4820" s="2" t="n">
        <v>1</v>
      </c>
      <c r="I4820" s="2" t="n">
        <v>0</v>
      </c>
    </row>
    <row r="4821">
      <c r="A4821" s="2" t="n">
        <v>4819</v>
      </c>
      <c r="B4821" s="2" t="inlineStr">
        <is>
          <t>length</t>
        </is>
      </c>
      <c r="C4821" s="2" t="inlineStr">
        <is>
          <t>openssl X25519 only (classical)</t>
        </is>
      </c>
      <c r="D4821" s="2" t="n">
        <v>314</v>
      </c>
      <c r="E4821" s="2" t="n">
        <v>314</v>
      </c>
      <c r="F4821" s="2" t="n">
        <v>1</v>
      </c>
      <c r="G4821" s="2" t="n">
        <v>1</v>
      </c>
      <c r="H4821" s="2" t="n">
        <v>1</v>
      </c>
      <c r="I4821" s="2" t="n">
        <v>0</v>
      </c>
    </row>
    <row r="4822">
      <c r="A4822" s="2" t="n">
        <v>4820</v>
      </c>
      <c r="B4822" s="2" t="inlineStr">
        <is>
          <t>insert</t>
        </is>
      </c>
      <c r="C4822" s="2" t="inlineStr">
        <is>
          <t>browser firefox147</t>
        </is>
      </c>
      <c r="D4822" s="2" t="n">
        <v>1907</v>
      </c>
      <c r="E4822" s="2" t="n">
        <v>1907</v>
      </c>
      <c r="F4822" s="2" t="n">
        <v>1</v>
      </c>
      <c r="G4822" s="2" t="n">
        <v>1</v>
      </c>
      <c r="H4822" s="2" t="n">
        <v>0</v>
      </c>
      <c r="I4822" s="2" t="n">
        <v>0</v>
      </c>
    </row>
    <row r="4823">
      <c r="A4823" s="2" t="n">
        <v>4821</v>
      </c>
      <c r="B4823" s="2" t="inlineStr">
        <is>
          <t>flip</t>
        </is>
      </c>
      <c r="C4823" s="2" t="inlineStr">
        <is>
          <t>openssl X25519 only (classical)</t>
        </is>
      </c>
      <c r="D4823" s="2" t="n">
        <v>314</v>
      </c>
      <c r="E4823" s="2" t="n">
        <v>314</v>
      </c>
      <c r="F4823" s="2" t="n">
        <v>1</v>
      </c>
      <c r="G4823" s="2" t="n">
        <v>1</v>
      </c>
      <c r="H4823" s="2" t="n">
        <v>1</v>
      </c>
      <c r="I4823" s="2" t="n">
        <v>0</v>
      </c>
    </row>
    <row r="4824">
      <c r="A4824" s="2" t="n">
        <v>4822</v>
      </c>
      <c r="B4824" s="2" t="inlineStr">
        <is>
          <t>truncate</t>
        </is>
      </c>
      <c r="C4824" s="2" t="inlineStr">
        <is>
          <t>browser firefox147</t>
        </is>
      </c>
      <c r="D4824" s="2" t="n">
        <v>848</v>
      </c>
      <c r="E4824" s="2" t="n">
        <v>848</v>
      </c>
      <c r="F4824" s="2" t="n">
        <v>1</v>
      </c>
      <c r="G4824" s="2" t="n">
        <v>1</v>
      </c>
      <c r="H4824" s="2" t="n">
        <v>0</v>
      </c>
      <c r="I4824" s="2" t="n">
        <v>0</v>
      </c>
    </row>
    <row r="4825">
      <c r="A4825" s="2" t="n">
        <v>4823</v>
      </c>
      <c r="B4825" s="2" t="inlineStr">
        <is>
          <t>length</t>
        </is>
      </c>
      <c r="C4825" s="2" t="inlineStr">
        <is>
          <t>browser chrome150</t>
        </is>
      </c>
      <c r="D4825" s="2" t="n">
        <v>1763</v>
      </c>
      <c r="E4825" s="2" t="n">
        <v>1763</v>
      </c>
      <c r="F4825" s="2" t="n">
        <v>1</v>
      </c>
      <c r="G4825" s="2" t="n">
        <v>1</v>
      </c>
      <c r="H4825" s="2" t="n">
        <v>1</v>
      </c>
      <c r="I4825" s="2" t="n">
        <v>0</v>
      </c>
    </row>
    <row r="4826">
      <c r="A4826" s="2" t="n">
        <v>4824</v>
      </c>
      <c r="B4826" s="2" t="inlineStr">
        <is>
          <t>insert</t>
        </is>
      </c>
      <c r="C4826" s="2" t="inlineStr">
        <is>
          <t>browser firefox147</t>
        </is>
      </c>
      <c r="D4826" s="2" t="n">
        <v>1906</v>
      </c>
      <c r="E4826" s="2" t="n">
        <v>1906</v>
      </c>
      <c r="F4826" s="2" t="n">
        <v>1</v>
      </c>
      <c r="G4826" s="2" t="n">
        <v>1</v>
      </c>
      <c r="H4826" s="2" t="n">
        <v>0</v>
      </c>
      <c r="I4826" s="2" t="n">
        <v>0</v>
      </c>
    </row>
    <row r="4827">
      <c r="A4827" s="2" t="n">
        <v>4825</v>
      </c>
      <c r="B4827" s="2" t="inlineStr">
        <is>
          <t>flip</t>
        </is>
      </c>
      <c r="C4827" s="2" t="inlineStr">
        <is>
          <t>openssl TLS 1.2 only</t>
        </is>
      </c>
      <c r="D4827" s="2" t="n">
        <v>215</v>
      </c>
      <c r="E4827" s="2" t="n">
        <v>215</v>
      </c>
      <c r="F4827" s="2" t="n">
        <v>1</v>
      </c>
      <c r="G4827" s="2" t="n">
        <v>1</v>
      </c>
      <c r="H4827" s="2" t="n">
        <v>1</v>
      </c>
      <c r="I4827" s="2" t="n">
        <v>0</v>
      </c>
    </row>
    <row r="4828">
      <c r="A4828" s="2" t="n">
        <v>4826</v>
      </c>
      <c r="B4828" s="2" t="inlineStr">
        <is>
          <t>truncate</t>
        </is>
      </c>
      <c r="C4828" s="2" t="inlineStr">
        <is>
          <t>browser firefox147</t>
        </is>
      </c>
      <c r="D4828" s="2" t="n">
        <v>677</v>
      </c>
      <c r="E4828" s="2" t="n">
        <v>677</v>
      </c>
      <c r="F4828" s="2" t="n">
        <v>1</v>
      </c>
      <c r="G4828" s="2" t="n">
        <v>1</v>
      </c>
      <c r="H4828" s="2" t="n">
        <v>0</v>
      </c>
      <c r="I4828" s="2" t="n">
        <v>0</v>
      </c>
    </row>
    <row r="4829">
      <c r="A4829" s="2" t="n">
        <v>4827</v>
      </c>
      <c r="B4829" s="2" t="inlineStr">
        <is>
          <t>length</t>
        </is>
      </c>
      <c r="C4829" s="2" t="inlineStr">
        <is>
          <t>browser chrome150</t>
        </is>
      </c>
      <c r="D4829" s="2" t="n">
        <v>1763</v>
      </c>
      <c r="E4829" s="2" t="n">
        <v>1763</v>
      </c>
      <c r="F4829" s="2" t="n">
        <v>1</v>
      </c>
      <c r="G4829" s="2" t="n">
        <v>1</v>
      </c>
      <c r="H4829" s="2" t="n">
        <v>1</v>
      </c>
      <c r="I4829" s="2" t="n">
        <v>0</v>
      </c>
    </row>
    <row r="4830">
      <c r="A4830" s="2" t="n">
        <v>4828</v>
      </c>
      <c r="B4830" s="2" t="inlineStr">
        <is>
          <t>insert</t>
        </is>
      </c>
      <c r="C4830" s="2" t="inlineStr">
        <is>
          <t>openssl TLS 1.2 only</t>
        </is>
      </c>
      <c r="D4830" s="2" t="n">
        <v>230</v>
      </c>
      <c r="E4830" s="2" t="n">
        <v>230</v>
      </c>
      <c r="F4830" s="2" t="n">
        <v>1</v>
      </c>
      <c r="G4830" s="2" t="n">
        <v>1</v>
      </c>
      <c r="H4830" s="2" t="n">
        <v>1</v>
      </c>
      <c r="I4830" s="2" t="n">
        <v>0</v>
      </c>
    </row>
    <row r="4831">
      <c r="A4831" s="2" t="n">
        <v>4829</v>
      </c>
      <c r="B4831" s="2" t="inlineStr">
        <is>
          <t>flip</t>
        </is>
      </c>
      <c r="C4831" s="2" t="inlineStr">
        <is>
          <t>browser firefox147</t>
        </is>
      </c>
      <c r="D4831" s="2" t="n">
        <v>1901</v>
      </c>
      <c r="E4831" s="2" t="n">
        <v>1901</v>
      </c>
      <c r="F4831" s="2" t="n">
        <v>1</v>
      </c>
      <c r="G4831" s="2" t="n">
        <v>1</v>
      </c>
      <c r="H4831" s="2" t="n">
        <v>0</v>
      </c>
      <c r="I4831" s="2" t="n">
        <v>0</v>
      </c>
    </row>
    <row r="4832">
      <c r="A4832" s="2" t="n">
        <v>4830</v>
      </c>
      <c r="B4832" s="2" t="inlineStr">
        <is>
          <t>truncate</t>
        </is>
      </c>
      <c r="C4832" s="2" t="inlineStr">
        <is>
          <t>openssl TLS 1.2 only</t>
        </is>
      </c>
      <c r="D4832" s="2" t="n">
        <v>149</v>
      </c>
      <c r="E4832" s="2" t="n">
        <v>149</v>
      </c>
      <c r="F4832" s="2" t="n">
        <v>1</v>
      </c>
      <c r="G4832" s="2" t="n">
        <v>1</v>
      </c>
      <c r="H4832" s="2" t="n">
        <v>0</v>
      </c>
      <c r="I4832" s="2" t="n">
        <v>0</v>
      </c>
    </row>
    <row r="4833">
      <c r="A4833" s="2" t="n">
        <v>4831</v>
      </c>
      <c r="B4833" s="2" t="inlineStr">
        <is>
          <t>length</t>
        </is>
      </c>
      <c r="C4833" s="2" t="inlineStr">
        <is>
          <t>openssl 3.5.8 default</t>
        </is>
      </c>
      <c r="D4833" s="2" t="n">
        <v>1548</v>
      </c>
      <c r="E4833" s="2" t="n">
        <v>1548</v>
      </c>
      <c r="F4833" s="2" t="n">
        <v>1</v>
      </c>
      <c r="G4833" s="2" t="n">
        <v>1</v>
      </c>
      <c r="H4833" s="2" t="n">
        <v>1</v>
      </c>
      <c r="I4833" s="2" t="n">
        <v>0</v>
      </c>
    </row>
    <row r="4834">
      <c r="A4834" s="2" t="n">
        <v>4832</v>
      </c>
      <c r="B4834" s="2" t="inlineStr">
        <is>
          <t>insert</t>
        </is>
      </c>
      <c r="C4834" s="2" t="inlineStr">
        <is>
          <t>browser firefox147</t>
        </is>
      </c>
      <c r="D4834" s="2" t="n">
        <v>1909</v>
      </c>
      <c r="E4834" s="2" t="n">
        <v>1909</v>
      </c>
      <c r="F4834" s="2" t="n">
        <v>1</v>
      </c>
      <c r="G4834" s="2" t="n">
        <v>1</v>
      </c>
      <c r="H4834" s="2" t="n">
        <v>0</v>
      </c>
      <c r="I4834" s="2" t="n">
        <v>0</v>
      </c>
    </row>
    <row r="4835">
      <c r="A4835" s="2" t="n">
        <v>4833</v>
      </c>
      <c r="B4835" s="2" t="inlineStr">
        <is>
          <t>flip</t>
        </is>
      </c>
      <c r="C4835" s="2" t="inlineStr">
        <is>
          <t>browser firefox147</t>
        </is>
      </c>
      <c r="D4835" s="2" t="n">
        <v>1901</v>
      </c>
      <c r="E4835" s="2" t="n">
        <v>1901</v>
      </c>
      <c r="F4835" s="2" t="n">
        <v>1</v>
      </c>
      <c r="G4835" s="2" t="n">
        <v>1</v>
      </c>
      <c r="H4835" s="2" t="n">
        <v>0</v>
      </c>
      <c r="I4835" s="2" t="n">
        <v>0</v>
      </c>
    </row>
    <row r="4836">
      <c r="A4836" s="2" t="n">
        <v>4834</v>
      </c>
      <c r="B4836" s="2" t="inlineStr">
        <is>
          <t>truncate</t>
        </is>
      </c>
      <c r="C4836" s="2" t="inlineStr">
        <is>
          <t>browser firefox147</t>
        </is>
      </c>
      <c r="D4836" s="2" t="n">
        <v>1721</v>
      </c>
      <c r="E4836" s="2" t="n">
        <v>1721</v>
      </c>
      <c r="F4836" s="2" t="n">
        <v>1</v>
      </c>
      <c r="G4836" s="2" t="n">
        <v>1</v>
      </c>
      <c r="H4836" s="2" t="n">
        <v>0</v>
      </c>
      <c r="I4836" s="2" t="n">
        <v>0</v>
      </c>
    </row>
    <row r="4837">
      <c r="A4837" s="2" t="n">
        <v>4835</v>
      </c>
      <c r="B4837" s="2" t="inlineStr">
        <is>
          <t>length</t>
        </is>
      </c>
      <c r="C4837" s="2" t="inlineStr">
        <is>
          <t>browser firefox147</t>
        </is>
      </c>
      <c r="D4837" s="2" t="n">
        <v>1901</v>
      </c>
      <c r="E4837" s="2" t="n">
        <v>1901</v>
      </c>
      <c r="F4837" s="2" t="n">
        <v>1</v>
      </c>
      <c r="G4837" s="2" t="n">
        <v>1</v>
      </c>
      <c r="H4837" s="2" t="n">
        <v>1</v>
      </c>
      <c r="I4837" s="2" t="n">
        <v>0</v>
      </c>
    </row>
    <row r="4838">
      <c r="A4838" s="2" t="n">
        <v>4836</v>
      </c>
      <c r="B4838" s="2" t="inlineStr">
        <is>
          <t>insert</t>
        </is>
      </c>
      <c r="C4838" s="2" t="inlineStr">
        <is>
          <t>openssl 3.5.8 default</t>
        </is>
      </c>
      <c r="D4838" s="2" t="n">
        <v>1549</v>
      </c>
      <c r="E4838" s="2" t="n">
        <v>1549</v>
      </c>
      <c r="F4838" s="2" t="n">
        <v>1</v>
      </c>
      <c r="G4838" s="2" t="n">
        <v>1</v>
      </c>
      <c r="H4838" s="2" t="n">
        <v>1</v>
      </c>
      <c r="I4838" s="2" t="n">
        <v>0</v>
      </c>
    </row>
    <row r="4839">
      <c r="A4839" s="2" t="n">
        <v>4837</v>
      </c>
      <c r="B4839" s="2" t="inlineStr">
        <is>
          <t>flip</t>
        </is>
      </c>
      <c r="C4839" s="2" t="inlineStr">
        <is>
          <t>browser firefox147</t>
        </is>
      </c>
      <c r="D4839" s="2" t="n">
        <v>1901</v>
      </c>
      <c r="E4839" s="2" t="n">
        <v>1901</v>
      </c>
      <c r="F4839" s="2" t="n">
        <v>1</v>
      </c>
      <c r="G4839" s="2" t="n">
        <v>1</v>
      </c>
      <c r="H4839" s="2" t="n">
        <v>0</v>
      </c>
      <c r="I4839" s="2" t="n">
        <v>0</v>
      </c>
    </row>
    <row r="4840">
      <c r="A4840" s="2" t="n">
        <v>4838</v>
      </c>
      <c r="B4840" s="2" t="inlineStr">
        <is>
          <t>truncate</t>
        </is>
      </c>
      <c r="C4840" s="2" t="inlineStr">
        <is>
          <t>browser firefox147</t>
        </is>
      </c>
      <c r="D4840" s="2" t="n">
        <v>1015</v>
      </c>
      <c r="E4840" s="2" t="n">
        <v>1015</v>
      </c>
      <c r="F4840" s="2" t="n">
        <v>1</v>
      </c>
      <c r="G4840" s="2" t="n">
        <v>1</v>
      </c>
      <c r="H4840" s="2" t="n">
        <v>0</v>
      </c>
      <c r="I4840" s="2" t="n">
        <v>0</v>
      </c>
    </row>
    <row r="4841">
      <c r="A4841" s="2" t="n">
        <v>4839</v>
      </c>
      <c r="B4841" s="2" t="inlineStr">
        <is>
          <t>length</t>
        </is>
      </c>
      <c r="C4841" s="2" t="inlineStr">
        <is>
          <t>browser firefox147</t>
        </is>
      </c>
      <c r="D4841" s="2" t="n">
        <v>1901</v>
      </c>
      <c r="E4841" s="2" t="n">
        <v>1901</v>
      </c>
      <c r="F4841" s="2" t="n">
        <v>0</v>
      </c>
      <c r="G4841" s="2" t="n">
        <v>0</v>
      </c>
      <c r="H4841" s="2" t="n">
        <v>0</v>
      </c>
      <c r="I4841" s="2" t="n">
        <v>0</v>
      </c>
    </row>
    <row r="4842">
      <c r="A4842" s="2" t="n">
        <v>4840</v>
      </c>
      <c r="B4842" s="2" t="inlineStr">
        <is>
          <t>insert</t>
        </is>
      </c>
      <c r="C4842" s="2" t="inlineStr">
        <is>
          <t>openssl X25519 only (classical)</t>
        </is>
      </c>
      <c r="D4842" s="2" t="n">
        <v>327</v>
      </c>
      <c r="E4842" s="2" t="n">
        <v>327</v>
      </c>
      <c r="F4842" s="2" t="n">
        <v>1</v>
      </c>
      <c r="G4842" s="2" t="n">
        <v>1</v>
      </c>
      <c r="H4842" s="2" t="n">
        <v>1</v>
      </c>
      <c r="I4842" s="2" t="n">
        <v>0</v>
      </c>
    </row>
    <row r="4843">
      <c r="A4843" s="2" t="n">
        <v>4841</v>
      </c>
      <c r="B4843" s="2" t="inlineStr">
        <is>
          <t>flip</t>
        </is>
      </c>
      <c r="C4843" s="2" t="inlineStr">
        <is>
          <t>browser firefox147</t>
        </is>
      </c>
      <c r="D4843" s="2" t="n">
        <v>1901</v>
      </c>
      <c r="E4843" s="2" t="n">
        <v>1901</v>
      </c>
      <c r="F4843" s="2" t="n">
        <v>1</v>
      </c>
      <c r="G4843" s="2" t="n">
        <v>1</v>
      </c>
      <c r="H4843" s="2" t="n">
        <v>0</v>
      </c>
      <c r="I4843" s="2" t="n">
        <v>0</v>
      </c>
    </row>
    <row r="4844">
      <c r="A4844" s="2" t="n">
        <v>4842</v>
      </c>
      <c r="B4844" s="2" t="inlineStr">
        <is>
          <t>truncate</t>
        </is>
      </c>
      <c r="C4844" s="2" t="inlineStr">
        <is>
          <t>browser firefox147</t>
        </is>
      </c>
      <c r="D4844" s="2" t="n">
        <v>1229</v>
      </c>
      <c r="E4844" s="2" t="n">
        <v>1229</v>
      </c>
      <c r="F4844" s="2" t="n">
        <v>1</v>
      </c>
      <c r="G4844" s="2" t="n">
        <v>1</v>
      </c>
      <c r="H4844" s="2" t="n">
        <v>0</v>
      </c>
      <c r="I4844" s="2" t="n">
        <v>0</v>
      </c>
    </row>
    <row r="4845">
      <c r="A4845" s="2" t="n">
        <v>4843</v>
      </c>
      <c r="B4845" s="2" t="inlineStr">
        <is>
          <t>length</t>
        </is>
      </c>
      <c r="C4845" s="2" t="inlineStr">
        <is>
          <t>browser firefox147</t>
        </is>
      </c>
      <c r="D4845" s="2" t="n">
        <v>1901</v>
      </c>
      <c r="E4845" s="2" t="n">
        <v>1901</v>
      </c>
      <c r="F4845" s="2" t="n">
        <v>0</v>
      </c>
      <c r="G4845" s="2" t="n">
        <v>0</v>
      </c>
      <c r="H4845" s="2" t="n">
        <v>0</v>
      </c>
      <c r="I4845" s="2" t="n">
        <v>0</v>
      </c>
    </row>
    <row r="4846">
      <c r="A4846" s="2" t="n">
        <v>4844</v>
      </c>
      <c r="B4846" s="2" t="inlineStr">
        <is>
          <t>insert</t>
        </is>
      </c>
      <c r="C4846" s="2" t="inlineStr">
        <is>
          <t>browser firefox147</t>
        </is>
      </c>
      <c r="D4846" s="2" t="n">
        <v>1908</v>
      </c>
      <c r="E4846" s="2" t="n">
        <v>1908</v>
      </c>
      <c r="F4846" s="2" t="n">
        <v>1</v>
      </c>
      <c r="G4846" s="2" t="n">
        <v>1</v>
      </c>
      <c r="H4846" s="2" t="n">
        <v>0</v>
      </c>
      <c r="I4846" s="2" t="n">
        <v>0</v>
      </c>
    </row>
    <row r="4847">
      <c r="A4847" s="2" t="n">
        <v>4845</v>
      </c>
      <c r="B4847" s="2" t="inlineStr">
        <is>
          <t>flip</t>
        </is>
      </c>
      <c r="C4847" s="2" t="inlineStr">
        <is>
          <t>openssl 3.5.8 default</t>
        </is>
      </c>
      <c r="D4847" s="2" t="n">
        <v>1548</v>
      </c>
      <c r="E4847" s="2" t="n">
        <v>1548</v>
      </c>
      <c r="F4847" s="2" t="n">
        <v>1</v>
      </c>
      <c r="G4847" s="2" t="n">
        <v>1</v>
      </c>
      <c r="H4847" s="2" t="n">
        <v>1</v>
      </c>
      <c r="I4847" s="2" t="n">
        <v>0</v>
      </c>
    </row>
    <row r="4848">
      <c r="A4848" s="2" t="n">
        <v>4846</v>
      </c>
      <c r="B4848" s="2" t="inlineStr">
        <is>
          <t>truncate</t>
        </is>
      </c>
      <c r="C4848" s="2" t="inlineStr">
        <is>
          <t>openssl 3.5.8 default</t>
        </is>
      </c>
      <c r="D4848" s="2" t="n">
        <v>1200</v>
      </c>
      <c r="E4848" s="2" t="n">
        <v>1200</v>
      </c>
      <c r="F4848" s="2" t="n">
        <v>1</v>
      </c>
      <c r="G4848" s="2" t="n">
        <v>1</v>
      </c>
      <c r="H4848" s="2" t="n">
        <v>1</v>
      </c>
      <c r="I4848" s="2" t="n">
        <v>0</v>
      </c>
    </row>
    <row r="4849">
      <c r="A4849" s="2" t="n">
        <v>4847</v>
      </c>
      <c r="B4849" s="2" t="inlineStr">
        <is>
          <t>length</t>
        </is>
      </c>
      <c r="C4849" s="2" t="inlineStr">
        <is>
          <t>browser chrome150</t>
        </is>
      </c>
      <c r="D4849" s="2" t="n">
        <v>1763</v>
      </c>
      <c r="E4849" s="2" t="n">
        <v>1763</v>
      </c>
      <c r="F4849" s="2" t="n">
        <v>1</v>
      </c>
      <c r="G4849" s="2" t="n">
        <v>0</v>
      </c>
      <c r="H4849" s="2" t="n">
        <v>0</v>
      </c>
      <c r="I4849" s="2" t="n">
        <v>0</v>
      </c>
    </row>
    <row r="4850">
      <c r="A4850" s="2" t="n">
        <v>4848</v>
      </c>
      <c r="B4850" s="2" t="inlineStr">
        <is>
          <t>insert</t>
        </is>
      </c>
      <c r="C4850" s="2" t="inlineStr">
        <is>
          <t>browser firefox147</t>
        </is>
      </c>
      <c r="D4850" s="2" t="n">
        <v>1911</v>
      </c>
      <c r="E4850" s="2" t="n">
        <v>1911</v>
      </c>
      <c r="F4850" s="2" t="n">
        <v>1</v>
      </c>
      <c r="G4850" s="2" t="n">
        <v>1</v>
      </c>
      <c r="H4850" s="2" t="n">
        <v>0</v>
      </c>
      <c r="I4850" s="2" t="n">
        <v>0</v>
      </c>
    </row>
    <row r="4851">
      <c r="A4851" s="2" t="n">
        <v>4849</v>
      </c>
      <c r="B4851" s="2" t="inlineStr">
        <is>
          <t>flip</t>
        </is>
      </c>
      <c r="C4851" s="2" t="inlineStr">
        <is>
          <t>browser firefox147</t>
        </is>
      </c>
      <c r="D4851" s="2" t="n">
        <v>1901</v>
      </c>
      <c r="E4851" s="2" t="n">
        <v>1901</v>
      </c>
      <c r="F4851" s="2" t="n">
        <v>1</v>
      </c>
      <c r="G4851" s="2" t="n">
        <v>1</v>
      </c>
      <c r="H4851" s="2" t="n">
        <v>0</v>
      </c>
      <c r="I4851" s="2" t="n">
        <v>0</v>
      </c>
    </row>
    <row r="4852">
      <c r="A4852" s="2" t="n">
        <v>4850</v>
      </c>
      <c r="B4852" s="2" t="inlineStr">
        <is>
          <t>truncate</t>
        </is>
      </c>
      <c r="C4852" s="2" t="inlineStr">
        <is>
          <t>browser firefox147</t>
        </is>
      </c>
      <c r="D4852" s="2" t="n">
        <v>667</v>
      </c>
      <c r="E4852" s="2" t="n">
        <v>667</v>
      </c>
      <c r="F4852" s="2" t="n">
        <v>1</v>
      </c>
      <c r="G4852" s="2" t="n">
        <v>1</v>
      </c>
      <c r="H4852" s="2" t="n">
        <v>0</v>
      </c>
      <c r="I4852" s="2" t="n">
        <v>0</v>
      </c>
    </row>
    <row r="4853">
      <c r="A4853" s="2" t="n">
        <v>4851</v>
      </c>
      <c r="B4853" s="2" t="inlineStr">
        <is>
          <t>length</t>
        </is>
      </c>
      <c r="C4853" s="2" t="inlineStr">
        <is>
          <t>browser firefox147</t>
        </is>
      </c>
      <c r="D4853" s="2" t="n">
        <v>1901</v>
      </c>
      <c r="E4853" s="2" t="n">
        <v>1901</v>
      </c>
      <c r="F4853" s="2" t="n">
        <v>1</v>
      </c>
      <c r="G4853" s="2" t="n">
        <v>0</v>
      </c>
      <c r="H4853" s="2" t="n">
        <v>0</v>
      </c>
      <c r="I4853" s="2" t="n">
        <v>0</v>
      </c>
    </row>
    <row r="4854">
      <c r="A4854" s="2" t="n">
        <v>4852</v>
      </c>
      <c r="B4854" s="2" t="inlineStr">
        <is>
          <t>insert</t>
        </is>
      </c>
      <c r="C4854" s="2" t="inlineStr">
        <is>
          <t>openssl TLS 1.2 only</t>
        </is>
      </c>
      <c r="D4854" s="2" t="n">
        <v>228</v>
      </c>
      <c r="E4854" s="2" t="n">
        <v>228</v>
      </c>
      <c r="F4854" s="2" t="n">
        <v>1</v>
      </c>
      <c r="G4854" s="2" t="n">
        <v>1</v>
      </c>
      <c r="H4854" s="2" t="n">
        <v>1</v>
      </c>
      <c r="I4854" s="2" t="n">
        <v>0</v>
      </c>
    </row>
    <row r="4855">
      <c r="A4855" s="2" t="n">
        <v>4853</v>
      </c>
      <c r="B4855" s="2" t="inlineStr">
        <is>
          <t>flip</t>
        </is>
      </c>
      <c r="C4855" s="2" t="inlineStr">
        <is>
          <t>browser firefox147</t>
        </is>
      </c>
      <c r="D4855" s="2" t="n">
        <v>1901</v>
      </c>
      <c r="E4855" s="2" t="n">
        <v>1901</v>
      </c>
      <c r="F4855" s="2" t="n">
        <v>1</v>
      </c>
      <c r="G4855" s="2" t="n">
        <v>1</v>
      </c>
      <c r="H4855" s="2" t="n">
        <v>0</v>
      </c>
      <c r="I4855" s="2" t="n">
        <v>0</v>
      </c>
    </row>
    <row r="4856">
      <c r="A4856" s="2" t="n">
        <v>4854</v>
      </c>
      <c r="B4856" s="2" t="inlineStr">
        <is>
          <t>truncate</t>
        </is>
      </c>
      <c r="C4856" s="2" t="inlineStr">
        <is>
          <t>openssl X25519 only (classical)</t>
        </is>
      </c>
      <c r="D4856" s="2" t="n">
        <v>131</v>
      </c>
      <c r="E4856" s="2" t="n">
        <v>131</v>
      </c>
      <c r="F4856" s="2" t="n">
        <v>1</v>
      </c>
      <c r="G4856" s="2" t="n">
        <v>0</v>
      </c>
      <c r="H4856" s="2" t="n">
        <v>0</v>
      </c>
      <c r="I4856" s="2" t="n">
        <v>0</v>
      </c>
    </row>
    <row r="4857">
      <c r="A4857" s="2" t="n">
        <v>4855</v>
      </c>
      <c r="B4857" s="2" t="inlineStr">
        <is>
          <t>length</t>
        </is>
      </c>
      <c r="C4857" s="2" t="inlineStr">
        <is>
          <t>openssl X25519 only (classical)</t>
        </is>
      </c>
      <c r="D4857" s="2" t="n">
        <v>314</v>
      </c>
      <c r="E4857" s="2" t="n">
        <v>314</v>
      </c>
      <c r="F4857" s="2" t="n">
        <v>1</v>
      </c>
      <c r="G4857" s="2" t="n">
        <v>1</v>
      </c>
      <c r="H4857" s="2" t="n">
        <v>1</v>
      </c>
      <c r="I4857" s="2" t="n">
        <v>0</v>
      </c>
    </row>
    <row r="4858">
      <c r="A4858" s="2" t="n">
        <v>4856</v>
      </c>
      <c r="B4858" s="2" t="inlineStr">
        <is>
          <t>insert</t>
        </is>
      </c>
      <c r="C4858" s="2" t="inlineStr">
        <is>
          <t>openssl X25519 only (classical)</t>
        </is>
      </c>
      <c r="D4858" s="2" t="n">
        <v>326</v>
      </c>
      <c r="E4858" s="2" t="n">
        <v>326</v>
      </c>
      <c r="F4858" s="2" t="n">
        <v>1</v>
      </c>
      <c r="G4858" s="2" t="n">
        <v>0</v>
      </c>
      <c r="H4858" s="2" t="n">
        <v>0</v>
      </c>
      <c r="I4858" s="2" t="n">
        <v>0</v>
      </c>
    </row>
    <row r="4859">
      <c r="A4859" s="2" t="n">
        <v>4857</v>
      </c>
      <c r="B4859" s="2" t="inlineStr">
        <is>
          <t>flip</t>
        </is>
      </c>
      <c r="C4859" s="2" t="inlineStr">
        <is>
          <t>openssl X25519 only (classical)</t>
        </is>
      </c>
      <c r="D4859" s="2" t="n">
        <v>314</v>
      </c>
      <c r="E4859" s="2" t="n">
        <v>314</v>
      </c>
      <c r="F4859" s="2" t="n">
        <v>1</v>
      </c>
      <c r="G4859" s="2" t="n">
        <v>1</v>
      </c>
      <c r="H4859" s="2" t="n">
        <v>1</v>
      </c>
      <c r="I4859" s="2" t="n">
        <v>0</v>
      </c>
    </row>
    <row r="4860">
      <c r="A4860" s="2" t="n">
        <v>4858</v>
      </c>
      <c r="B4860" s="2" t="inlineStr">
        <is>
          <t>truncate</t>
        </is>
      </c>
      <c r="C4860" s="2" t="inlineStr">
        <is>
          <t>openssl TLS 1.2 only</t>
        </is>
      </c>
      <c r="D4860" s="2" t="n">
        <v>93</v>
      </c>
      <c r="E4860" s="2" t="n">
        <v>93</v>
      </c>
      <c r="F4860" s="2" t="n">
        <v>1</v>
      </c>
      <c r="G4860" s="2" t="n">
        <v>0</v>
      </c>
      <c r="H4860" s="2" t="n">
        <v>0</v>
      </c>
      <c r="I4860" s="2" t="n">
        <v>0</v>
      </c>
    </row>
    <row r="4861">
      <c r="A4861" s="2" t="n">
        <v>4859</v>
      </c>
      <c r="B4861" s="2" t="inlineStr">
        <is>
          <t>length</t>
        </is>
      </c>
      <c r="C4861" s="2" t="inlineStr">
        <is>
          <t>openssl TLS 1.2 only</t>
        </is>
      </c>
      <c r="D4861" s="2" t="n">
        <v>215</v>
      </c>
      <c r="E4861" s="2" t="n">
        <v>215</v>
      </c>
      <c r="F4861" s="2" t="n">
        <v>1</v>
      </c>
      <c r="G4861" s="2" t="n">
        <v>1</v>
      </c>
      <c r="H4861" s="2" t="n">
        <v>1</v>
      </c>
      <c r="I4861" s="2" t="n">
        <v>0</v>
      </c>
    </row>
    <row r="4862">
      <c r="A4862" s="2" t="n">
        <v>4860</v>
      </c>
      <c r="B4862" s="2" t="inlineStr">
        <is>
          <t>insert</t>
        </is>
      </c>
      <c r="C4862" s="2" t="inlineStr">
        <is>
          <t>openssl 3.5.8 default</t>
        </is>
      </c>
      <c r="D4862" s="2" t="n">
        <v>1549</v>
      </c>
      <c r="E4862" s="2" t="n">
        <v>1549</v>
      </c>
      <c r="F4862" s="2" t="n">
        <v>1</v>
      </c>
      <c r="G4862" s="2" t="n">
        <v>1</v>
      </c>
      <c r="H4862" s="2" t="n">
        <v>1</v>
      </c>
      <c r="I4862" s="2" t="n">
        <v>0</v>
      </c>
    </row>
    <row r="4863">
      <c r="A4863" s="2" t="n">
        <v>4861</v>
      </c>
      <c r="B4863" s="2" t="inlineStr">
        <is>
          <t>flip</t>
        </is>
      </c>
      <c r="C4863" s="2" t="inlineStr">
        <is>
          <t>openssl 3.5.8 default</t>
        </is>
      </c>
      <c r="D4863" s="2" t="n">
        <v>1548</v>
      </c>
      <c r="E4863" s="2" t="n">
        <v>1548</v>
      </c>
      <c r="F4863" s="2" t="n">
        <v>1</v>
      </c>
      <c r="G4863" s="2" t="n">
        <v>1</v>
      </c>
      <c r="H4863" s="2" t="n">
        <v>1</v>
      </c>
      <c r="I4863" s="2" t="n">
        <v>0</v>
      </c>
    </row>
    <row r="4864">
      <c r="A4864" s="2" t="n">
        <v>4862</v>
      </c>
      <c r="B4864" s="2" t="inlineStr">
        <is>
          <t>truncate</t>
        </is>
      </c>
      <c r="C4864" s="2" t="inlineStr">
        <is>
          <t>browser chrome150</t>
        </is>
      </c>
      <c r="D4864" s="2" t="n">
        <v>1424</v>
      </c>
      <c r="E4864" s="2" t="n">
        <v>1424</v>
      </c>
      <c r="F4864" s="2" t="n">
        <v>1</v>
      </c>
      <c r="G4864" s="2" t="n">
        <v>1</v>
      </c>
      <c r="H4864" s="2" t="n">
        <v>1</v>
      </c>
      <c r="I4864" s="2" t="n">
        <v>0</v>
      </c>
    </row>
    <row r="4865">
      <c r="A4865" s="2" t="n">
        <v>4863</v>
      </c>
      <c r="B4865" s="2" t="inlineStr">
        <is>
          <t>length</t>
        </is>
      </c>
      <c r="C4865" s="2" t="inlineStr">
        <is>
          <t>browser firefox147</t>
        </is>
      </c>
      <c r="D4865" s="2" t="n">
        <v>1901</v>
      </c>
      <c r="E4865" s="2" t="n">
        <v>1901</v>
      </c>
      <c r="F4865" s="2" t="n">
        <v>0</v>
      </c>
      <c r="G4865" s="2" t="n">
        <v>0</v>
      </c>
      <c r="H4865" s="2" t="n">
        <v>0</v>
      </c>
      <c r="I4865" s="2" t="n">
        <v>0</v>
      </c>
    </row>
    <row r="4866">
      <c r="A4866" s="2" t="n">
        <v>4864</v>
      </c>
      <c r="B4866" s="2" t="inlineStr">
        <is>
          <t>insert</t>
        </is>
      </c>
      <c r="C4866" s="2" t="inlineStr">
        <is>
          <t>openssl X25519 only (classical)</t>
        </is>
      </c>
      <c r="D4866" s="2" t="n">
        <v>317</v>
      </c>
      <c r="E4866" s="2" t="n">
        <v>317</v>
      </c>
      <c r="F4866" s="2" t="n">
        <v>1</v>
      </c>
      <c r="G4866" s="2" t="n">
        <v>1</v>
      </c>
      <c r="H4866" s="2" t="n">
        <v>1</v>
      </c>
      <c r="I4866" s="2" t="n">
        <v>0</v>
      </c>
    </row>
    <row r="4867">
      <c r="A4867" s="2" t="n">
        <v>4865</v>
      </c>
      <c r="B4867" s="2" t="inlineStr">
        <is>
          <t>flip</t>
        </is>
      </c>
      <c r="C4867" s="2" t="inlineStr">
        <is>
          <t>browser chrome150</t>
        </is>
      </c>
      <c r="D4867" s="2" t="n">
        <v>1763</v>
      </c>
      <c r="E4867" s="2" t="n">
        <v>1763</v>
      </c>
      <c r="F4867" s="2" t="n">
        <v>1</v>
      </c>
      <c r="G4867" s="2" t="n">
        <v>1</v>
      </c>
      <c r="H4867" s="2" t="n">
        <v>1</v>
      </c>
      <c r="I4867" s="2" t="n">
        <v>0</v>
      </c>
    </row>
    <row r="4868">
      <c r="A4868" s="2" t="n">
        <v>4866</v>
      </c>
      <c r="B4868" s="2" t="inlineStr">
        <is>
          <t>truncate</t>
        </is>
      </c>
      <c r="C4868" s="2" t="inlineStr">
        <is>
          <t>openssl 3.5.8 default</t>
        </is>
      </c>
      <c r="D4868" s="2" t="n">
        <v>927</v>
      </c>
      <c r="E4868" s="2" t="n">
        <v>927</v>
      </c>
      <c r="F4868" s="2" t="n">
        <v>1</v>
      </c>
      <c r="G4868" s="2" t="n">
        <v>1</v>
      </c>
      <c r="H4868" s="2" t="n">
        <v>1</v>
      </c>
      <c r="I4868" s="2" t="n">
        <v>0</v>
      </c>
    </row>
    <row r="4869">
      <c r="A4869" s="2" t="n">
        <v>4867</v>
      </c>
      <c r="B4869" s="2" t="inlineStr">
        <is>
          <t>length</t>
        </is>
      </c>
      <c r="C4869" s="2" t="inlineStr">
        <is>
          <t>openssl X25519 only (classical)</t>
        </is>
      </c>
      <c r="D4869" s="2" t="n">
        <v>314</v>
      </c>
      <c r="E4869" s="2" t="n">
        <v>314</v>
      </c>
      <c r="F4869" s="2" t="n">
        <v>1</v>
      </c>
      <c r="G4869" s="2" t="n">
        <v>1</v>
      </c>
      <c r="H4869" s="2" t="n">
        <v>1</v>
      </c>
      <c r="I4869" s="2" t="n">
        <v>0</v>
      </c>
    </row>
    <row r="4870">
      <c r="A4870" s="2" t="n">
        <v>4868</v>
      </c>
      <c r="B4870" s="2" t="inlineStr">
        <is>
          <t>insert</t>
        </is>
      </c>
      <c r="C4870" s="2" t="inlineStr">
        <is>
          <t>browser firefox147</t>
        </is>
      </c>
      <c r="D4870" s="2" t="n">
        <v>1917</v>
      </c>
      <c r="E4870" s="2" t="n">
        <v>1917</v>
      </c>
      <c r="F4870" s="2" t="n">
        <v>1</v>
      </c>
      <c r="G4870" s="2" t="n">
        <v>1</v>
      </c>
      <c r="H4870" s="2" t="n">
        <v>0</v>
      </c>
      <c r="I4870" s="2" t="n">
        <v>0</v>
      </c>
    </row>
    <row r="4871">
      <c r="A4871" s="2" t="n">
        <v>4869</v>
      </c>
      <c r="B4871" s="2" t="inlineStr">
        <is>
          <t>flip</t>
        </is>
      </c>
      <c r="C4871" s="2" t="inlineStr">
        <is>
          <t>openssl 3.5.8 default</t>
        </is>
      </c>
      <c r="D4871" s="2" t="n">
        <v>1548</v>
      </c>
      <c r="E4871" s="2" t="n">
        <v>1548</v>
      </c>
      <c r="F4871" s="2" t="n">
        <v>1</v>
      </c>
      <c r="G4871" s="2" t="n">
        <v>1</v>
      </c>
      <c r="H4871" s="2" t="n">
        <v>1</v>
      </c>
      <c r="I4871" s="2" t="n">
        <v>0</v>
      </c>
    </row>
    <row r="4872">
      <c r="A4872" s="2" t="n">
        <v>4870</v>
      </c>
      <c r="B4872" s="2" t="inlineStr">
        <is>
          <t>truncate</t>
        </is>
      </c>
      <c r="C4872" s="2" t="inlineStr">
        <is>
          <t>openssl 3.5.8 default</t>
        </is>
      </c>
      <c r="D4872" s="2" t="n">
        <v>1313</v>
      </c>
      <c r="E4872" s="2" t="n">
        <v>1313</v>
      </c>
      <c r="F4872" s="2" t="n">
        <v>1</v>
      </c>
      <c r="G4872" s="2" t="n">
        <v>1</v>
      </c>
      <c r="H4872" s="2" t="n">
        <v>1</v>
      </c>
      <c r="I4872" s="2" t="n">
        <v>0</v>
      </c>
    </row>
    <row r="4873">
      <c r="A4873" s="2" t="n">
        <v>4871</v>
      </c>
      <c r="B4873" s="2" t="inlineStr">
        <is>
          <t>length</t>
        </is>
      </c>
      <c r="C4873" s="2" t="inlineStr">
        <is>
          <t>browser chrome150</t>
        </is>
      </c>
      <c r="D4873" s="2" t="n">
        <v>1763</v>
      </c>
      <c r="E4873" s="2" t="n">
        <v>1763</v>
      </c>
      <c r="F4873" s="2" t="n">
        <v>1</v>
      </c>
      <c r="G4873" s="2" t="n">
        <v>1</v>
      </c>
      <c r="H4873" s="2" t="n">
        <v>1</v>
      </c>
      <c r="I4873" s="2" t="n">
        <v>0</v>
      </c>
    </row>
    <row r="4874">
      <c r="A4874" s="2" t="n">
        <v>4872</v>
      </c>
      <c r="B4874" s="2" t="inlineStr">
        <is>
          <t>insert</t>
        </is>
      </c>
      <c r="C4874" s="2" t="inlineStr">
        <is>
          <t>openssl 3.5.8 default</t>
        </is>
      </c>
      <c r="D4874" s="2" t="n">
        <v>1564</v>
      </c>
      <c r="E4874" s="2" t="n">
        <v>1564</v>
      </c>
      <c r="F4874" s="2" t="n">
        <v>1</v>
      </c>
      <c r="G4874" s="2" t="n">
        <v>1</v>
      </c>
      <c r="H4874" s="2" t="n">
        <v>1</v>
      </c>
      <c r="I4874" s="2" t="n">
        <v>0</v>
      </c>
    </row>
    <row r="4875">
      <c r="A4875" s="2" t="n">
        <v>4873</v>
      </c>
      <c r="B4875" s="2" t="inlineStr">
        <is>
          <t>flip</t>
        </is>
      </c>
      <c r="C4875" s="2" t="inlineStr">
        <is>
          <t>browser firefox147</t>
        </is>
      </c>
      <c r="D4875" s="2" t="n">
        <v>1901</v>
      </c>
      <c r="E4875" s="2" t="n">
        <v>1901</v>
      </c>
      <c r="F4875" s="2" t="n">
        <v>1</v>
      </c>
      <c r="G4875" s="2" t="n">
        <v>1</v>
      </c>
      <c r="H4875" s="2" t="n">
        <v>0</v>
      </c>
      <c r="I4875" s="2" t="n">
        <v>0</v>
      </c>
    </row>
    <row r="4876">
      <c r="A4876" s="2" t="n">
        <v>4874</v>
      </c>
      <c r="B4876" s="2" t="inlineStr">
        <is>
          <t>truncate</t>
        </is>
      </c>
      <c r="C4876" s="2" t="inlineStr">
        <is>
          <t>browser firefox147</t>
        </is>
      </c>
      <c r="D4876" s="2" t="n">
        <v>655</v>
      </c>
      <c r="E4876" s="2" t="n">
        <v>655</v>
      </c>
      <c r="F4876" s="2" t="n">
        <v>1</v>
      </c>
      <c r="G4876" s="2" t="n">
        <v>1</v>
      </c>
      <c r="H4876" s="2" t="n">
        <v>0</v>
      </c>
      <c r="I4876" s="2" t="n">
        <v>0</v>
      </c>
    </row>
    <row r="4877">
      <c r="A4877" s="2" t="n">
        <v>4875</v>
      </c>
      <c r="B4877" s="2" t="inlineStr">
        <is>
          <t>length</t>
        </is>
      </c>
      <c r="C4877" s="2" t="inlineStr">
        <is>
          <t>openssl 3.5.8 default</t>
        </is>
      </c>
      <c r="D4877" s="2" t="n">
        <v>1548</v>
      </c>
      <c r="E4877" s="2" t="n">
        <v>1548</v>
      </c>
      <c r="F4877" s="2" t="n">
        <v>1</v>
      </c>
      <c r="G4877" s="2" t="n">
        <v>0</v>
      </c>
      <c r="H4877" s="2" t="n">
        <v>0</v>
      </c>
      <c r="I4877" s="2" t="n">
        <v>0</v>
      </c>
    </row>
    <row r="4878">
      <c r="A4878" s="2" t="n">
        <v>4876</v>
      </c>
      <c r="B4878" s="2" t="inlineStr">
        <is>
          <t>insert</t>
        </is>
      </c>
      <c r="C4878" s="2" t="inlineStr">
        <is>
          <t>openssl X25519 only (classical)</t>
        </is>
      </c>
      <c r="D4878" s="2" t="n">
        <v>324</v>
      </c>
      <c r="E4878" s="2" t="n">
        <v>324</v>
      </c>
      <c r="F4878" s="2" t="n">
        <v>1</v>
      </c>
      <c r="G4878" s="2" t="n">
        <v>1</v>
      </c>
      <c r="H4878" s="2" t="n">
        <v>1</v>
      </c>
      <c r="I4878" s="2" t="n">
        <v>0</v>
      </c>
    </row>
    <row r="4879">
      <c r="A4879" s="2" t="n">
        <v>4877</v>
      </c>
      <c r="B4879" s="2" t="inlineStr">
        <is>
          <t>flip</t>
        </is>
      </c>
      <c r="C4879" s="2" t="inlineStr">
        <is>
          <t>openssl X25519 only (classical)</t>
        </is>
      </c>
      <c r="D4879" s="2" t="n">
        <v>314</v>
      </c>
      <c r="E4879" s="2" t="n">
        <v>314</v>
      </c>
      <c r="F4879" s="2" t="n">
        <v>1</v>
      </c>
      <c r="G4879" s="2" t="n">
        <v>1</v>
      </c>
      <c r="H4879" s="2" t="n">
        <v>1</v>
      </c>
      <c r="I4879" s="2" t="n">
        <v>0</v>
      </c>
    </row>
    <row r="4880">
      <c r="A4880" s="2" t="n">
        <v>4878</v>
      </c>
      <c r="B4880" s="2" t="inlineStr">
        <is>
          <t>truncate</t>
        </is>
      </c>
      <c r="C4880" s="2" t="inlineStr">
        <is>
          <t>openssl 3.5.8 default</t>
        </is>
      </c>
      <c r="D4880" s="2" t="n">
        <v>1200</v>
      </c>
      <c r="E4880" s="2" t="n">
        <v>1200</v>
      </c>
      <c r="F4880" s="2" t="n">
        <v>1</v>
      </c>
      <c r="G4880" s="2" t="n">
        <v>1</v>
      </c>
      <c r="H4880" s="2" t="n">
        <v>1</v>
      </c>
      <c r="I4880" s="2" t="n">
        <v>0</v>
      </c>
    </row>
    <row r="4881">
      <c r="A4881" s="2" t="n">
        <v>4879</v>
      </c>
      <c r="B4881" s="2" t="inlineStr">
        <is>
          <t>length</t>
        </is>
      </c>
      <c r="C4881" s="2" t="inlineStr">
        <is>
          <t>openssl 3.5.8 default</t>
        </is>
      </c>
      <c r="D4881" s="2" t="n">
        <v>1548</v>
      </c>
      <c r="E4881" s="2" t="n">
        <v>1548</v>
      </c>
      <c r="F4881" s="2" t="n">
        <v>1</v>
      </c>
      <c r="G4881" s="2" t="n">
        <v>0</v>
      </c>
      <c r="H4881" s="2" t="n">
        <v>0</v>
      </c>
      <c r="I4881" s="2" t="n">
        <v>0</v>
      </c>
    </row>
    <row r="4882">
      <c r="A4882" s="2" t="n">
        <v>4880</v>
      </c>
      <c r="B4882" s="2" t="inlineStr">
        <is>
          <t>insert</t>
        </is>
      </c>
      <c r="C4882" s="2" t="inlineStr">
        <is>
          <t>openssl X25519 only (classical)</t>
        </is>
      </c>
      <c r="D4882" s="2" t="n">
        <v>320</v>
      </c>
      <c r="E4882" s="2" t="n">
        <v>320</v>
      </c>
      <c r="F4882" s="2" t="n">
        <v>1</v>
      </c>
      <c r="G4882" s="2" t="n">
        <v>1</v>
      </c>
      <c r="H4882" s="2" t="n">
        <v>1</v>
      </c>
      <c r="I4882" s="2" t="n">
        <v>0</v>
      </c>
    </row>
    <row r="4883">
      <c r="A4883" s="2" t="n">
        <v>4881</v>
      </c>
      <c r="B4883" s="2" t="inlineStr">
        <is>
          <t>flip</t>
        </is>
      </c>
      <c r="C4883" s="2" t="inlineStr">
        <is>
          <t>openssl X25519 only (classical)</t>
        </is>
      </c>
      <c r="D4883" s="2" t="n">
        <v>314</v>
      </c>
      <c r="E4883" s="2" t="n">
        <v>314</v>
      </c>
      <c r="F4883" s="2" t="n">
        <v>1</v>
      </c>
      <c r="G4883" s="2" t="n">
        <v>1</v>
      </c>
      <c r="H4883" s="2" t="n">
        <v>1</v>
      </c>
      <c r="I4883" s="2" t="n">
        <v>0</v>
      </c>
    </row>
    <row r="4884">
      <c r="A4884" s="2" t="n">
        <v>4882</v>
      </c>
      <c r="B4884" s="2" t="inlineStr">
        <is>
          <t>truncate</t>
        </is>
      </c>
      <c r="C4884" s="2" t="inlineStr">
        <is>
          <t>browser firefox147</t>
        </is>
      </c>
      <c r="D4884" s="2" t="n">
        <v>628</v>
      </c>
      <c r="E4884" s="2" t="n">
        <v>628</v>
      </c>
      <c r="F4884" s="2" t="n">
        <v>1</v>
      </c>
      <c r="G4884" s="2" t="n">
        <v>1</v>
      </c>
      <c r="H4884" s="2" t="n">
        <v>0</v>
      </c>
      <c r="I4884" s="2" t="n">
        <v>0</v>
      </c>
    </row>
    <row r="4885">
      <c r="A4885" s="2" t="n">
        <v>4883</v>
      </c>
      <c r="B4885" s="2" t="inlineStr">
        <is>
          <t>length</t>
        </is>
      </c>
      <c r="C4885" s="2" t="inlineStr">
        <is>
          <t>openssl 3.5.8 default</t>
        </is>
      </c>
      <c r="D4885" s="2" t="n">
        <v>1548</v>
      </c>
      <c r="E4885" s="2" t="n">
        <v>1548</v>
      </c>
      <c r="F4885" s="2" t="n">
        <v>1</v>
      </c>
      <c r="G4885" s="2" t="n">
        <v>1</v>
      </c>
      <c r="H4885" s="2" t="n">
        <v>1</v>
      </c>
      <c r="I4885" s="2" t="n">
        <v>0</v>
      </c>
    </row>
    <row r="4886">
      <c r="A4886" s="2" t="n">
        <v>4884</v>
      </c>
      <c r="B4886" s="2" t="inlineStr">
        <is>
          <t>insert</t>
        </is>
      </c>
      <c r="C4886" s="2" t="inlineStr">
        <is>
          <t>openssl X25519 only (classical)</t>
        </is>
      </c>
      <c r="D4886" s="2" t="n">
        <v>317</v>
      </c>
      <c r="E4886" s="2" t="n">
        <v>317</v>
      </c>
      <c r="F4886" s="2" t="n">
        <v>1</v>
      </c>
      <c r="G4886" s="2" t="n">
        <v>1</v>
      </c>
      <c r="H4886" s="2" t="n">
        <v>1</v>
      </c>
      <c r="I4886" s="2" t="n">
        <v>0</v>
      </c>
    </row>
    <row r="4887">
      <c r="A4887" s="2" t="n">
        <v>4885</v>
      </c>
      <c r="B4887" s="2" t="inlineStr">
        <is>
          <t>flip</t>
        </is>
      </c>
      <c r="C4887" s="2" t="inlineStr">
        <is>
          <t>openssl X25519 only (classical)</t>
        </is>
      </c>
      <c r="D4887" s="2" t="n">
        <v>314</v>
      </c>
      <c r="E4887" s="2" t="n">
        <v>314</v>
      </c>
      <c r="F4887" s="2" t="n">
        <v>1</v>
      </c>
      <c r="G4887" s="2" t="n">
        <v>1</v>
      </c>
      <c r="H4887" s="2" t="n">
        <v>1</v>
      </c>
      <c r="I4887" s="2" t="n">
        <v>0</v>
      </c>
    </row>
    <row r="4888">
      <c r="A4888" s="2" t="n">
        <v>4886</v>
      </c>
      <c r="B4888" s="2" t="inlineStr">
        <is>
          <t>truncate</t>
        </is>
      </c>
      <c r="C4888" s="2" t="inlineStr">
        <is>
          <t>openssl 3.5.8 default</t>
        </is>
      </c>
      <c r="D4888" s="2" t="n">
        <v>537</v>
      </c>
      <c r="E4888" s="2" t="n">
        <v>537</v>
      </c>
      <c r="F4888" s="2" t="n">
        <v>1</v>
      </c>
      <c r="G4888" s="2" t="n">
        <v>1</v>
      </c>
      <c r="H4888" s="2" t="n">
        <v>1</v>
      </c>
      <c r="I4888" s="2" t="n">
        <v>0</v>
      </c>
    </row>
    <row r="4889">
      <c r="A4889" s="2" t="n">
        <v>4887</v>
      </c>
      <c r="B4889" s="2" t="inlineStr">
        <is>
          <t>length</t>
        </is>
      </c>
      <c r="C4889" s="2" t="inlineStr">
        <is>
          <t>openssl TLS 1.2 only</t>
        </is>
      </c>
      <c r="D4889" s="2" t="n">
        <v>215</v>
      </c>
      <c r="E4889" s="2" t="n">
        <v>215</v>
      </c>
      <c r="F4889" s="2" t="n">
        <v>1</v>
      </c>
      <c r="G4889" s="2" t="n">
        <v>1</v>
      </c>
      <c r="H4889" s="2" t="n">
        <v>0</v>
      </c>
      <c r="I4889" s="2" t="n">
        <v>0</v>
      </c>
    </row>
    <row r="4890">
      <c r="A4890" s="2" t="n">
        <v>4888</v>
      </c>
      <c r="B4890" s="2" t="inlineStr">
        <is>
          <t>insert</t>
        </is>
      </c>
      <c r="C4890" s="2" t="inlineStr">
        <is>
          <t>browser chrome150</t>
        </is>
      </c>
      <c r="D4890" s="2" t="n">
        <v>1778</v>
      </c>
      <c r="E4890" s="2" t="n">
        <v>1778</v>
      </c>
      <c r="F4890" s="2" t="n">
        <v>1</v>
      </c>
      <c r="G4890" s="2" t="n">
        <v>0</v>
      </c>
      <c r="H4890" s="2" t="n">
        <v>0</v>
      </c>
      <c r="I4890" s="2" t="n">
        <v>0</v>
      </c>
    </row>
    <row r="4891">
      <c r="A4891" s="2" t="n">
        <v>4889</v>
      </c>
      <c r="B4891" s="2" t="inlineStr">
        <is>
          <t>flip</t>
        </is>
      </c>
      <c r="C4891" s="2" t="inlineStr">
        <is>
          <t>openssl 3.5.8 default</t>
        </is>
      </c>
      <c r="D4891" s="2" t="n">
        <v>1548</v>
      </c>
      <c r="E4891" s="2" t="n">
        <v>1548</v>
      </c>
      <c r="F4891" s="2" t="n">
        <v>1</v>
      </c>
      <c r="G4891" s="2" t="n">
        <v>1</v>
      </c>
      <c r="H4891" s="2" t="n">
        <v>1</v>
      </c>
      <c r="I4891" s="2" t="n">
        <v>0</v>
      </c>
    </row>
    <row r="4892">
      <c r="A4892" s="2" t="n">
        <v>4890</v>
      </c>
      <c r="B4892" s="2" t="inlineStr">
        <is>
          <t>truncate</t>
        </is>
      </c>
      <c r="C4892" s="2" t="inlineStr">
        <is>
          <t>openssl 3.5.8 default</t>
        </is>
      </c>
      <c r="D4892" s="2" t="n">
        <v>1526</v>
      </c>
      <c r="E4892" s="2" t="n">
        <v>1526</v>
      </c>
      <c r="F4892" s="2" t="n">
        <v>1</v>
      </c>
      <c r="G4892" s="2" t="n">
        <v>1</v>
      </c>
      <c r="H4892" s="2" t="n">
        <v>1</v>
      </c>
      <c r="I4892" s="2" t="n">
        <v>0</v>
      </c>
    </row>
    <row r="4893">
      <c r="A4893" s="2" t="n">
        <v>4891</v>
      </c>
      <c r="B4893" s="2" t="inlineStr">
        <is>
          <t>length</t>
        </is>
      </c>
      <c r="C4893" s="2" t="inlineStr">
        <is>
          <t>openssl X25519 only (classical)</t>
        </is>
      </c>
      <c r="D4893" s="2" t="n">
        <v>314</v>
      </c>
      <c r="E4893" s="2" t="n">
        <v>314</v>
      </c>
      <c r="F4893" s="2" t="n">
        <v>0</v>
      </c>
      <c r="G4893" s="2" t="n">
        <v>0</v>
      </c>
      <c r="H4893" s="2" t="n">
        <v>0</v>
      </c>
      <c r="I4893" s="2" t="n">
        <v>0</v>
      </c>
    </row>
    <row r="4894">
      <c r="A4894" s="2" t="n">
        <v>4892</v>
      </c>
      <c r="B4894" s="2" t="inlineStr">
        <is>
          <t>insert</t>
        </is>
      </c>
      <c r="C4894" s="2" t="inlineStr">
        <is>
          <t>browser chrome150</t>
        </is>
      </c>
      <c r="D4894" s="2" t="n">
        <v>1770</v>
      </c>
      <c r="E4894" s="2" t="n">
        <v>1770</v>
      </c>
      <c r="F4894" s="2" t="n">
        <v>1</v>
      </c>
      <c r="G4894" s="2" t="n">
        <v>1</v>
      </c>
      <c r="H4894" s="2" t="n">
        <v>1</v>
      </c>
      <c r="I4894" s="2" t="n">
        <v>0</v>
      </c>
    </row>
    <row r="4895">
      <c r="A4895" s="2" t="n">
        <v>4893</v>
      </c>
      <c r="B4895" s="2" t="inlineStr">
        <is>
          <t>flip</t>
        </is>
      </c>
      <c r="C4895" s="2" t="inlineStr">
        <is>
          <t>browser chrome150</t>
        </is>
      </c>
      <c r="D4895" s="2" t="n">
        <v>1763</v>
      </c>
      <c r="E4895" s="2" t="n">
        <v>1763</v>
      </c>
      <c r="F4895" s="2" t="n">
        <v>1</v>
      </c>
      <c r="G4895" s="2" t="n">
        <v>1</v>
      </c>
      <c r="H4895" s="2" t="n">
        <v>1</v>
      </c>
      <c r="I4895" s="2" t="n">
        <v>0</v>
      </c>
    </row>
    <row r="4896">
      <c r="A4896" s="2" t="n">
        <v>4894</v>
      </c>
      <c r="B4896" s="2" t="inlineStr">
        <is>
          <t>truncate</t>
        </is>
      </c>
      <c r="C4896" s="2" t="inlineStr">
        <is>
          <t>openssl 3.5.8 default</t>
        </is>
      </c>
      <c r="D4896" s="2" t="n">
        <v>1069</v>
      </c>
      <c r="E4896" s="2" t="n">
        <v>1069</v>
      </c>
      <c r="F4896" s="2" t="n">
        <v>1</v>
      </c>
      <c r="G4896" s="2" t="n">
        <v>1</v>
      </c>
      <c r="H4896" s="2" t="n">
        <v>1</v>
      </c>
      <c r="I4896" s="2" t="n">
        <v>0</v>
      </c>
    </row>
    <row r="4897">
      <c r="A4897" s="2" t="n">
        <v>4895</v>
      </c>
      <c r="B4897" s="2" t="inlineStr">
        <is>
          <t>length</t>
        </is>
      </c>
      <c r="C4897" s="2" t="inlineStr">
        <is>
          <t>browser firefox147</t>
        </is>
      </c>
      <c r="D4897" s="2" t="n">
        <v>1901</v>
      </c>
      <c r="E4897" s="2" t="n">
        <v>1901</v>
      </c>
      <c r="F4897" s="2" t="n">
        <v>1</v>
      </c>
      <c r="G4897" s="2" t="n">
        <v>1</v>
      </c>
      <c r="H4897" s="2" t="n">
        <v>0</v>
      </c>
      <c r="I4897" s="2" t="n">
        <v>0</v>
      </c>
    </row>
    <row r="4898">
      <c r="A4898" s="2" t="n">
        <v>4896</v>
      </c>
      <c r="B4898" s="2" t="inlineStr">
        <is>
          <t>insert</t>
        </is>
      </c>
      <c r="C4898" s="2" t="inlineStr">
        <is>
          <t>openssl TLS 1.2 only</t>
        </is>
      </c>
      <c r="D4898" s="2" t="n">
        <v>226</v>
      </c>
      <c r="E4898" s="2" t="n">
        <v>226</v>
      </c>
      <c r="F4898" s="2" t="n">
        <v>1</v>
      </c>
      <c r="G4898" s="2" t="n">
        <v>1</v>
      </c>
      <c r="H4898" s="2" t="n">
        <v>0</v>
      </c>
      <c r="I4898" s="2" t="n">
        <v>0</v>
      </c>
    </row>
    <row r="4899">
      <c r="A4899" s="2" t="n">
        <v>4897</v>
      </c>
      <c r="B4899" s="2" t="inlineStr">
        <is>
          <t>flip</t>
        </is>
      </c>
      <c r="C4899" s="2" t="inlineStr">
        <is>
          <t>browser chrome150</t>
        </is>
      </c>
      <c r="D4899" s="2" t="n">
        <v>1763</v>
      </c>
      <c r="E4899" s="2" t="n">
        <v>1763</v>
      </c>
      <c r="F4899" s="2" t="n">
        <v>1</v>
      </c>
      <c r="G4899" s="2" t="n">
        <v>1</v>
      </c>
      <c r="H4899" s="2" t="n">
        <v>1</v>
      </c>
      <c r="I4899" s="2" t="n">
        <v>0</v>
      </c>
    </row>
    <row r="4900">
      <c r="A4900" s="2" t="n">
        <v>4898</v>
      </c>
      <c r="B4900" s="2" t="inlineStr">
        <is>
          <t>truncate</t>
        </is>
      </c>
      <c r="C4900" s="2" t="inlineStr">
        <is>
          <t>browser chrome150</t>
        </is>
      </c>
      <c r="D4900" s="2" t="n">
        <v>88</v>
      </c>
      <c r="E4900" s="2" t="n">
        <v>88</v>
      </c>
      <c r="F4900" s="2" t="n">
        <v>1</v>
      </c>
      <c r="G4900" s="2" t="n">
        <v>0</v>
      </c>
      <c r="H4900" s="2" t="n">
        <v>0</v>
      </c>
      <c r="I4900" s="2" t="n">
        <v>0</v>
      </c>
    </row>
    <row r="4901">
      <c r="A4901" s="2" t="n">
        <v>4899</v>
      </c>
      <c r="B4901" s="2" t="inlineStr">
        <is>
          <t>length</t>
        </is>
      </c>
      <c r="C4901" s="2" t="inlineStr">
        <is>
          <t>openssl X25519 only (classical)</t>
        </is>
      </c>
      <c r="D4901" s="2" t="n">
        <v>314</v>
      </c>
      <c r="E4901" s="2" t="n">
        <v>314</v>
      </c>
      <c r="F4901" s="2" t="n">
        <v>1</v>
      </c>
      <c r="G4901" s="2" t="n">
        <v>0</v>
      </c>
      <c r="H4901" s="2" t="n">
        <v>0</v>
      </c>
      <c r="I4901" s="2" t="n">
        <v>0</v>
      </c>
    </row>
    <row r="4902">
      <c r="A4902" s="2" t="n">
        <v>4900</v>
      </c>
      <c r="B4902" s="2" t="inlineStr">
        <is>
          <t>insert</t>
        </is>
      </c>
      <c r="C4902" s="2" t="inlineStr">
        <is>
          <t>openssl 3.5.8 default</t>
        </is>
      </c>
      <c r="D4902" s="2" t="n">
        <v>1552</v>
      </c>
      <c r="E4902" s="2" t="n">
        <v>1552</v>
      </c>
      <c r="F4902" s="2" t="n">
        <v>1</v>
      </c>
      <c r="G4902" s="2" t="n">
        <v>1</v>
      </c>
      <c r="H4902" s="2" t="n">
        <v>1</v>
      </c>
      <c r="I4902" s="2" t="n">
        <v>0</v>
      </c>
    </row>
    <row r="4903">
      <c r="A4903" s="2" t="n">
        <v>4901</v>
      </c>
      <c r="B4903" s="2" t="inlineStr">
        <is>
          <t>flip</t>
        </is>
      </c>
      <c r="C4903" s="2" t="inlineStr">
        <is>
          <t>browser firefox147</t>
        </is>
      </c>
      <c r="D4903" s="2" t="n">
        <v>1901</v>
      </c>
      <c r="E4903" s="2" t="n">
        <v>1901</v>
      </c>
      <c r="F4903" s="2" t="n">
        <v>1</v>
      </c>
      <c r="G4903" s="2" t="n">
        <v>1</v>
      </c>
      <c r="H4903" s="2" t="n">
        <v>0</v>
      </c>
      <c r="I4903" s="2" t="n">
        <v>0</v>
      </c>
    </row>
    <row r="4904">
      <c r="A4904" s="2" t="n">
        <v>4902</v>
      </c>
      <c r="B4904" s="2" t="inlineStr">
        <is>
          <t>truncate</t>
        </is>
      </c>
      <c r="C4904" s="2" t="inlineStr">
        <is>
          <t>browser firefox147</t>
        </is>
      </c>
      <c r="D4904" s="2" t="n">
        <v>1856</v>
      </c>
      <c r="E4904" s="2" t="n">
        <v>1856</v>
      </c>
      <c r="F4904" s="2" t="n">
        <v>1</v>
      </c>
      <c r="G4904" s="2" t="n">
        <v>1</v>
      </c>
      <c r="H4904" s="2" t="n">
        <v>0</v>
      </c>
      <c r="I4904" s="2" t="n">
        <v>0</v>
      </c>
    </row>
    <row r="4905">
      <c r="A4905" s="2" t="n">
        <v>4903</v>
      </c>
      <c r="B4905" s="2" t="inlineStr">
        <is>
          <t>length</t>
        </is>
      </c>
      <c r="C4905" s="2" t="inlineStr">
        <is>
          <t>openssl X25519 only (classical)</t>
        </is>
      </c>
      <c r="D4905" s="2" t="n">
        <v>314</v>
      </c>
      <c r="E4905" s="2" t="n">
        <v>314</v>
      </c>
      <c r="F4905" s="2" t="n">
        <v>1</v>
      </c>
      <c r="G4905" s="2" t="n">
        <v>1</v>
      </c>
      <c r="H4905" s="2" t="n">
        <v>0</v>
      </c>
      <c r="I4905" s="2" t="n">
        <v>0</v>
      </c>
    </row>
    <row r="4906">
      <c r="A4906" s="2" t="n">
        <v>4904</v>
      </c>
      <c r="B4906" s="2" t="inlineStr">
        <is>
          <t>insert</t>
        </is>
      </c>
      <c r="C4906" s="2" t="inlineStr">
        <is>
          <t>openssl 3.5.8 default</t>
        </is>
      </c>
      <c r="D4906" s="2" t="n">
        <v>1554</v>
      </c>
      <c r="E4906" s="2" t="n">
        <v>1554</v>
      </c>
      <c r="F4906" s="2" t="n">
        <v>1</v>
      </c>
      <c r="G4906" s="2" t="n">
        <v>1</v>
      </c>
      <c r="H4906" s="2" t="n">
        <v>1</v>
      </c>
      <c r="I4906" s="2" t="n">
        <v>0</v>
      </c>
    </row>
    <row r="4907">
      <c r="A4907" s="2" t="n">
        <v>4905</v>
      </c>
      <c r="B4907" s="2" t="inlineStr">
        <is>
          <t>flip</t>
        </is>
      </c>
      <c r="C4907" s="2" t="inlineStr">
        <is>
          <t>openssl X25519 only (classical)</t>
        </is>
      </c>
      <c r="D4907" s="2" t="n">
        <v>314</v>
      </c>
      <c r="E4907" s="2" t="n">
        <v>314</v>
      </c>
      <c r="F4907" s="2" t="n">
        <v>1</v>
      </c>
      <c r="G4907" s="2" t="n">
        <v>1</v>
      </c>
      <c r="H4907" s="2" t="n">
        <v>1</v>
      </c>
      <c r="I4907" s="2" t="n">
        <v>0</v>
      </c>
    </row>
    <row r="4908">
      <c r="A4908" s="2" t="n">
        <v>4906</v>
      </c>
      <c r="B4908" s="2" t="inlineStr">
        <is>
          <t>truncate</t>
        </is>
      </c>
      <c r="C4908" s="2" t="inlineStr">
        <is>
          <t>openssl 3.5.8 default</t>
        </is>
      </c>
      <c r="D4908" s="2" t="n">
        <v>1053</v>
      </c>
      <c r="E4908" s="2" t="n">
        <v>1053</v>
      </c>
      <c r="F4908" s="2" t="n">
        <v>1</v>
      </c>
      <c r="G4908" s="2" t="n">
        <v>1</v>
      </c>
      <c r="H4908" s="2" t="n">
        <v>1</v>
      </c>
      <c r="I4908" s="2" t="n">
        <v>0</v>
      </c>
    </row>
    <row r="4909">
      <c r="A4909" s="2" t="n">
        <v>4907</v>
      </c>
      <c r="B4909" s="2" t="inlineStr">
        <is>
          <t>length</t>
        </is>
      </c>
      <c r="C4909" s="2" t="inlineStr">
        <is>
          <t>browser firefox147</t>
        </is>
      </c>
      <c r="D4909" s="2" t="n">
        <v>1901</v>
      </c>
      <c r="E4909" s="2" t="n">
        <v>1901</v>
      </c>
      <c r="F4909" s="2" t="n">
        <v>0</v>
      </c>
      <c r="G4909" s="2" t="n">
        <v>0</v>
      </c>
      <c r="H4909" s="2" t="n">
        <v>0</v>
      </c>
      <c r="I4909" s="2" t="n">
        <v>0</v>
      </c>
    </row>
    <row r="4910">
      <c r="A4910" s="2" t="n">
        <v>4908</v>
      </c>
      <c r="B4910" s="2" t="inlineStr">
        <is>
          <t>insert</t>
        </is>
      </c>
      <c r="C4910" s="2" t="inlineStr">
        <is>
          <t>openssl TLS 1.2 only</t>
        </is>
      </c>
      <c r="D4910" s="2" t="n">
        <v>224</v>
      </c>
      <c r="E4910" s="2" t="n">
        <v>224</v>
      </c>
      <c r="F4910" s="2" t="n">
        <v>1</v>
      </c>
      <c r="G4910" s="2" t="n">
        <v>0</v>
      </c>
      <c r="H4910" s="2" t="n">
        <v>0</v>
      </c>
      <c r="I4910" s="2" t="n">
        <v>0</v>
      </c>
    </row>
    <row r="4911">
      <c r="A4911" s="2" t="n">
        <v>4909</v>
      </c>
      <c r="B4911" s="2" t="inlineStr">
        <is>
          <t>flip</t>
        </is>
      </c>
      <c r="C4911" s="2" t="inlineStr">
        <is>
          <t>openssl TLS 1.2 only</t>
        </is>
      </c>
      <c r="D4911" s="2" t="n">
        <v>215</v>
      </c>
      <c r="E4911" s="2" t="n">
        <v>215</v>
      </c>
      <c r="F4911" s="2" t="n">
        <v>1</v>
      </c>
      <c r="G4911" s="2" t="n">
        <v>1</v>
      </c>
      <c r="H4911" s="2" t="n">
        <v>1</v>
      </c>
      <c r="I4911" s="2" t="n">
        <v>0</v>
      </c>
    </row>
    <row r="4912">
      <c r="A4912" s="2" t="n">
        <v>4910</v>
      </c>
      <c r="B4912" s="2" t="inlineStr">
        <is>
          <t>truncate</t>
        </is>
      </c>
      <c r="C4912" s="2" t="inlineStr">
        <is>
          <t>openssl X25519 only (classical)</t>
        </is>
      </c>
      <c r="D4912" s="2" t="n">
        <v>50</v>
      </c>
      <c r="E4912" s="2" t="n">
        <v>50</v>
      </c>
      <c r="F4912" s="2" t="n">
        <v>1</v>
      </c>
      <c r="G4912" s="2" t="n">
        <v>0</v>
      </c>
      <c r="H4912" s="2" t="n">
        <v>0</v>
      </c>
      <c r="I4912" s="2" t="n">
        <v>0</v>
      </c>
    </row>
    <row r="4913">
      <c r="A4913" s="2" t="n">
        <v>4911</v>
      </c>
      <c r="B4913" s="2" t="inlineStr">
        <is>
          <t>length</t>
        </is>
      </c>
      <c r="C4913" s="2" t="inlineStr">
        <is>
          <t>openssl 3.5.8 default</t>
        </is>
      </c>
      <c r="D4913" s="2" t="n">
        <v>1548</v>
      </c>
      <c r="E4913" s="2" t="n">
        <v>1548</v>
      </c>
      <c r="F4913" s="2" t="n">
        <v>1</v>
      </c>
      <c r="G4913" s="2" t="n">
        <v>1</v>
      </c>
      <c r="H4913" s="2" t="n">
        <v>1</v>
      </c>
      <c r="I4913" s="2" t="n">
        <v>0</v>
      </c>
    </row>
    <row r="4914">
      <c r="A4914" s="2" t="n">
        <v>4912</v>
      </c>
      <c r="B4914" s="2" t="inlineStr">
        <is>
          <t>insert</t>
        </is>
      </c>
      <c r="C4914" s="2" t="inlineStr">
        <is>
          <t>openssl TLS 1.2 only</t>
        </is>
      </c>
      <c r="D4914" s="2" t="n">
        <v>226</v>
      </c>
      <c r="E4914" s="2" t="n">
        <v>226</v>
      </c>
      <c r="F4914" s="2" t="n">
        <v>1</v>
      </c>
      <c r="G4914" s="2" t="n">
        <v>1</v>
      </c>
      <c r="H4914" s="2" t="n">
        <v>1</v>
      </c>
      <c r="I4914" s="2" t="n">
        <v>0</v>
      </c>
    </row>
    <row r="4915">
      <c r="A4915" s="2" t="n">
        <v>4913</v>
      </c>
      <c r="B4915" s="2" t="inlineStr">
        <is>
          <t>flip</t>
        </is>
      </c>
      <c r="C4915" s="2" t="inlineStr">
        <is>
          <t>openssl X25519 only (classical)</t>
        </is>
      </c>
      <c r="D4915" s="2" t="n">
        <v>314</v>
      </c>
      <c r="E4915" s="2" t="n">
        <v>314</v>
      </c>
      <c r="F4915" s="2" t="n">
        <v>1</v>
      </c>
      <c r="G4915" s="2" t="n">
        <v>1</v>
      </c>
      <c r="H4915" s="2" t="n">
        <v>1</v>
      </c>
      <c r="I4915" s="2" t="n">
        <v>0</v>
      </c>
    </row>
    <row r="4916">
      <c r="A4916" s="2" t="n">
        <v>4914</v>
      </c>
      <c r="B4916" s="2" t="inlineStr">
        <is>
          <t>truncate</t>
        </is>
      </c>
      <c r="C4916" s="2" t="inlineStr">
        <is>
          <t>openssl 3.5.8 default</t>
        </is>
      </c>
      <c r="D4916" s="2" t="n">
        <v>21</v>
      </c>
      <c r="E4916" s="2" t="n">
        <v>21</v>
      </c>
      <c r="F4916" s="2" t="n">
        <v>1</v>
      </c>
      <c r="G4916" s="2" t="n">
        <v>0</v>
      </c>
      <c r="H4916" s="2" t="n">
        <v>0</v>
      </c>
      <c r="I4916" s="2" t="n">
        <v>0</v>
      </c>
    </row>
    <row r="4917">
      <c r="A4917" s="2" t="n">
        <v>4915</v>
      </c>
      <c r="B4917" s="2" t="inlineStr">
        <is>
          <t>length</t>
        </is>
      </c>
      <c r="C4917" s="2" t="inlineStr">
        <is>
          <t>openssl X25519 only (classical)</t>
        </is>
      </c>
      <c r="D4917" s="2" t="n">
        <v>314</v>
      </c>
      <c r="E4917" s="2" t="n">
        <v>314</v>
      </c>
      <c r="F4917" s="2" t="n">
        <v>1</v>
      </c>
      <c r="G4917" s="2" t="n">
        <v>0</v>
      </c>
      <c r="H4917" s="2" t="n">
        <v>0</v>
      </c>
      <c r="I4917" s="2" t="n">
        <v>0</v>
      </c>
    </row>
    <row r="4918">
      <c r="A4918" s="2" t="n">
        <v>4916</v>
      </c>
      <c r="B4918" s="2" t="inlineStr">
        <is>
          <t>insert</t>
        </is>
      </c>
      <c r="C4918" s="2" t="inlineStr">
        <is>
          <t>browser chrome150</t>
        </is>
      </c>
      <c r="D4918" s="2" t="n">
        <v>1771</v>
      </c>
      <c r="E4918" s="2" t="n">
        <v>1771</v>
      </c>
      <c r="F4918" s="2" t="n">
        <v>1</v>
      </c>
      <c r="G4918" s="2" t="n">
        <v>1</v>
      </c>
      <c r="H4918" s="2" t="n">
        <v>1</v>
      </c>
      <c r="I4918" s="2" t="n">
        <v>0</v>
      </c>
    </row>
    <row r="4919">
      <c r="A4919" s="2" t="n">
        <v>4917</v>
      </c>
      <c r="B4919" s="2" t="inlineStr">
        <is>
          <t>flip</t>
        </is>
      </c>
      <c r="C4919" s="2" t="inlineStr">
        <is>
          <t>openssl X25519 only (classical)</t>
        </is>
      </c>
      <c r="D4919" s="2" t="n">
        <v>314</v>
      </c>
      <c r="E4919" s="2" t="n">
        <v>314</v>
      </c>
      <c r="F4919" s="2" t="n">
        <v>1</v>
      </c>
      <c r="G4919" s="2" t="n">
        <v>1</v>
      </c>
      <c r="H4919" s="2" t="n">
        <v>1</v>
      </c>
      <c r="I4919" s="2" t="n">
        <v>0</v>
      </c>
    </row>
    <row r="4920">
      <c r="A4920" s="2" t="n">
        <v>4918</v>
      </c>
      <c r="B4920" s="2" t="inlineStr">
        <is>
          <t>truncate</t>
        </is>
      </c>
      <c r="C4920" s="2" t="inlineStr">
        <is>
          <t>openssl X25519 only (classical)</t>
        </is>
      </c>
      <c r="D4920" s="2" t="n">
        <v>214</v>
      </c>
      <c r="E4920" s="2" t="n">
        <v>214</v>
      </c>
      <c r="F4920" s="2" t="n">
        <v>1</v>
      </c>
      <c r="G4920" s="2" t="n">
        <v>1</v>
      </c>
      <c r="H4920" s="2" t="n">
        <v>0</v>
      </c>
      <c r="I4920" s="2" t="n">
        <v>0</v>
      </c>
    </row>
    <row r="4921">
      <c r="A4921" s="2" t="n">
        <v>4919</v>
      </c>
      <c r="B4921" s="2" t="inlineStr">
        <is>
          <t>length</t>
        </is>
      </c>
      <c r="C4921" s="2" t="inlineStr">
        <is>
          <t>openssl X25519 only (classical)</t>
        </is>
      </c>
      <c r="D4921" s="2" t="n">
        <v>314</v>
      </c>
      <c r="E4921" s="2" t="n">
        <v>314</v>
      </c>
      <c r="F4921" s="2" t="n">
        <v>0</v>
      </c>
      <c r="G4921" s="2" t="n">
        <v>0</v>
      </c>
      <c r="H4921" s="2" t="n">
        <v>0</v>
      </c>
      <c r="I4921" s="2" t="n">
        <v>0</v>
      </c>
    </row>
    <row r="4922">
      <c r="A4922" s="2" t="n">
        <v>4920</v>
      </c>
      <c r="B4922" s="2" t="inlineStr">
        <is>
          <t>insert</t>
        </is>
      </c>
      <c r="C4922" s="2" t="inlineStr">
        <is>
          <t>browser chrome150</t>
        </is>
      </c>
      <c r="D4922" s="2" t="n">
        <v>1773</v>
      </c>
      <c r="E4922" s="2" t="n">
        <v>1773</v>
      </c>
      <c r="F4922" s="2" t="n">
        <v>1</v>
      </c>
      <c r="G4922" s="2" t="n">
        <v>1</v>
      </c>
      <c r="H4922" s="2" t="n">
        <v>1</v>
      </c>
      <c r="I4922" s="2" t="n">
        <v>0</v>
      </c>
    </row>
    <row r="4923">
      <c r="A4923" s="2" t="n">
        <v>4921</v>
      </c>
      <c r="B4923" s="2" t="inlineStr">
        <is>
          <t>flip</t>
        </is>
      </c>
      <c r="C4923" s="2" t="inlineStr">
        <is>
          <t>openssl TLS 1.2 only</t>
        </is>
      </c>
      <c r="D4923" s="2" t="n">
        <v>215</v>
      </c>
      <c r="E4923" s="2" t="n">
        <v>215</v>
      </c>
      <c r="F4923" s="2" t="n">
        <v>1</v>
      </c>
      <c r="G4923" s="2" t="n">
        <v>1</v>
      </c>
      <c r="H4923" s="2" t="n">
        <v>1</v>
      </c>
      <c r="I4923" s="2" t="n">
        <v>0</v>
      </c>
    </row>
    <row r="4924">
      <c r="A4924" s="2" t="n">
        <v>4922</v>
      </c>
      <c r="B4924" s="2" t="inlineStr">
        <is>
          <t>truncate</t>
        </is>
      </c>
      <c r="C4924" s="2" t="inlineStr">
        <is>
          <t>openssl 3.5.8 default</t>
        </is>
      </c>
      <c r="D4924" s="2" t="n">
        <v>372</v>
      </c>
      <c r="E4924" s="2" t="n">
        <v>372</v>
      </c>
      <c r="F4924" s="2" t="n">
        <v>1</v>
      </c>
      <c r="G4924" s="2" t="n">
        <v>1</v>
      </c>
      <c r="H4924" s="2" t="n">
        <v>1</v>
      </c>
      <c r="I4924" s="2" t="n">
        <v>0</v>
      </c>
    </row>
    <row r="4925">
      <c r="A4925" s="2" t="n">
        <v>4923</v>
      </c>
      <c r="B4925" s="2" t="inlineStr">
        <is>
          <t>length</t>
        </is>
      </c>
      <c r="C4925" s="2" t="inlineStr">
        <is>
          <t>browser chrome150</t>
        </is>
      </c>
      <c r="D4925" s="2" t="n">
        <v>1763</v>
      </c>
      <c r="E4925" s="2" t="n">
        <v>1763</v>
      </c>
      <c r="F4925" s="2" t="n">
        <v>1</v>
      </c>
      <c r="G4925" s="2" t="n">
        <v>1</v>
      </c>
      <c r="H4925" s="2" t="n">
        <v>1</v>
      </c>
      <c r="I4925" s="2" t="n">
        <v>0</v>
      </c>
    </row>
    <row r="4926">
      <c r="A4926" s="2" t="n">
        <v>4924</v>
      </c>
      <c r="B4926" s="2" t="inlineStr">
        <is>
          <t>insert</t>
        </is>
      </c>
      <c r="C4926" s="2" t="inlineStr">
        <is>
          <t>openssl X25519 only (classical)</t>
        </is>
      </c>
      <c r="D4926" s="2" t="n">
        <v>316</v>
      </c>
      <c r="E4926" s="2" t="n">
        <v>316</v>
      </c>
      <c r="F4926" s="2" t="n">
        <v>1</v>
      </c>
      <c r="G4926" s="2" t="n">
        <v>1</v>
      </c>
      <c r="H4926" s="2" t="n">
        <v>1</v>
      </c>
      <c r="I4926" s="2" t="n">
        <v>0</v>
      </c>
    </row>
    <row r="4927">
      <c r="A4927" s="2" t="n">
        <v>4925</v>
      </c>
      <c r="B4927" s="2" t="inlineStr">
        <is>
          <t>flip</t>
        </is>
      </c>
      <c r="C4927" s="2" t="inlineStr">
        <is>
          <t>openssl TLS 1.2 only</t>
        </is>
      </c>
      <c r="D4927" s="2" t="n">
        <v>215</v>
      </c>
      <c r="E4927" s="2" t="n">
        <v>215</v>
      </c>
      <c r="F4927" s="2" t="n">
        <v>1</v>
      </c>
      <c r="G4927" s="2" t="n">
        <v>1</v>
      </c>
      <c r="H4927" s="2" t="n">
        <v>1</v>
      </c>
      <c r="I4927" s="2" t="n">
        <v>0</v>
      </c>
    </row>
    <row r="4928">
      <c r="A4928" s="2" t="n">
        <v>4926</v>
      </c>
      <c r="B4928" s="2" t="inlineStr">
        <is>
          <t>truncate</t>
        </is>
      </c>
      <c r="C4928" s="2" t="inlineStr">
        <is>
          <t>openssl 3.5.8 default</t>
        </is>
      </c>
      <c r="D4928" s="2" t="n">
        <v>696</v>
      </c>
      <c r="E4928" s="2" t="n">
        <v>696</v>
      </c>
      <c r="F4928" s="2" t="n">
        <v>1</v>
      </c>
      <c r="G4928" s="2" t="n">
        <v>1</v>
      </c>
      <c r="H4928" s="2" t="n">
        <v>1</v>
      </c>
      <c r="I4928" s="2" t="n">
        <v>0</v>
      </c>
    </row>
    <row r="4929">
      <c r="A4929" s="2" t="n">
        <v>4927</v>
      </c>
      <c r="B4929" s="2" t="inlineStr">
        <is>
          <t>length</t>
        </is>
      </c>
      <c r="C4929" s="2" t="inlineStr">
        <is>
          <t>openssl X25519 only (classical)</t>
        </is>
      </c>
      <c r="D4929" s="2" t="n">
        <v>314</v>
      </c>
      <c r="E4929" s="2" t="n">
        <v>314</v>
      </c>
      <c r="F4929" s="2" t="n">
        <v>1</v>
      </c>
      <c r="G4929" s="2" t="n">
        <v>0</v>
      </c>
      <c r="H4929" s="2" t="n">
        <v>0</v>
      </c>
      <c r="I4929" s="2" t="n">
        <v>0</v>
      </c>
    </row>
    <row r="4930">
      <c r="A4930" s="2" t="n">
        <v>4928</v>
      </c>
      <c r="B4930" s="2" t="inlineStr">
        <is>
          <t>insert</t>
        </is>
      </c>
      <c r="C4930" s="2" t="inlineStr">
        <is>
          <t>browser chrome150</t>
        </is>
      </c>
      <c r="D4930" s="2" t="n">
        <v>1777</v>
      </c>
      <c r="E4930" s="2" t="n">
        <v>1777</v>
      </c>
      <c r="F4930" s="2" t="n">
        <v>1</v>
      </c>
      <c r="G4930" s="2" t="n">
        <v>1</v>
      </c>
      <c r="H4930" s="2" t="n">
        <v>1</v>
      </c>
      <c r="I4930" s="2" t="n">
        <v>0</v>
      </c>
    </row>
    <row r="4931">
      <c r="A4931" s="2" t="n">
        <v>4929</v>
      </c>
      <c r="B4931" s="2" t="inlineStr">
        <is>
          <t>flip</t>
        </is>
      </c>
      <c r="C4931" s="2" t="inlineStr">
        <is>
          <t>openssl X25519 only (classical)</t>
        </is>
      </c>
      <c r="D4931" s="2" t="n">
        <v>314</v>
      </c>
      <c r="E4931" s="2" t="n">
        <v>314</v>
      </c>
      <c r="F4931" s="2" t="n">
        <v>1</v>
      </c>
      <c r="G4931" s="2" t="n">
        <v>1</v>
      </c>
      <c r="H4931" s="2" t="n">
        <v>1</v>
      </c>
      <c r="I4931" s="2" t="n">
        <v>0</v>
      </c>
    </row>
    <row r="4932">
      <c r="A4932" s="2" t="n">
        <v>4930</v>
      </c>
      <c r="B4932" s="2" t="inlineStr">
        <is>
          <t>truncate</t>
        </is>
      </c>
      <c r="C4932" s="2" t="inlineStr">
        <is>
          <t>openssl X25519 only (classical)</t>
        </is>
      </c>
      <c r="D4932" s="2" t="n">
        <v>246</v>
      </c>
      <c r="E4932" s="2" t="n">
        <v>246</v>
      </c>
      <c r="F4932" s="2" t="n">
        <v>1</v>
      </c>
      <c r="G4932" s="2" t="n">
        <v>1</v>
      </c>
      <c r="H4932" s="2" t="n">
        <v>0</v>
      </c>
      <c r="I4932" s="2" t="n">
        <v>0</v>
      </c>
    </row>
    <row r="4933">
      <c r="A4933" s="2" t="n">
        <v>4931</v>
      </c>
      <c r="B4933" s="2" t="inlineStr">
        <is>
          <t>length</t>
        </is>
      </c>
      <c r="C4933" s="2" t="inlineStr">
        <is>
          <t>openssl 3.5.8 default</t>
        </is>
      </c>
      <c r="D4933" s="2" t="n">
        <v>1548</v>
      </c>
      <c r="E4933" s="2" t="n">
        <v>1548</v>
      </c>
      <c r="F4933" s="2" t="n">
        <v>1</v>
      </c>
      <c r="G4933" s="2" t="n">
        <v>1</v>
      </c>
      <c r="H4933" s="2" t="n">
        <v>1</v>
      </c>
      <c r="I4933" s="2" t="n">
        <v>0</v>
      </c>
    </row>
    <row r="4934">
      <c r="A4934" s="2" t="n">
        <v>4932</v>
      </c>
      <c r="B4934" s="2" t="inlineStr">
        <is>
          <t>insert</t>
        </is>
      </c>
      <c r="C4934" s="2" t="inlineStr">
        <is>
          <t>openssl X25519 only (classical)</t>
        </is>
      </c>
      <c r="D4934" s="2" t="n">
        <v>328</v>
      </c>
      <c r="E4934" s="2" t="n">
        <v>328</v>
      </c>
      <c r="F4934" s="2" t="n">
        <v>1</v>
      </c>
      <c r="G4934" s="2" t="n">
        <v>1</v>
      </c>
      <c r="H4934" s="2" t="n">
        <v>1</v>
      </c>
      <c r="I4934" s="2" t="n">
        <v>0</v>
      </c>
    </row>
    <row r="4935">
      <c r="A4935" s="2" t="n">
        <v>4933</v>
      </c>
      <c r="B4935" s="2" t="inlineStr">
        <is>
          <t>flip</t>
        </is>
      </c>
      <c r="C4935" s="2" t="inlineStr">
        <is>
          <t>openssl X25519 only (classical)</t>
        </is>
      </c>
      <c r="D4935" s="2" t="n">
        <v>314</v>
      </c>
      <c r="E4935" s="2" t="n">
        <v>314</v>
      </c>
      <c r="F4935" s="2" t="n">
        <v>1</v>
      </c>
      <c r="G4935" s="2" t="n">
        <v>1</v>
      </c>
      <c r="H4935" s="2" t="n">
        <v>1</v>
      </c>
      <c r="I4935" s="2" t="n">
        <v>0</v>
      </c>
    </row>
    <row r="4936">
      <c r="A4936" s="2" t="n">
        <v>4934</v>
      </c>
      <c r="B4936" s="2" t="inlineStr">
        <is>
          <t>truncate</t>
        </is>
      </c>
      <c r="C4936" s="2" t="inlineStr">
        <is>
          <t>openssl 3.5.8 default</t>
        </is>
      </c>
      <c r="D4936" s="2" t="n">
        <v>77</v>
      </c>
      <c r="E4936" s="2" t="n">
        <v>77</v>
      </c>
      <c r="F4936" s="2" t="n">
        <v>1</v>
      </c>
      <c r="G4936" s="2" t="n">
        <v>0</v>
      </c>
      <c r="H4936" s="2" t="n">
        <v>0</v>
      </c>
      <c r="I4936" s="2" t="n">
        <v>0</v>
      </c>
    </row>
    <row r="4937">
      <c r="A4937" s="2" t="n">
        <v>4935</v>
      </c>
      <c r="B4937" s="2" t="inlineStr">
        <is>
          <t>length</t>
        </is>
      </c>
      <c r="C4937" s="2" t="inlineStr">
        <is>
          <t>openssl TLS 1.2 only</t>
        </is>
      </c>
      <c r="D4937" s="2" t="n">
        <v>215</v>
      </c>
      <c r="E4937" s="2" t="n">
        <v>215</v>
      </c>
      <c r="F4937" s="2" t="n">
        <v>1</v>
      </c>
      <c r="G4937" s="2" t="n">
        <v>0</v>
      </c>
      <c r="H4937" s="2" t="n">
        <v>0</v>
      </c>
      <c r="I4937" s="2" t="n">
        <v>0</v>
      </c>
    </row>
    <row r="4938">
      <c r="A4938" s="2" t="n">
        <v>4936</v>
      </c>
      <c r="B4938" s="2" t="inlineStr">
        <is>
          <t>insert</t>
        </is>
      </c>
      <c r="C4938" s="2" t="inlineStr">
        <is>
          <t>browser chrome150</t>
        </is>
      </c>
      <c r="D4938" s="2" t="n">
        <v>1773</v>
      </c>
      <c r="E4938" s="2" t="n">
        <v>1773</v>
      </c>
      <c r="F4938" s="2" t="n">
        <v>1</v>
      </c>
      <c r="G4938" s="2" t="n">
        <v>1</v>
      </c>
      <c r="H4938" s="2" t="n">
        <v>1</v>
      </c>
      <c r="I4938" s="2" t="n">
        <v>0</v>
      </c>
    </row>
    <row r="4939">
      <c r="A4939" s="2" t="n">
        <v>4937</v>
      </c>
      <c r="B4939" s="2" t="inlineStr">
        <is>
          <t>flip</t>
        </is>
      </c>
      <c r="C4939" s="2" t="inlineStr">
        <is>
          <t>openssl 3.5.8 default</t>
        </is>
      </c>
      <c r="D4939" s="2" t="n">
        <v>1548</v>
      </c>
      <c r="E4939" s="2" t="n">
        <v>1548</v>
      </c>
      <c r="F4939" s="2" t="n">
        <v>1</v>
      </c>
      <c r="G4939" s="2" t="n">
        <v>1</v>
      </c>
      <c r="H4939" s="2" t="n">
        <v>1</v>
      </c>
      <c r="I4939" s="2" t="n">
        <v>0</v>
      </c>
    </row>
    <row r="4940">
      <c r="A4940" s="2" t="n">
        <v>4938</v>
      </c>
      <c r="B4940" s="2" t="inlineStr">
        <is>
          <t>truncate</t>
        </is>
      </c>
      <c r="C4940" s="2" t="inlineStr">
        <is>
          <t>openssl TLS 1.2 only</t>
        </is>
      </c>
      <c r="D4940" s="2" t="n">
        <v>169</v>
      </c>
      <c r="E4940" s="2" t="n">
        <v>169</v>
      </c>
      <c r="F4940" s="2" t="n">
        <v>1</v>
      </c>
      <c r="G4940" s="2" t="n">
        <v>1</v>
      </c>
      <c r="H4940" s="2" t="n">
        <v>0</v>
      </c>
      <c r="I4940" s="2" t="n">
        <v>0</v>
      </c>
    </row>
    <row r="4941">
      <c r="A4941" s="2" t="n">
        <v>4939</v>
      </c>
      <c r="B4941" s="2" t="inlineStr">
        <is>
          <t>length</t>
        </is>
      </c>
      <c r="C4941" s="2" t="inlineStr">
        <is>
          <t>browser firefox147</t>
        </is>
      </c>
      <c r="D4941" s="2" t="n">
        <v>1901</v>
      </c>
      <c r="E4941" s="2" t="n">
        <v>1901</v>
      </c>
      <c r="F4941" s="2" t="n">
        <v>0</v>
      </c>
      <c r="G4941" s="2" t="n">
        <v>0</v>
      </c>
      <c r="H4941" s="2" t="n">
        <v>0</v>
      </c>
      <c r="I4941" s="2" t="n">
        <v>0</v>
      </c>
    </row>
    <row r="4942">
      <c r="A4942" s="2" t="n">
        <v>4940</v>
      </c>
      <c r="B4942" s="2" t="inlineStr">
        <is>
          <t>insert</t>
        </is>
      </c>
      <c r="C4942" s="2" t="inlineStr">
        <is>
          <t>openssl 3.5.8 default</t>
        </is>
      </c>
      <c r="D4942" s="2" t="n">
        <v>1554</v>
      </c>
      <c r="E4942" s="2" t="n">
        <v>1554</v>
      </c>
      <c r="F4942" s="2" t="n">
        <v>1</v>
      </c>
      <c r="G4942" s="2" t="n">
        <v>1</v>
      </c>
      <c r="H4942" s="2" t="n">
        <v>1</v>
      </c>
      <c r="I4942" s="2" t="n">
        <v>0</v>
      </c>
    </row>
    <row r="4943">
      <c r="A4943" s="2" t="n">
        <v>4941</v>
      </c>
      <c r="B4943" s="2" t="inlineStr">
        <is>
          <t>flip</t>
        </is>
      </c>
      <c r="C4943" s="2" t="inlineStr">
        <is>
          <t>openssl 3.5.8 default</t>
        </is>
      </c>
      <c r="D4943" s="2" t="n">
        <v>1548</v>
      </c>
      <c r="E4943" s="2" t="n">
        <v>1548</v>
      </c>
      <c r="F4943" s="2" t="n">
        <v>1</v>
      </c>
      <c r="G4943" s="2" t="n">
        <v>1</v>
      </c>
      <c r="H4943" s="2" t="n">
        <v>1</v>
      </c>
      <c r="I4943" s="2" t="n">
        <v>0</v>
      </c>
    </row>
    <row r="4944">
      <c r="A4944" s="2" t="n">
        <v>4942</v>
      </c>
      <c r="B4944" s="2" t="inlineStr">
        <is>
          <t>truncate</t>
        </is>
      </c>
      <c r="C4944" s="2" t="inlineStr">
        <is>
          <t>openssl TLS 1.2 only</t>
        </is>
      </c>
      <c r="D4944" s="2" t="n">
        <v>43</v>
      </c>
      <c r="E4944" s="2" t="n">
        <v>43</v>
      </c>
      <c r="F4944" s="2" t="n">
        <v>1</v>
      </c>
      <c r="G4944" s="2" t="n">
        <v>0</v>
      </c>
      <c r="H4944" s="2" t="n">
        <v>0</v>
      </c>
      <c r="I4944" s="2" t="n">
        <v>0</v>
      </c>
    </row>
    <row r="4945">
      <c r="A4945" s="2" t="n">
        <v>4943</v>
      </c>
      <c r="B4945" s="2" t="inlineStr">
        <is>
          <t>length</t>
        </is>
      </c>
      <c r="C4945" s="2" t="inlineStr">
        <is>
          <t>browser chrome150</t>
        </is>
      </c>
      <c r="D4945" s="2" t="n">
        <v>1763</v>
      </c>
      <c r="E4945" s="2" t="n">
        <v>1763</v>
      </c>
      <c r="F4945" s="2" t="n">
        <v>0</v>
      </c>
      <c r="G4945" s="2" t="n">
        <v>0</v>
      </c>
      <c r="H4945" s="2" t="n">
        <v>0</v>
      </c>
      <c r="I4945" s="2" t="n">
        <v>0</v>
      </c>
    </row>
    <row r="4946">
      <c r="A4946" s="2" t="n">
        <v>4944</v>
      </c>
      <c r="B4946" s="2" t="inlineStr">
        <is>
          <t>insert</t>
        </is>
      </c>
      <c r="C4946" s="2" t="inlineStr">
        <is>
          <t>browser firefox147</t>
        </is>
      </c>
      <c r="D4946" s="2" t="n">
        <v>1903</v>
      </c>
      <c r="E4946" s="2" t="n">
        <v>1903</v>
      </c>
      <c r="F4946" s="2" t="n">
        <v>1</v>
      </c>
      <c r="G4946" s="2" t="n">
        <v>1</v>
      </c>
      <c r="H4946" s="2" t="n">
        <v>0</v>
      </c>
      <c r="I4946" s="2" t="n">
        <v>0</v>
      </c>
    </row>
    <row r="4947">
      <c r="A4947" s="2" t="n">
        <v>4945</v>
      </c>
      <c r="B4947" s="2" t="inlineStr">
        <is>
          <t>flip</t>
        </is>
      </c>
      <c r="C4947" s="2" t="inlineStr">
        <is>
          <t>openssl TLS 1.2 only</t>
        </is>
      </c>
      <c r="D4947" s="2" t="n">
        <v>215</v>
      </c>
      <c r="E4947" s="2" t="n">
        <v>215</v>
      </c>
      <c r="F4947" s="2" t="n">
        <v>1</v>
      </c>
      <c r="G4947" s="2" t="n">
        <v>0</v>
      </c>
      <c r="H4947" s="2" t="n">
        <v>0</v>
      </c>
      <c r="I4947" s="2" t="n">
        <v>0</v>
      </c>
    </row>
    <row r="4948">
      <c r="A4948" s="2" t="n">
        <v>4946</v>
      </c>
      <c r="B4948" s="2" t="inlineStr">
        <is>
          <t>truncate</t>
        </is>
      </c>
      <c r="C4948" s="2" t="inlineStr">
        <is>
          <t>openssl TLS 1.2 only</t>
        </is>
      </c>
      <c r="D4948" s="2" t="n">
        <v>59</v>
      </c>
      <c r="E4948" s="2" t="n">
        <v>59</v>
      </c>
      <c r="F4948" s="2" t="n">
        <v>1</v>
      </c>
      <c r="G4948" s="2" t="n">
        <v>0</v>
      </c>
      <c r="H4948" s="2" t="n">
        <v>0</v>
      </c>
      <c r="I4948" s="2" t="n">
        <v>0</v>
      </c>
    </row>
    <row r="4949">
      <c r="A4949" s="2" t="n">
        <v>4947</v>
      </c>
      <c r="B4949" s="2" t="inlineStr">
        <is>
          <t>length</t>
        </is>
      </c>
      <c r="C4949" s="2" t="inlineStr">
        <is>
          <t>browser firefox147</t>
        </is>
      </c>
      <c r="D4949" s="2" t="n">
        <v>1901</v>
      </c>
      <c r="E4949" s="2" t="n">
        <v>1901</v>
      </c>
      <c r="F4949" s="2" t="n">
        <v>1</v>
      </c>
      <c r="G4949" s="2" t="n">
        <v>1</v>
      </c>
      <c r="H4949" s="2" t="n">
        <v>0</v>
      </c>
      <c r="I4949" s="2" t="n">
        <v>0</v>
      </c>
    </row>
    <row r="4950">
      <c r="A4950" s="2" t="n">
        <v>4948</v>
      </c>
      <c r="B4950" s="2" t="inlineStr">
        <is>
          <t>insert</t>
        </is>
      </c>
      <c r="C4950" s="2" t="inlineStr">
        <is>
          <t>browser firefox147</t>
        </is>
      </c>
      <c r="D4950" s="2" t="n">
        <v>1912</v>
      </c>
      <c r="E4950" s="2" t="n">
        <v>1912</v>
      </c>
      <c r="F4950" s="2" t="n">
        <v>1</v>
      </c>
      <c r="G4950" s="2" t="n">
        <v>1</v>
      </c>
      <c r="H4950" s="2" t="n">
        <v>0</v>
      </c>
      <c r="I4950" s="2" t="n">
        <v>0</v>
      </c>
    </row>
    <row r="4951">
      <c r="A4951" s="2" t="n">
        <v>4949</v>
      </c>
      <c r="B4951" s="2" t="inlineStr">
        <is>
          <t>flip</t>
        </is>
      </c>
      <c r="C4951" s="2" t="inlineStr">
        <is>
          <t>openssl X25519 only (classical)</t>
        </is>
      </c>
      <c r="D4951" s="2" t="n">
        <v>314</v>
      </c>
      <c r="E4951" s="2" t="n">
        <v>314</v>
      </c>
      <c r="F4951" s="2" t="n">
        <v>1</v>
      </c>
      <c r="G4951" s="2" t="n">
        <v>0</v>
      </c>
      <c r="H4951" s="2" t="n">
        <v>0</v>
      </c>
      <c r="I4951" s="2" t="n">
        <v>0</v>
      </c>
    </row>
    <row r="4952">
      <c r="A4952" s="2" t="n">
        <v>4950</v>
      </c>
      <c r="B4952" s="2" t="inlineStr">
        <is>
          <t>truncate</t>
        </is>
      </c>
      <c r="C4952" s="2" t="inlineStr">
        <is>
          <t>browser firefox147</t>
        </is>
      </c>
      <c r="D4952" s="2" t="n">
        <v>301</v>
      </c>
      <c r="E4952" s="2" t="n">
        <v>301</v>
      </c>
      <c r="F4952" s="2" t="n">
        <v>1</v>
      </c>
      <c r="G4952" s="2" t="n">
        <v>1</v>
      </c>
      <c r="H4952" s="2" t="n">
        <v>0</v>
      </c>
      <c r="I4952" s="2" t="n">
        <v>0</v>
      </c>
    </row>
    <row r="4953">
      <c r="A4953" s="2" t="n">
        <v>4951</v>
      </c>
      <c r="B4953" s="2" t="inlineStr">
        <is>
          <t>length</t>
        </is>
      </c>
      <c r="C4953" s="2" t="inlineStr">
        <is>
          <t>browser chrome150</t>
        </is>
      </c>
      <c r="D4953" s="2" t="n">
        <v>1763</v>
      </c>
      <c r="E4953" s="2" t="n">
        <v>1763</v>
      </c>
      <c r="F4953" s="2" t="n">
        <v>1</v>
      </c>
      <c r="G4953" s="2" t="n">
        <v>1</v>
      </c>
      <c r="H4953" s="2" t="n">
        <v>1</v>
      </c>
      <c r="I4953" s="2" t="n">
        <v>0</v>
      </c>
    </row>
    <row r="4954">
      <c r="A4954" s="2" t="n">
        <v>4952</v>
      </c>
      <c r="B4954" s="2" t="inlineStr">
        <is>
          <t>insert</t>
        </is>
      </c>
      <c r="C4954" s="2" t="inlineStr">
        <is>
          <t>browser firefox147</t>
        </is>
      </c>
      <c r="D4954" s="2" t="n">
        <v>1914</v>
      </c>
      <c r="E4954" s="2" t="n">
        <v>1914</v>
      </c>
      <c r="F4954" s="2" t="n">
        <v>1</v>
      </c>
      <c r="G4954" s="2" t="n">
        <v>1</v>
      </c>
      <c r="H4954" s="2" t="n">
        <v>0</v>
      </c>
      <c r="I4954" s="2" t="n">
        <v>0</v>
      </c>
    </row>
    <row r="4955">
      <c r="A4955" s="2" t="n">
        <v>4953</v>
      </c>
      <c r="B4955" s="2" t="inlineStr">
        <is>
          <t>flip</t>
        </is>
      </c>
      <c r="C4955" s="2" t="inlineStr">
        <is>
          <t>openssl X25519 only (classical)</t>
        </is>
      </c>
      <c r="D4955" s="2" t="n">
        <v>314</v>
      </c>
      <c r="E4955" s="2" t="n">
        <v>314</v>
      </c>
      <c r="F4955" s="2" t="n">
        <v>0</v>
      </c>
      <c r="G4955" s="2" t="n">
        <v>0</v>
      </c>
      <c r="H4955" s="2" t="n">
        <v>0</v>
      </c>
      <c r="I4955" s="2" t="n">
        <v>0</v>
      </c>
    </row>
    <row r="4956">
      <c r="A4956" s="2" t="n">
        <v>4954</v>
      </c>
      <c r="B4956" s="2" t="inlineStr">
        <is>
          <t>truncate</t>
        </is>
      </c>
      <c r="C4956" s="2" t="inlineStr">
        <is>
          <t>openssl TLS 1.2 only</t>
        </is>
      </c>
      <c r="D4956" s="2" t="n">
        <v>35</v>
      </c>
      <c r="E4956" s="2" t="n">
        <v>35</v>
      </c>
      <c r="F4956" s="2" t="n">
        <v>1</v>
      </c>
      <c r="G4956" s="2" t="n">
        <v>0</v>
      </c>
      <c r="H4956" s="2" t="n">
        <v>0</v>
      </c>
      <c r="I4956" s="2" t="n">
        <v>0</v>
      </c>
    </row>
    <row r="4957">
      <c r="A4957" s="2" t="n">
        <v>4955</v>
      </c>
      <c r="B4957" s="2" t="inlineStr">
        <is>
          <t>length</t>
        </is>
      </c>
      <c r="C4957" s="2" t="inlineStr">
        <is>
          <t>browser chrome150</t>
        </is>
      </c>
      <c r="D4957" s="2" t="n">
        <v>1763</v>
      </c>
      <c r="E4957" s="2" t="n">
        <v>1763</v>
      </c>
      <c r="F4957" s="2" t="n">
        <v>1</v>
      </c>
      <c r="G4957" s="2" t="n">
        <v>1</v>
      </c>
      <c r="H4957" s="2" t="n">
        <v>1</v>
      </c>
      <c r="I4957" s="2" t="n">
        <v>0</v>
      </c>
    </row>
    <row r="4958">
      <c r="A4958" s="2" t="n">
        <v>4956</v>
      </c>
      <c r="B4958" s="2" t="inlineStr">
        <is>
          <t>insert</t>
        </is>
      </c>
      <c r="C4958" s="2" t="inlineStr">
        <is>
          <t>openssl 3.5.8 default</t>
        </is>
      </c>
      <c r="D4958" s="2" t="n">
        <v>1561</v>
      </c>
      <c r="E4958" s="2" t="n">
        <v>1561</v>
      </c>
      <c r="F4958" s="2" t="n">
        <v>1</v>
      </c>
      <c r="G4958" s="2" t="n">
        <v>1</v>
      </c>
      <c r="H4958" s="2" t="n">
        <v>1</v>
      </c>
      <c r="I4958" s="2" t="n">
        <v>0</v>
      </c>
    </row>
    <row r="4959">
      <c r="A4959" s="2" t="n">
        <v>4957</v>
      </c>
      <c r="B4959" s="2" t="inlineStr">
        <is>
          <t>flip</t>
        </is>
      </c>
      <c r="C4959" s="2" t="inlineStr">
        <is>
          <t>browser firefox147</t>
        </is>
      </c>
      <c r="D4959" s="2" t="n">
        <v>1901</v>
      </c>
      <c r="E4959" s="2" t="n">
        <v>1901</v>
      </c>
      <c r="F4959" s="2" t="n">
        <v>1</v>
      </c>
      <c r="G4959" s="2" t="n">
        <v>1</v>
      </c>
      <c r="H4959" s="2" t="n">
        <v>0</v>
      </c>
      <c r="I4959" s="2" t="n">
        <v>0</v>
      </c>
    </row>
    <row r="4960">
      <c r="A4960" s="2" t="n">
        <v>4958</v>
      </c>
      <c r="B4960" s="2" t="inlineStr">
        <is>
          <t>truncate</t>
        </is>
      </c>
      <c r="C4960" s="2" t="inlineStr">
        <is>
          <t>openssl X25519 only (classical)</t>
        </is>
      </c>
      <c r="D4960" s="2" t="n">
        <v>194</v>
      </c>
      <c r="E4960" s="2" t="n">
        <v>194</v>
      </c>
      <c r="F4960" s="2" t="n">
        <v>1</v>
      </c>
      <c r="G4960" s="2" t="n">
        <v>1</v>
      </c>
      <c r="H4960" s="2" t="n">
        <v>0</v>
      </c>
      <c r="I4960" s="2" t="n">
        <v>0</v>
      </c>
    </row>
    <row r="4961">
      <c r="A4961" s="2" t="n">
        <v>4959</v>
      </c>
      <c r="B4961" s="2" t="inlineStr">
        <is>
          <t>length</t>
        </is>
      </c>
      <c r="C4961" s="2" t="inlineStr">
        <is>
          <t>browser chrome150</t>
        </is>
      </c>
      <c r="D4961" s="2" t="n">
        <v>1763</v>
      </c>
      <c r="E4961" s="2" t="n">
        <v>1763</v>
      </c>
      <c r="F4961" s="2" t="n">
        <v>1</v>
      </c>
      <c r="G4961" s="2" t="n">
        <v>1</v>
      </c>
      <c r="H4961" s="2" t="n">
        <v>1</v>
      </c>
      <c r="I4961" s="2" t="n">
        <v>0</v>
      </c>
    </row>
    <row r="4962">
      <c r="A4962" s="2" t="n">
        <v>4960</v>
      </c>
      <c r="B4962" s="2" t="inlineStr">
        <is>
          <t>insert</t>
        </is>
      </c>
      <c r="C4962" s="2" t="inlineStr">
        <is>
          <t>browser chrome150</t>
        </is>
      </c>
      <c r="D4962" s="2" t="n">
        <v>1778</v>
      </c>
      <c r="E4962" s="2" t="n">
        <v>1778</v>
      </c>
      <c r="F4962" s="2" t="n">
        <v>1</v>
      </c>
      <c r="G4962" s="2" t="n">
        <v>1</v>
      </c>
      <c r="H4962" s="2" t="n">
        <v>1</v>
      </c>
      <c r="I4962" s="2" t="n">
        <v>0</v>
      </c>
    </row>
    <row r="4963">
      <c r="A4963" s="2" t="n">
        <v>4961</v>
      </c>
      <c r="B4963" s="2" t="inlineStr">
        <is>
          <t>flip</t>
        </is>
      </c>
      <c r="C4963" s="2" t="inlineStr">
        <is>
          <t>browser chrome150</t>
        </is>
      </c>
      <c r="D4963" s="2" t="n">
        <v>1763</v>
      </c>
      <c r="E4963" s="2" t="n">
        <v>1763</v>
      </c>
      <c r="F4963" s="2" t="n">
        <v>1</v>
      </c>
      <c r="G4963" s="2" t="n">
        <v>1</v>
      </c>
      <c r="H4963" s="2" t="n">
        <v>1</v>
      </c>
      <c r="I4963" s="2" t="n">
        <v>0</v>
      </c>
    </row>
    <row r="4964">
      <c r="A4964" s="2" t="n">
        <v>4962</v>
      </c>
      <c r="B4964" s="2" t="inlineStr">
        <is>
          <t>truncate</t>
        </is>
      </c>
      <c r="C4964" s="2" t="inlineStr">
        <is>
          <t>browser firefox147</t>
        </is>
      </c>
      <c r="D4964" s="2" t="n">
        <v>1243</v>
      </c>
      <c r="E4964" s="2" t="n">
        <v>1243</v>
      </c>
      <c r="F4964" s="2" t="n">
        <v>1</v>
      </c>
      <c r="G4964" s="2" t="n">
        <v>1</v>
      </c>
      <c r="H4964" s="2" t="n">
        <v>0</v>
      </c>
      <c r="I4964" s="2" t="n">
        <v>0</v>
      </c>
    </row>
    <row r="4965">
      <c r="A4965" s="2" t="n">
        <v>4963</v>
      </c>
      <c r="B4965" s="2" t="inlineStr">
        <is>
          <t>length</t>
        </is>
      </c>
      <c r="C4965" s="2" t="inlineStr">
        <is>
          <t>openssl X25519 only (classical)</t>
        </is>
      </c>
      <c r="D4965" s="2" t="n">
        <v>314</v>
      </c>
      <c r="E4965" s="2" t="n">
        <v>314</v>
      </c>
      <c r="F4965" s="2" t="n">
        <v>1</v>
      </c>
      <c r="G4965" s="2" t="n">
        <v>1</v>
      </c>
      <c r="H4965" s="2" t="n">
        <v>1</v>
      </c>
      <c r="I4965" s="2" t="n">
        <v>0</v>
      </c>
    </row>
    <row r="4966">
      <c r="A4966" s="2" t="n">
        <v>4964</v>
      </c>
      <c r="B4966" s="2" t="inlineStr">
        <is>
          <t>insert</t>
        </is>
      </c>
      <c r="C4966" s="2" t="inlineStr">
        <is>
          <t>browser chrome150</t>
        </is>
      </c>
      <c r="D4966" s="2" t="n">
        <v>1776</v>
      </c>
      <c r="E4966" s="2" t="n">
        <v>1776</v>
      </c>
      <c r="F4966" s="2" t="n">
        <v>1</v>
      </c>
      <c r="G4966" s="2" t="n">
        <v>1</v>
      </c>
      <c r="H4966" s="2" t="n">
        <v>1</v>
      </c>
      <c r="I4966" s="2" t="n">
        <v>0</v>
      </c>
    </row>
    <row r="4967">
      <c r="A4967" s="2" t="n">
        <v>4965</v>
      </c>
      <c r="B4967" s="2" t="inlineStr">
        <is>
          <t>flip</t>
        </is>
      </c>
      <c r="C4967" s="2" t="inlineStr">
        <is>
          <t>openssl 3.5.8 default</t>
        </is>
      </c>
      <c r="D4967" s="2" t="n">
        <v>1548</v>
      </c>
      <c r="E4967" s="2" t="n">
        <v>1548</v>
      </c>
      <c r="F4967" s="2" t="n">
        <v>1</v>
      </c>
      <c r="G4967" s="2" t="n">
        <v>1</v>
      </c>
      <c r="H4967" s="2" t="n">
        <v>1</v>
      </c>
      <c r="I4967" s="2" t="n">
        <v>0</v>
      </c>
    </row>
    <row r="4968">
      <c r="A4968" s="2" t="n">
        <v>4966</v>
      </c>
      <c r="B4968" s="2" t="inlineStr">
        <is>
          <t>truncate</t>
        </is>
      </c>
      <c r="C4968" s="2" t="inlineStr">
        <is>
          <t>browser firefox147</t>
        </is>
      </c>
      <c r="D4968" s="2" t="n">
        <v>407</v>
      </c>
      <c r="E4968" s="2" t="n">
        <v>407</v>
      </c>
      <c r="F4968" s="2" t="n">
        <v>1</v>
      </c>
      <c r="G4968" s="2" t="n">
        <v>1</v>
      </c>
      <c r="H4968" s="2" t="n">
        <v>0</v>
      </c>
      <c r="I4968" s="2" t="n">
        <v>0</v>
      </c>
    </row>
    <row r="4969">
      <c r="A4969" s="2" t="n">
        <v>4967</v>
      </c>
      <c r="B4969" s="2" t="inlineStr">
        <is>
          <t>length</t>
        </is>
      </c>
      <c r="C4969" s="2" t="inlineStr">
        <is>
          <t>openssl 3.5.8 default</t>
        </is>
      </c>
      <c r="D4969" s="2" t="n">
        <v>1548</v>
      </c>
      <c r="E4969" s="2" t="n">
        <v>1548</v>
      </c>
      <c r="F4969" s="2" t="n">
        <v>1</v>
      </c>
      <c r="G4969" s="2" t="n">
        <v>1</v>
      </c>
      <c r="H4969" s="2" t="n">
        <v>1</v>
      </c>
      <c r="I4969" s="2" t="n">
        <v>0</v>
      </c>
    </row>
    <row r="4970">
      <c r="A4970" s="2" t="n">
        <v>4968</v>
      </c>
      <c r="B4970" s="2" t="inlineStr">
        <is>
          <t>insert</t>
        </is>
      </c>
      <c r="C4970" s="2" t="inlineStr">
        <is>
          <t>browser chrome150</t>
        </is>
      </c>
      <c r="D4970" s="2" t="n">
        <v>1776</v>
      </c>
      <c r="E4970" s="2" t="n">
        <v>1776</v>
      </c>
      <c r="F4970" s="2" t="n">
        <v>1</v>
      </c>
      <c r="G4970" s="2" t="n">
        <v>1</v>
      </c>
      <c r="H4970" s="2" t="n">
        <v>1</v>
      </c>
      <c r="I4970" s="2" t="n">
        <v>0</v>
      </c>
    </row>
    <row r="4971">
      <c r="A4971" s="2" t="n">
        <v>4969</v>
      </c>
      <c r="B4971" s="2" t="inlineStr">
        <is>
          <t>flip</t>
        </is>
      </c>
      <c r="C4971" s="2" t="inlineStr">
        <is>
          <t>openssl 3.5.8 default</t>
        </is>
      </c>
      <c r="D4971" s="2" t="n">
        <v>1548</v>
      </c>
      <c r="E4971" s="2" t="n">
        <v>1548</v>
      </c>
      <c r="F4971" s="2" t="n">
        <v>1</v>
      </c>
      <c r="G4971" s="2" t="n">
        <v>1</v>
      </c>
      <c r="H4971" s="2" t="n">
        <v>1</v>
      </c>
      <c r="I4971" s="2" t="n">
        <v>0</v>
      </c>
    </row>
    <row r="4972">
      <c r="A4972" s="2" t="n">
        <v>4970</v>
      </c>
      <c r="B4972" s="2" t="inlineStr">
        <is>
          <t>truncate</t>
        </is>
      </c>
      <c r="C4972" s="2" t="inlineStr">
        <is>
          <t>browser firefox147</t>
        </is>
      </c>
      <c r="D4972" s="2" t="n">
        <v>114</v>
      </c>
      <c r="E4972" s="2" t="n">
        <v>114</v>
      </c>
      <c r="F4972" s="2" t="n">
        <v>1</v>
      </c>
      <c r="G4972" s="2" t="n">
        <v>1</v>
      </c>
      <c r="H4972" s="2" t="n">
        <v>0</v>
      </c>
      <c r="I4972" s="2" t="n">
        <v>0</v>
      </c>
    </row>
    <row r="4973">
      <c r="A4973" s="2" t="n">
        <v>4971</v>
      </c>
      <c r="B4973" s="2" t="inlineStr">
        <is>
          <t>length</t>
        </is>
      </c>
      <c r="C4973" s="2" t="inlineStr">
        <is>
          <t>browser firefox147</t>
        </is>
      </c>
      <c r="D4973" s="2" t="n">
        <v>1901</v>
      </c>
      <c r="E4973" s="2" t="n">
        <v>1901</v>
      </c>
      <c r="F4973" s="2" t="n">
        <v>1</v>
      </c>
      <c r="G4973" s="2" t="n">
        <v>1</v>
      </c>
      <c r="H4973" s="2" t="n">
        <v>1</v>
      </c>
      <c r="I4973" s="2" t="n">
        <v>0</v>
      </c>
    </row>
    <row r="4974">
      <c r="A4974" s="2" t="n">
        <v>4972</v>
      </c>
      <c r="B4974" s="2" t="inlineStr">
        <is>
          <t>insert</t>
        </is>
      </c>
      <c r="C4974" s="2" t="inlineStr">
        <is>
          <t>openssl TLS 1.2 only</t>
        </is>
      </c>
      <c r="D4974" s="2" t="n">
        <v>220</v>
      </c>
      <c r="E4974" s="2" t="n">
        <v>220</v>
      </c>
      <c r="F4974" s="2" t="n">
        <v>1</v>
      </c>
      <c r="G4974" s="2" t="n">
        <v>1</v>
      </c>
      <c r="H4974" s="2" t="n">
        <v>1</v>
      </c>
      <c r="I4974" s="2" t="n">
        <v>0</v>
      </c>
    </row>
    <row r="4975">
      <c r="A4975" s="2" t="n">
        <v>4973</v>
      </c>
      <c r="B4975" s="2" t="inlineStr">
        <is>
          <t>flip</t>
        </is>
      </c>
      <c r="C4975" s="2" t="inlineStr">
        <is>
          <t>openssl 3.5.8 default</t>
        </is>
      </c>
      <c r="D4975" s="2" t="n">
        <v>1548</v>
      </c>
      <c r="E4975" s="2" t="n">
        <v>1548</v>
      </c>
      <c r="F4975" s="2" t="n">
        <v>1</v>
      </c>
      <c r="G4975" s="2" t="n">
        <v>1</v>
      </c>
      <c r="H4975" s="2" t="n">
        <v>1</v>
      </c>
      <c r="I4975" s="2" t="n">
        <v>0</v>
      </c>
    </row>
    <row r="4976">
      <c r="A4976" s="2" t="n">
        <v>4974</v>
      </c>
      <c r="B4976" s="2" t="inlineStr">
        <is>
          <t>truncate</t>
        </is>
      </c>
      <c r="C4976" s="2" t="inlineStr">
        <is>
          <t>browser firefox147</t>
        </is>
      </c>
      <c r="D4976" s="2" t="n">
        <v>1416</v>
      </c>
      <c r="E4976" s="2" t="n">
        <v>1416</v>
      </c>
      <c r="F4976" s="2" t="n">
        <v>1</v>
      </c>
      <c r="G4976" s="2" t="n">
        <v>1</v>
      </c>
      <c r="H4976" s="2" t="n">
        <v>0</v>
      </c>
      <c r="I4976" s="2" t="n">
        <v>0</v>
      </c>
    </row>
    <row r="4977">
      <c r="A4977" s="2" t="n">
        <v>4975</v>
      </c>
      <c r="B4977" s="2" t="inlineStr">
        <is>
          <t>length</t>
        </is>
      </c>
      <c r="C4977" s="2" t="inlineStr">
        <is>
          <t>openssl TLS 1.2 only</t>
        </is>
      </c>
      <c r="D4977" s="2" t="n">
        <v>215</v>
      </c>
      <c r="E4977" s="2" t="n">
        <v>215</v>
      </c>
      <c r="F4977" s="2" t="n">
        <v>1</v>
      </c>
      <c r="G4977" s="2" t="n">
        <v>0</v>
      </c>
      <c r="H4977" s="2" t="n">
        <v>0</v>
      </c>
      <c r="I4977" s="2" t="n">
        <v>0</v>
      </c>
    </row>
    <row r="4978">
      <c r="A4978" s="2" t="n">
        <v>4976</v>
      </c>
      <c r="B4978" s="2" t="inlineStr">
        <is>
          <t>insert</t>
        </is>
      </c>
      <c r="C4978" s="2" t="inlineStr">
        <is>
          <t>openssl 3.5.8 default</t>
        </is>
      </c>
      <c r="D4978" s="2" t="n">
        <v>1560</v>
      </c>
      <c r="E4978" s="2" t="n">
        <v>1560</v>
      </c>
      <c r="F4978" s="2" t="n">
        <v>1</v>
      </c>
      <c r="G4978" s="2" t="n">
        <v>1</v>
      </c>
      <c r="H4978" s="2" t="n">
        <v>1</v>
      </c>
      <c r="I4978" s="2" t="n">
        <v>0</v>
      </c>
    </row>
    <row r="4979">
      <c r="A4979" s="2" t="n">
        <v>4977</v>
      </c>
      <c r="B4979" s="2" t="inlineStr">
        <is>
          <t>flip</t>
        </is>
      </c>
      <c r="C4979" s="2" t="inlineStr">
        <is>
          <t>openssl TLS 1.2 only</t>
        </is>
      </c>
      <c r="D4979" s="2" t="n">
        <v>215</v>
      </c>
      <c r="E4979" s="2" t="n">
        <v>215</v>
      </c>
      <c r="F4979" s="2" t="n">
        <v>1</v>
      </c>
      <c r="G4979" s="2" t="n">
        <v>1</v>
      </c>
      <c r="H4979" s="2" t="n">
        <v>1</v>
      </c>
      <c r="I4979" s="2" t="n">
        <v>0</v>
      </c>
    </row>
    <row r="4980">
      <c r="A4980" s="2" t="n">
        <v>4978</v>
      </c>
      <c r="B4980" s="2" t="inlineStr">
        <is>
          <t>truncate</t>
        </is>
      </c>
      <c r="C4980" s="2" t="inlineStr">
        <is>
          <t>browser firefox147</t>
        </is>
      </c>
      <c r="D4980" s="2" t="n">
        <v>505</v>
      </c>
      <c r="E4980" s="2" t="n">
        <v>505</v>
      </c>
      <c r="F4980" s="2" t="n">
        <v>1</v>
      </c>
      <c r="G4980" s="2" t="n">
        <v>1</v>
      </c>
      <c r="H4980" s="2" t="n">
        <v>0</v>
      </c>
      <c r="I4980" s="2" t="n">
        <v>0</v>
      </c>
    </row>
    <row r="4981">
      <c r="A4981" s="2" t="n">
        <v>4979</v>
      </c>
      <c r="B4981" s="2" t="inlineStr">
        <is>
          <t>length</t>
        </is>
      </c>
      <c r="C4981" s="2" t="inlineStr">
        <is>
          <t>browser chrome150</t>
        </is>
      </c>
      <c r="D4981" s="2" t="n">
        <v>1763</v>
      </c>
      <c r="E4981" s="2" t="n">
        <v>1763</v>
      </c>
      <c r="F4981" s="2" t="n">
        <v>0</v>
      </c>
      <c r="G4981" s="2" t="n">
        <v>0</v>
      </c>
      <c r="H4981" s="2" t="n">
        <v>0</v>
      </c>
      <c r="I4981" s="2" t="n">
        <v>0</v>
      </c>
    </row>
    <row r="4982">
      <c r="A4982" s="2" t="n">
        <v>4980</v>
      </c>
      <c r="B4982" s="2" t="inlineStr">
        <is>
          <t>insert</t>
        </is>
      </c>
      <c r="C4982" s="2" t="inlineStr">
        <is>
          <t>openssl X25519 only (classical)</t>
        </is>
      </c>
      <c r="D4982" s="2" t="n">
        <v>317</v>
      </c>
      <c r="E4982" s="2" t="n">
        <v>317</v>
      </c>
      <c r="F4982" s="2" t="n">
        <v>1</v>
      </c>
      <c r="G4982" s="2" t="n">
        <v>1</v>
      </c>
      <c r="H4982" s="2" t="n">
        <v>1</v>
      </c>
      <c r="I4982" s="2" t="n">
        <v>0</v>
      </c>
    </row>
    <row r="4983">
      <c r="A4983" s="2" t="n">
        <v>4981</v>
      </c>
      <c r="B4983" s="2" t="inlineStr">
        <is>
          <t>flip</t>
        </is>
      </c>
      <c r="C4983" s="2" t="inlineStr">
        <is>
          <t>browser chrome150</t>
        </is>
      </c>
      <c r="D4983" s="2" t="n">
        <v>1763</v>
      </c>
      <c r="E4983" s="2" t="n">
        <v>1763</v>
      </c>
      <c r="F4983" s="2" t="n">
        <v>1</v>
      </c>
      <c r="G4983" s="2" t="n">
        <v>1</v>
      </c>
      <c r="H4983" s="2" t="n">
        <v>1</v>
      </c>
      <c r="I4983" s="2" t="n">
        <v>0</v>
      </c>
    </row>
    <row r="4984">
      <c r="A4984" s="2" t="n">
        <v>4982</v>
      </c>
      <c r="B4984" s="2" t="inlineStr">
        <is>
          <t>truncate</t>
        </is>
      </c>
      <c r="C4984" s="2" t="inlineStr">
        <is>
          <t>openssl X25519 only (classical)</t>
        </is>
      </c>
      <c r="D4984" s="2" t="n">
        <v>255</v>
      </c>
      <c r="E4984" s="2" t="n">
        <v>255</v>
      </c>
      <c r="F4984" s="2" t="n">
        <v>1</v>
      </c>
      <c r="G4984" s="2" t="n">
        <v>1</v>
      </c>
      <c r="H4984" s="2" t="n">
        <v>0</v>
      </c>
      <c r="I4984" s="2" t="n">
        <v>0</v>
      </c>
    </row>
    <row r="4985">
      <c r="A4985" s="2" t="n">
        <v>4983</v>
      </c>
      <c r="B4985" s="2" t="inlineStr">
        <is>
          <t>length</t>
        </is>
      </c>
      <c r="C4985" s="2" t="inlineStr">
        <is>
          <t>browser chrome150</t>
        </is>
      </c>
      <c r="D4985" s="2" t="n">
        <v>1763</v>
      </c>
      <c r="E4985" s="2" t="n">
        <v>1763</v>
      </c>
      <c r="F4985" s="2" t="n">
        <v>1</v>
      </c>
      <c r="G4985" s="2" t="n">
        <v>1</v>
      </c>
      <c r="H4985" s="2" t="n">
        <v>1</v>
      </c>
      <c r="I4985" s="2" t="n">
        <v>0</v>
      </c>
    </row>
    <row r="4986">
      <c r="A4986" s="2" t="n">
        <v>4984</v>
      </c>
      <c r="B4986" s="2" t="inlineStr">
        <is>
          <t>insert</t>
        </is>
      </c>
      <c r="C4986" s="2" t="inlineStr">
        <is>
          <t>browser firefox147</t>
        </is>
      </c>
      <c r="D4986" s="2" t="n">
        <v>1902</v>
      </c>
      <c r="E4986" s="2" t="n">
        <v>1902</v>
      </c>
      <c r="F4986" s="2" t="n">
        <v>1</v>
      </c>
      <c r="G4986" s="2" t="n">
        <v>1</v>
      </c>
      <c r="H4986" s="2" t="n">
        <v>1</v>
      </c>
      <c r="I4986" s="2" t="n">
        <v>0</v>
      </c>
    </row>
    <row r="4987">
      <c r="A4987" s="2" t="n">
        <v>4985</v>
      </c>
      <c r="B4987" s="2" t="inlineStr">
        <is>
          <t>flip</t>
        </is>
      </c>
      <c r="C4987" s="2" t="inlineStr">
        <is>
          <t>openssl X25519 only (classical)</t>
        </is>
      </c>
      <c r="D4987" s="2" t="n">
        <v>314</v>
      </c>
      <c r="E4987" s="2" t="n">
        <v>314</v>
      </c>
      <c r="F4987" s="2" t="n">
        <v>1</v>
      </c>
      <c r="G4987" s="2" t="n">
        <v>1</v>
      </c>
      <c r="H4987" s="2" t="n">
        <v>1</v>
      </c>
      <c r="I4987" s="2" t="n">
        <v>0</v>
      </c>
    </row>
    <row r="4988">
      <c r="A4988" s="2" t="n">
        <v>4986</v>
      </c>
      <c r="B4988" s="2" t="inlineStr">
        <is>
          <t>truncate</t>
        </is>
      </c>
      <c r="C4988" s="2" t="inlineStr">
        <is>
          <t>openssl 3.5.8 default</t>
        </is>
      </c>
      <c r="D4988" s="2" t="n">
        <v>989</v>
      </c>
      <c r="E4988" s="2" t="n">
        <v>989</v>
      </c>
      <c r="F4988" s="2" t="n">
        <v>1</v>
      </c>
      <c r="G4988" s="2" t="n">
        <v>1</v>
      </c>
      <c r="H4988" s="2" t="n">
        <v>1</v>
      </c>
      <c r="I4988" s="2" t="n">
        <v>0</v>
      </c>
    </row>
    <row r="4989">
      <c r="A4989" s="2" t="n">
        <v>4987</v>
      </c>
      <c r="B4989" s="2" t="inlineStr">
        <is>
          <t>length</t>
        </is>
      </c>
      <c r="C4989" s="2" t="inlineStr">
        <is>
          <t>browser firefox147</t>
        </is>
      </c>
      <c r="D4989" s="2" t="n">
        <v>1901</v>
      </c>
      <c r="E4989" s="2" t="n">
        <v>1901</v>
      </c>
      <c r="F4989" s="2" t="n">
        <v>1</v>
      </c>
      <c r="G4989" s="2" t="n">
        <v>1</v>
      </c>
      <c r="H4989" s="2" t="n">
        <v>0</v>
      </c>
      <c r="I4989" s="2" t="n">
        <v>0</v>
      </c>
    </row>
    <row r="4990">
      <c r="A4990" s="2" t="n">
        <v>4988</v>
      </c>
      <c r="B4990" s="2" t="inlineStr">
        <is>
          <t>insert</t>
        </is>
      </c>
      <c r="C4990" s="2" t="inlineStr">
        <is>
          <t>browser chrome150</t>
        </is>
      </c>
      <c r="D4990" s="2" t="n">
        <v>1776</v>
      </c>
      <c r="E4990" s="2" t="n">
        <v>1776</v>
      </c>
      <c r="F4990" s="2" t="n">
        <v>1</v>
      </c>
      <c r="G4990" s="2" t="n">
        <v>1</v>
      </c>
      <c r="H4990" s="2" t="n">
        <v>1</v>
      </c>
      <c r="I4990" s="2" t="n">
        <v>0</v>
      </c>
    </row>
    <row r="4991">
      <c r="A4991" s="2" t="n">
        <v>4989</v>
      </c>
      <c r="B4991" s="2" t="inlineStr">
        <is>
          <t>flip</t>
        </is>
      </c>
      <c r="C4991" s="2" t="inlineStr">
        <is>
          <t>browser firefox147</t>
        </is>
      </c>
      <c r="D4991" s="2" t="n">
        <v>1901</v>
      </c>
      <c r="E4991" s="2" t="n">
        <v>1901</v>
      </c>
      <c r="F4991" s="2" t="n">
        <v>1</v>
      </c>
      <c r="G4991" s="2" t="n">
        <v>1</v>
      </c>
      <c r="H4991" s="2" t="n">
        <v>0</v>
      </c>
      <c r="I4991" s="2" t="n">
        <v>0</v>
      </c>
    </row>
    <row r="4992">
      <c r="A4992" s="2" t="n">
        <v>4990</v>
      </c>
      <c r="B4992" s="2" t="inlineStr">
        <is>
          <t>truncate</t>
        </is>
      </c>
      <c r="C4992" s="2" t="inlineStr">
        <is>
          <t>openssl TLS 1.2 only</t>
        </is>
      </c>
      <c r="D4992" s="2" t="n">
        <v>162</v>
      </c>
      <c r="E4992" s="2" t="n">
        <v>162</v>
      </c>
      <c r="F4992" s="2" t="n">
        <v>1</v>
      </c>
      <c r="G4992" s="2" t="n">
        <v>1</v>
      </c>
      <c r="H4992" s="2" t="n">
        <v>0</v>
      </c>
      <c r="I4992" s="2" t="n">
        <v>0</v>
      </c>
    </row>
    <row r="4993">
      <c r="A4993" s="2" t="n">
        <v>4991</v>
      </c>
      <c r="B4993" s="2" t="inlineStr">
        <is>
          <t>length</t>
        </is>
      </c>
      <c r="C4993" s="2" t="inlineStr">
        <is>
          <t>openssl X25519 only (classical)</t>
        </is>
      </c>
      <c r="D4993" s="2" t="n">
        <v>314</v>
      </c>
      <c r="E4993" s="2" t="n">
        <v>314</v>
      </c>
      <c r="F4993" s="2" t="n">
        <v>1</v>
      </c>
      <c r="G4993" s="2" t="n">
        <v>1</v>
      </c>
      <c r="H4993" s="2" t="n">
        <v>1</v>
      </c>
      <c r="I4993" s="2" t="n">
        <v>0</v>
      </c>
    </row>
    <row r="4994">
      <c r="A4994" s="2" t="n">
        <v>4992</v>
      </c>
      <c r="B4994" s="2" t="inlineStr">
        <is>
          <t>insert</t>
        </is>
      </c>
      <c r="C4994" s="2" t="inlineStr">
        <is>
          <t>openssl X25519 only (classical)</t>
        </is>
      </c>
      <c r="D4994" s="2" t="n">
        <v>321</v>
      </c>
      <c r="E4994" s="2" t="n">
        <v>321</v>
      </c>
      <c r="F4994" s="2" t="n">
        <v>1</v>
      </c>
      <c r="G4994" s="2" t="n">
        <v>1</v>
      </c>
      <c r="H4994" s="2" t="n">
        <v>1</v>
      </c>
      <c r="I4994" s="2" t="n">
        <v>0</v>
      </c>
    </row>
    <row r="4995">
      <c r="A4995" s="2" t="n">
        <v>4993</v>
      </c>
      <c r="B4995" s="2" t="inlineStr">
        <is>
          <t>flip</t>
        </is>
      </c>
      <c r="C4995" s="2" t="inlineStr">
        <is>
          <t>browser firefox147</t>
        </is>
      </c>
      <c r="D4995" s="2" t="n">
        <v>1901</v>
      </c>
      <c r="E4995" s="2" t="n">
        <v>1901</v>
      </c>
      <c r="F4995" s="2" t="n">
        <v>1</v>
      </c>
      <c r="G4995" s="2" t="n">
        <v>1</v>
      </c>
      <c r="H4995" s="2" t="n">
        <v>0</v>
      </c>
      <c r="I4995" s="2" t="n">
        <v>0</v>
      </c>
    </row>
    <row r="4996">
      <c r="A4996" s="2" t="n">
        <v>4994</v>
      </c>
      <c r="B4996" s="2" t="inlineStr">
        <is>
          <t>truncate</t>
        </is>
      </c>
      <c r="C4996" s="2" t="inlineStr">
        <is>
          <t>browser chrome150</t>
        </is>
      </c>
      <c r="D4996" s="2" t="n">
        <v>1454</v>
      </c>
      <c r="E4996" s="2" t="n">
        <v>1454</v>
      </c>
      <c r="F4996" s="2" t="n">
        <v>1</v>
      </c>
      <c r="G4996" s="2" t="n">
        <v>1</v>
      </c>
      <c r="H4996" s="2" t="n">
        <v>1</v>
      </c>
      <c r="I4996" s="2" t="n">
        <v>0</v>
      </c>
    </row>
    <row r="4997">
      <c r="A4997" s="2" t="n">
        <v>4995</v>
      </c>
      <c r="B4997" s="2" t="inlineStr">
        <is>
          <t>length</t>
        </is>
      </c>
      <c r="C4997" s="2" t="inlineStr">
        <is>
          <t>openssl TLS 1.2 only</t>
        </is>
      </c>
      <c r="D4997" s="2" t="n">
        <v>215</v>
      </c>
      <c r="E4997" s="2" t="n">
        <v>215</v>
      </c>
      <c r="F4997" s="2" t="n">
        <v>1</v>
      </c>
      <c r="G4997" s="2" t="n">
        <v>1</v>
      </c>
      <c r="H4997" s="2" t="n">
        <v>0</v>
      </c>
      <c r="I4997" s="2" t="n">
        <v>0</v>
      </c>
    </row>
    <row r="4998">
      <c r="A4998" s="2" t="n">
        <v>4996</v>
      </c>
      <c r="B4998" s="2" t="inlineStr">
        <is>
          <t>insert</t>
        </is>
      </c>
      <c r="C4998" s="2" t="inlineStr">
        <is>
          <t>openssl 3.5.8 default</t>
        </is>
      </c>
      <c r="D4998" s="2" t="n">
        <v>1560</v>
      </c>
      <c r="E4998" s="2" t="n">
        <v>1560</v>
      </c>
      <c r="F4998" s="2" t="n">
        <v>1</v>
      </c>
      <c r="G4998" s="2" t="n">
        <v>1</v>
      </c>
      <c r="H4998" s="2" t="n">
        <v>1</v>
      </c>
      <c r="I4998" s="2" t="n">
        <v>0</v>
      </c>
    </row>
    <row r="4999">
      <c r="A4999" s="2" t="n">
        <v>4997</v>
      </c>
      <c r="B4999" s="2" t="inlineStr">
        <is>
          <t>flip</t>
        </is>
      </c>
      <c r="C4999" s="2" t="inlineStr">
        <is>
          <t>openssl TLS 1.2 only</t>
        </is>
      </c>
      <c r="D4999" s="2" t="n">
        <v>215</v>
      </c>
      <c r="E4999" s="2" t="n">
        <v>215</v>
      </c>
      <c r="F4999" s="2" t="n">
        <v>1</v>
      </c>
      <c r="G4999" s="2" t="n">
        <v>1</v>
      </c>
      <c r="H4999" s="2" t="n">
        <v>1</v>
      </c>
      <c r="I4999" s="2" t="n">
        <v>0</v>
      </c>
    </row>
    <row r="5000">
      <c r="A5000" s="2" t="n">
        <v>4998</v>
      </c>
      <c r="B5000" s="2" t="inlineStr">
        <is>
          <t>truncate</t>
        </is>
      </c>
      <c r="C5000" s="2" t="inlineStr">
        <is>
          <t>openssl 3.5.8 default</t>
        </is>
      </c>
      <c r="D5000" s="2" t="n">
        <v>1238</v>
      </c>
      <c r="E5000" s="2" t="n">
        <v>1238</v>
      </c>
      <c r="F5000" s="2" t="n">
        <v>1</v>
      </c>
      <c r="G5000" s="2" t="n">
        <v>1</v>
      </c>
      <c r="H5000" s="2" t="n">
        <v>1</v>
      </c>
      <c r="I5000" s="2" t="n">
        <v>0</v>
      </c>
    </row>
    <row r="5001">
      <c r="A5001" s="2" t="n">
        <v>4999</v>
      </c>
      <c r="B5001" s="2" t="inlineStr">
        <is>
          <t>length</t>
        </is>
      </c>
      <c r="C5001" s="2" t="inlineStr">
        <is>
          <t>openssl 3.5.8 default</t>
        </is>
      </c>
      <c r="D5001" s="2" t="n">
        <v>1548</v>
      </c>
      <c r="E5001" s="2" t="n">
        <v>1548</v>
      </c>
      <c r="F5001" s="2" t="n">
        <v>1</v>
      </c>
      <c r="G5001" s="2" t="n">
        <v>0</v>
      </c>
      <c r="H5001" s="2" t="n">
        <v>0</v>
      </c>
      <c r="I5001" s="2" t="n">
        <v>0</v>
      </c>
    </row>
    <row r="5002">
      <c r="A5002" s="2" t="n">
        <v>5000</v>
      </c>
      <c r="B5002" s="2" t="inlineStr">
        <is>
          <t>insert</t>
        </is>
      </c>
      <c r="C5002" s="2" t="inlineStr">
        <is>
          <t>browser firefox147</t>
        </is>
      </c>
      <c r="D5002" s="2" t="n">
        <v>1916</v>
      </c>
      <c r="E5002" s="2" t="n">
        <v>1916</v>
      </c>
      <c r="F5002" s="2" t="n">
        <v>1</v>
      </c>
      <c r="G5002" s="2" t="n">
        <v>1</v>
      </c>
      <c r="H5002" s="2" t="n">
        <v>0</v>
      </c>
      <c r="I5002" s="2" t="n">
        <v>0</v>
      </c>
    </row>
    <row r="5003">
      <c r="A5003" s="2" t="n">
        <v>5001</v>
      </c>
      <c r="B5003" s="2" t="inlineStr">
        <is>
          <t>flip</t>
        </is>
      </c>
      <c r="C5003" s="2" t="inlineStr">
        <is>
          <t>openssl TLS 1.2 only</t>
        </is>
      </c>
      <c r="D5003" s="2" t="n">
        <v>215</v>
      </c>
      <c r="E5003" s="2" t="n">
        <v>215</v>
      </c>
      <c r="F5003" s="2" t="n">
        <v>1</v>
      </c>
      <c r="G5003" s="2" t="n">
        <v>1</v>
      </c>
      <c r="H5003" s="2" t="n">
        <v>1</v>
      </c>
      <c r="I5003" s="2" t="n">
        <v>0</v>
      </c>
    </row>
    <row r="5004">
      <c r="A5004" s="2" t="n">
        <v>5002</v>
      </c>
      <c r="B5004" s="2" t="inlineStr">
        <is>
          <t>truncate</t>
        </is>
      </c>
      <c r="C5004" s="2" t="inlineStr">
        <is>
          <t>openssl TLS 1.2 only</t>
        </is>
      </c>
      <c r="D5004" s="2" t="n">
        <v>103</v>
      </c>
      <c r="E5004" s="2" t="n">
        <v>103</v>
      </c>
      <c r="F5004" s="2" t="n">
        <v>1</v>
      </c>
      <c r="G5004" s="2" t="n">
        <v>1</v>
      </c>
      <c r="H5004" s="2" t="n">
        <v>0</v>
      </c>
      <c r="I5004" s="2" t="n">
        <v>0</v>
      </c>
    </row>
    <row r="5005">
      <c r="A5005" s="2" t="n">
        <v>5003</v>
      </c>
      <c r="B5005" s="2" t="inlineStr">
        <is>
          <t>length</t>
        </is>
      </c>
      <c r="C5005" s="2" t="inlineStr">
        <is>
          <t>browser chrome150</t>
        </is>
      </c>
      <c r="D5005" s="2" t="n">
        <v>1763</v>
      </c>
      <c r="E5005" s="2" t="n">
        <v>1763</v>
      </c>
      <c r="F5005" s="2" t="n">
        <v>1</v>
      </c>
      <c r="G5005" s="2" t="n">
        <v>1</v>
      </c>
      <c r="H5005" s="2" t="n">
        <v>1</v>
      </c>
      <c r="I5005" s="2" t="n">
        <v>0</v>
      </c>
    </row>
    <row r="5006">
      <c r="A5006" s="2" t="n">
        <v>5004</v>
      </c>
      <c r="B5006" s="2" t="inlineStr">
        <is>
          <t>insert</t>
        </is>
      </c>
      <c r="C5006" s="2" t="inlineStr">
        <is>
          <t>openssl TLS 1.2 only</t>
        </is>
      </c>
      <c r="D5006" s="2" t="n">
        <v>231</v>
      </c>
      <c r="E5006" s="2" t="n">
        <v>231</v>
      </c>
      <c r="F5006" s="2" t="n">
        <v>1</v>
      </c>
      <c r="G5006" s="2" t="n">
        <v>1</v>
      </c>
      <c r="H5006" s="2" t="n">
        <v>1</v>
      </c>
      <c r="I5006" s="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4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0" customWidth="1" min="4" max="4"/>
    <col width="34" customWidth="1" min="5" max="5"/>
    <col width="14" customWidth="1" min="6" max="6"/>
    <col width="10" customWidth="1" min="7" max="7"/>
    <col width="19" customWidth="1" min="8" max="8"/>
    <col width="18" customWidth="1" min="9" max="9"/>
    <col width="14" customWidth="1" min="10" max="10"/>
    <col width="15" customWidth="1" min="11" max="11"/>
    <col width="15" customWidth="1" min="12" max="12"/>
    <col width="14" customWidth="1" min="13" max="13"/>
    <col width="15" customWidth="1" min="14" max="14"/>
    <col width="10" customWidth="1" min="15" max="15"/>
    <col width="11" customWidth="1" min="16" max="16"/>
  </cols>
  <sheetData>
    <row r="1">
      <c r="A1" s="4" t="inlineStr">
        <is>
          <t>Arm</t>
        </is>
      </c>
      <c r="B1" s="4" t="inlineStr">
        <is>
          <t>MTU</t>
        </is>
      </c>
      <c r="C1" s="4" t="inlineStr">
        <is>
          <t>Timestamps</t>
        </is>
      </c>
      <c r="D1" s="4" t="inlineStr">
        <is>
          <t>MSS</t>
        </is>
      </c>
      <c r="E1" s="4" t="inlineStr">
        <is>
          <t>Client</t>
        </is>
      </c>
      <c r="F1" s="4" t="inlineStr">
        <is>
          <t>Post-quantum</t>
        </is>
      </c>
      <c r="G1" s="4" t="inlineStr">
        <is>
          <t>Rep</t>
        </is>
      </c>
      <c r="H1" s="4" t="inlineStr">
        <is>
          <t>Server record_len</t>
        </is>
      </c>
      <c r="I1" s="4" t="inlineStr">
        <is>
          <t>Event record_len</t>
        </is>
      </c>
      <c r="J1" s="4" t="inlineStr">
        <is>
          <t>captured_len</t>
        </is>
      </c>
      <c r="K1" s="4" t="inlineStr">
        <is>
          <t>Split (truth)</t>
        </is>
      </c>
      <c r="L1" s="4" t="inlineStr">
        <is>
          <t>Flagged split</t>
        </is>
      </c>
      <c r="M1" s="4" t="inlineStr">
        <is>
          <t>ciphers_seen</t>
        </is>
      </c>
      <c r="N1" s="4" t="inlineStr">
        <is>
          <t>versions_seen</t>
        </is>
      </c>
      <c r="O1" s="4" t="inlineStr">
        <is>
          <t>Verdict</t>
        </is>
      </c>
      <c r="P1" s="4" t="inlineStr">
        <is>
          <t>Decidable</t>
        </is>
      </c>
    </row>
    <row r="2">
      <c r="A2" s="2" t="inlineStr">
        <is>
          <t>1280-off</t>
        </is>
      </c>
      <c r="B2" s="2" t="n">
        <v>1280</v>
      </c>
      <c r="C2" s="2" t="inlineStr">
        <is>
          <t>off</t>
        </is>
      </c>
      <c r="D2" s="2" t="n">
        <v>1240</v>
      </c>
      <c r="E2" s="2" t="inlineStr">
        <is>
          <t>openssl 3.5.8 default</t>
        </is>
      </c>
      <c r="F2" s="2" t="b">
        <v>1</v>
      </c>
      <c r="G2" s="2" t="n">
        <v>1</v>
      </c>
      <c r="H2" s="2" t="n">
        <v>1543</v>
      </c>
      <c r="I2" s="2" t="n">
        <v>1543</v>
      </c>
      <c r="J2" s="2" t="n">
        <v>1235</v>
      </c>
      <c r="K2" s="2">
        <f>H2+5&gt;D2</f>
        <v/>
      </c>
      <c r="L2" s="2">
        <f>J2&lt;I2</f>
        <v/>
      </c>
      <c r="M2" s="2" t="b">
        <v>1</v>
      </c>
      <c r="N2" s="2" t="b">
        <v>1</v>
      </c>
      <c r="O2" s="2" t="inlineStr">
        <is>
          <t>allow</t>
        </is>
      </c>
      <c r="P2" s="2">
        <f>O2&lt;&gt;"unknown"</f>
        <v/>
      </c>
    </row>
    <row r="3">
      <c r="A3" s="2" t="inlineStr">
        <is>
          <t>1280-off</t>
        </is>
      </c>
      <c r="B3" s="2" t="n">
        <v>1280</v>
      </c>
      <c r="C3" s="2" t="inlineStr">
        <is>
          <t>off</t>
        </is>
      </c>
      <c r="D3" s="2" t="n">
        <v>1240</v>
      </c>
      <c r="E3" s="2" t="inlineStr">
        <is>
          <t>openssl 3.5.8 default</t>
        </is>
      </c>
      <c r="F3" s="2" t="b">
        <v>1</v>
      </c>
      <c r="G3" s="2" t="n">
        <v>2</v>
      </c>
      <c r="H3" s="2" t="n">
        <v>1543</v>
      </c>
      <c r="I3" s="2" t="n">
        <v>1543</v>
      </c>
      <c r="J3" s="2" t="n">
        <v>1235</v>
      </c>
      <c r="K3" s="2">
        <f>H3+5&gt;D3</f>
        <v/>
      </c>
      <c r="L3" s="2">
        <f>J3&lt;I3</f>
        <v/>
      </c>
      <c r="M3" s="2" t="b">
        <v>1</v>
      </c>
      <c r="N3" s="2" t="b">
        <v>1</v>
      </c>
      <c r="O3" s="2" t="inlineStr">
        <is>
          <t>allow</t>
        </is>
      </c>
      <c r="P3" s="2">
        <f>O3&lt;&gt;"unknown"</f>
        <v/>
      </c>
    </row>
    <row r="4">
      <c r="A4" s="2" t="inlineStr">
        <is>
          <t>1280-off</t>
        </is>
      </c>
      <c r="B4" s="2" t="n">
        <v>1280</v>
      </c>
      <c r="C4" s="2" t="inlineStr">
        <is>
          <t>off</t>
        </is>
      </c>
      <c r="D4" s="2" t="n">
        <v>1240</v>
      </c>
      <c r="E4" s="2" t="inlineStr">
        <is>
          <t>openssl 3.5.8 default</t>
        </is>
      </c>
      <c r="F4" s="2" t="b">
        <v>1</v>
      </c>
      <c r="G4" s="2" t="n">
        <v>3</v>
      </c>
      <c r="H4" s="2" t="n">
        <v>1543</v>
      </c>
      <c r="I4" s="2" t="n">
        <v>1543</v>
      </c>
      <c r="J4" s="2" t="n">
        <v>1235</v>
      </c>
      <c r="K4" s="2">
        <f>H4+5&gt;D4</f>
        <v/>
      </c>
      <c r="L4" s="2">
        <f>J4&lt;I4</f>
        <v/>
      </c>
      <c r="M4" s="2" t="b">
        <v>1</v>
      </c>
      <c r="N4" s="2" t="b">
        <v>1</v>
      </c>
      <c r="O4" s="2" t="inlineStr">
        <is>
          <t>allow</t>
        </is>
      </c>
      <c r="P4" s="2">
        <f>O4&lt;&gt;"unknown"</f>
        <v/>
      </c>
    </row>
    <row r="5">
      <c r="A5" s="2" t="inlineStr">
        <is>
          <t>1280-off</t>
        </is>
      </c>
      <c r="B5" s="2" t="n">
        <v>1280</v>
      </c>
      <c r="C5" s="2" t="inlineStr">
        <is>
          <t>off</t>
        </is>
      </c>
      <c r="D5" s="2" t="n">
        <v>1240</v>
      </c>
      <c r="E5" s="2" t="inlineStr">
        <is>
          <t>openssl 3.5.8 default</t>
        </is>
      </c>
      <c r="F5" s="2" t="b">
        <v>1</v>
      </c>
      <c r="G5" s="2" t="n">
        <v>4</v>
      </c>
      <c r="H5" s="2" t="n">
        <v>1543</v>
      </c>
      <c r="I5" s="2" t="n">
        <v>1543</v>
      </c>
      <c r="J5" s="2" t="n">
        <v>1235</v>
      </c>
      <c r="K5" s="2">
        <f>H5+5&gt;D5</f>
        <v/>
      </c>
      <c r="L5" s="2">
        <f>J5&lt;I5</f>
        <v/>
      </c>
      <c r="M5" s="2" t="b">
        <v>1</v>
      </c>
      <c r="N5" s="2" t="b">
        <v>1</v>
      </c>
      <c r="O5" s="2" t="inlineStr">
        <is>
          <t>allow</t>
        </is>
      </c>
      <c r="P5" s="2">
        <f>O5&lt;&gt;"unknown"</f>
        <v/>
      </c>
    </row>
    <row r="6">
      <c r="A6" s="2" t="inlineStr">
        <is>
          <t>1280-off</t>
        </is>
      </c>
      <c r="B6" s="2" t="n">
        <v>1280</v>
      </c>
      <c r="C6" s="2" t="inlineStr">
        <is>
          <t>off</t>
        </is>
      </c>
      <c r="D6" s="2" t="n">
        <v>1240</v>
      </c>
      <c r="E6" s="2" t="inlineStr">
        <is>
          <t>openssl 3.5.8 default</t>
        </is>
      </c>
      <c r="F6" s="2" t="b">
        <v>1</v>
      </c>
      <c r="G6" s="2" t="n">
        <v>5</v>
      </c>
      <c r="H6" s="2" t="n">
        <v>1543</v>
      </c>
      <c r="I6" s="2" t="n">
        <v>1543</v>
      </c>
      <c r="J6" s="2" t="n">
        <v>1235</v>
      </c>
      <c r="K6" s="2">
        <f>H6+5&gt;D6</f>
        <v/>
      </c>
      <c r="L6" s="2">
        <f>J6&lt;I6</f>
        <v/>
      </c>
      <c r="M6" s="2" t="b">
        <v>1</v>
      </c>
      <c r="N6" s="2" t="b">
        <v>1</v>
      </c>
      <c r="O6" s="2" t="inlineStr">
        <is>
          <t>allow</t>
        </is>
      </c>
      <c r="P6" s="2">
        <f>O6&lt;&gt;"unknown"</f>
        <v/>
      </c>
    </row>
    <row r="7">
      <c r="A7" s="2" t="inlineStr">
        <is>
          <t>1280-off</t>
        </is>
      </c>
      <c r="B7" s="2" t="n">
        <v>1280</v>
      </c>
      <c r="C7" s="2" t="inlineStr">
        <is>
          <t>off</t>
        </is>
      </c>
      <c r="D7" s="2" t="n">
        <v>1240</v>
      </c>
      <c r="E7" s="2" t="inlineStr">
        <is>
          <t>openssl X25519 only (classical)</t>
        </is>
      </c>
      <c r="F7" s="2" t="b">
        <v>0</v>
      </c>
      <c r="G7" s="2" t="n">
        <v>1</v>
      </c>
      <c r="H7" s="2" t="n">
        <v>309</v>
      </c>
      <c r="I7" s="2" t="n">
        <v>309</v>
      </c>
      <c r="J7" s="2" t="n">
        <v>309</v>
      </c>
      <c r="K7" s="2">
        <f>H7+5&gt;D7</f>
        <v/>
      </c>
      <c r="L7" s="2">
        <f>J7&lt;I7</f>
        <v/>
      </c>
      <c r="M7" s="2" t="b">
        <v>1</v>
      </c>
      <c r="N7" s="2" t="b">
        <v>1</v>
      </c>
      <c r="O7" s="2" t="inlineStr">
        <is>
          <t>allow</t>
        </is>
      </c>
      <c r="P7" s="2">
        <f>O7&lt;&gt;"unknown"</f>
        <v/>
      </c>
    </row>
    <row r="8">
      <c r="A8" s="2" t="inlineStr">
        <is>
          <t>1280-off</t>
        </is>
      </c>
      <c r="B8" s="2" t="n">
        <v>1280</v>
      </c>
      <c r="C8" s="2" t="inlineStr">
        <is>
          <t>off</t>
        </is>
      </c>
      <c r="D8" s="2" t="n">
        <v>1240</v>
      </c>
      <c r="E8" s="2" t="inlineStr">
        <is>
          <t>openssl X25519 only (classical)</t>
        </is>
      </c>
      <c r="F8" s="2" t="b">
        <v>0</v>
      </c>
      <c r="G8" s="2" t="n">
        <v>2</v>
      </c>
      <c r="H8" s="2" t="n">
        <v>309</v>
      </c>
      <c r="I8" s="2" t="n">
        <v>309</v>
      </c>
      <c r="J8" s="2" t="n">
        <v>309</v>
      </c>
      <c r="K8" s="2">
        <f>H8+5&gt;D8</f>
        <v/>
      </c>
      <c r="L8" s="2">
        <f>J8&lt;I8</f>
        <v/>
      </c>
      <c r="M8" s="2" t="b">
        <v>1</v>
      </c>
      <c r="N8" s="2" t="b">
        <v>1</v>
      </c>
      <c r="O8" s="2" t="inlineStr">
        <is>
          <t>allow</t>
        </is>
      </c>
      <c r="P8" s="2">
        <f>O8&lt;&gt;"unknown"</f>
        <v/>
      </c>
    </row>
    <row r="9">
      <c r="A9" s="2" t="inlineStr">
        <is>
          <t>1280-off</t>
        </is>
      </c>
      <c r="B9" s="2" t="n">
        <v>1280</v>
      </c>
      <c r="C9" s="2" t="inlineStr">
        <is>
          <t>off</t>
        </is>
      </c>
      <c r="D9" s="2" t="n">
        <v>1240</v>
      </c>
      <c r="E9" s="2" t="inlineStr">
        <is>
          <t>openssl X25519 only (classical)</t>
        </is>
      </c>
      <c r="F9" s="2" t="b">
        <v>0</v>
      </c>
      <c r="G9" s="2" t="n">
        <v>3</v>
      </c>
      <c r="H9" s="2" t="n">
        <v>309</v>
      </c>
      <c r="I9" s="2" t="n">
        <v>309</v>
      </c>
      <c r="J9" s="2" t="n">
        <v>309</v>
      </c>
      <c r="K9" s="2">
        <f>H9+5&gt;D9</f>
        <v/>
      </c>
      <c r="L9" s="2">
        <f>J9&lt;I9</f>
        <v/>
      </c>
      <c r="M9" s="2" t="b">
        <v>1</v>
      </c>
      <c r="N9" s="2" t="b">
        <v>1</v>
      </c>
      <c r="O9" s="2" t="inlineStr">
        <is>
          <t>allow</t>
        </is>
      </c>
      <c r="P9" s="2">
        <f>O9&lt;&gt;"unknown"</f>
        <v/>
      </c>
    </row>
    <row r="10">
      <c r="A10" s="2" t="inlineStr">
        <is>
          <t>1280-off</t>
        </is>
      </c>
      <c r="B10" s="2" t="n">
        <v>1280</v>
      </c>
      <c r="C10" s="2" t="inlineStr">
        <is>
          <t>off</t>
        </is>
      </c>
      <c r="D10" s="2" t="n">
        <v>1240</v>
      </c>
      <c r="E10" s="2" t="inlineStr">
        <is>
          <t>openssl X25519 only (classical)</t>
        </is>
      </c>
      <c r="F10" s="2" t="b">
        <v>0</v>
      </c>
      <c r="G10" s="2" t="n">
        <v>4</v>
      </c>
      <c r="H10" s="2" t="n">
        <v>309</v>
      </c>
      <c r="I10" s="2" t="n">
        <v>309</v>
      </c>
      <c r="J10" s="2" t="n">
        <v>309</v>
      </c>
      <c r="K10" s="2">
        <f>H10+5&gt;D10</f>
        <v/>
      </c>
      <c r="L10" s="2">
        <f>J10&lt;I10</f>
        <v/>
      </c>
      <c r="M10" s="2" t="b">
        <v>1</v>
      </c>
      <c r="N10" s="2" t="b">
        <v>1</v>
      </c>
      <c r="O10" s="2" t="inlineStr">
        <is>
          <t>allow</t>
        </is>
      </c>
      <c r="P10" s="2">
        <f>O10&lt;&gt;"unknown"</f>
        <v/>
      </c>
    </row>
    <row r="11">
      <c r="A11" s="2" t="inlineStr">
        <is>
          <t>1280-off</t>
        </is>
      </c>
      <c r="B11" s="2" t="n">
        <v>1280</v>
      </c>
      <c r="C11" s="2" t="inlineStr">
        <is>
          <t>off</t>
        </is>
      </c>
      <c r="D11" s="2" t="n">
        <v>1240</v>
      </c>
      <c r="E11" s="2" t="inlineStr">
        <is>
          <t>openssl X25519 only (classical)</t>
        </is>
      </c>
      <c r="F11" s="2" t="b">
        <v>0</v>
      </c>
      <c r="G11" s="2" t="n">
        <v>5</v>
      </c>
      <c r="H11" s="2" t="n">
        <v>309</v>
      </c>
      <c r="I11" s="2" t="n">
        <v>309</v>
      </c>
      <c r="J11" s="2" t="n">
        <v>309</v>
      </c>
      <c r="K11" s="2">
        <f>H11+5&gt;D11</f>
        <v/>
      </c>
      <c r="L11" s="2">
        <f>J11&lt;I11</f>
        <v/>
      </c>
      <c r="M11" s="2" t="b">
        <v>1</v>
      </c>
      <c r="N11" s="2" t="b">
        <v>1</v>
      </c>
      <c r="O11" s="2" t="inlineStr">
        <is>
          <t>allow</t>
        </is>
      </c>
      <c r="P11" s="2">
        <f>O11&lt;&gt;"unknown"</f>
        <v/>
      </c>
    </row>
    <row r="12">
      <c r="A12" s="2" t="inlineStr">
        <is>
          <t>1280-off</t>
        </is>
      </c>
      <c r="B12" s="2" t="n">
        <v>1280</v>
      </c>
      <c r="C12" s="2" t="inlineStr">
        <is>
          <t>off</t>
        </is>
      </c>
      <c r="D12" s="2" t="n">
        <v>1240</v>
      </c>
      <c r="E12" s="2" t="inlineStr">
        <is>
          <t>openssl secp256r1 only (classical)</t>
        </is>
      </c>
      <c r="F12" s="2" t="b">
        <v>0</v>
      </c>
      <c r="G12" s="2" t="n">
        <v>1</v>
      </c>
      <c r="H12" s="2" t="n">
        <v>342</v>
      </c>
      <c r="I12" s="2" t="n">
        <v>342</v>
      </c>
      <c r="J12" s="2" t="n">
        <v>342</v>
      </c>
      <c r="K12" s="2">
        <f>H12+5&gt;D12</f>
        <v/>
      </c>
      <c r="L12" s="2">
        <f>J12&lt;I12</f>
        <v/>
      </c>
      <c r="M12" s="2" t="b">
        <v>1</v>
      </c>
      <c r="N12" s="2" t="b">
        <v>1</v>
      </c>
      <c r="O12" s="2" t="inlineStr">
        <is>
          <t>allow</t>
        </is>
      </c>
      <c r="P12" s="2">
        <f>O12&lt;&gt;"unknown"</f>
        <v/>
      </c>
    </row>
    <row r="13">
      <c r="A13" s="2" t="inlineStr">
        <is>
          <t>1280-off</t>
        </is>
      </c>
      <c r="B13" s="2" t="n">
        <v>1280</v>
      </c>
      <c r="C13" s="2" t="inlineStr">
        <is>
          <t>off</t>
        </is>
      </c>
      <c r="D13" s="2" t="n">
        <v>1240</v>
      </c>
      <c r="E13" s="2" t="inlineStr">
        <is>
          <t>openssl secp256r1 only (classical)</t>
        </is>
      </c>
      <c r="F13" s="2" t="b">
        <v>0</v>
      </c>
      <c r="G13" s="2" t="n">
        <v>2</v>
      </c>
      <c r="H13" s="2" t="n">
        <v>342</v>
      </c>
      <c r="I13" s="2" t="n">
        <v>342</v>
      </c>
      <c r="J13" s="2" t="n">
        <v>342</v>
      </c>
      <c r="K13" s="2">
        <f>H13+5&gt;D13</f>
        <v/>
      </c>
      <c r="L13" s="2">
        <f>J13&lt;I13</f>
        <v/>
      </c>
      <c r="M13" s="2" t="b">
        <v>1</v>
      </c>
      <c r="N13" s="2" t="b">
        <v>1</v>
      </c>
      <c r="O13" s="2" t="inlineStr">
        <is>
          <t>allow</t>
        </is>
      </c>
      <c r="P13" s="2">
        <f>O13&lt;&gt;"unknown"</f>
        <v/>
      </c>
    </row>
    <row r="14">
      <c r="A14" s="2" t="inlineStr">
        <is>
          <t>1280-off</t>
        </is>
      </c>
      <c r="B14" s="2" t="n">
        <v>1280</v>
      </c>
      <c r="C14" s="2" t="inlineStr">
        <is>
          <t>off</t>
        </is>
      </c>
      <c r="D14" s="2" t="n">
        <v>1240</v>
      </c>
      <c r="E14" s="2" t="inlineStr">
        <is>
          <t>openssl secp256r1 only (classical)</t>
        </is>
      </c>
      <c r="F14" s="2" t="b">
        <v>0</v>
      </c>
      <c r="G14" s="2" t="n">
        <v>3</v>
      </c>
      <c r="H14" s="2" t="n">
        <v>342</v>
      </c>
      <c r="I14" s="2" t="n">
        <v>342</v>
      </c>
      <c r="J14" s="2" t="n">
        <v>342</v>
      </c>
      <c r="K14" s="2">
        <f>H14+5&gt;D14</f>
        <v/>
      </c>
      <c r="L14" s="2">
        <f>J14&lt;I14</f>
        <v/>
      </c>
      <c r="M14" s="2" t="b">
        <v>1</v>
      </c>
      <c r="N14" s="2" t="b">
        <v>1</v>
      </c>
      <c r="O14" s="2" t="inlineStr">
        <is>
          <t>allow</t>
        </is>
      </c>
      <c r="P14" s="2">
        <f>O14&lt;&gt;"unknown"</f>
        <v/>
      </c>
    </row>
    <row r="15">
      <c r="A15" s="2" t="inlineStr">
        <is>
          <t>1280-off</t>
        </is>
      </c>
      <c r="B15" s="2" t="n">
        <v>1280</v>
      </c>
      <c r="C15" s="2" t="inlineStr">
        <is>
          <t>off</t>
        </is>
      </c>
      <c r="D15" s="2" t="n">
        <v>1240</v>
      </c>
      <c r="E15" s="2" t="inlineStr">
        <is>
          <t>openssl secp256r1 only (classical)</t>
        </is>
      </c>
      <c r="F15" s="2" t="b">
        <v>0</v>
      </c>
      <c r="G15" s="2" t="n">
        <v>4</v>
      </c>
      <c r="H15" s="2" t="n">
        <v>342</v>
      </c>
      <c r="I15" s="2" t="n">
        <v>342</v>
      </c>
      <c r="J15" s="2" t="n">
        <v>342</v>
      </c>
      <c r="K15" s="2">
        <f>H15+5&gt;D15</f>
        <v/>
      </c>
      <c r="L15" s="2">
        <f>J15&lt;I15</f>
        <v/>
      </c>
      <c r="M15" s="2" t="b">
        <v>1</v>
      </c>
      <c r="N15" s="2" t="b">
        <v>1</v>
      </c>
      <c r="O15" s="2" t="inlineStr">
        <is>
          <t>allow</t>
        </is>
      </c>
      <c r="P15" s="2">
        <f>O15&lt;&gt;"unknown"</f>
        <v/>
      </c>
    </row>
    <row r="16">
      <c r="A16" s="2" t="inlineStr">
        <is>
          <t>1280-off</t>
        </is>
      </c>
      <c r="B16" s="2" t="n">
        <v>1280</v>
      </c>
      <c r="C16" s="2" t="inlineStr">
        <is>
          <t>off</t>
        </is>
      </c>
      <c r="D16" s="2" t="n">
        <v>1240</v>
      </c>
      <c r="E16" s="2" t="inlineStr">
        <is>
          <t>openssl secp256r1 only (classical)</t>
        </is>
      </c>
      <c r="F16" s="2" t="b">
        <v>0</v>
      </c>
      <c r="G16" s="2" t="n">
        <v>5</v>
      </c>
      <c r="H16" s="2" t="n">
        <v>342</v>
      </c>
      <c r="I16" s="2" t="n">
        <v>342</v>
      </c>
      <c r="J16" s="2" t="n">
        <v>342</v>
      </c>
      <c r="K16" s="2">
        <f>H16+5&gt;D16</f>
        <v/>
      </c>
      <c r="L16" s="2">
        <f>J16&lt;I16</f>
        <v/>
      </c>
      <c r="M16" s="2" t="b">
        <v>1</v>
      </c>
      <c r="N16" s="2" t="b">
        <v>1</v>
      </c>
      <c r="O16" s="2" t="inlineStr">
        <is>
          <t>allow</t>
        </is>
      </c>
      <c r="P16" s="2">
        <f>O16&lt;&gt;"unknown"</f>
        <v/>
      </c>
    </row>
    <row r="17">
      <c r="A17" s="2" t="inlineStr">
        <is>
          <t>1280-off</t>
        </is>
      </c>
      <c r="B17" s="2" t="n">
        <v>1280</v>
      </c>
      <c r="C17" s="2" t="inlineStr">
        <is>
          <t>off</t>
        </is>
      </c>
      <c r="D17" s="2" t="n">
        <v>1240</v>
      </c>
      <c r="E17" s="2" t="inlineStr">
        <is>
          <t>openssl X25519MLKEM768 only</t>
        </is>
      </c>
      <c r="F17" s="2" t="b">
        <v>1</v>
      </c>
      <c r="G17" s="2" t="n">
        <v>1</v>
      </c>
      <c r="H17" s="2" t="n">
        <v>1485</v>
      </c>
      <c r="I17" s="2" t="n">
        <v>1485</v>
      </c>
      <c r="J17" s="2" t="n">
        <v>1235</v>
      </c>
      <c r="K17" s="2">
        <f>H17+5&gt;D17</f>
        <v/>
      </c>
      <c r="L17" s="2">
        <f>J17&lt;I17</f>
        <v/>
      </c>
      <c r="M17" s="2" t="b">
        <v>1</v>
      </c>
      <c r="N17" s="2" t="b">
        <v>1</v>
      </c>
      <c r="O17" s="2" t="inlineStr">
        <is>
          <t>allow</t>
        </is>
      </c>
      <c r="P17" s="2">
        <f>O17&lt;&gt;"unknown"</f>
        <v/>
      </c>
    </row>
    <row r="18">
      <c r="A18" s="2" t="inlineStr">
        <is>
          <t>1280-off</t>
        </is>
      </c>
      <c r="B18" s="2" t="n">
        <v>1280</v>
      </c>
      <c r="C18" s="2" t="inlineStr">
        <is>
          <t>off</t>
        </is>
      </c>
      <c r="D18" s="2" t="n">
        <v>1240</v>
      </c>
      <c r="E18" s="2" t="inlineStr">
        <is>
          <t>openssl X25519MLKEM768 only</t>
        </is>
      </c>
      <c r="F18" s="2" t="b">
        <v>1</v>
      </c>
      <c r="G18" s="2" t="n">
        <v>2</v>
      </c>
      <c r="H18" s="2" t="n">
        <v>1485</v>
      </c>
      <c r="I18" s="2" t="n">
        <v>1485</v>
      </c>
      <c r="J18" s="2" t="n">
        <v>1235</v>
      </c>
      <c r="K18" s="2">
        <f>H18+5&gt;D18</f>
        <v/>
      </c>
      <c r="L18" s="2">
        <f>J18&lt;I18</f>
        <v/>
      </c>
      <c r="M18" s="2" t="b">
        <v>1</v>
      </c>
      <c r="N18" s="2" t="b">
        <v>1</v>
      </c>
      <c r="O18" s="2" t="inlineStr">
        <is>
          <t>allow</t>
        </is>
      </c>
      <c r="P18" s="2">
        <f>O18&lt;&gt;"unknown"</f>
        <v/>
      </c>
    </row>
    <row r="19">
      <c r="A19" s="2" t="inlineStr">
        <is>
          <t>1280-off</t>
        </is>
      </c>
      <c r="B19" s="2" t="n">
        <v>1280</v>
      </c>
      <c r="C19" s="2" t="inlineStr">
        <is>
          <t>off</t>
        </is>
      </c>
      <c r="D19" s="2" t="n">
        <v>1240</v>
      </c>
      <c r="E19" s="2" t="inlineStr">
        <is>
          <t>openssl X25519MLKEM768 only</t>
        </is>
      </c>
      <c r="F19" s="2" t="b">
        <v>1</v>
      </c>
      <c r="G19" s="2" t="n">
        <v>3</v>
      </c>
      <c r="H19" s="2" t="n">
        <v>1485</v>
      </c>
      <c r="I19" s="2" t="n">
        <v>1485</v>
      </c>
      <c r="J19" s="2" t="n">
        <v>1235</v>
      </c>
      <c r="K19" s="2">
        <f>H19+5&gt;D19</f>
        <v/>
      </c>
      <c r="L19" s="2">
        <f>J19&lt;I19</f>
        <v/>
      </c>
      <c r="M19" s="2" t="b">
        <v>1</v>
      </c>
      <c r="N19" s="2" t="b">
        <v>1</v>
      </c>
      <c r="O19" s="2" t="inlineStr">
        <is>
          <t>allow</t>
        </is>
      </c>
      <c r="P19" s="2">
        <f>O19&lt;&gt;"unknown"</f>
        <v/>
      </c>
    </row>
    <row r="20">
      <c r="A20" s="2" t="inlineStr">
        <is>
          <t>1280-off</t>
        </is>
      </c>
      <c r="B20" s="2" t="n">
        <v>1280</v>
      </c>
      <c r="C20" s="2" t="inlineStr">
        <is>
          <t>off</t>
        </is>
      </c>
      <c r="D20" s="2" t="n">
        <v>1240</v>
      </c>
      <c r="E20" s="2" t="inlineStr">
        <is>
          <t>openssl X25519MLKEM768 only</t>
        </is>
      </c>
      <c r="F20" s="2" t="b">
        <v>1</v>
      </c>
      <c r="G20" s="2" t="n">
        <v>4</v>
      </c>
      <c r="H20" s="2" t="n">
        <v>1485</v>
      </c>
      <c r="I20" s="2" t="n">
        <v>1485</v>
      </c>
      <c r="J20" s="2" t="n">
        <v>1235</v>
      </c>
      <c r="K20" s="2">
        <f>H20+5&gt;D20</f>
        <v/>
      </c>
      <c r="L20" s="2">
        <f>J20&lt;I20</f>
        <v/>
      </c>
      <c r="M20" s="2" t="b">
        <v>1</v>
      </c>
      <c r="N20" s="2" t="b">
        <v>1</v>
      </c>
      <c r="O20" s="2" t="inlineStr">
        <is>
          <t>allow</t>
        </is>
      </c>
      <c r="P20" s="2">
        <f>O20&lt;&gt;"unknown"</f>
        <v/>
      </c>
    </row>
    <row r="21">
      <c r="A21" s="2" t="inlineStr">
        <is>
          <t>1280-off</t>
        </is>
      </c>
      <c r="B21" s="2" t="n">
        <v>1280</v>
      </c>
      <c r="C21" s="2" t="inlineStr">
        <is>
          <t>off</t>
        </is>
      </c>
      <c r="D21" s="2" t="n">
        <v>1240</v>
      </c>
      <c r="E21" s="2" t="inlineStr">
        <is>
          <t>openssl X25519MLKEM768 only</t>
        </is>
      </c>
      <c r="F21" s="2" t="b">
        <v>1</v>
      </c>
      <c r="G21" s="2" t="n">
        <v>5</v>
      </c>
      <c r="H21" s="2" t="n">
        <v>1485</v>
      </c>
      <c r="I21" s="2" t="n">
        <v>1485</v>
      </c>
      <c r="J21" s="2" t="n">
        <v>1235</v>
      </c>
      <c r="K21" s="2">
        <f>H21+5&gt;D21</f>
        <v/>
      </c>
      <c r="L21" s="2">
        <f>J21&lt;I21</f>
        <v/>
      </c>
      <c r="M21" s="2" t="b">
        <v>1</v>
      </c>
      <c r="N21" s="2" t="b">
        <v>1</v>
      </c>
      <c r="O21" s="2" t="inlineStr">
        <is>
          <t>allow</t>
        </is>
      </c>
      <c r="P21" s="2">
        <f>O21&lt;&gt;"unknown"</f>
        <v/>
      </c>
    </row>
    <row r="22">
      <c r="A22" s="2" t="inlineStr">
        <is>
          <t>1280-off</t>
        </is>
      </c>
      <c r="B22" s="2" t="n">
        <v>1280</v>
      </c>
      <c r="C22" s="2" t="inlineStr">
        <is>
          <t>off</t>
        </is>
      </c>
      <c r="D22" s="2" t="n">
        <v>1240</v>
      </c>
      <c r="E22" s="2" t="inlineStr">
        <is>
          <t>openssl SecP256r1MLKEM768</t>
        </is>
      </c>
      <c r="F22" s="2" t="b">
        <v>1</v>
      </c>
      <c r="G22" s="2" t="n">
        <v>1</v>
      </c>
      <c r="H22" s="2" t="n">
        <v>1518</v>
      </c>
      <c r="I22" s="2" t="n">
        <v>1518</v>
      </c>
      <c r="J22" s="2" t="n">
        <v>1235</v>
      </c>
      <c r="K22" s="2">
        <f>H22+5&gt;D22</f>
        <v/>
      </c>
      <c r="L22" s="2">
        <f>J22&lt;I22</f>
        <v/>
      </c>
      <c r="M22" s="2" t="b">
        <v>1</v>
      </c>
      <c r="N22" s="2" t="b">
        <v>1</v>
      </c>
      <c r="O22" s="2" t="inlineStr">
        <is>
          <t>allow</t>
        </is>
      </c>
      <c r="P22" s="2">
        <f>O22&lt;&gt;"unknown"</f>
        <v/>
      </c>
    </row>
    <row r="23">
      <c r="A23" s="2" t="inlineStr">
        <is>
          <t>1280-off</t>
        </is>
      </c>
      <c r="B23" s="2" t="n">
        <v>1280</v>
      </c>
      <c r="C23" s="2" t="inlineStr">
        <is>
          <t>off</t>
        </is>
      </c>
      <c r="D23" s="2" t="n">
        <v>1240</v>
      </c>
      <c r="E23" s="2" t="inlineStr">
        <is>
          <t>openssl SecP256r1MLKEM768</t>
        </is>
      </c>
      <c r="F23" s="2" t="b">
        <v>1</v>
      </c>
      <c r="G23" s="2" t="n">
        <v>2</v>
      </c>
      <c r="H23" s="2" t="n">
        <v>1518</v>
      </c>
      <c r="I23" s="2" t="n">
        <v>1518</v>
      </c>
      <c r="J23" s="2" t="n">
        <v>1235</v>
      </c>
      <c r="K23" s="2">
        <f>H23+5&gt;D23</f>
        <v/>
      </c>
      <c r="L23" s="2">
        <f>J23&lt;I23</f>
        <v/>
      </c>
      <c r="M23" s="2" t="b">
        <v>1</v>
      </c>
      <c r="N23" s="2" t="b">
        <v>1</v>
      </c>
      <c r="O23" s="2" t="inlineStr">
        <is>
          <t>allow</t>
        </is>
      </c>
      <c r="P23" s="2">
        <f>O23&lt;&gt;"unknown"</f>
        <v/>
      </c>
    </row>
    <row r="24">
      <c r="A24" s="2" t="inlineStr">
        <is>
          <t>1280-off</t>
        </is>
      </c>
      <c r="B24" s="2" t="n">
        <v>1280</v>
      </c>
      <c r="C24" s="2" t="inlineStr">
        <is>
          <t>off</t>
        </is>
      </c>
      <c r="D24" s="2" t="n">
        <v>1240</v>
      </c>
      <c r="E24" s="2" t="inlineStr">
        <is>
          <t>openssl SecP256r1MLKEM768</t>
        </is>
      </c>
      <c r="F24" s="2" t="b">
        <v>1</v>
      </c>
      <c r="G24" s="2" t="n">
        <v>3</v>
      </c>
      <c r="H24" s="2" t="n">
        <v>1518</v>
      </c>
      <c r="I24" s="2" t="n">
        <v>1518</v>
      </c>
      <c r="J24" s="2" t="n">
        <v>1235</v>
      </c>
      <c r="K24" s="2">
        <f>H24+5&gt;D24</f>
        <v/>
      </c>
      <c r="L24" s="2">
        <f>J24&lt;I24</f>
        <v/>
      </c>
      <c r="M24" s="2" t="b">
        <v>1</v>
      </c>
      <c r="N24" s="2" t="b">
        <v>1</v>
      </c>
      <c r="O24" s="2" t="inlineStr">
        <is>
          <t>allow</t>
        </is>
      </c>
      <c r="P24" s="2">
        <f>O24&lt;&gt;"unknown"</f>
        <v/>
      </c>
    </row>
    <row r="25">
      <c r="A25" s="2" t="inlineStr">
        <is>
          <t>1280-off</t>
        </is>
      </c>
      <c r="B25" s="2" t="n">
        <v>1280</v>
      </c>
      <c r="C25" s="2" t="inlineStr">
        <is>
          <t>off</t>
        </is>
      </c>
      <c r="D25" s="2" t="n">
        <v>1240</v>
      </c>
      <c r="E25" s="2" t="inlineStr">
        <is>
          <t>openssl SecP256r1MLKEM768</t>
        </is>
      </c>
      <c r="F25" s="2" t="b">
        <v>1</v>
      </c>
      <c r="G25" s="2" t="n">
        <v>4</v>
      </c>
      <c r="H25" s="2" t="n">
        <v>1518</v>
      </c>
      <c r="I25" s="2" t="n">
        <v>1518</v>
      </c>
      <c r="J25" s="2" t="n">
        <v>1235</v>
      </c>
      <c r="K25" s="2">
        <f>H25+5&gt;D25</f>
        <v/>
      </c>
      <c r="L25" s="2">
        <f>J25&lt;I25</f>
        <v/>
      </c>
      <c r="M25" s="2" t="b">
        <v>1</v>
      </c>
      <c r="N25" s="2" t="b">
        <v>1</v>
      </c>
      <c r="O25" s="2" t="inlineStr">
        <is>
          <t>allow</t>
        </is>
      </c>
      <c r="P25" s="2">
        <f>O25&lt;&gt;"unknown"</f>
        <v/>
      </c>
    </row>
    <row r="26">
      <c r="A26" s="2" t="inlineStr">
        <is>
          <t>1280-off</t>
        </is>
      </c>
      <c r="B26" s="2" t="n">
        <v>1280</v>
      </c>
      <c r="C26" s="2" t="inlineStr">
        <is>
          <t>off</t>
        </is>
      </c>
      <c r="D26" s="2" t="n">
        <v>1240</v>
      </c>
      <c r="E26" s="2" t="inlineStr">
        <is>
          <t>openssl SecP256r1MLKEM768</t>
        </is>
      </c>
      <c r="F26" s="2" t="b">
        <v>1</v>
      </c>
      <c r="G26" s="2" t="n">
        <v>5</v>
      </c>
      <c r="H26" s="2" t="n">
        <v>1518</v>
      </c>
      <c r="I26" s="2" t="n">
        <v>1518</v>
      </c>
      <c r="J26" s="2" t="n">
        <v>1235</v>
      </c>
      <c r="K26" s="2">
        <f>H26+5&gt;D26</f>
        <v/>
      </c>
      <c r="L26" s="2">
        <f>J26&lt;I26</f>
        <v/>
      </c>
      <c r="M26" s="2" t="b">
        <v>1</v>
      </c>
      <c r="N26" s="2" t="b">
        <v>1</v>
      </c>
      <c r="O26" s="2" t="inlineStr">
        <is>
          <t>allow</t>
        </is>
      </c>
      <c r="P26" s="2">
        <f>O26&lt;&gt;"unknown"</f>
        <v/>
      </c>
    </row>
    <row r="27">
      <c r="A27" s="2" t="inlineStr">
        <is>
          <t>1280-off</t>
        </is>
      </c>
      <c r="B27" s="2" t="n">
        <v>1280</v>
      </c>
      <c r="C27" s="2" t="inlineStr">
        <is>
          <t>off</t>
        </is>
      </c>
      <c r="D27" s="2" t="n">
        <v>1240</v>
      </c>
      <c r="E27" s="2" t="inlineStr">
        <is>
          <t>openssl SecP384r1MLKEM1024</t>
        </is>
      </c>
      <c r="F27" s="2" t="b">
        <v>1</v>
      </c>
      <c r="G27" s="2" t="n">
        <v>1</v>
      </c>
      <c r="H27" s="2" t="n">
        <v>1934</v>
      </c>
      <c r="I27" s="2" t="n">
        <v>1934</v>
      </c>
      <c r="J27" s="2" t="n">
        <v>1235</v>
      </c>
      <c r="K27" s="2">
        <f>H27+5&gt;D27</f>
        <v/>
      </c>
      <c r="L27" s="2">
        <f>J27&lt;I27</f>
        <v/>
      </c>
      <c r="M27" s="2" t="b">
        <v>1</v>
      </c>
      <c r="N27" s="2" t="b">
        <v>1</v>
      </c>
      <c r="O27" s="2" t="inlineStr">
        <is>
          <t>allow</t>
        </is>
      </c>
      <c r="P27" s="2">
        <f>O27&lt;&gt;"unknown"</f>
        <v/>
      </c>
    </row>
    <row r="28">
      <c r="A28" s="2" t="inlineStr">
        <is>
          <t>1280-off</t>
        </is>
      </c>
      <c r="B28" s="2" t="n">
        <v>1280</v>
      </c>
      <c r="C28" s="2" t="inlineStr">
        <is>
          <t>off</t>
        </is>
      </c>
      <c r="D28" s="2" t="n">
        <v>1240</v>
      </c>
      <c r="E28" s="2" t="inlineStr">
        <is>
          <t>openssl SecP384r1MLKEM1024</t>
        </is>
      </c>
      <c r="F28" s="2" t="b">
        <v>1</v>
      </c>
      <c r="G28" s="2" t="n">
        <v>2</v>
      </c>
      <c r="H28" s="2" t="n">
        <v>1934</v>
      </c>
      <c r="I28" s="2" t="n">
        <v>1934</v>
      </c>
      <c r="J28" s="2" t="n">
        <v>1235</v>
      </c>
      <c r="K28" s="2">
        <f>H28+5&gt;D28</f>
        <v/>
      </c>
      <c r="L28" s="2">
        <f>J28&lt;I28</f>
        <v/>
      </c>
      <c r="M28" s="2" t="b">
        <v>1</v>
      </c>
      <c r="N28" s="2" t="b">
        <v>1</v>
      </c>
      <c r="O28" s="2" t="inlineStr">
        <is>
          <t>allow</t>
        </is>
      </c>
      <c r="P28" s="2">
        <f>O28&lt;&gt;"unknown"</f>
        <v/>
      </c>
    </row>
    <row r="29">
      <c r="A29" s="2" t="inlineStr">
        <is>
          <t>1280-off</t>
        </is>
      </c>
      <c r="B29" s="2" t="n">
        <v>1280</v>
      </c>
      <c r="C29" s="2" t="inlineStr">
        <is>
          <t>off</t>
        </is>
      </c>
      <c r="D29" s="2" t="n">
        <v>1240</v>
      </c>
      <c r="E29" s="2" t="inlineStr">
        <is>
          <t>openssl SecP384r1MLKEM1024</t>
        </is>
      </c>
      <c r="F29" s="2" t="b">
        <v>1</v>
      </c>
      <c r="G29" s="2" t="n">
        <v>3</v>
      </c>
      <c r="H29" s="2" t="n">
        <v>1934</v>
      </c>
      <c r="I29" s="2" t="n">
        <v>1934</v>
      </c>
      <c r="J29" s="2" t="n">
        <v>1235</v>
      </c>
      <c r="K29" s="2">
        <f>H29+5&gt;D29</f>
        <v/>
      </c>
      <c r="L29" s="2">
        <f>J29&lt;I29</f>
        <v/>
      </c>
      <c r="M29" s="2" t="b">
        <v>1</v>
      </c>
      <c r="N29" s="2" t="b">
        <v>1</v>
      </c>
      <c r="O29" s="2" t="inlineStr">
        <is>
          <t>allow</t>
        </is>
      </c>
      <c r="P29" s="2">
        <f>O29&lt;&gt;"unknown"</f>
        <v/>
      </c>
    </row>
    <row r="30">
      <c r="A30" s="2" t="inlineStr">
        <is>
          <t>1280-off</t>
        </is>
      </c>
      <c r="B30" s="2" t="n">
        <v>1280</v>
      </c>
      <c r="C30" s="2" t="inlineStr">
        <is>
          <t>off</t>
        </is>
      </c>
      <c r="D30" s="2" t="n">
        <v>1240</v>
      </c>
      <c r="E30" s="2" t="inlineStr">
        <is>
          <t>openssl SecP384r1MLKEM1024</t>
        </is>
      </c>
      <c r="F30" s="2" t="b">
        <v>1</v>
      </c>
      <c r="G30" s="2" t="n">
        <v>4</v>
      </c>
      <c r="H30" s="2" t="n">
        <v>1934</v>
      </c>
      <c r="I30" s="2" t="n">
        <v>1934</v>
      </c>
      <c r="J30" s="2" t="n">
        <v>1235</v>
      </c>
      <c r="K30" s="2">
        <f>H30+5&gt;D30</f>
        <v/>
      </c>
      <c r="L30" s="2">
        <f>J30&lt;I30</f>
        <v/>
      </c>
      <c r="M30" s="2" t="b">
        <v>1</v>
      </c>
      <c r="N30" s="2" t="b">
        <v>1</v>
      </c>
      <c r="O30" s="2" t="inlineStr">
        <is>
          <t>allow</t>
        </is>
      </c>
      <c r="P30" s="2">
        <f>O30&lt;&gt;"unknown"</f>
        <v/>
      </c>
    </row>
    <row r="31">
      <c r="A31" s="2" t="inlineStr">
        <is>
          <t>1280-off</t>
        </is>
      </c>
      <c r="B31" s="2" t="n">
        <v>1280</v>
      </c>
      <c r="C31" s="2" t="inlineStr">
        <is>
          <t>off</t>
        </is>
      </c>
      <c r="D31" s="2" t="n">
        <v>1240</v>
      </c>
      <c r="E31" s="2" t="inlineStr">
        <is>
          <t>openssl SecP384r1MLKEM1024</t>
        </is>
      </c>
      <c r="F31" s="2" t="b">
        <v>1</v>
      </c>
      <c r="G31" s="2" t="n">
        <v>5</v>
      </c>
      <c r="H31" s="2" t="n">
        <v>1934</v>
      </c>
      <c r="I31" s="2" t="n">
        <v>1934</v>
      </c>
      <c r="J31" s="2" t="n">
        <v>1235</v>
      </c>
      <c r="K31" s="2">
        <f>H31+5&gt;D31</f>
        <v/>
      </c>
      <c r="L31" s="2">
        <f>J31&lt;I31</f>
        <v/>
      </c>
      <c r="M31" s="2" t="b">
        <v>1</v>
      </c>
      <c r="N31" s="2" t="b">
        <v>1</v>
      </c>
      <c r="O31" s="2" t="inlineStr">
        <is>
          <t>allow</t>
        </is>
      </c>
      <c r="P31" s="2">
        <f>O31&lt;&gt;"unknown"</f>
        <v/>
      </c>
    </row>
    <row r="32">
      <c r="A32" s="2" t="inlineStr">
        <is>
          <t>1280-off</t>
        </is>
      </c>
      <c r="B32" s="2" t="n">
        <v>1280</v>
      </c>
      <c r="C32" s="2" t="inlineStr">
        <is>
          <t>off</t>
        </is>
      </c>
      <c r="D32" s="2" t="n">
        <v>1240</v>
      </c>
      <c r="E32" s="2" t="inlineStr">
        <is>
          <t>openssl MLKEM768 (pure PQ)</t>
        </is>
      </c>
      <c r="F32" s="2" t="b">
        <v>1</v>
      </c>
      <c r="G32" s="2" t="n">
        <v>1</v>
      </c>
      <c r="H32" s="2" t="n">
        <v>1453</v>
      </c>
      <c r="I32" s="2" t="n">
        <v>1453</v>
      </c>
      <c r="J32" s="2" t="n">
        <v>1235</v>
      </c>
      <c r="K32" s="2">
        <f>H32+5&gt;D32</f>
        <v/>
      </c>
      <c r="L32" s="2">
        <f>J32&lt;I32</f>
        <v/>
      </c>
      <c r="M32" s="2" t="b">
        <v>1</v>
      </c>
      <c r="N32" s="2" t="b">
        <v>1</v>
      </c>
      <c r="O32" s="2" t="inlineStr">
        <is>
          <t>allow</t>
        </is>
      </c>
      <c r="P32" s="2">
        <f>O32&lt;&gt;"unknown"</f>
        <v/>
      </c>
    </row>
    <row r="33">
      <c r="A33" s="2" t="inlineStr">
        <is>
          <t>1280-off</t>
        </is>
      </c>
      <c r="B33" s="2" t="n">
        <v>1280</v>
      </c>
      <c r="C33" s="2" t="inlineStr">
        <is>
          <t>off</t>
        </is>
      </c>
      <c r="D33" s="2" t="n">
        <v>1240</v>
      </c>
      <c r="E33" s="2" t="inlineStr">
        <is>
          <t>openssl MLKEM768 (pure PQ)</t>
        </is>
      </c>
      <c r="F33" s="2" t="b">
        <v>1</v>
      </c>
      <c r="G33" s="2" t="n">
        <v>2</v>
      </c>
      <c r="H33" s="2" t="n">
        <v>1453</v>
      </c>
      <c r="I33" s="2" t="n">
        <v>1453</v>
      </c>
      <c r="J33" s="2" t="n">
        <v>1235</v>
      </c>
      <c r="K33" s="2">
        <f>H33+5&gt;D33</f>
        <v/>
      </c>
      <c r="L33" s="2">
        <f>J33&lt;I33</f>
        <v/>
      </c>
      <c r="M33" s="2" t="b">
        <v>1</v>
      </c>
      <c r="N33" s="2" t="b">
        <v>1</v>
      </c>
      <c r="O33" s="2" t="inlineStr">
        <is>
          <t>allow</t>
        </is>
      </c>
      <c r="P33" s="2">
        <f>O33&lt;&gt;"unknown"</f>
        <v/>
      </c>
    </row>
    <row r="34">
      <c r="A34" s="2" t="inlineStr">
        <is>
          <t>1280-off</t>
        </is>
      </c>
      <c r="B34" s="2" t="n">
        <v>1280</v>
      </c>
      <c r="C34" s="2" t="inlineStr">
        <is>
          <t>off</t>
        </is>
      </c>
      <c r="D34" s="2" t="n">
        <v>1240</v>
      </c>
      <c r="E34" s="2" t="inlineStr">
        <is>
          <t>openssl MLKEM768 (pure PQ)</t>
        </is>
      </c>
      <c r="F34" s="2" t="b">
        <v>1</v>
      </c>
      <c r="G34" s="2" t="n">
        <v>3</v>
      </c>
      <c r="H34" s="2" t="n">
        <v>1453</v>
      </c>
      <c r="I34" s="2" t="n">
        <v>1453</v>
      </c>
      <c r="J34" s="2" t="n">
        <v>1235</v>
      </c>
      <c r="K34" s="2">
        <f>H34+5&gt;D34</f>
        <v/>
      </c>
      <c r="L34" s="2">
        <f>J34&lt;I34</f>
        <v/>
      </c>
      <c r="M34" s="2" t="b">
        <v>1</v>
      </c>
      <c r="N34" s="2" t="b">
        <v>1</v>
      </c>
      <c r="O34" s="2" t="inlineStr">
        <is>
          <t>allow</t>
        </is>
      </c>
      <c r="P34" s="2">
        <f>O34&lt;&gt;"unknown"</f>
        <v/>
      </c>
    </row>
    <row r="35">
      <c r="A35" s="2" t="inlineStr">
        <is>
          <t>1280-off</t>
        </is>
      </c>
      <c r="B35" s="2" t="n">
        <v>1280</v>
      </c>
      <c r="C35" s="2" t="inlineStr">
        <is>
          <t>off</t>
        </is>
      </c>
      <c r="D35" s="2" t="n">
        <v>1240</v>
      </c>
      <c r="E35" s="2" t="inlineStr">
        <is>
          <t>openssl MLKEM768 (pure PQ)</t>
        </is>
      </c>
      <c r="F35" s="2" t="b">
        <v>1</v>
      </c>
      <c r="G35" s="2" t="n">
        <v>4</v>
      </c>
      <c r="H35" s="2" t="n">
        <v>1453</v>
      </c>
      <c r="I35" s="2" t="n">
        <v>1453</v>
      </c>
      <c r="J35" s="2" t="n">
        <v>1235</v>
      </c>
      <c r="K35" s="2">
        <f>H35+5&gt;D35</f>
        <v/>
      </c>
      <c r="L35" s="2">
        <f>J35&lt;I35</f>
        <v/>
      </c>
      <c r="M35" s="2" t="b">
        <v>1</v>
      </c>
      <c r="N35" s="2" t="b">
        <v>1</v>
      </c>
      <c r="O35" s="2" t="inlineStr">
        <is>
          <t>allow</t>
        </is>
      </c>
      <c r="P35" s="2">
        <f>O35&lt;&gt;"unknown"</f>
        <v/>
      </c>
    </row>
    <row r="36">
      <c r="A36" s="2" t="inlineStr">
        <is>
          <t>1280-off</t>
        </is>
      </c>
      <c r="B36" s="2" t="n">
        <v>1280</v>
      </c>
      <c r="C36" s="2" t="inlineStr">
        <is>
          <t>off</t>
        </is>
      </c>
      <c r="D36" s="2" t="n">
        <v>1240</v>
      </c>
      <c r="E36" s="2" t="inlineStr">
        <is>
          <t>openssl MLKEM768 (pure PQ)</t>
        </is>
      </c>
      <c r="F36" s="2" t="b">
        <v>1</v>
      </c>
      <c r="G36" s="2" t="n">
        <v>5</v>
      </c>
      <c r="H36" s="2" t="n">
        <v>1453</v>
      </c>
      <c r="I36" s="2" t="n">
        <v>1453</v>
      </c>
      <c r="J36" s="2" t="n">
        <v>1235</v>
      </c>
      <c r="K36" s="2">
        <f>H36+5&gt;D36</f>
        <v/>
      </c>
      <c r="L36" s="2">
        <f>J36&lt;I36</f>
        <v/>
      </c>
      <c r="M36" s="2" t="b">
        <v>1</v>
      </c>
      <c r="N36" s="2" t="b">
        <v>1</v>
      </c>
      <c r="O36" s="2" t="inlineStr">
        <is>
          <t>allow</t>
        </is>
      </c>
      <c r="P36" s="2">
        <f>O36&lt;&gt;"unknown"</f>
        <v/>
      </c>
    </row>
    <row r="37">
      <c r="A37" s="2" t="inlineStr">
        <is>
          <t>1280-off</t>
        </is>
      </c>
      <c r="B37" s="2" t="n">
        <v>1280</v>
      </c>
      <c r="C37" s="2" t="inlineStr">
        <is>
          <t>off</t>
        </is>
      </c>
      <c r="D37" s="2" t="n">
        <v>1240</v>
      </c>
      <c r="E37" s="2" t="inlineStr">
        <is>
          <t>openssl MLKEM1024 (pure PQ)</t>
        </is>
      </c>
      <c r="F37" s="2" t="b">
        <v>1</v>
      </c>
      <c r="G37" s="2" t="n">
        <v>1</v>
      </c>
      <c r="H37" s="2" t="n">
        <v>1837</v>
      </c>
      <c r="I37" s="2" t="n">
        <v>1837</v>
      </c>
      <c r="J37" s="2" t="n">
        <v>1235</v>
      </c>
      <c r="K37" s="2">
        <f>H37+5&gt;D37</f>
        <v/>
      </c>
      <c r="L37" s="2">
        <f>J37&lt;I37</f>
        <v/>
      </c>
      <c r="M37" s="2" t="b">
        <v>1</v>
      </c>
      <c r="N37" s="2" t="b">
        <v>1</v>
      </c>
      <c r="O37" s="2" t="inlineStr">
        <is>
          <t>allow</t>
        </is>
      </c>
      <c r="P37" s="2">
        <f>O37&lt;&gt;"unknown"</f>
        <v/>
      </c>
    </row>
    <row r="38">
      <c r="A38" s="2" t="inlineStr">
        <is>
          <t>1280-off</t>
        </is>
      </c>
      <c r="B38" s="2" t="n">
        <v>1280</v>
      </c>
      <c r="C38" s="2" t="inlineStr">
        <is>
          <t>off</t>
        </is>
      </c>
      <c r="D38" s="2" t="n">
        <v>1240</v>
      </c>
      <c r="E38" s="2" t="inlineStr">
        <is>
          <t>openssl MLKEM1024 (pure PQ)</t>
        </is>
      </c>
      <c r="F38" s="2" t="b">
        <v>1</v>
      </c>
      <c r="G38" s="2" t="n">
        <v>2</v>
      </c>
      <c r="H38" s="2" t="n">
        <v>1837</v>
      </c>
      <c r="I38" s="2" t="n">
        <v>1837</v>
      </c>
      <c r="J38" s="2" t="n">
        <v>1235</v>
      </c>
      <c r="K38" s="2">
        <f>H38+5&gt;D38</f>
        <v/>
      </c>
      <c r="L38" s="2">
        <f>J38&lt;I38</f>
        <v/>
      </c>
      <c r="M38" s="2" t="b">
        <v>1</v>
      </c>
      <c r="N38" s="2" t="b">
        <v>1</v>
      </c>
      <c r="O38" s="2" t="inlineStr">
        <is>
          <t>allow</t>
        </is>
      </c>
      <c r="P38" s="2">
        <f>O38&lt;&gt;"unknown"</f>
        <v/>
      </c>
    </row>
    <row r="39">
      <c r="A39" s="2" t="inlineStr">
        <is>
          <t>1280-off</t>
        </is>
      </c>
      <c r="B39" s="2" t="n">
        <v>1280</v>
      </c>
      <c r="C39" s="2" t="inlineStr">
        <is>
          <t>off</t>
        </is>
      </c>
      <c r="D39" s="2" t="n">
        <v>1240</v>
      </c>
      <c r="E39" s="2" t="inlineStr">
        <is>
          <t>openssl MLKEM1024 (pure PQ)</t>
        </is>
      </c>
      <c r="F39" s="2" t="b">
        <v>1</v>
      </c>
      <c r="G39" s="2" t="n">
        <v>3</v>
      </c>
      <c r="H39" s="2" t="n">
        <v>1837</v>
      </c>
      <c r="I39" s="2" t="n">
        <v>1837</v>
      </c>
      <c r="J39" s="2" t="n">
        <v>1235</v>
      </c>
      <c r="K39" s="2">
        <f>H39+5&gt;D39</f>
        <v/>
      </c>
      <c r="L39" s="2">
        <f>J39&lt;I39</f>
        <v/>
      </c>
      <c r="M39" s="2" t="b">
        <v>1</v>
      </c>
      <c r="N39" s="2" t="b">
        <v>1</v>
      </c>
      <c r="O39" s="2" t="inlineStr">
        <is>
          <t>allow</t>
        </is>
      </c>
      <c r="P39" s="2">
        <f>O39&lt;&gt;"unknown"</f>
        <v/>
      </c>
    </row>
    <row r="40">
      <c r="A40" s="2" t="inlineStr">
        <is>
          <t>1280-off</t>
        </is>
      </c>
      <c r="B40" s="2" t="n">
        <v>1280</v>
      </c>
      <c r="C40" s="2" t="inlineStr">
        <is>
          <t>off</t>
        </is>
      </c>
      <c r="D40" s="2" t="n">
        <v>1240</v>
      </c>
      <c r="E40" s="2" t="inlineStr">
        <is>
          <t>openssl MLKEM1024 (pure PQ)</t>
        </is>
      </c>
      <c r="F40" s="2" t="b">
        <v>1</v>
      </c>
      <c r="G40" s="2" t="n">
        <v>4</v>
      </c>
      <c r="H40" s="2" t="n">
        <v>1837</v>
      </c>
      <c r="I40" s="2" t="n">
        <v>1837</v>
      </c>
      <c r="J40" s="2" t="n">
        <v>1235</v>
      </c>
      <c r="K40" s="2">
        <f>H40+5&gt;D40</f>
        <v/>
      </c>
      <c r="L40" s="2">
        <f>J40&lt;I40</f>
        <v/>
      </c>
      <c r="M40" s="2" t="b">
        <v>1</v>
      </c>
      <c r="N40" s="2" t="b">
        <v>1</v>
      </c>
      <c r="O40" s="2" t="inlineStr">
        <is>
          <t>allow</t>
        </is>
      </c>
      <c r="P40" s="2">
        <f>O40&lt;&gt;"unknown"</f>
        <v/>
      </c>
    </row>
    <row r="41">
      <c r="A41" s="2" t="inlineStr">
        <is>
          <t>1280-off</t>
        </is>
      </c>
      <c r="B41" s="2" t="n">
        <v>1280</v>
      </c>
      <c r="C41" s="2" t="inlineStr">
        <is>
          <t>off</t>
        </is>
      </c>
      <c r="D41" s="2" t="n">
        <v>1240</v>
      </c>
      <c r="E41" s="2" t="inlineStr">
        <is>
          <t>openssl MLKEM1024 (pure PQ)</t>
        </is>
      </c>
      <c r="F41" s="2" t="b">
        <v>1</v>
      </c>
      <c r="G41" s="2" t="n">
        <v>5</v>
      </c>
      <c r="H41" s="2" t="n">
        <v>1837</v>
      </c>
      <c r="I41" s="2" t="n">
        <v>1837</v>
      </c>
      <c r="J41" s="2" t="n">
        <v>1235</v>
      </c>
      <c r="K41" s="2">
        <f>H41+5&gt;D41</f>
        <v/>
      </c>
      <c r="L41" s="2">
        <f>J41&lt;I41</f>
        <v/>
      </c>
      <c r="M41" s="2" t="b">
        <v>1</v>
      </c>
      <c r="N41" s="2" t="b">
        <v>1</v>
      </c>
      <c r="O41" s="2" t="inlineStr">
        <is>
          <t>allow</t>
        </is>
      </c>
      <c r="P41" s="2">
        <f>O41&lt;&gt;"unknown"</f>
        <v/>
      </c>
    </row>
    <row r="42">
      <c r="A42" s="2" t="inlineStr">
        <is>
          <t>1280-off</t>
        </is>
      </c>
      <c r="B42" s="2" t="n">
        <v>1280</v>
      </c>
      <c r="C42" s="2" t="inlineStr">
        <is>
          <t>off</t>
        </is>
      </c>
      <c r="D42" s="2" t="n">
        <v>1240</v>
      </c>
      <c r="E42" s="2" t="inlineStr">
        <is>
          <t>openssl TLS 1.2 only</t>
        </is>
      </c>
      <c r="F42" s="2" t="b">
        <v>0</v>
      </c>
      <c r="G42" s="2" t="n">
        <v>1</v>
      </c>
      <c r="H42" s="2" t="n">
        <v>210</v>
      </c>
      <c r="I42" s="2" t="n">
        <v>210</v>
      </c>
      <c r="J42" s="2" t="n">
        <v>210</v>
      </c>
      <c r="K42" s="2">
        <f>H42+5&gt;D42</f>
        <v/>
      </c>
      <c r="L42" s="2">
        <f>J42&lt;I42</f>
        <v/>
      </c>
      <c r="M42" s="2" t="b">
        <v>1</v>
      </c>
      <c r="N42" s="2" t="b">
        <v>1</v>
      </c>
      <c r="O42" s="2" t="inlineStr">
        <is>
          <t>allow</t>
        </is>
      </c>
      <c r="P42" s="2">
        <f>O42&lt;&gt;"unknown"</f>
        <v/>
      </c>
    </row>
    <row r="43">
      <c r="A43" s="2" t="inlineStr">
        <is>
          <t>1280-off</t>
        </is>
      </c>
      <c r="B43" s="2" t="n">
        <v>1280</v>
      </c>
      <c r="C43" s="2" t="inlineStr">
        <is>
          <t>off</t>
        </is>
      </c>
      <c r="D43" s="2" t="n">
        <v>1240</v>
      </c>
      <c r="E43" s="2" t="inlineStr">
        <is>
          <t>openssl TLS 1.2 only</t>
        </is>
      </c>
      <c r="F43" s="2" t="b">
        <v>0</v>
      </c>
      <c r="G43" s="2" t="n">
        <v>2</v>
      </c>
      <c r="H43" s="2" t="n">
        <v>210</v>
      </c>
      <c r="I43" s="2" t="n">
        <v>210</v>
      </c>
      <c r="J43" s="2" t="n">
        <v>210</v>
      </c>
      <c r="K43" s="2">
        <f>H43+5&gt;D43</f>
        <v/>
      </c>
      <c r="L43" s="2">
        <f>J43&lt;I43</f>
        <v/>
      </c>
      <c r="M43" s="2" t="b">
        <v>1</v>
      </c>
      <c r="N43" s="2" t="b">
        <v>1</v>
      </c>
      <c r="O43" s="2" t="inlineStr">
        <is>
          <t>allow</t>
        </is>
      </c>
      <c r="P43" s="2">
        <f>O43&lt;&gt;"unknown"</f>
        <v/>
      </c>
    </row>
    <row r="44">
      <c r="A44" s="2" t="inlineStr">
        <is>
          <t>1280-off</t>
        </is>
      </c>
      <c r="B44" s="2" t="n">
        <v>1280</v>
      </c>
      <c r="C44" s="2" t="inlineStr">
        <is>
          <t>off</t>
        </is>
      </c>
      <c r="D44" s="2" t="n">
        <v>1240</v>
      </c>
      <c r="E44" s="2" t="inlineStr">
        <is>
          <t>openssl TLS 1.2 only</t>
        </is>
      </c>
      <c r="F44" s="2" t="b">
        <v>0</v>
      </c>
      <c r="G44" s="2" t="n">
        <v>3</v>
      </c>
      <c r="H44" s="2" t="n">
        <v>210</v>
      </c>
      <c r="I44" s="2" t="n">
        <v>210</v>
      </c>
      <c r="J44" s="2" t="n">
        <v>210</v>
      </c>
      <c r="K44" s="2">
        <f>H44+5&gt;D44</f>
        <v/>
      </c>
      <c r="L44" s="2">
        <f>J44&lt;I44</f>
        <v/>
      </c>
      <c r="M44" s="2" t="b">
        <v>1</v>
      </c>
      <c r="N44" s="2" t="b">
        <v>1</v>
      </c>
      <c r="O44" s="2" t="inlineStr">
        <is>
          <t>allow</t>
        </is>
      </c>
      <c r="P44" s="2">
        <f>O44&lt;&gt;"unknown"</f>
        <v/>
      </c>
    </row>
    <row r="45">
      <c r="A45" s="2" t="inlineStr">
        <is>
          <t>1280-off</t>
        </is>
      </c>
      <c r="B45" s="2" t="n">
        <v>1280</v>
      </c>
      <c r="C45" s="2" t="inlineStr">
        <is>
          <t>off</t>
        </is>
      </c>
      <c r="D45" s="2" t="n">
        <v>1240</v>
      </c>
      <c r="E45" s="2" t="inlineStr">
        <is>
          <t>openssl TLS 1.2 only</t>
        </is>
      </c>
      <c r="F45" s="2" t="b">
        <v>0</v>
      </c>
      <c r="G45" s="2" t="n">
        <v>4</v>
      </c>
      <c r="H45" s="2" t="n">
        <v>210</v>
      </c>
      <c r="I45" s="2" t="n">
        <v>210</v>
      </c>
      <c r="J45" s="2" t="n">
        <v>210</v>
      </c>
      <c r="K45" s="2">
        <f>H45+5&gt;D45</f>
        <v/>
      </c>
      <c r="L45" s="2">
        <f>J45&lt;I45</f>
        <v/>
      </c>
      <c r="M45" s="2" t="b">
        <v>1</v>
      </c>
      <c r="N45" s="2" t="b">
        <v>1</v>
      </c>
      <c r="O45" s="2" t="inlineStr">
        <is>
          <t>allow</t>
        </is>
      </c>
      <c r="P45" s="2">
        <f>O45&lt;&gt;"unknown"</f>
        <v/>
      </c>
    </row>
    <row r="46">
      <c r="A46" s="2" t="inlineStr">
        <is>
          <t>1280-off</t>
        </is>
      </c>
      <c r="B46" s="2" t="n">
        <v>1280</v>
      </c>
      <c r="C46" s="2" t="inlineStr">
        <is>
          <t>off</t>
        </is>
      </c>
      <c r="D46" s="2" t="n">
        <v>1240</v>
      </c>
      <c r="E46" s="2" t="inlineStr">
        <is>
          <t>openssl TLS 1.2 only</t>
        </is>
      </c>
      <c r="F46" s="2" t="b">
        <v>0</v>
      </c>
      <c r="G46" s="2" t="n">
        <v>5</v>
      </c>
      <c r="H46" s="2" t="n">
        <v>210</v>
      </c>
      <c r="I46" s="2" t="n">
        <v>210</v>
      </c>
      <c r="J46" s="2" t="n">
        <v>210</v>
      </c>
      <c r="K46" s="2">
        <f>H46+5&gt;D46</f>
        <v/>
      </c>
      <c r="L46" s="2">
        <f>J46&lt;I46</f>
        <v/>
      </c>
      <c r="M46" s="2" t="b">
        <v>1</v>
      </c>
      <c r="N46" s="2" t="b">
        <v>1</v>
      </c>
      <c r="O46" s="2" t="inlineStr">
        <is>
          <t>allow</t>
        </is>
      </c>
      <c r="P46" s="2">
        <f>O46&lt;&gt;"unknown"</f>
        <v/>
      </c>
    </row>
    <row r="47">
      <c r="A47" s="2" t="inlineStr">
        <is>
          <t>1280-off</t>
        </is>
      </c>
      <c r="B47" s="2" t="n">
        <v>1280</v>
      </c>
      <c r="C47" s="2" t="inlineStr">
        <is>
          <t>off</t>
        </is>
      </c>
      <c r="D47" s="2" t="n">
        <v>1240</v>
      </c>
      <c r="E47" s="2" t="inlineStr">
        <is>
          <t>curl 8.22 (OpenSSL 3.5.8)</t>
        </is>
      </c>
      <c r="F47" s="2" t="b">
        <v>1</v>
      </c>
      <c r="G47" s="2" t="n">
        <v>1</v>
      </c>
      <c r="H47" s="2" t="n">
        <v>1561</v>
      </c>
      <c r="I47" s="2" t="n">
        <v>1561</v>
      </c>
      <c r="J47" s="2" t="n">
        <v>1235</v>
      </c>
      <c r="K47" s="2">
        <f>H47+5&gt;D47</f>
        <v/>
      </c>
      <c r="L47" s="2">
        <f>J47&lt;I47</f>
        <v/>
      </c>
      <c r="M47" s="2" t="b">
        <v>1</v>
      </c>
      <c r="N47" s="2" t="b">
        <v>1</v>
      </c>
      <c r="O47" s="2" t="inlineStr">
        <is>
          <t>allow</t>
        </is>
      </c>
      <c r="P47" s="2">
        <f>O47&lt;&gt;"unknown"</f>
        <v/>
      </c>
    </row>
    <row r="48">
      <c r="A48" s="2" t="inlineStr">
        <is>
          <t>1280-off</t>
        </is>
      </c>
      <c r="B48" s="2" t="n">
        <v>1280</v>
      </c>
      <c r="C48" s="2" t="inlineStr">
        <is>
          <t>off</t>
        </is>
      </c>
      <c r="D48" s="2" t="n">
        <v>1240</v>
      </c>
      <c r="E48" s="2" t="inlineStr">
        <is>
          <t>curl 8.22 (OpenSSL 3.5.8)</t>
        </is>
      </c>
      <c r="F48" s="2" t="b">
        <v>1</v>
      </c>
      <c r="G48" s="2" t="n">
        <v>2</v>
      </c>
      <c r="H48" s="2" t="n">
        <v>1561</v>
      </c>
      <c r="I48" s="2" t="n">
        <v>1561</v>
      </c>
      <c r="J48" s="2" t="n">
        <v>1235</v>
      </c>
      <c r="K48" s="2">
        <f>H48+5&gt;D48</f>
        <v/>
      </c>
      <c r="L48" s="2">
        <f>J48&lt;I48</f>
        <v/>
      </c>
      <c r="M48" s="2" t="b">
        <v>1</v>
      </c>
      <c r="N48" s="2" t="b">
        <v>1</v>
      </c>
      <c r="O48" s="2" t="inlineStr">
        <is>
          <t>allow</t>
        </is>
      </c>
      <c r="P48" s="2">
        <f>O48&lt;&gt;"unknown"</f>
        <v/>
      </c>
    </row>
    <row r="49">
      <c r="A49" s="2" t="inlineStr">
        <is>
          <t>1280-off</t>
        </is>
      </c>
      <c r="B49" s="2" t="n">
        <v>1280</v>
      </c>
      <c r="C49" s="2" t="inlineStr">
        <is>
          <t>off</t>
        </is>
      </c>
      <c r="D49" s="2" t="n">
        <v>1240</v>
      </c>
      <c r="E49" s="2" t="inlineStr">
        <is>
          <t>curl 8.22 (OpenSSL 3.5.8)</t>
        </is>
      </c>
      <c r="F49" s="2" t="b">
        <v>1</v>
      </c>
      <c r="G49" s="2" t="n">
        <v>3</v>
      </c>
      <c r="H49" s="2" t="n">
        <v>1561</v>
      </c>
      <c r="I49" s="2" t="n">
        <v>1561</v>
      </c>
      <c r="J49" s="2" t="n">
        <v>1235</v>
      </c>
      <c r="K49" s="2">
        <f>H49+5&gt;D49</f>
        <v/>
      </c>
      <c r="L49" s="2">
        <f>J49&lt;I49</f>
        <v/>
      </c>
      <c r="M49" s="2" t="b">
        <v>1</v>
      </c>
      <c r="N49" s="2" t="b">
        <v>1</v>
      </c>
      <c r="O49" s="2" t="inlineStr">
        <is>
          <t>allow</t>
        </is>
      </c>
      <c r="P49" s="2">
        <f>O49&lt;&gt;"unknown"</f>
        <v/>
      </c>
    </row>
    <row r="50">
      <c r="A50" s="2" t="inlineStr">
        <is>
          <t>1280-off</t>
        </is>
      </c>
      <c r="B50" s="2" t="n">
        <v>1280</v>
      </c>
      <c r="C50" s="2" t="inlineStr">
        <is>
          <t>off</t>
        </is>
      </c>
      <c r="D50" s="2" t="n">
        <v>1240</v>
      </c>
      <c r="E50" s="2" t="inlineStr">
        <is>
          <t>curl 8.22 (OpenSSL 3.5.8)</t>
        </is>
      </c>
      <c r="F50" s="2" t="b">
        <v>1</v>
      </c>
      <c r="G50" s="2" t="n">
        <v>4</v>
      </c>
      <c r="H50" s="2" t="n">
        <v>1561</v>
      </c>
      <c r="I50" s="2" t="n">
        <v>1561</v>
      </c>
      <c r="J50" s="2" t="n">
        <v>1235</v>
      </c>
      <c r="K50" s="2">
        <f>H50+5&gt;D50</f>
        <v/>
      </c>
      <c r="L50" s="2">
        <f>J50&lt;I50</f>
        <v/>
      </c>
      <c r="M50" s="2" t="b">
        <v>1</v>
      </c>
      <c r="N50" s="2" t="b">
        <v>1</v>
      </c>
      <c r="O50" s="2" t="inlineStr">
        <is>
          <t>allow</t>
        </is>
      </c>
      <c r="P50" s="2">
        <f>O50&lt;&gt;"unknown"</f>
        <v/>
      </c>
    </row>
    <row r="51">
      <c r="A51" s="2" t="inlineStr">
        <is>
          <t>1280-off</t>
        </is>
      </c>
      <c r="B51" s="2" t="n">
        <v>1280</v>
      </c>
      <c r="C51" s="2" t="inlineStr">
        <is>
          <t>off</t>
        </is>
      </c>
      <c r="D51" s="2" t="n">
        <v>1240</v>
      </c>
      <c r="E51" s="2" t="inlineStr">
        <is>
          <t>curl 8.22 (OpenSSL 3.5.8)</t>
        </is>
      </c>
      <c r="F51" s="2" t="b">
        <v>1</v>
      </c>
      <c r="G51" s="2" t="n">
        <v>5</v>
      </c>
      <c r="H51" s="2" t="n">
        <v>1561</v>
      </c>
      <c r="I51" s="2" t="n">
        <v>1561</v>
      </c>
      <c r="J51" s="2" t="n">
        <v>1235</v>
      </c>
      <c r="K51" s="2">
        <f>H51+5&gt;D51</f>
        <v/>
      </c>
      <c r="L51" s="2">
        <f>J51&lt;I51</f>
        <v/>
      </c>
      <c r="M51" s="2" t="b">
        <v>1</v>
      </c>
      <c r="N51" s="2" t="b">
        <v>1</v>
      </c>
      <c r="O51" s="2" t="inlineStr">
        <is>
          <t>allow</t>
        </is>
      </c>
      <c r="P51" s="2">
        <f>O51&lt;&gt;"unknown"</f>
        <v/>
      </c>
    </row>
    <row r="52">
      <c r="A52" s="2" t="inlineStr">
        <is>
          <t>1280-off</t>
        </is>
      </c>
      <c r="B52" s="2" t="n">
        <v>1280</v>
      </c>
      <c r="C52" s="2" t="inlineStr">
        <is>
          <t>off</t>
        </is>
      </c>
      <c r="D52" s="2" t="n">
        <v>1240</v>
      </c>
      <c r="E52" s="2" t="inlineStr">
        <is>
          <t>python 3.14 urllib (OpenSSL 3.5.8)</t>
        </is>
      </c>
      <c r="F52" s="2" t="b">
        <v>1</v>
      </c>
      <c r="G52" s="2" t="n">
        <v>1</v>
      </c>
      <c r="H52" s="2" t="n">
        <v>1517</v>
      </c>
      <c r="I52" s="2" t="n">
        <v>1517</v>
      </c>
      <c r="J52" s="2" t="n">
        <v>1235</v>
      </c>
      <c r="K52" s="2">
        <f>H52+5&gt;D52</f>
        <v/>
      </c>
      <c r="L52" s="2">
        <f>J52&lt;I52</f>
        <v/>
      </c>
      <c r="M52" s="2" t="b">
        <v>1</v>
      </c>
      <c r="N52" s="2" t="b">
        <v>1</v>
      </c>
      <c r="O52" s="2" t="inlineStr">
        <is>
          <t>allow</t>
        </is>
      </c>
      <c r="P52" s="2">
        <f>O52&lt;&gt;"unknown"</f>
        <v/>
      </c>
    </row>
    <row r="53">
      <c r="A53" s="2" t="inlineStr">
        <is>
          <t>1280-off</t>
        </is>
      </c>
      <c r="B53" s="2" t="n">
        <v>1280</v>
      </c>
      <c r="C53" s="2" t="inlineStr">
        <is>
          <t>off</t>
        </is>
      </c>
      <c r="D53" s="2" t="n">
        <v>1240</v>
      </c>
      <c r="E53" s="2" t="inlineStr">
        <is>
          <t>python 3.14 urllib (OpenSSL 3.5.8)</t>
        </is>
      </c>
      <c r="F53" s="2" t="b">
        <v>1</v>
      </c>
      <c r="G53" s="2" t="n">
        <v>2</v>
      </c>
      <c r="H53" s="2" t="n">
        <v>1517</v>
      </c>
      <c r="I53" s="2" t="n">
        <v>1517</v>
      </c>
      <c r="J53" s="2" t="n">
        <v>1235</v>
      </c>
      <c r="K53" s="2">
        <f>H53+5&gt;D53</f>
        <v/>
      </c>
      <c r="L53" s="2">
        <f>J53&lt;I53</f>
        <v/>
      </c>
      <c r="M53" s="2" t="b">
        <v>1</v>
      </c>
      <c r="N53" s="2" t="b">
        <v>1</v>
      </c>
      <c r="O53" s="2" t="inlineStr">
        <is>
          <t>allow</t>
        </is>
      </c>
      <c r="P53" s="2">
        <f>O53&lt;&gt;"unknown"</f>
        <v/>
      </c>
    </row>
    <row r="54">
      <c r="A54" s="2" t="inlineStr">
        <is>
          <t>1280-off</t>
        </is>
      </c>
      <c r="B54" s="2" t="n">
        <v>1280</v>
      </c>
      <c r="C54" s="2" t="inlineStr">
        <is>
          <t>off</t>
        </is>
      </c>
      <c r="D54" s="2" t="n">
        <v>1240</v>
      </c>
      <c r="E54" s="2" t="inlineStr">
        <is>
          <t>python 3.14 urllib (OpenSSL 3.5.8)</t>
        </is>
      </c>
      <c r="F54" s="2" t="b">
        <v>1</v>
      </c>
      <c r="G54" s="2" t="n">
        <v>3</v>
      </c>
      <c r="H54" s="2" t="n">
        <v>1517</v>
      </c>
      <c r="I54" s="2" t="n">
        <v>1517</v>
      </c>
      <c r="J54" s="2" t="n">
        <v>1235</v>
      </c>
      <c r="K54" s="2">
        <f>H54+5&gt;D54</f>
        <v/>
      </c>
      <c r="L54" s="2">
        <f>J54&lt;I54</f>
        <v/>
      </c>
      <c r="M54" s="2" t="b">
        <v>1</v>
      </c>
      <c r="N54" s="2" t="b">
        <v>1</v>
      </c>
      <c r="O54" s="2" t="inlineStr">
        <is>
          <t>allow</t>
        </is>
      </c>
      <c r="P54" s="2">
        <f>O54&lt;&gt;"unknown"</f>
        <v/>
      </c>
    </row>
    <row r="55">
      <c r="A55" s="2" t="inlineStr">
        <is>
          <t>1280-off</t>
        </is>
      </c>
      <c r="B55" s="2" t="n">
        <v>1280</v>
      </c>
      <c r="C55" s="2" t="inlineStr">
        <is>
          <t>off</t>
        </is>
      </c>
      <c r="D55" s="2" t="n">
        <v>1240</v>
      </c>
      <c r="E55" s="2" t="inlineStr">
        <is>
          <t>python 3.14 urllib (OpenSSL 3.5.8)</t>
        </is>
      </c>
      <c r="F55" s="2" t="b">
        <v>1</v>
      </c>
      <c r="G55" s="2" t="n">
        <v>4</v>
      </c>
      <c r="H55" s="2" t="n">
        <v>1517</v>
      </c>
      <c r="I55" s="2" t="n">
        <v>1517</v>
      </c>
      <c r="J55" s="2" t="n">
        <v>1235</v>
      </c>
      <c r="K55" s="2">
        <f>H55+5&gt;D55</f>
        <v/>
      </c>
      <c r="L55" s="2">
        <f>J55&lt;I55</f>
        <v/>
      </c>
      <c r="M55" s="2" t="b">
        <v>1</v>
      </c>
      <c r="N55" s="2" t="b">
        <v>1</v>
      </c>
      <c r="O55" s="2" t="inlineStr">
        <is>
          <t>allow</t>
        </is>
      </c>
      <c r="P55" s="2">
        <f>O55&lt;&gt;"unknown"</f>
        <v/>
      </c>
    </row>
    <row r="56">
      <c r="A56" s="2" t="inlineStr">
        <is>
          <t>1280-off</t>
        </is>
      </c>
      <c r="B56" s="2" t="n">
        <v>1280</v>
      </c>
      <c r="C56" s="2" t="inlineStr">
        <is>
          <t>off</t>
        </is>
      </c>
      <c r="D56" s="2" t="n">
        <v>1240</v>
      </c>
      <c r="E56" s="2" t="inlineStr">
        <is>
          <t>python 3.14 urllib (OpenSSL 3.5.8)</t>
        </is>
      </c>
      <c r="F56" s="2" t="b">
        <v>1</v>
      </c>
      <c r="G56" s="2" t="n">
        <v>5</v>
      </c>
      <c r="H56" s="2" t="n">
        <v>1517</v>
      </c>
      <c r="I56" s="2" t="n">
        <v>1517</v>
      </c>
      <c r="J56" s="2" t="n">
        <v>1235</v>
      </c>
      <c r="K56" s="2">
        <f>H56+5&gt;D56</f>
        <v/>
      </c>
      <c r="L56" s="2">
        <f>J56&lt;I56</f>
        <v/>
      </c>
      <c r="M56" s="2" t="b">
        <v>1</v>
      </c>
      <c r="N56" s="2" t="b">
        <v>1</v>
      </c>
      <c r="O56" s="2" t="inlineStr">
        <is>
          <t>allow</t>
        </is>
      </c>
      <c r="P56" s="2">
        <f>O56&lt;&gt;"unknown"</f>
        <v/>
      </c>
    </row>
    <row r="57">
      <c r="A57" s="2" t="inlineStr">
        <is>
          <t>1280-off</t>
        </is>
      </c>
      <c r="B57" s="2" t="n">
        <v>1280</v>
      </c>
      <c r="C57" s="2" t="inlineStr">
        <is>
          <t>off</t>
        </is>
      </c>
      <c r="D57" s="2" t="n">
        <v>1240</v>
      </c>
      <c r="E57" s="2" t="inlineStr">
        <is>
          <t>node 26 https (OpenSSL 3.5.8)</t>
        </is>
      </c>
      <c r="F57" s="2" t="b">
        <v>1</v>
      </c>
      <c r="G57" s="2" t="n">
        <v>1</v>
      </c>
      <c r="H57" s="2" t="n">
        <v>1587</v>
      </c>
      <c r="I57" s="2" t="n">
        <v>1587</v>
      </c>
      <c r="J57" s="2" t="n">
        <v>1235</v>
      </c>
      <c r="K57" s="2">
        <f>H57+5&gt;D57</f>
        <v/>
      </c>
      <c r="L57" s="2">
        <f>J57&lt;I57</f>
        <v/>
      </c>
      <c r="M57" s="2" t="b">
        <v>1</v>
      </c>
      <c r="N57" s="2" t="b">
        <v>1</v>
      </c>
      <c r="O57" s="2" t="inlineStr">
        <is>
          <t>allow</t>
        </is>
      </c>
      <c r="P57" s="2">
        <f>O57&lt;&gt;"unknown"</f>
        <v/>
      </c>
    </row>
    <row r="58">
      <c r="A58" s="2" t="inlineStr">
        <is>
          <t>1280-off</t>
        </is>
      </c>
      <c r="B58" s="2" t="n">
        <v>1280</v>
      </c>
      <c r="C58" s="2" t="inlineStr">
        <is>
          <t>off</t>
        </is>
      </c>
      <c r="D58" s="2" t="n">
        <v>1240</v>
      </c>
      <c r="E58" s="2" t="inlineStr">
        <is>
          <t>node 26 https (OpenSSL 3.5.8)</t>
        </is>
      </c>
      <c r="F58" s="2" t="b">
        <v>1</v>
      </c>
      <c r="G58" s="2" t="n">
        <v>2</v>
      </c>
      <c r="H58" s="2" t="n">
        <v>1587</v>
      </c>
      <c r="I58" s="2" t="n">
        <v>1587</v>
      </c>
      <c r="J58" s="2" t="n">
        <v>1235</v>
      </c>
      <c r="K58" s="2">
        <f>H58+5&gt;D58</f>
        <v/>
      </c>
      <c r="L58" s="2">
        <f>J58&lt;I58</f>
        <v/>
      </c>
      <c r="M58" s="2" t="b">
        <v>1</v>
      </c>
      <c r="N58" s="2" t="b">
        <v>1</v>
      </c>
      <c r="O58" s="2" t="inlineStr">
        <is>
          <t>allow</t>
        </is>
      </c>
      <c r="P58" s="2">
        <f>O58&lt;&gt;"unknown"</f>
        <v/>
      </c>
    </row>
    <row r="59">
      <c r="A59" s="2" t="inlineStr">
        <is>
          <t>1280-off</t>
        </is>
      </c>
      <c r="B59" s="2" t="n">
        <v>1280</v>
      </c>
      <c r="C59" s="2" t="inlineStr">
        <is>
          <t>off</t>
        </is>
      </c>
      <c r="D59" s="2" t="n">
        <v>1240</v>
      </c>
      <c r="E59" s="2" t="inlineStr">
        <is>
          <t>node 26 https (OpenSSL 3.5.8)</t>
        </is>
      </c>
      <c r="F59" s="2" t="b">
        <v>1</v>
      </c>
      <c r="G59" s="2" t="n">
        <v>3</v>
      </c>
      <c r="H59" s="2" t="n">
        <v>1587</v>
      </c>
      <c r="I59" s="2" t="n">
        <v>1587</v>
      </c>
      <c r="J59" s="2" t="n">
        <v>1235</v>
      </c>
      <c r="K59" s="2">
        <f>H59+5&gt;D59</f>
        <v/>
      </c>
      <c r="L59" s="2">
        <f>J59&lt;I59</f>
        <v/>
      </c>
      <c r="M59" s="2" t="b">
        <v>1</v>
      </c>
      <c r="N59" s="2" t="b">
        <v>1</v>
      </c>
      <c r="O59" s="2" t="inlineStr">
        <is>
          <t>allow</t>
        </is>
      </c>
      <c r="P59" s="2">
        <f>O59&lt;&gt;"unknown"</f>
        <v/>
      </c>
    </row>
    <row r="60">
      <c r="A60" s="2" t="inlineStr">
        <is>
          <t>1280-off</t>
        </is>
      </c>
      <c r="B60" s="2" t="n">
        <v>1280</v>
      </c>
      <c r="C60" s="2" t="inlineStr">
        <is>
          <t>off</t>
        </is>
      </c>
      <c r="D60" s="2" t="n">
        <v>1240</v>
      </c>
      <c r="E60" s="2" t="inlineStr">
        <is>
          <t>node 26 https (OpenSSL 3.5.8)</t>
        </is>
      </c>
      <c r="F60" s="2" t="b">
        <v>1</v>
      </c>
      <c r="G60" s="2" t="n">
        <v>4</v>
      </c>
      <c r="H60" s="2" t="n">
        <v>1587</v>
      </c>
      <c r="I60" s="2" t="n">
        <v>1587</v>
      </c>
      <c r="J60" s="2" t="n">
        <v>1235</v>
      </c>
      <c r="K60" s="2">
        <f>H60+5&gt;D60</f>
        <v/>
      </c>
      <c r="L60" s="2">
        <f>J60&lt;I60</f>
        <v/>
      </c>
      <c r="M60" s="2" t="b">
        <v>1</v>
      </c>
      <c r="N60" s="2" t="b">
        <v>1</v>
      </c>
      <c r="O60" s="2" t="inlineStr">
        <is>
          <t>allow</t>
        </is>
      </c>
      <c r="P60" s="2">
        <f>O60&lt;&gt;"unknown"</f>
        <v/>
      </c>
    </row>
    <row r="61">
      <c r="A61" s="2" t="inlineStr">
        <is>
          <t>1280-off</t>
        </is>
      </c>
      <c r="B61" s="2" t="n">
        <v>1280</v>
      </c>
      <c r="C61" s="2" t="inlineStr">
        <is>
          <t>off</t>
        </is>
      </c>
      <c r="D61" s="2" t="n">
        <v>1240</v>
      </c>
      <c r="E61" s="2" t="inlineStr">
        <is>
          <t>node 26 https (OpenSSL 3.5.8)</t>
        </is>
      </c>
      <c r="F61" s="2" t="b">
        <v>1</v>
      </c>
      <c r="G61" s="2" t="n">
        <v>5</v>
      </c>
      <c r="H61" s="2" t="n">
        <v>1587</v>
      </c>
      <c r="I61" s="2" t="n">
        <v>1587</v>
      </c>
      <c r="J61" s="2" t="n">
        <v>1235</v>
      </c>
      <c r="K61" s="2">
        <f>H61+5&gt;D61</f>
        <v/>
      </c>
      <c r="L61" s="2">
        <f>J61&lt;I61</f>
        <v/>
      </c>
      <c r="M61" s="2" t="b">
        <v>1</v>
      </c>
      <c r="N61" s="2" t="b">
        <v>1</v>
      </c>
      <c r="O61" s="2" t="inlineStr">
        <is>
          <t>allow</t>
        </is>
      </c>
      <c r="P61" s="2">
        <f>O61&lt;&gt;"unknown"</f>
        <v/>
      </c>
    </row>
    <row r="62">
      <c r="A62" s="2" t="inlineStr">
        <is>
          <t>1280-off</t>
        </is>
      </c>
      <c r="B62" s="2" t="n">
        <v>1280</v>
      </c>
      <c r="C62" s="2" t="inlineStr">
        <is>
          <t>off</t>
        </is>
      </c>
      <c r="D62" s="2" t="n">
        <v>1240</v>
      </c>
      <c r="E62" s="2" t="inlineStr">
        <is>
          <t>go 1.27 net/http (crypto/tls)</t>
        </is>
      </c>
      <c r="F62" s="2" t="b">
        <v>1</v>
      </c>
      <c r="G62" s="2" t="n">
        <v>1</v>
      </c>
      <c r="H62" s="2" t="n">
        <v>1532</v>
      </c>
      <c r="I62" s="2" t="n">
        <v>1532</v>
      </c>
      <c r="J62" s="2" t="n">
        <v>1235</v>
      </c>
      <c r="K62" s="2">
        <f>H62+5&gt;D62</f>
        <v/>
      </c>
      <c r="L62" s="2">
        <f>J62&lt;I62</f>
        <v/>
      </c>
      <c r="M62" s="2" t="b">
        <v>1</v>
      </c>
      <c r="N62" s="2" t="b">
        <v>1</v>
      </c>
      <c r="O62" s="2" t="inlineStr">
        <is>
          <t>allow</t>
        </is>
      </c>
      <c r="P62" s="2">
        <f>O62&lt;&gt;"unknown"</f>
        <v/>
      </c>
    </row>
    <row r="63">
      <c r="A63" s="2" t="inlineStr">
        <is>
          <t>1280-off</t>
        </is>
      </c>
      <c r="B63" s="2" t="n">
        <v>1280</v>
      </c>
      <c r="C63" s="2" t="inlineStr">
        <is>
          <t>off</t>
        </is>
      </c>
      <c r="D63" s="2" t="n">
        <v>1240</v>
      </c>
      <c r="E63" s="2" t="inlineStr">
        <is>
          <t>go 1.27 net/http (crypto/tls)</t>
        </is>
      </c>
      <c r="F63" s="2" t="b">
        <v>1</v>
      </c>
      <c r="G63" s="2" t="n">
        <v>2</v>
      </c>
      <c r="H63" s="2" t="n">
        <v>1532</v>
      </c>
      <c r="I63" s="2" t="n">
        <v>1532</v>
      </c>
      <c r="J63" s="2" t="n">
        <v>1235</v>
      </c>
      <c r="K63" s="2">
        <f>H63+5&gt;D63</f>
        <v/>
      </c>
      <c r="L63" s="2">
        <f>J63&lt;I63</f>
        <v/>
      </c>
      <c r="M63" s="2" t="b">
        <v>1</v>
      </c>
      <c r="N63" s="2" t="b">
        <v>1</v>
      </c>
      <c r="O63" s="2" t="inlineStr">
        <is>
          <t>allow</t>
        </is>
      </c>
      <c r="P63" s="2">
        <f>O63&lt;&gt;"unknown"</f>
        <v/>
      </c>
    </row>
    <row r="64">
      <c r="A64" s="2" t="inlineStr">
        <is>
          <t>1280-off</t>
        </is>
      </c>
      <c r="B64" s="2" t="n">
        <v>1280</v>
      </c>
      <c r="C64" s="2" t="inlineStr">
        <is>
          <t>off</t>
        </is>
      </c>
      <c r="D64" s="2" t="n">
        <v>1240</v>
      </c>
      <c r="E64" s="2" t="inlineStr">
        <is>
          <t>go 1.27 net/http (crypto/tls)</t>
        </is>
      </c>
      <c r="F64" s="2" t="b">
        <v>1</v>
      </c>
      <c r="G64" s="2" t="n">
        <v>3</v>
      </c>
      <c r="H64" s="2" t="n">
        <v>1532</v>
      </c>
      <c r="I64" s="2" t="n">
        <v>1532</v>
      </c>
      <c r="J64" s="2" t="n">
        <v>1235</v>
      </c>
      <c r="K64" s="2">
        <f>H64+5&gt;D64</f>
        <v/>
      </c>
      <c r="L64" s="2">
        <f>J64&lt;I64</f>
        <v/>
      </c>
      <c r="M64" s="2" t="b">
        <v>1</v>
      </c>
      <c r="N64" s="2" t="b">
        <v>1</v>
      </c>
      <c r="O64" s="2" t="inlineStr">
        <is>
          <t>allow</t>
        </is>
      </c>
      <c r="P64" s="2">
        <f>O64&lt;&gt;"unknown"</f>
        <v/>
      </c>
    </row>
    <row r="65">
      <c r="A65" s="2" t="inlineStr">
        <is>
          <t>1280-off</t>
        </is>
      </c>
      <c r="B65" s="2" t="n">
        <v>1280</v>
      </c>
      <c r="C65" s="2" t="inlineStr">
        <is>
          <t>off</t>
        </is>
      </c>
      <c r="D65" s="2" t="n">
        <v>1240</v>
      </c>
      <c r="E65" s="2" t="inlineStr">
        <is>
          <t>go 1.27 net/http (crypto/tls)</t>
        </is>
      </c>
      <c r="F65" s="2" t="b">
        <v>1</v>
      </c>
      <c r="G65" s="2" t="n">
        <v>4</v>
      </c>
      <c r="H65" s="2" t="n">
        <v>1532</v>
      </c>
      <c r="I65" s="2" t="n">
        <v>1532</v>
      </c>
      <c r="J65" s="2" t="n">
        <v>1235</v>
      </c>
      <c r="K65" s="2">
        <f>H65+5&gt;D65</f>
        <v/>
      </c>
      <c r="L65" s="2">
        <f>J65&lt;I65</f>
        <v/>
      </c>
      <c r="M65" s="2" t="b">
        <v>1</v>
      </c>
      <c r="N65" s="2" t="b">
        <v>1</v>
      </c>
      <c r="O65" s="2" t="inlineStr">
        <is>
          <t>allow</t>
        </is>
      </c>
      <c r="P65" s="2">
        <f>O65&lt;&gt;"unknown"</f>
        <v/>
      </c>
    </row>
    <row r="66">
      <c r="A66" s="2" t="inlineStr">
        <is>
          <t>1280-off</t>
        </is>
      </c>
      <c r="B66" s="2" t="n">
        <v>1280</v>
      </c>
      <c r="C66" s="2" t="inlineStr">
        <is>
          <t>off</t>
        </is>
      </c>
      <c r="D66" s="2" t="n">
        <v>1240</v>
      </c>
      <c r="E66" s="2" t="inlineStr">
        <is>
          <t>go 1.27 net/http (crypto/tls)</t>
        </is>
      </c>
      <c r="F66" s="2" t="b">
        <v>1</v>
      </c>
      <c r="G66" s="2" t="n">
        <v>5</v>
      </c>
      <c r="H66" s="2" t="n">
        <v>1532</v>
      </c>
      <c r="I66" s="2" t="n">
        <v>1532</v>
      </c>
      <c r="J66" s="2" t="n">
        <v>1235</v>
      </c>
      <c r="K66" s="2">
        <f>H66+5&gt;D66</f>
        <v/>
      </c>
      <c r="L66" s="2">
        <f>J66&lt;I66</f>
        <v/>
      </c>
      <c r="M66" s="2" t="b">
        <v>1</v>
      </c>
      <c r="N66" s="2" t="b">
        <v>1</v>
      </c>
      <c r="O66" s="2" t="inlineStr">
        <is>
          <t>allow</t>
        </is>
      </c>
      <c r="P66" s="2">
        <f>O66&lt;&gt;"unknown"</f>
        <v/>
      </c>
    </row>
    <row r="67">
      <c r="A67" s="2" t="inlineStr">
        <is>
          <t>1280-off</t>
        </is>
      </c>
      <c r="B67" s="2" t="n">
        <v>1280</v>
      </c>
      <c r="C67" s="2" t="inlineStr">
        <is>
          <t>off</t>
        </is>
      </c>
      <c r="D67" s="2" t="n">
        <v>1240</v>
      </c>
      <c r="E67" s="2" t="inlineStr">
        <is>
          <t>browser chrome116</t>
        </is>
      </c>
      <c r="F67" s="2" t="b">
        <v>0</v>
      </c>
      <c r="G67" s="2" t="n">
        <v>1</v>
      </c>
      <c r="H67" s="2" t="n">
        <v>512</v>
      </c>
      <c r="I67" s="2" t="n">
        <v>512</v>
      </c>
      <c r="J67" s="2" t="n">
        <v>512</v>
      </c>
      <c r="K67" s="2">
        <f>H67+5&gt;D67</f>
        <v/>
      </c>
      <c r="L67" s="2">
        <f>J67&lt;I67</f>
        <v/>
      </c>
      <c r="M67" s="2" t="b">
        <v>1</v>
      </c>
      <c r="N67" s="2" t="b">
        <v>1</v>
      </c>
      <c r="O67" s="2" t="inlineStr">
        <is>
          <t>allow</t>
        </is>
      </c>
      <c r="P67" s="2">
        <f>O67&lt;&gt;"unknown"</f>
        <v/>
      </c>
    </row>
    <row r="68">
      <c r="A68" s="2" t="inlineStr">
        <is>
          <t>1280-off</t>
        </is>
      </c>
      <c r="B68" s="2" t="n">
        <v>1280</v>
      </c>
      <c r="C68" s="2" t="inlineStr">
        <is>
          <t>off</t>
        </is>
      </c>
      <c r="D68" s="2" t="n">
        <v>1240</v>
      </c>
      <c r="E68" s="2" t="inlineStr">
        <is>
          <t>browser chrome116</t>
        </is>
      </c>
      <c r="F68" s="2" t="b">
        <v>0</v>
      </c>
      <c r="G68" s="2" t="n">
        <v>2</v>
      </c>
      <c r="H68" s="2" t="n">
        <v>512</v>
      </c>
      <c r="I68" s="2" t="n">
        <v>512</v>
      </c>
      <c r="J68" s="2" t="n">
        <v>512</v>
      </c>
      <c r="K68" s="2">
        <f>H68+5&gt;D68</f>
        <v/>
      </c>
      <c r="L68" s="2">
        <f>J68&lt;I68</f>
        <v/>
      </c>
      <c r="M68" s="2" t="b">
        <v>1</v>
      </c>
      <c r="N68" s="2" t="b">
        <v>1</v>
      </c>
      <c r="O68" s="2" t="inlineStr">
        <is>
          <t>allow</t>
        </is>
      </c>
      <c r="P68" s="2">
        <f>O68&lt;&gt;"unknown"</f>
        <v/>
      </c>
    </row>
    <row r="69">
      <c r="A69" s="2" t="inlineStr">
        <is>
          <t>1280-off</t>
        </is>
      </c>
      <c r="B69" s="2" t="n">
        <v>1280</v>
      </c>
      <c r="C69" s="2" t="inlineStr">
        <is>
          <t>off</t>
        </is>
      </c>
      <c r="D69" s="2" t="n">
        <v>1240</v>
      </c>
      <c r="E69" s="2" t="inlineStr">
        <is>
          <t>browser chrome116</t>
        </is>
      </c>
      <c r="F69" s="2" t="b">
        <v>0</v>
      </c>
      <c r="G69" s="2" t="n">
        <v>3</v>
      </c>
      <c r="H69" s="2" t="n">
        <v>512</v>
      </c>
      <c r="I69" s="2" t="n">
        <v>512</v>
      </c>
      <c r="J69" s="2" t="n">
        <v>512</v>
      </c>
      <c r="K69" s="2">
        <f>H69+5&gt;D69</f>
        <v/>
      </c>
      <c r="L69" s="2">
        <f>J69&lt;I69</f>
        <v/>
      </c>
      <c r="M69" s="2" t="b">
        <v>1</v>
      </c>
      <c r="N69" s="2" t="b">
        <v>1</v>
      </c>
      <c r="O69" s="2" t="inlineStr">
        <is>
          <t>allow</t>
        </is>
      </c>
      <c r="P69" s="2">
        <f>O69&lt;&gt;"unknown"</f>
        <v/>
      </c>
    </row>
    <row r="70">
      <c r="A70" s="2" t="inlineStr">
        <is>
          <t>1280-off</t>
        </is>
      </c>
      <c r="B70" s="2" t="n">
        <v>1280</v>
      </c>
      <c r="C70" s="2" t="inlineStr">
        <is>
          <t>off</t>
        </is>
      </c>
      <c r="D70" s="2" t="n">
        <v>1240</v>
      </c>
      <c r="E70" s="2" t="inlineStr">
        <is>
          <t>browser chrome116</t>
        </is>
      </c>
      <c r="F70" s="2" t="b">
        <v>0</v>
      </c>
      <c r="G70" s="2" t="n">
        <v>4</v>
      </c>
      <c r="H70" s="2" t="n">
        <v>512</v>
      </c>
      <c r="I70" s="2" t="n">
        <v>512</v>
      </c>
      <c r="J70" s="2" t="n">
        <v>512</v>
      </c>
      <c r="K70" s="2">
        <f>H70+5&gt;D70</f>
        <v/>
      </c>
      <c r="L70" s="2">
        <f>J70&lt;I70</f>
        <v/>
      </c>
      <c r="M70" s="2" t="b">
        <v>1</v>
      </c>
      <c r="N70" s="2" t="b">
        <v>1</v>
      </c>
      <c r="O70" s="2" t="inlineStr">
        <is>
          <t>allow</t>
        </is>
      </c>
      <c r="P70" s="2">
        <f>O70&lt;&gt;"unknown"</f>
        <v/>
      </c>
    </row>
    <row r="71">
      <c r="A71" s="2" t="inlineStr">
        <is>
          <t>1280-off</t>
        </is>
      </c>
      <c r="B71" s="2" t="n">
        <v>1280</v>
      </c>
      <c r="C71" s="2" t="inlineStr">
        <is>
          <t>off</t>
        </is>
      </c>
      <c r="D71" s="2" t="n">
        <v>1240</v>
      </c>
      <c r="E71" s="2" t="inlineStr">
        <is>
          <t>browser chrome116</t>
        </is>
      </c>
      <c r="F71" s="2" t="b">
        <v>0</v>
      </c>
      <c r="G71" s="2" t="n">
        <v>5</v>
      </c>
      <c r="H71" s="2" t="n">
        <v>512</v>
      </c>
      <c r="I71" s="2" t="n">
        <v>512</v>
      </c>
      <c r="J71" s="2" t="n">
        <v>512</v>
      </c>
      <c r="K71" s="2">
        <f>H71+5&gt;D71</f>
        <v/>
      </c>
      <c r="L71" s="2">
        <f>J71&lt;I71</f>
        <v/>
      </c>
      <c r="M71" s="2" t="b">
        <v>1</v>
      </c>
      <c r="N71" s="2" t="b">
        <v>1</v>
      </c>
      <c r="O71" s="2" t="inlineStr">
        <is>
          <t>allow</t>
        </is>
      </c>
      <c r="P71" s="2">
        <f>O71&lt;&gt;"unknown"</f>
        <v/>
      </c>
    </row>
    <row r="72">
      <c r="A72" s="2" t="inlineStr">
        <is>
          <t>1280-off</t>
        </is>
      </c>
      <c r="B72" s="2" t="n">
        <v>1280</v>
      </c>
      <c r="C72" s="2" t="inlineStr">
        <is>
          <t>off</t>
        </is>
      </c>
      <c r="D72" s="2" t="n">
        <v>1240</v>
      </c>
      <c r="E72" s="2" t="inlineStr">
        <is>
          <t>browser chrome124</t>
        </is>
      </c>
      <c r="F72" s="2" t="b">
        <v>1</v>
      </c>
      <c r="G72" s="2" t="n">
        <v>1</v>
      </c>
      <c r="H72" s="2" t="n">
        <v>1784</v>
      </c>
      <c r="I72" s="2" t="n">
        <v>1784</v>
      </c>
      <c r="J72" s="2" t="n">
        <v>1235</v>
      </c>
      <c r="K72" s="2">
        <f>H72+5&gt;D72</f>
        <v/>
      </c>
      <c r="L72" s="2">
        <f>J72&lt;I72</f>
        <v/>
      </c>
      <c r="M72" s="2" t="b">
        <v>1</v>
      </c>
      <c r="N72" s="2" t="b">
        <v>0</v>
      </c>
      <c r="O72" s="2" t="inlineStr">
        <is>
          <t>unknown</t>
        </is>
      </c>
      <c r="P72" s="2">
        <f>O72&lt;&gt;"unknown"</f>
        <v/>
      </c>
    </row>
    <row r="73">
      <c r="A73" s="2" t="inlineStr">
        <is>
          <t>1280-off</t>
        </is>
      </c>
      <c r="B73" s="2" t="n">
        <v>1280</v>
      </c>
      <c r="C73" s="2" t="inlineStr">
        <is>
          <t>off</t>
        </is>
      </c>
      <c r="D73" s="2" t="n">
        <v>1240</v>
      </c>
      <c r="E73" s="2" t="inlineStr">
        <is>
          <t>browser chrome124</t>
        </is>
      </c>
      <c r="F73" s="2" t="b">
        <v>1</v>
      </c>
      <c r="G73" s="2" t="n">
        <v>2</v>
      </c>
      <c r="H73" s="2" t="n">
        <v>1720</v>
      </c>
      <c r="I73" s="2" t="n">
        <v>1720</v>
      </c>
      <c r="J73" s="2" t="n">
        <v>1235</v>
      </c>
      <c r="K73" s="2">
        <f>H73+5&gt;D73</f>
        <v/>
      </c>
      <c r="L73" s="2">
        <f>J73&lt;I73</f>
        <v/>
      </c>
      <c r="M73" s="2" t="b">
        <v>1</v>
      </c>
      <c r="N73" s="2" t="b">
        <v>0</v>
      </c>
      <c r="O73" s="2" t="inlineStr">
        <is>
          <t>unknown</t>
        </is>
      </c>
      <c r="P73" s="2">
        <f>O73&lt;&gt;"unknown"</f>
        <v/>
      </c>
    </row>
    <row r="74">
      <c r="A74" s="2" t="inlineStr">
        <is>
          <t>1280-off</t>
        </is>
      </c>
      <c r="B74" s="2" t="n">
        <v>1280</v>
      </c>
      <c r="C74" s="2" t="inlineStr">
        <is>
          <t>off</t>
        </is>
      </c>
      <c r="D74" s="2" t="n">
        <v>1240</v>
      </c>
      <c r="E74" s="2" t="inlineStr">
        <is>
          <t>browser chrome124</t>
        </is>
      </c>
      <c r="F74" s="2" t="b">
        <v>1</v>
      </c>
      <c r="G74" s="2" t="n">
        <v>3</v>
      </c>
      <c r="H74" s="2" t="n">
        <v>1784</v>
      </c>
      <c r="I74" s="2" t="n">
        <v>1784</v>
      </c>
      <c r="J74" s="2" t="n">
        <v>1235</v>
      </c>
      <c r="K74" s="2">
        <f>H74+5&gt;D74</f>
        <v/>
      </c>
      <c r="L74" s="2">
        <f>J74&lt;I74</f>
        <v/>
      </c>
      <c r="M74" s="2" t="b">
        <v>1</v>
      </c>
      <c r="N74" s="2" t="b">
        <v>0</v>
      </c>
      <c r="O74" s="2" t="inlineStr">
        <is>
          <t>unknown</t>
        </is>
      </c>
      <c r="P74" s="2">
        <f>O74&lt;&gt;"unknown"</f>
        <v/>
      </c>
    </row>
    <row r="75">
      <c r="A75" s="2" t="inlineStr">
        <is>
          <t>1280-off</t>
        </is>
      </c>
      <c r="B75" s="2" t="n">
        <v>1280</v>
      </c>
      <c r="C75" s="2" t="inlineStr">
        <is>
          <t>off</t>
        </is>
      </c>
      <c r="D75" s="2" t="n">
        <v>1240</v>
      </c>
      <c r="E75" s="2" t="inlineStr">
        <is>
          <t>browser chrome124</t>
        </is>
      </c>
      <c r="F75" s="2" t="b">
        <v>1</v>
      </c>
      <c r="G75" s="2" t="n">
        <v>4</v>
      </c>
      <c r="H75" s="2" t="n">
        <v>1752</v>
      </c>
      <c r="I75" s="2" t="n">
        <v>1752</v>
      </c>
      <c r="J75" s="2" t="n">
        <v>1235</v>
      </c>
      <c r="K75" s="2">
        <f>H75+5&gt;D75</f>
        <v/>
      </c>
      <c r="L75" s="2">
        <f>J75&lt;I75</f>
        <v/>
      </c>
      <c r="M75" s="2" t="b">
        <v>1</v>
      </c>
      <c r="N75" s="2" t="b">
        <v>1</v>
      </c>
      <c r="O75" s="2" t="inlineStr">
        <is>
          <t>allow</t>
        </is>
      </c>
      <c r="P75" s="2">
        <f>O75&lt;&gt;"unknown"</f>
        <v/>
      </c>
    </row>
    <row r="76">
      <c r="A76" s="2" t="inlineStr">
        <is>
          <t>1280-off</t>
        </is>
      </c>
      <c r="B76" s="2" t="n">
        <v>1280</v>
      </c>
      <c r="C76" s="2" t="inlineStr">
        <is>
          <t>off</t>
        </is>
      </c>
      <c r="D76" s="2" t="n">
        <v>1240</v>
      </c>
      <c r="E76" s="2" t="inlineStr">
        <is>
          <t>browser chrome124</t>
        </is>
      </c>
      <c r="F76" s="2" t="b">
        <v>1</v>
      </c>
      <c r="G76" s="2" t="n">
        <v>5</v>
      </c>
      <c r="H76" s="2" t="n">
        <v>1784</v>
      </c>
      <c r="I76" s="2" t="n">
        <v>1784</v>
      </c>
      <c r="J76" s="2" t="n">
        <v>1235</v>
      </c>
      <c r="K76" s="2">
        <f>H76+5&gt;D76</f>
        <v/>
      </c>
      <c r="L76" s="2">
        <f>J76&lt;I76</f>
        <v/>
      </c>
      <c r="M76" s="2" t="b">
        <v>1</v>
      </c>
      <c r="N76" s="2" t="b">
        <v>0</v>
      </c>
      <c r="O76" s="2" t="inlineStr">
        <is>
          <t>unknown</t>
        </is>
      </c>
      <c r="P76" s="2">
        <f>O76&lt;&gt;"unknown"</f>
        <v/>
      </c>
    </row>
    <row r="77">
      <c r="A77" s="2" t="inlineStr">
        <is>
          <t>1280-off</t>
        </is>
      </c>
      <c r="B77" s="2" t="n">
        <v>1280</v>
      </c>
      <c r="C77" s="2" t="inlineStr">
        <is>
          <t>off</t>
        </is>
      </c>
      <c r="D77" s="2" t="n">
        <v>1240</v>
      </c>
      <c r="E77" s="2" t="inlineStr">
        <is>
          <t>browser chrome131</t>
        </is>
      </c>
      <c r="F77" s="2" t="b">
        <v>1</v>
      </c>
      <c r="G77" s="2" t="n">
        <v>1</v>
      </c>
      <c r="H77" s="2" t="n">
        <v>1720</v>
      </c>
      <c r="I77" s="2" t="n">
        <v>1720</v>
      </c>
      <c r="J77" s="2" t="n">
        <v>1235</v>
      </c>
      <c r="K77" s="2">
        <f>H77+5&gt;D77</f>
        <v/>
      </c>
      <c r="L77" s="2">
        <f>J77&lt;I77</f>
        <v/>
      </c>
      <c r="M77" s="2" t="b">
        <v>1</v>
      </c>
      <c r="N77" s="2" t="b">
        <v>0</v>
      </c>
      <c r="O77" s="2" t="inlineStr">
        <is>
          <t>unknown</t>
        </is>
      </c>
      <c r="P77" s="2">
        <f>O77&lt;&gt;"unknown"</f>
        <v/>
      </c>
    </row>
    <row r="78">
      <c r="A78" s="2" t="inlineStr">
        <is>
          <t>1280-off</t>
        </is>
      </c>
      <c r="B78" s="2" t="n">
        <v>1280</v>
      </c>
      <c r="C78" s="2" t="inlineStr">
        <is>
          <t>off</t>
        </is>
      </c>
      <c r="D78" s="2" t="n">
        <v>1240</v>
      </c>
      <c r="E78" s="2" t="inlineStr">
        <is>
          <t>browser chrome131</t>
        </is>
      </c>
      <c r="F78" s="2" t="b">
        <v>1</v>
      </c>
      <c r="G78" s="2" t="n">
        <v>2</v>
      </c>
      <c r="H78" s="2" t="n">
        <v>1784</v>
      </c>
      <c r="I78" s="2" t="n">
        <v>1784</v>
      </c>
      <c r="J78" s="2" t="n">
        <v>1235</v>
      </c>
      <c r="K78" s="2">
        <f>H78+5&gt;D78</f>
        <v/>
      </c>
      <c r="L78" s="2">
        <f>J78&lt;I78</f>
        <v/>
      </c>
      <c r="M78" s="2" t="b">
        <v>1</v>
      </c>
      <c r="N78" s="2" t="b">
        <v>1</v>
      </c>
      <c r="O78" s="2" t="inlineStr">
        <is>
          <t>allow</t>
        </is>
      </c>
      <c r="P78" s="2">
        <f>O78&lt;&gt;"unknown"</f>
        <v/>
      </c>
    </row>
    <row r="79">
      <c r="A79" s="2" t="inlineStr">
        <is>
          <t>1280-off</t>
        </is>
      </c>
      <c r="B79" s="2" t="n">
        <v>1280</v>
      </c>
      <c r="C79" s="2" t="inlineStr">
        <is>
          <t>off</t>
        </is>
      </c>
      <c r="D79" s="2" t="n">
        <v>1240</v>
      </c>
      <c r="E79" s="2" t="inlineStr">
        <is>
          <t>browser chrome131</t>
        </is>
      </c>
      <c r="F79" s="2" t="b">
        <v>1</v>
      </c>
      <c r="G79" s="2" t="n">
        <v>3</v>
      </c>
      <c r="H79" s="2" t="n">
        <v>1720</v>
      </c>
      <c r="I79" s="2" t="n">
        <v>1720</v>
      </c>
      <c r="J79" s="2" t="n">
        <v>1235</v>
      </c>
      <c r="K79" s="2">
        <f>H79+5&gt;D79</f>
        <v/>
      </c>
      <c r="L79" s="2">
        <f>J79&lt;I79</f>
        <v/>
      </c>
      <c r="M79" s="2" t="b">
        <v>1</v>
      </c>
      <c r="N79" s="2" t="b">
        <v>0</v>
      </c>
      <c r="O79" s="2" t="inlineStr">
        <is>
          <t>unknown</t>
        </is>
      </c>
      <c r="P79" s="2">
        <f>O79&lt;&gt;"unknown"</f>
        <v/>
      </c>
    </row>
    <row r="80">
      <c r="A80" s="2" t="inlineStr">
        <is>
          <t>1280-off</t>
        </is>
      </c>
      <c r="B80" s="2" t="n">
        <v>1280</v>
      </c>
      <c r="C80" s="2" t="inlineStr">
        <is>
          <t>off</t>
        </is>
      </c>
      <c r="D80" s="2" t="n">
        <v>1240</v>
      </c>
      <c r="E80" s="2" t="inlineStr">
        <is>
          <t>browser chrome131</t>
        </is>
      </c>
      <c r="F80" s="2" t="b">
        <v>1</v>
      </c>
      <c r="G80" s="2" t="n">
        <v>4</v>
      </c>
      <c r="H80" s="2" t="n">
        <v>1816</v>
      </c>
      <c r="I80" s="2" t="n">
        <v>1816</v>
      </c>
      <c r="J80" s="2" t="n">
        <v>1235</v>
      </c>
      <c r="K80" s="2">
        <f>H80+5&gt;D80</f>
        <v/>
      </c>
      <c r="L80" s="2">
        <f>J80&lt;I80</f>
        <v/>
      </c>
      <c r="M80" s="2" t="b">
        <v>1</v>
      </c>
      <c r="N80" s="2" t="b">
        <v>0</v>
      </c>
      <c r="O80" s="2" t="inlineStr">
        <is>
          <t>unknown</t>
        </is>
      </c>
      <c r="P80" s="2">
        <f>O80&lt;&gt;"unknown"</f>
        <v/>
      </c>
    </row>
    <row r="81">
      <c r="A81" s="2" t="inlineStr">
        <is>
          <t>1280-off</t>
        </is>
      </c>
      <c r="B81" s="2" t="n">
        <v>1280</v>
      </c>
      <c r="C81" s="2" t="inlineStr">
        <is>
          <t>off</t>
        </is>
      </c>
      <c r="D81" s="2" t="n">
        <v>1240</v>
      </c>
      <c r="E81" s="2" t="inlineStr">
        <is>
          <t>browser chrome131</t>
        </is>
      </c>
      <c r="F81" s="2" t="b">
        <v>1</v>
      </c>
      <c r="G81" s="2" t="n">
        <v>5</v>
      </c>
      <c r="H81" s="2" t="n">
        <v>1816</v>
      </c>
      <c r="I81" s="2" t="n">
        <v>1816</v>
      </c>
      <c r="J81" s="2" t="n">
        <v>1235</v>
      </c>
      <c r="K81" s="2">
        <f>H81+5&gt;D81</f>
        <v/>
      </c>
      <c r="L81" s="2">
        <f>J81&lt;I81</f>
        <v/>
      </c>
      <c r="M81" s="2" t="b">
        <v>1</v>
      </c>
      <c r="N81" s="2" t="b">
        <v>1</v>
      </c>
      <c r="O81" s="2" t="inlineStr">
        <is>
          <t>allow</t>
        </is>
      </c>
      <c r="P81" s="2">
        <f>O81&lt;&gt;"unknown"</f>
        <v/>
      </c>
    </row>
    <row r="82">
      <c r="A82" s="2" t="inlineStr">
        <is>
          <t>1280-off</t>
        </is>
      </c>
      <c r="B82" s="2" t="n">
        <v>1280</v>
      </c>
      <c r="C82" s="2" t="inlineStr">
        <is>
          <t>off</t>
        </is>
      </c>
      <c r="D82" s="2" t="n">
        <v>1240</v>
      </c>
      <c r="E82" s="2" t="inlineStr">
        <is>
          <t>browser chrome150</t>
        </is>
      </c>
      <c r="F82" s="2" t="b">
        <v>1</v>
      </c>
      <c r="G82" s="2" t="n">
        <v>1</v>
      </c>
      <c r="H82" s="2" t="n">
        <v>1822</v>
      </c>
      <c r="I82" s="2" t="n">
        <v>1822</v>
      </c>
      <c r="J82" s="2" t="n">
        <v>1235</v>
      </c>
      <c r="K82" s="2">
        <f>H82+5&gt;D82</f>
        <v/>
      </c>
      <c r="L82" s="2">
        <f>J82&lt;I82</f>
        <v/>
      </c>
      <c r="M82" s="2" t="b">
        <v>1</v>
      </c>
      <c r="N82" s="2" t="b">
        <v>1</v>
      </c>
      <c r="O82" s="2" t="inlineStr">
        <is>
          <t>allow</t>
        </is>
      </c>
      <c r="P82" s="2">
        <f>O82&lt;&gt;"unknown"</f>
        <v/>
      </c>
    </row>
    <row r="83">
      <c r="A83" s="2" t="inlineStr">
        <is>
          <t>1280-off</t>
        </is>
      </c>
      <c r="B83" s="2" t="n">
        <v>1280</v>
      </c>
      <c r="C83" s="2" t="inlineStr">
        <is>
          <t>off</t>
        </is>
      </c>
      <c r="D83" s="2" t="n">
        <v>1240</v>
      </c>
      <c r="E83" s="2" t="inlineStr">
        <is>
          <t>browser chrome150</t>
        </is>
      </c>
      <c r="F83" s="2" t="b">
        <v>1</v>
      </c>
      <c r="G83" s="2" t="n">
        <v>2</v>
      </c>
      <c r="H83" s="2" t="n">
        <v>1822</v>
      </c>
      <c r="I83" s="2" t="n">
        <v>1822</v>
      </c>
      <c r="J83" s="2" t="n">
        <v>1235</v>
      </c>
      <c r="K83" s="2">
        <f>H83+5&gt;D83</f>
        <v/>
      </c>
      <c r="L83" s="2">
        <f>J83&lt;I83</f>
        <v/>
      </c>
      <c r="M83" s="2" t="b">
        <v>1</v>
      </c>
      <c r="N83" s="2" t="b">
        <v>1</v>
      </c>
      <c r="O83" s="2" t="inlineStr">
        <is>
          <t>allow</t>
        </is>
      </c>
      <c r="P83" s="2">
        <f>O83&lt;&gt;"unknown"</f>
        <v/>
      </c>
    </row>
    <row r="84">
      <c r="A84" s="2" t="inlineStr">
        <is>
          <t>1280-off</t>
        </is>
      </c>
      <c r="B84" s="2" t="n">
        <v>1280</v>
      </c>
      <c r="C84" s="2" t="inlineStr">
        <is>
          <t>off</t>
        </is>
      </c>
      <c r="D84" s="2" t="n">
        <v>1240</v>
      </c>
      <c r="E84" s="2" t="inlineStr">
        <is>
          <t>browser chrome150</t>
        </is>
      </c>
      <c r="F84" s="2" t="b">
        <v>1</v>
      </c>
      <c r="G84" s="2" t="n">
        <v>3</v>
      </c>
      <c r="H84" s="2" t="n">
        <v>1790</v>
      </c>
      <c r="I84" s="2" t="n">
        <v>1790</v>
      </c>
      <c r="J84" s="2" t="n">
        <v>1235</v>
      </c>
      <c r="K84" s="2">
        <f>H84+5&gt;D84</f>
        <v/>
      </c>
      <c r="L84" s="2">
        <f>J84&lt;I84</f>
        <v/>
      </c>
      <c r="M84" s="2" t="b">
        <v>1</v>
      </c>
      <c r="N84" s="2" t="b">
        <v>1</v>
      </c>
      <c r="O84" s="2" t="inlineStr">
        <is>
          <t>allow</t>
        </is>
      </c>
      <c r="P84" s="2">
        <f>O84&lt;&gt;"unknown"</f>
        <v/>
      </c>
    </row>
    <row r="85">
      <c r="A85" s="2" t="inlineStr">
        <is>
          <t>1280-off</t>
        </is>
      </c>
      <c r="B85" s="2" t="n">
        <v>1280</v>
      </c>
      <c r="C85" s="2" t="inlineStr">
        <is>
          <t>off</t>
        </is>
      </c>
      <c r="D85" s="2" t="n">
        <v>1240</v>
      </c>
      <c r="E85" s="2" t="inlineStr">
        <is>
          <t>browser chrome150</t>
        </is>
      </c>
      <c r="F85" s="2" t="b">
        <v>1</v>
      </c>
      <c r="G85" s="2" t="n">
        <v>4</v>
      </c>
      <c r="H85" s="2" t="n">
        <v>1790</v>
      </c>
      <c r="I85" s="2" t="n">
        <v>1790</v>
      </c>
      <c r="J85" s="2" t="n">
        <v>1235</v>
      </c>
      <c r="K85" s="2">
        <f>H85+5&gt;D85</f>
        <v/>
      </c>
      <c r="L85" s="2">
        <f>J85&lt;I85</f>
        <v/>
      </c>
      <c r="M85" s="2" t="b">
        <v>1</v>
      </c>
      <c r="N85" s="2" t="b">
        <v>1</v>
      </c>
      <c r="O85" s="2" t="inlineStr">
        <is>
          <t>allow</t>
        </is>
      </c>
      <c r="P85" s="2">
        <f>O85&lt;&gt;"unknown"</f>
        <v/>
      </c>
    </row>
    <row r="86">
      <c r="A86" s="2" t="inlineStr">
        <is>
          <t>1280-off</t>
        </is>
      </c>
      <c r="B86" s="2" t="n">
        <v>1280</v>
      </c>
      <c r="C86" s="2" t="inlineStr">
        <is>
          <t>off</t>
        </is>
      </c>
      <c r="D86" s="2" t="n">
        <v>1240</v>
      </c>
      <c r="E86" s="2" t="inlineStr">
        <is>
          <t>browser chrome150</t>
        </is>
      </c>
      <c r="F86" s="2" t="b">
        <v>1</v>
      </c>
      <c r="G86" s="2" t="n">
        <v>5</v>
      </c>
      <c r="H86" s="2" t="n">
        <v>1726</v>
      </c>
      <c r="I86" s="2" t="n">
        <v>1726</v>
      </c>
      <c r="J86" s="2" t="n">
        <v>1235</v>
      </c>
      <c r="K86" s="2">
        <f>H86+5&gt;D86</f>
        <v/>
      </c>
      <c r="L86" s="2">
        <f>J86&lt;I86</f>
        <v/>
      </c>
      <c r="M86" s="2" t="b">
        <v>1</v>
      </c>
      <c r="N86" s="2" t="b">
        <v>0</v>
      </c>
      <c r="O86" s="2" t="inlineStr">
        <is>
          <t>unknown</t>
        </is>
      </c>
      <c r="P86" s="2">
        <f>O86&lt;&gt;"unknown"</f>
        <v/>
      </c>
    </row>
    <row r="87">
      <c r="A87" s="2" t="inlineStr">
        <is>
          <t>1280-off</t>
        </is>
      </c>
      <c r="B87" s="2" t="n">
        <v>1280</v>
      </c>
      <c r="C87" s="2" t="inlineStr">
        <is>
          <t>off</t>
        </is>
      </c>
      <c r="D87" s="2" t="n">
        <v>1240</v>
      </c>
      <c r="E87" s="2" t="inlineStr">
        <is>
          <t>browser edge101</t>
        </is>
      </c>
      <c r="F87" s="2" t="b">
        <v>0</v>
      </c>
      <c r="G87" s="2" t="n">
        <v>1</v>
      </c>
      <c r="H87" s="2" t="n">
        <v>512</v>
      </c>
      <c r="I87" s="2" t="n">
        <v>512</v>
      </c>
      <c r="J87" s="2" t="n">
        <v>512</v>
      </c>
      <c r="K87" s="2">
        <f>H87+5&gt;D87</f>
        <v/>
      </c>
      <c r="L87" s="2">
        <f>J87&lt;I87</f>
        <v/>
      </c>
      <c r="M87" s="2" t="b">
        <v>1</v>
      </c>
      <c r="N87" s="2" t="b">
        <v>1</v>
      </c>
      <c r="O87" s="2" t="inlineStr">
        <is>
          <t>allow</t>
        </is>
      </c>
      <c r="P87" s="2">
        <f>O87&lt;&gt;"unknown"</f>
        <v/>
      </c>
    </row>
    <row r="88">
      <c r="A88" s="2" t="inlineStr">
        <is>
          <t>1280-off</t>
        </is>
      </c>
      <c r="B88" s="2" t="n">
        <v>1280</v>
      </c>
      <c r="C88" s="2" t="inlineStr">
        <is>
          <t>off</t>
        </is>
      </c>
      <c r="D88" s="2" t="n">
        <v>1240</v>
      </c>
      <c r="E88" s="2" t="inlineStr">
        <is>
          <t>browser edge101</t>
        </is>
      </c>
      <c r="F88" s="2" t="b">
        <v>0</v>
      </c>
      <c r="G88" s="2" t="n">
        <v>2</v>
      </c>
      <c r="H88" s="2" t="n">
        <v>512</v>
      </c>
      <c r="I88" s="2" t="n">
        <v>512</v>
      </c>
      <c r="J88" s="2" t="n">
        <v>512</v>
      </c>
      <c r="K88" s="2">
        <f>H88+5&gt;D88</f>
        <v/>
      </c>
      <c r="L88" s="2">
        <f>J88&lt;I88</f>
        <v/>
      </c>
      <c r="M88" s="2" t="b">
        <v>1</v>
      </c>
      <c r="N88" s="2" t="b">
        <v>1</v>
      </c>
      <c r="O88" s="2" t="inlineStr">
        <is>
          <t>allow</t>
        </is>
      </c>
      <c r="P88" s="2">
        <f>O88&lt;&gt;"unknown"</f>
        <v/>
      </c>
    </row>
    <row r="89">
      <c r="A89" s="2" t="inlineStr">
        <is>
          <t>1280-off</t>
        </is>
      </c>
      <c r="B89" s="2" t="n">
        <v>1280</v>
      </c>
      <c r="C89" s="2" t="inlineStr">
        <is>
          <t>off</t>
        </is>
      </c>
      <c r="D89" s="2" t="n">
        <v>1240</v>
      </c>
      <c r="E89" s="2" t="inlineStr">
        <is>
          <t>browser edge101</t>
        </is>
      </c>
      <c r="F89" s="2" t="b">
        <v>0</v>
      </c>
      <c r="G89" s="2" t="n">
        <v>3</v>
      </c>
      <c r="H89" s="2" t="n">
        <v>512</v>
      </c>
      <c r="I89" s="2" t="n">
        <v>512</v>
      </c>
      <c r="J89" s="2" t="n">
        <v>512</v>
      </c>
      <c r="K89" s="2">
        <f>H89+5&gt;D89</f>
        <v/>
      </c>
      <c r="L89" s="2">
        <f>J89&lt;I89</f>
        <v/>
      </c>
      <c r="M89" s="2" t="b">
        <v>1</v>
      </c>
      <c r="N89" s="2" t="b">
        <v>1</v>
      </c>
      <c r="O89" s="2" t="inlineStr">
        <is>
          <t>allow</t>
        </is>
      </c>
      <c r="P89" s="2">
        <f>O89&lt;&gt;"unknown"</f>
        <v/>
      </c>
    </row>
    <row r="90">
      <c r="A90" s="2" t="inlineStr">
        <is>
          <t>1280-off</t>
        </is>
      </c>
      <c r="B90" s="2" t="n">
        <v>1280</v>
      </c>
      <c r="C90" s="2" t="inlineStr">
        <is>
          <t>off</t>
        </is>
      </c>
      <c r="D90" s="2" t="n">
        <v>1240</v>
      </c>
      <c r="E90" s="2" t="inlineStr">
        <is>
          <t>browser edge101</t>
        </is>
      </c>
      <c r="F90" s="2" t="b">
        <v>0</v>
      </c>
      <c r="G90" s="2" t="n">
        <v>4</v>
      </c>
      <c r="H90" s="2" t="n">
        <v>512</v>
      </c>
      <c r="I90" s="2" t="n">
        <v>512</v>
      </c>
      <c r="J90" s="2" t="n">
        <v>512</v>
      </c>
      <c r="K90" s="2">
        <f>H90+5&gt;D90</f>
        <v/>
      </c>
      <c r="L90" s="2">
        <f>J90&lt;I90</f>
        <v/>
      </c>
      <c r="M90" s="2" t="b">
        <v>1</v>
      </c>
      <c r="N90" s="2" t="b">
        <v>1</v>
      </c>
      <c r="O90" s="2" t="inlineStr">
        <is>
          <t>allow</t>
        </is>
      </c>
      <c r="P90" s="2">
        <f>O90&lt;&gt;"unknown"</f>
        <v/>
      </c>
    </row>
    <row r="91">
      <c r="A91" s="2" t="inlineStr">
        <is>
          <t>1280-off</t>
        </is>
      </c>
      <c r="B91" s="2" t="n">
        <v>1280</v>
      </c>
      <c r="C91" s="2" t="inlineStr">
        <is>
          <t>off</t>
        </is>
      </c>
      <c r="D91" s="2" t="n">
        <v>1240</v>
      </c>
      <c r="E91" s="2" t="inlineStr">
        <is>
          <t>browser edge101</t>
        </is>
      </c>
      <c r="F91" s="2" t="b">
        <v>0</v>
      </c>
      <c r="G91" s="2" t="n">
        <v>5</v>
      </c>
      <c r="H91" s="2" t="n">
        <v>512</v>
      </c>
      <c r="I91" s="2" t="n">
        <v>512</v>
      </c>
      <c r="J91" s="2" t="n">
        <v>512</v>
      </c>
      <c r="K91" s="2">
        <f>H91+5&gt;D91</f>
        <v/>
      </c>
      <c r="L91" s="2">
        <f>J91&lt;I91</f>
        <v/>
      </c>
      <c r="M91" s="2" t="b">
        <v>1</v>
      </c>
      <c r="N91" s="2" t="b">
        <v>1</v>
      </c>
      <c r="O91" s="2" t="inlineStr">
        <is>
          <t>allow</t>
        </is>
      </c>
      <c r="P91" s="2">
        <f>O91&lt;&gt;"unknown"</f>
        <v/>
      </c>
    </row>
    <row r="92">
      <c r="A92" s="2" t="inlineStr">
        <is>
          <t>1280-off</t>
        </is>
      </c>
      <c r="B92" s="2" t="n">
        <v>1280</v>
      </c>
      <c r="C92" s="2" t="inlineStr">
        <is>
          <t>off</t>
        </is>
      </c>
      <c r="D92" s="2" t="n">
        <v>1240</v>
      </c>
      <c r="E92" s="2" t="inlineStr">
        <is>
          <t>browser firefox133</t>
        </is>
      </c>
      <c r="F92" s="2" t="b">
        <v>1</v>
      </c>
      <c r="G92" s="2" t="n">
        <v>1</v>
      </c>
      <c r="H92" s="2" t="n">
        <v>1828</v>
      </c>
      <c r="I92" s="2" t="n">
        <v>1828</v>
      </c>
      <c r="J92" s="2" t="n">
        <v>1235</v>
      </c>
      <c r="K92" s="2">
        <f>H92+5&gt;D92</f>
        <v/>
      </c>
      <c r="L92" s="2">
        <f>J92&lt;I92</f>
        <v/>
      </c>
      <c r="M92" s="2" t="b">
        <v>1</v>
      </c>
      <c r="N92" s="2" t="b">
        <v>0</v>
      </c>
      <c r="O92" s="2" t="inlineStr">
        <is>
          <t>unknown</t>
        </is>
      </c>
      <c r="P92" s="2">
        <f>O92&lt;&gt;"unknown"</f>
        <v/>
      </c>
    </row>
    <row r="93">
      <c r="A93" s="2" t="inlineStr">
        <is>
          <t>1280-off</t>
        </is>
      </c>
      <c r="B93" s="2" t="n">
        <v>1280</v>
      </c>
      <c r="C93" s="2" t="inlineStr">
        <is>
          <t>off</t>
        </is>
      </c>
      <c r="D93" s="2" t="n">
        <v>1240</v>
      </c>
      <c r="E93" s="2" t="inlineStr">
        <is>
          <t>browser firefox133</t>
        </is>
      </c>
      <c r="F93" s="2" t="b">
        <v>1</v>
      </c>
      <c r="G93" s="2" t="n">
        <v>2</v>
      </c>
      <c r="H93" s="2" t="n">
        <v>1860</v>
      </c>
      <c r="I93" s="2" t="n">
        <v>1860</v>
      </c>
      <c r="J93" s="2" t="n">
        <v>1235</v>
      </c>
      <c r="K93" s="2">
        <f>H93+5&gt;D93</f>
        <v/>
      </c>
      <c r="L93" s="2">
        <f>J93&lt;I93</f>
        <v/>
      </c>
      <c r="M93" s="2" t="b">
        <v>1</v>
      </c>
      <c r="N93" s="2" t="b">
        <v>0</v>
      </c>
      <c r="O93" s="2" t="inlineStr">
        <is>
          <t>unknown</t>
        </is>
      </c>
      <c r="P93" s="2">
        <f>O93&lt;&gt;"unknown"</f>
        <v/>
      </c>
    </row>
    <row r="94">
      <c r="A94" s="2" t="inlineStr">
        <is>
          <t>1280-off</t>
        </is>
      </c>
      <c r="B94" s="2" t="n">
        <v>1280</v>
      </c>
      <c r="C94" s="2" t="inlineStr">
        <is>
          <t>off</t>
        </is>
      </c>
      <c r="D94" s="2" t="n">
        <v>1240</v>
      </c>
      <c r="E94" s="2" t="inlineStr">
        <is>
          <t>browser firefox133</t>
        </is>
      </c>
      <c r="F94" s="2" t="b">
        <v>1</v>
      </c>
      <c r="G94" s="2" t="n">
        <v>3</v>
      </c>
      <c r="H94" s="2" t="n">
        <v>1892</v>
      </c>
      <c r="I94" s="2" t="n">
        <v>1892</v>
      </c>
      <c r="J94" s="2" t="n">
        <v>1235</v>
      </c>
      <c r="K94" s="2">
        <f>H94+5&gt;D94</f>
        <v/>
      </c>
      <c r="L94" s="2">
        <f>J94&lt;I94</f>
        <v/>
      </c>
      <c r="M94" s="2" t="b">
        <v>1</v>
      </c>
      <c r="N94" s="2" t="b">
        <v>0</v>
      </c>
      <c r="O94" s="2" t="inlineStr">
        <is>
          <t>unknown</t>
        </is>
      </c>
      <c r="P94" s="2">
        <f>O94&lt;&gt;"unknown"</f>
        <v/>
      </c>
    </row>
    <row r="95">
      <c r="A95" s="2" t="inlineStr">
        <is>
          <t>1280-off</t>
        </is>
      </c>
      <c r="B95" s="2" t="n">
        <v>1280</v>
      </c>
      <c r="C95" s="2" t="inlineStr">
        <is>
          <t>off</t>
        </is>
      </c>
      <c r="D95" s="2" t="n">
        <v>1240</v>
      </c>
      <c r="E95" s="2" t="inlineStr">
        <is>
          <t>browser firefox133</t>
        </is>
      </c>
      <c r="F95" s="2" t="b">
        <v>1</v>
      </c>
      <c r="G95" s="2" t="n">
        <v>4</v>
      </c>
      <c r="H95" s="2" t="n">
        <v>1796</v>
      </c>
      <c r="I95" s="2" t="n">
        <v>1796</v>
      </c>
      <c r="J95" s="2" t="n">
        <v>1235</v>
      </c>
      <c r="K95" s="2">
        <f>H95+5&gt;D95</f>
        <v/>
      </c>
      <c r="L95" s="2">
        <f>J95&lt;I95</f>
        <v/>
      </c>
      <c r="M95" s="2" t="b">
        <v>1</v>
      </c>
      <c r="N95" s="2" t="b">
        <v>0</v>
      </c>
      <c r="O95" s="2" t="inlineStr">
        <is>
          <t>unknown</t>
        </is>
      </c>
      <c r="P95" s="2">
        <f>O95&lt;&gt;"unknown"</f>
        <v/>
      </c>
    </row>
    <row r="96">
      <c r="A96" s="2" t="inlineStr">
        <is>
          <t>1280-off</t>
        </is>
      </c>
      <c r="B96" s="2" t="n">
        <v>1280</v>
      </c>
      <c r="C96" s="2" t="inlineStr">
        <is>
          <t>off</t>
        </is>
      </c>
      <c r="D96" s="2" t="n">
        <v>1240</v>
      </c>
      <c r="E96" s="2" t="inlineStr">
        <is>
          <t>browser firefox133</t>
        </is>
      </c>
      <c r="F96" s="2" t="b">
        <v>1</v>
      </c>
      <c r="G96" s="2" t="n">
        <v>5</v>
      </c>
      <c r="H96" s="2" t="n">
        <v>1828</v>
      </c>
      <c r="I96" s="2" t="n">
        <v>1828</v>
      </c>
      <c r="J96" s="2" t="n">
        <v>1235</v>
      </c>
      <c r="K96" s="2">
        <f>H96+5&gt;D96</f>
        <v/>
      </c>
      <c r="L96" s="2">
        <f>J96&lt;I96</f>
        <v/>
      </c>
      <c r="M96" s="2" t="b">
        <v>1</v>
      </c>
      <c r="N96" s="2" t="b">
        <v>0</v>
      </c>
      <c r="O96" s="2" t="inlineStr">
        <is>
          <t>unknown</t>
        </is>
      </c>
      <c r="P96" s="2">
        <f>O96&lt;&gt;"unknown"</f>
        <v/>
      </c>
    </row>
    <row r="97">
      <c r="A97" s="2" t="inlineStr">
        <is>
          <t>1280-off</t>
        </is>
      </c>
      <c r="B97" s="2" t="n">
        <v>1280</v>
      </c>
      <c r="C97" s="2" t="inlineStr">
        <is>
          <t>off</t>
        </is>
      </c>
      <c r="D97" s="2" t="n">
        <v>1240</v>
      </c>
      <c r="E97" s="2" t="inlineStr">
        <is>
          <t>browser firefox147</t>
        </is>
      </c>
      <c r="F97" s="2" t="b">
        <v>1</v>
      </c>
      <c r="G97" s="2" t="n">
        <v>1</v>
      </c>
      <c r="H97" s="2" t="n">
        <v>1864</v>
      </c>
      <c r="I97" s="2" t="n">
        <v>1864</v>
      </c>
      <c r="J97" s="2" t="n">
        <v>1235</v>
      </c>
      <c r="K97" s="2">
        <f>H97+5&gt;D97</f>
        <v/>
      </c>
      <c r="L97" s="2">
        <f>J97&lt;I97</f>
        <v/>
      </c>
      <c r="M97" s="2" t="b">
        <v>1</v>
      </c>
      <c r="N97" s="2" t="b">
        <v>0</v>
      </c>
      <c r="O97" s="2" t="inlineStr">
        <is>
          <t>unknown</t>
        </is>
      </c>
      <c r="P97" s="2">
        <f>O97&lt;&gt;"unknown"</f>
        <v/>
      </c>
    </row>
    <row r="98">
      <c r="A98" s="2" t="inlineStr">
        <is>
          <t>1280-off</t>
        </is>
      </c>
      <c r="B98" s="2" t="n">
        <v>1280</v>
      </c>
      <c r="C98" s="2" t="inlineStr">
        <is>
          <t>off</t>
        </is>
      </c>
      <c r="D98" s="2" t="n">
        <v>1240</v>
      </c>
      <c r="E98" s="2" t="inlineStr">
        <is>
          <t>browser firefox147</t>
        </is>
      </c>
      <c r="F98" s="2" t="b">
        <v>1</v>
      </c>
      <c r="G98" s="2" t="n">
        <v>2</v>
      </c>
      <c r="H98" s="2" t="n">
        <v>1864</v>
      </c>
      <c r="I98" s="2" t="n">
        <v>1864</v>
      </c>
      <c r="J98" s="2" t="n">
        <v>1235</v>
      </c>
      <c r="K98" s="2">
        <f>H98+5&gt;D98</f>
        <v/>
      </c>
      <c r="L98" s="2">
        <f>J98&lt;I98</f>
        <v/>
      </c>
      <c r="M98" s="2" t="b">
        <v>1</v>
      </c>
      <c r="N98" s="2" t="b">
        <v>0</v>
      </c>
      <c r="O98" s="2" t="inlineStr">
        <is>
          <t>unknown</t>
        </is>
      </c>
      <c r="P98" s="2">
        <f>O98&lt;&gt;"unknown"</f>
        <v/>
      </c>
    </row>
    <row r="99">
      <c r="A99" s="2" t="inlineStr">
        <is>
          <t>1280-off</t>
        </is>
      </c>
      <c r="B99" s="2" t="n">
        <v>1280</v>
      </c>
      <c r="C99" s="2" t="inlineStr">
        <is>
          <t>off</t>
        </is>
      </c>
      <c r="D99" s="2" t="n">
        <v>1240</v>
      </c>
      <c r="E99" s="2" t="inlineStr">
        <is>
          <t>browser firefox147</t>
        </is>
      </c>
      <c r="F99" s="2" t="b">
        <v>1</v>
      </c>
      <c r="G99" s="2" t="n">
        <v>3</v>
      </c>
      <c r="H99" s="2" t="n">
        <v>1800</v>
      </c>
      <c r="I99" s="2" t="n">
        <v>1800</v>
      </c>
      <c r="J99" s="2" t="n">
        <v>1235</v>
      </c>
      <c r="K99" s="2">
        <f>H99+5&gt;D99</f>
        <v/>
      </c>
      <c r="L99" s="2">
        <f>J99&lt;I99</f>
        <v/>
      </c>
      <c r="M99" s="2" t="b">
        <v>1</v>
      </c>
      <c r="N99" s="2" t="b">
        <v>0</v>
      </c>
      <c r="O99" s="2" t="inlineStr">
        <is>
          <t>unknown</t>
        </is>
      </c>
      <c r="P99" s="2">
        <f>O99&lt;&gt;"unknown"</f>
        <v/>
      </c>
    </row>
    <row r="100">
      <c r="A100" s="2" t="inlineStr">
        <is>
          <t>1280-off</t>
        </is>
      </c>
      <c r="B100" s="2" t="n">
        <v>1280</v>
      </c>
      <c r="C100" s="2" t="inlineStr">
        <is>
          <t>off</t>
        </is>
      </c>
      <c r="D100" s="2" t="n">
        <v>1240</v>
      </c>
      <c r="E100" s="2" t="inlineStr">
        <is>
          <t>browser firefox147</t>
        </is>
      </c>
      <c r="F100" s="2" t="b">
        <v>1</v>
      </c>
      <c r="G100" s="2" t="n">
        <v>4</v>
      </c>
      <c r="H100" s="2" t="n">
        <v>1864</v>
      </c>
      <c r="I100" s="2" t="n">
        <v>1864</v>
      </c>
      <c r="J100" s="2" t="n">
        <v>1235</v>
      </c>
      <c r="K100" s="2">
        <f>H100+5&gt;D100</f>
        <v/>
      </c>
      <c r="L100" s="2">
        <f>J100&lt;I100</f>
        <v/>
      </c>
      <c r="M100" s="2" t="b">
        <v>1</v>
      </c>
      <c r="N100" s="2" t="b">
        <v>0</v>
      </c>
      <c r="O100" s="2" t="inlineStr">
        <is>
          <t>unknown</t>
        </is>
      </c>
      <c r="P100" s="2">
        <f>O100&lt;&gt;"unknown"</f>
        <v/>
      </c>
    </row>
    <row r="101">
      <c r="A101" s="2" t="inlineStr">
        <is>
          <t>1280-off</t>
        </is>
      </c>
      <c r="B101" s="2" t="n">
        <v>1280</v>
      </c>
      <c r="C101" s="2" t="inlineStr">
        <is>
          <t>off</t>
        </is>
      </c>
      <c r="D101" s="2" t="n">
        <v>1240</v>
      </c>
      <c r="E101" s="2" t="inlineStr">
        <is>
          <t>browser firefox147</t>
        </is>
      </c>
      <c r="F101" s="2" t="b">
        <v>1</v>
      </c>
      <c r="G101" s="2" t="n">
        <v>5</v>
      </c>
      <c r="H101" s="2" t="n">
        <v>1800</v>
      </c>
      <c r="I101" s="2" t="n">
        <v>1800</v>
      </c>
      <c r="J101" s="2" t="n">
        <v>1235</v>
      </c>
      <c r="K101" s="2">
        <f>H101+5&gt;D101</f>
        <v/>
      </c>
      <c r="L101" s="2">
        <f>J101&lt;I101</f>
        <v/>
      </c>
      <c r="M101" s="2" t="b">
        <v>1</v>
      </c>
      <c r="N101" s="2" t="b">
        <v>0</v>
      </c>
      <c r="O101" s="2" t="inlineStr">
        <is>
          <t>unknown</t>
        </is>
      </c>
      <c r="P101" s="2">
        <f>O101&lt;&gt;"unknown"</f>
        <v/>
      </c>
    </row>
    <row r="102">
      <c r="A102" s="2" t="inlineStr">
        <is>
          <t>1280-off</t>
        </is>
      </c>
      <c r="B102" s="2" t="n">
        <v>1280</v>
      </c>
      <c r="C102" s="2" t="inlineStr">
        <is>
          <t>off</t>
        </is>
      </c>
      <c r="D102" s="2" t="n">
        <v>1240</v>
      </c>
      <c r="E102" s="2" t="inlineStr">
        <is>
          <t>browser safari184</t>
        </is>
      </c>
      <c r="F102" s="2" t="b">
        <v>0</v>
      </c>
      <c r="G102" s="2" t="n">
        <v>1</v>
      </c>
      <c r="H102" s="2" t="n">
        <v>512</v>
      </c>
      <c r="I102" s="2" t="n">
        <v>512</v>
      </c>
      <c r="J102" s="2" t="n">
        <v>512</v>
      </c>
      <c r="K102" s="2">
        <f>H102+5&gt;D102</f>
        <v/>
      </c>
      <c r="L102" s="2">
        <f>J102&lt;I102</f>
        <v/>
      </c>
      <c r="M102" s="2" t="b">
        <v>1</v>
      </c>
      <c r="N102" s="2" t="b">
        <v>1</v>
      </c>
      <c r="O102" s="2" t="inlineStr">
        <is>
          <t>violation</t>
        </is>
      </c>
      <c r="P102" s="2">
        <f>O102&lt;&gt;"unknown"</f>
        <v/>
      </c>
    </row>
    <row r="103">
      <c r="A103" s="2" t="inlineStr">
        <is>
          <t>1280-off</t>
        </is>
      </c>
      <c r="B103" s="2" t="n">
        <v>1280</v>
      </c>
      <c r="C103" s="2" t="inlineStr">
        <is>
          <t>off</t>
        </is>
      </c>
      <c r="D103" s="2" t="n">
        <v>1240</v>
      </c>
      <c r="E103" s="2" t="inlineStr">
        <is>
          <t>browser safari184</t>
        </is>
      </c>
      <c r="F103" s="2" t="b">
        <v>0</v>
      </c>
      <c r="G103" s="2" t="n">
        <v>2</v>
      </c>
      <c r="H103" s="2" t="n">
        <v>512</v>
      </c>
      <c r="I103" s="2" t="n">
        <v>512</v>
      </c>
      <c r="J103" s="2" t="n">
        <v>512</v>
      </c>
      <c r="K103" s="2">
        <f>H103+5&gt;D103</f>
        <v/>
      </c>
      <c r="L103" s="2">
        <f>J103&lt;I103</f>
        <v/>
      </c>
      <c r="M103" s="2" t="b">
        <v>1</v>
      </c>
      <c r="N103" s="2" t="b">
        <v>1</v>
      </c>
      <c r="O103" s="2" t="inlineStr">
        <is>
          <t>violation</t>
        </is>
      </c>
      <c r="P103" s="2">
        <f>O103&lt;&gt;"unknown"</f>
        <v/>
      </c>
    </row>
    <row r="104">
      <c r="A104" s="2" t="inlineStr">
        <is>
          <t>1280-off</t>
        </is>
      </c>
      <c r="B104" s="2" t="n">
        <v>1280</v>
      </c>
      <c r="C104" s="2" t="inlineStr">
        <is>
          <t>off</t>
        </is>
      </c>
      <c r="D104" s="2" t="n">
        <v>1240</v>
      </c>
      <c r="E104" s="2" t="inlineStr">
        <is>
          <t>browser safari184</t>
        </is>
      </c>
      <c r="F104" s="2" t="b">
        <v>0</v>
      </c>
      <c r="G104" s="2" t="n">
        <v>3</v>
      </c>
      <c r="H104" s="2" t="n">
        <v>512</v>
      </c>
      <c r="I104" s="2" t="n">
        <v>512</v>
      </c>
      <c r="J104" s="2" t="n">
        <v>512</v>
      </c>
      <c r="K104" s="2">
        <f>H104+5&gt;D104</f>
        <v/>
      </c>
      <c r="L104" s="2">
        <f>J104&lt;I104</f>
        <v/>
      </c>
      <c r="M104" s="2" t="b">
        <v>1</v>
      </c>
      <c r="N104" s="2" t="b">
        <v>1</v>
      </c>
      <c r="O104" s="2" t="inlineStr">
        <is>
          <t>violation</t>
        </is>
      </c>
      <c r="P104" s="2">
        <f>O104&lt;&gt;"unknown"</f>
        <v/>
      </c>
    </row>
    <row r="105">
      <c r="A105" s="2" t="inlineStr">
        <is>
          <t>1280-off</t>
        </is>
      </c>
      <c r="B105" s="2" t="n">
        <v>1280</v>
      </c>
      <c r="C105" s="2" t="inlineStr">
        <is>
          <t>off</t>
        </is>
      </c>
      <c r="D105" s="2" t="n">
        <v>1240</v>
      </c>
      <c r="E105" s="2" t="inlineStr">
        <is>
          <t>browser safari184</t>
        </is>
      </c>
      <c r="F105" s="2" t="b">
        <v>0</v>
      </c>
      <c r="G105" s="2" t="n">
        <v>4</v>
      </c>
      <c r="H105" s="2" t="n">
        <v>512</v>
      </c>
      <c r="I105" s="2" t="n">
        <v>512</v>
      </c>
      <c r="J105" s="2" t="n">
        <v>512</v>
      </c>
      <c r="K105" s="2">
        <f>H105+5&gt;D105</f>
        <v/>
      </c>
      <c r="L105" s="2">
        <f>J105&lt;I105</f>
        <v/>
      </c>
      <c r="M105" s="2" t="b">
        <v>1</v>
      </c>
      <c r="N105" s="2" t="b">
        <v>1</v>
      </c>
      <c r="O105" s="2" t="inlineStr">
        <is>
          <t>violation</t>
        </is>
      </c>
      <c r="P105" s="2">
        <f>O105&lt;&gt;"unknown"</f>
        <v/>
      </c>
    </row>
    <row r="106">
      <c r="A106" s="2" t="inlineStr">
        <is>
          <t>1280-off</t>
        </is>
      </c>
      <c r="B106" s="2" t="n">
        <v>1280</v>
      </c>
      <c r="C106" s="2" t="inlineStr">
        <is>
          <t>off</t>
        </is>
      </c>
      <c r="D106" s="2" t="n">
        <v>1240</v>
      </c>
      <c r="E106" s="2" t="inlineStr">
        <is>
          <t>browser safari184</t>
        </is>
      </c>
      <c r="F106" s="2" t="b">
        <v>0</v>
      </c>
      <c r="G106" s="2" t="n">
        <v>5</v>
      </c>
      <c r="H106" s="2" t="n">
        <v>512</v>
      </c>
      <c r="I106" s="2" t="n">
        <v>512</v>
      </c>
      <c r="J106" s="2" t="n">
        <v>512</v>
      </c>
      <c r="K106" s="2">
        <f>H106+5&gt;D106</f>
        <v/>
      </c>
      <c r="L106" s="2">
        <f>J106&lt;I106</f>
        <v/>
      </c>
      <c r="M106" s="2" t="b">
        <v>1</v>
      </c>
      <c r="N106" s="2" t="b">
        <v>1</v>
      </c>
      <c r="O106" s="2" t="inlineStr">
        <is>
          <t>violation</t>
        </is>
      </c>
      <c r="P106" s="2">
        <f>O106&lt;&gt;"unknown"</f>
        <v/>
      </c>
    </row>
    <row r="107">
      <c r="A107" s="2" t="inlineStr">
        <is>
          <t>1280-off</t>
        </is>
      </c>
      <c r="B107" s="2" t="n">
        <v>1280</v>
      </c>
      <c r="C107" s="2" t="inlineStr">
        <is>
          <t>off</t>
        </is>
      </c>
      <c r="D107" s="2" t="n">
        <v>1240</v>
      </c>
      <c r="E107" s="2" t="inlineStr">
        <is>
          <t>browser safari260</t>
        </is>
      </c>
      <c r="F107" s="2" t="b">
        <v>1</v>
      </c>
      <c r="G107" s="2" t="n">
        <v>1</v>
      </c>
      <c r="H107" s="2" t="n">
        <v>1537</v>
      </c>
      <c r="I107" s="2" t="n">
        <v>1537</v>
      </c>
      <c r="J107" s="2" t="n">
        <v>1235</v>
      </c>
      <c r="K107" s="2">
        <f>H107+5&gt;D107</f>
        <v/>
      </c>
      <c r="L107" s="2">
        <f>J107&lt;I107</f>
        <v/>
      </c>
      <c r="M107" s="2" t="b">
        <v>1</v>
      </c>
      <c r="N107" s="2" t="b">
        <v>0</v>
      </c>
      <c r="O107" s="2" t="inlineStr">
        <is>
          <t>unknown</t>
        </is>
      </c>
      <c r="P107" s="2">
        <f>O107&lt;&gt;"unknown"</f>
        <v/>
      </c>
    </row>
    <row r="108">
      <c r="A108" s="2" t="inlineStr">
        <is>
          <t>1280-off</t>
        </is>
      </c>
      <c r="B108" s="2" t="n">
        <v>1280</v>
      </c>
      <c r="C108" s="2" t="inlineStr">
        <is>
          <t>off</t>
        </is>
      </c>
      <c r="D108" s="2" t="n">
        <v>1240</v>
      </c>
      <c r="E108" s="2" t="inlineStr">
        <is>
          <t>browser safari260</t>
        </is>
      </c>
      <c r="F108" s="2" t="b">
        <v>1</v>
      </c>
      <c r="G108" s="2" t="n">
        <v>2</v>
      </c>
      <c r="H108" s="2" t="n">
        <v>1537</v>
      </c>
      <c r="I108" s="2" t="n">
        <v>1537</v>
      </c>
      <c r="J108" s="2" t="n">
        <v>1235</v>
      </c>
      <c r="K108" s="2">
        <f>H108+5&gt;D108</f>
        <v/>
      </c>
      <c r="L108" s="2">
        <f>J108&lt;I108</f>
        <v/>
      </c>
      <c r="M108" s="2" t="b">
        <v>1</v>
      </c>
      <c r="N108" s="2" t="b">
        <v>0</v>
      </c>
      <c r="O108" s="2" t="inlineStr">
        <is>
          <t>unknown</t>
        </is>
      </c>
      <c r="P108" s="2">
        <f>O108&lt;&gt;"unknown"</f>
        <v/>
      </c>
    </row>
    <row r="109">
      <c r="A109" s="2" t="inlineStr">
        <is>
          <t>1280-off</t>
        </is>
      </c>
      <c r="B109" s="2" t="n">
        <v>1280</v>
      </c>
      <c r="C109" s="2" t="inlineStr">
        <is>
          <t>off</t>
        </is>
      </c>
      <c r="D109" s="2" t="n">
        <v>1240</v>
      </c>
      <c r="E109" s="2" t="inlineStr">
        <is>
          <t>browser safari260</t>
        </is>
      </c>
      <c r="F109" s="2" t="b">
        <v>1</v>
      </c>
      <c r="G109" s="2" t="n">
        <v>3</v>
      </c>
      <c r="H109" s="2" t="n">
        <v>1537</v>
      </c>
      <c r="I109" s="2" t="n">
        <v>1537</v>
      </c>
      <c r="J109" s="2" t="n">
        <v>1235</v>
      </c>
      <c r="K109" s="2">
        <f>H109+5&gt;D109</f>
        <v/>
      </c>
      <c r="L109" s="2">
        <f>J109&lt;I109</f>
        <v/>
      </c>
      <c r="M109" s="2" t="b">
        <v>1</v>
      </c>
      <c r="N109" s="2" t="b">
        <v>0</v>
      </c>
      <c r="O109" s="2" t="inlineStr">
        <is>
          <t>unknown</t>
        </is>
      </c>
      <c r="P109" s="2">
        <f>O109&lt;&gt;"unknown"</f>
        <v/>
      </c>
    </row>
    <row r="110">
      <c r="A110" s="2" t="inlineStr">
        <is>
          <t>1280-off</t>
        </is>
      </c>
      <c r="B110" s="2" t="n">
        <v>1280</v>
      </c>
      <c r="C110" s="2" t="inlineStr">
        <is>
          <t>off</t>
        </is>
      </c>
      <c r="D110" s="2" t="n">
        <v>1240</v>
      </c>
      <c r="E110" s="2" t="inlineStr">
        <is>
          <t>browser safari260</t>
        </is>
      </c>
      <c r="F110" s="2" t="b">
        <v>1</v>
      </c>
      <c r="G110" s="2" t="n">
        <v>4</v>
      </c>
      <c r="H110" s="2" t="n">
        <v>1537</v>
      </c>
      <c r="I110" s="2" t="n">
        <v>1537</v>
      </c>
      <c r="J110" s="2" t="n">
        <v>1235</v>
      </c>
      <c r="K110" s="2">
        <f>H110+5&gt;D110</f>
        <v/>
      </c>
      <c r="L110" s="2">
        <f>J110&lt;I110</f>
        <v/>
      </c>
      <c r="M110" s="2" t="b">
        <v>1</v>
      </c>
      <c r="N110" s="2" t="b">
        <v>0</v>
      </c>
      <c r="O110" s="2" t="inlineStr">
        <is>
          <t>unknown</t>
        </is>
      </c>
      <c r="P110" s="2">
        <f>O110&lt;&gt;"unknown"</f>
        <v/>
      </c>
    </row>
    <row r="111">
      <c r="A111" s="2" t="inlineStr">
        <is>
          <t>1280-off</t>
        </is>
      </c>
      <c r="B111" s="2" t="n">
        <v>1280</v>
      </c>
      <c r="C111" s="2" t="inlineStr">
        <is>
          <t>off</t>
        </is>
      </c>
      <c r="D111" s="2" t="n">
        <v>1240</v>
      </c>
      <c r="E111" s="2" t="inlineStr">
        <is>
          <t>browser safari260</t>
        </is>
      </c>
      <c r="F111" s="2" t="b">
        <v>1</v>
      </c>
      <c r="G111" s="2" t="n">
        <v>5</v>
      </c>
      <c r="H111" s="2" t="n">
        <v>1537</v>
      </c>
      <c r="I111" s="2" t="n">
        <v>1537</v>
      </c>
      <c r="J111" s="2" t="n">
        <v>1235</v>
      </c>
      <c r="K111" s="2">
        <f>H111+5&gt;D111</f>
        <v/>
      </c>
      <c r="L111" s="2">
        <f>J111&lt;I111</f>
        <v/>
      </c>
      <c r="M111" s="2" t="b">
        <v>1</v>
      </c>
      <c r="N111" s="2" t="b">
        <v>0</v>
      </c>
      <c r="O111" s="2" t="inlineStr">
        <is>
          <t>unknown</t>
        </is>
      </c>
      <c r="P111" s="2">
        <f>O111&lt;&gt;"unknown"</f>
        <v/>
      </c>
    </row>
    <row r="112">
      <c r="A112" s="2" t="inlineStr">
        <is>
          <t>1280-off</t>
        </is>
      </c>
      <c r="B112" s="2" t="n">
        <v>1280</v>
      </c>
      <c r="C112" s="2" t="inlineStr">
        <is>
          <t>off</t>
        </is>
      </c>
      <c r="D112" s="2" t="n">
        <v>1240</v>
      </c>
      <c r="E112" s="2" t="inlineStr">
        <is>
          <t>browser safari260_ios</t>
        </is>
      </c>
      <c r="F112" s="2" t="b">
        <v>0</v>
      </c>
      <c r="G112" s="2" t="n">
        <v>1</v>
      </c>
      <c r="H112" s="2" t="n">
        <v>512</v>
      </c>
      <c r="I112" s="2" t="n">
        <v>512</v>
      </c>
      <c r="J112" s="2" t="n">
        <v>512</v>
      </c>
      <c r="K112" s="2">
        <f>H112+5&gt;D112</f>
        <v/>
      </c>
      <c r="L112" s="2">
        <f>J112&lt;I112</f>
        <v/>
      </c>
      <c r="M112" s="2" t="b">
        <v>1</v>
      </c>
      <c r="N112" s="2" t="b">
        <v>1</v>
      </c>
      <c r="O112" s="2" t="inlineStr">
        <is>
          <t>allow</t>
        </is>
      </c>
      <c r="P112" s="2">
        <f>O112&lt;&gt;"unknown"</f>
        <v/>
      </c>
    </row>
    <row r="113">
      <c r="A113" s="2" t="inlineStr">
        <is>
          <t>1280-off</t>
        </is>
      </c>
      <c r="B113" s="2" t="n">
        <v>1280</v>
      </c>
      <c r="C113" s="2" t="inlineStr">
        <is>
          <t>off</t>
        </is>
      </c>
      <c r="D113" s="2" t="n">
        <v>1240</v>
      </c>
      <c r="E113" s="2" t="inlineStr">
        <is>
          <t>browser safari260_ios</t>
        </is>
      </c>
      <c r="F113" s="2" t="b">
        <v>0</v>
      </c>
      <c r="G113" s="2" t="n">
        <v>2</v>
      </c>
      <c r="H113" s="2" t="n">
        <v>512</v>
      </c>
      <c r="I113" s="2" t="n">
        <v>512</v>
      </c>
      <c r="J113" s="2" t="n">
        <v>512</v>
      </c>
      <c r="K113" s="2">
        <f>H113+5&gt;D113</f>
        <v/>
      </c>
      <c r="L113" s="2">
        <f>J113&lt;I113</f>
        <v/>
      </c>
      <c r="M113" s="2" t="b">
        <v>1</v>
      </c>
      <c r="N113" s="2" t="b">
        <v>1</v>
      </c>
      <c r="O113" s="2" t="inlineStr">
        <is>
          <t>allow</t>
        </is>
      </c>
      <c r="P113" s="2">
        <f>O113&lt;&gt;"unknown"</f>
        <v/>
      </c>
    </row>
    <row r="114">
      <c r="A114" s="2" t="inlineStr">
        <is>
          <t>1280-off</t>
        </is>
      </c>
      <c r="B114" s="2" t="n">
        <v>1280</v>
      </c>
      <c r="C114" s="2" t="inlineStr">
        <is>
          <t>off</t>
        </is>
      </c>
      <c r="D114" s="2" t="n">
        <v>1240</v>
      </c>
      <c r="E114" s="2" t="inlineStr">
        <is>
          <t>browser safari260_ios</t>
        </is>
      </c>
      <c r="F114" s="2" t="b">
        <v>0</v>
      </c>
      <c r="G114" s="2" t="n">
        <v>3</v>
      </c>
      <c r="H114" s="2" t="n">
        <v>512</v>
      </c>
      <c r="I114" s="2" t="n">
        <v>512</v>
      </c>
      <c r="J114" s="2" t="n">
        <v>512</v>
      </c>
      <c r="K114" s="2">
        <f>H114+5&gt;D114</f>
        <v/>
      </c>
      <c r="L114" s="2">
        <f>J114&lt;I114</f>
        <v/>
      </c>
      <c r="M114" s="2" t="b">
        <v>1</v>
      </c>
      <c r="N114" s="2" t="b">
        <v>1</v>
      </c>
      <c r="O114" s="2" t="inlineStr">
        <is>
          <t>allow</t>
        </is>
      </c>
      <c r="P114" s="2">
        <f>O114&lt;&gt;"unknown"</f>
        <v/>
      </c>
    </row>
    <row r="115">
      <c r="A115" s="2" t="inlineStr">
        <is>
          <t>1280-off</t>
        </is>
      </c>
      <c r="B115" s="2" t="n">
        <v>1280</v>
      </c>
      <c r="C115" s="2" t="inlineStr">
        <is>
          <t>off</t>
        </is>
      </c>
      <c r="D115" s="2" t="n">
        <v>1240</v>
      </c>
      <c r="E115" s="2" t="inlineStr">
        <is>
          <t>browser safari260_ios</t>
        </is>
      </c>
      <c r="F115" s="2" t="b">
        <v>0</v>
      </c>
      <c r="G115" s="2" t="n">
        <v>4</v>
      </c>
      <c r="H115" s="2" t="n">
        <v>512</v>
      </c>
      <c r="I115" s="2" t="n">
        <v>512</v>
      </c>
      <c r="J115" s="2" t="n">
        <v>512</v>
      </c>
      <c r="K115" s="2">
        <f>H115+5&gt;D115</f>
        <v/>
      </c>
      <c r="L115" s="2">
        <f>J115&lt;I115</f>
        <v/>
      </c>
      <c r="M115" s="2" t="b">
        <v>1</v>
      </c>
      <c r="N115" s="2" t="b">
        <v>1</v>
      </c>
      <c r="O115" s="2" t="inlineStr">
        <is>
          <t>allow</t>
        </is>
      </c>
      <c r="P115" s="2">
        <f>O115&lt;&gt;"unknown"</f>
        <v/>
      </c>
    </row>
    <row r="116">
      <c r="A116" s="2" t="inlineStr">
        <is>
          <t>1280-off</t>
        </is>
      </c>
      <c r="B116" s="2" t="n">
        <v>1280</v>
      </c>
      <c r="C116" s="2" t="inlineStr">
        <is>
          <t>off</t>
        </is>
      </c>
      <c r="D116" s="2" t="n">
        <v>1240</v>
      </c>
      <c r="E116" s="2" t="inlineStr">
        <is>
          <t>browser safari260_ios</t>
        </is>
      </c>
      <c r="F116" s="2" t="b">
        <v>0</v>
      </c>
      <c r="G116" s="2" t="n">
        <v>5</v>
      </c>
      <c r="H116" s="2" t="n">
        <v>512</v>
      </c>
      <c r="I116" s="2" t="n">
        <v>512</v>
      </c>
      <c r="J116" s="2" t="n">
        <v>512</v>
      </c>
      <c r="K116" s="2">
        <f>H116+5&gt;D116</f>
        <v/>
      </c>
      <c r="L116" s="2">
        <f>J116&lt;I116</f>
        <v/>
      </c>
      <c r="M116" s="2" t="b">
        <v>1</v>
      </c>
      <c r="N116" s="2" t="b">
        <v>1</v>
      </c>
      <c r="O116" s="2" t="inlineStr">
        <is>
          <t>allow</t>
        </is>
      </c>
      <c r="P116" s="2">
        <f>O116&lt;&gt;"unknown"</f>
        <v/>
      </c>
    </row>
    <row r="117">
      <c r="A117" s="2" t="inlineStr">
        <is>
          <t>1280-off</t>
        </is>
      </c>
      <c r="B117" s="2" t="n">
        <v>1280</v>
      </c>
      <c r="C117" s="2" t="inlineStr">
        <is>
          <t>off</t>
        </is>
      </c>
      <c r="D117" s="2" t="n">
        <v>1240</v>
      </c>
      <c r="E117" s="2" t="inlineStr">
        <is>
          <t>browser tor145</t>
        </is>
      </c>
      <c r="F117" s="2" t="b">
        <v>0</v>
      </c>
      <c r="G117" s="2" t="n">
        <v>1</v>
      </c>
      <c r="H117" s="2" t="n">
        <v>581</v>
      </c>
      <c r="I117" s="2" t="n">
        <v>581</v>
      </c>
      <c r="J117" s="2" t="n">
        <v>581</v>
      </c>
      <c r="K117" s="2">
        <f>H117+5&gt;D117</f>
        <v/>
      </c>
      <c r="L117" s="2">
        <f>J117&lt;I117</f>
        <v/>
      </c>
      <c r="M117" s="2" t="b">
        <v>1</v>
      </c>
      <c r="N117" s="2" t="b">
        <v>1</v>
      </c>
      <c r="O117" s="2" t="inlineStr">
        <is>
          <t>allow</t>
        </is>
      </c>
      <c r="P117" s="2">
        <f>O117&lt;&gt;"unknown"</f>
        <v/>
      </c>
    </row>
    <row r="118">
      <c r="A118" s="2" t="inlineStr">
        <is>
          <t>1280-off</t>
        </is>
      </c>
      <c r="B118" s="2" t="n">
        <v>1280</v>
      </c>
      <c r="C118" s="2" t="inlineStr">
        <is>
          <t>off</t>
        </is>
      </c>
      <c r="D118" s="2" t="n">
        <v>1240</v>
      </c>
      <c r="E118" s="2" t="inlineStr">
        <is>
          <t>browser tor145</t>
        </is>
      </c>
      <c r="F118" s="2" t="b">
        <v>0</v>
      </c>
      <c r="G118" s="2" t="n">
        <v>2</v>
      </c>
      <c r="H118" s="2" t="n">
        <v>613</v>
      </c>
      <c r="I118" s="2" t="n">
        <v>613</v>
      </c>
      <c r="J118" s="2" t="n">
        <v>613</v>
      </c>
      <c r="K118" s="2">
        <f>H118+5&gt;D118</f>
        <v/>
      </c>
      <c r="L118" s="2">
        <f>J118&lt;I118</f>
        <v/>
      </c>
      <c r="M118" s="2" t="b">
        <v>1</v>
      </c>
      <c r="N118" s="2" t="b">
        <v>1</v>
      </c>
      <c r="O118" s="2" t="inlineStr">
        <is>
          <t>allow</t>
        </is>
      </c>
      <c r="P118" s="2">
        <f>O118&lt;&gt;"unknown"</f>
        <v/>
      </c>
    </row>
    <row r="119">
      <c r="A119" s="2" t="inlineStr">
        <is>
          <t>1280-off</t>
        </is>
      </c>
      <c r="B119" s="2" t="n">
        <v>1280</v>
      </c>
      <c r="C119" s="2" t="inlineStr">
        <is>
          <t>off</t>
        </is>
      </c>
      <c r="D119" s="2" t="n">
        <v>1240</v>
      </c>
      <c r="E119" s="2" t="inlineStr">
        <is>
          <t>browser tor145</t>
        </is>
      </c>
      <c r="F119" s="2" t="b">
        <v>0</v>
      </c>
      <c r="G119" s="2" t="n">
        <v>3</v>
      </c>
      <c r="H119" s="2" t="n">
        <v>645</v>
      </c>
      <c r="I119" s="2" t="n">
        <v>645</v>
      </c>
      <c r="J119" s="2" t="n">
        <v>645</v>
      </c>
      <c r="K119" s="2">
        <f>H119+5&gt;D119</f>
        <v/>
      </c>
      <c r="L119" s="2">
        <f>J119&lt;I119</f>
        <v/>
      </c>
      <c r="M119" s="2" t="b">
        <v>1</v>
      </c>
      <c r="N119" s="2" t="b">
        <v>1</v>
      </c>
      <c r="O119" s="2" t="inlineStr">
        <is>
          <t>allow</t>
        </is>
      </c>
      <c r="P119" s="2">
        <f>O119&lt;&gt;"unknown"</f>
        <v/>
      </c>
    </row>
    <row r="120">
      <c r="A120" s="2" t="inlineStr">
        <is>
          <t>1280-off</t>
        </is>
      </c>
      <c r="B120" s="2" t="n">
        <v>1280</v>
      </c>
      <c r="C120" s="2" t="inlineStr">
        <is>
          <t>off</t>
        </is>
      </c>
      <c r="D120" s="2" t="n">
        <v>1240</v>
      </c>
      <c r="E120" s="2" t="inlineStr">
        <is>
          <t>browser tor145</t>
        </is>
      </c>
      <c r="F120" s="2" t="b">
        <v>0</v>
      </c>
      <c r="G120" s="2" t="n">
        <v>4</v>
      </c>
      <c r="H120" s="2" t="n">
        <v>549</v>
      </c>
      <c r="I120" s="2" t="n">
        <v>549</v>
      </c>
      <c r="J120" s="2" t="n">
        <v>549</v>
      </c>
      <c r="K120" s="2">
        <f>H120+5&gt;D120</f>
        <v/>
      </c>
      <c r="L120" s="2">
        <f>J120&lt;I120</f>
        <v/>
      </c>
      <c r="M120" s="2" t="b">
        <v>1</v>
      </c>
      <c r="N120" s="2" t="b">
        <v>1</v>
      </c>
      <c r="O120" s="2" t="inlineStr">
        <is>
          <t>allow</t>
        </is>
      </c>
      <c r="P120" s="2">
        <f>O120&lt;&gt;"unknown"</f>
        <v/>
      </c>
    </row>
    <row r="121">
      <c r="A121" s="2" t="inlineStr">
        <is>
          <t>1280-off</t>
        </is>
      </c>
      <c r="B121" s="2" t="n">
        <v>1280</v>
      </c>
      <c r="C121" s="2" t="inlineStr">
        <is>
          <t>off</t>
        </is>
      </c>
      <c r="D121" s="2" t="n">
        <v>1240</v>
      </c>
      <c r="E121" s="2" t="inlineStr">
        <is>
          <t>browser tor145</t>
        </is>
      </c>
      <c r="F121" s="2" t="b">
        <v>0</v>
      </c>
      <c r="G121" s="2" t="n">
        <v>5</v>
      </c>
      <c r="H121" s="2" t="n">
        <v>581</v>
      </c>
      <c r="I121" s="2" t="n">
        <v>581</v>
      </c>
      <c r="J121" s="2" t="n">
        <v>581</v>
      </c>
      <c r="K121" s="2">
        <f>H121+5&gt;D121</f>
        <v/>
      </c>
      <c r="L121" s="2">
        <f>J121&lt;I121</f>
        <v/>
      </c>
      <c r="M121" s="2" t="b">
        <v>1</v>
      </c>
      <c r="N121" s="2" t="b">
        <v>1</v>
      </c>
      <c r="O121" s="2" t="inlineStr">
        <is>
          <t>allow</t>
        </is>
      </c>
      <c r="P121" s="2">
        <f>O121&lt;&gt;"unknown"</f>
        <v/>
      </c>
    </row>
    <row r="122">
      <c r="A122" s="2" t="inlineStr">
        <is>
          <t>1280-on</t>
        </is>
      </c>
      <c r="B122" s="2" t="n">
        <v>1280</v>
      </c>
      <c r="C122" s="2" t="inlineStr">
        <is>
          <t>on</t>
        </is>
      </c>
      <c r="D122" s="2" t="n">
        <v>1228</v>
      </c>
      <c r="E122" s="2" t="inlineStr">
        <is>
          <t>openssl 3.5.8 default</t>
        </is>
      </c>
      <c r="F122" s="2" t="b">
        <v>1</v>
      </c>
      <c r="G122" s="2" t="n">
        <v>1</v>
      </c>
      <c r="H122" s="2" t="n">
        <v>1543</v>
      </c>
      <c r="I122" s="2" t="n">
        <v>1543</v>
      </c>
      <c r="J122" s="2" t="n">
        <v>1223</v>
      </c>
      <c r="K122" s="2">
        <f>H122+5&gt;D122</f>
        <v/>
      </c>
      <c r="L122" s="2">
        <f>J122&lt;I122</f>
        <v/>
      </c>
      <c r="M122" s="2" t="b">
        <v>1</v>
      </c>
      <c r="N122" s="2" t="b">
        <v>1</v>
      </c>
      <c r="O122" s="2" t="inlineStr">
        <is>
          <t>allow</t>
        </is>
      </c>
      <c r="P122" s="2">
        <f>O122&lt;&gt;"unknown"</f>
        <v/>
      </c>
    </row>
    <row r="123">
      <c r="A123" s="2" t="inlineStr">
        <is>
          <t>1280-on</t>
        </is>
      </c>
      <c r="B123" s="2" t="n">
        <v>1280</v>
      </c>
      <c r="C123" s="2" t="inlineStr">
        <is>
          <t>on</t>
        </is>
      </c>
      <c r="D123" s="2" t="n">
        <v>1228</v>
      </c>
      <c r="E123" s="2" t="inlineStr">
        <is>
          <t>openssl 3.5.8 default</t>
        </is>
      </c>
      <c r="F123" s="2" t="b">
        <v>1</v>
      </c>
      <c r="G123" s="2" t="n">
        <v>2</v>
      </c>
      <c r="H123" s="2" t="n">
        <v>1543</v>
      </c>
      <c r="I123" s="2" t="n">
        <v>1543</v>
      </c>
      <c r="J123" s="2" t="n">
        <v>1223</v>
      </c>
      <c r="K123" s="2">
        <f>H123+5&gt;D123</f>
        <v/>
      </c>
      <c r="L123" s="2">
        <f>J123&lt;I123</f>
        <v/>
      </c>
      <c r="M123" s="2" t="b">
        <v>1</v>
      </c>
      <c r="N123" s="2" t="b">
        <v>1</v>
      </c>
      <c r="O123" s="2" t="inlineStr">
        <is>
          <t>allow</t>
        </is>
      </c>
      <c r="P123" s="2">
        <f>O123&lt;&gt;"unknown"</f>
        <v/>
      </c>
    </row>
    <row r="124">
      <c r="A124" s="2" t="inlineStr">
        <is>
          <t>1280-on</t>
        </is>
      </c>
      <c r="B124" s="2" t="n">
        <v>1280</v>
      </c>
      <c r="C124" s="2" t="inlineStr">
        <is>
          <t>on</t>
        </is>
      </c>
      <c r="D124" s="2" t="n">
        <v>1228</v>
      </c>
      <c r="E124" s="2" t="inlineStr">
        <is>
          <t>openssl 3.5.8 default</t>
        </is>
      </c>
      <c r="F124" s="2" t="b">
        <v>1</v>
      </c>
      <c r="G124" s="2" t="n">
        <v>3</v>
      </c>
      <c r="H124" s="2" t="n">
        <v>1543</v>
      </c>
      <c r="I124" s="2" t="n">
        <v>1543</v>
      </c>
      <c r="J124" s="2" t="n">
        <v>1223</v>
      </c>
      <c r="K124" s="2">
        <f>H124+5&gt;D124</f>
        <v/>
      </c>
      <c r="L124" s="2">
        <f>J124&lt;I124</f>
        <v/>
      </c>
      <c r="M124" s="2" t="b">
        <v>1</v>
      </c>
      <c r="N124" s="2" t="b">
        <v>1</v>
      </c>
      <c r="O124" s="2" t="inlineStr">
        <is>
          <t>allow</t>
        </is>
      </c>
      <c r="P124" s="2">
        <f>O124&lt;&gt;"unknown"</f>
        <v/>
      </c>
    </row>
    <row r="125">
      <c r="A125" s="2" t="inlineStr">
        <is>
          <t>1280-on</t>
        </is>
      </c>
      <c r="B125" s="2" t="n">
        <v>1280</v>
      </c>
      <c r="C125" s="2" t="inlineStr">
        <is>
          <t>on</t>
        </is>
      </c>
      <c r="D125" s="2" t="n">
        <v>1228</v>
      </c>
      <c r="E125" s="2" t="inlineStr">
        <is>
          <t>openssl 3.5.8 default</t>
        </is>
      </c>
      <c r="F125" s="2" t="b">
        <v>1</v>
      </c>
      <c r="G125" s="2" t="n">
        <v>4</v>
      </c>
      <c r="H125" s="2" t="n">
        <v>1543</v>
      </c>
      <c r="I125" s="2" t="n">
        <v>1543</v>
      </c>
      <c r="J125" s="2" t="n">
        <v>1223</v>
      </c>
      <c r="K125" s="2">
        <f>H125+5&gt;D125</f>
        <v/>
      </c>
      <c r="L125" s="2">
        <f>J125&lt;I125</f>
        <v/>
      </c>
      <c r="M125" s="2" t="b">
        <v>1</v>
      </c>
      <c r="N125" s="2" t="b">
        <v>1</v>
      </c>
      <c r="O125" s="2" t="inlineStr">
        <is>
          <t>allow</t>
        </is>
      </c>
      <c r="P125" s="2">
        <f>O125&lt;&gt;"unknown"</f>
        <v/>
      </c>
    </row>
    <row r="126">
      <c r="A126" s="2" t="inlineStr">
        <is>
          <t>1280-on</t>
        </is>
      </c>
      <c r="B126" s="2" t="n">
        <v>1280</v>
      </c>
      <c r="C126" s="2" t="inlineStr">
        <is>
          <t>on</t>
        </is>
      </c>
      <c r="D126" s="2" t="n">
        <v>1228</v>
      </c>
      <c r="E126" s="2" t="inlineStr">
        <is>
          <t>openssl 3.5.8 default</t>
        </is>
      </c>
      <c r="F126" s="2" t="b">
        <v>1</v>
      </c>
      <c r="G126" s="2" t="n">
        <v>5</v>
      </c>
      <c r="H126" s="2" t="n">
        <v>1543</v>
      </c>
      <c r="I126" s="2" t="n">
        <v>1543</v>
      </c>
      <c r="J126" s="2" t="n">
        <v>1223</v>
      </c>
      <c r="K126" s="2">
        <f>H126+5&gt;D126</f>
        <v/>
      </c>
      <c r="L126" s="2">
        <f>J126&lt;I126</f>
        <v/>
      </c>
      <c r="M126" s="2" t="b">
        <v>1</v>
      </c>
      <c r="N126" s="2" t="b">
        <v>1</v>
      </c>
      <c r="O126" s="2" t="inlineStr">
        <is>
          <t>allow</t>
        </is>
      </c>
      <c r="P126" s="2">
        <f>O126&lt;&gt;"unknown"</f>
        <v/>
      </c>
    </row>
    <row r="127">
      <c r="A127" s="2" t="inlineStr">
        <is>
          <t>1280-on</t>
        </is>
      </c>
      <c r="B127" s="2" t="n">
        <v>1280</v>
      </c>
      <c r="C127" s="2" t="inlineStr">
        <is>
          <t>on</t>
        </is>
      </c>
      <c r="D127" s="2" t="n">
        <v>1228</v>
      </c>
      <c r="E127" s="2" t="inlineStr">
        <is>
          <t>openssl 3.5.8 default</t>
        </is>
      </c>
      <c r="F127" s="2" t="b">
        <v>1</v>
      </c>
      <c r="G127" s="2" t="n">
        <v>6</v>
      </c>
      <c r="H127" s="2" t="n">
        <v>1543</v>
      </c>
      <c r="I127" s="2" t="n">
        <v>1543</v>
      </c>
      <c r="J127" s="2" t="n">
        <v>1223</v>
      </c>
      <c r="K127" s="2">
        <f>H127+5&gt;D127</f>
        <v/>
      </c>
      <c r="L127" s="2">
        <f>J127&lt;I127</f>
        <v/>
      </c>
      <c r="M127" s="2" t="b">
        <v>1</v>
      </c>
      <c r="N127" s="2" t="b">
        <v>1</v>
      </c>
      <c r="O127" s="2" t="inlineStr">
        <is>
          <t>allow</t>
        </is>
      </c>
      <c r="P127" s="2">
        <f>O127&lt;&gt;"unknown"</f>
        <v/>
      </c>
    </row>
    <row r="128">
      <c r="A128" s="2" t="inlineStr">
        <is>
          <t>1280-on</t>
        </is>
      </c>
      <c r="B128" s="2" t="n">
        <v>1280</v>
      </c>
      <c r="C128" s="2" t="inlineStr">
        <is>
          <t>on</t>
        </is>
      </c>
      <c r="D128" s="2" t="n">
        <v>1228</v>
      </c>
      <c r="E128" s="2" t="inlineStr">
        <is>
          <t>openssl 3.5.8 default</t>
        </is>
      </c>
      <c r="F128" s="2" t="b">
        <v>1</v>
      </c>
      <c r="G128" s="2" t="n">
        <v>7</v>
      </c>
      <c r="H128" s="2" t="n">
        <v>1543</v>
      </c>
      <c r="I128" s="2" t="n">
        <v>1543</v>
      </c>
      <c r="J128" s="2" t="n">
        <v>1223</v>
      </c>
      <c r="K128" s="2">
        <f>H128+5&gt;D128</f>
        <v/>
      </c>
      <c r="L128" s="2">
        <f>J128&lt;I128</f>
        <v/>
      </c>
      <c r="M128" s="2" t="b">
        <v>1</v>
      </c>
      <c r="N128" s="2" t="b">
        <v>1</v>
      </c>
      <c r="O128" s="2" t="inlineStr">
        <is>
          <t>allow</t>
        </is>
      </c>
      <c r="P128" s="2">
        <f>O128&lt;&gt;"unknown"</f>
        <v/>
      </c>
    </row>
    <row r="129">
      <c r="A129" s="2" t="inlineStr">
        <is>
          <t>1280-on</t>
        </is>
      </c>
      <c r="B129" s="2" t="n">
        <v>1280</v>
      </c>
      <c r="C129" s="2" t="inlineStr">
        <is>
          <t>on</t>
        </is>
      </c>
      <c r="D129" s="2" t="n">
        <v>1228</v>
      </c>
      <c r="E129" s="2" t="inlineStr">
        <is>
          <t>openssl 3.5.8 default</t>
        </is>
      </c>
      <c r="F129" s="2" t="b">
        <v>1</v>
      </c>
      <c r="G129" s="2" t="n">
        <v>8</v>
      </c>
      <c r="H129" s="2" t="n">
        <v>1543</v>
      </c>
      <c r="I129" s="2" t="n">
        <v>1543</v>
      </c>
      <c r="J129" s="2" t="n">
        <v>1223</v>
      </c>
      <c r="K129" s="2">
        <f>H129+5&gt;D129</f>
        <v/>
      </c>
      <c r="L129" s="2">
        <f>J129&lt;I129</f>
        <v/>
      </c>
      <c r="M129" s="2" t="b">
        <v>1</v>
      </c>
      <c r="N129" s="2" t="b">
        <v>1</v>
      </c>
      <c r="O129" s="2" t="inlineStr">
        <is>
          <t>allow</t>
        </is>
      </c>
      <c r="P129" s="2">
        <f>O129&lt;&gt;"unknown"</f>
        <v/>
      </c>
    </row>
    <row r="130">
      <c r="A130" s="2" t="inlineStr">
        <is>
          <t>1280-on</t>
        </is>
      </c>
      <c r="B130" s="2" t="n">
        <v>1280</v>
      </c>
      <c r="C130" s="2" t="inlineStr">
        <is>
          <t>on</t>
        </is>
      </c>
      <c r="D130" s="2" t="n">
        <v>1228</v>
      </c>
      <c r="E130" s="2" t="inlineStr">
        <is>
          <t>openssl 3.5.8 default</t>
        </is>
      </c>
      <c r="F130" s="2" t="b">
        <v>1</v>
      </c>
      <c r="G130" s="2" t="n">
        <v>9</v>
      </c>
      <c r="H130" s="2" t="n">
        <v>1543</v>
      </c>
      <c r="I130" s="2" t="n">
        <v>1543</v>
      </c>
      <c r="J130" s="2" t="n">
        <v>1223</v>
      </c>
      <c r="K130" s="2">
        <f>H130+5&gt;D130</f>
        <v/>
      </c>
      <c r="L130" s="2">
        <f>J130&lt;I130</f>
        <v/>
      </c>
      <c r="M130" s="2" t="b">
        <v>1</v>
      </c>
      <c r="N130" s="2" t="b">
        <v>1</v>
      </c>
      <c r="O130" s="2" t="inlineStr">
        <is>
          <t>allow</t>
        </is>
      </c>
      <c r="P130" s="2">
        <f>O130&lt;&gt;"unknown"</f>
        <v/>
      </c>
    </row>
    <row r="131">
      <c r="A131" s="2" t="inlineStr">
        <is>
          <t>1280-on</t>
        </is>
      </c>
      <c r="B131" s="2" t="n">
        <v>1280</v>
      </c>
      <c r="C131" s="2" t="inlineStr">
        <is>
          <t>on</t>
        </is>
      </c>
      <c r="D131" s="2" t="n">
        <v>1228</v>
      </c>
      <c r="E131" s="2" t="inlineStr">
        <is>
          <t>openssl 3.5.8 default</t>
        </is>
      </c>
      <c r="F131" s="2" t="b">
        <v>1</v>
      </c>
      <c r="G131" s="2" t="n">
        <v>10</v>
      </c>
      <c r="H131" s="2" t="n">
        <v>1543</v>
      </c>
      <c r="I131" s="2" t="n">
        <v>1543</v>
      </c>
      <c r="J131" s="2" t="n">
        <v>1223</v>
      </c>
      <c r="K131" s="2">
        <f>H131+5&gt;D131</f>
        <v/>
      </c>
      <c r="L131" s="2">
        <f>J131&lt;I131</f>
        <v/>
      </c>
      <c r="M131" s="2" t="b">
        <v>1</v>
      </c>
      <c r="N131" s="2" t="b">
        <v>1</v>
      </c>
      <c r="O131" s="2" t="inlineStr">
        <is>
          <t>allow</t>
        </is>
      </c>
      <c r="P131" s="2">
        <f>O131&lt;&gt;"unknown"</f>
        <v/>
      </c>
    </row>
    <row r="132">
      <c r="A132" s="2" t="inlineStr">
        <is>
          <t>1280-on</t>
        </is>
      </c>
      <c r="B132" s="2" t="n">
        <v>1280</v>
      </c>
      <c r="C132" s="2" t="inlineStr">
        <is>
          <t>on</t>
        </is>
      </c>
      <c r="D132" s="2" t="n">
        <v>1228</v>
      </c>
      <c r="E132" s="2" t="inlineStr">
        <is>
          <t>openssl 3.5.8 default</t>
        </is>
      </c>
      <c r="F132" s="2" t="b">
        <v>1</v>
      </c>
      <c r="G132" s="2" t="n">
        <v>11</v>
      </c>
      <c r="H132" s="2" t="n">
        <v>1543</v>
      </c>
      <c r="I132" s="2" t="n">
        <v>1543</v>
      </c>
      <c r="J132" s="2" t="n">
        <v>1223</v>
      </c>
      <c r="K132" s="2">
        <f>H132+5&gt;D132</f>
        <v/>
      </c>
      <c r="L132" s="2">
        <f>J132&lt;I132</f>
        <v/>
      </c>
      <c r="M132" s="2" t="b">
        <v>1</v>
      </c>
      <c r="N132" s="2" t="b">
        <v>1</v>
      </c>
      <c r="O132" s="2" t="inlineStr">
        <is>
          <t>allow</t>
        </is>
      </c>
      <c r="P132" s="2">
        <f>O132&lt;&gt;"unknown"</f>
        <v/>
      </c>
    </row>
    <row r="133">
      <c r="A133" s="2" t="inlineStr">
        <is>
          <t>1280-on</t>
        </is>
      </c>
      <c r="B133" s="2" t="n">
        <v>1280</v>
      </c>
      <c r="C133" s="2" t="inlineStr">
        <is>
          <t>on</t>
        </is>
      </c>
      <c r="D133" s="2" t="n">
        <v>1228</v>
      </c>
      <c r="E133" s="2" t="inlineStr">
        <is>
          <t>openssl 3.5.8 default</t>
        </is>
      </c>
      <c r="F133" s="2" t="b">
        <v>1</v>
      </c>
      <c r="G133" s="2" t="n">
        <v>12</v>
      </c>
      <c r="H133" s="2" t="n">
        <v>1543</v>
      </c>
      <c r="I133" s="2" t="n">
        <v>1543</v>
      </c>
      <c r="J133" s="2" t="n">
        <v>1223</v>
      </c>
      <c r="K133" s="2">
        <f>H133+5&gt;D133</f>
        <v/>
      </c>
      <c r="L133" s="2">
        <f>J133&lt;I133</f>
        <v/>
      </c>
      <c r="M133" s="2" t="b">
        <v>1</v>
      </c>
      <c r="N133" s="2" t="b">
        <v>1</v>
      </c>
      <c r="O133" s="2" t="inlineStr">
        <is>
          <t>allow</t>
        </is>
      </c>
      <c r="P133" s="2">
        <f>O133&lt;&gt;"unknown"</f>
        <v/>
      </c>
    </row>
    <row r="134">
      <c r="A134" s="2" t="inlineStr">
        <is>
          <t>1280-on</t>
        </is>
      </c>
      <c r="B134" s="2" t="n">
        <v>1280</v>
      </c>
      <c r="C134" s="2" t="inlineStr">
        <is>
          <t>on</t>
        </is>
      </c>
      <c r="D134" s="2" t="n">
        <v>1228</v>
      </c>
      <c r="E134" s="2" t="inlineStr">
        <is>
          <t>openssl 3.5.8 default</t>
        </is>
      </c>
      <c r="F134" s="2" t="b">
        <v>1</v>
      </c>
      <c r="G134" s="2" t="n">
        <v>13</v>
      </c>
      <c r="H134" s="2" t="n">
        <v>1543</v>
      </c>
      <c r="I134" s="2" t="n">
        <v>1543</v>
      </c>
      <c r="J134" s="2" t="n">
        <v>1223</v>
      </c>
      <c r="K134" s="2">
        <f>H134+5&gt;D134</f>
        <v/>
      </c>
      <c r="L134" s="2">
        <f>J134&lt;I134</f>
        <v/>
      </c>
      <c r="M134" s="2" t="b">
        <v>1</v>
      </c>
      <c r="N134" s="2" t="b">
        <v>1</v>
      </c>
      <c r="O134" s="2" t="inlineStr">
        <is>
          <t>allow</t>
        </is>
      </c>
      <c r="P134" s="2">
        <f>O134&lt;&gt;"unknown"</f>
        <v/>
      </c>
    </row>
    <row r="135">
      <c r="A135" s="2" t="inlineStr">
        <is>
          <t>1280-on</t>
        </is>
      </c>
      <c r="B135" s="2" t="n">
        <v>1280</v>
      </c>
      <c r="C135" s="2" t="inlineStr">
        <is>
          <t>on</t>
        </is>
      </c>
      <c r="D135" s="2" t="n">
        <v>1228</v>
      </c>
      <c r="E135" s="2" t="inlineStr">
        <is>
          <t>openssl 3.5.8 default</t>
        </is>
      </c>
      <c r="F135" s="2" t="b">
        <v>1</v>
      </c>
      <c r="G135" s="2" t="n">
        <v>14</v>
      </c>
      <c r="H135" s="2" t="n">
        <v>1543</v>
      </c>
      <c r="I135" s="2" t="n">
        <v>1543</v>
      </c>
      <c r="J135" s="2" t="n">
        <v>1223</v>
      </c>
      <c r="K135" s="2">
        <f>H135+5&gt;D135</f>
        <v/>
      </c>
      <c r="L135" s="2">
        <f>J135&lt;I135</f>
        <v/>
      </c>
      <c r="M135" s="2" t="b">
        <v>1</v>
      </c>
      <c r="N135" s="2" t="b">
        <v>1</v>
      </c>
      <c r="O135" s="2" t="inlineStr">
        <is>
          <t>allow</t>
        </is>
      </c>
      <c r="P135" s="2">
        <f>O135&lt;&gt;"unknown"</f>
        <v/>
      </c>
    </row>
    <row r="136">
      <c r="A136" s="2" t="inlineStr">
        <is>
          <t>1280-on</t>
        </is>
      </c>
      <c r="B136" s="2" t="n">
        <v>1280</v>
      </c>
      <c r="C136" s="2" t="inlineStr">
        <is>
          <t>on</t>
        </is>
      </c>
      <c r="D136" s="2" t="n">
        <v>1228</v>
      </c>
      <c r="E136" s="2" t="inlineStr">
        <is>
          <t>openssl 3.5.8 default</t>
        </is>
      </c>
      <c r="F136" s="2" t="b">
        <v>1</v>
      </c>
      <c r="G136" s="2" t="n">
        <v>15</v>
      </c>
      <c r="H136" s="2" t="n">
        <v>1543</v>
      </c>
      <c r="I136" s="2" t="n">
        <v>1543</v>
      </c>
      <c r="J136" s="2" t="n">
        <v>1223</v>
      </c>
      <c r="K136" s="2">
        <f>H136+5&gt;D136</f>
        <v/>
      </c>
      <c r="L136" s="2">
        <f>J136&lt;I136</f>
        <v/>
      </c>
      <c r="M136" s="2" t="b">
        <v>1</v>
      </c>
      <c r="N136" s="2" t="b">
        <v>1</v>
      </c>
      <c r="O136" s="2" t="inlineStr">
        <is>
          <t>allow</t>
        </is>
      </c>
      <c r="P136" s="2">
        <f>O136&lt;&gt;"unknown"</f>
        <v/>
      </c>
    </row>
    <row r="137">
      <c r="A137" s="2" t="inlineStr">
        <is>
          <t>1280-on</t>
        </is>
      </c>
      <c r="B137" s="2" t="n">
        <v>1280</v>
      </c>
      <c r="C137" s="2" t="inlineStr">
        <is>
          <t>on</t>
        </is>
      </c>
      <c r="D137" s="2" t="n">
        <v>1228</v>
      </c>
      <c r="E137" s="2" t="inlineStr">
        <is>
          <t>openssl 3.5.8 default</t>
        </is>
      </c>
      <c r="F137" s="2" t="b">
        <v>1</v>
      </c>
      <c r="G137" s="2" t="n">
        <v>16</v>
      </c>
      <c r="H137" s="2" t="n">
        <v>1543</v>
      </c>
      <c r="I137" s="2" t="n">
        <v>1543</v>
      </c>
      <c r="J137" s="2" t="n">
        <v>1223</v>
      </c>
      <c r="K137" s="2">
        <f>H137+5&gt;D137</f>
        <v/>
      </c>
      <c r="L137" s="2">
        <f>J137&lt;I137</f>
        <v/>
      </c>
      <c r="M137" s="2" t="b">
        <v>1</v>
      </c>
      <c r="N137" s="2" t="b">
        <v>1</v>
      </c>
      <c r="O137" s="2" t="inlineStr">
        <is>
          <t>allow</t>
        </is>
      </c>
      <c r="P137" s="2">
        <f>O137&lt;&gt;"unknown"</f>
        <v/>
      </c>
    </row>
    <row r="138">
      <c r="A138" s="2" t="inlineStr">
        <is>
          <t>1280-on</t>
        </is>
      </c>
      <c r="B138" s="2" t="n">
        <v>1280</v>
      </c>
      <c r="C138" s="2" t="inlineStr">
        <is>
          <t>on</t>
        </is>
      </c>
      <c r="D138" s="2" t="n">
        <v>1228</v>
      </c>
      <c r="E138" s="2" t="inlineStr">
        <is>
          <t>openssl 3.5.8 default</t>
        </is>
      </c>
      <c r="F138" s="2" t="b">
        <v>1</v>
      </c>
      <c r="G138" s="2" t="n">
        <v>17</v>
      </c>
      <c r="H138" s="2" t="n">
        <v>1543</v>
      </c>
      <c r="I138" s="2" t="n">
        <v>1543</v>
      </c>
      <c r="J138" s="2" t="n">
        <v>1223</v>
      </c>
      <c r="K138" s="2">
        <f>H138+5&gt;D138</f>
        <v/>
      </c>
      <c r="L138" s="2">
        <f>J138&lt;I138</f>
        <v/>
      </c>
      <c r="M138" s="2" t="b">
        <v>1</v>
      </c>
      <c r="N138" s="2" t="b">
        <v>1</v>
      </c>
      <c r="O138" s="2" t="inlineStr">
        <is>
          <t>allow</t>
        </is>
      </c>
      <c r="P138" s="2">
        <f>O138&lt;&gt;"unknown"</f>
        <v/>
      </c>
    </row>
    <row r="139">
      <c r="A139" s="2" t="inlineStr">
        <is>
          <t>1280-on</t>
        </is>
      </c>
      <c r="B139" s="2" t="n">
        <v>1280</v>
      </c>
      <c r="C139" s="2" t="inlineStr">
        <is>
          <t>on</t>
        </is>
      </c>
      <c r="D139" s="2" t="n">
        <v>1228</v>
      </c>
      <c r="E139" s="2" t="inlineStr">
        <is>
          <t>openssl 3.5.8 default</t>
        </is>
      </c>
      <c r="F139" s="2" t="b">
        <v>1</v>
      </c>
      <c r="G139" s="2" t="n">
        <v>18</v>
      </c>
      <c r="H139" s="2" t="n">
        <v>1543</v>
      </c>
      <c r="I139" s="2" t="n">
        <v>1543</v>
      </c>
      <c r="J139" s="2" t="n">
        <v>1223</v>
      </c>
      <c r="K139" s="2">
        <f>H139+5&gt;D139</f>
        <v/>
      </c>
      <c r="L139" s="2">
        <f>J139&lt;I139</f>
        <v/>
      </c>
      <c r="M139" s="2" t="b">
        <v>1</v>
      </c>
      <c r="N139" s="2" t="b">
        <v>1</v>
      </c>
      <c r="O139" s="2" t="inlineStr">
        <is>
          <t>allow</t>
        </is>
      </c>
      <c r="P139" s="2">
        <f>O139&lt;&gt;"unknown"</f>
        <v/>
      </c>
    </row>
    <row r="140">
      <c r="A140" s="2" t="inlineStr">
        <is>
          <t>1280-on</t>
        </is>
      </c>
      <c r="B140" s="2" t="n">
        <v>1280</v>
      </c>
      <c r="C140" s="2" t="inlineStr">
        <is>
          <t>on</t>
        </is>
      </c>
      <c r="D140" s="2" t="n">
        <v>1228</v>
      </c>
      <c r="E140" s="2" t="inlineStr">
        <is>
          <t>openssl 3.5.8 default</t>
        </is>
      </c>
      <c r="F140" s="2" t="b">
        <v>1</v>
      </c>
      <c r="G140" s="2" t="n">
        <v>19</v>
      </c>
      <c r="H140" s="2" t="n">
        <v>1543</v>
      </c>
      <c r="I140" s="2" t="n">
        <v>1543</v>
      </c>
      <c r="J140" s="2" t="n">
        <v>1223</v>
      </c>
      <c r="K140" s="2">
        <f>H140+5&gt;D140</f>
        <v/>
      </c>
      <c r="L140" s="2">
        <f>J140&lt;I140</f>
        <v/>
      </c>
      <c r="M140" s="2" t="b">
        <v>1</v>
      </c>
      <c r="N140" s="2" t="b">
        <v>1</v>
      </c>
      <c r="O140" s="2" t="inlineStr">
        <is>
          <t>allow</t>
        </is>
      </c>
      <c r="P140" s="2">
        <f>O140&lt;&gt;"unknown"</f>
        <v/>
      </c>
    </row>
    <row r="141">
      <c r="A141" s="2" t="inlineStr">
        <is>
          <t>1280-on</t>
        </is>
      </c>
      <c r="B141" s="2" t="n">
        <v>1280</v>
      </c>
      <c r="C141" s="2" t="inlineStr">
        <is>
          <t>on</t>
        </is>
      </c>
      <c r="D141" s="2" t="n">
        <v>1228</v>
      </c>
      <c r="E141" s="2" t="inlineStr">
        <is>
          <t>openssl 3.5.8 default</t>
        </is>
      </c>
      <c r="F141" s="2" t="b">
        <v>1</v>
      </c>
      <c r="G141" s="2" t="n">
        <v>20</v>
      </c>
      <c r="H141" s="2" t="n">
        <v>1543</v>
      </c>
      <c r="I141" s="2" t="n">
        <v>1543</v>
      </c>
      <c r="J141" s="2" t="n">
        <v>1223</v>
      </c>
      <c r="K141" s="2">
        <f>H141+5&gt;D141</f>
        <v/>
      </c>
      <c r="L141" s="2">
        <f>J141&lt;I141</f>
        <v/>
      </c>
      <c r="M141" s="2" t="b">
        <v>1</v>
      </c>
      <c r="N141" s="2" t="b">
        <v>1</v>
      </c>
      <c r="O141" s="2" t="inlineStr">
        <is>
          <t>allow</t>
        </is>
      </c>
      <c r="P141" s="2">
        <f>O141&lt;&gt;"unknown"</f>
        <v/>
      </c>
    </row>
    <row r="142">
      <c r="A142" s="2" t="inlineStr">
        <is>
          <t>1280-on</t>
        </is>
      </c>
      <c r="B142" s="2" t="n">
        <v>1280</v>
      </c>
      <c r="C142" s="2" t="inlineStr">
        <is>
          <t>on</t>
        </is>
      </c>
      <c r="D142" s="2" t="n">
        <v>1228</v>
      </c>
      <c r="E142" s="2" t="inlineStr">
        <is>
          <t>openssl X25519 only (classical)</t>
        </is>
      </c>
      <c r="F142" s="2" t="b">
        <v>0</v>
      </c>
      <c r="G142" s="2" t="n">
        <v>1</v>
      </c>
      <c r="H142" s="2" t="n">
        <v>309</v>
      </c>
      <c r="I142" s="2" t="n">
        <v>309</v>
      </c>
      <c r="J142" s="2" t="n">
        <v>309</v>
      </c>
      <c r="K142" s="2">
        <f>H142+5&gt;D142</f>
        <v/>
      </c>
      <c r="L142" s="2">
        <f>J142&lt;I142</f>
        <v/>
      </c>
      <c r="M142" s="2" t="b">
        <v>1</v>
      </c>
      <c r="N142" s="2" t="b">
        <v>1</v>
      </c>
      <c r="O142" s="2" t="inlineStr">
        <is>
          <t>allow</t>
        </is>
      </c>
      <c r="P142" s="2">
        <f>O142&lt;&gt;"unknown"</f>
        <v/>
      </c>
    </row>
    <row r="143">
      <c r="A143" s="2" t="inlineStr">
        <is>
          <t>1280-on</t>
        </is>
      </c>
      <c r="B143" s="2" t="n">
        <v>1280</v>
      </c>
      <c r="C143" s="2" t="inlineStr">
        <is>
          <t>on</t>
        </is>
      </c>
      <c r="D143" s="2" t="n">
        <v>1228</v>
      </c>
      <c r="E143" s="2" t="inlineStr">
        <is>
          <t>openssl X25519 only (classical)</t>
        </is>
      </c>
      <c r="F143" s="2" t="b">
        <v>0</v>
      </c>
      <c r="G143" s="2" t="n">
        <v>2</v>
      </c>
      <c r="H143" s="2" t="n">
        <v>309</v>
      </c>
      <c r="I143" s="2" t="n">
        <v>309</v>
      </c>
      <c r="J143" s="2" t="n">
        <v>309</v>
      </c>
      <c r="K143" s="2">
        <f>H143+5&gt;D143</f>
        <v/>
      </c>
      <c r="L143" s="2">
        <f>J143&lt;I143</f>
        <v/>
      </c>
      <c r="M143" s="2" t="b">
        <v>1</v>
      </c>
      <c r="N143" s="2" t="b">
        <v>1</v>
      </c>
      <c r="O143" s="2" t="inlineStr">
        <is>
          <t>allow</t>
        </is>
      </c>
      <c r="P143" s="2">
        <f>O143&lt;&gt;"unknown"</f>
        <v/>
      </c>
    </row>
    <row r="144">
      <c r="A144" s="2" t="inlineStr">
        <is>
          <t>1280-on</t>
        </is>
      </c>
      <c r="B144" s="2" t="n">
        <v>1280</v>
      </c>
      <c r="C144" s="2" t="inlineStr">
        <is>
          <t>on</t>
        </is>
      </c>
      <c r="D144" s="2" t="n">
        <v>1228</v>
      </c>
      <c r="E144" s="2" t="inlineStr">
        <is>
          <t>openssl X25519 only (classical)</t>
        </is>
      </c>
      <c r="F144" s="2" t="b">
        <v>0</v>
      </c>
      <c r="G144" s="2" t="n">
        <v>3</v>
      </c>
      <c r="H144" s="2" t="n">
        <v>309</v>
      </c>
      <c r="I144" s="2" t="n">
        <v>309</v>
      </c>
      <c r="J144" s="2" t="n">
        <v>309</v>
      </c>
      <c r="K144" s="2">
        <f>H144+5&gt;D144</f>
        <v/>
      </c>
      <c r="L144" s="2">
        <f>J144&lt;I144</f>
        <v/>
      </c>
      <c r="M144" s="2" t="b">
        <v>1</v>
      </c>
      <c r="N144" s="2" t="b">
        <v>1</v>
      </c>
      <c r="O144" s="2" t="inlineStr">
        <is>
          <t>allow</t>
        </is>
      </c>
      <c r="P144" s="2">
        <f>O144&lt;&gt;"unknown"</f>
        <v/>
      </c>
    </row>
    <row r="145">
      <c r="A145" s="2" t="inlineStr">
        <is>
          <t>1280-on</t>
        </is>
      </c>
      <c r="B145" s="2" t="n">
        <v>1280</v>
      </c>
      <c r="C145" s="2" t="inlineStr">
        <is>
          <t>on</t>
        </is>
      </c>
      <c r="D145" s="2" t="n">
        <v>1228</v>
      </c>
      <c r="E145" s="2" t="inlineStr">
        <is>
          <t>openssl X25519 only (classical)</t>
        </is>
      </c>
      <c r="F145" s="2" t="b">
        <v>0</v>
      </c>
      <c r="G145" s="2" t="n">
        <v>4</v>
      </c>
      <c r="H145" s="2" t="n">
        <v>309</v>
      </c>
      <c r="I145" s="2" t="n">
        <v>309</v>
      </c>
      <c r="J145" s="2" t="n">
        <v>309</v>
      </c>
      <c r="K145" s="2">
        <f>H145+5&gt;D145</f>
        <v/>
      </c>
      <c r="L145" s="2">
        <f>J145&lt;I145</f>
        <v/>
      </c>
      <c r="M145" s="2" t="b">
        <v>1</v>
      </c>
      <c r="N145" s="2" t="b">
        <v>1</v>
      </c>
      <c r="O145" s="2" t="inlineStr">
        <is>
          <t>allow</t>
        </is>
      </c>
      <c r="P145" s="2">
        <f>O145&lt;&gt;"unknown"</f>
        <v/>
      </c>
    </row>
    <row r="146">
      <c r="A146" s="2" t="inlineStr">
        <is>
          <t>1280-on</t>
        </is>
      </c>
      <c r="B146" s="2" t="n">
        <v>1280</v>
      </c>
      <c r="C146" s="2" t="inlineStr">
        <is>
          <t>on</t>
        </is>
      </c>
      <c r="D146" s="2" t="n">
        <v>1228</v>
      </c>
      <c r="E146" s="2" t="inlineStr">
        <is>
          <t>openssl X25519 only (classical)</t>
        </is>
      </c>
      <c r="F146" s="2" t="b">
        <v>0</v>
      </c>
      <c r="G146" s="2" t="n">
        <v>5</v>
      </c>
      <c r="H146" s="2" t="n">
        <v>309</v>
      </c>
      <c r="I146" s="2" t="n">
        <v>309</v>
      </c>
      <c r="J146" s="2" t="n">
        <v>309</v>
      </c>
      <c r="K146" s="2">
        <f>H146+5&gt;D146</f>
        <v/>
      </c>
      <c r="L146" s="2">
        <f>J146&lt;I146</f>
        <v/>
      </c>
      <c r="M146" s="2" t="b">
        <v>1</v>
      </c>
      <c r="N146" s="2" t="b">
        <v>1</v>
      </c>
      <c r="O146" s="2" t="inlineStr">
        <is>
          <t>allow</t>
        </is>
      </c>
      <c r="P146" s="2">
        <f>O146&lt;&gt;"unknown"</f>
        <v/>
      </c>
    </row>
    <row r="147">
      <c r="A147" s="2" t="inlineStr">
        <is>
          <t>1280-on</t>
        </is>
      </c>
      <c r="B147" s="2" t="n">
        <v>1280</v>
      </c>
      <c r="C147" s="2" t="inlineStr">
        <is>
          <t>on</t>
        </is>
      </c>
      <c r="D147" s="2" t="n">
        <v>1228</v>
      </c>
      <c r="E147" s="2" t="inlineStr">
        <is>
          <t>openssl X25519 only (classical)</t>
        </is>
      </c>
      <c r="F147" s="2" t="b">
        <v>0</v>
      </c>
      <c r="G147" s="2" t="n">
        <v>6</v>
      </c>
      <c r="H147" s="2" t="n">
        <v>309</v>
      </c>
      <c r="I147" s="2" t="n">
        <v>309</v>
      </c>
      <c r="J147" s="2" t="n">
        <v>309</v>
      </c>
      <c r="K147" s="2">
        <f>H147+5&gt;D147</f>
        <v/>
      </c>
      <c r="L147" s="2">
        <f>J147&lt;I147</f>
        <v/>
      </c>
      <c r="M147" s="2" t="b">
        <v>1</v>
      </c>
      <c r="N147" s="2" t="b">
        <v>1</v>
      </c>
      <c r="O147" s="2" t="inlineStr">
        <is>
          <t>allow</t>
        </is>
      </c>
      <c r="P147" s="2">
        <f>O147&lt;&gt;"unknown"</f>
        <v/>
      </c>
    </row>
    <row r="148">
      <c r="A148" s="2" t="inlineStr">
        <is>
          <t>1280-on</t>
        </is>
      </c>
      <c r="B148" s="2" t="n">
        <v>1280</v>
      </c>
      <c r="C148" s="2" t="inlineStr">
        <is>
          <t>on</t>
        </is>
      </c>
      <c r="D148" s="2" t="n">
        <v>1228</v>
      </c>
      <c r="E148" s="2" t="inlineStr">
        <is>
          <t>openssl X25519 only (classical)</t>
        </is>
      </c>
      <c r="F148" s="2" t="b">
        <v>0</v>
      </c>
      <c r="G148" s="2" t="n">
        <v>7</v>
      </c>
      <c r="H148" s="2" t="n">
        <v>309</v>
      </c>
      <c r="I148" s="2" t="n">
        <v>309</v>
      </c>
      <c r="J148" s="2" t="n">
        <v>309</v>
      </c>
      <c r="K148" s="2">
        <f>H148+5&gt;D148</f>
        <v/>
      </c>
      <c r="L148" s="2">
        <f>J148&lt;I148</f>
        <v/>
      </c>
      <c r="M148" s="2" t="b">
        <v>1</v>
      </c>
      <c r="N148" s="2" t="b">
        <v>1</v>
      </c>
      <c r="O148" s="2" t="inlineStr">
        <is>
          <t>allow</t>
        </is>
      </c>
      <c r="P148" s="2">
        <f>O148&lt;&gt;"unknown"</f>
        <v/>
      </c>
    </row>
    <row r="149">
      <c r="A149" s="2" t="inlineStr">
        <is>
          <t>1280-on</t>
        </is>
      </c>
      <c r="B149" s="2" t="n">
        <v>1280</v>
      </c>
      <c r="C149" s="2" t="inlineStr">
        <is>
          <t>on</t>
        </is>
      </c>
      <c r="D149" s="2" t="n">
        <v>1228</v>
      </c>
      <c r="E149" s="2" t="inlineStr">
        <is>
          <t>openssl X25519 only (classical)</t>
        </is>
      </c>
      <c r="F149" s="2" t="b">
        <v>0</v>
      </c>
      <c r="G149" s="2" t="n">
        <v>8</v>
      </c>
      <c r="H149" s="2" t="n">
        <v>309</v>
      </c>
      <c r="I149" s="2" t="n">
        <v>309</v>
      </c>
      <c r="J149" s="2" t="n">
        <v>309</v>
      </c>
      <c r="K149" s="2">
        <f>H149+5&gt;D149</f>
        <v/>
      </c>
      <c r="L149" s="2">
        <f>J149&lt;I149</f>
        <v/>
      </c>
      <c r="M149" s="2" t="b">
        <v>1</v>
      </c>
      <c r="N149" s="2" t="b">
        <v>1</v>
      </c>
      <c r="O149" s="2" t="inlineStr">
        <is>
          <t>allow</t>
        </is>
      </c>
      <c r="P149" s="2">
        <f>O149&lt;&gt;"unknown"</f>
        <v/>
      </c>
    </row>
    <row r="150">
      <c r="A150" s="2" t="inlineStr">
        <is>
          <t>1280-on</t>
        </is>
      </c>
      <c r="B150" s="2" t="n">
        <v>1280</v>
      </c>
      <c r="C150" s="2" t="inlineStr">
        <is>
          <t>on</t>
        </is>
      </c>
      <c r="D150" s="2" t="n">
        <v>1228</v>
      </c>
      <c r="E150" s="2" t="inlineStr">
        <is>
          <t>openssl X25519 only (classical)</t>
        </is>
      </c>
      <c r="F150" s="2" t="b">
        <v>0</v>
      </c>
      <c r="G150" s="2" t="n">
        <v>9</v>
      </c>
      <c r="H150" s="2" t="n">
        <v>309</v>
      </c>
      <c r="I150" s="2" t="n">
        <v>309</v>
      </c>
      <c r="J150" s="2" t="n">
        <v>309</v>
      </c>
      <c r="K150" s="2">
        <f>H150+5&gt;D150</f>
        <v/>
      </c>
      <c r="L150" s="2">
        <f>J150&lt;I150</f>
        <v/>
      </c>
      <c r="M150" s="2" t="b">
        <v>1</v>
      </c>
      <c r="N150" s="2" t="b">
        <v>1</v>
      </c>
      <c r="O150" s="2" t="inlineStr">
        <is>
          <t>allow</t>
        </is>
      </c>
      <c r="P150" s="2">
        <f>O150&lt;&gt;"unknown"</f>
        <v/>
      </c>
    </row>
    <row r="151">
      <c r="A151" s="2" t="inlineStr">
        <is>
          <t>1280-on</t>
        </is>
      </c>
      <c r="B151" s="2" t="n">
        <v>1280</v>
      </c>
      <c r="C151" s="2" t="inlineStr">
        <is>
          <t>on</t>
        </is>
      </c>
      <c r="D151" s="2" t="n">
        <v>1228</v>
      </c>
      <c r="E151" s="2" t="inlineStr">
        <is>
          <t>openssl X25519 only (classical)</t>
        </is>
      </c>
      <c r="F151" s="2" t="b">
        <v>0</v>
      </c>
      <c r="G151" s="2" t="n">
        <v>10</v>
      </c>
      <c r="H151" s="2" t="n">
        <v>309</v>
      </c>
      <c r="I151" s="2" t="n">
        <v>309</v>
      </c>
      <c r="J151" s="2" t="n">
        <v>309</v>
      </c>
      <c r="K151" s="2">
        <f>H151+5&gt;D151</f>
        <v/>
      </c>
      <c r="L151" s="2">
        <f>J151&lt;I151</f>
        <v/>
      </c>
      <c r="M151" s="2" t="b">
        <v>1</v>
      </c>
      <c r="N151" s="2" t="b">
        <v>1</v>
      </c>
      <c r="O151" s="2" t="inlineStr">
        <is>
          <t>allow</t>
        </is>
      </c>
      <c r="P151" s="2">
        <f>O151&lt;&gt;"unknown"</f>
        <v/>
      </c>
    </row>
    <row r="152">
      <c r="A152" s="2" t="inlineStr">
        <is>
          <t>1280-on</t>
        </is>
      </c>
      <c r="B152" s="2" t="n">
        <v>1280</v>
      </c>
      <c r="C152" s="2" t="inlineStr">
        <is>
          <t>on</t>
        </is>
      </c>
      <c r="D152" s="2" t="n">
        <v>1228</v>
      </c>
      <c r="E152" s="2" t="inlineStr">
        <is>
          <t>openssl X25519 only (classical)</t>
        </is>
      </c>
      <c r="F152" s="2" t="b">
        <v>0</v>
      </c>
      <c r="G152" s="2" t="n">
        <v>11</v>
      </c>
      <c r="H152" s="2" t="n">
        <v>309</v>
      </c>
      <c r="I152" s="2" t="n">
        <v>309</v>
      </c>
      <c r="J152" s="2" t="n">
        <v>309</v>
      </c>
      <c r="K152" s="2">
        <f>H152+5&gt;D152</f>
        <v/>
      </c>
      <c r="L152" s="2">
        <f>J152&lt;I152</f>
        <v/>
      </c>
      <c r="M152" s="2" t="b">
        <v>1</v>
      </c>
      <c r="N152" s="2" t="b">
        <v>1</v>
      </c>
      <c r="O152" s="2" t="inlineStr">
        <is>
          <t>allow</t>
        </is>
      </c>
      <c r="P152" s="2">
        <f>O152&lt;&gt;"unknown"</f>
        <v/>
      </c>
    </row>
    <row r="153">
      <c r="A153" s="2" t="inlineStr">
        <is>
          <t>1280-on</t>
        </is>
      </c>
      <c r="B153" s="2" t="n">
        <v>1280</v>
      </c>
      <c r="C153" s="2" t="inlineStr">
        <is>
          <t>on</t>
        </is>
      </c>
      <c r="D153" s="2" t="n">
        <v>1228</v>
      </c>
      <c r="E153" s="2" t="inlineStr">
        <is>
          <t>openssl X25519 only (classical)</t>
        </is>
      </c>
      <c r="F153" s="2" t="b">
        <v>0</v>
      </c>
      <c r="G153" s="2" t="n">
        <v>12</v>
      </c>
      <c r="H153" s="2" t="n">
        <v>309</v>
      </c>
      <c r="I153" s="2" t="n">
        <v>309</v>
      </c>
      <c r="J153" s="2" t="n">
        <v>309</v>
      </c>
      <c r="K153" s="2">
        <f>H153+5&gt;D153</f>
        <v/>
      </c>
      <c r="L153" s="2">
        <f>J153&lt;I153</f>
        <v/>
      </c>
      <c r="M153" s="2" t="b">
        <v>1</v>
      </c>
      <c r="N153" s="2" t="b">
        <v>1</v>
      </c>
      <c r="O153" s="2" t="inlineStr">
        <is>
          <t>allow</t>
        </is>
      </c>
      <c r="P153" s="2">
        <f>O153&lt;&gt;"unknown"</f>
        <v/>
      </c>
    </row>
    <row r="154">
      <c r="A154" s="2" t="inlineStr">
        <is>
          <t>1280-on</t>
        </is>
      </c>
      <c r="B154" s="2" t="n">
        <v>1280</v>
      </c>
      <c r="C154" s="2" t="inlineStr">
        <is>
          <t>on</t>
        </is>
      </c>
      <c r="D154" s="2" t="n">
        <v>1228</v>
      </c>
      <c r="E154" s="2" t="inlineStr">
        <is>
          <t>openssl X25519 only (classical)</t>
        </is>
      </c>
      <c r="F154" s="2" t="b">
        <v>0</v>
      </c>
      <c r="G154" s="2" t="n">
        <v>13</v>
      </c>
      <c r="H154" s="2" t="n">
        <v>309</v>
      </c>
      <c r="I154" s="2" t="n">
        <v>309</v>
      </c>
      <c r="J154" s="2" t="n">
        <v>309</v>
      </c>
      <c r="K154" s="2">
        <f>H154+5&gt;D154</f>
        <v/>
      </c>
      <c r="L154" s="2">
        <f>J154&lt;I154</f>
        <v/>
      </c>
      <c r="M154" s="2" t="b">
        <v>1</v>
      </c>
      <c r="N154" s="2" t="b">
        <v>1</v>
      </c>
      <c r="O154" s="2" t="inlineStr">
        <is>
          <t>allow</t>
        </is>
      </c>
      <c r="P154" s="2">
        <f>O154&lt;&gt;"unknown"</f>
        <v/>
      </c>
    </row>
    <row r="155">
      <c r="A155" s="2" t="inlineStr">
        <is>
          <t>1280-on</t>
        </is>
      </c>
      <c r="B155" s="2" t="n">
        <v>1280</v>
      </c>
      <c r="C155" s="2" t="inlineStr">
        <is>
          <t>on</t>
        </is>
      </c>
      <c r="D155" s="2" t="n">
        <v>1228</v>
      </c>
      <c r="E155" s="2" t="inlineStr">
        <is>
          <t>openssl X25519 only (classical)</t>
        </is>
      </c>
      <c r="F155" s="2" t="b">
        <v>0</v>
      </c>
      <c r="G155" s="2" t="n">
        <v>14</v>
      </c>
      <c r="H155" s="2" t="n">
        <v>309</v>
      </c>
      <c r="I155" s="2" t="n">
        <v>309</v>
      </c>
      <c r="J155" s="2" t="n">
        <v>309</v>
      </c>
      <c r="K155" s="2">
        <f>H155+5&gt;D155</f>
        <v/>
      </c>
      <c r="L155" s="2">
        <f>J155&lt;I155</f>
        <v/>
      </c>
      <c r="M155" s="2" t="b">
        <v>1</v>
      </c>
      <c r="N155" s="2" t="b">
        <v>1</v>
      </c>
      <c r="O155" s="2" t="inlineStr">
        <is>
          <t>allow</t>
        </is>
      </c>
      <c r="P155" s="2">
        <f>O155&lt;&gt;"unknown"</f>
        <v/>
      </c>
    </row>
    <row r="156">
      <c r="A156" s="2" t="inlineStr">
        <is>
          <t>1280-on</t>
        </is>
      </c>
      <c r="B156" s="2" t="n">
        <v>1280</v>
      </c>
      <c r="C156" s="2" t="inlineStr">
        <is>
          <t>on</t>
        </is>
      </c>
      <c r="D156" s="2" t="n">
        <v>1228</v>
      </c>
      <c r="E156" s="2" t="inlineStr">
        <is>
          <t>openssl X25519 only (classical)</t>
        </is>
      </c>
      <c r="F156" s="2" t="b">
        <v>0</v>
      </c>
      <c r="G156" s="2" t="n">
        <v>15</v>
      </c>
      <c r="H156" s="2" t="n">
        <v>309</v>
      </c>
      <c r="I156" s="2" t="n">
        <v>309</v>
      </c>
      <c r="J156" s="2" t="n">
        <v>309</v>
      </c>
      <c r="K156" s="2">
        <f>H156+5&gt;D156</f>
        <v/>
      </c>
      <c r="L156" s="2">
        <f>J156&lt;I156</f>
        <v/>
      </c>
      <c r="M156" s="2" t="b">
        <v>1</v>
      </c>
      <c r="N156" s="2" t="b">
        <v>1</v>
      </c>
      <c r="O156" s="2" t="inlineStr">
        <is>
          <t>allow</t>
        </is>
      </c>
      <c r="P156" s="2">
        <f>O156&lt;&gt;"unknown"</f>
        <v/>
      </c>
    </row>
    <row r="157">
      <c r="A157" s="2" t="inlineStr">
        <is>
          <t>1280-on</t>
        </is>
      </c>
      <c r="B157" s="2" t="n">
        <v>1280</v>
      </c>
      <c r="C157" s="2" t="inlineStr">
        <is>
          <t>on</t>
        </is>
      </c>
      <c r="D157" s="2" t="n">
        <v>1228</v>
      </c>
      <c r="E157" s="2" t="inlineStr">
        <is>
          <t>openssl X25519 only (classical)</t>
        </is>
      </c>
      <c r="F157" s="2" t="b">
        <v>0</v>
      </c>
      <c r="G157" s="2" t="n">
        <v>16</v>
      </c>
      <c r="H157" s="2" t="n">
        <v>309</v>
      </c>
      <c r="I157" s="2" t="n">
        <v>309</v>
      </c>
      <c r="J157" s="2" t="n">
        <v>309</v>
      </c>
      <c r="K157" s="2">
        <f>H157+5&gt;D157</f>
        <v/>
      </c>
      <c r="L157" s="2">
        <f>J157&lt;I157</f>
        <v/>
      </c>
      <c r="M157" s="2" t="b">
        <v>1</v>
      </c>
      <c r="N157" s="2" t="b">
        <v>1</v>
      </c>
      <c r="O157" s="2" t="inlineStr">
        <is>
          <t>allow</t>
        </is>
      </c>
      <c r="P157" s="2">
        <f>O157&lt;&gt;"unknown"</f>
        <v/>
      </c>
    </row>
    <row r="158">
      <c r="A158" s="2" t="inlineStr">
        <is>
          <t>1280-on</t>
        </is>
      </c>
      <c r="B158" s="2" t="n">
        <v>1280</v>
      </c>
      <c r="C158" s="2" t="inlineStr">
        <is>
          <t>on</t>
        </is>
      </c>
      <c r="D158" s="2" t="n">
        <v>1228</v>
      </c>
      <c r="E158" s="2" t="inlineStr">
        <is>
          <t>openssl X25519 only (classical)</t>
        </is>
      </c>
      <c r="F158" s="2" t="b">
        <v>0</v>
      </c>
      <c r="G158" s="2" t="n">
        <v>17</v>
      </c>
      <c r="H158" s="2" t="n">
        <v>309</v>
      </c>
      <c r="I158" s="2" t="n">
        <v>309</v>
      </c>
      <c r="J158" s="2" t="n">
        <v>309</v>
      </c>
      <c r="K158" s="2">
        <f>H158+5&gt;D158</f>
        <v/>
      </c>
      <c r="L158" s="2">
        <f>J158&lt;I158</f>
        <v/>
      </c>
      <c r="M158" s="2" t="b">
        <v>1</v>
      </c>
      <c r="N158" s="2" t="b">
        <v>1</v>
      </c>
      <c r="O158" s="2" t="inlineStr">
        <is>
          <t>allow</t>
        </is>
      </c>
      <c r="P158" s="2">
        <f>O158&lt;&gt;"unknown"</f>
        <v/>
      </c>
    </row>
    <row r="159">
      <c r="A159" s="2" t="inlineStr">
        <is>
          <t>1280-on</t>
        </is>
      </c>
      <c r="B159" s="2" t="n">
        <v>1280</v>
      </c>
      <c r="C159" s="2" t="inlineStr">
        <is>
          <t>on</t>
        </is>
      </c>
      <c r="D159" s="2" t="n">
        <v>1228</v>
      </c>
      <c r="E159" s="2" t="inlineStr">
        <is>
          <t>openssl X25519 only (classical)</t>
        </is>
      </c>
      <c r="F159" s="2" t="b">
        <v>0</v>
      </c>
      <c r="G159" s="2" t="n">
        <v>18</v>
      </c>
      <c r="H159" s="2" t="n">
        <v>309</v>
      </c>
      <c r="I159" s="2" t="n">
        <v>309</v>
      </c>
      <c r="J159" s="2" t="n">
        <v>309</v>
      </c>
      <c r="K159" s="2">
        <f>H159+5&gt;D159</f>
        <v/>
      </c>
      <c r="L159" s="2">
        <f>J159&lt;I159</f>
        <v/>
      </c>
      <c r="M159" s="2" t="b">
        <v>1</v>
      </c>
      <c r="N159" s="2" t="b">
        <v>1</v>
      </c>
      <c r="O159" s="2" t="inlineStr">
        <is>
          <t>allow</t>
        </is>
      </c>
      <c r="P159" s="2">
        <f>O159&lt;&gt;"unknown"</f>
        <v/>
      </c>
    </row>
    <row r="160">
      <c r="A160" s="2" t="inlineStr">
        <is>
          <t>1280-on</t>
        </is>
      </c>
      <c r="B160" s="2" t="n">
        <v>1280</v>
      </c>
      <c r="C160" s="2" t="inlineStr">
        <is>
          <t>on</t>
        </is>
      </c>
      <c r="D160" s="2" t="n">
        <v>1228</v>
      </c>
      <c r="E160" s="2" t="inlineStr">
        <is>
          <t>openssl X25519 only (classical)</t>
        </is>
      </c>
      <c r="F160" s="2" t="b">
        <v>0</v>
      </c>
      <c r="G160" s="2" t="n">
        <v>19</v>
      </c>
      <c r="H160" s="2" t="n">
        <v>309</v>
      </c>
      <c r="I160" s="2" t="n">
        <v>309</v>
      </c>
      <c r="J160" s="2" t="n">
        <v>309</v>
      </c>
      <c r="K160" s="2">
        <f>H160+5&gt;D160</f>
        <v/>
      </c>
      <c r="L160" s="2">
        <f>J160&lt;I160</f>
        <v/>
      </c>
      <c r="M160" s="2" t="b">
        <v>1</v>
      </c>
      <c r="N160" s="2" t="b">
        <v>1</v>
      </c>
      <c r="O160" s="2" t="inlineStr">
        <is>
          <t>allow</t>
        </is>
      </c>
      <c r="P160" s="2">
        <f>O160&lt;&gt;"unknown"</f>
        <v/>
      </c>
    </row>
    <row r="161">
      <c r="A161" s="2" t="inlineStr">
        <is>
          <t>1280-on</t>
        </is>
      </c>
      <c r="B161" s="2" t="n">
        <v>1280</v>
      </c>
      <c r="C161" s="2" t="inlineStr">
        <is>
          <t>on</t>
        </is>
      </c>
      <c r="D161" s="2" t="n">
        <v>1228</v>
      </c>
      <c r="E161" s="2" t="inlineStr">
        <is>
          <t>openssl X25519 only (classical)</t>
        </is>
      </c>
      <c r="F161" s="2" t="b">
        <v>0</v>
      </c>
      <c r="G161" s="2" t="n">
        <v>20</v>
      </c>
      <c r="H161" s="2" t="n">
        <v>309</v>
      </c>
      <c r="I161" s="2" t="n">
        <v>309</v>
      </c>
      <c r="J161" s="2" t="n">
        <v>309</v>
      </c>
      <c r="K161" s="2">
        <f>H161+5&gt;D161</f>
        <v/>
      </c>
      <c r="L161" s="2">
        <f>J161&lt;I161</f>
        <v/>
      </c>
      <c r="M161" s="2" t="b">
        <v>1</v>
      </c>
      <c r="N161" s="2" t="b">
        <v>1</v>
      </c>
      <c r="O161" s="2" t="inlineStr">
        <is>
          <t>allow</t>
        </is>
      </c>
      <c r="P161" s="2">
        <f>O161&lt;&gt;"unknown"</f>
        <v/>
      </c>
    </row>
    <row r="162">
      <c r="A162" s="2" t="inlineStr">
        <is>
          <t>1280-on</t>
        </is>
      </c>
      <c r="B162" s="2" t="n">
        <v>1280</v>
      </c>
      <c r="C162" s="2" t="inlineStr">
        <is>
          <t>on</t>
        </is>
      </c>
      <c r="D162" s="2" t="n">
        <v>1228</v>
      </c>
      <c r="E162" s="2" t="inlineStr">
        <is>
          <t>openssl secp256r1 only (classical)</t>
        </is>
      </c>
      <c r="F162" s="2" t="b">
        <v>0</v>
      </c>
      <c r="G162" s="2" t="n">
        <v>1</v>
      </c>
      <c r="H162" s="2" t="n">
        <v>342</v>
      </c>
      <c r="I162" s="2" t="n">
        <v>342</v>
      </c>
      <c r="J162" s="2" t="n">
        <v>342</v>
      </c>
      <c r="K162" s="2">
        <f>H162+5&gt;D162</f>
        <v/>
      </c>
      <c r="L162" s="2">
        <f>J162&lt;I162</f>
        <v/>
      </c>
      <c r="M162" s="2" t="b">
        <v>1</v>
      </c>
      <c r="N162" s="2" t="b">
        <v>1</v>
      </c>
      <c r="O162" s="2" t="inlineStr">
        <is>
          <t>allow</t>
        </is>
      </c>
      <c r="P162" s="2">
        <f>O162&lt;&gt;"unknown"</f>
        <v/>
      </c>
    </row>
    <row r="163">
      <c r="A163" s="2" t="inlineStr">
        <is>
          <t>1280-on</t>
        </is>
      </c>
      <c r="B163" s="2" t="n">
        <v>1280</v>
      </c>
      <c r="C163" s="2" t="inlineStr">
        <is>
          <t>on</t>
        </is>
      </c>
      <c r="D163" s="2" t="n">
        <v>1228</v>
      </c>
      <c r="E163" s="2" t="inlineStr">
        <is>
          <t>openssl secp256r1 only (classical)</t>
        </is>
      </c>
      <c r="F163" s="2" t="b">
        <v>0</v>
      </c>
      <c r="G163" s="2" t="n">
        <v>2</v>
      </c>
      <c r="H163" s="2" t="n">
        <v>342</v>
      </c>
      <c r="I163" s="2" t="n">
        <v>342</v>
      </c>
      <c r="J163" s="2" t="n">
        <v>342</v>
      </c>
      <c r="K163" s="2">
        <f>H163+5&gt;D163</f>
        <v/>
      </c>
      <c r="L163" s="2">
        <f>J163&lt;I163</f>
        <v/>
      </c>
      <c r="M163" s="2" t="b">
        <v>1</v>
      </c>
      <c r="N163" s="2" t="b">
        <v>1</v>
      </c>
      <c r="O163" s="2" t="inlineStr">
        <is>
          <t>allow</t>
        </is>
      </c>
      <c r="P163" s="2">
        <f>O163&lt;&gt;"unknown"</f>
        <v/>
      </c>
    </row>
    <row r="164">
      <c r="A164" s="2" t="inlineStr">
        <is>
          <t>1280-on</t>
        </is>
      </c>
      <c r="B164" s="2" t="n">
        <v>1280</v>
      </c>
      <c r="C164" s="2" t="inlineStr">
        <is>
          <t>on</t>
        </is>
      </c>
      <c r="D164" s="2" t="n">
        <v>1228</v>
      </c>
      <c r="E164" s="2" t="inlineStr">
        <is>
          <t>openssl secp256r1 only (classical)</t>
        </is>
      </c>
      <c r="F164" s="2" t="b">
        <v>0</v>
      </c>
      <c r="G164" s="2" t="n">
        <v>3</v>
      </c>
      <c r="H164" s="2" t="n">
        <v>342</v>
      </c>
      <c r="I164" s="2" t="n">
        <v>342</v>
      </c>
      <c r="J164" s="2" t="n">
        <v>342</v>
      </c>
      <c r="K164" s="2">
        <f>H164+5&gt;D164</f>
        <v/>
      </c>
      <c r="L164" s="2">
        <f>J164&lt;I164</f>
        <v/>
      </c>
      <c r="M164" s="2" t="b">
        <v>1</v>
      </c>
      <c r="N164" s="2" t="b">
        <v>1</v>
      </c>
      <c r="O164" s="2" t="inlineStr">
        <is>
          <t>allow</t>
        </is>
      </c>
      <c r="P164" s="2">
        <f>O164&lt;&gt;"unknown"</f>
        <v/>
      </c>
    </row>
    <row r="165">
      <c r="A165" s="2" t="inlineStr">
        <is>
          <t>1280-on</t>
        </is>
      </c>
      <c r="B165" s="2" t="n">
        <v>1280</v>
      </c>
      <c r="C165" s="2" t="inlineStr">
        <is>
          <t>on</t>
        </is>
      </c>
      <c r="D165" s="2" t="n">
        <v>1228</v>
      </c>
      <c r="E165" s="2" t="inlineStr">
        <is>
          <t>openssl secp256r1 only (classical)</t>
        </is>
      </c>
      <c r="F165" s="2" t="b">
        <v>0</v>
      </c>
      <c r="G165" s="2" t="n">
        <v>4</v>
      </c>
      <c r="H165" s="2" t="n">
        <v>342</v>
      </c>
      <c r="I165" s="2" t="n">
        <v>342</v>
      </c>
      <c r="J165" s="2" t="n">
        <v>342</v>
      </c>
      <c r="K165" s="2">
        <f>H165+5&gt;D165</f>
        <v/>
      </c>
      <c r="L165" s="2">
        <f>J165&lt;I165</f>
        <v/>
      </c>
      <c r="M165" s="2" t="b">
        <v>1</v>
      </c>
      <c r="N165" s="2" t="b">
        <v>1</v>
      </c>
      <c r="O165" s="2" t="inlineStr">
        <is>
          <t>allow</t>
        </is>
      </c>
      <c r="P165" s="2">
        <f>O165&lt;&gt;"unknown"</f>
        <v/>
      </c>
    </row>
    <row r="166">
      <c r="A166" s="2" t="inlineStr">
        <is>
          <t>1280-on</t>
        </is>
      </c>
      <c r="B166" s="2" t="n">
        <v>1280</v>
      </c>
      <c r="C166" s="2" t="inlineStr">
        <is>
          <t>on</t>
        </is>
      </c>
      <c r="D166" s="2" t="n">
        <v>1228</v>
      </c>
      <c r="E166" s="2" t="inlineStr">
        <is>
          <t>openssl secp256r1 only (classical)</t>
        </is>
      </c>
      <c r="F166" s="2" t="b">
        <v>0</v>
      </c>
      <c r="G166" s="2" t="n">
        <v>5</v>
      </c>
      <c r="H166" s="2" t="n">
        <v>342</v>
      </c>
      <c r="I166" s="2" t="n">
        <v>342</v>
      </c>
      <c r="J166" s="2" t="n">
        <v>342</v>
      </c>
      <c r="K166" s="2">
        <f>H166+5&gt;D166</f>
        <v/>
      </c>
      <c r="L166" s="2">
        <f>J166&lt;I166</f>
        <v/>
      </c>
      <c r="M166" s="2" t="b">
        <v>1</v>
      </c>
      <c r="N166" s="2" t="b">
        <v>1</v>
      </c>
      <c r="O166" s="2" t="inlineStr">
        <is>
          <t>allow</t>
        </is>
      </c>
      <c r="P166" s="2">
        <f>O166&lt;&gt;"unknown"</f>
        <v/>
      </c>
    </row>
    <row r="167">
      <c r="A167" s="2" t="inlineStr">
        <is>
          <t>1280-on</t>
        </is>
      </c>
      <c r="B167" s="2" t="n">
        <v>1280</v>
      </c>
      <c r="C167" s="2" t="inlineStr">
        <is>
          <t>on</t>
        </is>
      </c>
      <c r="D167" s="2" t="n">
        <v>1228</v>
      </c>
      <c r="E167" s="2" t="inlineStr">
        <is>
          <t>openssl secp256r1 only (classical)</t>
        </is>
      </c>
      <c r="F167" s="2" t="b">
        <v>0</v>
      </c>
      <c r="G167" s="2" t="n">
        <v>6</v>
      </c>
      <c r="H167" s="2" t="n">
        <v>342</v>
      </c>
      <c r="I167" s="2" t="n">
        <v>342</v>
      </c>
      <c r="J167" s="2" t="n">
        <v>342</v>
      </c>
      <c r="K167" s="2">
        <f>H167+5&gt;D167</f>
        <v/>
      </c>
      <c r="L167" s="2">
        <f>J167&lt;I167</f>
        <v/>
      </c>
      <c r="M167" s="2" t="b">
        <v>1</v>
      </c>
      <c r="N167" s="2" t="b">
        <v>1</v>
      </c>
      <c r="O167" s="2" t="inlineStr">
        <is>
          <t>allow</t>
        </is>
      </c>
      <c r="P167" s="2">
        <f>O167&lt;&gt;"unknown"</f>
        <v/>
      </c>
    </row>
    <row r="168">
      <c r="A168" s="2" t="inlineStr">
        <is>
          <t>1280-on</t>
        </is>
      </c>
      <c r="B168" s="2" t="n">
        <v>1280</v>
      </c>
      <c r="C168" s="2" t="inlineStr">
        <is>
          <t>on</t>
        </is>
      </c>
      <c r="D168" s="2" t="n">
        <v>1228</v>
      </c>
      <c r="E168" s="2" t="inlineStr">
        <is>
          <t>openssl secp256r1 only (classical)</t>
        </is>
      </c>
      <c r="F168" s="2" t="b">
        <v>0</v>
      </c>
      <c r="G168" s="2" t="n">
        <v>7</v>
      </c>
      <c r="H168" s="2" t="n">
        <v>342</v>
      </c>
      <c r="I168" s="2" t="n">
        <v>342</v>
      </c>
      <c r="J168" s="2" t="n">
        <v>342</v>
      </c>
      <c r="K168" s="2">
        <f>H168+5&gt;D168</f>
        <v/>
      </c>
      <c r="L168" s="2">
        <f>J168&lt;I168</f>
        <v/>
      </c>
      <c r="M168" s="2" t="b">
        <v>1</v>
      </c>
      <c r="N168" s="2" t="b">
        <v>1</v>
      </c>
      <c r="O168" s="2" t="inlineStr">
        <is>
          <t>allow</t>
        </is>
      </c>
      <c r="P168" s="2">
        <f>O168&lt;&gt;"unknown"</f>
        <v/>
      </c>
    </row>
    <row r="169">
      <c r="A169" s="2" t="inlineStr">
        <is>
          <t>1280-on</t>
        </is>
      </c>
      <c r="B169" s="2" t="n">
        <v>1280</v>
      </c>
      <c r="C169" s="2" t="inlineStr">
        <is>
          <t>on</t>
        </is>
      </c>
      <c r="D169" s="2" t="n">
        <v>1228</v>
      </c>
      <c r="E169" s="2" t="inlineStr">
        <is>
          <t>openssl secp256r1 only (classical)</t>
        </is>
      </c>
      <c r="F169" s="2" t="b">
        <v>0</v>
      </c>
      <c r="G169" s="2" t="n">
        <v>8</v>
      </c>
      <c r="H169" s="2" t="n">
        <v>342</v>
      </c>
      <c r="I169" s="2" t="n">
        <v>342</v>
      </c>
      <c r="J169" s="2" t="n">
        <v>342</v>
      </c>
      <c r="K169" s="2">
        <f>H169+5&gt;D169</f>
        <v/>
      </c>
      <c r="L169" s="2">
        <f>J169&lt;I169</f>
        <v/>
      </c>
      <c r="M169" s="2" t="b">
        <v>1</v>
      </c>
      <c r="N169" s="2" t="b">
        <v>1</v>
      </c>
      <c r="O169" s="2" t="inlineStr">
        <is>
          <t>allow</t>
        </is>
      </c>
      <c r="P169" s="2">
        <f>O169&lt;&gt;"unknown"</f>
        <v/>
      </c>
    </row>
    <row r="170">
      <c r="A170" s="2" t="inlineStr">
        <is>
          <t>1280-on</t>
        </is>
      </c>
      <c r="B170" s="2" t="n">
        <v>1280</v>
      </c>
      <c r="C170" s="2" t="inlineStr">
        <is>
          <t>on</t>
        </is>
      </c>
      <c r="D170" s="2" t="n">
        <v>1228</v>
      </c>
      <c r="E170" s="2" t="inlineStr">
        <is>
          <t>openssl secp256r1 only (classical)</t>
        </is>
      </c>
      <c r="F170" s="2" t="b">
        <v>0</v>
      </c>
      <c r="G170" s="2" t="n">
        <v>9</v>
      </c>
      <c r="H170" s="2" t="n">
        <v>342</v>
      </c>
      <c r="I170" s="2" t="n">
        <v>342</v>
      </c>
      <c r="J170" s="2" t="n">
        <v>342</v>
      </c>
      <c r="K170" s="2">
        <f>H170+5&gt;D170</f>
        <v/>
      </c>
      <c r="L170" s="2">
        <f>J170&lt;I170</f>
        <v/>
      </c>
      <c r="M170" s="2" t="b">
        <v>1</v>
      </c>
      <c r="N170" s="2" t="b">
        <v>1</v>
      </c>
      <c r="O170" s="2" t="inlineStr">
        <is>
          <t>allow</t>
        </is>
      </c>
      <c r="P170" s="2">
        <f>O170&lt;&gt;"unknown"</f>
        <v/>
      </c>
    </row>
    <row r="171">
      <c r="A171" s="2" t="inlineStr">
        <is>
          <t>1280-on</t>
        </is>
      </c>
      <c r="B171" s="2" t="n">
        <v>1280</v>
      </c>
      <c r="C171" s="2" t="inlineStr">
        <is>
          <t>on</t>
        </is>
      </c>
      <c r="D171" s="2" t="n">
        <v>1228</v>
      </c>
      <c r="E171" s="2" t="inlineStr">
        <is>
          <t>openssl secp256r1 only (classical)</t>
        </is>
      </c>
      <c r="F171" s="2" t="b">
        <v>0</v>
      </c>
      <c r="G171" s="2" t="n">
        <v>10</v>
      </c>
      <c r="H171" s="2" t="n">
        <v>342</v>
      </c>
      <c r="I171" s="2" t="n">
        <v>342</v>
      </c>
      <c r="J171" s="2" t="n">
        <v>342</v>
      </c>
      <c r="K171" s="2">
        <f>H171+5&gt;D171</f>
        <v/>
      </c>
      <c r="L171" s="2">
        <f>J171&lt;I171</f>
        <v/>
      </c>
      <c r="M171" s="2" t="b">
        <v>1</v>
      </c>
      <c r="N171" s="2" t="b">
        <v>1</v>
      </c>
      <c r="O171" s="2" t="inlineStr">
        <is>
          <t>allow</t>
        </is>
      </c>
      <c r="P171" s="2">
        <f>O171&lt;&gt;"unknown"</f>
        <v/>
      </c>
    </row>
    <row r="172">
      <c r="A172" s="2" t="inlineStr">
        <is>
          <t>1280-on</t>
        </is>
      </c>
      <c r="B172" s="2" t="n">
        <v>1280</v>
      </c>
      <c r="C172" s="2" t="inlineStr">
        <is>
          <t>on</t>
        </is>
      </c>
      <c r="D172" s="2" t="n">
        <v>1228</v>
      </c>
      <c r="E172" s="2" t="inlineStr">
        <is>
          <t>openssl secp256r1 only (classical)</t>
        </is>
      </c>
      <c r="F172" s="2" t="b">
        <v>0</v>
      </c>
      <c r="G172" s="2" t="n">
        <v>11</v>
      </c>
      <c r="H172" s="2" t="n">
        <v>342</v>
      </c>
      <c r="I172" s="2" t="n">
        <v>342</v>
      </c>
      <c r="J172" s="2" t="n">
        <v>342</v>
      </c>
      <c r="K172" s="2">
        <f>H172+5&gt;D172</f>
        <v/>
      </c>
      <c r="L172" s="2">
        <f>J172&lt;I172</f>
        <v/>
      </c>
      <c r="M172" s="2" t="b">
        <v>1</v>
      </c>
      <c r="N172" s="2" t="b">
        <v>1</v>
      </c>
      <c r="O172" s="2" t="inlineStr">
        <is>
          <t>allow</t>
        </is>
      </c>
      <c r="P172" s="2">
        <f>O172&lt;&gt;"unknown"</f>
        <v/>
      </c>
    </row>
    <row r="173">
      <c r="A173" s="2" t="inlineStr">
        <is>
          <t>1280-on</t>
        </is>
      </c>
      <c r="B173" s="2" t="n">
        <v>1280</v>
      </c>
      <c r="C173" s="2" t="inlineStr">
        <is>
          <t>on</t>
        </is>
      </c>
      <c r="D173" s="2" t="n">
        <v>1228</v>
      </c>
      <c r="E173" s="2" t="inlineStr">
        <is>
          <t>openssl secp256r1 only (classical)</t>
        </is>
      </c>
      <c r="F173" s="2" t="b">
        <v>0</v>
      </c>
      <c r="G173" s="2" t="n">
        <v>12</v>
      </c>
      <c r="H173" s="2" t="n">
        <v>342</v>
      </c>
      <c r="I173" s="2" t="n">
        <v>342</v>
      </c>
      <c r="J173" s="2" t="n">
        <v>342</v>
      </c>
      <c r="K173" s="2">
        <f>H173+5&gt;D173</f>
        <v/>
      </c>
      <c r="L173" s="2">
        <f>J173&lt;I173</f>
        <v/>
      </c>
      <c r="M173" s="2" t="b">
        <v>1</v>
      </c>
      <c r="N173" s="2" t="b">
        <v>1</v>
      </c>
      <c r="O173" s="2" t="inlineStr">
        <is>
          <t>allow</t>
        </is>
      </c>
      <c r="P173" s="2">
        <f>O173&lt;&gt;"unknown"</f>
        <v/>
      </c>
    </row>
    <row r="174">
      <c r="A174" s="2" t="inlineStr">
        <is>
          <t>1280-on</t>
        </is>
      </c>
      <c r="B174" s="2" t="n">
        <v>1280</v>
      </c>
      <c r="C174" s="2" t="inlineStr">
        <is>
          <t>on</t>
        </is>
      </c>
      <c r="D174" s="2" t="n">
        <v>1228</v>
      </c>
      <c r="E174" s="2" t="inlineStr">
        <is>
          <t>openssl secp256r1 only (classical)</t>
        </is>
      </c>
      <c r="F174" s="2" t="b">
        <v>0</v>
      </c>
      <c r="G174" s="2" t="n">
        <v>13</v>
      </c>
      <c r="H174" s="2" t="n">
        <v>342</v>
      </c>
      <c r="I174" s="2" t="n">
        <v>342</v>
      </c>
      <c r="J174" s="2" t="n">
        <v>342</v>
      </c>
      <c r="K174" s="2">
        <f>H174+5&gt;D174</f>
        <v/>
      </c>
      <c r="L174" s="2">
        <f>J174&lt;I174</f>
        <v/>
      </c>
      <c r="M174" s="2" t="b">
        <v>1</v>
      </c>
      <c r="N174" s="2" t="b">
        <v>1</v>
      </c>
      <c r="O174" s="2" t="inlineStr">
        <is>
          <t>allow</t>
        </is>
      </c>
      <c r="P174" s="2">
        <f>O174&lt;&gt;"unknown"</f>
        <v/>
      </c>
    </row>
    <row r="175">
      <c r="A175" s="2" t="inlineStr">
        <is>
          <t>1280-on</t>
        </is>
      </c>
      <c r="B175" s="2" t="n">
        <v>1280</v>
      </c>
      <c r="C175" s="2" t="inlineStr">
        <is>
          <t>on</t>
        </is>
      </c>
      <c r="D175" s="2" t="n">
        <v>1228</v>
      </c>
      <c r="E175" s="2" t="inlineStr">
        <is>
          <t>openssl secp256r1 only (classical)</t>
        </is>
      </c>
      <c r="F175" s="2" t="b">
        <v>0</v>
      </c>
      <c r="G175" s="2" t="n">
        <v>14</v>
      </c>
      <c r="H175" s="2" t="n">
        <v>342</v>
      </c>
      <c r="I175" s="2" t="n">
        <v>342</v>
      </c>
      <c r="J175" s="2" t="n">
        <v>342</v>
      </c>
      <c r="K175" s="2">
        <f>H175+5&gt;D175</f>
        <v/>
      </c>
      <c r="L175" s="2">
        <f>J175&lt;I175</f>
        <v/>
      </c>
      <c r="M175" s="2" t="b">
        <v>1</v>
      </c>
      <c r="N175" s="2" t="b">
        <v>1</v>
      </c>
      <c r="O175" s="2" t="inlineStr">
        <is>
          <t>allow</t>
        </is>
      </c>
      <c r="P175" s="2">
        <f>O175&lt;&gt;"unknown"</f>
        <v/>
      </c>
    </row>
    <row r="176">
      <c r="A176" s="2" t="inlineStr">
        <is>
          <t>1280-on</t>
        </is>
      </c>
      <c r="B176" s="2" t="n">
        <v>1280</v>
      </c>
      <c r="C176" s="2" t="inlineStr">
        <is>
          <t>on</t>
        </is>
      </c>
      <c r="D176" s="2" t="n">
        <v>1228</v>
      </c>
      <c r="E176" s="2" t="inlineStr">
        <is>
          <t>openssl secp256r1 only (classical)</t>
        </is>
      </c>
      <c r="F176" s="2" t="b">
        <v>0</v>
      </c>
      <c r="G176" s="2" t="n">
        <v>15</v>
      </c>
      <c r="H176" s="2" t="n">
        <v>342</v>
      </c>
      <c r="I176" s="2" t="n">
        <v>342</v>
      </c>
      <c r="J176" s="2" t="n">
        <v>342</v>
      </c>
      <c r="K176" s="2">
        <f>H176+5&gt;D176</f>
        <v/>
      </c>
      <c r="L176" s="2">
        <f>J176&lt;I176</f>
        <v/>
      </c>
      <c r="M176" s="2" t="b">
        <v>1</v>
      </c>
      <c r="N176" s="2" t="b">
        <v>1</v>
      </c>
      <c r="O176" s="2" t="inlineStr">
        <is>
          <t>allow</t>
        </is>
      </c>
      <c r="P176" s="2">
        <f>O176&lt;&gt;"unknown"</f>
        <v/>
      </c>
    </row>
    <row r="177">
      <c r="A177" s="2" t="inlineStr">
        <is>
          <t>1280-on</t>
        </is>
      </c>
      <c r="B177" s="2" t="n">
        <v>1280</v>
      </c>
      <c r="C177" s="2" t="inlineStr">
        <is>
          <t>on</t>
        </is>
      </c>
      <c r="D177" s="2" t="n">
        <v>1228</v>
      </c>
      <c r="E177" s="2" t="inlineStr">
        <is>
          <t>openssl secp256r1 only (classical)</t>
        </is>
      </c>
      <c r="F177" s="2" t="b">
        <v>0</v>
      </c>
      <c r="G177" s="2" t="n">
        <v>16</v>
      </c>
      <c r="H177" s="2" t="n">
        <v>342</v>
      </c>
      <c r="I177" s="2" t="n">
        <v>342</v>
      </c>
      <c r="J177" s="2" t="n">
        <v>342</v>
      </c>
      <c r="K177" s="2">
        <f>H177+5&gt;D177</f>
        <v/>
      </c>
      <c r="L177" s="2">
        <f>J177&lt;I177</f>
        <v/>
      </c>
      <c r="M177" s="2" t="b">
        <v>1</v>
      </c>
      <c r="N177" s="2" t="b">
        <v>1</v>
      </c>
      <c r="O177" s="2" t="inlineStr">
        <is>
          <t>allow</t>
        </is>
      </c>
      <c r="P177" s="2">
        <f>O177&lt;&gt;"unknown"</f>
        <v/>
      </c>
    </row>
    <row r="178">
      <c r="A178" s="2" t="inlineStr">
        <is>
          <t>1280-on</t>
        </is>
      </c>
      <c r="B178" s="2" t="n">
        <v>1280</v>
      </c>
      <c r="C178" s="2" t="inlineStr">
        <is>
          <t>on</t>
        </is>
      </c>
      <c r="D178" s="2" t="n">
        <v>1228</v>
      </c>
      <c r="E178" s="2" t="inlineStr">
        <is>
          <t>openssl secp256r1 only (classical)</t>
        </is>
      </c>
      <c r="F178" s="2" t="b">
        <v>0</v>
      </c>
      <c r="G178" s="2" t="n">
        <v>17</v>
      </c>
      <c r="H178" s="2" t="n">
        <v>342</v>
      </c>
      <c r="I178" s="2" t="n">
        <v>342</v>
      </c>
      <c r="J178" s="2" t="n">
        <v>342</v>
      </c>
      <c r="K178" s="2">
        <f>H178+5&gt;D178</f>
        <v/>
      </c>
      <c r="L178" s="2">
        <f>J178&lt;I178</f>
        <v/>
      </c>
      <c r="M178" s="2" t="b">
        <v>1</v>
      </c>
      <c r="N178" s="2" t="b">
        <v>1</v>
      </c>
      <c r="O178" s="2" t="inlineStr">
        <is>
          <t>allow</t>
        </is>
      </c>
      <c r="P178" s="2">
        <f>O178&lt;&gt;"unknown"</f>
        <v/>
      </c>
    </row>
    <row r="179">
      <c r="A179" s="2" t="inlineStr">
        <is>
          <t>1280-on</t>
        </is>
      </c>
      <c r="B179" s="2" t="n">
        <v>1280</v>
      </c>
      <c r="C179" s="2" t="inlineStr">
        <is>
          <t>on</t>
        </is>
      </c>
      <c r="D179" s="2" t="n">
        <v>1228</v>
      </c>
      <c r="E179" s="2" t="inlineStr">
        <is>
          <t>openssl secp256r1 only (classical)</t>
        </is>
      </c>
      <c r="F179" s="2" t="b">
        <v>0</v>
      </c>
      <c r="G179" s="2" t="n">
        <v>18</v>
      </c>
      <c r="H179" s="2" t="n">
        <v>342</v>
      </c>
      <c r="I179" s="2" t="n">
        <v>342</v>
      </c>
      <c r="J179" s="2" t="n">
        <v>342</v>
      </c>
      <c r="K179" s="2">
        <f>H179+5&gt;D179</f>
        <v/>
      </c>
      <c r="L179" s="2">
        <f>J179&lt;I179</f>
        <v/>
      </c>
      <c r="M179" s="2" t="b">
        <v>1</v>
      </c>
      <c r="N179" s="2" t="b">
        <v>1</v>
      </c>
      <c r="O179" s="2" t="inlineStr">
        <is>
          <t>allow</t>
        </is>
      </c>
      <c r="P179" s="2">
        <f>O179&lt;&gt;"unknown"</f>
        <v/>
      </c>
    </row>
    <row r="180">
      <c r="A180" s="2" t="inlineStr">
        <is>
          <t>1280-on</t>
        </is>
      </c>
      <c r="B180" s="2" t="n">
        <v>1280</v>
      </c>
      <c r="C180" s="2" t="inlineStr">
        <is>
          <t>on</t>
        </is>
      </c>
      <c r="D180" s="2" t="n">
        <v>1228</v>
      </c>
      <c r="E180" s="2" t="inlineStr">
        <is>
          <t>openssl secp256r1 only (classical)</t>
        </is>
      </c>
      <c r="F180" s="2" t="b">
        <v>0</v>
      </c>
      <c r="G180" s="2" t="n">
        <v>19</v>
      </c>
      <c r="H180" s="2" t="n">
        <v>342</v>
      </c>
      <c r="I180" s="2" t="n">
        <v>342</v>
      </c>
      <c r="J180" s="2" t="n">
        <v>342</v>
      </c>
      <c r="K180" s="2">
        <f>H180+5&gt;D180</f>
        <v/>
      </c>
      <c r="L180" s="2">
        <f>J180&lt;I180</f>
        <v/>
      </c>
      <c r="M180" s="2" t="b">
        <v>1</v>
      </c>
      <c r="N180" s="2" t="b">
        <v>1</v>
      </c>
      <c r="O180" s="2" t="inlineStr">
        <is>
          <t>allow</t>
        </is>
      </c>
      <c r="P180" s="2">
        <f>O180&lt;&gt;"unknown"</f>
        <v/>
      </c>
    </row>
    <row r="181">
      <c r="A181" s="2" t="inlineStr">
        <is>
          <t>1280-on</t>
        </is>
      </c>
      <c r="B181" s="2" t="n">
        <v>1280</v>
      </c>
      <c r="C181" s="2" t="inlineStr">
        <is>
          <t>on</t>
        </is>
      </c>
      <c r="D181" s="2" t="n">
        <v>1228</v>
      </c>
      <c r="E181" s="2" t="inlineStr">
        <is>
          <t>openssl secp256r1 only (classical)</t>
        </is>
      </c>
      <c r="F181" s="2" t="b">
        <v>0</v>
      </c>
      <c r="G181" s="2" t="n">
        <v>20</v>
      </c>
      <c r="H181" s="2" t="n">
        <v>342</v>
      </c>
      <c r="I181" s="2" t="n">
        <v>342</v>
      </c>
      <c r="J181" s="2" t="n">
        <v>342</v>
      </c>
      <c r="K181" s="2">
        <f>H181+5&gt;D181</f>
        <v/>
      </c>
      <c r="L181" s="2">
        <f>J181&lt;I181</f>
        <v/>
      </c>
      <c r="M181" s="2" t="b">
        <v>1</v>
      </c>
      <c r="N181" s="2" t="b">
        <v>1</v>
      </c>
      <c r="O181" s="2" t="inlineStr">
        <is>
          <t>allow</t>
        </is>
      </c>
      <c r="P181" s="2">
        <f>O181&lt;&gt;"unknown"</f>
        <v/>
      </c>
    </row>
    <row r="182">
      <c r="A182" s="2" t="inlineStr">
        <is>
          <t>1280-on</t>
        </is>
      </c>
      <c r="B182" s="2" t="n">
        <v>1280</v>
      </c>
      <c r="C182" s="2" t="inlineStr">
        <is>
          <t>on</t>
        </is>
      </c>
      <c r="D182" s="2" t="n">
        <v>1228</v>
      </c>
      <c r="E182" s="2" t="inlineStr">
        <is>
          <t>openssl X25519MLKEM768 only</t>
        </is>
      </c>
      <c r="F182" s="2" t="b">
        <v>1</v>
      </c>
      <c r="G182" s="2" t="n">
        <v>1</v>
      </c>
      <c r="H182" s="2" t="n">
        <v>1485</v>
      </c>
      <c r="I182" s="2" t="n">
        <v>1485</v>
      </c>
      <c r="J182" s="2" t="n">
        <v>1223</v>
      </c>
      <c r="K182" s="2">
        <f>H182+5&gt;D182</f>
        <v/>
      </c>
      <c r="L182" s="2">
        <f>J182&lt;I182</f>
        <v/>
      </c>
      <c r="M182" s="2" t="b">
        <v>1</v>
      </c>
      <c r="N182" s="2" t="b">
        <v>1</v>
      </c>
      <c r="O182" s="2" t="inlineStr">
        <is>
          <t>allow</t>
        </is>
      </c>
      <c r="P182" s="2">
        <f>O182&lt;&gt;"unknown"</f>
        <v/>
      </c>
    </row>
    <row r="183">
      <c r="A183" s="2" t="inlineStr">
        <is>
          <t>1280-on</t>
        </is>
      </c>
      <c r="B183" s="2" t="n">
        <v>1280</v>
      </c>
      <c r="C183" s="2" t="inlineStr">
        <is>
          <t>on</t>
        </is>
      </c>
      <c r="D183" s="2" t="n">
        <v>1228</v>
      </c>
      <c r="E183" s="2" t="inlineStr">
        <is>
          <t>openssl X25519MLKEM768 only</t>
        </is>
      </c>
      <c r="F183" s="2" t="b">
        <v>1</v>
      </c>
      <c r="G183" s="2" t="n">
        <v>2</v>
      </c>
      <c r="H183" s="2" t="n">
        <v>1485</v>
      </c>
      <c r="I183" s="2" t="n">
        <v>1485</v>
      </c>
      <c r="J183" s="2" t="n">
        <v>1223</v>
      </c>
      <c r="K183" s="2">
        <f>H183+5&gt;D183</f>
        <v/>
      </c>
      <c r="L183" s="2">
        <f>J183&lt;I183</f>
        <v/>
      </c>
      <c r="M183" s="2" t="b">
        <v>1</v>
      </c>
      <c r="N183" s="2" t="b">
        <v>1</v>
      </c>
      <c r="O183" s="2" t="inlineStr">
        <is>
          <t>allow</t>
        </is>
      </c>
      <c r="P183" s="2">
        <f>O183&lt;&gt;"unknown"</f>
        <v/>
      </c>
    </row>
    <row r="184">
      <c r="A184" s="2" t="inlineStr">
        <is>
          <t>1280-on</t>
        </is>
      </c>
      <c r="B184" s="2" t="n">
        <v>1280</v>
      </c>
      <c r="C184" s="2" t="inlineStr">
        <is>
          <t>on</t>
        </is>
      </c>
      <c r="D184" s="2" t="n">
        <v>1228</v>
      </c>
      <c r="E184" s="2" t="inlineStr">
        <is>
          <t>openssl X25519MLKEM768 only</t>
        </is>
      </c>
      <c r="F184" s="2" t="b">
        <v>1</v>
      </c>
      <c r="G184" s="2" t="n">
        <v>3</v>
      </c>
      <c r="H184" s="2" t="n">
        <v>1485</v>
      </c>
      <c r="I184" s="2" t="n">
        <v>1485</v>
      </c>
      <c r="J184" s="2" t="n">
        <v>1223</v>
      </c>
      <c r="K184" s="2">
        <f>H184+5&gt;D184</f>
        <v/>
      </c>
      <c r="L184" s="2">
        <f>J184&lt;I184</f>
        <v/>
      </c>
      <c r="M184" s="2" t="b">
        <v>1</v>
      </c>
      <c r="N184" s="2" t="b">
        <v>1</v>
      </c>
      <c r="O184" s="2" t="inlineStr">
        <is>
          <t>allow</t>
        </is>
      </c>
      <c r="P184" s="2">
        <f>O184&lt;&gt;"unknown"</f>
        <v/>
      </c>
    </row>
    <row r="185">
      <c r="A185" s="2" t="inlineStr">
        <is>
          <t>1280-on</t>
        </is>
      </c>
      <c r="B185" s="2" t="n">
        <v>1280</v>
      </c>
      <c r="C185" s="2" t="inlineStr">
        <is>
          <t>on</t>
        </is>
      </c>
      <c r="D185" s="2" t="n">
        <v>1228</v>
      </c>
      <c r="E185" s="2" t="inlineStr">
        <is>
          <t>openssl X25519MLKEM768 only</t>
        </is>
      </c>
      <c r="F185" s="2" t="b">
        <v>1</v>
      </c>
      <c r="G185" s="2" t="n">
        <v>4</v>
      </c>
      <c r="H185" s="2" t="n">
        <v>1485</v>
      </c>
      <c r="I185" s="2" t="n">
        <v>1485</v>
      </c>
      <c r="J185" s="2" t="n">
        <v>1223</v>
      </c>
      <c r="K185" s="2">
        <f>H185+5&gt;D185</f>
        <v/>
      </c>
      <c r="L185" s="2">
        <f>J185&lt;I185</f>
        <v/>
      </c>
      <c r="M185" s="2" t="b">
        <v>1</v>
      </c>
      <c r="N185" s="2" t="b">
        <v>1</v>
      </c>
      <c r="O185" s="2" t="inlineStr">
        <is>
          <t>allow</t>
        </is>
      </c>
      <c r="P185" s="2">
        <f>O185&lt;&gt;"unknown"</f>
        <v/>
      </c>
    </row>
    <row r="186">
      <c r="A186" s="2" t="inlineStr">
        <is>
          <t>1280-on</t>
        </is>
      </c>
      <c r="B186" s="2" t="n">
        <v>1280</v>
      </c>
      <c r="C186" s="2" t="inlineStr">
        <is>
          <t>on</t>
        </is>
      </c>
      <c r="D186" s="2" t="n">
        <v>1228</v>
      </c>
      <c r="E186" s="2" t="inlineStr">
        <is>
          <t>openssl X25519MLKEM768 only</t>
        </is>
      </c>
      <c r="F186" s="2" t="b">
        <v>1</v>
      </c>
      <c r="G186" s="2" t="n">
        <v>5</v>
      </c>
      <c r="H186" s="2" t="n">
        <v>1485</v>
      </c>
      <c r="I186" s="2" t="n">
        <v>1485</v>
      </c>
      <c r="J186" s="2" t="n">
        <v>1223</v>
      </c>
      <c r="K186" s="2">
        <f>H186+5&gt;D186</f>
        <v/>
      </c>
      <c r="L186" s="2">
        <f>J186&lt;I186</f>
        <v/>
      </c>
      <c r="M186" s="2" t="b">
        <v>1</v>
      </c>
      <c r="N186" s="2" t="b">
        <v>1</v>
      </c>
      <c r="O186" s="2" t="inlineStr">
        <is>
          <t>allow</t>
        </is>
      </c>
      <c r="P186" s="2">
        <f>O186&lt;&gt;"unknown"</f>
        <v/>
      </c>
    </row>
    <row r="187">
      <c r="A187" s="2" t="inlineStr">
        <is>
          <t>1280-on</t>
        </is>
      </c>
      <c r="B187" s="2" t="n">
        <v>1280</v>
      </c>
      <c r="C187" s="2" t="inlineStr">
        <is>
          <t>on</t>
        </is>
      </c>
      <c r="D187" s="2" t="n">
        <v>1228</v>
      </c>
      <c r="E187" s="2" t="inlineStr">
        <is>
          <t>openssl X25519MLKEM768 only</t>
        </is>
      </c>
      <c r="F187" s="2" t="b">
        <v>1</v>
      </c>
      <c r="G187" s="2" t="n">
        <v>6</v>
      </c>
      <c r="H187" s="2" t="n">
        <v>1485</v>
      </c>
      <c r="I187" s="2" t="n">
        <v>1485</v>
      </c>
      <c r="J187" s="2" t="n">
        <v>1223</v>
      </c>
      <c r="K187" s="2">
        <f>H187+5&gt;D187</f>
        <v/>
      </c>
      <c r="L187" s="2">
        <f>J187&lt;I187</f>
        <v/>
      </c>
      <c r="M187" s="2" t="b">
        <v>1</v>
      </c>
      <c r="N187" s="2" t="b">
        <v>1</v>
      </c>
      <c r="O187" s="2" t="inlineStr">
        <is>
          <t>allow</t>
        </is>
      </c>
      <c r="P187" s="2">
        <f>O187&lt;&gt;"unknown"</f>
        <v/>
      </c>
    </row>
    <row r="188">
      <c r="A188" s="2" t="inlineStr">
        <is>
          <t>1280-on</t>
        </is>
      </c>
      <c r="B188" s="2" t="n">
        <v>1280</v>
      </c>
      <c r="C188" s="2" t="inlineStr">
        <is>
          <t>on</t>
        </is>
      </c>
      <c r="D188" s="2" t="n">
        <v>1228</v>
      </c>
      <c r="E188" s="2" t="inlineStr">
        <is>
          <t>openssl X25519MLKEM768 only</t>
        </is>
      </c>
      <c r="F188" s="2" t="b">
        <v>1</v>
      </c>
      <c r="G188" s="2" t="n">
        <v>7</v>
      </c>
      <c r="H188" s="2" t="n">
        <v>1485</v>
      </c>
      <c r="I188" s="2" t="n">
        <v>1485</v>
      </c>
      <c r="J188" s="2" t="n">
        <v>1223</v>
      </c>
      <c r="K188" s="2">
        <f>H188+5&gt;D188</f>
        <v/>
      </c>
      <c r="L188" s="2">
        <f>J188&lt;I188</f>
        <v/>
      </c>
      <c r="M188" s="2" t="b">
        <v>1</v>
      </c>
      <c r="N188" s="2" t="b">
        <v>1</v>
      </c>
      <c r="O188" s="2" t="inlineStr">
        <is>
          <t>allow</t>
        </is>
      </c>
      <c r="P188" s="2">
        <f>O188&lt;&gt;"unknown"</f>
        <v/>
      </c>
    </row>
    <row r="189">
      <c r="A189" s="2" t="inlineStr">
        <is>
          <t>1280-on</t>
        </is>
      </c>
      <c r="B189" s="2" t="n">
        <v>1280</v>
      </c>
      <c r="C189" s="2" t="inlineStr">
        <is>
          <t>on</t>
        </is>
      </c>
      <c r="D189" s="2" t="n">
        <v>1228</v>
      </c>
      <c r="E189" s="2" t="inlineStr">
        <is>
          <t>openssl X25519MLKEM768 only</t>
        </is>
      </c>
      <c r="F189" s="2" t="b">
        <v>1</v>
      </c>
      <c r="G189" s="2" t="n">
        <v>8</v>
      </c>
      <c r="H189" s="2" t="n">
        <v>1485</v>
      </c>
      <c r="I189" s="2" t="n">
        <v>1485</v>
      </c>
      <c r="J189" s="2" t="n">
        <v>1223</v>
      </c>
      <c r="K189" s="2">
        <f>H189+5&gt;D189</f>
        <v/>
      </c>
      <c r="L189" s="2">
        <f>J189&lt;I189</f>
        <v/>
      </c>
      <c r="M189" s="2" t="b">
        <v>1</v>
      </c>
      <c r="N189" s="2" t="b">
        <v>1</v>
      </c>
      <c r="O189" s="2" t="inlineStr">
        <is>
          <t>allow</t>
        </is>
      </c>
      <c r="P189" s="2">
        <f>O189&lt;&gt;"unknown"</f>
        <v/>
      </c>
    </row>
    <row r="190">
      <c r="A190" s="2" t="inlineStr">
        <is>
          <t>1280-on</t>
        </is>
      </c>
      <c r="B190" s="2" t="n">
        <v>1280</v>
      </c>
      <c r="C190" s="2" t="inlineStr">
        <is>
          <t>on</t>
        </is>
      </c>
      <c r="D190" s="2" t="n">
        <v>1228</v>
      </c>
      <c r="E190" s="2" t="inlineStr">
        <is>
          <t>openssl X25519MLKEM768 only</t>
        </is>
      </c>
      <c r="F190" s="2" t="b">
        <v>1</v>
      </c>
      <c r="G190" s="2" t="n">
        <v>9</v>
      </c>
      <c r="H190" s="2" t="n">
        <v>1485</v>
      </c>
      <c r="I190" s="2" t="n">
        <v>1485</v>
      </c>
      <c r="J190" s="2" t="n">
        <v>1223</v>
      </c>
      <c r="K190" s="2">
        <f>H190+5&gt;D190</f>
        <v/>
      </c>
      <c r="L190" s="2">
        <f>J190&lt;I190</f>
        <v/>
      </c>
      <c r="M190" s="2" t="b">
        <v>1</v>
      </c>
      <c r="N190" s="2" t="b">
        <v>1</v>
      </c>
      <c r="O190" s="2" t="inlineStr">
        <is>
          <t>allow</t>
        </is>
      </c>
      <c r="P190" s="2">
        <f>O190&lt;&gt;"unknown"</f>
        <v/>
      </c>
    </row>
    <row r="191">
      <c r="A191" s="2" t="inlineStr">
        <is>
          <t>1280-on</t>
        </is>
      </c>
      <c r="B191" s="2" t="n">
        <v>1280</v>
      </c>
      <c r="C191" s="2" t="inlineStr">
        <is>
          <t>on</t>
        </is>
      </c>
      <c r="D191" s="2" t="n">
        <v>1228</v>
      </c>
      <c r="E191" s="2" t="inlineStr">
        <is>
          <t>openssl X25519MLKEM768 only</t>
        </is>
      </c>
      <c r="F191" s="2" t="b">
        <v>1</v>
      </c>
      <c r="G191" s="2" t="n">
        <v>10</v>
      </c>
      <c r="H191" s="2" t="n">
        <v>1485</v>
      </c>
      <c r="I191" s="2" t="n">
        <v>1485</v>
      </c>
      <c r="J191" s="2" t="n">
        <v>1223</v>
      </c>
      <c r="K191" s="2">
        <f>H191+5&gt;D191</f>
        <v/>
      </c>
      <c r="L191" s="2">
        <f>J191&lt;I191</f>
        <v/>
      </c>
      <c r="M191" s="2" t="b">
        <v>1</v>
      </c>
      <c r="N191" s="2" t="b">
        <v>1</v>
      </c>
      <c r="O191" s="2" t="inlineStr">
        <is>
          <t>allow</t>
        </is>
      </c>
      <c r="P191" s="2">
        <f>O191&lt;&gt;"unknown"</f>
        <v/>
      </c>
    </row>
    <row r="192">
      <c r="A192" s="2" t="inlineStr">
        <is>
          <t>1280-on</t>
        </is>
      </c>
      <c r="B192" s="2" t="n">
        <v>1280</v>
      </c>
      <c r="C192" s="2" t="inlineStr">
        <is>
          <t>on</t>
        </is>
      </c>
      <c r="D192" s="2" t="n">
        <v>1228</v>
      </c>
      <c r="E192" s="2" t="inlineStr">
        <is>
          <t>openssl X25519MLKEM768 only</t>
        </is>
      </c>
      <c r="F192" s="2" t="b">
        <v>1</v>
      </c>
      <c r="G192" s="2" t="n">
        <v>11</v>
      </c>
      <c r="H192" s="2" t="n">
        <v>1485</v>
      </c>
      <c r="I192" s="2" t="n">
        <v>1485</v>
      </c>
      <c r="J192" s="2" t="n">
        <v>1223</v>
      </c>
      <c r="K192" s="2">
        <f>H192+5&gt;D192</f>
        <v/>
      </c>
      <c r="L192" s="2">
        <f>J192&lt;I192</f>
        <v/>
      </c>
      <c r="M192" s="2" t="b">
        <v>1</v>
      </c>
      <c r="N192" s="2" t="b">
        <v>1</v>
      </c>
      <c r="O192" s="2" t="inlineStr">
        <is>
          <t>allow</t>
        </is>
      </c>
      <c r="P192" s="2">
        <f>O192&lt;&gt;"unknown"</f>
        <v/>
      </c>
    </row>
    <row r="193">
      <c r="A193" s="2" t="inlineStr">
        <is>
          <t>1280-on</t>
        </is>
      </c>
      <c r="B193" s="2" t="n">
        <v>1280</v>
      </c>
      <c r="C193" s="2" t="inlineStr">
        <is>
          <t>on</t>
        </is>
      </c>
      <c r="D193" s="2" t="n">
        <v>1228</v>
      </c>
      <c r="E193" s="2" t="inlineStr">
        <is>
          <t>openssl X25519MLKEM768 only</t>
        </is>
      </c>
      <c r="F193" s="2" t="b">
        <v>1</v>
      </c>
      <c r="G193" s="2" t="n">
        <v>12</v>
      </c>
      <c r="H193" s="2" t="n">
        <v>1485</v>
      </c>
      <c r="I193" s="2" t="n">
        <v>1485</v>
      </c>
      <c r="J193" s="2" t="n">
        <v>1223</v>
      </c>
      <c r="K193" s="2">
        <f>H193+5&gt;D193</f>
        <v/>
      </c>
      <c r="L193" s="2">
        <f>J193&lt;I193</f>
        <v/>
      </c>
      <c r="M193" s="2" t="b">
        <v>1</v>
      </c>
      <c r="N193" s="2" t="b">
        <v>1</v>
      </c>
      <c r="O193" s="2" t="inlineStr">
        <is>
          <t>allow</t>
        </is>
      </c>
      <c r="P193" s="2">
        <f>O193&lt;&gt;"unknown"</f>
        <v/>
      </c>
    </row>
    <row r="194">
      <c r="A194" s="2" t="inlineStr">
        <is>
          <t>1280-on</t>
        </is>
      </c>
      <c r="B194" s="2" t="n">
        <v>1280</v>
      </c>
      <c r="C194" s="2" t="inlineStr">
        <is>
          <t>on</t>
        </is>
      </c>
      <c r="D194" s="2" t="n">
        <v>1228</v>
      </c>
      <c r="E194" s="2" t="inlineStr">
        <is>
          <t>openssl X25519MLKEM768 only</t>
        </is>
      </c>
      <c r="F194" s="2" t="b">
        <v>1</v>
      </c>
      <c r="G194" s="2" t="n">
        <v>13</v>
      </c>
      <c r="H194" s="2" t="n">
        <v>1485</v>
      </c>
      <c r="I194" s="2" t="n">
        <v>1485</v>
      </c>
      <c r="J194" s="2" t="n">
        <v>1223</v>
      </c>
      <c r="K194" s="2">
        <f>H194+5&gt;D194</f>
        <v/>
      </c>
      <c r="L194" s="2">
        <f>J194&lt;I194</f>
        <v/>
      </c>
      <c r="M194" s="2" t="b">
        <v>1</v>
      </c>
      <c r="N194" s="2" t="b">
        <v>1</v>
      </c>
      <c r="O194" s="2" t="inlineStr">
        <is>
          <t>allow</t>
        </is>
      </c>
      <c r="P194" s="2">
        <f>O194&lt;&gt;"unknown"</f>
        <v/>
      </c>
    </row>
    <row r="195">
      <c r="A195" s="2" t="inlineStr">
        <is>
          <t>1280-on</t>
        </is>
      </c>
      <c r="B195" s="2" t="n">
        <v>1280</v>
      </c>
      <c r="C195" s="2" t="inlineStr">
        <is>
          <t>on</t>
        </is>
      </c>
      <c r="D195" s="2" t="n">
        <v>1228</v>
      </c>
      <c r="E195" s="2" t="inlineStr">
        <is>
          <t>openssl X25519MLKEM768 only</t>
        </is>
      </c>
      <c r="F195" s="2" t="b">
        <v>1</v>
      </c>
      <c r="G195" s="2" t="n">
        <v>14</v>
      </c>
      <c r="H195" s="2" t="n">
        <v>1485</v>
      </c>
      <c r="I195" s="2" t="n">
        <v>1485</v>
      </c>
      <c r="J195" s="2" t="n">
        <v>1223</v>
      </c>
      <c r="K195" s="2">
        <f>H195+5&gt;D195</f>
        <v/>
      </c>
      <c r="L195" s="2">
        <f>J195&lt;I195</f>
        <v/>
      </c>
      <c r="M195" s="2" t="b">
        <v>1</v>
      </c>
      <c r="N195" s="2" t="b">
        <v>1</v>
      </c>
      <c r="O195" s="2" t="inlineStr">
        <is>
          <t>allow</t>
        </is>
      </c>
      <c r="P195" s="2">
        <f>O195&lt;&gt;"unknown"</f>
        <v/>
      </c>
    </row>
    <row r="196">
      <c r="A196" s="2" t="inlineStr">
        <is>
          <t>1280-on</t>
        </is>
      </c>
      <c r="B196" s="2" t="n">
        <v>1280</v>
      </c>
      <c r="C196" s="2" t="inlineStr">
        <is>
          <t>on</t>
        </is>
      </c>
      <c r="D196" s="2" t="n">
        <v>1228</v>
      </c>
      <c r="E196" s="2" t="inlineStr">
        <is>
          <t>openssl X25519MLKEM768 only</t>
        </is>
      </c>
      <c r="F196" s="2" t="b">
        <v>1</v>
      </c>
      <c r="G196" s="2" t="n">
        <v>15</v>
      </c>
      <c r="H196" s="2" t="n">
        <v>1485</v>
      </c>
      <c r="I196" s="2" t="n">
        <v>1485</v>
      </c>
      <c r="J196" s="2" t="n">
        <v>1223</v>
      </c>
      <c r="K196" s="2">
        <f>H196+5&gt;D196</f>
        <v/>
      </c>
      <c r="L196" s="2">
        <f>J196&lt;I196</f>
        <v/>
      </c>
      <c r="M196" s="2" t="b">
        <v>1</v>
      </c>
      <c r="N196" s="2" t="b">
        <v>1</v>
      </c>
      <c r="O196" s="2" t="inlineStr">
        <is>
          <t>allow</t>
        </is>
      </c>
      <c r="P196" s="2">
        <f>O196&lt;&gt;"unknown"</f>
        <v/>
      </c>
    </row>
    <row r="197">
      <c r="A197" s="2" t="inlineStr">
        <is>
          <t>1280-on</t>
        </is>
      </c>
      <c r="B197" s="2" t="n">
        <v>1280</v>
      </c>
      <c r="C197" s="2" t="inlineStr">
        <is>
          <t>on</t>
        </is>
      </c>
      <c r="D197" s="2" t="n">
        <v>1228</v>
      </c>
      <c r="E197" s="2" t="inlineStr">
        <is>
          <t>openssl X25519MLKEM768 only</t>
        </is>
      </c>
      <c r="F197" s="2" t="b">
        <v>1</v>
      </c>
      <c r="G197" s="2" t="n">
        <v>16</v>
      </c>
      <c r="H197" s="2" t="n">
        <v>1485</v>
      </c>
      <c r="I197" s="2" t="n">
        <v>1485</v>
      </c>
      <c r="J197" s="2" t="n">
        <v>1223</v>
      </c>
      <c r="K197" s="2">
        <f>H197+5&gt;D197</f>
        <v/>
      </c>
      <c r="L197" s="2">
        <f>J197&lt;I197</f>
        <v/>
      </c>
      <c r="M197" s="2" t="b">
        <v>1</v>
      </c>
      <c r="N197" s="2" t="b">
        <v>1</v>
      </c>
      <c r="O197" s="2" t="inlineStr">
        <is>
          <t>allow</t>
        </is>
      </c>
      <c r="P197" s="2">
        <f>O197&lt;&gt;"unknown"</f>
        <v/>
      </c>
    </row>
    <row r="198">
      <c r="A198" s="2" t="inlineStr">
        <is>
          <t>1280-on</t>
        </is>
      </c>
      <c r="B198" s="2" t="n">
        <v>1280</v>
      </c>
      <c r="C198" s="2" t="inlineStr">
        <is>
          <t>on</t>
        </is>
      </c>
      <c r="D198" s="2" t="n">
        <v>1228</v>
      </c>
      <c r="E198" s="2" t="inlineStr">
        <is>
          <t>openssl X25519MLKEM768 only</t>
        </is>
      </c>
      <c r="F198" s="2" t="b">
        <v>1</v>
      </c>
      <c r="G198" s="2" t="n">
        <v>17</v>
      </c>
      <c r="H198" s="2" t="n">
        <v>1485</v>
      </c>
      <c r="I198" s="2" t="n">
        <v>1485</v>
      </c>
      <c r="J198" s="2" t="n">
        <v>1223</v>
      </c>
      <c r="K198" s="2">
        <f>H198+5&gt;D198</f>
        <v/>
      </c>
      <c r="L198" s="2">
        <f>J198&lt;I198</f>
        <v/>
      </c>
      <c r="M198" s="2" t="b">
        <v>1</v>
      </c>
      <c r="N198" s="2" t="b">
        <v>1</v>
      </c>
      <c r="O198" s="2" t="inlineStr">
        <is>
          <t>allow</t>
        </is>
      </c>
      <c r="P198" s="2">
        <f>O198&lt;&gt;"unknown"</f>
        <v/>
      </c>
    </row>
    <row r="199">
      <c r="A199" s="2" t="inlineStr">
        <is>
          <t>1280-on</t>
        </is>
      </c>
      <c r="B199" s="2" t="n">
        <v>1280</v>
      </c>
      <c r="C199" s="2" t="inlineStr">
        <is>
          <t>on</t>
        </is>
      </c>
      <c r="D199" s="2" t="n">
        <v>1228</v>
      </c>
      <c r="E199" s="2" t="inlineStr">
        <is>
          <t>openssl X25519MLKEM768 only</t>
        </is>
      </c>
      <c r="F199" s="2" t="b">
        <v>1</v>
      </c>
      <c r="G199" s="2" t="n">
        <v>18</v>
      </c>
      <c r="H199" s="2" t="n">
        <v>1485</v>
      </c>
      <c r="I199" s="2" t="n">
        <v>1485</v>
      </c>
      <c r="J199" s="2" t="n">
        <v>1223</v>
      </c>
      <c r="K199" s="2">
        <f>H199+5&gt;D199</f>
        <v/>
      </c>
      <c r="L199" s="2">
        <f>J199&lt;I199</f>
        <v/>
      </c>
      <c r="M199" s="2" t="b">
        <v>1</v>
      </c>
      <c r="N199" s="2" t="b">
        <v>1</v>
      </c>
      <c r="O199" s="2" t="inlineStr">
        <is>
          <t>allow</t>
        </is>
      </c>
      <c r="P199" s="2">
        <f>O199&lt;&gt;"unknown"</f>
        <v/>
      </c>
    </row>
    <row r="200">
      <c r="A200" s="2" t="inlineStr">
        <is>
          <t>1280-on</t>
        </is>
      </c>
      <c r="B200" s="2" t="n">
        <v>1280</v>
      </c>
      <c r="C200" s="2" t="inlineStr">
        <is>
          <t>on</t>
        </is>
      </c>
      <c r="D200" s="2" t="n">
        <v>1228</v>
      </c>
      <c r="E200" s="2" t="inlineStr">
        <is>
          <t>openssl X25519MLKEM768 only</t>
        </is>
      </c>
      <c r="F200" s="2" t="b">
        <v>1</v>
      </c>
      <c r="G200" s="2" t="n">
        <v>19</v>
      </c>
      <c r="H200" s="2" t="n">
        <v>1485</v>
      </c>
      <c r="I200" s="2" t="n">
        <v>1485</v>
      </c>
      <c r="J200" s="2" t="n">
        <v>1223</v>
      </c>
      <c r="K200" s="2">
        <f>H200+5&gt;D200</f>
        <v/>
      </c>
      <c r="L200" s="2">
        <f>J200&lt;I200</f>
        <v/>
      </c>
      <c r="M200" s="2" t="b">
        <v>1</v>
      </c>
      <c r="N200" s="2" t="b">
        <v>1</v>
      </c>
      <c r="O200" s="2" t="inlineStr">
        <is>
          <t>allow</t>
        </is>
      </c>
      <c r="P200" s="2">
        <f>O200&lt;&gt;"unknown"</f>
        <v/>
      </c>
    </row>
    <row r="201">
      <c r="A201" s="2" t="inlineStr">
        <is>
          <t>1280-on</t>
        </is>
      </c>
      <c r="B201" s="2" t="n">
        <v>1280</v>
      </c>
      <c r="C201" s="2" t="inlineStr">
        <is>
          <t>on</t>
        </is>
      </c>
      <c r="D201" s="2" t="n">
        <v>1228</v>
      </c>
      <c r="E201" s="2" t="inlineStr">
        <is>
          <t>openssl X25519MLKEM768 only</t>
        </is>
      </c>
      <c r="F201" s="2" t="b">
        <v>1</v>
      </c>
      <c r="G201" s="2" t="n">
        <v>20</v>
      </c>
      <c r="H201" s="2" t="n">
        <v>1485</v>
      </c>
      <c r="I201" s="2" t="n">
        <v>1485</v>
      </c>
      <c r="J201" s="2" t="n">
        <v>1223</v>
      </c>
      <c r="K201" s="2">
        <f>H201+5&gt;D201</f>
        <v/>
      </c>
      <c r="L201" s="2">
        <f>J201&lt;I201</f>
        <v/>
      </c>
      <c r="M201" s="2" t="b">
        <v>1</v>
      </c>
      <c r="N201" s="2" t="b">
        <v>1</v>
      </c>
      <c r="O201" s="2" t="inlineStr">
        <is>
          <t>allow</t>
        </is>
      </c>
      <c r="P201" s="2">
        <f>O201&lt;&gt;"unknown"</f>
        <v/>
      </c>
    </row>
    <row r="202">
      <c r="A202" s="2" t="inlineStr">
        <is>
          <t>1280-on</t>
        </is>
      </c>
      <c r="B202" s="2" t="n">
        <v>1280</v>
      </c>
      <c r="C202" s="2" t="inlineStr">
        <is>
          <t>on</t>
        </is>
      </c>
      <c r="D202" s="2" t="n">
        <v>1228</v>
      </c>
      <c r="E202" s="2" t="inlineStr">
        <is>
          <t>openssl SecP256r1MLKEM768</t>
        </is>
      </c>
      <c r="F202" s="2" t="b">
        <v>1</v>
      </c>
      <c r="G202" s="2" t="n">
        <v>1</v>
      </c>
      <c r="H202" s="2" t="n">
        <v>1518</v>
      </c>
      <c r="I202" s="2" t="n">
        <v>1518</v>
      </c>
      <c r="J202" s="2" t="n">
        <v>1223</v>
      </c>
      <c r="K202" s="2">
        <f>H202+5&gt;D202</f>
        <v/>
      </c>
      <c r="L202" s="2">
        <f>J202&lt;I202</f>
        <v/>
      </c>
      <c r="M202" s="2" t="b">
        <v>1</v>
      </c>
      <c r="N202" s="2" t="b">
        <v>1</v>
      </c>
      <c r="O202" s="2" t="inlineStr">
        <is>
          <t>allow</t>
        </is>
      </c>
      <c r="P202" s="2">
        <f>O202&lt;&gt;"unknown"</f>
        <v/>
      </c>
    </row>
    <row r="203">
      <c r="A203" s="2" t="inlineStr">
        <is>
          <t>1280-on</t>
        </is>
      </c>
      <c r="B203" s="2" t="n">
        <v>1280</v>
      </c>
      <c r="C203" s="2" t="inlineStr">
        <is>
          <t>on</t>
        </is>
      </c>
      <c r="D203" s="2" t="n">
        <v>1228</v>
      </c>
      <c r="E203" s="2" t="inlineStr">
        <is>
          <t>openssl SecP256r1MLKEM768</t>
        </is>
      </c>
      <c r="F203" s="2" t="b">
        <v>1</v>
      </c>
      <c r="G203" s="2" t="n">
        <v>2</v>
      </c>
      <c r="H203" s="2" t="n">
        <v>1518</v>
      </c>
      <c r="I203" s="2" t="n">
        <v>1518</v>
      </c>
      <c r="J203" s="2" t="n">
        <v>1223</v>
      </c>
      <c r="K203" s="2">
        <f>H203+5&gt;D203</f>
        <v/>
      </c>
      <c r="L203" s="2">
        <f>J203&lt;I203</f>
        <v/>
      </c>
      <c r="M203" s="2" t="b">
        <v>1</v>
      </c>
      <c r="N203" s="2" t="b">
        <v>1</v>
      </c>
      <c r="O203" s="2" t="inlineStr">
        <is>
          <t>allow</t>
        </is>
      </c>
      <c r="P203" s="2">
        <f>O203&lt;&gt;"unknown"</f>
        <v/>
      </c>
    </row>
    <row r="204">
      <c r="A204" s="2" t="inlineStr">
        <is>
          <t>1280-on</t>
        </is>
      </c>
      <c r="B204" s="2" t="n">
        <v>1280</v>
      </c>
      <c r="C204" s="2" t="inlineStr">
        <is>
          <t>on</t>
        </is>
      </c>
      <c r="D204" s="2" t="n">
        <v>1228</v>
      </c>
      <c r="E204" s="2" t="inlineStr">
        <is>
          <t>openssl SecP256r1MLKEM768</t>
        </is>
      </c>
      <c r="F204" s="2" t="b">
        <v>1</v>
      </c>
      <c r="G204" s="2" t="n">
        <v>3</v>
      </c>
      <c r="H204" s="2" t="n">
        <v>1518</v>
      </c>
      <c r="I204" s="2" t="n">
        <v>1518</v>
      </c>
      <c r="J204" s="2" t="n">
        <v>1223</v>
      </c>
      <c r="K204" s="2">
        <f>H204+5&gt;D204</f>
        <v/>
      </c>
      <c r="L204" s="2">
        <f>J204&lt;I204</f>
        <v/>
      </c>
      <c r="M204" s="2" t="b">
        <v>1</v>
      </c>
      <c r="N204" s="2" t="b">
        <v>1</v>
      </c>
      <c r="O204" s="2" t="inlineStr">
        <is>
          <t>allow</t>
        </is>
      </c>
      <c r="P204" s="2">
        <f>O204&lt;&gt;"unknown"</f>
        <v/>
      </c>
    </row>
    <row r="205">
      <c r="A205" s="2" t="inlineStr">
        <is>
          <t>1280-on</t>
        </is>
      </c>
      <c r="B205" s="2" t="n">
        <v>1280</v>
      </c>
      <c r="C205" s="2" t="inlineStr">
        <is>
          <t>on</t>
        </is>
      </c>
      <c r="D205" s="2" t="n">
        <v>1228</v>
      </c>
      <c r="E205" s="2" t="inlineStr">
        <is>
          <t>openssl SecP256r1MLKEM768</t>
        </is>
      </c>
      <c r="F205" s="2" t="b">
        <v>1</v>
      </c>
      <c r="G205" s="2" t="n">
        <v>4</v>
      </c>
      <c r="H205" s="2" t="n">
        <v>1518</v>
      </c>
      <c r="I205" s="2" t="n">
        <v>1518</v>
      </c>
      <c r="J205" s="2" t="n">
        <v>1223</v>
      </c>
      <c r="K205" s="2">
        <f>H205+5&gt;D205</f>
        <v/>
      </c>
      <c r="L205" s="2">
        <f>J205&lt;I205</f>
        <v/>
      </c>
      <c r="M205" s="2" t="b">
        <v>1</v>
      </c>
      <c r="N205" s="2" t="b">
        <v>1</v>
      </c>
      <c r="O205" s="2" t="inlineStr">
        <is>
          <t>allow</t>
        </is>
      </c>
      <c r="P205" s="2">
        <f>O205&lt;&gt;"unknown"</f>
        <v/>
      </c>
    </row>
    <row r="206">
      <c r="A206" s="2" t="inlineStr">
        <is>
          <t>1280-on</t>
        </is>
      </c>
      <c r="B206" s="2" t="n">
        <v>1280</v>
      </c>
      <c r="C206" s="2" t="inlineStr">
        <is>
          <t>on</t>
        </is>
      </c>
      <c r="D206" s="2" t="n">
        <v>1228</v>
      </c>
      <c r="E206" s="2" t="inlineStr">
        <is>
          <t>openssl SecP256r1MLKEM768</t>
        </is>
      </c>
      <c r="F206" s="2" t="b">
        <v>1</v>
      </c>
      <c r="G206" s="2" t="n">
        <v>5</v>
      </c>
      <c r="H206" s="2" t="n">
        <v>1518</v>
      </c>
      <c r="I206" s="2" t="n">
        <v>1518</v>
      </c>
      <c r="J206" s="2" t="n">
        <v>1223</v>
      </c>
      <c r="K206" s="2">
        <f>H206+5&gt;D206</f>
        <v/>
      </c>
      <c r="L206" s="2">
        <f>J206&lt;I206</f>
        <v/>
      </c>
      <c r="M206" s="2" t="b">
        <v>1</v>
      </c>
      <c r="N206" s="2" t="b">
        <v>1</v>
      </c>
      <c r="O206" s="2" t="inlineStr">
        <is>
          <t>allow</t>
        </is>
      </c>
      <c r="P206" s="2">
        <f>O206&lt;&gt;"unknown"</f>
        <v/>
      </c>
    </row>
    <row r="207">
      <c r="A207" s="2" t="inlineStr">
        <is>
          <t>1280-on</t>
        </is>
      </c>
      <c r="B207" s="2" t="n">
        <v>1280</v>
      </c>
      <c r="C207" s="2" t="inlineStr">
        <is>
          <t>on</t>
        </is>
      </c>
      <c r="D207" s="2" t="n">
        <v>1228</v>
      </c>
      <c r="E207" s="2" t="inlineStr">
        <is>
          <t>openssl SecP256r1MLKEM768</t>
        </is>
      </c>
      <c r="F207" s="2" t="b">
        <v>1</v>
      </c>
      <c r="G207" s="2" t="n">
        <v>6</v>
      </c>
      <c r="H207" s="2" t="n">
        <v>1518</v>
      </c>
      <c r="I207" s="2" t="n">
        <v>1518</v>
      </c>
      <c r="J207" s="2" t="n">
        <v>1223</v>
      </c>
      <c r="K207" s="2">
        <f>H207+5&gt;D207</f>
        <v/>
      </c>
      <c r="L207" s="2">
        <f>J207&lt;I207</f>
        <v/>
      </c>
      <c r="M207" s="2" t="b">
        <v>1</v>
      </c>
      <c r="N207" s="2" t="b">
        <v>1</v>
      </c>
      <c r="O207" s="2" t="inlineStr">
        <is>
          <t>allow</t>
        </is>
      </c>
      <c r="P207" s="2">
        <f>O207&lt;&gt;"unknown"</f>
        <v/>
      </c>
    </row>
    <row r="208">
      <c r="A208" s="2" t="inlineStr">
        <is>
          <t>1280-on</t>
        </is>
      </c>
      <c r="B208" s="2" t="n">
        <v>1280</v>
      </c>
      <c r="C208" s="2" t="inlineStr">
        <is>
          <t>on</t>
        </is>
      </c>
      <c r="D208" s="2" t="n">
        <v>1228</v>
      </c>
      <c r="E208" s="2" t="inlineStr">
        <is>
          <t>openssl SecP256r1MLKEM768</t>
        </is>
      </c>
      <c r="F208" s="2" t="b">
        <v>1</v>
      </c>
      <c r="G208" s="2" t="n">
        <v>7</v>
      </c>
      <c r="H208" s="2" t="n">
        <v>1518</v>
      </c>
      <c r="I208" s="2" t="n">
        <v>1518</v>
      </c>
      <c r="J208" s="2" t="n">
        <v>1223</v>
      </c>
      <c r="K208" s="2">
        <f>H208+5&gt;D208</f>
        <v/>
      </c>
      <c r="L208" s="2">
        <f>J208&lt;I208</f>
        <v/>
      </c>
      <c r="M208" s="2" t="b">
        <v>1</v>
      </c>
      <c r="N208" s="2" t="b">
        <v>1</v>
      </c>
      <c r="O208" s="2" t="inlineStr">
        <is>
          <t>allow</t>
        </is>
      </c>
      <c r="P208" s="2">
        <f>O208&lt;&gt;"unknown"</f>
        <v/>
      </c>
    </row>
    <row r="209">
      <c r="A209" s="2" t="inlineStr">
        <is>
          <t>1280-on</t>
        </is>
      </c>
      <c r="B209" s="2" t="n">
        <v>1280</v>
      </c>
      <c r="C209" s="2" t="inlineStr">
        <is>
          <t>on</t>
        </is>
      </c>
      <c r="D209" s="2" t="n">
        <v>1228</v>
      </c>
      <c r="E209" s="2" t="inlineStr">
        <is>
          <t>openssl SecP256r1MLKEM768</t>
        </is>
      </c>
      <c r="F209" s="2" t="b">
        <v>1</v>
      </c>
      <c r="G209" s="2" t="n">
        <v>8</v>
      </c>
      <c r="H209" s="2" t="n">
        <v>1518</v>
      </c>
      <c r="I209" s="2" t="n">
        <v>1518</v>
      </c>
      <c r="J209" s="2" t="n">
        <v>1223</v>
      </c>
      <c r="K209" s="2">
        <f>H209+5&gt;D209</f>
        <v/>
      </c>
      <c r="L209" s="2">
        <f>J209&lt;I209</f>
        <v/>
      </c>
      <c r="M209" s="2" t="b">
        <v>1</v>
      </c>
      <c r="N209" s="2" t="b">
        <v>1</v>
      </c>
      <c r="O209" s="2" t="inlineStr">
        <is>
          <t>allow</t>
        </is>
      </c>
      <c r="P209" s="2">
        <f>O209&lt;&gt;"unknown"</f>
        <v/>
      </c>
    </row>
    <row r="210">
      <c r="A210" s="2" t="inlineStr">
        <is>
          <t>1280-on</t>
        </is>
      </c>
      <c r="B210" s="2" t="n">
        <v>1280</v>
      </c>
      <c r="C210" s="2" t="inlineStr">
        <is>
          <t>on</t>
        </is>
      </c>
      <c r="D210" s="2" t="n">
        <v>1228</v>
      </c>
      <c r="E210" s="2" t="inlineStr">
        <is>
          <t>openssl SecP256r1MLKEM768</t>
        </is>
      </c>
      <c r="F210" s="2" t="b">
        <v>1</v>
      </c>
      <c r="G210" s="2" t="n">
        <v>9</v>
      </c>
      <c r="H210" s="2" t="n">
        <v>1518</v>
      </c>
      <c r="I210" s="2" t="n">
        <v>1518</v>
      </c>
      <c r="J210" s="2" t="n">
        <v>1223</v>
      </c>
      <c r="K210" s="2">
        <f>H210+5&gt;D210</f>
        <v/>
      </c>
      <c r="L210" s="2">
        <f>J210&lt;I210</f>
        <v/>
      </c>
      <c r="M210" s="2" t="b">
        <v>1</v>
      </c>
      <c r="N210" s="2" t="b">
        <v>1</v>
      </c>
      <c r="O210" s="2" t="inlineStr">
        <is>
          <t>allow</t>
        </is>
      </c>
      <c r="P210" s="2">
        <f>O210&lt;&gt;"unknown"</f>
        <v/>
      </c>
    </row>
    <row r="211">
      <c r="A211" s="2" t="inlineStr">
        <is>
          <t>1280-on</t>
        </is>
      </c>
      <c r="B211" s="2" t="n">
        <v>1280</v>
      </c>
      <c r="C211" s="2" t="inlineStr">
        <is>
          <t>on</t>
        </is>
      </c>
      <c r="D211" s="2" t="n">
        <v>1228</v>
      </c>
      <c r="E211" s="2" t="inlineStr">
        <is>
          <t>openssl SecP256r1MLKEM768</t>
        </is>
      </c>
      <c r="F211" s="2" t="b">
        <v>1</v>
      </c>
      <c r="G211" s="2" t="n">
        <v>10</v>
      </c>
      <c r="H211" s="2" t="n">
        <v>1518</v>
      </c>
      <c r="I211" s="2" t="n">
        <v>1518</v>
      </c>
      <c r="J211" s="2" t="n">
        <v>1223</v>
      </c>
      <c r="K211" s="2">
        <f>H211+5&gt;D211</f>
        <v/>
      </c>
      <c r="L211" s="2">
        <f>J211&lt;I211</f>
        <v/>
      </c>
      <c r="M211" s="2" t="b">
        <v>1</v>
      </c>
      <c r="N211" s="2" t="b">
        <v>1</v>
      </c>
      <c r="O211" s="2" t="inlineStr">
        <is>
          <t>allow</t>
        </is>
      </c>
      <c r="P211" s="2">
        <f>O211&lt;&gt;"unknown"</f>
        <v/>
      </c>
    </row>
    <row r="212">
      <c r="A212" s="2" t="inlineStr">
        <is>
          <t>1280-on</t>
        </is>
      </c>
      <c r="B212" s="2" t="n">
        <v>1280</v>
      </c>
      <c r="C212" s="2" t="inlineStr">
        <is>
          <t>on</t>
        </is>
      </c>
      <c r="D212" s="2" t="n">
        <v>1228</v>
      </c>
      <c r="E212" s="2" t="inlineStr">
        <is>
          <t>openssl SecP256r1MLKEM768</t>
        </is>
      </c>
      <c r="F212" s="2" t="b">
        <v>1</v>
      </c>
      <c r="G212" s="2" t="n">
        <v>11</v>
      </c>
      <c r="H212" s="2" t="n">
        <v>1518</v>
      </c>
      <c r="I212" s="2" t="n">
        <v>1518</v>
      </c>
      <c r="J212" s="2" t="n">
        <v>1223</v>
      </c>
      <c r="K212" s="2">
        <f>H212+5&gt;D212</f>
        <v/>
      </c>
      <c r="L212" s="2">
        <f>J212&lt;I212</f>
        <v/>
      </c>
      <c r="M212" s="2" t="b">
        <v>1</v>
      </c>
      <c r="N212" s="2" t="b">
        <v>1</v>
      </c>
      <c r="O212" s="2" t="inlineStr">
        <is>
          <t>allow</t>
        </is>
      </c>
      <c r="P212" s="2">
        <f>O212&lt;&gt;"unknown"</f>
        <v/>
      </c>
    </row>
    <row r="213">
      <c r="A213" s="2" t="inlineStr">
        <is>
          <t>1280-on</t>
        </is>
      </c>
      <c r="B213" s="2" t="n">
        <v>1280</v>
      </c>
      <c r="C213" s="2" t="inlineStr">
        <is>
          <t>on</t>
        </is>
      </c>
      <c r="D213" s="2" t="n">
        <v>1228</v>
      </c>
      <c r="E213" s="2" t="inlineStr">
        <is>
          <t>openssl SecP256r1MLKEM768</t>
        </is>
      </c>
      <c r="F213" s="2" t="b">
        <v>1</v>
      </c>
      <c r="G213" s="2" t="n">
        <v>12</v>
      </c>
      <c r="H213" s="2" t="n">
        <v>1518</v>
      </c>
      <c r="I213" s="2" t="n">
        <v>1518</v>
      </c>
      <c r="J213" s="2" t="n">
        <v>1223</v>
      </c>
      <c r="K213" s="2">
        <f>H213+5&gt;D213</f>
        <v/>
      </c>
      <c r="L213" s="2">
        <f>J213&lt;I213</f>
        <v/>
      </c>
      <c r="M213" s="2" t="b">
        <v>1</v>
      </c>
      <c r="N213" s="2" t="b">
        <v>1</v>
      </c>
      <c r="O213" s="2" t="inlineStr">
        <is>
          <t>allow</t>
        </is>
      </c>
      <c r="P213" s="2">
        <f>O213&lt;&gt;"unknown"</f>
        <v/>
      </c>
    </row>
    <row r="214">
      <c r="A214" s="2" t="inlineStr">
        <is>
          <t>1280-on</t>
        </is>
      </c>
      <c r="B214" s="2" t="n">
        <v>1280</v>
      </c>
      <c r="C214" s="2" t="inlineStr">
        <is>
          <t>on</t>
        </is>
      </c>
      <c r="D214" s="2" t="n">
        <v>1228</v>
      </c>
      <c r="E214" s="2" t="inlineStr">
        <is>
          <t>openssl SecP256r1MLKEM768</t>
        </is>
      </c>
      <c r="F214" s="2" t="b">
        <v>1</v>
      </c>
      <c r="G214" s="2" t="n">
        <v>13</v>
      </c>
      <c r="H214" s="2" t="n">
        <v>1518</v>
      </c>
      <c r="I214" s="2" t="n">
        <v>1518</v>
      </c>
      <c r="J214" s="2" t="n">
        <v>1223</v>
      </c>
      <c r="K214" s="2">
        <f>H214+5&gt;D214</f>
        <v/>
      </c>
      <c r="L214" s="2">
        <f>J214&lt;I214</f>
        <v/>
      </c>
      <c r="M214" s="2" t="b">
        <v>1</v>
      </c>
      <c r="N214" s="2" t="b">
        <v>1</v>
      </c>
      <c r="O214" s="2" t="inlineStr">
        <is>
          <t>allow</t>
        </is>
      </c>
      <c r="P214" s="2">
        <f>O214&lt;&gt;"unknown"</f>
        <v/>
      </c>
    </row>
    <row r="215">
      <c r="A215" s="2" t="inlineStr">
        <is>
          <t>1280-on</t>
        </is>
      </c>
      <c r="B215" s="2" t="n">
        <v>1280</v>
      </c>
      <c r="C215" s="2" t="inlineStr">
        <is>
          <t>on</t>
        </is>
      </c>
      <c r="D215" s="2" t="n">
        <v>1228</v>
      </c>
      <c r="E215" s="2" t="inlineStr">
        <is>
          <t>openssl SecP256r1MLKEM768</t>
        </is>
      </c>
      <c r="F215" s="2" t="b">
        <v>1</v>
      </c>
      <c r="G215" s="2" t="n">
        <v>14</v>
      </c>
      <c r="H215" s="2" t="n">
        <v>1518</v>
      </c>
      <c r="I215" s="2" t="n">
        <v>1518</v>
      </c>
      <c r="J215" s="2" t="n">
        <v>1223</v>
      </c>
      <c r="K215" s="2">
        <f>H215+5&gt;D215</f>
        <v/>
      </c>
      <c r="L215" s="2">
        <f>J215&lt;I215</f>
        <v/>
      </c>
      <c r="M215" s="2" t="b">
        <v>1</v>
      </c>
      <c r="N215" s="2" t="b">
        <v>1</v>
      </c>
      <c r="O215" s="2" t="inlineStr">
        <is>
          <t>allow</t>
        </is>
      </c>
      <c r="P215" s="2">
        <f>O215&lt;&gt;"unknown"</f>
        <v/>
      </c>
    </row>
    <row r="216">
      <c r="A216" s="2" t="inlineStr">
        <is>
          <t>1280-on</t>
        </is>
      </c>
      <c r="B216" s="2" t="n">
        <v>1280</v>
      </c>
      <c r="C216" s="2" t="inlineStr">
        <is>
          <t>on</t>
        </is>
      </c>
      <c r="D216" s="2" t="n">
        <v>1228</v>
      </c>
      <c r="E216" s="2" t="inlineStr">
        <is>
          <t>openssl SecP256r1MLKEM768</t>
        </is>
      </c>
      <c r="F216" s="2" t="b">
        <v>1</v>
      </c>
      <c r="G216" s="2" t="n">
        <v>15</v>
      </c>
      <c r="H216" s="2" t="n">
        <v>1518</v>
      </c>
      <c r="I216" s="2" t="n">
        <v>1518</v>
      </c>
      <c r="J216" s="2" t="n">
        <v>1223</v>
      </c>
      <c r="K216" s="2">
        <f>H216+5&gt;D216</f>
        <v/>
      </c>
      <c r="L216" s="2">
        <f>J216&lt;I216</f>
        <v/>
      </c>
      <c r="M216" s="2" t="b">
        <v>1</v>
      </c>
      <c r="N216" s="2" t="b">
        <v>1</v>
      </c>
      <c r="O216" s="2" t="inlineStr">
        <is>
          <t>allow</t>
        </is>
      </c>
      <c r="P216" s="2">
        <f>O216&lt;&gt;"unknown"</f>
        <v/>
      </c>
    </row>
    <row r="217">
      <c r="A217" s="2" t="inlineStr">
        <is>
          <t>1280-on</t>
        </is>
      </c>
      <c r="B217" s="2" t="n">
        <v>1280</v>
      </c>
      <c r="C217" s="2" t="inlineStr">
        <is>
          <t>on</t>
        </is>
      </c>
      <c r="D217" s="2" t="n">
        <v>1228</v>
      </c>
      <c r="E217" s="2" t="inlineStr">
        <is>
          <t>openssl SecP256r1MLKEM768</t>
        </is>
      </c>
      <c r="F217" s="2" t="b">
        <v>1</v>
      </c>
      <c r="G217" s="2" t="n">
        <v>16</v>
      </c>
      <c r="H217" s="2" t="n">
        <v>1518</v>
      </c>
      <c r="I217" s="2" t="n">
        <v>1518</v>
      </c>
      <c r="J217" s="2" t="n">
        <v>1223</v>
      </c>
      <c r="K217" s="2">
        <f>H217+5&gt;D217</f>
        <v/>
      </c>
      <c r="L217" s="2">
        <f>J217&lt;I217</f>
        <v/>
      </c>
      <c r="M217" s="2" t="b">
        <v>1</v>
      </c>
      <c r="N217" s="2" t="b">
        <v>1</v>
      </c>
      <c r="O217" s="2" t="inlineStr">
        <is>
          <t>allow</t>
        </is>
      </c>
      <c r="P217" s="2">
        <f>O217&lt;&gt;"unknown"</f>
        <v/>
      </c>
    </row>
    <row r="218">
      <c r="A218" s="2" t="inlineStr">
        <is>
          <t>1280-on</t>
        </is>
      </c>
      <c r="B218" s="2" t="n">
        <v>1280</v>
      </c>
      <c r="C218" s="2" t="inlineStr">
        <is>
          <t>on</t>
        </is>
      </c>
      <c r="D218" s="2" t="n">
        <v>1228</v>
      </c>
      <c r="E218" s="2" t="inlineStr">
        <is>
          <t>openssl SecP256r1MLKEM768</t>
        </is>
      </c>
      <c r="F218" s="2" t="b">
        <v>1</v>
      </c>
      <c r="G218" s="2" t="n">
        <v>17</v>
      </c>
      <c r="H218" s="2" t="n">
        <v>1518</v>
      </c>
      <c r="I218" s="2" t="n">
        <v>1518</v>
      </c>
      <c r="J218" s="2" t="n">
        <v>1223</v>
      </c>
      <c r="K218" s="2">
        <f>H218+5&gt;D218</f>
        <v/>
      </c>
      <c r="L218" s="2">
        <f>J218&lt;I218</f>
        <v/>
      </c>
      <c r="M218" s="2" t="b">
        <v>1</v>
      </c>
      <c r="N218" s="2" t="b">
        <v>1</v>
      </c>
      <c r="O218" s="2" t="inlineStr">
        <is>
          <t>allow</t>
        </is>
      </c>
      <c r="P218" s="2">
        <f>O218&lt;&gt;"unknown"</f>
        <v/>
      </c>
    </row>
    <row r="219">
      <c r="A219" s="2" t="inlineStr">
        <is>
          <t>1280-on</t>
        </is>
      </c>
      <c r="B219" s="2" t="n">
        <v>1280</v>
      </c>
      <c r="C219" s="2" t="inlineStr">
        <is>
          <t>on</t>
        </is>
      </c>
      <c r="D219" s="2" t="n">
        <v>1228</v>
      </c>
      <c r="E219" s="2" t="inlineStr">
        <is>
          <t>openssl SecP256r1MLKEM768</t>
        </is>
      </c>
      <c r="F219" s="2" t="b">
        <v>1</v>
      </c>
      <c r="G219" s="2" t="n">
        <v>18</v>
      </c>
      <c r="H219" s="2" t="n">
        <v>1518</v>
      </c>
      <c r="I219" s="2" t="n">
        <v>1518</v>
      </c>
      <c r="J219" s="2" t="n">
        <v>1223</v>
      </c>
      <c r="K219" s="2">
        <f>H219+5&gt;D219</f>
        <v/>
      </c>
      <c r="L219" s="2">
        <f>J219&lt;I219</f>
        <v/>
      </c>
      <c r="M219" s="2" t="b">
        <v>1</v>
      </c>
      <c r="N219" s="2" t="b">
        <v>1</v>
      </c>
      <c r="O219" s="2" t="inlineStr">
        <is>
          <t>allow</t>
        </is>
      </c>
      <c r="P219" s="2">
        <f>O219&lt;&gt;"unknown"</f>
        <v/>
      </c>
    </row>
    <row r="220">
      <c r="A220" s="2" t="inlineStr">
        <is>
          <t>1280-on</t>
        </is>
      </c>
      <c r="B220" s="2" t="n">
        <v>1280</v>
      </c>
      <c r="C220" s="2" t="inlineStr">
        <is>
          <t>on</t>
        </is>
      </c>
      <c r="D220" s="2" t="n">
        <v>1228</v>
      </c>
      <c r="E220" s="2" t="inlineStr">
        <is>
          <t>openssl SecP256r1MLKEM768</t>
        </is>
      </c>
      <c r="F220" s="2" t="b">
        <v>1</v>
      </c>
      <c r="G220" s="2" t="n">
        <v>19</v>
      </c>
      <c r="H220" s="2" t="n">
        <v>1518</v>
      </c>
      <c r="I220" s="2" t="n">
        <v>1518</v>
      </c>
      <c r="J220" s="2" t="n">
        <v>1223</v>
      </c>
      <c r="K220" s="2">
        <f>H220+5&gt;D220</f>
        <v/>
      </c>
      <c r="L220" s="2">
        <f>J220&lt;I220</f>
        <v/>
      </c>
      <c r="M220" s="2" t="b">
        <v>1</v>
      </c>
      <c r="N220" s="2" t="b">
        <v>1</v>
      </c>
      <c r="O220" s="2" t="inlineStr">
        <is>
          <t>allow</t>
        </is>
      </c>
      <c r="P220" s="2">
        <f>O220&lt;&gt;"unknown"</f>
        <v/>
      </c>
    </row>
    <row r="221">
      <c r="A221" s="2" t="inlineStr">
        <is>
          <t>1280-on</t>
        </is>
      </c>
      <c r="B221" s="2" t="n">
        <v>1280</v>
      </c>
      <c r="C221" s="2" t="inlineStr">
        <is>
          <t>on</t>
        </is>
      </c>
      <c r="D221" s="2" t="n">
        <v>1228</v>
      </c>
      <c r="E221" s="2" t="inlineStr">
        <is>
          <t>openssl SecP256r1MLKEM768</t>
        </is>
      </c>
      <c r="F221" s="2" t="b">
        <v>1</v>
      </c>
      <c r="G221" s="2" t="n">
        <v>20</v>
      </c>
      <c r="H221" s="2" t="n">
        <v>1518</v>
      </c>
      <c r="I221" s="2" t="n">
        <v>1518</v>
      </c>
      <c r="J221" s="2" t="n">
        <v>1223</v>
      </c>
      <c r="K221" s="2">
        <f>H221+5&gt;D221</f>
        <v/>
      </c>
      <c r="L221" s="2">
        <f>J221&lt;I221</f>
        <v/>
      </c>
      <c r="M221" s="2" t="b">
        <v>1</v>
      </c>
      <c r="N221" s="2" t="b">
        <v>1</v>
      </c>
      <c r="O221" s="2" t="inlineStr">
        <is>
          <t>allow</t>
        </is>
      </c>
      <c r="P221" s="2">
        <f>O221&lt;&gt;"unknown"</f>
        <v/>
      </c>
    </row>
    <row r="222">
      <c r="A222" s="2" t="inlineStr">
        <is>
          <t>1280-on</t>
        </is>
      </c>
      <c r="B222" s="2" t="n">
        <v>1280</v>
      </c>
      <c r="C222" s="2" t="inlineStr">
        <is>
          <t>on</t>
        </is>
      </c>
      <c r="D222" s="2" t="n">
        <v>1228</v>
      </c>
      <c r="E222" s="2" t="inlineStr">
        <is>
          <t>openssl SecP384r1MLKEM1024</t>
        </is>
      </c>
      <c r="F222" s="2" t="b">
        <v>1</v>
      </c>
      <c r="G222" s="2" t="n">
        <v>1</v>
      </c>
      <c r="H222" s="2" t="n">
        <v>1934</v>
      </c>
      <c r="I222" s="2" t="n">
        <v>1934</v>
      </c>
      <c r="J222" s="2" t="n">
        <v>1223</v>
      </c>
      <c r="K222" s="2">
        <f>H222+5&gt;D222</f>
        <v/>
      </c>
      <c r="L222" s="2">
        <f>J222&lt;I222</f>
        <v/>
      </c>
      <c r="M222" s="2" t="b">
        <v>1</v>
      </c>
      <c r="N222" s="2" t="b">
        <v>1</v>
      </c>
      <c r="O222" s="2" t="inlineStr">
        <is>
          <t>allow</t>
        </is>
      </c>
      <c r="P222" s="2">
        <f>O222&lt;&gt;"unknown"</f>
        <v/>
      </c>
    </row>
    <row r="223">
      <c r="A223" s="2" t="inlineStr">
        <is>
          <t>1280-on</t>
        </is>
      </c>
      <c r="B223" s="2" t="n">
        <v>1280</v>
      </c>
      <c r="C223" s="2" t="inlineStr">
        <is>
          <t>on</t>
        </is>
      </c>
      <c r="D223" s="2" t="n">
        <v>1228</v>
      </c>
      <c r="E223" s="2" t="inlineStr">
        <is>
          <t>openssl SecP384r1MLKEM1024</t>
        </is>
      </c>
      <c r="F223" s="2" t="b">
        <v>1</v>
      </c>
      <c r="G223" s="2" t="n">
        <v>2</v>
      </c>
      <c r="H223" s="2" t="n">
        <v>1934</v>
      </c>
      <c r="I223" s="2" t="n">
        <v>1934</v>
      </c>
      <c r="J223" s="2" t="n">
        <v>1223</v>
      </c>
      <c r="K223" s="2">
        <f>H223+5&gt;D223</f>
        <v/>
      </c>
      <c r="L223" s="2">
        <f>J223&lt;I223</f>
        <v/>
      </c>
      <c r="M223" s="2" t="b">
        <v>1</v>
      </c>
      <c r="N223" s="2" t="b">
        <v>1</v>
      </c>
      <c r="O223" s="2" t="inlineStr">
        <is>
          <t>allow</t>
        </is>
      </c>
      <c r="P223" s="2">
        <f>O223&lt;&gt;"unknown"</f>
        <v/>
      </c>
    </row>
    <row r="224">
      <c r="A224" s="2" t="inlineStr">
        <is>
          <t>1280-on</t>
        </is>
      </c>
      <c r="B224" s="2" t="n">
        <v>1280</v>
      </c>
      <c r="C224" s="2" t="inlineStr">
        <is>
          <t>on</t>
        </is>
      </c>
      <c r="D224" s="2" t="n">
        <v>1228</v>
      </c>
      <c r="E224" s="2" t="inlineStr">
        <is>
          <t>openssl SecP384r1MLKEM1024</t>
        </is>
      </c>
      <c r="F224" s="2" t="b">
        <v>1</v>
      </c>
      <c r="G224" s="2" t="n">
        <v>3</v>
      </c>
      <c r="H224" s="2" t="n">
        <v>1934</v>
      </c>
      <c r="I224" s="2" t="n">
        <v>1934</v>
      </c>
      <c r="J224" s="2" t="n">
        <v>1223</v>
      </c>
      <c r="K224" s="2">
        <f>H224+5&gt;D224</f>
        <v/>
      </c>
      <c r="L224" s="2">
        <f>J224&lt;I224</f>
        <v/>
      </c>
      <c r="M224" s="2" t="b">
        <v>1</v>
      </c>
      <c r="N224" s="2" t="b">
        <v>1</v>
      </c>
      <c r="O224" s="2" t="inlineStr">
        <is>
          <t>allow</t>
        </is>
      </c>
      <c r="P224" s="2">
        <f>O224&lt;&gt;"unknown"</f>
        <v/>
      </c>
    </row>
    <row r="225">
      <c r="A225" s="2" t="inlineStr">
        <is>
          <t>1280-on</t>
        </is>
      </c>
      <c r="B225" s="2" t="n">
        <v>1280</v>
      </c>
      <c r="C225" s="2" t="inlineStr">
        <is>
          <t>on</t>
        </is>
      </c>
      <c r="D225" s="2" t="n">
        <v>1228</v>
      </c>
      <c r="E225" s="2" t="inlineStr">
        <is>
          <t>openssl SecP384r1MLKEM1024</t>
        </is>
      </c>
      <c r="F225" s="2" t="b">
        <v>1</v>
      </c>
      <c r="G225" s="2" t="n">
        <v>4</v>
      </c>
      <c r="H225" s="2" t="n">
        <v>1934</v>
      </c>
      <c r="I225" s="2" t="n">
        <v>1934</v>
      </c>
      <c r="J225" s="2" t="n">
        <v>1223</v>
      </c>
      <c r="K225" s="2">
        <f>H225+5&gt;D225</f>
        <v/>
      </c>
      <c r="L225" s="2">
        <f>J225&lt;I225</f>
        <v/>
      </c>
      <c r="M225" s="2" t="b">
        <v>1</v>
      </c>
      <c r="N225" s="2" t="b">
        <v>1</v>
      </c>
      <c r="O225" s="2" t="inlineStr">
        <is>
          <t>allow</t>
        </is>
      </c>
      <c r="P225" s="2">
        <f>O225&lt;&gt;"unknown"</f>
        <v/>
      </c>
    </row>
    <row r="226">
      <c r="A226" s="2" t="inlineStr">
        <is>
          <t>1280-on</t>
        </is>
      </c>
      <c r="B226" s="2" t="n">
        <v>1280</v>
      </c>
      <c r="C226" s="2" t="inlineStr">
        <is>
          <t>on</t>
        </is>
      </c>
      <c r="D226" s="2" t="n">
        <v>1228</v>
      </c>
      <c r="E226" s="2" t="inlineStr">
        <is>
          <t>openssl SecP384r1MLKEM1024</t>
        </is>
      </c>
      <c r="F226" s="2" t="b">
        <v>1</v>
      </c>
      <c r="G226" s="2" t="n">
        <v>5</v>
      </c>
      <c r="H226" s="2" t="n">
        <v>1934</v>
      </c>
      <c r="I226" s="2" t="n">
        <v>1934</v>
      </c>
      <c r="J226" s="2" t="n">
        <v>1223</v>
      </c>
      <c r="K226" s="2">
        <f>H226+5&gt;D226</f>
        <v/>
      </c>
      <c r="L226" s="2">
        <f>J226&lt;I226</f>
        <v/>
      </c>
      <c r="M226" s="2" t="b">
        <v>1</v>
      </c>
      <c r="N226" s="2" t="b">
        <v>1</v>
      </c>
      <c r="O226" s="2" t="inlineStr">
        <is>
          <t>allow</t>
        </is>
      </c>
      <c r="P226" s="2">
        <f>O226&lt;&gt;"unknown"</f>
        <v/>
      </c>
    </row>
    <row r="227">
      <c r="A227" s="2" t="inlineStr">
        <is>
          <t>1280-on</t>
        </is>
      </c>
      <c r="B227" s="2" t="n">
        <v>1280</v>
      </c>
      <c r="C227" s="2" t="inlineStr">
        <is>
          <t>on</t>
        </is>
      </c>
      <c r="D227" s="2" t="n">
        <v>1228</v>
      </c>
      <c r="E227" s="2" t="inlineStr">
        <is>
          <t>openssl SecP384r1MLKEM1024</t>
        </is>
      </c>
      <c r="F227" s="2" t="b">
        <v>1</v>
      </c>
      <c r="G227" s="2" t="n">
        <v>6</v>
      </c>
      <c r="H227" s="2" t="n">
        <v>1934</v>
      </c>
      <c r="I227" s="2" t="n">
        <v>1934</v>
      </c>
      <c r="J227" s="2" t="n">
        <v>1223</v>
      </c>
      <c r="K227" s="2">
        <f>H227+5&gt;D227</f>
        <v/>
      </c>
      <c r="L227" s="2">
        <f>J227&lt;I227</f>
        <v/>
      </c>
      <c r="M227" s="2" t="b">
        <v>1</v>
      </c>
      <c r="N227" s="2" t="b">
        <v>1</v>
      </c>
      <c r="O227" s="2" t="inlineStr">
        <is>
          <t>allow</t>
        </is>
      </c>
      <c r="P227" s="2">
        <f>O227&lt;&gt;"unknown"</f>
        <v/>
      </c>
    </row>
    <row r="228">
      <c r="A228" s="2" t="inlineStr">
        <is>
          <t>1280-on</t>
        </is>
      </c>
      <c r="B228" s="2" t="n">
        <v>1280</v>
      </c>
      <c r="C228" s="2" t="inlineStr">
        <is>
          <t>on</t>
        </is>
      </c>
      <c r="D228" s="2" t="n">
        <v>1228</v>
      </c>
      <c r="E228" s="2" t="inlineStr">
        <is>
          <t>openssl SecP384r1MLKEM1024</t>
        </is>
      </c>
      <c r="F228" s="2" t="b">
        <v>1</v>
      </c>
      <c r="G228" s="2" t="n">
        <v>7</v>
      </c>
      <c r="H228" s="2" t="n">
        <v>1934</v>
      </c>
      <c r="I228" s="2" t="n">
        <v>1934</v>
      </c>
      <c r="J228" s="2" t="n">
        <v>1223</v>
      </c>
      <c r="K228" s="2">
        <f>H228+5&gt;D228</f>
        <v/>
      </c>
      <c r="L228" s="2">
        <f>J228&lt;I228</f>
        <v/>
      </c>
      <c r="M228" s="2" t="b">
        <v>1</v>
      </c>
      <c r="N228" s="2" t="b">
        <v>1</v>
      </c>
      <c r="O228" s="2" t="inlineStr">
        <is>
          <t>allow</t>
        </is>
      </c>
      <c r="P228" s="2">
        <f>O228&lt;&gt;"unknown"</f>
        <v/>
      </c>
    </row>
    <row r="229">
      <c r="A229" s="2" t="inlineStr">
        <is>
          <t>1280-on</t>
        </is>
      </c>
      <c r="B229" s="2" t="n">
        <v>1280</v>
      </c>
      <c r="C229" s="2" t="inlineStr">
        <is>
          <t>on</t>
        </is>
      </c>
      <c r="D229" s="2" t="n">
        <v>1228</v>
      </c>
      <c r="E229" s="2" t="inlineStr">
        <is>
          <t>openssl SecP384r1MLKEM1024</t>
        </is>
      </c>
      <c r="F229" s="2" t="b">
        <v>1</v>
      </c>
      <c r="G229" s="2" t="n">
        <v>8</v>
      </c>
      <c r="H229" s="2" t="n">
        <v>1934</v>
      </c>
      <c r="I229" s="2" t="n">
        <v>1934</v>
      </c>
      <c r="J229" s="2" t="n">
        <v>1223</v>
      </c>
      <c r="K229" s="2">
        <f>H229+5&gt;D229</f>
        <v/>
      </c>
      <c r="L229" s="2">
        <f>J229&lt;I229</f>
        <v/>
      </c>
      <c r="M229" s="2" t="b">
        <v>1</v>
      </c>
      <c r="N229" s="2" t="b">
        <v>1</v>
      </c>
      <c r="O229" s="2" t="inlineStr">
        <is>
          <t>allow</t>
        </is>
      </c>
      <c r="P229" s="2">
        <f>O229&lt;&gt;"unknown"</f>
        <v/>
      </c>
    </row>
    <row r="230">
      <c r="A230" s="2" t="inlineStr">
        <is>
          <t>1280-on</t>
        </is>
      </c>
      <c r="B230" s="2" t="n">
        <v>1280</v>
      </c>
      <c r="C230" s="2" t="inlineStr">
        <is>
          <t>on</t>
        </is>
      </c>
      <c r="D230" s="2" t="n">
        <v>1228</v>
      </c>
      <c r="E230" s="2" t="inlineStr">
        <is>
          <t>openssl SecP384r1MLKEM1024</t>
        </is>
      </c>
      <c r="F230" s="2" t="b">
        <v>1</v>
      </c>
      <c r="G230" s="2" t="n">
        <v>9</v>
      </c>
      <c r="H230" s="2" t="n">
        <v>1934</v>
      </c>
      <c r="I230" s="2" t="n">
        <v>1934</v>
      </c>
      <c r="J230" s="2" t="n">
        <v>1223</v>
      </c>
      <c r="K230" s="2">
        <f>H230+5&gt;D230</f>
        <v/>
      </c>
      <c r="L230" s="2">
        <f>J230&lt;I230</f>
        <v/>
      </c>
      <c r="M230" s="2" t="b">
        <v>1</v>
      </c>
      <c r="N230" s="2" t="b">
        <v>1</v>
      </c>
      <c r="O230" s="2" t="inlineStr">
        <is>
          <t>allow</t>
        </is>
      </c>
      <c r="P230" s="2">
        <f>O230&lt;&gt;"unknown"</f>
        <v/>
      </c>
    </row>
    <row r="231">
      <c r="A231" s="2" t="inlineStr">
        <is>
          <t>1280-on</t>
        </is>
      </c>
      <c r="B231" s="2" t="n">
        <v>1280</v>
      </c>
      <c r="C231" s="2" t="inlineStr">
        <is>
          <t>on</t>
        </is>
      </c>
      <c r="D231" s="2" t="n">
        <v>1228</v>
      </c>
      <c r="E231" s="2" t="inlineStr">
        <is>
          <t>openssl SecP384r1MLKEM1024</t>
        </is>
      </c>
      <c r="F231" s="2" t="b">
        <v>1</v>
      </c>
      <c r="G231" s="2" t="n">
        <v>10</v>
      </c>
      <c r="H231" s="2" t="n">
        <v>1934</v>
      </c>
      <c r="I231" s="2" t="n">
        <v>1934</v>
      </c>
      <c r="J231" s="2" t="n">
        <v>1223</v>
      </c>
      <c r="K231" s="2">
        <f>H231+5&gt;D231</f>
        <v/>
      </c>
      <c r="L231" s="2">
        <f>J231&lt;I231</f>
        <v/>
      </c>
      <c r="M231" s="2" t="b">
        <v>1</v>
      </c>
      <c r="N231" s="2" t="b">
        <v>1</v>
      </c>
      <c r="O231" s="2" t="inlineStr">
        <is>
          <t>allow</t>
        </is>
      </c>
      <c r="P231" s="2">
        <f>O231&lt;&gt;"unknown"</f>
        <v/>
      </c>
    </row>
    <row r="232">
      <c r="A232" s="2" t="inlineStr">
        <is>
          <t>1280-on</t>
        </is>
      </c>
      <c r="B232" s="2" t="n">
        <v>1280</v>
      </c>
      <c r="C232" s="2" t="inlineStr">
        <is>
          <t>on</t>
        </is>
      </c>
      <c r="D232" s="2" t="n">
        <v>1228</v>
      </c>
      <c r="E232" s="2" t="inlineStr">
        <is>
          <t>openssl SecP384r1MLKEM1024</t>
        </is>
      </c>
      <c r="F232" s="2" t="b">
        <v>1</v>
      </c>
      <c r="G232" s="2" t="n">
        <v>11</v>
      </c>
      <c r="H232" s="2" t="n">
        <v>1934</v>
      </c>
      <c r="I232" s="2" t="n">
        <v>1934</v>
      </c>
      <c r="J232" s="2" t="n">
        <v>1223</v>
      </c>
      <c r="K232" s="2">
        <f>H232+5&gt;D232</f>
        <v/>
      </c>
      <c r="L232" s="2">
        <f>J232&lt;I232</f>
        <v/>
      </c>
      <c r="M232" s="2" t="b">
        <v>1</v>
      </c>
      <c r="N232" s="2" t="b">
        <v>1</v>
      </c>
      <c r="O232" s="2" t="inlineStr">
        <is>
          <t>allow</t>
        </is>
      </c>
      <c r="P232" s="2">
        <f>O232&lt;&gt;"unknown"</f>
        <v/>
      </c>
    </row>
    <row r="233">
      <c r="A233" s="2" t="inlineStr">
        <is>
          <t>1280-on</t>
        </is>
      </c>
      <c r="B233" s="2" t="n">
        <v>1280</v>
      </c>
      <c r="C233" s="2" t="inlineStr">
        <is>
          <t>on</t>
        </is>
      </c>
      <c r="D233" s="2" t="n">
        <v>1228</v>
      </c>
      <c r="E233" s="2" t="inlineStr">
        <is>
          <t>openssl SecP384r1MLKEM1024</t>
        </is>
      </c>
      <c r="F233" s="2" t="b">
        <v>1</v>
      </c>
      <c r="G233" s="2" t="n">
        <v>12</v>
      </c>
      <c r="H233" s="2" t="n">
        <v>1934</v>
      </c>
      <c r="I233" s="2" t="n">
        <v>1934</v>
      </c>
      <c r="J233" s="2" t="n">
        <v>1223</v>
      </c>
      <c r="K233" s="2">
        <f>H233+5&gt;D233</f>
        <v/>
      </c>
      <c r="L233" s="2">
        <f>J233&lt;I233</f>
        <v/>
      </c>
      <c r="M233" s="2" t="b">
        <v>1</v>
      </c>
      <c r="N233" s="2" t="b">
        <v>1</v>
      </c>
      <c r="O233" s="2" t="inlineStr">
        <is>
          <t>allow</t>
        </is>
      </c>
      <c r="P233" s="2">
        <f>O233&lt;&gt;"unknown"</f>
        <v/>
      </c>
    </row>
    <row r="234">
      <c r="A234" s="2" t="inlineStr">
        <is>
          <t>1280-on</t>
        </is>
      </c>
      <c r="B234" s="2" t="n">
        <v>1280</v>
      </c>
      <c r="C234" s="2" t="inlineStr">
        <is>
          <t>on</t>
        </is>
      </c>
      <c r="D234" s="2" t="n">
        <v>1228</v>
      </c>
      <c r="E234" s="2" t="inlineStr">
        <is>
          <t>openssl SecP384r1MLKEM1024</t>
        </is>
      </c>
      <c r="F234" s="2" t="b">
        <v>1</v>
      </c>
      <c r="G234" s="2" t="n">
        <v>13</v>
      </c>
      <c r="H234" s="2" t="n">
        <v>1934</v>
      </c>
      <c r="I234" s="2" t="n">
        <v>1934</v>
      </c>
      <c r="J234" s="2" t="n">
        <v>1223</v>
      </c>
      <c r="K234" s="2">
        <f>H234+5&gt;D234</f>
        <v/>
      </c>
      <c r="L234" s="2">
        <f>J234&lt;I234</f>
        <v/>
      </c>
      <c r="M234" s="2" t="b">
        <v>1</v>
      </c>
      <c r="N234" s="2" t="b">
        <v>1</v>
      </c>
      <c r="O234" s="2" t="inlineStr">
        <is>
          <t>allow</t>
        </is>
      </c>
      <c r="P234" s="2">
        <f>O234&lt;&gt;"unknown"</f>
        <v/>
      </c>
    </row>
    <row r="235">
      <c r="A235" s="2" t="inlineStr">
        <is>
          <t>1280-on</t>
        </is>
      </c>
      <c r="B235" s="2" t="n">
        <v>1280</v>
      </c>
      <c r="C235" s="2" t="inlineStr">
        <is>
          <t>on</t>
        </is>
      </c>
      <c r="D235" s="2" t="n">
        <v>1228</v>
      </c>
      <c r="E235" s="2" t="inlineStr">
        <is>
          <t>openssl SecP384r1MLKEM1024</t>
        </is>
      </c>
      <c r="F235" s="2" t="b">
        <v>1</v>
      </c>
      <c r="G235" s="2" t="n">
        <v>14</v>
      </c>
      <c r="H235" s="2" t="n">
        <v>1934</v>
      </c>
      <c r="I235" s="2" t="n">
        <v>1934</v>
      </c>
      <c r="J235" s="2" t="n">
        <v>1223</v>
      </c>
      <c r="K235" s="2">
        <f>H235+5&gt;D235</f>
        <v/>
      </c>
      <c r="L235" s="2">
        <f>J235&lt;I235</f>
        <v/>
      </c>
      <c r="M235" s="2" t="b">
        <v>1</v>
      </c>
      <c r="N235" s="2" t="b">
        <v>1</v>
      </c>
      <c r="O235" s="2" t="inlineStr">
        <is>
          <t>allow</t>
        </is>
      </c>
      <c r="P235" s="2">
        <f>O235&lt;&gt;"unknown"</f>
        <v/>
      </c>
    </row>
    <row r="236">
      <c r="A236" s="2" t="inlineStr">
        <is>
          <t>1280-on</t>
        </is>
      </c>
      <c r="B236" s="2" t="n">
        <v>1280</v>
      </c>
      <c r="C236" s="2" t="inlineStr">
        <is>
          <t>on</t>
        </is>
      </c>
      <c r="D236" s="2" t="n">
        <v>1228</v>
      </c>
      <c r="E236" s="2" t="inlineStr">
        <is>
          <t>openssl SecP384r1MLKEM1024</t>
        </is>
      </c>
      <c r="F236" s="2" t="b">
        <v>1</v>
      </c>
      <c r="G236" s="2" t="n">
        <v>15</v>
      </c>
      <c r="H236" s="2" t="n">
        <v>1934</v>
      </c>
      <c r="I236" s="2" t="n">
        <v>1934</v>
      </c>
      <c r="J236" s="2" t="n">
        <v>1223</v>
      </c>
      <c r="K236" s="2">
        <f>H236+5&gt;D236</f>
        <v/>
      </c>
      <c r="L236" s="2">
        <f>J236&lt;I236</f>
        <v/>
      </c>
      <c r="M236" s="2" t="b">
        <v>1</v>
      </c>
      <c r="N236" s="2" t="b">
        <v>1</v>
      </c>
      <c r="O236" s="2" t="inlineStr">
        <is>
          <t>allow</t>
        </is>
      </c>
      <c r="P236" s="2">
        <f>O236&lt;&gt;"unknown"</f>
        <v/>
      </c>
    </row>
    <row r="237">
      <c r="A237" s="2" t="inlineStr">
        <is>
          <t>1280-on</t>
        </is>
      </c>
      <c r="B237" s="2" t="n">
        <v>1280</v>
      </c>
      <c r="C237" s="2" t="inlineStr">
        <is>
          <t>on</t>
        </is>
      </c>
      <c r="D237" s="2" t="n">
        <v>1228</v>
      </c>
      <c r="E237" s="2" t="inlineStr">
        <is>
          <t>openssl SecP384r1MLKEM1024</t>
        </is>
      </c>
      <c r="F237" s="2" t="b">
        <v>1</v>
      </c>
      <c r="G237" s="2" t="n">
        <v>16</v>
      </c>
      <c r="H237" s="2" t="n">
        <v>1934</v>
      </c>
      <c r="I237" s="2" t="n">
        <v>1934</v>
      </c>
      <c r="J237" s="2" t="n">
        <v>1223</v>
      </c>
      <c r="K237" s="2">
        <f>H237+5&gt;D237</f>
        <v/>
      </c>
      <c r="L237" s="2">
        <f>J237&lt;I237</f>
        <v/>
      </c>
      <c r="M237" s="2" t="b">
        <v>1</v>
      </c>
      <c r="N237" s="2" t="b">
        <v>1</v>
      </c>
      <c r="O237" s="2" t="inlineStr">
        <is>
          <t>allow</t>
        </is>
      </c>
      <c r="P237" s="2">
        <f>O237&lt;&gt;"unknown"</f>
        <v/>
      </c>
    </row>
    <row r="238">
      <c r="A238" s="2" t="inlineStr">
        <is>
          <t>1280-on</t>
        </is>
      </c>
      <c r="B238" s="2" t="n">
        <v>1280</v>
      </c>
      <c r="C238" s="2" t="inlineStr">
        <is>
          <t>on</t>
        </is>
      </c>
      <c r="D238" s="2" t="n">
        <v>1228</v>
      </c>
      <c r="E238" s="2" t="inlineStr">
        <is>
          <t>openssl SecP384r1MLKEM1024</t>
        </is>
      </c>
      <c r="F238" s="2" t="b">
        <v>1</v>
      </c>
      <c r="G238" s="2" t="n">
        <v>17</v>
      </c>
      <c r="H238" s="2" t="n">
        <v>1934</v>
      </c>
      <c r="I238" s="2" t="n">
        <v>1934</v>
      </c>
      <c r="J238" s="2" t="n">
        <v>1223</v>
      </c>
      <c r="K238" s="2">
        <f>H238+5&gt;D238</f>
        <v/>
      </c>
      <c r="L238" s="2">
        <f>J238&lt;I238</f>
        <v/>
      </c>
      <c r="M238" s="2" t="b">
        <v>1</v>
      </c>
      <c r="N238" s="2" t="b">
        <v>1</v>
      </c>
      <c r="O238" s="2" t="inlineStr">
        <is>
          <t>allow</t>
        </is>
      </c>
      <c r="P238" s="2">
        <f>O238&lt;&gt;"unknown"</f>
        <v/>
      </c>
    </row>
    <row r="239">
      <c r="A239" s="2" t="inlineStr">
        <is>
          <t>1280-on</t>
        </is>
      </c>
      <c r="B239" s="2" t="n">
        <v>1280</v>
      </c>
      <c r="C239" s="2" t="inlineStr">
        <is>
          <t>on</t>
        </is>
      </c>
      <c r="D239" s="2" t="n">
        <v>1228</v>
      </c>
      <c r="E239" s="2" t="inlineStr">
        <is>
          <t>openssl SecP384r1MLKEM1024</t>
        </is>
      </c>
      <c r="F239" s="2" t="b">
        <v>1</v>
      </c>
      <c r="G239" s="2" t="n">
        <v>18</v>
      </c>
      <c r="H239" s="2" t="n">
        <v>1934</v>
      </c>
      <c r="I239" s="2" t="n">
        <v>1934</v>
      </c>
      <c r="J239" s="2" t="n">
        <v>1223</v>
      </c>
      <c r="K239" s="2">
        <f>H239+5&gt;D239</f>
        <v/>
      </c>
      <c r="L239" s="2">
        <f>J239&lt;I239</f>
        <v/>
      </c>
      <c r="M239" s="2" t="b">
        <v>1</v>
      </c>
      <c r="N239" s="2" t="b">
        <v>1</v>
      </c>
      <c r="O239" s="2" t="inlineStr">
        <is>
          <t>allow</t>
        </is>
      </c>
      <c r="P239" s="2">
        <f>O239&lt;&gt;"unknown"</f>
        <v/>
      </c>
    </row>
    <row r="240">
      <c r="A240" s="2" t="inlineStr">
        <is>
          <t>1280-on</t>
        </is>
      </c>
      <c r="B240" s="2" t="n">
        <v>1280</v>
      </c>
      <c r="C240" s="2" t="inlineStr">
        <is>
          <t>on</t>
        </is>
      </c>
      <c r="D240" s="2" t="n">
        <v>1228</v>
      </c>
      <c r="E240" s="2" t="inlineStr">
        <is>
          <t>openssl SecP384r1MLKEM1024</t>
        </is>
      </c>
      <c r="F240" s="2" t="b">
        <v>1</v>
      </c>
      <c r="G240" s="2" t="n">
        <v>19</v>
      </c>
      <c r="H240" s="2" t="n">
        <v>1934</v>
      </c>
      <c r="I240" s="2" t="n">
        <v>1934</v>
      </c>
      <c r="J240" s="2" t="n">
        <v>1223</v>
      </c>
      <c r="K240" s="2">
        <f>H240+5&gt;D240</f>
        <v/>
      </c>
      <c r="L240" s="2">
        <f>J240&lt;I240</f>
        <v/>
      </c>
      <c r="M240" s="2" t="b">
        <v>1</v>
      </c>
      <c r="N240" s="2" t="b">
        <v>1</v>
      </c>
      <c r="O240" s="2" t="inlineStr">
        <is>
          <t>allow</t>
        </is>
      </c>
      <c r="P240" s="2">
        <f>O240&lt;&gt;"unknown"</f>
        <v/>
      </c>
    </row>
    <row r="241">
      <c r="A241" s="2" t="inlineStr">
        <is>
          <t>1280-on</t>
        </is>
      </c>
      <c r="B241" s="2" t="n">
        <v>1280</v>
      </c>
      <c r="C241" s="2" t="inlineStr">
        <is>
          <t>on</t>
        </is>
      </c>
      <c r="D241" s="2" t="n">
        <v>1228</v>
      </c>
      <c r="E241" s="2" t="inlineStr">
        <is>
          <t>openssl SecP384r1MLKEM1024</t>
        </is>
      </c>
      <c r="F241" s="2" t="b">
        <v>1</v>
      </c>
      <c r="G241" s="2" t="n">
        <v>20</v>
      </c>
      <c r="H241" s="2" t="n">
        <v>1934</v>
      </c>
      <c r="I241" s="2" t="n">
        <v>1934</v>
      </c>
      <c r="J241" s="2" t="n">
        <v>1223</v>
      </c>
      <c r="K241" s="2">
        <f>H241+5&gt;D241</f>
        <v/>
      </c>
      <c r="L241" s="2">
        <f>J241&lt;I241</f>
        <v/>
      </c>
      <c r="M241" s="2" t="b">
        <v>1</v>
      </c>
      <c r="N241" s="2" t="b">
        <v>1</v>
      </c>
      <c r="O241" s="2" t="inlineStr">
        <is>
          <t>allow</t>
        </is>
      </c>
      <c r="P241" s="2">
        <f>O241&lt;&gt;"unknown"</f>
        <v/>
      </c>
    </row>
    <row r="242">
      <c r="A242" s="2" t="inlineStr">
        <is>
          <t>1280-on</t>
        </is>
      </c>
      <c r="B242" s="2" t="n">
        <v>1280</v>
      </c>
      <c r="C242" s="2" t="inlineStr">
        <is>
          <t>on</t>
        </is>
      </c>
      <c r="D242" s="2" t="n">
        <v>1228</v>
      </c>
      <c r="E242" s="2" t="inlineStr">
        <is>
          <t>openssl MLKEM768 (pure PQ)</t>
        </is>
      </c>
      <c r="F242" s="2" t="b">
        <v>1</v>
      </c>
      <c r="G242" s="2" t="n">
        <v>1</v>
      </c>
      <c r="H242" s="2" t="n">
        <v>1453</v>
      </c>
      <c r="I242" s="2" t="n">
        <v>1453</v>
      </c>
      <c r="J242" s="2" t="n">
        <v>1223</v>
      </c>
      <c r="K242" s="2">
        <f>H242+5&gt;D242</f>
        <v/>
      </c>
      <c r="L242" s="2">
        <f>J242&lt;I242</f>
        <v/>
      </c>
      <c r="M242" s="2" t="b">
        <v>1</v>
      </c>
      <c r="N242" s="2" t="b">
        <v>1</v>
      </c>
      <c r="O242" s="2" t="inlineStr">
        <is>
          <t>allow</t>
        </is>
      </c>
      <c r="P242" s="2">
        <f>O242&lt;&gt;"unknown"</f>
        <v/>
      </c>
    </row>
    <row r="243">
      <c r="A243" s="2" t="inlineStr">
        <is>
          <t>1280-on</t>
        </is>
      </c>
      <c r="B243" s="2" t="n">
        <v>1280</v>
      </c>
      <c r="C243" s="2" t="inlineStr">
        <is>
          <t>on</t>
        </is>
      </c>
      <c r="D243" s="2" t="n">
        <v>1228</v>
      </c>
      <c r="E243" s="2" t="inlineStr">
        <is>
          <t>openssl MLKEM768 (pure PQ)</t>
        </is>
      </c>
      <c r="F243" s="2" t="b">
        <v>1</v>
      </c>
      <c r="G243" s="2" t="n">
        <v>2</v>
      </c>
      <c r="H243" s="2" t="n">
        <v>1453</v>
      </c>
      <c r="I243" s="2" t="n">
        <v>1453</v>
      </c>
      <c r="J243" s="2" t="n">
        <v>1223</v>
      </c>
      <c r="K243" s="2">
        <f>H243+5&gt;D243</f>
        <v/>
      </c>
      <c r="L243" s="2">
        <f>J243&lt;I243</f>
        <v/>
      </c>
      <c r="M243" s="2" t="b">
        <v>1</v>
      </c>
      <c r="N243" s="2" t="b">
        <v>1</v>
      </c>
      <c r="O243" s="2" t="inlineStr">
        <is>
          <t>allow</t>
        </is>
      </c>
      <c r="P243" s="2">
        <f>O243&lt;&gt;"unknown"</f>
        <v/>
      </c>
    </row>
    <row r="244">
      <c r="A244" s="2" t="inlineStr">
        <is>
          <t>1280-on</t>
        </is>
      </c>
      <c r="B244" s="2" t="n">
        <v>1280</v>
      </c>
      <c r="C244" s="2" t="inlineStr">
        <is>
          <t>on</t>
        </is>
      </c>
      <c r="D244" s="2" t="n">
        <v>1228</v>
      </c>
      <c r="E244" s="2" t="inlineStr">
        <is>
          <t>openssl MLKEM768 (pure PQ)</t>
        </is>
      </c>
      <c r="F244" s="2" t="b">
        <v>1</v>
      </c>
      <c r="G244" s="2" t="n">
        <v>3</v>
      </c>
      <c r="H244" s="2" t="n">
        <v>1453</v>
      </c>
      <c r="I244" s="2" t="n">
        <v>1453</v>
      </c>
      <c r="J244" s="2" t="n">
        <v>1223</v>
      </c>
      <c r="K244" s="2">
        <f>H244+5&gt;D244</f>
        <v/>
      </c>
      <c r="L244" s="2">
        <f>J244&lt;I244</f>
        <v/>
      </c>
      <c r="M244" s="2" t="b">
        <v>1</v>
      </c>
      <c r="N244" s="2" t="b">
        <v>1</v>
      </c>
      <c r="O244" s="2" t="inlineStr">
        <is>
          <t>allow</t>
        </is>
      </c>
      <c r="P244" s="2">
        <f>O244&lt;&gt;"unknown"</f>
        <v/>
      </c>
    </row>
    <row r="245">
      <c r="A245" s="2" t="inlineStr">
        <is>
          <t>1280-on</t>
        </is>
      </c>
      <c r="B245" s="2" t="n">
        <v>1280</v>
      </c>
      <c r="C245" s="2" t="inlineStr">
        <is>
          <t>on</t>
        </is>
      </c>
      <c r="D245" s="2" t="n">
        <v>1228</v>
      </c>
      <c r="E245" s="2" t="inlineStr">
        <is>
          <t>openssl MLKEM768 (pure PQ)</t>
        </is>
      </c>
      <c r="F245" s="2" t="b">
        <v>1</v>
      </c>
      <c r="G245" s="2" t="n">
        <v>4</v>
      </c>
      <c r="H245" s="2" t="n">
        <v>1453</v>
      </c>
      <c r="I245" s="2" t="n">
        <v>1453</v>
      </c>
      <c r="J245" s="2" t="n">
        <v>1223</v>
      </c>
      <c r="K245" s="2">
        <f>H245+5&gt;D245</f>
        <v/>
      </c>
      <c r="L245" s="2">
        <f>J245&lt;I245</f>
        <v/>
      </c>
      <c r="M245" s="2" t="b">
        <v>1</v>
      </c>
      <c r="N245" s="2" t="b">
        <v>1</v>
      </c>
      <c r="O245" s="2" t="inlineStr">
        <is>
          <t>allow</t>
        </is>
      </c>
      <c r="P245" s="2">
        <f>O245&lt;&gt;"unknown"</f>
        <v/>
      </c>
    </row>
    <row r="246">
      <c r="A246" s="2" t="inlineStr">
        <is>
          <t>1280-on</t>
        </is>
      </c>
      <c r="B246" s="2" t="n">
        <v>1280</v>
      </c>
      <c r="C246" s="2" t="inlineStr">
        <is>
          <t>on</t>
        </is>
      </c>
      <c r="D246" s="2" t="n">
        <v>1228</v>
      </c>
      <c r="E246" s="2" t="inlineStr">
        <is>
          <t>openssl MLKEM768 (pure PQ)</t>
        </is>
      </c>
      <c r="F246" s="2" t="b">
        <v>1</v>
      </c>
      <c r="G246" s="2" t="n">
        <v>5</v>
      </c>
      <c r="H246" s="2" t="n">
        <v>1453</v>
      </c>
      <c r="I246" s="2" t="n">
        <v>1453</v>
      </c>
      <c r="J246" s="2" t="n">
        <v>1223</v>
      </c>
      <c r="K246" s="2">
        <f>H246+5&gt;D246</f>
        <v/>
      </c>
      <c r="L246" s="2">
        <f>J246&lt;I246</f>
        <v/>
      </c>
      <c r="M246" s="2" t="b">
        <v>1</v>
      </c>
      <c r="N246" s="2" t="b">
        <v>1</v>
      </c>
      <c r="O246" s="2" t="inlineStr">
        <is>
          <t>allow</t>
        </is>
      </c>
      <c r="P246" s="2">
        <f>O246&lt;&gt;"unknown"</f>
        <v/>
      </c>
    </row>
    <row r="247">
      <c r="A247" s="2" t="inlineStr">
        <is>
          <t>1280-on</t>
        </is>
      </c>
      <c r="B247" s="2" t="n">
        <v>1280</v>
      </c>
      <c r="C247" s="2" t="inlineStr">
        <is>
          <t>on</t>
        </is>
      </c>
      <c r="D247" s="2" t="n">
        <v>1228</v>
      </c>
      <c r="E247" s="2" t="inlineStr">
        <is>
          <t>openssl MLKEM768 (pure PQ)</t>
        </is>
      </c>
      <c r="F247" s="2" t="b">
        <v>1</v>
      </c>
      <c r="G247" s="2" t="n">
        <v>6</v>
      </c>
      <c r="H247" s="2" t="n">
        <v>1453</v>
      </c>
      <c r="I247" s="2" t="n">
        <v>1453</v>
      </c>
      <c r="J247" s="2" t="n">
        <v>1223</v>
      </c>
      <c r="K247" s="2">
        <f>H247+5&gt;D247</f>
        <v/>
      </c>
      <c r="L247" s="2">
        <f>J247&lt;I247</f>
        <v/>
      </c>
      <c r="M247" s="2" t="b">
        <v>1</v>
      </c>
      <c r="N247" s="2" t="b">
        <v>1</v>
      </c>
      <c r="O247" s="2" t="inlineStr">
        <is>
          <t>allow</t>
        </is>
      </c>
      <c r="P247" s="2">
        <f>O247&lt;&gt;"unknown"</f>
        <v/>
      </c>
    </row>
    <row r="248">
      <c r="A248" s="2" t="inlineStr">
        <is>
          <t>1280-on</t>
        </is>
      </c>
      <c r="B248" s="2" t="n">
        <v>1280</v>
      </c>
      <c r="C248" s="2" t="inlineStr">
        <is>
          <t>on</t>
        </is>
      </c>
      <c r="D248" s="2" t="n">
        <v>1228</v>
      </c>
      <c r="E248" s="2" t="inlineStr">
        <is>
          <t>openssl MLKEM768 (pure PQ)</t>
        </is>
      </c>
      <c r="F248" s="2" t="b">
        <v>1</v>
      </c>
      <c r="G248" s="2" t="n">
        <v>7</v>
      </c>
      <c r="H248" s="2" t="n">
        <v>1453</v>
      </c>
      <c r="I248" s="2" t="n">
        <v>1453</v>
      </c>
      <c r="J248" s="2" t="n">
        <v>1223</v>
      </c>
      <c r="K248" s="2">
        <f>H248+5&gt;D248</f>
        <v/>
      </c>
      <c r="L248" s="2">
        <f>J248&lt;I248</f>
        <v/>
      </c>
      <c r="M248" s="2" t="b">
        <v>1</v>
      </c>
      <c r="N248" s="2" t="b">
        <v>1</v>
      </c>
      <c r="O248" s="2" t="inlineStr">
        <is>
          <t>allow</t>
        </is>
      </c>
      <c r="P248" s="2">
        <f>O248&lt;&gt;"unknown"</f>
        <v/>
      </c>
    </row>
    <row r="249">
      <c r="A249" s="2" t="inlineStr">
        <is>
          <t>1280-on</t>
        </is>
      </c>
      <c r="B249" s="2" t="n">
        <v>1280</v>
      </c>
      <c r="C249" s="2" t="inlineStr">
        <is>
          <t>on</t>
        </is>
      </c>
      <c r="D249" s="2" t="n">
        <v>1228</v>
      </c>
      <c r="E249" s="2" t="inlineStr">
        <is>
          <t>openssl MLKEM768 (pure PQ)</t>
        </is>
      </c>
      <c r="F249" s="2" t="b">
        <v>1</v>
      </c>
      <c r="G249" s="2" t="n">
        <v>8</v>
      </c>
      <c r="H249" s="2" t="n">
        <v>1453</v>
      </c>
      <c r="I249" s="2" t="n">
        <v>1453</v>
      </c>
      <c r="J249" s="2" t="n">
        <v>1223</v>
      </c>
      <c r="K249" s="2">
        <f>H249+5&gt;D249</f>
        <v/>
      </c>
      <c r="L249" s="2">
        <f>J249&lt;I249</f>
        <v/>
      </c>
      <c r="M249" s="2" t="b">
        <v>1</v>
      </c>
      <c r="N249" s="2" t="b">
        <v>1</v>
      </c>
      <c r="O249" s="2" t="inlineStr">
        <is>
          <t>allow</t>
        </is>
      </c>
      <c r="P249" s="2">
        <f>O249&lt;&gt;"unknown"</f>
        <v/>
      </c>
    </row>
    <row r="250">
      <c r="A250" s="2" t="inlineStr">
        <is>
          <t>1280-on</t>
        </is>
      </c>
      <c r="B250" s="2" t="n">
        <v>1280</v>
      </c>
      <c r="C250" s="2" t="inlineStr">
        <is>
          <t>on</t>
        </is>
      </c>
      <c r="D250" s="2" t="n">
        <v>1228</v>
      </c>
      <c r="E250" s="2" t="inlineStr">
        <is>
          <t>openssl MLKEM768 (pure PQ)</t>
        </is>
      </c>
      <c r="F250" s="2" t="b">
        <v>1</v>
      </c>
      <c r="G250" s="2" t="n">
        <v>9</v>
      </c>
      <c r="H250" s="2" t="n">
        <v>1453</v>
      </c>
      <c r="I250" s="2" t="n">
        <v>1453</v>
      </c>
      <c r="J250" s="2" t="n">
        <v>1223</v>
      </c>
      <c r="K250" s="2">
        <f>H250+5&gt;D250</f>
        <v/>
      </c>
      <c r="L250" s="2">
        <f>J250&lt;I250</f>
        <v/>
      </c>
      <c r="M250" s="2" t="b">
        <v>1</v>
      </c>
      <c r="N250" s="2" t="b">
        <v>1</v>
      </c>
      <c r="O250" s="2" t="inlineStr">
        <is>
          <t>allow</t>
        </is>
      </c>
      <c r="P250" s="2">
        <f>O250&lt;&gt;"unknown"</f>
        <v/>
      </c>
    </row>
    <row r="251">
      <c r="A251" s="2" t="inlineStr">
        <is>
          <t>1280-on</t>
        </is>
      </c>
      <c r="B251" s="2" t="n">
        <v>1280</v>
      </c>
      <c r="C251" s="2" t="inlineStr">
        <is>
          <t>on</t>
        </is>
      </c>
      <c r="D251" s="2" t="n">
        <v>1228</v>
      </c>
      <c r="E251" s="2" t="inlineStr">
        <is>
          <t>openssl MLKEM768 (pure PQ)</t>
        </is>
      </c>
      <c r="F251" s="2" t="b">
        <v>1</v>
      </c>
      <c r="G251" s="2" t="n">
        <v>10</v>
      </c>
      <c r="H251" s="2" t="n">
        <v>1453</v>
      </c>
      <c r="I251" s="2" t="n">
        <v>1453</v>
      </c>
      <c r="J251" s="2" t="n">
        <v>1223</v>
      </c>
      <c r="K251" s="2">
        <f>H251+5&gt;D251</f>
        <v/>
      </c>
      <c r="L251" s="2">
        <f>J251&lt;I251</f>
        <v/>
      </c>
      <c r="M251" s="2" t="b">
        <v>1</v>
      </c>
      <c r="N251" s="2" t="b">
        <v>1</v>
      </c>
      <c r="O251" s="2" t="inlineStr">
        <is>
          <t>allow</t>
        </is>
      </c>
      <c r="P251" s="2">
        <f>O251&lt;&gt;"unknown"</f>
        <v/>
      </c>
    </row>
    <row r="252">
      <c r="A252" s="2" t="inlineStr">
        <is>
          <t>1280-on</t>
        </is>
      </c>
      <c r="B252" s="2" t="n">
        <v>1280</v>
      </c>
      <c r="C252" s="2" t="inlineStr">
        <is>
          <t>on</t>
        </is>
      </c>
      <c r="D252" s="2" t="n">
        <v>1228</v>
      </c>
      <c r="E252" s="2" t="inlineStr">
        <is>
          <t>openssl MLKEM768 (pure PQ)</t>
        </is>
      </c>
      <c r="F252" s="2" t="b">
        <v>1</v>
      </c>
      <c r="G252" s="2" t="n">
        <v>11</v>
      </c>
      <c r="H252" s="2" t="n">
        <v>1453</v>
      </c>
      <c r="I252" s="2" t="n">
        <v>1453</v>
      </c>
      <c r="J252" s="2" t="n">
        <v>1223</v>
      </c>
      <c r="K252" s="2">
        <f>H252+5&gt;D252</f>
        <v/>
      </c>
      <c r="L252" s="2">
        <f>J252&lt;I252</f>
        <v/>
      </c>
      <c r="M252" s="2" t="b">
        <v>1</v>
      </c>
      <c r="N252" s="2" t="b">
        <v>1</v>
      </c>
      <c r="O252" s="2" t="inlineStr">
        <is>
          <t>allow</t>
        </is>
      </c>
      <c r="P252" s="2">
        <f>O252&lt;&gt;"unknown"</f>
        <v/>
      </c>
    </row>
    <row r="253">
      <c r="A253" s="2" t="inlineStr">
        <is>
          <t>1280-on</t>
        </is>
      </c>
      <c r="B253" s="2" t="n">
        <v>1280</v>
      </c>
      <c r="C253" s="2" t="inlineStr">
        <is>
          <t>on</t>
        </is>
      </c>
      <c r="D253" s="2" t="n">
        <v>1228</v>
      </c>
      <c r="E253" s="2" t="inlineStr">
        <is>
          <t>openssl MLKEM768 (pure PQ)</t>
        </is>
      </c>
      <c r="F253" s="2" t="b">
        <v>1</v>
      </c>
      <c r="G253" s="2" t="n">
        <v>12</v>
      </c>
      <c r="H253" s="2" t="n">
        <v>1453</v>
      </c>
      <c r="I253" s="2" t="n">
        <v>1453</v>
      </c>
      <c r="J253" s="2" t="n">
        <v>1223</v>
      </c>
      <c r="K253" s="2">
        <f>H253+5&gt;D253</f>
        <v/>
      </c>
      <c r="L253" s="2">
        <f>J253&lt;I253</f>
        <v/>
      </c>
      <c r="M253" s="2" t="b">
        <v>1</v>
      </c>
      <c r="N253" s="2" t="b">
        <v>1</v>
      </c>
      <c r="O253" s="2" t="inlineStr">
        <is>
          <t>allow</t>
        </is>
      </c>
      <c r="P253" s="2">
        <f>O253&lt;&gt;"unknown"</f>
        <v/>
      </c>
    </row>
    <row r="254">
      <c r="A254" s="2" t="inlineStr">
        <is>
          <t>1280-on</t>
        </is>
      </c>
      <c r="B254" s="2" t="n">
        <v>1280</v>
      </c>
      <c r="C254" s="2" t="inlineStr">
        <is>
          <t>on</t>
        </is>
      </c>
      <c r="D254" s="2" t="n">
        <v>1228</v>
      </c>
      <c r="E254" s="2" t="inlineStr">
        <is>
          <t>openssl MLKEM768 (pure PQ)</t>
        </is>
      </c>
      <c r="F254" s="2" t="b">
        <v>1</v>
      </c>
      <c r="G254" s="2" t="n">
        <v>13</v>
      </c>
      <c r="H254" s="2" t="n">
        <v>1453</v>
      </c>
      <c r="I254" s="2" t="n">
        <v>1453</v>
      </c>
      <c r="J254" s="2" t="n">
        <v>1223</v>
      </c>
      <c r="K254" s="2">
        <f>H254+5&gt;D254</f>
        <v/>
      </c>
      <c r="L254" s="2">
        <f>J254&lt;I254</f>
        <v/>
      </c>
      <c r="M254" s="2" t="b">
        <v>1</v>
      </c>
      <c r="N254" s="2" t="b">
        <v>1</v>
      </c>
      <c r="O254" s="2" t="inlineStr">
        <is>
          <t>allow</t>
        </is>
      </c>
      <c r="P254" s="2">
        <f>O254&lt;&gt;"unknown"</f>
        <v/>
      </c>
    </row>
    <row r="255">
      <c r="A255" s="2" t="inlineStr">
        <is>
          <t>1280-on</t>
        </is>
      </c>
      <c r="B255" s="2" t="n">
        <v>1280</v>
      </c>
      <c r="C255" s="2" t="inlineStr">
        <is>
          <t>on</t>
        </is>
      </c>
      <c r="D255" s="2" t="n">
        <v>1228</v>
      </c>
      <c r="E255" s="2" t="inlineStr">
        <is>
          <t>openssl MLKEM768 (pure PQ)</t>
        </is>
      </c>
      <c r="F255" s="2" t="b">
        <v>1</v>
      </c>
      <c r="G255" s="2" t="n">
        <v>14</v>
      </c>
      <c r="H255" s="2" t="n">
        <v>1453</v>
      </c>
      <c r="I255" s="2" t="n">
        <v>1453</v>
      </c>
      <c r="J255" s="2" t="n">
        <v>1223</v>
      </c>
      <c r="K255" s="2">
        <f>H255+5&gt;D255</f>
        <v/>
      </c>
      <c r="L255" s="2">
        <f>J255&lt;I255</f>
        <v/>
      </c>
      <c r="M255" s="2" t="b">
        <v>1</v>
      </c>
      <c r="N255" s="2" t="b">
        <v>1</v>
      </c>
      <c r="O255" s="2" t="inlineStr">
        <is>
          <t>allow</t>
        </is>
      </c>
      <c r="P255" s="2">
        <f>O255&lt;&gt;"unknown"</f>
        <v/>
      </c>
    </row>
    <row r="256">
      <c r="A256" s="2" t="inlineStr">
        <is>
          <t>1280-on</t>
        </is>
      </c>
      <c r="B256" s="2" t="n">
        <v>1280</v>
      </c>
      <c r="C256" s="2" t="inlineStr">
        <is>
          <t>on</t>
        </is>
      </c>
      <c r="D256" s="2" t="n">
        <v>1228</v>
      </c>
      <c r="E256" s="2" t="inlineStr">
        <is>
          <t>openssl MLKEM768 (pure PQ)</t>
        </is>
      </c>
      <c r="F256" s="2" t="b">
        <v>1</v>
      </c>
      <c r="G256" s="2" t="n">
        <v>15</v>
      </c>
      <c r="H256" s="2" t="n">
        <v>1453</v>
      </c>
      <c r="I256" s="2" t="n">
        <v>1453</v>
      </c>
      <c r="J256" s="2" t="n">
        <v>1223</v>
      </c>
      <c r="K256" s="2">
        <f>H256+5&gt;D256</f>
        <v/>
      </c>
      <c r="L256" s="2">
        <f>J256&lt;I256</f>
        <v/>
      </c>
      <c r="M256" s="2" t="b">
        <v>1</v>
      </c>
      <c r="N256" s="2" t="b">
        <v>1</v>
      </c>
      <c r="O256" s="2" t="inlineStr">
        <is>
          <t>allow</t>
        </is>
      </c>
      <c r="P256" s="2">
        <f>O256&lt;&gt;"unknown"</f>
        <v/>
      </c>
    </row>
    <row r="257">
      <c r="A257" s="2" t="inlineStr">
        <is>
          <t>1280-on</t>
        </is>
      </c>
      <c r="B257" s="2" t="n">
        <v>1280</v>
      </c>
      <c r="C257" s="2" t="inlineStr">
        <is>
          <t>on</t>
        </is>
      </c>
      <c r="D257" s="2" t="n">
        <v>1228</v>
      </c>
      <c r="E257" s="2" t="inlineStr">
        <is>
          <t>openssl MLKEM768 (pure PQ)</t>
        </is>
      </c>
      <c r="F257" s="2" t="b">
        <v>1</v>
      </c>
      <c r="G257" s="2" t="n">
        <v>16</v>
      </c>
      <c r="H257" s="2" t="n">
        <v>1453</v>
      </c>
      <c r="I257" s="2" t="n">
        <v>1453</v>
      </c>
      <c r="J257" s="2" t="n">
        <v>1223</v>
      </c>
      <c r="K257" s="2">
        <f>H257+5&gt;D257</f>
        <v/>
      </c>
      <c r="L257" s="2">
        <f>J257&lt;I257</f>
        <v/>
      </c>
      <c r="M257" s="2" t="b">
        <v>1</v>
      </c>
      <c r="N257" s="2" t="b">
        <v>1</v>
      </c>
      <c r="O257" s="2" t="inlineStr">
        <is>
          <t>allow</t>
        </is>
      </c>
      <c r="P257" s="2">
        <f>O257&lt;&gt;"unknown"</f>
        <v/>
      </c>
    </row>
    <row r="258">
      <c r="A258" s="2" t="inlineStr">
        <is>
          <t>1280-on</t>
        </is>
      </c>
      <c r="B258" s="2" t="n">
        <v>1280</v>
      </c>
      <c r="C258" s="2" t="inlineStr">
        <is>
          <t>on</t>
        </is>
      </c>
      <c r="D258" s="2" t="n">
        <v>1228</v>
      </c>
      <c r="E258" s="2" t="inlineStr">
        <is>
          <t>openssl MLKEM768 (pure PQ)</t>
        </is>
      </c>
      <c r="F258" s="2" t="b">
        <v>1</v>
      </c>
      <c r="G258" s="2" t="n">
        <v>17</v>
      </c>
      <c r="H258" s="2" t="n">
        <v>1453</v>
      </c>
      <c r="I258" s="2" t="n">
        <v>1453</v>
      </c>
      <c r="J258" s="2" t="n">
        <v>1223</v>
      </c>
      <c r="K258" s="2">
        <f>H258+5&gt;D258</f>
        <v/>
      </c>
      <c r="L258" s="2">
        <f>J258&lt;I258</f>
        <v/>
      </c>
      <c r="M258" s="2" t="b">
        <v>1</v>
      </c>
      <c r="N258" s="2" t="b">
        <v>1</v>
      </c>
      <c r="O258" s="2" t="inlineStr">
        <is>
          <t>allow</t>
        </is>
      </c>
      <c r="P258" s="2">
        <f>O258&lt;&gt;"unknown"</f>
        <v/>
      </c>
    </row>
    <row r="259">
      <c r="A259" s="2" t="inlineStr">
        <is>
          <t>1280-on</t>
        </is>
      </c>
      <c r="B259" s="2" t="n">
        <v>1280</v>
      </c>
      <c r="C259" s="2" t="inlineStr">
        <is>
          <t>on</t>
        </is>
      </c>
      <c r="D259" s="2" t="n">
        <v>1228</v>
      </c>
      <c r="E259" s="2" t="inlineStr">
        <is>
          <t>openssl MLKEM768 (pure PQ)</t>
        </is>
      </c>
      <c r="F259" s="2" t="b">
        <v>1</v>
      </c>
      <c r="G259" s="2" t="n">
        <v>18</v>
      </c>
      <c r="H259" s="2" t="n">
        <v>1453</v>
      </c>
      <c r="I259" s="2" t="n">
        <v>1453</v>
      </c>
      <c r="J259" s="2" t="n">
        <v>1223</v>
      </c>
      <c r="K259" s="2">
        <f>H259+5&gt;D259</f>
        <v/>
      </c>
      <c r="L259" s="2">
        <f>J259&lt;I259</f>
        <v/>
      </c>
      <c r="M259" s="2" t="b">
        <v>1</v>
      </c>
      <c r="N259" s="2" t="b">
        <v>1</v>
      </c>
      <c r="O259" s="2" t="inlineStr">
        <is>
          <t>allow</t>
        </is>
      </c>
      <c r="P259" s="2">
        <f>O259&lt;&gt;"unknown"</f>
        <v/>
      </c>
    </row>
    <row r="260">
      <c r="A260" s="2" t="inlineStr">
        <is>
          <t>1280-on</t>
        </is>
      </c>
      <c r="B260" s="2" t="n">
        <v>1280</v>
      </c>
      <c r="C260" s="2" t="inlineStr">
        <is>
          <t>on</t>
        </is>
      </c>
      <c r="D260" s="2" t="n">
        <v>1228</v>
      </c>
      <c r="E260" s="2" t="inlineStr">
        <is>
          <t>openssl MLKEM768 (pure PQ)</t>
        </is>
      </c>
      <c r="F260" s="2" t="b">
        <v>1</v>
      </c>
      <c r="G260" s="2" t="n">
        <v>19</v>
      </c>
      <c r="H260" s="2" t="n">
        <v>1453</v>
      </c>
      <c r="I260" s="2" t="n">
        <v>1453</v>
      </c>
      <c r="J260" s="2" t="n">
        <v>1223</v>
      </c>
      <c r="K260" s="2">
        <f>H260+5&gt;D260</f>
        <v/>
      </c>
      <c r="L260" s="2">
        <f>J260&lt;I260</f>
        <v/>
      </c>
      <c r="M260" s="2" t="b">
        <v>1</v>
      </c>
      <c r="N260" s="2" t="b">
        <v>1</v>
      </c>
      <c r="O260" s="2" t="inlineStr">
        <is>
          <t>allow</t>
        </is>
      </c>
      <c r="P260" s="2">
        <f>O260&lt;&gt;"unknown"</f>
        <v/>
      </c>
    </row>
    <row r="261">
      <c r="A261" s="2" t="inlineStr">
        <is>
          <t>1280-on</t>
        </is>
      </c>
      <c r="B261" s="2" t="n">
        <v>1280</v>
      </c>
      <c r="C261" s="2" t="inlineStr">
        <is>
          <t>on</t>
        </is>
      </c>
      <c r="D261" s="2" t="n">
        <v>1228</v>
      </c>
      <c r="E261" s="2" t="inlineStr">
        <is>
          <t>openssl MLKEM768 (pure PQ)</t>
        </is>
      </c>
      <c r="F261" s="2" t="b">
        <v>1</v>
      </c>
      <c r="G261" s="2" t="n">
        <v>20</v>
      </c>
      <c r="H261" s="2" t="n">
        <v>1453</v>
      </c>
      <c r="I261" s="2" t="n">
        <v>1453</v>
      </c>
      <c r="J261" s="2" t="n">
        <v>1223</v>
      </c>
      <c r="K261" s="2">
        <f>H261+5&gt;D261</f>
        <v/>
      </c>
      <c r="L261" s="2">
        <f>J261&lt;I261</f>
        <v/>
      </c>
      <c r="M261" s="2" t="b">
        <v>1</v>
      </c>
      <c r="N261" s="2" t="b">
        <v>1</v>
      </c>
      <c r="O261" s="2" t="inlineStr">
        <is>
          <t>allow</t>
        </is>
      </c>
      <c r="P261" s="2">
        <f>O261&lt;&gt;"unknown"</f>
        <v/>
      </c>
    </row>
    <row r="262">
      <c r="A262" s="2" t="inlineStr">
        <is>
          <t>1280-on</t>
        </is>
      </c>
      <c r="B262" s="2" t="n">
        <v>1280</v>
      </c>
      <c r="C262" s="2" t="inlineStr">
        <is>
          <t>on</t>
        </is>
      </c>
      <c r="D262" s="2" t="n">
        <v>1228</v>
      </c>
      <c r="E262" s="2" t="inlineStr">
        <is>
          <t>openssl MLKEM1024 (pure PQ)</t>
        </is>
      </c>
      <c r="F262" s="2" t="b">
        <v>1</v>
      </c>
      <c r="G262" s="2" t="n">
        <v>1</v>
      </c>
      <c r="H262" s="2" t="n">
        <v>1837</v>
      </c>
      <c r="I262" s="2" t="n">
        <v>1837</v>
      </c>
      <c r="J262" s="2" t="n">
        <v>1223</v>
      </c>
      <c r="K262" s="2">
        <f>H262+5&gt;D262</f>
        <v/>
      </c>
      <c r="L262" s="2">
        <f>J262&lt;I262</f>
        <v/>
      </c>
      <c r="M262" s="2" t="b">
        <v>1</v>
      </c>
      <c r="N262" s="2" t="b">
        <v>1</v>
      </c>
      <c r="O262" s="2" t="inlineStr">
        <is>
          <t>allow</t>
        </is>
      </c>
      <c r="P262" s="2">
        <f>O262&lt;&gt;"unknown"</f>
        <v/>
      </c>
    </row>
    <row r="263">
      <c r="A263" s="2" t="inlineStr">
        <is>
          <t>1280-on</t>
        </is>
      </c>
      <c r="B263" s="2" t="n">
        <v>1280</v>
      </c>
      <c r="C263" s="2" t="inlineStr">
        <is>
          <t>on</t>
        </is>
      </c>
      <c r="D263" s="2" t="n">
        <v>1228</v>
      </c>
      <c r="E263" s="2" t="inlineStr">
        <is>
          <t>openssl MLKEM1024 (pure PQ)</t>
        </is>
      </c>
      <c r="F263" s="2" t="b">
        <v>1</v>
      </c>
      <c r="G263" s="2" t="n">
        <v>2</v>
      </c>
      <c r="H263" s="2" t="n">
        <v>1837</v>
      </c>
      <c r="I263" s="2" t="n">
        <v>1837</v>
      </c>
      <c r="J263" s="2" t="n">
        <v>1223</v>
      </c>
      <c r="K263" s="2">
        <f>H263+5&gt;D263</f>
        <v/>
      </c>
      <c r="L263" s="2">
        <f>J263&lt;I263</f>
        <v/>
      </c>
      <c r="M263" s="2" t="b">
        <v>1</v>
      </c>
      <c r="N263" s="2" t="b">
        <v>1</v>
      </c>
      <c r="O263" s="2" t="inlineStr">
        <is>
          <t>allow</t>
        </is>
      </c>
      <c r="P263" s="2">
        <f>O263&lt;&gt;"unknown"</f>
        <v/>
      </c>
    </row>
    <row r="264">
      <c r="A264" s="2" t="inlineStr">
        <is>
          <t>1280-on</t>
        </is>
      </c>
      <c r="B264" s="2" t="n">
        <v>1280</v>
      </c>
      <c r="C264" s="2" t="inlineStr">
        <is>
          <t>on</t>
        </is>
      </c>
      <c r="D264" s="2" t="n">
        <v>1228</v>
      </c>
      <c r="E264" s="2" t="inlineStr">
        <is>
          <t>openssl MLKEM1024 (pure PQ)</t>
        </is>
      </c>
      <c r="F264" s="2" t="b">
        <v>1</v>
      </c>
      <c r="G264" s="2" t="n">
        <v>3</v>
      </c>
      <c r="H264" s="2" t="n">
        <v>1837</v>
      </c>
      <c r="I264" s="2" t="n">
        <v>1837</v>
      </c>
      <c r="J264" s="2" t="n">
        <v>1223</v>
      </c>
      <c r="K264" s="2">
        <f>H264+5&gt;D264</f>
        <v/>
      </c>
      <c r="L264" s="2">
        <f>J264&lt;I264</f>
        <v/>
      </c>
      <c r="M264" s="2" t="b">
        <v>1</v>
      </c>
      <c r="N264" s="2" t="b">
        <v>1</v>
      </c>
      <c r="O264" s="2" t="inlineStr">
        <is>
          <t>allow</t>
        </is>
      </c>
      <c r="P264" s="2">
        <f>O264&lt;&gt;"unknown"</f>
        <v/>
      </c>
    </row>
    <row r="265">
      <c r="A265" s="2" t="inlineStr">
        <is>
          <t>1280-on</t>
        </is>
      </c>
      <c r="B265" s="2" t="n">
        <v>1280</v>
      </c>
      <c r="C265" s="2" t="inlineStr">
        <is>
          <t>on</t>
        </is>
      </c>
      <c r="D265" s="2" t="n">
        <v>1228</v>
      </c>
      <c r="E265" s="2" t="inlineStr">
        <is>
          <t>openssl MLKEM1024 (pure PQ)</t>
        </is>
      </c>
      <c r="F265" s="2" t="b">
        <v>1</v>
      </c>
      <c r="G265" s="2" t="n">
        <v>4</v>
      </c>
      <c r="H265" s="2" t="n">
        <v>1837</v>
      </c>
      <c r="I265" s="2" t="n">
        <v>1837</v>
      </c>
      <c r="J265" s="2" t="n">
        <v>1223</v>
      </c>
      <c r="K265" s="2">
        <f>H265+5&gt;D265</f>
        <v/>
      </c>
      <c r="L265" s="2">
        <f>J265&lt;I265</f>
        <v/>
      </c>
      <c r="M265" s="2" t="b">
        <v>1</v>
      </c>
      <c r="N265" s="2" t="b">
        <v>1</v>
      </c>
      <c r="O265" s="2" t="inlineStr">
        <is>
          <t>allow</t>
        </is>
      </c>
      <c r="P265" s="2">
        <f>O265&lt;&gt;"unknown"</f>
        <v/>
      </c>
    </row>
    <row r="266">
      <c r="A266" s="2" t="inlineStr">
        <is>
          <t>1280-on</t>
        </is>
      </c>
      <c r="B266" s="2" t="n">
        <v>1280</v>
      </c>
      <c r="C266" s="2" t="inlineStr">
        <is>
          <t>on</t>
        </is>
      </c>
      <c r="D266" s="2" t="n">
        <v>1228</v>
      </c>
      <c r="E266" s="2" t="inlineStr">
        <is>
          <t>openssl MLKEM1024 (pure PQ)</t>
        </is>
      </c>
      <c r="F266" s="2" t="b">
        <v>1</v>
      </c>
      <c r="G266" s="2" t="n">
        <v>5</v>
      </c>
      <c r="H266" s="2" t="n">
        <v>1837</v>
      </c>
      <c r="I266" s="2" t="n">
        <v>1837</v>
      </c>
      <c r="J266" s="2" t="n">
        <v>1223</v>
      </c>
      <c r="K266" s="2">
        <f>H266+5&gt;D266</f>
        <v/>
      </c>
      <c r="L266" s="2">
        <f>J266&lt;I266</f>
        <v/>
      </c>
      <c r="M266" s="2" t="b">
        <v>1</v>
      </c>
      <c r="N266" s="2" t="b">
        <v>1</v>
      </c>
      <c r="O266" s="2" t="inlineStr">
        <is>
          <t>allow</t>
        </is>
      </c>
      <c r="P266" s="2">
        <f>O266&lt;&gt;"unknown"</f>
        <v/>
      </c>
    </row>
    <row r="267">
      <c r="A267" s="2" t="inlineStr">
        <is>
          <t>1280-on</t>
        </is>
      </c>
      <c r="B267" s="2" t="n">
        <v>1280</v>
      </c>
      <c r="C267" s="2" t="inlineStr">
        <is>
          <t>on</t>
        </is>
      </c>
      <c r="D267" s="2" t="n">
        <v>1228</v>
      </c>
      <c r="E267" s="2" t="inlineStr">
        <is>
          <t>openssl MLKEM1024 (pure PQ)</t>
        </is>
      </c>
      <c r="F267" s="2" t="b">
        <v>1</v>
      </c>
      <c r="G267" s="2" t="n">
        <v>6</v>
      </c>
      <c r="H267" s="2" t="n">
        <v>1837</v>
      </c>
      <c r="I267" s="2" t="n">
        <v>1837</v>
      </c>
      <c r="J267" s="2" t="n">
        <v>1223</v>
      </c>
      <c r="K267" s="2">
        <f>H267+5&gt;D267</f>
        <v/>
      </c>
      <c r="L267" s="2">
        <f>J267&lt;I267</f>
        <v/>
      </c>
      <c r="M267" s="2" t="b">
        <v>1</v>
      </c>
      <c r="N267" s="2" t="b">
        <v>1</v>
      </c>
      <c r="O267" s="2" t="inlineStr">
        <is>
          <t>allow</t>
        </is>
      </c>
      <c r="P267" s="2">
        <f>O267&lt;&gt;"unknown"</f>
        <v/>
      </c>
    </row>
    <row r="268">
      <c r="A268" s="2" t="inlineStr">
        <is>
          <t>1280-on</t>
        </is>
      </c>
      <c r="B268" s="2" t="n">
        <v>1280</v>
      </c>
      <c r="C268" s="2" t="inlineStr">
        <is>
          <t>on</t>
        </is>
      </c>
      <c r="D268" s="2" t="n">
        <v>1228</v>
      </c>
      <c r="E268" s="2" t="inlineStr">
        <is>
          <t>openssl MLKEM1024 (pure PQ)</t>
        </is>
      </c>
      <c r="F268" s="2" t="b">
        <v>1</v>
      </c>
      <c r="G268" s="2" t="n">
        <v>7</v>
      </c>
      <c r="H268" s="2" t="n">
        <v>1837</v>
      </c>
      <c r="I268" s="2" t="n">
        <v>1837</v>
      </c>
      <c r="J268" s="2" t="n">
        <v>1223</v>
      </c>
      <c r="K268" s="2">
        <f>H268+5&gt;D268</f>
        <v/>
      </c>
      <c r="L268" s="2">
        <f>J268&lt;I268</f>
        <v/>
      </c>
      <c r="M268" s="2" t="b">
        <v>1</v>
      </c>
      <c r="N268" s="2" t="b">
        <v>1</v>
      </c>
      <c r="O268" s="2" t="inlineStr">
        <is>
          <t>allow</t>
        </is>
      </c>
      <c r="P268" s="2">
        <f>O268&lt;&gt;"unknown"</f>
        <v/>
      </c>
    </row>
    <row r="269">
      <c r="A269" s="2" t="inlineStr">
        <is>
          <t>1280-on</t>
        </is>
      </c>
      <c r="B269" s="2" t="n">
        <v>1280</v>
      </c>
      <c r="C269" s="2" t="inlineStr">
        <is>
          <t>on</t>
        </is>
      </c>
      <c r="D269" s="2" t="n">
        <v>1228</v>
      </c>
      <c r="E269" s="2" t="inlineStr">
        <is>
          <t>openssl MLKEM1024 (pure PQ)</t>
        </is>
      </c>
      <c r="F269" s="2" t="b">
        <v>1</v>
      </c>
      <c r="G269" s="2" t="n">
        <v>8</v>
      </c>
      <c r="H269" s="2" t="n">
        <v>1837</v>
      </c>
      <c r="I269" s="2" t="n">
        <v>1837</v>
      </c>
      <c r="J269" s="2" t="n">
        <v>1223</v>
      </c>
      <c r="K269" s="2">
        <f>H269+5&gt;D269</f>
        <v/>
      </c>
      <c r="L269" s="2">
        <f>J269&lt;I269</f>
        <v/>
      </c>
      <c r="M269" s="2" t="b">
        <v>1</v>
      </c>
      <c r="N269" s="2" t="b">
        <v>1</v>
      </c>
      <c r="O269" s="2" t="inlineStr">
        <is>
          <t>allow</t>
        </is>
      </c>
      <c r="P269" s="2">
        <f>O269&lt;&gt;"unknown"</f>
        <v/>
      </c>
    </row>
    <row r="270">
      <c r="A270" s="2" t="inlineStr">
        <is>
          <t>1280-on</t>
        </is>
      </c>
      <c r="B270" s="2" t="n">
        <v>1280</v>
      </c>
      <c r="C270" s="2" t="inlineStr">
        <is>
          <t>on</t>
        </is>
      </c>
      <c r="D270" s="2" t="n">
        <v>1228</v>
      </c>
      <c r="E270" s="2" t="inlineStr">
        <is>
          <t>openssl MLKEM1024 (pure PQ)</t>
        </is>
      </c>
      <c r="F270" s="2" t="b">
        <v>1</v>
      </c>
      <c r="G270" s="2" t="n">
        <v>9</v>
      </c>
      <c r="H270" s="2" t="n">
        <v>1837</v>
      </c>
      <c r="I270" s="2" t="n">
        <v>1837</v>
      </c>
      <c r="J270" s="2" t="n">
        <v>1223</v>
      </c>
      <c r="K270" s="2">
        <f>H270+5&gt;D270</f>
        <v/>
      </c>
      <c r="L270" s="2">
        <f>J270&lt;I270</f>
        <v/>
      </c>
      <c r="M270" s="2" t="b">
        <v>1</v>
      </c>
      <c r="N270" s="2" t="b">
        <v>1</v>
      </c>
      <c r="O270" s="2" t="inlineStr">
        <is>
          <t>allow</t>
        </is>
      </c>
      <c r="P270" s="2">
        <f>O270&lt;&gt;"unknown"</f>
        <v/>
      </c>
    </row>
    <row r="271">
      <c r="A271" s="2" t="inlineStr">
        <is>
          <t>1280-on</t>
        </is>
      </c>
      <c r="B271" s="2" t="n">
        <v>1280</v>
      </c>
      <c r="C271" s="2" t="inlineStr">
        <is>
          <t>on</t>
        </is>
      </c>
      <c r="D271" s="2" t="n">
        <v>1228</v>
      </c>
      <c r="E271" s="2" t="inlineStr">
        <is>
          <t>openssl MLKEM1024 (pure PQ)</t>
        </is>
      </c>
      <c r="F271" s="2" t="b">
        <v>1</v>
      </c>
      <c r="G271" s="2" t="n">
        <v>10</v>
      </c>
      <c r="H271" s="2" t="n">
        <v>1837</v>
      </c>
      <c r="I271" s="2" t="n">
        <v>1837</v>
      </c>
      <c r="J271" s="2" t="n">
        <v>1223</v>
      </c>
      <c r="K271" s="2">
        <f>H271+5&gt;D271</f>
        <v/>
      </c>
      <c r="L271" s="2">
        <f>J271&lt;I271</f>
        <v/>
      </c>
      <c r="M271" s="2" t="b">
        <v>1</v>
      </c>
      <c r="N271" s="2" t="b">
        <v>1</v>
      </c>
      <c r="O271" s="2" t="inlineStr">
        <is>
          <t>allow</t>
        </is>
      </c>
      <c r="P271" s="2">
        <f>O271&lt;&gt;"unknown"</f>
        <v/>
      </c>
    </row>
    <row r="272">
      <c r="A272" s="2" t="inlineStr">
        <is>
          <t>1280-on</t>
        </is>
      </c>
      <c r="B272" s="2" t="n">
        <v>1280</v>
      </c>
      <c r="C272" s="2" t="inlineStr">
        <is>
          <t>on</t>
        </is>
      </c>
      <c r="D272" s="2" t="n">
        <v>1228</v>
      </c>
      <c r="E272" s="2" t="inlineStr">
        <is>
          <t>openssl MLKEM1024 (pure PQ)</t>
        </is>
      </c>
      <c r="F272" s="2" t="b">
        <v>1</v>
      </c>
      <c r="G272" s="2" t="n">
        <v>11</v>
      </c>
      <c r="H272" s="2" t="n">
        <v>1837</v>
      </c>
      <c r="I272" s="2" t="n">
        <v>1837</v>
      </c>
      <c r="J272" s="2" t="n">
        <v>1223</v>
      </c>
      <c r="K272" s="2">
        <f>H272+5&gt;D272</f>
        <v/>
      </c>
      <c r="L272" s="2">
        <f>J272&lt;I272</f>
        <v/>
      </c>
      <c r="M272" s="2" t="b">
        <v>1</v>
      </c>
      <c r="N272" s="2" t="b">
        <v>1</v>
      </c>
      <c r="O272" s="2" t="inlineStr">
        <is>
          <t>allow</t>
        </is>
      </c>
      <c r="P272" s="2">
        <f>O272&lt;&gt;"unknown"</f>
        <v/>
      </c>
    </row>
    <row r="273">
      <c r="A273" s="2" t="inlineStr">
        <is>
          <t>1280-on</t>
        </is>
      </c>
      <c r="B273" s="2" t="n">
        <v>1280</v>
      </c>
      <c r="C273" s="2" t="inlineStr">
        <is>
          <t>on</t>
        </is>
      </c>
      <c r="D273" s="2" t="n">
        <v>1228</v>
      </c>
      <c r="E273" s="2" t="inlineStr">
        <is>
          <t>openssl MLKEM1024 (pure PQ)</t>
        </is>
      </c>
      <c r="F273" s="2" t="b">
        <v>1</v>
      </c>
      <c r="G273" s="2" t="n">
        <v>12</v>
      </c>
      <c r="H273" s="2" t="n">
        <v>1837</v>
      </c>
      <c r="I273" s="2" t="n">
        <v>1837</v>
      </c>
      <c r="J273" s="2" t="n">
        <v>1223</v>
      </c>
      <c r="K273" s="2">
        <f>H273+5&gt;D273</f>
        <v/>
      </c>
      <c r="L273" s="2">
        <f>J273&lt;I273</f>
        <v/>
      </c>
      <c r="M273" s="2" t="b">
        <v>1</v>
      </c>
      <c r="N273" s="2" t="b">
        <v>1</v>
      </c>
      <c r="O273" s="2" t="inlineStr">
        <is>
          <t>allow</t>
        </is>
      </c>
      <c r="P273" s="2">
        <f>O273&lt;&gt;"unknown"</f>
        <v/>
      </c>
    </row>
    <row r="274">
      <c r="A274" s="2" t="inlineStr">
        <is>
          <t>1280-on</t>
        </is>
      </c>
      <c r="B274" s="2" t="n">
        <v>1280</v>
      </c>
      <c r="C274" s="2" t="inlineStr">
        <is>
          <t>on</t>
        </is>
      </c>
      <c r="D274" s="2" t="n">
        <v>1228</v>
      </c>
      <c r="E274" s="2" t="inlineStr">
        <is>
          <t>openssl MLKEM1024 (pure PQ)</t>
        </is>
      </c>
      <c r="F274" s="2" t="b">
        <v>1</v>
      </c>
      <c r="G274" s="2" t="n">
        <v>13</v>
      </c>
      <c r="H274" s="2" t="n">
        <v>1837</v>
      </c>
      <c r="I274" s="2" t="n">
        <v>1837</v>
      </c>
      <c r="J274" s="2" t="n">
        <v>1223</v>
      </c>
      <c r="K274" s="2">
        <f>H274+5&gt;D274</f>
        <v/>
      </c>
      <c r="L274" s="2">
        <f>J274&lt;I274</f>
        <v/>
      </c>
      <c r="M274" s="2" t="b">
        <v>1</v>
      </c>
      <c r="N274" s="2" t="b">
        <v>1</v>
      </c>
      <c r="O274" s="2" t="inlineStr">
        <is>
          <t>allow</t>
        </is>
      </c>
      <c r="P274" s="2">
        <f>O274&lt;&gt;"unknown"</f>
        <v/>
      </c>
    </row>
    <row r="275">
      <c r="A275" s="2" t="inlineStr">
        <is>
          <t>1280-on</t>
        </is>
      </c>
      <c r="B275" s="2" t="n">
        <v>1280</v>
      </c>
      <c r="C275" s="2" t="inlineStr">
        <is>
          <t>on</t>
        </is>
      </c>
      <c r="D275" s="2" t="n">
        <v>1228</v>
      </c>
      <c r="E275" s="2" t="inlineStr">
        <is>
          <t>openssl MLKEM1024 (pure PQ)</t>
        </is>
      </c>
      <c r="F275" s="2" t="b">
        <v>1</v>
      </c>
      <c r="G275" s="2" t="n">
        <v>14</v>
      </c>
      <c r="H275" s="2" t="n">
        <v>1837</v>
      </c>
      <c r="I275" s="2" t="n">
        <v>1837</v>
      </c>
      <c r="J275" s="2" t="n">
        <v>1223</v>
      </c>
      <c r="K275" s="2">
        <f>H275+5&gt;D275</f>
        <v/>
      </c>
      <c r="L275" s="2">
        <f>J275&lt;I275</f>
        <v/>
      </c>
      <c r="M275" s="2" t="b">
        <v>1</v>
      </c>
      <c r="N275" s="2" t="b">
        <v>1</v>
      </c>
      <c r="O275" s="2" t="inlineStr">
        <is>
          <t>allow</t>
        </is>
      </c>
      <c r="P275" s="2">
        <f>O275&lt;&gt;"unknown"</f>
        <v/>
      </c>
    </row>
    <row r="276">
      <c r="A276" s="2" t="inlineStr">
        <is>
          <t>1280-on</t>
        </is>
      </c>
      <c r="B276" s="2" t="n">
        <v>1280</v>
      </c>
      <c r="C276" s="2" t="inlineStr">
        <is>
          <t>on</t>
        </is>
      </c>
      <c r="D276" s="2" t="n">
        <v>1228</v>
      </c>
      <c r="E276" s="2" t="inlineStr">
        <is>
          <t>openssl MLKEM1024 (pure PQ)</t>
        </is>
      </c>
      <c r="F276" s="2" t="b">
        <v>1</v>
      </c>
      <c r="G276" s="2" t="n">
        <v>15</v>
      </c>
      <c r="H276" s="2" t="n">
        <v>1837</v>
      </c>
      <c r="I276" s="2" t="n">
        <v>1837</v>
      </c>
      <c r="J276" s="2" t="n">
        <v>1223</v>
      </c>
      <c r="K276" s="2">
        <f>H276+5&gt;D276</f>
        <v/>
      </c>
      <c r="L276" s="2">
        <f>J276&lt;I276</f>
        <v/>
      </c>
      <c r="M276" s="2" t="b">
        <v>1</v>
      </c>
      <c r="N276" s="2" t="b">
        <v>1</v>
      </c>
      <c r="O276" s="2" t="inlineStr">
        <is>
          <t>allow</t>
        </is>
      </c>
      <c r="P276" s="2">
        <f>O276&lt;&gt;"unknown"</f>
        <v/>
      </c>
    </row>
    <row r="277">
      <c r="A277" s="2" t="inlineStr">
        <is>
          <t>1280-on</t>
        </is>
      </c>
      <c r="B277" s="2" t="n">
        <v>1280</v>
      </c>
      <c r="C277" s="2" t="inlineStr">
        <is>
          <t>on</t>
        </is>
      </c>
      <c r="D277" s="2" t="n">
        <v>1228</v>
      </c>
      <c r="E277" s="2" t="inlineStr">
        <is>
          <t>openssl MLKEM1024 (pure PQ)</t>
        </is>
      </c>
      <c r="F277" s="2" t="b">
        <v>1</v>
      </c>
      <c r="G277" s="2" t="n">
        <v>16</v>
      </c>
      <c r="H277" s="2" t="n">
        <v>1837</v>
      </c>
      <c r="I277" s="2" t="n">
        <v>1837</v>
      </c>
      <c r="J277" s="2" t="n">
        <v>1223</v>
      </c>
      <c r="K277" s="2">
        <f>H277+5&gt;D277</f>
        <v/>
      </c>
      <c r="L277" s="2">
        <f>J277&lt;I277</f>
        <v/>
      </c>
      <c r="M277" s="2" t="b">
        <v>1</v>
      </c>
      <c r="N277" s="2" t="b">
        <v>1</v>
      </c>
      <c r="O277" s="2" t="inlineStr">
        <is>
          <t>allow</t>
        </is>
      </c>
      <c r="P277" s="2">
        <f>O277&lt;&gt;"unknown"</f>
        <v/>
      </c>
    </row>
    <row r="278">
      <c r="A278" s="2" t="inlineStr">
        <is>
          <t>1280-on</t>
        </is>
      </c>
      <c r="B278" s="2" t="n">
        <v>1280</v>
      </c>
      <c r="C278" s="2" t="inlineStr">
        <is>
          <t>on</t>
        </is>
      </c>
      <c r="D278" s="2" t="n">
        <v>1228</v>
      </c>
      <c r="E278" s="2" t="inlineStr">
        <is>
          <t>openssl MLKEM1024 (pure PQ)</t>
        </is>
      </c>
      <c r="F278" s="2" t="b">
        <v>1</v>
      </c>
      <c r="G278" s="2" t="n">
        <v>17</v>
      </c>
      <c r="H278" s="2" t="n">
        <v>1837</v>
      </c>
      <c r="I278" s="2" t="n">
        <v>1837</v>
      </c>
      <c r="J278" s="2" t="n">
        <v>1223</v>
      </c>
      <c r="K278" s="2">
        <f>H278+5&gt;D278</f>
        <v/>
      </c>
      <c r="L278" s="2">
        <f>J278&lt;I278</f>
        <v/>
      </c>
      <c r="M278" s="2" t="b">
        <v>1</v>
      </c>
      <c r="N278" s="2" t="b">
        <v>1</v>
      </c>
      <c r="O278" s="2" t="inlineStr">
        <is>
          <t>allow</t>
        </is>
      </c>
      <c r="P278" s="2">
        <f>O278&lt;&gt;"unknown"</f>
        <v/>
      </c>
    </row>
    <row r="279">
      <c r="A279" s="2" t="inlineStr">
        <is>
          <t>1280-on</t>
        </is>
      </c>
      <c r="B279" s="2" t="n">
        <v>1280</v>
      </c>
      <c r="C279" s="2" t="inlineStr">
        <is>
          <t>on</t>
        </is>
      </c>
      <c r="D279" s="2" t="n">
        <v>1228</v>
      </c>
      <c r="E279" s="2" t="inlineStr">
        <is>
          <t>openssl MLKEM1024 (pure PQ)</t>
        </is>
      </c>
      <c r="F279" s="2" t="b">
        <v>1</v>
      </c>
      <c r="G279" s="2" t="n">
        <v>18</v>
      </c>
      <c r="H279" s="2" t="n">
        <v>1837</v>
      </c>
      <c r="I279" s="2" t="n">
        <v>1837</v>
      </c>
      <c r="J279" s="2" t="n">
        <v>1223</v>
      </c>
      <c r="K279" s="2">
        <f>H279+5&gt;D279</f>
        <v/>
      </c>
      <c r="L279" s="2">
        <f>J279&lt;I279</f>
        <v/>
      </c>
      <c r="M279" s="2" t="b">
        <v>1</v>
      </c>
      <c r="N279" s="2" t="b">
        <v>1</v>
      </c>
      <c r="O279" s="2" t="inlineStr">
        <is>
          <t>allow</t>
        </is>
      </c>
      <c r="P279" s="2">
        <f>O279&lt;&gt;"unknown"</f>
        <v/>
      </c>
    </row>
    <row r="280">
      <c r="A280" s="2" t="inlineStr">
        <is>
          <t>1280-on</t>
        </is>
      </c>
      <c r="B280" s="2" t="n">
        <v>1280</v>
      </c>
      <c r="C280" s="2" t="inlineStr">
        <is>
          <t>on</t>
        </is>
      </c>
      <c r="D280" s="2" t="n">
        <v>1228</v>
      </c>
      <c r="E280" s="2" t="inlineStr">
        <is>
          <t>openssl MLKEM1024 (pure PQ)</t>
        </is>
      </c>
      <c r="F280" s="2" t="b">
        <v>1</v>
      </c>
      <c r="G280" s="2" t="n">
        <v>19</v>
      </c>
      <c r="H280" s="2" t="n">
        <v>1837</v>
      </c>
      <c r="I280" s="2" t="n">
        <v>1837</v>
      </c>
      <c r="J280" s="2" t="n">
        <v>1223</v>
      </c>
      <c r="K280" s="2">
        <f>H280+5&gt;D280</f>
        <v/>
      </c>
      <c r="L280" s="2">
        <f>J280&lt;I280</f>
        <v/>
      </c>
      <c r="M280" s="2" t="b">
        <v>1</v>
      </c>
      <c r="N280" s="2" t="b">
        <v>1</v>
      </c>
      <c r="O280" s="2" t="inlineStr">
        <is>
          <t>allow</t>
        </is>
      </c>
      <c r="P280" s="2">
        <f>O280&lt;&gt;"unknown"</f>
        <v/>
      </c>
    </row>
    <row r="281">
      <c r="A281" s="2" t="inlineStr">
        <is>
          <t>1280-on</t>
        </is>
      </c>
      <c r="B281" s="2" t="n">
        <v>1280</v>
      </c>
      <c r="C281" s="2" t="inlineStr">
        <is>
          <t>on</t>
        </is>
      </c>
      <c r="D281" s="2" t="n">
        <v>1228</v>
      </c>
      <c r="E281" s="2" t="inlineStr">
        <is>
          <t>openssl MLKEM1024 (pure PQ)</t>
        </is>
      </c>
      <c r="F281" s="2" t="b">
        <v>1</v>
      </c>
      <c r="G281" s="2" t="n">
        <v>20</v>
      </c>
      <c r="H281" s="2" t="n">
        <v>1837</v>
      </c>
      <c r="I281" s="2" t="n">
        <v>1837</v>
      </c>
      <c r="J281" s="2" t="n">
        <v>1223</v>
      </c>
      <c r="K281" s="2">
        <f>H281+5&gt;D281</f>
        <v/>
      </c>
      <c r="L281" s="2">
        <f>J281&lt;I281</f>
        <v/>
      </c>
      <c r="M281" s="2" t="b">
        <v>1</v>
      </c>
      <c r="N281" s="2" t="b">
        <v>1</v>
      </c>
      <c r="O281" s="2" t="inlineStr">
        <is>
          <t>allow</t>
        </is>
      </c>
      <c r="P281" s="2">
        <f>O281&lt;&gt;"unknown"</f>
        <v/>
      </c>
    </row>
    <row r="282">
      <c r="A282" s="2" t="inlineStr">
        <is>
          <t>1280-on</t>
        </is>
      </c>
      <c r="B282" s="2" t="n">
        <v>1280</v>
      </c>
      <c r="C282" s="2" t="inlineStr">
        <is>
          <t>on</t>
        </is>
      </c>
      <c r="D282" s="2" t="n">
        <v>1228</v>
      </c>
      <c r="E282" s="2" t="inlineStr">
        <is>
          <t>openssl TLS 1.2 only</t>
        </is>
      </c>
      <c r="F282" s="2" t="b">
        <v>0</v>
      </c>
      <c r="G282" s="2" t="n">
        <v>1</v>
      </c>
      <c r="H282" s="2" t="n">
        <v>210</v>
      </c>
      <c r="I282" s="2" t="n">
        <v>210</v>
      </c>
      <c r="J282" s="2" t="n">
        <v>210</v>
      </c>
      <c r="K282" s="2">
        <f>H282+5&gt;D282</f>
        <v/>
      </c>
      <c r="L282" s="2">
        <f>J282&lt;I282</f>
        <v/>
      </c>
      <c r="M282" s="2" t="b">
        <v>1</v>
      </c>
      <c r="N282" s="2" t="b">
        <v>1</v>
      </c>
      <c r="O282" s="2" t="inlineStr">
        <is>
          <t>allow</t>
        </is>
      </c>
      <c r="P282" s="2">
        <f>O282&lt;&gt;"unknown"</f>
        <v/>
      </c>
    </row>
    <row r="283">
      <c r="A283" s="2" t="inlineStr">
        <is>
          <t>1280-on</t>
        </is>
      </c>
      <c r="B283" s="2" t="n">
        <v>1280</v>
      </c>
      <c r="C283" s="2" t="inlineStr">
        <is>
          <t>on</t>
        </is>
      </c>
      <c r="D283" s="2" t="n">
        <v>1228</v>
      </c>
      <c r="E283" s="2" t="inlineStr">
        <is>
          <t>openssl TLS 1.2 only</t>
        </is>
      </c>
      <c r="F283" s="2" t="b">
        <v>0</v>
      </c>
      <c r="G283" s="2" t="n">
        <v>2</v>
      </c>
      <c r="H283" s="2" t="n">
        <v>210</v>
      </c>
      <c r="I283" s="2" t="n">
        <v>210</v>
      </c>
      <c r="J283" s="2" t="n">
        <v>210</v>
      </c>
      <c r="K283" s="2">
        <f>H283+5&gt;D283</f>
        <v/>
      </c>
      <c r="L283" s="2">
        <f>J283&lt;I283</f>
        <v/>
      </c>
      <c r="M283" s="2" t="b">
        <v>1</v>
      </c>
      <c r="N283" s="2" t="b">
        <v>1</v>
      </c>
      <c r="O283" s="2" t="inlineStr">
        <is>
          <t>allow</t>
        </is>
      </c>
      <c r="P283" s="2">
        <f>O283&lt;&gt;"unknown"</f>
        <v/>
      </c>
    </row>
    <row r="284">
      <c r="A284" s="2" t="inlineStr">
        <is>
          <t>1280-on</t>
        </is>
      </c>
      <c r="B284" s="2" t="n">
        <v>1280</v>
      </c>
      <c r="C284" s="2" t="inlineStr">
        <is>
          <t>on</t>
        </is>
      </c>
      <c r="D284" s="2" t="n">
        <v>1228</v>
      </c>
      <c r="E284" s="2" t="inlineStr">
        <is>
          <t>openssl TLS 1.2 only</t>
        </is>
      </c>
      <c r="F284" s="2" t="b">
        <v>0</v>
      </c>
      <c r="G284" s="2" t="n">
        <v>3</v>
      </c>
      <c r="H284" s="2" t="n">
        <v>210</v>
      </c>
      <c r="I284" s="2" t="n">
        <v>210</v>
      </c>
      <c r="J284" s="2" t="n">
        <v>210</v>
      </c>
      <c r="K284" s="2">
        <f>H284+5&gt;D284</f>
        <v/>
      </c>
      <c r="L284" s="2">
        <f>J284&lt;I284</f>
        <v/>
      </c>
      <c r="M284" s="2" t="b">
        <v>1</v>
      </c>
      <c r="N284" s="2" t="b">
        <v>1</v>
      </c>
      <c r="O284" s="2" t="inlineStr">
        <is>
          <t>allow</t>
        </is>
      </c>
      <c r="P284" s="2">
        <f>O284&lt;&gt;"unknown"</f>
        <v/>
      </c>
    </row>
    <row r="285">
      <c r="A285" s="2" t="inlineStr">
        <is>
          <t>1280-on</t>
        </is>
      </c>
      <c r="B285" s="2" t="n">
        <v>1280</v>
      </c>
      <c r="C285" s="2" t="inlineStr">
        <is>
          <t>on</t>
        </is>
      </c>
      <c r="D285" s="2" t="n">
        <v>1228</v>
      </c>
      <c r="E285" s="2" t="inlineStr">
        <is>
          <t>openssl TLS 1.2 only</t>
        </is>
      </c>
      <c r="F285" s="2" t="b">
        <v>0</v>
      </c>
      <c r="G285" s="2" t="n">
        <v>4</v>
      </c>
      <c r="H285" s="2" t="n">
        <v>210</v>
      </c>
      <c r="I285" s="2" t="n">
        <v>210</v>
      </c>
      <c r="J285" s="2" t="n">
        <v>210</v>
      </c>
      <c r="K285" s="2">
        <f>H285+5&gt;D285</f>
        <v/>
      </c>
      <c r="L285" s="2">
        <f>J285&lt;I285</f>
        <v/>
      </c>
      <c r="M285" s="2" t="b">
        <v>1</v>
      </c>
      <c r="N285" s="2" t="b">
        <v>1</v>
      </c>
      <c r="O285" s="2" t="inlineStr">
        <is>
          <t>allow</t>
        </is>
      </c>
      <c r="P285" s="2">
        <f>O285&lt;&gt;"unknown"</f>
        <v/>
      </c>
    </row>
    <row r="286">
      <c r="A286" s="2" t="inlineStr">
        <is>
          <t>1280-on</t>
        </is>
      </c>
      <c r="B286" s="2" t="n">
        <v>1280</v>
      </c>
      <c r="C286" s="2" t="inlineStr">
        <is>
          <t>on</t>
        </is>
      </c>
      <c r="D286" s="2" t="n">
        <v>1228</v>
      </c>
      <c r="E286" s="2" t="inlineStr">
        <is>
          <t>openssl TLS 1.2 only</t>
        </is>
      </c>
      <c r="F286" s="2" t="b">
        <v>0</v>
      </c>
      <c r="G286" s="2" t="n">
        <v>5</v>
      </c>
      <c r="H286" s="2" t="n">
        <v>210</v>
      </c>
      <c r="I286" s="2" t="n">
        <v>210</v>
      </c>
      <c r="J286" s="2" t="n">
        <v>210</v>
      </c>
      <c r="K286" s="2">
        <f>H286+5&gt;D286</f>
        <v/>
      </c>
      <c r="L286" s="2">
        <f>J286&lt;I286</f>
        <v/>
      </c>
      <c r="M286" s="2" t="b">
        <v>1</v>
      </c>
      <c r="N286" s="2" t="b">
        <v>1</v>
      </c>
      <c r="O286" s="2" t="inlineStr">
        <is>
          <t>allow</t>
        </is>
      </c>
      <c r="P286" s="2">
        <f>O286&lt;&gt;"unknown"</f>
        <v/>
      </c>
    </row>
    <row r="287">
      <c r="A287" s="2" t="inlineStr">
        <is>
          <t>1280-on</t>
        </is>
      </c>
      <c r="B287" s="2" t="n">
        <v>1280</v>
      </c>
      <c r="C287" s="2" t="inlineStr">
        <is>
          <t>on</t>
        </is>
      </c>
      <c r="D287" s="2" t="n">
        <v>1228</v>
      </c>
      <c r="E287" s="2" t="inlineStr">
        <is>
          <t>openssl TLS 1.2 only</t>
        </is>
      </c>
      <c r="F287" s="2" t="b">
        <v>0</v>
      </c>
      <c r="G287" s="2" t="n">
        <v>6</v>
      </c>
      <c r="H287" s="2" t="n">
        <v>210</v>
      </c>
      <c r="I287" s="2" t="n">
        <v>210</v>
      </c>
      <c r="J287" s="2" t="n">
        <v>210</v>
      </c>
      <c r="K287" s="2">
        <f>H287+5&gt;D287</f>
        <v/>
      </c>
      <c r="L287" s="2">
        <f>J287&lt;I287</f>
        <v/>
      </c>
      <c r="M287" s="2" t="b">
        <v>1</v>
      </c>
      <c r="N287" s="2" t="b">
        <v>1</v>
      </c>
      <c r="O287" s="2" t="inlineStr">
        <is>
          <t>allow</t>
        </is>
      </c>
      <c r="P287" s="2">
        <f>O287&lt;&gt;"unknown"</f>
        <v/>
      </c>
    </row>
    <row r="288">
      <c r="A288" s="2" t="inlineStr">
        <is>
          <t>1280-on</t>
        </is>
      </c>
      <c r="B288" s="2" t="n">
        <v>1280</v>
      </c>
      <c r="C288" s="2" t="inlineStr">
        <is>
          <t>on</t>
        </is>
      </c>
      <c r="D288" s="2" t="n">
        <v>1228</v>
      </c>
      <c r="E288" s="2" t="inlineStr">
        <is>
          <t>openssl TLS 1.2 only</t>
        </is>
      </c>
      <c r="F288" s="2" t="b">
        <v>0</v>
      </c>
      <c r="G288" s="2" t="n">
        <v>7</v>
      </c>
      <c r="H288" s="2" t="n">
        <v>210</v>
      </c>
      <c r="I288" s="2" t="n">
        <v>210</v>
      </c>
      <c r="J288" s="2" t="n">
        <v>210</v>
      </c>
      <c r="K288" s="2">
        <f>H288+5&gt;D288</f>
        <v/>
      </c>
      <c r="L288" s="2">
        <f>J288&lt;I288</f>
        <v/>
      </c>
      <c r="M288" s="2" t="b">
        <v>1</v>
      </c>
      <c r="N288" s="2" t="b">
        <v>1</v>
      </c>
      <c r="O288" s="2" t="inlineStr">
        <is>
          <t>allow</t>
        </is>
      </c>
      <c r="P288" s="2">
        <f>O288&lt;&gt;"unknown"</f>
        <v/>
      </c>
    </row>
    <row r="289">
      <c r="A289" s="2" t="inlineStr">
        <is>
          <t>1280-on</t>
        </is>
      </c>
      <c r="B289" s="2" t="n">
        <v>1280</v>
      </c>
      <c r="C289" s="2" t="inlineStr">
        <is>
          <t>on</t>
        </is>
      </c>
      <c r="D289" s="2" t="n">
        <v>1228</v>
      </c>
      <c r="E289" s="2" t="inlineStr">
        <is>
          <t>openssl TLS 1.2 only</t>
        </is>
      </c>
      <c r="F289" s="2" t="b">
        <v>0</v>
      </c>
      <c r="G289" s="2" t="n">
        <v>8</v>
      </c>
      <c r="H289" s="2" t="n">
        <v>210</v>
      </c>
      <c r="I289" s="2" t="n">
        <v>210</v>
      </c>
      <c r="J289" s="2" t="n">
        <v>210</v>
      </c>
      <c r="K289" s="2">
        <f>H289+5&gt;D289</f>
        <v/>
      </c>
      <c r="L289" s="2">
        <f>J289&lt;I289</f>
        <v/>
      </c>
      <c r="M289" s="2" t="b">
        <v>1</v>
      </c>
      <c r="N289" s="2" t="b">
        <v>1</v>
      </c>
      <c r="O289" s="2" t="inlineStr">
        <is>
          <t>allow</t>
        </is>
      </c>
      <c r="P289" s="2">
        <f>O289&lt;&gt;"unknown"</f>
        <v/>
      </c>
    </row>
    <row r="290">
      <c r="A290" s="2" t="inlineStr">
        <is>
          <t>1280-on</t>
        </is>
      </c>
      <c r="B290" s="2" t="n">
        <v>1280</v>
      </c>
      <c r="C290" s="2" t="inlineStr">
        <is>
          <t>on</t>
        </is>
      </c>
      <c r="D290" s="2" t="n">
        <v>1228</v>
      </c>
      <c r="E290" s="2" t="inlineStr">
        <is>
          <t>openssl TLS 1.2 only</t>
        </is>
      </c>
      <c r="F290" s="2" t="b">
        <v>0</v>
      </c>
      <c r="G290" s="2" t="n">
        <v>9</v>
      </c>
      <c r="H290" s="2" t="n">
        <v>210</v>
      </c>
      <c r="I290" s="2" t="n">
        <v>210</v>
      </c>
      <c r="J290" s="2" t="n">
        <v>210</v>
      </c>
      <c r="K290" s="2">
        <f>H290+5&gt;D290</f>
        <v/>
      </c>
      <c r="L290" s="2">
        <f>J290&lt;I290</f>
        <v/>
      </c>
      <c r="M290" s="2" t="b">
        <v>1</v>
      </c>
      <c r="N290" s="2" t="b">
        <v>1</v>
      </c>
      <c r="O290" s="2" t="inlineStr">
        <is>
          <t>allow</t>
        </is>
      </c>
      <c r="P290" s="2">
        <f>O290&lt;&gt;"unknown"</f>
        <v/>
      </c>
    </row>
    <row r="291">
      <c r="A291" s="2" t="inlineStr">
        <is>
          <t>1280-on</t>
        </is>
      </c>
      <c r="B291" s="2" t="n">
        <v>1280</v>
      </c>
      <c r="C291" s="2" t="inlineStr">
        <is>
          <t>on</t>
        </is>
      </c>
      <c r="D291" s="2" t="n">
        <v>1228</v>
      </c>
      <c r="E291" s="2" t="inlineStr">
        <is>
          <t>openssl TLS 1.2 only</t>
        </is>
      </c>
      <c r="F291" s="2" t="b">
        <v>0</v>
      </c>
      <c r="G291" s="2" t="n">
        <v>10</v>
      </c>
      <c r="H291" s="2" t="n">
        <v>210</v>
      </c>
      <c r="I291" s="2" t="n">
        <v>210</v>
      </c>
      <c r="J291" s="2" t="n">
        <v>210</v>
      </c>
      <c r="K291" s="2">
        <f>H291+5&gt;D291</f>
        <v/>
      </c>
      <c r="L291" s="2">
        <f>J291&lt;I291</f>
        <v/>
      </c>
      <c r="M291" s="2" t="b">
        <v>1</v>
      </c>
      <c r="N291" s="2" t="b">
        <v>1</v>
      </c>
      <c r="O291" s="2" t="inlineStr">
        <is>
          <t>allow</t>
        </is>
      </c>
      <c r="P291" s="2">
        <f>O291&lt;&gt;"unknown"</f>
        <v/>
      </c>
    </row>
    <row r="292">
      <c r="A292" s="2" t="inlineStr">
        <is>
          <t>1280-on</t>
        </is>
      </c>
      <c r="B292" s="2" t="n">
        <v>1280</v>
      </c>
      <c r="C292" s="2" t="inlineStr">
        <is>
          <t>on</t>
        </is>
      </c>
      <c r="D292" s="2" t="n">
        <v>1228</v>
      </c>
      <c r="E292" s="2" t="inlineStr">
        <is>
          <t>openssl TLS 1.2 only</t>
        </is>
      </c>
      <c r="F292" s="2" t="b">
        <v>0</v>
      </c>
      <c r="G292" s="2" t="n">
        <v>11</v>
      </c>
      <c r="H292" s="2" t="n">
        <v>210</v>
      </c>
      <c r="I292" s="2" t="n">
        <v>210</v>
      </c>
      <c r="J292" s="2" t="n">
        <v>210</v>
      </c>
      <c r="K292" s="2">
        <f>H292+5&gt;D292</f>
        <v/>
      </c>
      <c r="L292" s="2">
        <f>J292&lt;I292</f>
        <v/>
      </c>
      <c r="M292" s="2" t="b">
        <v>1</v>
      </c>
      <c r="N292" s="2" t="b">
        <v>1</v>
      </c>
      <c r="O292" s="2" t="inlineStr">
        <is>
          <t>allow</t>
        </is>
      </c>
      <c r="P292" s="2">
        <f>O292&lt;&gt;"unknown"</f>
        <v/>
      </c>
    </row>
    <row r="293">
      <c r="A293" s="2" t="inlineStr">
        <is>
          <t>1280-on</t>
        </is>
      </c>
      <c r="B293" s="2" t="n">
        <v>1280</v>
      </c>
      <c r="C293" s="2" t="inlineStr">
        <is>
          <t>on</t>
        </is>
      </c>
      <c r="D293" s="2" t="n">
        <v>1228</v>
      </c>
      <c r="E293" s="2" t="inlineStr">
        <is>
          <t>openssl TLS 1.2 only</t>
        </is>
      </c>
      <c r="F293" s="2" t="b">
        <v>0</v>
      </c>
      <c r="G293" s="2" t="n">
        <v>12</v>
      </c>
      <c r="H293" s="2" t="n">
        <v>210</v>
      </c>
      <c r="I293" s="2" t="n">
        <v>210</v>
      </c>
      <c r="J293" s="2" t="n">
        <v>210</v>
      </c>
      <c r="K293" s="2">
        <f>H293+5&gt;D293</f>
        <v/>
      </c>
      <c r="L293" s="2">
        <f>J293&lt;I293</f>
        <v/>
      </c>
      <c r="M293" s="2" t="b">
        <v>1</v>
      </c>
      <c r="N293" s="2" t="b">
        <v>1</v>
      </c>
      <c r="O293" s="2" t="inlineStr">
        <is>
          <t>allow</t>
        </is>
      </c>
      <c r="P293" s="2">
        <f>O293&lt;&gt;"unknown"</f>
        <v/>
      </c>
    </row>
    <row r="294">
      <c r="A294" s="2" t="inlineStr">
        <is>
          <t>1280-on</t>
        </is>
      </c>
      <c r="B294" s="2" t="n">
        <v>1280</v>
      </c>
      <c r="C294" s="2" t="inlineStr">
        <is>
          <t>on</t>
        </is>
      </c>
      <c r="D294" s="2" t="n">
        <v>1228</v>
      </c>
      <c r="E294" s="2" t="inlineStr">
        <is>
          <t>openssl TLS 1.2 only</t>
        </is>
      </c>
      <c r="F294" s="2" t="b">
        <v>0</v>
      </c>
      <c r="G294" s="2" t="n">
        <v>13</v>
      </c>
      <c r="H294" s="2" t="n">
        <v>210</v>
      </c>
      <c r="I294" s="2" t="n">
        <v>210</v>
      </c>
      <c r="J294" s="2" t="n">
        <v>210</v>
      </c>
      <c r="K294" s="2">
        <f>H294+5&gt;D294</f>
        <v/>
      </c>
      <c r="L294" s="2">
        <f>J294&lt;I294</f>
        <v/>
      </c>
      <c r="M294" s="2" t="b">
        <v>1</v>
      </c>
      <c r="N294" s="2" t="b">
        <v>1</v>
      </c>
      <c r="O294" s="2" t="inlineStr">
        <is>
          <t>allow</t>
        </is>
      </c>
      <c r="P294" s="2">
        <f>O294&lt;&gt;"unknown"</f>
        <v/>
      </c>
    </row>
    <row r="295">
      <c r="A295" s="2" t="inlineStr">
        <is>
          <t>1280-on</t>
        </is>
      </c>
      <c r="B295" s="2" t="n">
        <v>1280</v>
      </c>
      <c r="C295" s="2" t="inlineStr">
        <is>
          <t>on</t>
        </is>
      </c>
      <c r="D295" s="2" t="n">
        <v>1228</v>
      </c>
      <c r="E295" s="2" t="inlineStr">
        <is>
          <t>openssl TLS 1.2 only</t>
        </is>
      </c>
      <c r="F295" s="2" t="b">
        <v>0</v>
      </c>
      <c r="G295" s="2" t="n">
        <v>14</v>
      </c>
      <c r="H295" s="2" t="n">
        <v>210</v>
      </c>
      <c r="I295" s="2" t="n">
        <v>210</v>
      </c>
      <c r="J295" s="2" t="n">
        <v>210</v>
      </c>
      <c r="K295" s="2">
        <f>H295+5&gt;D295</f>
        <v/>
      </c>
      <c r="L295" s="2">
        <f>J295&lt;I295</f>
        <v/>
      </c>
      <c r="M295" s="2" t="b">
        <v>1</v>
      </c>
      <c r="N295" s="2" t="b">
        <v>1</v>
      </c>
      <c r="O295" s="2" t="inlineStr">
        <is>
          <t>allow</t>
        </is>
      </c>
      <c r="P295" s="2">
        <f>O295&lt;&gt;"unknown"</f>
        <v/>
      </c>
    </row>
    <row r="296">
      <c r="A296" s="2" t="inlineStr">
        <is>
          <t>1280-on</t>
        </is>
      </c>
      <c r="B296" s="2" t="n">
        <v>1280</v>
      </c>
      <c r="C296" s="2" t="inlineStr">
        <is>
          <t>on</t>
        </is>
      </c>
      <c r="D296" s="2" t="n">
        <v>1228</v>
      </c>
      <c r="E296" s="2" t="inlineStr">
        <is>
          <t>openssl TLS 1.2 only</t>
        </is>
      </c>
      <c r="F296" s="2" t="b">
        <v>0</v>
      </c>
      <c r="G296" s="2" t="n">
        <v>15</v>
      </c>
      <c r="H296" s="2" t="n">
        <v>210</v>
      </c>
      <c r="I296" s="2" t="n">
        <v>210</v>
      </c>
      <c r="J296" s="2" t="n">
        <v>210</v>
      </c>
      <c r="K296" s="2">
        <f>H296+5&gt;D296</f>
        <v/>
      </c>
      <c r="L296" s="2">
        <f>J296&lt;I296</f>
        <v/>
      </c>
      <c r="M296" s="2" t="b">
        <v>1</v>
      </c>
      <c r="N296" s="2" t="b">
        <v>1</v>
      </c>
      <c r="O296" s="2" t="inlineStr">
        <is>
          <t>allow</t>
        </is>
      </c>
      <c r="P296" s="2">
        <f>O296&lt;&gt;"unknown"</f>
        <v/>
      </c>
    </row>
    <row r="297">
      <c r="A297" s="2" t="inlineStr">
        <is>
          <t>1280-on</t>
        </is>
      </c>
      <c r="B297" s="2" t="n">
        <v>1280</v>
      </c>
      <c r="C297" s="2" t="inlineStr">
        <is>
          <t>on</t>
        </is>
      </c>
      <c r="D297" s="2" t="n">
        <v>1228</v>
      </c>
      <c r="E297" s="2" t="inlineStr">
        <is>
          <t>openssl TLS 1.2 only</t>
        </is>
      </c>
      <c r="F297" s="2" t="b">
        <v>0</v>
      </c>
      <c r="G297" s="2" t="n">
        <v>16</v>
      </c>
      <c r="H297" s="2" t="n">
        <v>210</v>
      </c>
      <c r="I297" s="2" t="n">
        <v>210</v>
      </c>
      <c r="J297" s="2" t="n">
        <v>210</v>
      </c>
      <c r="K297" s="2">
        <f>H297+5&gt;D297</f>
        <v/>
      </c>
      <c r="L297" s="2">
        <f>J297&lt;I297</f>
        <v/>
      </c>
      <c r="M297" s="2" t="b">
        <v>1</v>
      </c>
      <c r="N297" s="2" t="b">
        <v>1</v>
      </c>
      <c r="O297" s="2" t="inlineStr">
        <is>
          <t>allow</t>
        </is>
      </c>
      <c r="P297" s="2">
        <f>O297&lt;&gt;"unknown"</f>
        <v/>
      </c>
    </row>
    <row r="298">
      <c r="A298" s="2" t="inlineStr">
        <is>
          <t>1280-on</t>
        </is>
      </c>
      <c r="B298" s="2" t="n">
        <v>1280</v>
      </c>
      <c r="C298" s="2" t="inlineStr">
        <is>
          <t>on</t>
        </is>
      </c>
      <c r="D298" s="2" t="n">
        <v>1228</v>
      </c>
      <c r="E298" s="2" t="inlineStr">
        <is>
          <t>openssl TLS 1.2 only</t>
        </is>
      </c>
      <c r="F298" s="2" t="b">
        <v>0</v>
      </c>
      <c r="G298" s="2" t="n">
        <v>17</v>
      </c>
      <c r="H298" s="2" t="n">
        <v>210</v>
      </c>
      <c r="I298" s="2" t="n">
        <v>210</v>
      </c>
      <c r="J298" s="2" t="n">
        <v>210</v>
      </c>
      <c r="K298" s="2">
        <f>H298+5&gt;D298</f>
        <v/>
      </c>
      <c r="L298" s="2">
        <f>J298&lt;I298</f>
        <v/>
      </c>
      <c r="M298" s="2" t="b">
        <v>1</v>
      </c>
      <c r="N298" s="2" t="b">
        <v>1</v>
      </c>
      <c r="O298" s="2" t="inlineStr">
        <is>
          <t>allow</t>
        </is>
      </c>
      <c r="P298" s="2">
        <f>O298&lt;&gt;"unknown"</f>
        <v/>
      </c>
    </row>
    <row r="299">
      <c r="A299" s="2" t="inlineStr">
        <is>
          <t>1280-on</t>
        </is>
      </c>
      <c r="B299" s="2" t="n">
        <v>1280</v>
      </c>
      <c r="C299" s="2" t="inlineStr">
        <is>
          <t>on</t>
        </is>
      </c>
      <c r="D299" s="2" t="n">
        <v>1228</v>
      </c>
      <c r="E299" s="2" t="inlineStr">
        <is>
          <t>openssl TLS 1.2 only</t>
        </is>
      </c>
      <c r="F299" s="2" t="b">
        <v>0</v>
      </c>
      <c r="G299" s="2" t="n">
        <v>18</v>
      </c>
      <c r="H299" s="2" t="n">
        <v>210</v>
      </c>
      <c r="I299" s="2" t="n">
        <v>210</v>
      </c>
      <c r="J299" s="2" t="n">
        <v>210</v>
      </c>
      <c r="K299" s="2">
        <f>H299+5&gt;D299</f>
        <v/>
      </c>
      <c r="L299" s="2">
        <f>J299&lt;I299</f>
        <v/>
      </c>
      <c r="M299" s="2" t="b">
        <v>1</v>
      </c>
      <c r="N299" s="2" t="b">
        <v>1</v>
      </c>
      <c r="O299" s="2" t="inlineStr">
        <is>
          <t>allow</t>
        </is>
      </c>
      <c r="P299" s="2">
        <f>O299&lt;&gt;"unknown"</f>
        <v/>
      </c>
    </row>
    <row r="300">
      <c r="A300" s="2" t="inlineStr">
        <is>
          <t>1280-on</t>
        </is>
      </c>
      <c r="B300" s="2" t="n">
        <v>1280</v>
      </c>
      <c r="C300" s="2" t="inlineStr">
        <is>
          <t>on</t>
        </is>
      </c>
      <c r="D300" s="2" t="n">
        <v>1228</v>
      </c>
      <c r="E300" s="2" t="inlineStr">
        <is>
          <t>openssl TLS 1.2 only</t>
        </is>
      </c>
      <c r="F300" s="2" t="b">
        <v>0</v>
      </c>
      <c r="G300" s="2" t="n">
        <v>19</v>
      </c>
      <c r="H300" s="2" t="n">
        <v>210</v>
      </c>
      <c r="I300" s="2" t="n">
        <v>210</v>
      </c>
      <c r="J300" s="2" t="n">
        <v>210</v>
      </c>
      <c r="K300" s="2">
        <f>H300+5&gt;D300</f>
        <v/>
      </c>
      <c r="L300" s="2">
        <f>J300&lt;I300</f>
        <v/>
      </c>
      <c r="M300" s="2" t="b">
        <v>1</v>
      </c>
      <c r="N300" s="2" t="b">
        <v>1</v>
      </c>
      <c r="O300" s="2" t="inlineStr">
        <is>
          <t>allow</t>
        </is>
      </c>
      <c r="P300" s="2">
        <f>O300&lt;&gt;"unknown"</f>
        <v/>
      </c>
    </row>
    <row r="301">
      <c r="A301" s="2" t="inlineStr">
        <is>
          <t>1280-on</t>
        </is>
      </c>
      <c r="B301" s="2" t="n">
        <v>1280</v>
      </c>
      <c r="C301" s="2" t="inlineStr">
        <is>
          <t>on</t>
        </is>
      </c>
      <c r="D301" s="2" t="n">
        <v>1228</v>
      </c>
      <c r="E301" s="2" t="inlineStr">
        <is>
          <t>openssl TLS 1.2 only</t>
        </is>
      </c>
      <c r="F301" s="2" t="b">
        <v>0</v>
      </c>
      <c r="G301" s="2" t="n">
        <v>20</v>
      </c>
      <c r="H301" s="2" t="n">
        <v>210</v>
      </c>
      <c r="I301" s="2" t="n">
        <v>210</v>
      </c>
      <c r="J301" s="2" t="n">
        <v>210</v>
      </c>
      <c r="K301" s="2">
        <f>H301+5&gt;D301</f>
        <v/>
      </c>
      <c r="L301" s="2">
        <f>J301&lt;I301</f>
        <v/>
      </c>
      <c r="M301" s="2" t="b">
        <v>1</v>
      </c>
      <c r="N301" s="2" t="b">
        <v>1</v>
      </c>
      <c r="O301" s="2" t="inlineStr">
        <is>
          <t>allow</t>
        </is>
      </c>
      <c r="P301" s="2">
        <f>O301&lt;&gt;"unknown"</f>
        <v/>
      </c>
    </row>
    <row r="302">
      <c r="A302" s="2" t="inlineStr">
        <is>
          <t>1280-on</t>
        </is>
      </c>
      <c r="B302" s="2" t="n">
        <v>1280</v>
      </c>
      <c r="C302" s="2" t="inlineStr">
        <is>
          <t>on</t>
        </is>
      </c>
      <c r="D302" s="2" t="n">
        <v>1228</v>
      </c>
      <c r="E302" s="2" t="inlineStr">
        <is>
          <t>curl 8.22 (OpenSSL 3.5.8)</t>
        </is>
      </c>
      <c r="F302" s="2" t="b">
        <v>1</v>
      </c>
      <c r="G302" s="2" t="n">
        <v>1</v>
      </c>
      <c r="H302" s="2" t="n">
        <v>1561</v>
      </c>
      <c r="I302" s="2" t="n">
        <v>1561</v>
      </c>
      <c r="J302" s="2" t="n">
        <v>1223</v>
      </c>
      <c r="K302" s="2">
        <f>H302+5&gt;D302</f>
        <v/>
      </c>
      <c r="L302" s="2">
        <f>J302&lt;I302</f>
        <v/>
      </c>
      <c r="M302" s="2" t="b">
        <v>1</v>
      </c>
      <c r="N302" s="2" t="b">
        <v>1</v>
      </c>
      <c r="O302" s="2" t="inlineStr">
        <is>
          <t>allow</t>
        </is>
      </c>
      <c r="P302" s="2">
        <f>O302&lt;&gt;"unknown"</f>
        <v/>
      </c>
    </row>
    <row r="303">
      <c r="A303" s="2" t="inlineStr">
        <is>
          <t>1280-on</t>
        </is>
      </c>
      <c r="B303" s="2" t="n">
        <v>1280</v>
      </c>
      <c r="C303" s="2" t="inlineStr">
        <is>
          <t>on</t>
        </is>
      </c>
      <c r="D303" s="2" t="n">
        <v>1228</v>
      </c>
      <c r="E303" s="2" t="inlineStr">
        <is>
          <t>curl 8.22 (OpenSSL 3.5.8)</t>
        </is>
      </c>
      <c r="F303" s="2" t="b">
        <v>1</v>
      </c>
      <c r="G303" s="2" t="n">
        <v>2</v>
      </c>
      <c r="H303" s="2" t="n">
        <v>1561</v>
      </c>
      <c r="I303" s="2" t="n">
        <v>1561</v>
      </c>
      <c r="J303" s="2" t="n">
        <v>1223</v>
      </c>
      <c r="K303" s="2">
        <f>H303+5&gt;D303</f>
        <v/>
      </c>
      <c r="L303" s="2">
        <f>J303&lt;I303</f>
        <v/>
      </c>
      <c r="M303" s="2" t="b">
        <v>1</v>
      </c>
      <c r="N303" s="2" t="b">
        <v>1</v>
      </c>
      <c r="O303" s="2" t="inlineStr">
        <is>
          <t>allow</t>
        </is>
      </c>
      <c r="P303" s="2">
        <f>O303&lt;&gt;"unknown"</f>
        <v/>
      </c>
    </row>
    <row r="304">
      <c r="A304" s="2" t="inlineStr">
        <is>
          <t>1280-on</t>
        </is>
      </c>
      <c r="B304" s="2" t="n">
        <v>1280</v>
      </c>
      <c r="C304" s="2" t="inlineStr">
        <is>
          <t>on</t>
        </is>
      </c>
      <c r="D304" s="2" t="n">
        <v>1228</v>
      </c>
      <c r="E304" s="2" t="inlineStr">
        <is>
          <t>curl 8.22 (OpenSSL 3.5.8)</t>
        </is>
      </c>
      <c r="F304" s="2" t="b">
        <v>1</v>
      </c>
      <c r="G304" s="2" t="n">
        <v>3</v>
      </c>
      <c r="H304" s="2" t="n">
        <v>1561</v>
      </c>
      <c r="I304" s="2" t="n">
        <v>1561</v>
      </c>
      <c r="J304" s="2" t="n">
        <v>1223</v>
      </c>
      <c r="K304" s="2">
        <f>H304+5&gt;D304</f>
        <v/>
      </c>
      <c r="L304" s="2">
        <f>J304&lt;I304</f>
        <v/>
      </c>
      <c r="M304" s="2" t="b">
        <v>1</v>
      </c>
      <c r="N304" s="2" t="b">
        <v>1</v>
      </c>
      <c r="O304" s="2" t="inlineStr">
        <is>
          <t>allow</t>
        </is>
      </c>
      <c r="P304" s="2">
        <f>O304&lt;&gt;"unknown"</f>
        <v/>
      </c>
    </row>
    <row r="305">
      <c r="A305" s="2" t="inlineStr">
        <is>
          <t>1280-on</t>
        </is>
      </c>
      <c r="B305" s="2" t="n">
        <v>1280</v>
      </c>
      <c r="C305" s="2" t="inlineStr">
        <is>
          <t>on</t>
        </is>
      </c>
      <c r="D305" s="2" t="n">
        <v>1228</v>
      </c>
      <c r="E305" s="2" t="inlineStr">
        <is>
          <t>curl 8.22 (OpenSSL 3.5.8)</t>
        </is>
      </c>
      <c r="F305" s="2" t="b">
        <v>1</v>
      </c>
      <c r="G305" s="2" t="n">
        <v>4</v>
      </c>
      <c r="H305" s="2" t="n">
        <v>1561</v>
      </c>
      <c r="I305" s="2" t="n">
        <v>1561</v>
      </c>
      <c r="J305" s="2" t="n">
        <v>1223</v>
      </c>
      <c r="K305" s="2">
        <f>H305+5&gt;D305</f>
        <v/>
      </c>
      <c r="L305" s="2">
        <f>J305&lt;I305</f>
        <v/>
      </c>
      <c r="M305" s="2" t="b">
        <v>1</v>
      </c>
      <c r="N305" s="2" t="b">
        <v>1</v>
      </c>
      <c r="O305" s="2" t="inlineStr">
        <is>
          <t>allow</t>
        </is>
      </c>
      <c r="P305" s="2">
        <f>O305&lt;&gt;"unknown"</f>
        <v/>
      </c>
    </row>
    <row r="306">
      <c r="A306" s="2" t="inlineStr">
        <is>
          <t>1280-on</t>
        </is>
      </c>
      <c r="B306" s="2" t="n">
        <v>1280</v>
      </c>
      <c r="C306" s="2" t="inlineStr">
        <is>
          <t>on</t>
        </is>
      </c>
      <c r="D306" s="2" t="n">
        <v>1228</v>
      </c>
      <c r="E306" s="2" t="inlineStr">
        <is>
          <t>curl 8.22 (OpenSSL 3.5.8)</t>
        </is>
      </c>
      <c r="F306" s="2" t="b">
        <v>1</v>
      </c>
      <c r="G306" s="2" t="n">
        <v>5</v>
      </c>
      <c r="H306" s="2" t="n">
        <v>1561</v>
      </c>
      <c r="I306" s="2" t="n">
        <v>1561</v>
      </c>
      <c r="J306" s="2" t="n">
        <v>1223</v>
      </c>
      <c r="K306" s="2">
        <f>H306+5&gt;D306</f>
        <v/>
      </c>
      <c r="L306" s="2">
        <f>J306&lt;I306</f>
        <v/>
      </c>
      <c r="M306" s="2" t="b">
        <v>1</v>
      </c>
      <c r="N306" s="2" t="b">
        <v>1</v>
      </c>
      <c r="O306" s="2" t="inlineStr">
        <is>
          <t>allow</t>
        </is>
      </c>
      <c r="P306" s="2">
        <f>O306&lt;&gt;"unknown"</f>
        <v/>
      </c>
    </row>
    <row r="307">
      <c r="A307" s="2" t="inlineStr">
        <is>
          <t>1280-on</t>
        </is>
      </c>
      <c r="B307" s="2" t="n">
        <v>1280</v>
      </c>
      <c r="C307" s="2" t="inlineStr">
        <is>
          <t>on</t>
        </is>
      </c>
      <c r="D307" s="2" t="n">
        <v>1228</v>
      </c>
      <c r="E307" s="2" t="inlineStr">
        <is>
          <t>curl 8.22 (OpenSSL 3.5.8)</t>
        </is>
      </c>
      <c r="F307" s="2" t="b">
        <v>1</v>
      </c>
      <c r="G307" s="2" t="n">
        <v>6</v>
      </c>
      <c r="H307" s="2" t="n">
        <v>1561</v>
      </c>
      <c r="I307" s="2" t="n">
        <v>1561</v>
      </c>
      <c r="J307" s="2" t="n">
        <v>1223</v>
      </c>
      <c r="K307" s="2">
        <f>H307+5&gt;D307</f>
        <v/>
      </c>
      <c r="L307" s="2">
        <f>J307&lt;I307</f>
        <v/>
      </c>
      <c r="M307" s="2" t="b">
        <v>1</v>
      </c>
      <c r="N307" s="2" t="b">
        <v>1</v>
      </c>
      <c r="O307" s="2" t="inlineStr">
        <is>
          <t>allow</t>
        </is>
      </c>
      <c r="P307" s="2">
        <f>O307&lt;&gt;"unknown"</f>
        <v/>
      </c>
    </row>
    <row r="308">
      <c r="A308" s="2" t="inlineStr">
        <is>
          <t>1280-on</t>
        </is>
      </c>
      <c r="B308" s="2" t="n">
        <v>1280</v>
      </c>
      <c r="C308" s="2" t="inlineStr">
        <is>
          <t>on</t>
        </is>
      </c>
      <c r="D308" s="2" t="n">
        <v>1228</v>
      </c>
      <c r="E308" s="2" t="inlineStr">
        <is>
          <t>curl 8.22 (OpenSSL 3.5.8)</t>
        </is>
      </c>
      <c r="F308" s="2" t="b">
        <v>1</v>
      </c>
      <c r="G308" s="2" t="n">
        <v>7</v>
      </c>
      <c r="H308" s="2" t="n">
        <v>1561</v>
      </c>
      <c r="I308" s="2" t="n">
        <v>1561</v>
      </c>
      <c r="J308" s="2" t="n">
        <v>1223</v>
      </c>
      <c r="K308" s="2">
        <f>H308+5&gt;D308</f>
        <v/>
      </c>
      <c r="L308" s="2">
        <f>J308&lt;I308</f>
        <v/>
      </c>
      <c r="M308" s="2" t="b">
        <v>1</v>
      </c>
      <c r="N308" s="2" t="b">
        <v>1</v>
      </c>
      <c r="O308" s="2" t="inlineStr">
        <is>
          <t>allow</t>
        </is>
      </c>
      <c r="P308" s="2">
        <f>O308&lt;&gt;"unknown"</f>
        <v/>
      </c>
    </row>
    <row r="309">
      <c r="A309" s="2" t="inlineStr">
        <is>
          <t>1280-on</t>
        </is>
      </c>
      <c r="B309" s="2" t="n">
        <v>1280</v>
      </c>
      <c r="C309" s="2" t="inlineStr">
        <is>
          <t>on</t>
        </is>
      </c>
      <c r="D309" s="2" t="n">
        <v>1228</v>
      </c>
      <c r="E309" s="2" t="inlineStr">
        <is>
          <t>curl 8.22 (OpenSSL 3.5.8)</t>
        </is>
      </c>
      <c r="F309" s="2" t="b">
        <v>1</v>
      </c>
      <c r="G309" s="2" t="n">
        <v>8</v>
      </c>
      <c r="H309" s="2" t="n">
        <v>1561</v>
      </c>
      <c r="I309" s="2" t="n">
        <v>1561</v>
      </c>
      <c r="J309" s="2" t="n">
        <v>1223</v>
      </c>
      <c r="K309" s="2">
        <f>H309+5&gt;D309</f>
        <v/>
      </c>
      <c r="L309" s="2">
        <f>J309&lt;I309</f>
        <v/>
      </c>
      <c r="M309" s="2" t="b">
        <v>1</v>
      </c>
      <c r="N309" s="2" t="b">
        <v>1</v>
      </c>
      <c r="O309" s="2" t="inlineStr">
        <is>
          <t>allow</t>
        </is>
      </c>
      <c r="P309" s="2">
        <f>O309&lt;&gt;"unknown"</f>
        <v/>
      </c>
    </row>
    <row r="310">
      <c r="A310" s="2" t="inlineStr">
        <is>
          <t>1280-on</t>
        </is>
      </c>
      <c r="B310" s="2" t="n">
        <v>1280</v>
      </c>
      <c r="C310" s="2" t="inlineStr">
        <is>
          <t>on</t>
        </is>
      </c>
      <c r="D310" s="2" t="n">
        <v>1228</v>
      </c>
      <c r="E310" s="2" t="inlineStr">
        <is>
          <t>curl 8.22 (OpenSSL 3.5.8)</t>
        </is>
      </c>
      <c r="F310" s="2" t="b">
        <v>1</v>
      </c>
      <c r="G310" s="2" t="n">
        <v>9</v>
      </c>
      <c r="H310" s="2" t="n">
        <v>1561</v>
      </c>
      <c r="I310" s="2" t="n">
        <v>1561</v>
      </c>
      <c r="J310" s="2" t="n">
        <v>1223</v>
      </c>
      <c r="K310" s="2">
        <f>H310+5&gt;D310</f>
        <v/>
      </c>
      <c r="L310" s="2">
        <f>J310&lt;I310</f>
        <v/>
      </c>
      <c r="M310" s="2" t="b">
        <v>1</v>
      </c>
      <c r="N310" s="2" t="b">
        <v>1</v>
      </c>
      <c r="O310" s="2" t="inlineStr">
        <is>
          <t>allow</t>
        </is>
      </c>
      <c r="P310" s="2">
        <f>O310&lt;&gt;"unknown"</f>
        <v/>
      </c>
    </row>
    <row r="311">
      <c r="A311" s="2" t="inlineStr">
        <is>
          <t>1280-on</t>
        </is>
      </c>
      <c r="B311" s="2" t="n">
        <v>1280</v>
      </c>
      <c r="C311" s="2" t="inlineStr">
        <is>
          <t>on</t>
        </is>
      </c>
      <c r="D311" s="2" t="n">
        <v>1228</v>
      </c>
      <c r="E311" s="2" t="inlineStr">
        <is>
          <t>curl 8.22 (OpenSSL 3.5.8)</t>
        </is>
      </c>
      <c r="F311" s="2" t="b">
        <v>1</v>
      </c>
      <c r="G311" s="2" t="n">
        <v>10</v>
      </c>
      <c r="H311" s="2" t="n">
        <v>1561</v>
      </c>
      <c r="I311" s="2" t="n">
        <v>1561</v>
      </c>
      <c r="J311" s="2" t="n">
        <v>1223</v>
      </c>
      <c r="K311" s="2">
        <f>H311+5&gt;D311</f>
        <v/>
      </c>
      <c r="L311" s="2">
        <f>J311&lt;I311</f>
        <v/>
      </c>
      <c r="M311" s="2" t="b">
        <v>1</v>
      </c>
      <c r="N311" s="2" t="b">
        <v>1</v>
      </c>
      <c r="O311" s="2" t="inlineStr">
        <is>
          <t>allow</t>
        </is>
      </c>
      <c r="P311" s="2">
        <f>O311&lt;&gt;"unknown"</f>
        <v/>
      </c>
    </row>
    <row r="312">
      <c r="A312" s="2" t="inlineStr">
        <is>
          <t>1280-on</t>
        </is>
      </c>
      <c r="B312" s="2" t="n">
        <v>1280</v>
      </c>
      <c r="C312" s="2" t="inlineStr">
        <is>
          <t>on</t>
        </is>
      </c>
      <c r="D312" s="2" t="n">
        <v>1228</v>
      </c>
      <c r="E312" s="2" t="inlineStr">
        <is>
          <t>curl 8.22 (OpenSSL 3.5.8)</t>
        </is>
      </c>
      <c r="F312" s="2" t="b">
        <v>1</v>
      </c>
      <c r="G312" s="2" t="n">
        <v>11</v>
      </c>
      <c r="H312" s="2" t="n">
        <v>1561</v>
      </c>
      <c r="I312" s="2" t="n">
        <v>1561</v>
      </c>
      <c r="J312" s="2" t="n">
        <v>1223</v>
      </c>
      <c r="K312" s="2">
        <f>H312+5&gt;D312</f>
        <v/>
      </c>
      <c r="L312" s="2">
        <f>J312&lt;I312</f>
        <v/>
      </c>
      <c r="M312" s="2" t="b">
        <v>1</v>
      </c>
      <c r="N312" s="2" t="b">
        <v>1</v>
      </c>
      <c r="O312" s="2" t="inlineStr">
        <is>
          <t>allow</t>
        </is>
      </c>
      <c r="P312" s="2">
        <f>O312&lt;&gt;"unknown"</f>
        <v/>
      </c>
    </row>
    <row r="313">
      <c r="A313" s="2" t="inlineStr">
        <is>
          <t>1280-on</t>
        </is>
      </c>
      <c r="B313" s="2" t="n">
        <v>1280</v>
      </c>
      <c r="C313" s="2" t="inlineStr">
        <is>
          <t>on</t>
        </is>
      </c>
      <c r="D313" s="2" t="n">
        <v>1228</v>
      </c>
      <c r="E313" s="2" t="inlineStr">
        <is>
          <t>curl 8.22 (OpenSSL 3.5.8)</t>
        </is>
      </c>
      <c r="F313" s="2" t="b">
        <v>1</v>
      </c>
      <c r="G313" s="2" t="n">
        <v>12</v>
      </c>
      <c r="H313" s="2" t="n">
        <v>1561</v>
      </c>
      <c r="I313" s="2" t="n">
        <v>1561</v>
      </c>
      <c r="J313" s="2" t="n">
        <v>1223</v>
      </c>
      <c r="K313" s="2">
        <f>H313+5&gt;D313</f>
        <v/>
      </c>
      <c r="L313" s="2">
        <f>J313&lt;I313</f>
        <v/>
      </c>
      <c r="M313" s="2" t="b">
        <v>1</v>
      </c>
      <c r="N313" s="2" t="b">
        <v>1</v>
      </c>
      <c r="O313" s="2" t="inlineStr">
        <is>
          <t>allow</t>
        </is>
      </c>
      <c r="P313" s="2">
        <f>O313&lt;&gt;"unknown"</f>
        <v/>
      </c>
    </row>
    <row r="314">
      <c r="A314" s="2" t="inlineStr">
        <is>
          <t>1280-on</t>
        </is>
      </c>
      <c r="B314" s="2" t="n">
        <v>1280</v>
      </c>
      <c r="C314" s="2" t="inlineStr">
        <is>
          <t>on</t>
        </is>
      </c>
      <c r="D314" s="2" t="n">
        <v>1228</v>
      </c>
      <c r="E314" s="2" t="inlineStr">
        <is>
          <t>curl 8.22 (OpenSSL 3.5.8)</t>
        </is>
      </c>
      <c r="F314" s="2" t="b">
        <v>1</v>
      </c>
      <c r="G314" s="2" t="n">
        <v>13</v>
      </c>
      <c r="H314" s="2" t="n">
        <v>1561</v>
      </c>
      <c r="I314" s="2" t="n">
        <v>1561</v>
      </c>
      <c r="J314" s="2" t="n">
        <v>1223</v>
      </c>
      <c r="K314" s="2">
        <f>H314+5&gt;D314</f>
        <v/>
      </c>
      <c r="L314" s="2">
        <f>J314&lt;I314</f>
        <v/>
      </c>
      <c r="M314" s="2" t="b">
        <v>1</v>
      </c>
      <c r="N314" s="2" t="b">
        <v>1</v>
      </c>
      <c r="O314" s="2" t="inlineStr">
        <is>
          <t>allow</t>
        </is>
      </c>
      <c r="P314" s="2">
        <f>O314&lt;&gt;"unknown"</f>
        <v/>
      </c>
    </row>
    <row r="315">
      <c r="A315" s="2" t="inlineStr">
        <is>
          <t>1280-on</t>
        </is>
      </c>
      <c r="B315" s="2" t="n">
        <v>1280</v>
      </c>
      <c r="C315" s="2" t="inlineStr">
        <is>
          <t>on</t>
        </is>
      </c>
      <c r="D315" s="2" t="n">
        <v>1228</v>
      </c>
      <c r="E315" s="2" t="inlineStr">
        <is>
          <t>curl 8.22 (OpenSSL 3.5.8)</t>
        </is>
      </c>
      <c r="F315" s="2" t="b">
        <v>1</v>
      </c>
      <c r="G315" s="2" t="n">
        <v>14</v>
      </c>
      <c r="H315" s="2" t="n">
        <v>1561</v>
      </c>
      <c r="I315" s="2" t="n">
        <v>1561</v>
      </c>
      <c r="J315" s="2" t="n">
        <v>1223</v>
      </c>
      <c r="K315" s="2">
        <f>H315+5&gt;D315</f>
        <v/>
      </c>
      <c r="L315" s="2">
        <f>J315&lt;I315</f>
        <v/>
      </c>
      <c r="M315" s="2" t="b">
        <v>1</v>
      </c>
      <c r="N315" s="2" t="b">
        <v>1</v>
      </c>
      <c r="O315" s="2" t="inlineStr">
        <is>
          <t>allow</t>
        </is>
      </c>
      <c r="P315" s="2">
        <f>O315&lt;&gt;"unknown"</f>
        <v/>
      </c>
    </row>
    <row r="316">
      <c r="A316" s="2" t="inlineStr">
        <is>
          <t>1280-on</t>
        </is>
      </c>
      <c r="B316" s="2" t="n">
        <v>1280</v>
      </c>
      <c r="C316" s="2" t="inlineStr">
        <is>
          <t>on</t>
        </is>
      </c>
      <c r="D316" s="2" t="n">
        <v>1228</v>
      </c>
      <c r="E316" s="2" t="inlineStr">
        <is>
          <t>curl 8.22 (OpenSSL 3.5.8)</t>
        </is>
      </c>
      <c r="F316" s="2" t="b">
        <v>1</v>
      </c>
      <c r="G316" s="2" t="n">
        <v>15</v>
      </c>
      <c r="H316" s="2" t="n">
        <v>1561</v>
      </c>
      <c r="I316" s="2" t="n">
        <v>1561</v>
      </c>
      <c r="J316" s="2" t="n">
        <v>1223</v>
      </c>
      <c r="K316" s="2">
        <f>H316+5&gt;D316</f>
        <v/>
      </c>
      <c r="L316" s="2">
        <f>J316&lt;I316</f>
        <v/>
      </c>
      <c r="M316" s="2" t="b">
        <v>1</v>
      </c>
      <c r="N316" s="2" t="b">
        <v>1</v>
      </c>
      <c r="O316" s="2" t="inlineStr">
        <is>
          <t>allow</t>
        </is>
      </c>
      <c r="P316" s="2">
        <f>O316&lt;&gt;"unknown"</f>
        <v/>
      </c>
    </row>
    <row r="317">
      <c r="A317" s="2" t="inlineStr">
        <is>
          <t>1280-on</t>
        </is>
      </c>
      <c r="B317" s="2" t="n">
        <v>1280</v>
      </c>
      <c r="C317" s="2" t="inlineStr">
        <is>
          <t>on</t>
        </is>
      </c>
      <c r="D317" s="2" t="n">
        <v>1228</v>
      </c>
      <c r="E317" s="2" t="inlineStr">
        <is>
          <t>curl 8.22 (OpenSSL 3.5.8)</t>
        </is>
      </c>
      <c r="F317" s="2" t="b">
        <v>1</v>
      </c>
      <c r="G317" s="2" t="n">
        <v>16</v>
      </c>
      <c r="H317" s="2" t="n">
        <v>1561</v>
      </c>
      <c r="I317" s="2" t="n">
        <v>1561</v>
      </c>
      <c r="J317" s="2" t="n">
        <v>1223</v>
      </c>
      <c r="K317" s="2">
        <f>H317+5&gt;D317</f>
        <v/>
      </c>
      <c r="L317" s="2">
        <f>J317&lt;I317</f>
        <v/>
      </c>
      <c r="M317" s="2" t="b">
        <v>1</v>
      </c>
      <c r="N317" s="2" t="b">
        <v>1</v>
      </c>
      <c r="O317" s="2" t="inlineStr">
        <is>
          <t>allow</t>
        </is>
      </c>
      <c r="P317" s="2">
        <f>O317&lt;&gt;"unknown"</f>
        <v/>
      </c>
    </row>
    <row r="318">
      <c r="A318" s="2" t="inlineStr">
        <is>
          <t>1280-on</t>
        </is>
      </c>
      <c r="B318" s="2" t="n">
        <v>1280</v>
      </c>
      <c r="C318" s="2" t="inlineStr">
        <is>
          <t>on</t>
        </is>
      </c>
      <c r="D318" s="2" t="n">
        <v>1228</v>
      </c>
      <c r="E318" s="2" t="inlineStr">
        <is>
          <t>curl 8.22 (OpenSSL 3.5.8)</t>
        </is>
      </c>
      <c r="F318" s="2" t="b">
        <v>1</v>
      </c>
      <c r="G318" s="2" t="n">
        <v>17</v>
      </c>
      <c r="H318" s="2" t="n">
        <v>1561</v>
      </c>
      <c r="I318" s="2" t="n">
        <v>1561</v>
      </c>
      <c r="J318" s="2" t="n">
        <v>1223</v>
      </c>
      <c r="K318" s="2">
        <f>H318+5&gt;D318</f>
        <v/>
      </c>
      <c r="L318" s="2">
        <f>J318&lt;I318</f>
        <v/>
      </c>
      <c r="M318" s="2" t="b">
        <v>1</v>
      </c>
      <c r="N318" s="2" t="b">
        <v>1</v>
      </c>
      <c r="O318" s="2" t="inlineStr">
        <is>
          <t>allow</t>
        </is>
      </c>
      <c r="P318" s="2">
        <f>O318&lt;&gt;"unknown"</f>
        <v/>
      </c>
    </row>
    <row r="319">
      <c r="A319" s="2" t="inlineStr">
        <is>
          <t>1280-on</t>
        </is>
      </c>
      <c r="B319" s="2" t="n">
        <v>1280</v>
      </c>
      <c r="C319" s="2" t="inlineStr">
        <is>
          <t>on</t>
        </is>
      </c>
      <c r="D319" s="2" t="n">
        <v>1228</v>
      </c>
      <c r="E319" s="2" t="inlineStr">
        <is>
          <t>curl 8.22 (OpenSSL 3.5.8)</t>
        </is>
      </c>
      <c r="F319" s="2" t="b">
        <v>1</v>
      </c>
      <c r="G319" s="2" t="n">
        <v>18</v>
      </c>
      <c r="H319" s="2" t="n">
        <v>1561</v>
      </c>
      <c r="I319" s="2" t="n">
        <v>1561</v>
      </c>
      <c r="J319" s="2" t="n">
        <v>1223</v>
      </c>
      <c r="K319" s="2">
        <f>H319+5&gt;D319</f>
        <v/>
      </c>
      <c r="L319" s="2">
        <f>J319&lt;I319</f>
        <v/>
      </c>
      <c r="M319" s="2" t="b">
        <v>1</v>
      </c>
      <c r="N319" s="2" t="b">
        <v>1</v>
      </c>
      <c r="O319" s="2" t="inlineStr">
        <is>
          <t>allow</t>
        </is>
      </c>
      <c r="P319" s="2">
        <f>O319&lt;&gt;"unknown"</f>
        <v/>
      </c>
    </row>
    <row r="320">
      <c r="A320" s="2" t="inlineStr">
        <is>
          <t>1280-on</t>
        </is>
      </c>
      <c r="B320" s="2" t="n">
        <v>1280</v>
      </c>
      <c r="C320" s="2" t="inlineStr">
        <is>
          <t>on</t>
        </is>
      </c>
      <c r="D320" s="2" t="n">
        <v>1228</v>
      </c>
      <c r="E320" s="2" t="inlineStr">
        <is>
          <t>curl 8.22 (OpenSSL 3.5.8)</t>
        </is>
      </c>
      <c r="F320" s="2" t="b">
        <v>1</v>
      </c>
      <c r="G320" s="2" t="n">
        <v>19</v>
      </c>
      <c r="H320" s="2" t="n">
        <v>1561</v>
      </c>
      <c r="I320" s="2" t="n">
        <v>1561</v>
      </c>
      <c r="J320" s="2" t="n">
        <v>1223</v>
      </c>
      <c r="K320" s="2">
        <f>H320+5&gt;D320</f>
        <v/>
      </c>
      <c r="L320" s="2">
        <f>J320&lt;I320</f>
        <v/>
      </c>
      <c r="M320" s="2" t="b">
        <v>1</v>
      </c>
      <c r="N320" s="2" t="b">
        <v>1</v>
      </c>
      <c r="O320" s="2" t="inlineStr">
        <is>
          <t>allow</t>
        </is>
      </c>
      <c r="P320" s="2">
        <f>O320&lt;&gt;"unknown"</f>
        <v/>
      </c>
    </row>
    <row r="321">
      <c r="A321" s="2" t="inlineStr">
        <is>
          <t>1280-on</t>
        </is>
      </c>
      <c r="B321" s="2" t="n">
        <v>1280</v>
      </c>
      <c r="C321" s="2" t="inlineStr">
        <is>
          <t>on</t>
        </is>
      </c>
      <c r="D321" s="2" t="n">
        <v>1228</v>
      </c>
      <c r="E321" s="2" t="inlineStr">
        <is>
          <t>curl 8.22 (OpenSSL 3.5.8)</t>
        </is>
      </c>
      <c r="F321" s="2" t="b">
        <v>1</v>
      </c>
      <c r="G321" s="2" t="n">
        <v>20</v>
      </c>
      <c r="H321" s="2" t="n">
        <v>1561</v>
      </c>
      <c r="I321" s="2" t="n">
        <v>1561</v>
      </c>
      <c r="J321" s="2" t="n">
        <v>1223</v>
      </c>
      <c r="K321" s="2">
        <f>H321+5&gt;D321</f>
        <v/>
      </c>
      <c r="L321" s="2">
        <f>J321&lt;I321</f>
        <v/>
      </c>
      <c r="M321" s="2" t="b">
        <v>1</v>
      </c>
      <c r="N321" s="2" t="b">
        <v>1</v>
      </c>
      <c r="O321" s="2" t="inlineStr">
        <is>
          <t>allow</t>
        </is>
      </c>
      <c r="P321" s="2">
        <f>O321&lt;&gt;"unknown"</f>
        <v/>
      </c>
    </row>
    <row r="322">
      <c r="A322" s="2" t="inlineStr">
        <is>
          <t>1280-on</t>
        </is>
      </c>
      <c r="B322" s="2" t="n">
        <v>1280</v>
      </c>
      <c r="C322" s="2" t="inlineStr">
        <is>
          <t>on</t>
        </is>
      </c>
      <c r="D322" s="2" t="n">
        <v>1228</v>
      </c>
      <c r="E322" s="2" t="inlineStr">
        <is>
          <t>python 3.14 urllib (OpenSSL 3.5.8)</t>
        </is>
      </c>
      <c r="F322" s="2" t="b">
        <v>1</v>
      </c>
      <c r="G322" s="2" t="n">
        <v>1</v>
      </c>
      <c r="H322" s="2" t="n">
        <v>1517</v>
      </c>
      <c r="I322" s="2" t="n">
        <v>1517</v>
      </c>
      <c r="J322" s="2" t="n">
        <v>1223</v>
      </c>
      <c r="K322" s="2">
        <f>H322+5&gt;D322</f>
        <v/>
      </c>
      <c r="L322" s="2">
        <f>J322&lt;I322</f>
        <v/>
      </c>
      <c r="M322" s="2" t="b">
        <v>1</v>
      </c>
      <c r="N322" s="2" t="b">
        <v>1</v>
      </c>
      <c r="O322" s="2" t="inlineStr">
        <is>
          <t>allow</t>
        </is>
      </c>
      <c r="P322" s="2">
        <f>O322&lt;&gt;"unknown"</f>
        <v/>
      </c>
    </row>
    <row r="323">
      <c r="A323" s="2" t="inlineStr">
        <is>
          <t>1280-on</t>
        </is>
      </c>
      <c r="B323" s="2" t="n">
        <v>1280</v>
      </c>
      <c r="C323" s="2" t="inlineStr">
        <is>
          <t>on</t>
        </is>
      </c>
      <c r="D323" s="2" t="n">
        <v>1228</v>
      </c>
      <c r="E323" s="2" t="inlineStr">
        <is>
          <t>python 3.14 urllib (OpenSSL 3.5.8)</t>
        </is>
      </c>
      <c r="F323" s="2" t="b">
        <v>1</v>
      </c>
      <c r="G323" s="2" t="n">
        <v>2</v>
      </c>
      <c r="H323" s="2" t="n">
        <v>1517</v>
      </c>
      <c r="I323" s="2" t="n">
        <v>1517</v>
      </c>
      <c r="J323" s="2" t="n">
        <v>1223</v>
      </c>
      <c r="K323" s="2">
        <f>H323+5&gt;D323</f>
        <v/>
      </c>
      <c r="L323" s="2">
        <f>J323&lt;I323</f>
        <v/>
      </c>
      <c r="M323" s="2" t="b">
        <v>1</v>
      </c>
      <c r="N323" s="2" t="b">
        <v>1</v>
      </c>
      <c r="O323" s="2" t="inlineStr">
        <is>
          <t>allow</t>
        </is>
      </c>
      <c r="P323" s="2">
        <f>O323&lt;&gt;"unknown"</f>
        <v/>
      </c>
    </row>
    <row r="324">
      <c r="A324" s="2" t="inlineStr">
        <is>
          <t>1280-on</t>
        </is>
      </c>
      <c r="B324" s="2" t="n">
        <v>1280</v>
      </c>
      <c r="C324" s="2" t="inlineStr">
        <is>
          <t>on</t>
        </is>
      </c>
      <c r="D324" s="2" t="n">
        <v>1228</v>
      </c>
      <c r="E324" s="2" t="inlineStr">
        <is>
          <t>python 3.14 urllib (OpenSSL 3.5.8)</t>
        </is>
      </c>
      <c r="F324" s="2" t="b">
        <v>1</v>
      </c>
      <c r="G324" s="2" t="n">
        <v>3</v>
      </c>
      <c r="H324" s="2" t="n">
        <v>1517</v>
      </c>
      <c r="I324" s="2" t="n">
        <v>1517</v>
      </c>
      <c r="J324" s="2" t="n">
        <v>1223</v>
      </c>
      <c r="K324" s="2">
        <f>H324+5&gt;D324</f>
        <v/>
      </c>
      <c r="L324" s="2">
        <f>J324&lt;I324</f>
        <v/>
      </c>
      <c r="M324" s="2" t="b">
        <v>1</v>
      </c>
      <c r="N324" s="2" t="b">
        <v>1</v>
      </c>
      <c r="O324" s="2" t="inlineStr">
        <is>
          <t>allow</t>
        </is>
      </c>
      <c r="P324" s="2">
        <f>O324&lt;&gt;"unknown"</f>
        <v/>
      </c>
    </row>
    <row r="325">
      <c r="A325" s="2" t="inlineStr">
        <is>
          <t>1280-on</t>
        </is>
      </c>
      <c r="B325" s="2" t="n">
        <v>1280</v>
      </c>
      <c r="C325" s="2" t="inlineStr">
        <is>
          <t>on</t>
        </is>
      </c>
      <c r="D325" s="2" t="n">
        <v>1228</v>
      </c>
      <c r="E325" s="2" t="inlineStr">
        <is>
          <t>python 3.14 urllib (OpenSSL 3.5.8)</t>
        </is>
      </c>
      <c r="F325" s="2" t="b">
        <v>1</v>
      </c>
      <c r="G325" s="2" t="n">
        <v>4</v>
      </c>
      <c r="H325" s="2" t="n">
        <v>1517</v>
      </c>
      <c r="I325" s="2" t="n">
        <v>1517</v>
      </c>
      <c r="J325" s="2" t="n">
        <v>1223</v>
      </c>
      <c r="K325" s="2">
        <f>H325+5&gt;D325</f>
        <v/>
      </c>
      <c r="L325" s="2">
        <f>J325&lt;I325</f>
        <v/>
      </c>
      <c r="M325" s="2" t="b">
        <v>1</v>
      </c>
      <c r="N325" s="2" t="b">
        <v>1</v>
      </c>
      <c r="O325" s="2" t="inlineStr">
        <is>
          <t>allow</t>
        </is>
      </c>
      <c r="P325" s="2">
        <f>O325&lt;&gt;"unknown"</f>
        <v/>
      </c>
    </row>
    <row r="326">
      <c r="A326" s="2" t="inlineStr">
        <is>
          <t>1280-on</t>
        </is>
      </c>
      <c r="B326" s="2" t="n">
        <v>1280</v>
      </c>
      <c r="C326" s="2" t="inlineStr">
        <is>
          <t>on</t>
        </is>
      </c>
      <c r="D326" s="2" t="n">
        <v>1228</v>
      </c>
      <c r="E326" s="2" t="inlineStr">
        <is>
          <t>python 3.14 urllib (OpenSSL 3.5.8)</t>
        </is>
      </c>
      <c r="F326" s="2" t="b">
        <v>1</v>
      </c>
      <c r="G326" s="2" t="n">
        <v>5</v>
      </c>
      <c r="H326" s="2" t="n">
        <v>1517</v>
      </c>
      <c r="I326" s="2" t="n">
        <v>1517</v>
      </c>
      <c r="J326" s="2" t="n">
        <v>1223</v>
      </c>
      <c r="K326" s="2">
        <f>H326+5&gt;D326</f>
        <v/>
      </c>
      <c r="L326" s="2">
        <f>J326&lt;I326</f>
        <v/>
      </c>
      <c r="M326" s="2" t="b">
        <v>1</v>
      </c>
      <c r="N326" s="2" t="b">
        <v>1</v>
      </c>
      <c r="O326" s="2" t="inlineStr">
        <is>
          <t>allow</t>
        </is>
      </c>
      <c r="P326" s="2">
        <f>O326&lt;&gt;"unknown"</f>
        <v/>
      </c>
    </row>
    <row r="327">
      <c r="A327" s="2" t="inlineStr">
        <is>
          <t>1280-on</t>
        </is>
      </c>
      <c r="B327" s="2" t="n">
        <v>1280</v>
      </c>
      <c r="C327" s="2" t="inlineStr">
        <is>
          <t>on</t>
        </is>
      </c>
      <c r="D327" s="2" t="n">
        <v>1228</v>
      </c>
      <c r="E327" s="2" t="inlineStr">
        <is>
          <t>python 3.14 urllib (OpenSSL 3.5.8)</t>
        </is>
      </c>
      <c r="F327" s="2" t="b">
        <v>1</v>
      </c>
      <c r="G327" s="2" t="n">
        <v>6</v>
      </c>
      <c r="H327" s="2" t="n">
        <v>1517</v>
      </c>
      <c r="I327" s="2" t="n">
        <v>1517</v>
      </c>
      <c r="J327" s="2" t="n">
        <v>1223</v>
      </c>
      <c r="K327" s="2">
        <f>H327+5&gt;D327</f>
        <v/>
      </c>
      <c r="L327" s="2">
        <f>J327&lt;I327</f>
        <v/>
      </c>
      <c r="M327" s="2" t="b">
        <v>1</v>
      </c>
      <c r="N327" s="2" t="b">
        <v>1</v>
      </c>
      <c r="O327" s="2" t="inlineStr">
        <is>
          <t>allow</t>
        </is>
      </c>
      <c r="P327" s="2">
        <f>O327&lt;&gt;"unknown"</f>
        <v/>
      </c>
    </row>
    <row r="328">
      <c r="A328" s="2" t="inlineStr">
        <is>
          <t>1280-on</t>
        </is>
      </c>
      <c r="B328" s="2" t="n">
        <v>1280</v>
      </c>
      <c r="C328" s="2" t="inlineStr">
        <is>
          <t>on</t>
        </is>
      </c>
      <c r="D328" s="2" t="n">
        <v>1228</v>
      </c>
      <c r="E328" s="2" t="inlineStr">
        <is>
          <t>python 3.14 urllib (OpenSSL 3.5.8)</t>
        </is>
      </c>
      <c r="F328" s="2" t="b">
        <v>1</v>
      </c>
      <c r="G328" s="2" t="n">
        <v>7</v>
      </c>
      <c r="H328" s="2" t="n">
        <v>1517</v>
      </c>
      <c r="I328" s="2" t="n">
        <v>1517</v>
      </c>
      <c r="J328" s="2" t="n">
        <v>1223</v>
      </c>
      <c r="K328" s="2">
        <f>H328+5&gt;D328</f>
        <v/>
      </c>
      <c r="L328" s="2">
        <f>J328&lt;I328</f>
        <v/>
      </c>
      <c r="M328" s="2" t="b">
        <v>1</v>
      </c>
      <c r="N328" s="2" t="b">
        <v>1</v>
      </c>
      <c r="O328" s="2" t="inlineStr">
        <is>
          <t>allow</t>
        </is>
      </c>
      <c r="P328" s="2">
        <f>O328&lt;&gt;"unknown"</f>
        <v/>
      </c>
    </row>
    <row r="329">
      <c r="A329" s="2" t="inlineStr">
        <is>
          <t>1280-on</t>
        </is>
      </c>
      <c r="B329" s="2" t="n">
        <v>1280</v>
      </c>
      <c r="C329" s="2" t="inlineStr">
        <is>
          <t>on</t>
        </is>
      </c>
      <c r="D329" s="2" t="n">
        <v>1228</v>
      </c>
      <c r="E329" s="2" t="inlineStr">
        <is>
          <t>python 3.14 urllib (OpenSSL 3.5.8)</t>
        </is>
      </c>
      <c r="F329" s="2" t="b">
        <v>1</v>
      </c>
      <c r="G329" s="2" t="n">
        <v>8</v>
      </c>
      <c r="H329" s="2" t="n">
        <v>1517</v>
      </c>
      <c r="I329" s="2" t="n">
        <v>1517</v>
      </c>
      <c r="J329" s="2" t="n">
        <v>1223</v>
      </c>
      <c r="K329" s="2">
        <f>H329+5&gt;D329</f>
        <v/>
      </c>
      <c r="L329" s="2">
        <f>J329&lt;I329</f>
        <v/>
      </c>
      <c r="M329" s="2" t="b">
        <v>1</v>
      </c>
      <c r="N329" s="2" t="b">
        <v>1</v>
      </c>
      <c r="O329" s="2" t="inlineStr">
        <is>
          <t>allow</t>
        </is>
      </c>
      <c r="P329" s="2">
        <f>O329&lt;&gt;"unknown"</f>
        <v/>
      </c>
    </row>
    <row r="330">
      <c r="A330" s="2" t="inlineStr">
        <is>
          <t>1280-on</t>
        </is>
      </c>
      <c r="B330" s="2" t="n">
        <v>1280</v>
      </c>
      <c r="C330" s="2" t="inlineStr">
        <is>
          <t>on</t>
        </is>
      </c>
      <c r="D330" s="2" t="n">
        <v>1228</v>
      </c>
      <c r="E330" s="2" t="inlineStr">
        <is>
          <t>python 3.14 urllib (OpenSSL 3.5.8)</t>
        </is>
      </c>
      <c r="F330" s="2" t="b">
        <v>1</v>
      </c>
      <c r="G330" s="2" t="n">
        <v>9</v>
      </c>
      <c r="H330" s="2" t="n">
        <v>1517</v>
      </c>
      <c r="I330" s="2" t="n">
        <v>1517</v>
      </c>
      <c r="J330" s="2" t="n">
        <v>1223</v>
      </c>
      <c r="K330" s="2">
        <f>H330+5&gt;D330</f>
        <v/>
      </c>
      <c r="L330" s="2">
        <f>J330&lt;I330</f>
        <v/>
      </c>
      <c r="M330" s="2" t="b">
        <v>1</v>
      </c>
      <c r="N330" s="2" t="b">
        <v>1</v>
      </c>
      <c r="O330" s="2" t="inlineStr">
        <is>
          <t>allow</t>
        </is>
      </c>
      <c r="P330" s="2">
        <f>O330&lt;&gt;"unknown"</f>
        <v/>
      </c>
    </row>
    <row r="331">
      <c r="A331" s="2" t="inlineStr">
        <is>
          <t>1280-on</t>
        </is>
      </c>
      <c r="B331" s="2" t="n">
        <v>1280</v>
      </c>
      <c r="C331" s="2" t="inlineStr">
        <is>
          <t>on</t>
        </is>
      </c>
      <c r="D331" s="2" t="n">
        <v>1228</v>
      </c>
      <c r="E331" s="2" t="inlineStr">
        <is>
          <t>python 3.14 urllib (OpenSSL 3.5.8)</t>
        </is>
      </c>
      <c r="F331" s="2" t="b">
        <v>1</v>
      </c>
      <c r="G331" s="2" t="n">
        <v>10</v>
      </c>
      <c r="H331" s="2" t="n">
        <v>1517</v>
      </c>
      <c r="I331" s="2" t="n">
        <v>1517</v>
      </c>
      <c r="J331" s="2" t="n">
        <v>1223</v>
      </c>
      <c r="K331" s="2">
        <f>H331+5&gt;D331</f>
        <v/>
      </c>
      <c r="L331" s="2">
        <f>J331&lt;I331</f>
        <v/>
      </c>
      <c r="M331" s="2" t="b">
        <v>1</v>
      </c>
      <c r="N331" s="2" t="b">
        <v>1</v>
      </c>
      <c r="O331" s="2" t="inlineStr">
        <is>
          <t>allow</t>
        </is>
      </c>
      <c r="P331" s="2">
        <f>O331&lt;&gt;"unknown"</f>
        <v/>
      </c>
    </row>
    <row r="332">
      <c r="A332" s="2" t="inlineStr">
        <is>
          <t>1280-on</t>
        </is>
      </c>
      <c r="B332" s="2" t="n">
        <v>1280</v>
      </c>
      <c r="C332" s="2" t="inlineStr">
        <is>
          <t>on</t>
        </is>
      </c>
      <c r="D332" s="2" t="n">
        <v>1228</v>
      </c>
      <c r="E332" s="2" t="inlineStr">
        <is>
          <t>python 3.14 urllib (OpenSSL 3.5.8)</t>
        </is>
      </c>
      <c r="F332" s="2" t="b">
        <v>1</v>
      </c>
      <c r="G332" s="2" t="n">
        <v>11</v>
      </c>
      <c r="H332" s="2" t="n">
        <v>1517</v>
      </c>
      <c r="I332" s="2" t="n">
        <v>1517</v>
      </c>
      <c r="J332" s="2" t="n">
        <v>1223</v>
      </c>
      <c r="K332" s="2">
        <f>H332+5&gt;D332</f>
        <v/>
      </c>
      <c r="L332" s="2">
        <f>J332&lt;I332</f>
        <v/>
      </c>
      <c r="M332" s="2" t="b">
        <v>1</v>
      </c>
      <c r="N332" s="2" t="b">
        <v>1</v>
      </c>
      <c r="O332" s="2" t="inlineStr">
        <is>
          <t>allow</t>
        </is>
      </c>
      <c r="P332" s="2">
        <f>O332&lt;&gt;"unknown"</f>
        <v/>
      </c>
    </row>
    <row r="333">
      <c r="A333" s="2" t="inlineStr">
        <is>
          <t>1280-on</t>
        </is>
      </c>
      <c r="B333" s="2" t="n">
        <v>1280</v>
      </c>
      <c r="C333" s="2" t="inlineStr">
        <is>
          <t>on</t>
        </is>
      </c>
      <c r="D333" s="2" t="n">
        <v>1228</v>
      </c>
      <c r="E333" s="2" t="inlineStr">
        <is>
          <t>python 3.14 urllib (OpenSSL 3.5.8)</t>
        </is>
      </c>
      <c r="F333" s="2" t="b">
        <v>1</v>
      </c>
      <c r="G333" s="2" t="n">
        <v>12</v>
      </c>
      <c r="H333" s="2" t="n">
        <v>1517</v>
      </c>
      <c r="I333" s="2" t="n">
        <v>1517</v>
      </c>
      <c r="J333" s="2" t="n">
        <v>1223</v>
      </c>
      <c r="K333" s="2">
        <f>H333+5&gt;D333</f>
        <v/>
      </c>
      <c r="L333" s="2">
        <f>J333&lt;I333</f>
        <v/>
      </c>
      <c r="M333" s="2" t="b">
        <v>1</v>
      </c>
      <c r="N333" s="2" t="b">
        <v>1</v>
      </c>
      <c r="O333" s="2" t="inlineStr">
        <is>
          <t>allow</t>
        </is>
      </c>
      <c r="P333" s="2">
        <f>O333&lt;&gt;"unknown"</f>
        <v/>
      </c>
    </row>
    <row r="334">
      <c r="A334" s="2" t="inlineStr">
        <is>
          <t>1280-on</t>
        </is>
      </c>
      <c r="B334" s="2" t="n">
        <v>1280</v>
      </c>
      <c r="C334" s="2" t="inlineStr">
        <is>
          <t>on</t>
        </is>
      </c>
      <c r="D334" s="2" t="n">
        <v>1228</v>
      </c>
      <c r="E334" s="2" t="inlineStr">
        <is>
          <t>python 3.14 urllib (OpenSSL 3.5.8)</t>
        </is>
      </c>
      <c r="F334" s="2" t="b">
        <v>1</v>
      </c>
      <c r="G334" s="2" t="n">
        <v>13</v>
      </c>
      <c r="H334" s="2" t="n">
        <v>1517</v>
      </c>
      <c r="I334" s="2" t="n">
        <v>1517</v>
      </c>
      <c r="J334" s="2" t="n">
        <v>1223</v>
      </c>
      <c r="K334" s="2">
        <f>H334+5&gt;D334</f>
        <v/>
      </c>
      <c r="L334" s="2">
        <f>J334&lt;I334</f>
        <v/>
      </c>
      <c r="M334" s="2" t="b">
        <v>1</v>
      </c>
      <c r="N334" s="2" t="b">
        <v>1</v>
      </c>
      <c r="O334" s="2" t="inlineStr">
        <is>
          <t>allow</t>
        </is>
      </c>
      <c r="P334" s="2">
        <f>O334&lt;&gt;"unknown"</f>
        <v/>
      </c>
    </row>
    <row r="335">
      <c r="A335" s="2" t="inlineStr">
        <is>
          <t>1280-on</t>
        </is>
      </c>
      <c r="B335" s="2" t="n">
        <v>1280</v>
      </c>
      <c r="C335" s="2" t="inlineStr">
        <is>
          <t>on</t>
        </is>
      </c>
      <c r="D335" s="2" t="n">
        <v>1228</v>
      </c>
      <c r="E335" s="2" t="inlineStr">
        <is>
          <t>python 3.14 urllib (OpenSSL 3.5.8)</t>
        </is>
      </c>
      <c r="F335" s="2" t="b">
        <v>1</v>
      </c>
      <c r="G335" s="2" t="n">
        <v>14</v>
      </c>
      <c r="H335" s="2" t="n">
        <v>1517</v>
      </c>
      <c r="I335" s="2" t="n">
        <v>1517</v>
      </c>
      <c r="J335" s="2" t="n">
        <v>1223</v>
      </c>
      <c r="K335" s="2">
        <f>H335+5&gt;D335</f>
        <v/>
      </c>
      <c r="L335" s="2">
        <f>J335&lt;I335</f>
        <v/>
      </c>
      <c r="M335" s="2" t="b">
        <v>1</v>
      </c>
      <c r="N335" s="2" t="b">
        <v>1</v>
      </c>
      <c r="O335" s="2" t="inlineStr">
        <is>
          <t>allow</t>
        </is>
      </c>
      <c r="P335" s="2">
        <f>O335&lt;&gt;"unknown"</f>
        <v/>
      </c>
    </row>
    <row r="336">
      <c r="A336" s="2" t="inlineStr">
        <is>
          <t>1280-on</t>
        </is>
      </c>
      <c r="B336" s="2" t="n">
        <v>1280</v>
      </c>
      <c r="C336" s="2" t="inlineStr">
        <is>
          <t>on</t>
        </is>
      </c>
      <c r="D336" s="2" t="n">
        <v>1228</v>
      </c>
      <c r="E336" s="2" t="inlineStr">
        <is>
          <t>python 3.14 urllib (OpenSSL 3.5.8)</t>
        </is>
      </c>
      <c r="F336" s="2" t="b">
        <v>1</v>
      </c>
      <c r="G336" s="2" t="n">
        <v>15</v>
      </c>
      <c r="H336" s="2" t="n">
        <v>1517</v>
      </c>
      <c r="I336" s="2" t="n">
        <v>1517</v>
      </c>
      <c r="J336" s="2" t="n">
        <v>1223</v>
      </c>
      <c r="K336" s="2">
        <f>H336+5&gt;D336</f>
        <v/>
      </c>
      <c r="L336" s="2">
        <f>J336&lt;I336</f>
        <v/>
      </c>
      <c r="M336" s="2" t="b">
        <v>1</v>
      </c>
      <c r="N336" s="2" t="b">
        <v>1</v>
      </c>
      <c r="O336" s="2" t="inlineStr">
        <is>
          <t>allow</t>
        </is>
      </c>
      <c r="P336" s="2">
        <f>O336&lt;&gt;"unknown"</f>
        <v/>
      </c>
    </row>
    <row r="337">
      <c r="A337" s="2" t="inlineStr">
        <is>
          <t>1280-on</t>
        </is>
      </c>
      <c r="B337" s="2" t="n">
        <v>1280</v>
      </c>
      <c r="C337" s="2" t="inlineStr">
        <is>
          <t>on</t>
        </is>
      </c>
      <c r="D337" s="2" t="n">
        <v>1228</v>
      </c>
      <c r="E337" s="2" t="inlineStr">
        <is>
          <t>python 3.14 urllib (OpenSSL 3.5.8)</t>
        </is>
      </c>
      <c r="F337" s="2" t="b">
        <v>1</v>
      </c>
      <c r="G337" s="2" t="n">
        <v>16</v>
      </c>
      <c r="H337" s="2" t="n">
        <v>1517</v>
      </c>
      <c r="I337" s="2" t="n">
        <v>1517</v>
      </c>
      <c r="J337" s="2" t="n">
        <v>1223</v>
      </c>
      <c r="K337" s="2">
        <f>H337+5&gt;D337</f>
        <v/>
      </c>
      <c r="L337" s="2">
        <f>J337&lt;I337</f>
        <v/>
      </c>
      <c r="M337" s="2" t="b">
        <v>1</v>
      </c>
      <c r="N337" s="2" t="b">
        <v>1</v>
      </c>
      <c r="O337" s="2" t="inlineStr">
        <is>
          <t>allow</t>
        </is>
      </c>
      <c r="P337" s="2">
        <f>O337&lt;&gt;"unknown"</f>
        <v/>
      </c>
    </row>
    <row r="338">
      <c r="A338" s="2" t="inlineStr">
        <is>
          <t>1280-on</t>
        </is>
      </c>
      <c r="B338" s="2" t="n">
        <v>1280</v>
      </c>
      <c r="C338" s="2" t="inlineStr">
        <is>
          <t>on</t>
        </is>
      </c>
      <c r="D338" s="2" t="n">
        <v>1228</v>
      </c>
      <c r="E338" s="2" t="inlineStr">
        <is>
          <t>python 3.14 urllib (OpenSSL 3.5.8)</t>
        </is>
      </c>
      <c r="F338" s="2" t="b">
        <v>1</v>
      </c>
      <c r="G338" s="2" t="n">
        <v>17</v>
      </c>
      <c r="H338" s="2" t="n">
        <v>1517</v>
      </c>
      <c r="I338" s="2" t="n">
        <v>1517</v>
      </c>
      <c r="J338" s="2" t="n">
        <v>1223</v>
      </c>
      <c r="K338" s="2">
        <f>H338+5&gt;D338</f>
        <v/>
      </c>
      <c r="L338" s="2">
        <f>J338&lt;I338</f>
        <v/>
      </c>
      <c r="M338" s="2" t="b">
        <v>1</v>
      </c>
      <c r="N338" s="2" t="b">
        <v>1</v>
      </c>
      <c r="O338" s="2" t="inlineStr">
        <is>
          <t>allow</t>
        </is>
      </c>
      <c r="P338" s="2">
        <f>O338&lt;&gt;"unknown"</f>
        <v/>
      </c>
    </row>
    <row r="339">
      <c r="A339" s="2" t="inlineStr">
        <is>
          <t>1280-on</t>
        </is>
      </c>
      <c r="B339" s="2" t="n">
        <v>1280</v>
      </c>
      <c r="C339" s="2" t="inlineStr">
        <is>
          <t>on</t>
        </is>
      </c>
      <c r="D339" s="2" t="n">
        <v>1228</v>
      </c>
      <c r="E339" s="2" t="inlineStr">
        <is>
          <t>python 3.14 urllib (OpenSSL 3.5.8)</t>
        </is>
      </c>
      <c r="F339" s="2" t="b">
        <v>1</v>
      </c>
      <c r="G339" s="2" t="n">
        <v>18</v>
      </c>
      <c r="H339" s="2" t="n">
        <v>1517</v>
      </c>
      <c r="I339" s="2" t="n">
        <v>1517</v>
      </c>
      <c r="J339" s="2" t="n">
        <v>1223</v>
      </c>
      <c r="K339" s="2">
        <f>H339+5&gt;D339</f>
        <v/>
      </c>
      <c r="L339" s="2">
        <f>J339&lt;I339</f>
        <v/>
      </c>
      <c r="M339" s="2" t="b">
        <v>1</v>
      </c>
      <c r="N339" s="2" t="b">
        <v>1</v>
      </c>
      <c r="O339" s="2" t="inlineStr">
        <is>
          <t>allow</t>
        </is>
      </c>
      <c r="P339" s="2">
        <f>O339&lt;&gt;"unknown"</f>
        <v/>
      </c>
    </row>
    <row r="340">
      <c r="A340" s="2" t="inlineStr">
        <is>
          <t>1280-on</t>
        </is>
      </c>
      <c r="B340" s="2" t="n">
        <v>1280</v>
      </c>
      <c r="C340" s="2" t="inlineStr">
        <is>
          <t>on</t>
        </is>
      </c>
      <c r="D340" s="2" t="n">
        <v>1228</v>
      </c>
      <c r="E340" s="2" t="inlineStr">
        <is>
          <t>python 3.14 urllib (OpenSSL 3.5.8)</t>
        </is>
      </c>
      <c r="F340" s="2" t="b">
        <v>1</v>
      </c>
      <c r="G340" s="2" t="n">
        <v>19</v>
      </c>
      <c r="H340" s="2" t="n">
        <v>1517</v>
      </c>
      <c r="I340" s="2" t="n">
        <v>1517</v>
      </c>
      <c r="J340" s="2" t="n">
        <v>1223</v>
      </c>
      <c r="K340" s="2">
        <f>H340+5&gt;D340</f>
        <v/>
      </c>
      <c r="L340" s="2">
        <f>J340&lt;I340</f>
        <v/>
      </c>
      <c r="M340" s="2" t="b">
        <v>1</v>
      </c>
      <c r="N340" s="2" t="b">
        <v>1</v>
      </c>
      <c r="O340" s="2" t="inlineStr">
        <is>
          <t>allow</t>
        </is>
      </c>
      <c r="P340" s="2">
        <f>O340&lt;&gt;"unknown"</f>
        <v/>
      </c>
    </row>
    <row r="341">
      <c r="A341" s="2" t="inlineStr">
        <is>
          <t>1280-on</t>
        </is>
      </c>
      <c r="B341" s="2" t="n">
        <v>1280</v>
      </c>
      <c r="C341" s="2" t="inlineStr">
        <is>
          <t>on</t>
        </is>
      </c>
      <c r="D341" s="2" t="n">
        <v>1228</v>
      </c>
      <c r="E341" s="2" t="inlineStr">
        <is>
          <t>python 3.14 urllib (OpenSSL 3.5.8)</t>
        </is>
      </c>
      <c r="F341" s="2" t="b">
        <v>1</v>
      </c>
      <c r="G341" s="2" t="n">
        <v>20</v>
      </c>
      <c r="H341" s="2" t="n">
        <v>1517</v>
      </c>
      <c r="I341" s="2" t="n">
        <v>1517</v>
      </c>
      <c r="J341" s="2" t="n">
        <v>1223</v>
      </c>
      <c r="K341" s="2">
        <f>H341+5&gt;D341</f>
        <v/>
      </c>
      <c r="L341" s="2">
        <f>J341&lt;I341</f>
        <v/>
      </c>
      <c r="M341" s="2" t="b">
        <v>1</v>
      </c>
      <c r="N341" s="2" t="b">
        <v>1</v>
      </c>
      <c r="O341" s="2" t="inlineStr">
        <is>
          <t>allow</t>
        </is>
      </c>
      <c r="P341" s="2">
        <f>O341&lt;&gt;"unknown"</f>
        <v/>
      </c>
    </row>
    <row r="342">
      <c r="A342" s="2" t="inlineStr">
        <is>
          <t>1280-on</t>
        </is>
      </c>
      <c r="B342" s="2" t="n">
        <v>1280</v>
      </c>
      <c r="C342" s="2" t="inlineStr">
        <is>
          <t>on</t>
        </is>
      </c>
      <c r="D342" s="2" t="n">
        <v>1228</v>
      </c>
      <c r="E342" s="2" t="inlineStr">
        <is>
          <t>node 26 https (OpenSSL 3.5.8)</t>
        </is>
      </c>
      <c r="F342" s="2" t="b">
        <v>1</v>
      </c>
      <c r="G342" s="2" t="n">
        <v>1</v>
      </c>
      <c r="H342" s="2" t="n">
        <v>1587</v>
      </c>
      <c r="I342" s="2" t="n">
        <v>1587</v>
      </c>
      <c r="J342" s="2" t="n">
        <v>1223</v>
      </c>
      <c r="K342" s="2">
        <f>H342+5&gt;D342</f>
        <v/>
      </c>
      <c r="L342" s="2">
        <f>J342&lt;I342</f>
        <v/>
      </c>
      <c r="M342" s="2" t="b">
        <v>1</v>
      </c>
      <c r="N342" s="2" t="b">
        <v>1</v>
      </c>
      <c r="O342" s="2" t="inlineStr">
        <is>
          <t>allow</t>
        </is>
      </c>
      <c r="P342" s="2">
        <f>O342&lt;&gt;"unknown"</f>
        <v/>
      </c>
    </row>
    <row r="343">
      <c r="A343" s="2" t="inlineStr">
        <is>
          <t>1280-on</t>
        </is>
      </c>
      <c r="B343" s="2" t="n">
        <v>1280</v>
      </c>
      <c r="C343" s="2" t="inlineStr">
        <is>
          <t>on</t>
        </is>
      </c>
      <c r="D343" s="2" t="n">
        <v>1228</v>
      </c>
      <c r="E343" s="2" t="inlineStr">
        <is>
          <t>node 26 https (OpenSSL 3.5.8)</t>
        </is>
      </c>
      <c r="F343" s="2" t="b">
        <v>1</v>
      </c>
      <c r="G343" s="2" t="n">
        <v>2</v>
      </c>
      <c r="H343" s="2" t="n">
        <v>1587</v>
      </c>
      <c r="I343" s="2" t="n">
        <v>1587</v>
      </c>
      <c r="J343" s="2" t="n">
        <v>1223</v>
      </c>
      <c r="K343" s="2">
        <f>H343+5&gt;D343</f>
        <v/>
      </c>
      <c r="L343" s="2">
        <f>J343&lt;I343</f>
        <v/>
      </c>
      <c r="M343" s="2" t="b">
        <v>1</v>
      </c>
      <c r="N343" s="2" t="b">
        <v>1</v>
      </c>
      <c r="O343" s="2" t="inlineStr">
        <is>
          <t>allow</t>
        </is>
      </c>
      <c r="P343" s="2">
        <f>O343&lt;&gt;"unknown"</f>
        <v/>
      </c>
    </row>
    <row r="344">
      <c r="A344" s="2" t="inlineStr">
        <is>
          <t>1280-on</t>
        </is>
      </c>
      <c r="B344" s="2" t="n">
        <v>1280</v>
      </c>
      <c r="C344" s="2" t="inlineStr">
        <is>
          <t>on</t>
        </is>
      </c>
      <c r="D344" s="2" t="n">
        <v>1228</v>
      </c>
      <c r="E344" s="2" t="inlineStr">
        <is>
          <t>node 26 https (OpenSSL 3.5.8)</t>
        </is>
      </c>
      <c r="F344" s="2" t="b">
        <v>1</v>
      </c>
      <c r="G344" s="2" t="n">
        <v>3</v>
      </c>
      <c r="H344" s="2" t="n">
        <v>1587</v>
      </c>
      <c r="I344" s="2" t="n">
        <v>1587</v>
      </c>
      <c r="J344" s="2" t="n">
        <v>1223</v>
      </c>
      <c r="K344" s="2">
        <f>H344+5&gt;D344</f>
        <v/>
      </c>
      <c r="L344" s="2">
        <f>J344&lt;I344</f>
        <v/>
      </c>
      <c r="M344" s="2" t="b">
        <v>1</v>
      </c>
      <c r="N344" s="2" t="b">
        <v>1</v>
      </c>
      <c r="O344" s="2" t="inlineStr">
        <is>
          <t>allow</t>
        </is>
      </c>
      <c r="P344" s="2">
        <f>O344&lt;&gt;"unknown"</f>
        <v/>
      </c>
    </row>
    <row r="345">
      <c r="A345" s="2" t="inlineStr">
        <is>
          <t>1280-on</t>
        </is>
      </c>
      <c r="B345" s="2" t="n">
        <v>1280</v>
      </c>
      <c r="C345" s="2" t="inlineStr">
        <is>
          <t>on</t>
        </is>
      </c>
      <c r="D345" s="2" t="n">
        <v>1228</v>
      </c>
      <c r="E345" s="2" t="inlineStr">
        <is>
          <t>node 26 https (OpenSSL 3.5.8)</t>
        </is>
      </c>
      <c r="F345" s="2" t="b">
        <v>1</v>
      </c>
      <c r="G345" s="2" t="n">
        <v>4</v>
      </c>
      <c r="H345" s="2" t="n">
        <v>1587</v>
      </c>
      <c r="I345" s="2" t="n">
        <v>1587</v>
      </c>
      <c r="J345" s="2" t="n">
        <v>1223</v>
      </c>
      <c r="K345" s="2">
        <f>H345+5&gt;D345</f>
        <v/>
      </c>
      <c r="L345" s="2">
        <f>J345&lt;I345</f>
        <v/>
      </c>
      <c r="M345" s="2" t="b">
        <v>1</v>
      </c>
      <c r="N345" s="2" t="b">
        <v>1</v>
      </c>
      <c r="O345" s="2" t="inlineStr">
        <is>
          <t>allow</t>
        </is>
      </c>
      <c r="P345" s="2">
        <f>O345&lt;&gt;"unknown"</f>
        <v/>
      </c>
    </row>
    <row r="346">
      <c r="A346" s="2" t="inlineStr">
        <is>
          <t>1280-on</t>
        </is>
      </c>
      <c r="B346" s="2" t="n">
        <v>1280</v>
      </c>
      <c r="C346" s="2" t="inlineStr">
        <is>
          <t>on</t>
        </is>
      </c>
      <c r="D346" s="2" t="n">
        <v>1228</v>
      </c>
      <c r="E346" s="2" t="inlineStr">
        <is>
          <t>node 26 https (OpenSSL 3.5.8)</t>
        </is>
      </c>
      <c r="F346" s="2" t="b">
        <v>1</v>
      </c>
      <c r="G346" s="2" t="n">
        <v>5</v>
      </c>
      <c r="H346" s="2" t="n">
        <v>1587</v>
      </c>
      <c r="I346" s="2" t="n">
        <v>1587</v>
      </c>
      <c r="J346" s="2" t="n">
        <v>1223</v>
      </c>
      <c r="K346" s="2">
        <f>H346+5&gt;D346</f>
        <v/>
      </c>
      <c r="L346" s="2">
        <f>J346&lt;I346</f>
        <v/>
      </c>
      <c r="M346" s="2" t="b">
        <v>1</v>
      </c>
      <c r="N346" s="2" t="b">
        <v>1</v>
      </c>
      <c r="O346" s="2" t="inlineStr">
        <is>
          <t>allow</t>
        </is>
      </c>
      <c r="P346" s="2">
        <f>O346&lt;&gt;"unknown"</f>
        <v/>
      </c>
    </row>
    <row r="347">
      <c r="A347" s="2" t="inlineStr">
        <is>
          <t>1280-on</t>
        </is>
      </c>
      <c r="B347" s="2" t="n">
        <v>1280</v>
      </c>
      <c r="C347" s="2" t="inlineStr">
        <is>
          <t>on</t>
        </is>
      </c>
      <c r="D347" s="2" t="n">
        <v>1228</v>
      </c>
      <c r="E347" s="2" t="inlineStr">
        <is>
          <t>node 26 https (OpenSSL 3.5.8)</t>
        </is>
      </c>
      <c r="F347" s="2" t="b">
        <v>1</v>
      </c>
      <c r="G347" s="2" t="n">
        <v>6</v>
      </c>
      <c r="H347" s="2" t="n">
        <v>1587</v>
      </c>
      <c r="I347" s="2" t="n">
        <v>1587</v>
      </c>
      <c r="J347" s="2" t="n">
        <v>1223</v>
      </c>
      <c r="K347" s="2">
        <f>H347+5&gt;D347</f>
        <v/>
      </c>
      <c r="L347" s="2">
        <f>J347&lt;I347</f>
        <v/>
      </c>
      <c r="M347" s="2" t="b">
        <v>1</v>
      </c>
      <c r="N347" s="2" t="b">
        <v>1</v>
      </c>
      <c r="O347" s="2" t="inlineStr">
        <is>
          <t>allow</t>
        </is>
      </c>
      <c r="P347" s="2">
        <f>O347&lt;&gt;"unknown"</f>
        <v/>
      </c>
    </row>
    <row r="348">
      <c r="A348" s="2" t="inlineStr">
        <is>
          <t>1280-on</t>
        </is>
      </c>
      <c r="B348" s="2" t="n">
        <v>1280</v>
      </c>
      <c r="C348" s="2" t="inlineStr">
        <is>
          <t>on</t>
        </is>
      </c>
      <c r="D348" s="2" t="n">
        <v>1228</v>
      </c>
      <c r="E348" s="2" t="inlineStr">
        <is>
          <t>node 26 https (OpenSSL 3.5.8)</t>
        </is>
      </c>
      <c r="F348" s="2" t="b">
        <v>1</v>
      </c>
      <c r="G348" s="2" t="n">
        <v>7</v>
      </c>
      <c r="H348" s="2" t="n">
        <v>1587</v>
      </c>
      <c r="I348" s="2" t="n">
        <v>1587</v>
      </c>
      <c r="J348" s="2" t="n">
        <v>1223</v>
      </c>
      <c r="K348" s="2">
        <f>H348+5&gt;D348</f>
        <v/>
      </c>
      <c r="L348" s="2">
        <f>J348&lt;I348</f>
        <v/>
      </c>
      <c r="M348" s="2" t="b">
        <v>1</v>
      </c>
      <c r="N348" s="2" t="b">
        <v>1</v>
      </c>
      <c r="O348" s="2" t="inlineStr">
        <is>
          <t>allow</t>
        </is>
      </c>
      <c r="P348" s="2">
        <f>O348&lt;&gt;"unknown"</f>
        <v/>
      </c>
    </row>
    <row r="349">
      <c r="A349" s="2" t="inlineStr">
        <is>
          <t>1280-on</t>
        </is>
      </c>
      <c r="B349" s="2" t="n">
        <v>1280</v>
      </c>
      <c r="C349" s="2" t="inlineStr">
        <is>
          <t>on</t>
        </is>
      </c>
      <c r="D349" s="2" t="n">
        <v>1228</v>
      </c>
      <c r="E349" s="2" t="inlineStr">
        <is>
          <t>node 26 https (OpenSSL 3.5.8)</t>
        </is>
      </c>
      <c r="F349" s="2" t="b">
        <v>1</v>
      </c>
      <c r="G349" s="2" t="n">
        <v>8</v>
      </c>
      <c r="H349" s="2" t="n">
        <v>1587</v>
      </c>
      <c r="I349" s="2" t="n">
        <v>1587</v>
      </c>
      <c r="J349" s="2" t="n">
        <v>1223</v>
      </c>
      <c r="K349" s="2">
        <f>H349+5&gt;D349</f>
        <v/>
      </c>
      <c r="L349" s="2">
        <f>J349&lt;I349</f>
        <v/>
      </c>
      <c r="M349" s="2" t="b">
        <v>1</v>
      </c>
      <c r="N349" s="2" t="b">
        <v>1</v>
      </c>
      <c r="O349" s="2" t="inlineStr">
        <is>
          <t>allow</t>
        </is>
      </c>
      <c r="P349" s="2">
        <f>O349&lt;&gt;"unknown"</f>
        <v/>
      </c>
    </row>
    <row r="350">
      <c r="A350" s="2" t="inlineStr">
        <is>
          <t>1280-on</t>
        </is>
      </c>
      <c r="B350" s="2" t="n">
        <v>1280</v>
      </c>
      <c r="C350" s="2" t="inlineStr">
        <is>
          <t>on</t>
        </is>
      </c>
      <c r="D350" s="2" t="n">
        <v>1228</v>
      </c>
      <c r="E350" s="2" t="inlineStr">
        <is>
          <t>node 26 https (OpenSSL 3.5.8)</t>
        </is>
      </c>
      <c r="F350" s="2" t="b">
        <v>1</v>
      </c>
      <c r="G350" s="2" t="n">
        <v>9</v>
      </c>
      <c r="H350" s="2" t="n">
        <v>1587</v>
      </c>
      <c r="I350" s="2" t="n">
        <v>1587</v>
      </c>
      <c r="J350" s="2" t="n">
        <v>1223</v>
      </c>
      <c r="K350" s="2">
        <f>H350+5&gt;D350</f>
        <v/>
      </c>
      <c r="L350" s="2">
        <f>J350&lt;I350</f>
        <v/>
      </c>
      <c r="M350" s="2" t="b">
        <v>1</v>
      </c>
      <c r="N350" s="2" t="b">
        <v>1</v>
      </c>
      <c r="O350" s="2" t="inlineStr">
        <is>
          <t>allow</t>
        </is>
      </c>
      <c r="P350" s="2">
        <f>O350&lt;&gt;"unknown"</f>
        <v/>
      </c>
    </row>
    <row r="351">
      <c r="A351" s="2" t="inlineStr">
        <is>
          <t>1280-on</t>
        </is>
      </c>
      <c r="B351" s="2" t="n">
        <v>1280</v>
      </c>
      <c r="C351" s="2" t="inlineStr">
        <is>
          <t>on</t>
        </is>
      </c>
      <c r="D351" s="2" t="n">
        <v>1228</v>
      </c>
      <c r="E351" s="2" t="inlineStr">
        <is>
          <t>node 26 https (OpenSSL 3.5.8)</t>
        </is>
      </c>
      <c r="F351" s="2" t="b">
        <v>1</v>
      </c>
      <c r="G351" s="2" t="n">
        <v>10</v>
      </c>
      <c r="H351" s="2" t="n">
        <v>1587</v>
      </c>
      <c r="I351" s="2" t="n">
        <v>1587</v>
      </c>
      <c r="J351" s="2" t="n">
        <v>1223</v>
      </c>
      <c r="K351" s="2">
        <f>H351+5&gt;D351</f>
        <v/>
      </c>
      <c r="L351" s="2">
        <f>J351&lt;I351</f>
        <v/>
      </c>
      <c r="M351" s="2" t="b">
        <v>1</v>
      </c>
      <c r="N351" s="2" t="b">
        <v>1</v>
      </c>
      <c r="O351" s="2" t="inlineStr">
        <is>
          <t>allow</t>
        </is>
      </c>
      <c r="P351" s="2">
        <f>O351&lt;&gt;"unknown"</f>
        <v/>
      </c>
    </row>
    <row r="352">
      <c r="A352" s="2" t="inlineStr">
        <is>
          <t>1280-on</t>
        </is>
      </c>
      <c r="B352" s="2" t="n">
        <v>1280</v>
      </c>
      <c r="C352" s="2" t="inlineStr">
        <is>
          <t>on</t>
        </is>
      </c>
      <c r="D352" s="2" t="n">
        <v>1228</v>
      </c>
      <c r="E352" s="2" t="inlineStr">
        <is>
          <t>node 26 https (OpenSSL 3.5.8)</t>
        </is>
      </c>
      <c r="F352" s="2" t="b">
        <v>1</v>
      </c>
      <c r="G352" s="2" t="n">
        <v>11</v>
      </c>
      <c r="H352" s="2" t="n">
        <v>1587</v>
      </c>
      <c r="I352" s="2" t="n">
        <v>1587</v>
      </c>
      <c r="J352" s="2" t="n">
        <v>1223</v>
      </c>
      <c r="K352" s="2">
        <f>H352+5&gt;D352</f>
        <v/>
      </c>
      <c r="L352" s="2">
        <f>J352&lt;I352</f>
        <v/>
      </c>
      <c r="M352" s="2" t="b">
        <v>1</v>
      </c>
      <c r="N352" s="2" t="b">
        <v>1</v>
      </c>
      <c r="O352" s="2" t="inlineStr">
        <is>
          <t>allow</t>
        </is>
      </c>
      <c r="P352" s="2">
        <f>O352&lt;&gt;"unknown"</f>
        <v/>
      </c>
    </row>
    <row r="353">
      <c r="A353" s="2" t="inlineStr">
        <is>
          <t>1280-on</t>
        </is>
      </c>
      <c r="B353" s="2" t="n">
        <v>1280</v>
      </c>
      <c r="C353" s="2" t="inlineStr">
        <is>
          <t>on</t>
        </is>
      </c>
      <c r="D353" s="2" t="n">
        <v>1228</v>
      </c>
      <c r="E353" s="2" t="inlineStr">
        <is>
          <t>node 26 https (OpenSSL 3.5.8)</t>
        </is>
      </c>
      <c r="F353" s="2" t="b">
        <v>1</v>
      </c>
      <c r="G353" s="2" t="n">
        <v>12</v>
      </c>
      <c r="H353" s="2" t="n">
        <v>1587</v>
      </c>
      <c r="I353" s="2" t="n">
        <v>1587</v>
      </c>
      <c r="J353" s="2" t="n">
        <v>1223</v>
      </c>
      <c r="K353" s="2">
        <f>H353+5&gt;D353</f>
        <v/>
      </c>
      <c r="L353" s="2">
        <f>J353&lt;I353</f>
        <v/>
      </c>
      <c r="M353" s="2" t="b">
        <v>1</v>
      </c>
      <c r="N353" s="2" t="b">
        <v>1</v>
      </c>
      <c r="O353" s="2" t="inlineStr">
        <is>
          <t>allow</t>
        </is>
      </c>
      <c r="P353" s="2">
        <f>O353&lt;&gt;"unknown"</f>
        <v/>
      </c>
    </row>
    <row r="354">
      <c r="A354" s="2" t="inlineStr">
        <is>
          <t>1280-on</t>
        </is>
      </c>
      <c r="B354" s="2" t="n">
        <v>1280</v>
      </c>
      <c r="C354" s="2" t="inlineStr">
        <is>
          <t>on</t>
        </is>
      </c>
      <c r="D354" s="2" t="n">
        <v>1228</v>
      </c>
      <c r="E354" s="2" t="inlineStr">
        <is>
          <t>node 26 https (OpenSSL 3.5.8)</t>
        </is>
      </c>
      <c r="F354" s="2" t="b">
        <v>1</v>
      </c>
      <c r="G354" s="2" t="n">
        <v>13</v>
      </c>
      <c r="H354" s="2" t="n">
        <v>1587</v>
      </c>
      <c r="I354" s="2" t="n">
        <v>1587</v>
      </c>
      <c r="J354" s="2" t="n">
        <v>1223</v>
      </c>
      <c r="K354" s="2">
        <f>H354+5&gt;D354</f>
        <v/>
      </c>
      <c r="L354" s="2">
        <f>J354&lt;I354</f>
        <v/>
      </c>
      <c r="M354" s="2" t="b">
        <v>1</v>
      </c>
      <c r="N354" s="2" t="b">
        <v>1</v>
      </c>
      <c r="O354" s="2" t="inlineStr">
        <is>
          <t>allow</t>
        </is>
      </c>
      <c r="P354" s="2">
        <f>O354&lt;&gt;"unknown"</f>
        <v/>
      </c>
    </row>
    <row r="355">
      <c r="A355" s="2" t="inlineStr">
        <is>
          <t>1280-on</t>
        </is>
      </c>
      <c r="B355" s="2" t="n">
        <v>1280</v>
      </c>
      <c r="C355" s="2" t="inlineStr">
        <is>
          <t>on</t>
        </is>
      </c>
      <c r="D355" s="2" t="n">
        <v>1228</v>
      </c>
      <c r="E355" s="2" t="inlineStr">
        <is>
          <t>node 26 https (OpenSSL 3.5.8)</t>
        </is>
      </c>
      <c r="F355" s="2" t="b">
        <v>1</v>
      </c>
      <c r="G355" s="2" t="n">
        <v>14</v>
      </c>
      <c r="H355" s="2" t="n">
        <v>1587</v>
      </c>
      <c r="I355" s="2" t="n">
        <v>1587</v>
      </c>
      <c r="J355" s="2" t="n">
        <v>1223</v>
      </c>
      <c r="K355" s="2">
        <f>H355+5&gt;D355</f>
        <v/>
      </c>
      <c r="L355" s="2">
        <f>J355&lt;I355</f>
        <v/>
      </c>
      <c r="M355" s="2" t="b">
        <v>1</v>
      </c>
      <c r="N355" s="2" t="b">
        <v>1</v>
      </c>
      <c r="O355" s="2" t="inlineStr">
        <is>
          <t>allow</t>
        </is>
      </c>
      <c r="P355" s="2">
        <f>O355&lt;&gt;"unknown"</f>
        <v/>
      </c>
    </row>
    <row r="356">
      <c r="A356" s="2" t="inlineStr">
        <is>
          <t>1280-on</t>
        </is>
      </c>
      <c r="B356" s="2" t="n">
        <v>1280</v>
      </c>
      <c r="C356" s="2" t="inlineStr">
        <is>
          <t>on</t>
        </is>
      </c>
      <c r="D356" s="2" t="n">
        <v>1228</v>
      </c>
      <c r="E356" s="2" t="inlineStr">
        <is>
          <t>node 26 https (OpenSSL 3.5.8)</t>
        </is>
      </c>
      <c r="F356" s="2" t="b">
        <v>1</v>
      </c>
      <c r="G356" s="2" t="n">
        <v>15</v>
      </c>
      <c r="H356" s="2" t="n">
        <v>1587</v>
      </c>
      <c r="I356" s="2" t="n">
        <v>1587</v>
      </c>
      <c r="J356" s="2" t="n">
        <v>1223</v>
      </c>
      <c r="K356" s="2">
        <f>H356+5&gt;D356</f>
        <v/>
      </c>
      <c r="L356" s="2">
        <f>J356&lt;I356</f>
        <v/>
      </c>
      <c r="M356" s="2" t="b">
        <v>1</v>
      </c>
      <c r="N356" s="2" t="b">
        <v>1</v>
      </c>
      <c r="O356" s="2" t="inlineStr">
        <is>
          <t>allow</t>
        </is>
      </c>
      <c r="P356" s="2">
        <f>O356&lt;&gt;"unknown"</f>
        <v/>
      </c>
    </row>
    <row r="357">
      <c r="A357" s="2" t="inlineStr">
        <is>
          <t>1280-on</t>
        </is>
      </c>
      <c r="B357" s="2" t="n">
        <v>1280</v>
      </c>
      <c r="C357" s="2" t="inlineStr">
        <is>
          <t>on</t>
        </is>
      </c>
      <c r="D357" s="2" t="n">
        <v>1228</v>
      </c>
      <c r="E357" s="2" t="inlineStr">
        <is>
          <t>node 26 https (OpenSSL 3.5.8)</t>
        </is>
      </c>
      <c r="F357" s="2" t="b">
        <v>1</v>
      </c>
      <c r="G357" s="2" t="n">
        <v>16</v>
      </c>
      <c r="H357" s="2" t="n">
        <v>1587</v>
      </c>
      <c r="I357" s="2" t="n">
        <v>1587</v>
      </c>
      <c r="J357" s="2" t="n">
        <v>1223</v>
      </c>
      <c r="K357" s="2">
        <f>H357+5&gt;D357</f>
        <v/>
      </c>
      <c r="L357" s="2">
        <f>J357&lt;I357</f>
        <v/>
      </c>
      <c r="M357" s="2" t="b">
        <v>1</v>
      </c>
      <c r="N357" s="2" t="b">
        <v>1</v>
      </c>
      <c r="O357" s="2" t="inlineStr">
        <is>
          <t>allow</t>
        </is>
      </c>
      <c r="P357" s="2">
        <f>O357&lt;&gt;"unknown"</f>
        <v/>
      </c>
    </row>
    <row r="358">
      <c r="A358" s="2" t="inlineStr">
        <is>
          <t>1280-on</t>
        </is>
      </c>
      <c r="B358" s="2" t="n">
        <v>1280</v>
      </c>
      <c r="C358" s="2" t="inlineStr">
        <is>
          <t>on</t>
        </is>
      </c>
      <c r="D358" s="2" t="n">
        <v>1228</v>
      </c>
      <c r="E358" s="2" t="inlineStr">
        <is>
          <t>node 26 https (OpenSSL 3.5.8)</t>
        </is>
      </c>
      <c r="F358" s="2" t="b">
        <v>1</v>
      </c>
      <c r="G358" s="2" t="n">
        <v>17</v>
      </c>
      <c r="H358" s="2" t="n">
        <v>1587</v>
      </c>
      <c r="I358" s="2" t="n">
        <v>1587</v>
      </c>
      <c r="J358" s="2" t="n">
        <v>1223</v>
      </c>
      <c r="K358" s="2">
        <f>H358+5&gt;D358</f>
        <v/>
      </c>
      <c r="L358" s="2">
        <f>J358&lt;I358</f>
        <v/>
      </c>
      <c r="M358" s="2" t="b">
        <v>1</v>
      </c>
      <c r="N358" s="2" t="b">
        <v>1</v>
      </c>
      <c r="O358" s="2" t="inlineStr">
        <is>
          <t>allow</t>
        </is>
      </c>
      <c r="P358" s="2">
        <f>O358&lt;&gt;"unknown"</f>
        <v/>
      </c>
    </row>
    <row r="359">
      <c r="A359" s="2" t="inlineStr">
        <is>
          <t>1280-on</t>
        </is>
      </c>
      <c r="B359" s="2" t="n">
        <v>1280</v>
      </c>
      <c r="C359" s="2" t="inlineStr">
        <is>
          <t>on</t>
        </is>
      </c>
      <c r="D359" s="2" t="n">
        <v>1228</v>
      </c>
      <c r="E359" s="2" t="inlineStr">
        <is>
          <t>node 26 https (OpenSSL 3.5.8)</t>
        </is>
      </c>
      <c r="F359" s="2" t="b">
        <v>1</v>
      </c>
      <c r="G359" s="2" t="n">
        <v>18</v>
      </c>
      <c r="H359" s="2" t="n">
        <v>1587</v>
      </c>
      <c r="I359" s="2" t="n">
        <v>1587</v>
      </c>
      <c r="J359" s="2" t="n">
        <v>1223</v>
      </c>
      <c r="K359" s="2">
        <f>H359+5&gt;D359</f>
        <v/>
      </c>
      <c r="L359" s="2">
        <f>J359&lt;I359</f>
        <v/>
      </c>
      <c r="M359" s="2" t="b">
        <v>1</v>
      </c>
      <c r="N359" s="2" t="b">
        <v>1</v>
      </c>
      <c r="O359" s="2" t="inlineStr">
        <is>
          <t>allow</t>
        </is>
      </c>
      <c r="P359" s="2">
        <f>O359&lt;&gt;"unknown"</f>
        <v/>
      </c>
    </row>
    <row r="360">
      <c r="A360" s="2" t="inlineStr">
        <is>
          <t>1280-on</t>
        </is>
      </c>
      <c r="B360" s="2" t="n">
        <v>1280</v>
      </c>
      <c r="C360" s="2" t="inlineStr">
        <is>
          <t>on</t>
        </is>
      </c>
      <c r="D360" s="2" t="n">
        <v>1228</v>
      </c>
      <c r="E360" s="2" t="inlineStr">
        <is>
          <t>node 26 https (OpenSSL 3.5.8)</t>
        </is>
      </c>
      <c r="F360" s="2" t="b">
        <v>1</v>
      </c>
      <c r="G360" s="2" t="n">
        <v>19</v>
      </c>
      <c r="H360" s="2" t="n">
        <v>1587</v>
      </c>
      <c r="I360" s="2" t="n">
        <v>1587</v>
      </c>
      <c r="J360" s="2" t="n">
        <v>1223</v>
      </c>
      <c r="K360" s="2">
        <f>H360+5&gt;D360</f>
        <v/>
      </c>
      <c r="L360" s="2">
        <f>J360&lt;I360</f>
        <v/>
      </c>
      <c r="M360" s="2" t="b">
        <v>1</v>
      </c>
      <c r="N360" s="2" t="b">
        <v>1</v>
      </c>
      <c r="O360" s="2" t="inlineStr">
        <is>
          <t>allow</t>
        </is>
      </c>
      <c r="P360" s="2">
        <f>O360&lt;&gt;"unknown"</f>
        <v/>
      </c>
    </row>
    <row r="361">
      <c r="A361" s="2" t="inlineStr">
        <is>
          <t>1280-on</t>
        </is>
      </c>
      <c r="B361" s="2" t="n">
        <v>1280</v>
      </c>
      <c r="C361" s="2" t="inlineStr">
        <is>
          <t>on</t>
        </is>
      </c>
      <c r="D361" s="2" t="n">
        <v>1228</v>
      </c>
      <c r="E361" s="2" t="inlineStr">
        <is>
          <t>node 26 https (OpenSSL 3.5.8)</t>
        </is>
      </c>
      <c r="F361" s="2" t="b">
        <v>1</v>
      </c>
      <c r="G361" s="2" t="n">
        <v>20</v>
      </c>
      <c r="H361" s="2" t="n">
        <v>1587</v>
      </c>
      <c r="I361" s="2" t="n">
        <v>1587</v>
      </c>
      <c r="J361" s="2" t="n">
        <v>1223</v>
      </c>
      <c r="K361" s="2">
        <f>H361+5&gt;D361</f>
        <v/>
      </c>
      <c r="L361" s="2">
        <f>J361&lt;I361</f>
        <v/>
      </c>
      <c r="M361" s="2" t="b">
        <v>1</v>
      </c>
      <c r="N361" s="2" t="b">
        <v>1</v>
      </c>
      <c r="O361" s="2" t="inlineStr">
        <is>
          <t>allow</t>
        </is>
      </c>
      <c r="P361" s="2">
        <f>O361&lt;&gt;"unknown"</f>
        <v/>
      </c>
    </row>
    <row r="362">
      <c r="A362" s="2" t="inlineStr">
        <is>
          <t>1280-on</t>
        </is>
      </c>
      <c r="B362" s="2" t="n">
        <v>1280</v>
      </c>
      <c r="C362" s="2" t="inlineStr">
        <is>
          <t>on</t>
        </is>
      </c>
      <c r="D362" s="2" t="n">
        <v>1228</v>
      </c>
      <c r="E362" s="2" t="inlineStr">
        <is>
          <t>go 1.27 net/http (crypto/tls)</t>
        </is>
      </c>
      <c r="F362" s="2" t="b">
        <v>1</v>
      </c>
      <c r="G362" s="2" t="n">
        <v>1</v>
      </c>
      <c r="H362" s="2" t="n">
        <v>1532</v>
      </c>
      <c r="I362" s="2" t="n">
        <v>1532</v>
      </c>
      <c r="J362" s="2" t="n">
        <v>1223</v>
      </c>
      <c r="K362" s="2">
        <f>H362+5&gt;D362</f>
        <v/>
      </c>
      <c r="L362" s="2">
        <f>J362&lt;I362</f>
        <v/>
      </c>
      <c r="M362" s="2" t="b">
        <v>1</v>
      </c>
      <c r="N362" s="2" t="b">
        <v>1</v>
      </c>
      <c r="O362" s="2" t="inlineStr">
        <is>
          <t>allow</t>
        </is>
      </c>
      <c r="P362" s="2">
        <f>O362&lt;&gt;"unknown"</f>
        <v/>
      </c>
    </row>
    <row r="363">
      <c r="A363" s="2" t="inlineStr">
        <is>
          <t>1280-on</t>
        </is>
      </c>
      <c r="B363" s="2" t="n">
        <v>1280</v>
      </c>
      <c r="C363" s="2" t="inlineStr">
        <is>
          <t>on</t>
        </is>
      </c>
      <c r="D363" s="2" t="n">
        <v>1228</v>
      </c>
      <c r="E363" s="2" t="inlineStr">
        <is>
          <t>go 1.27 net/http (crypto/tls)</t>
        </is>
      </c>
      <c r="F363" s="2" t="b">
        <v>1</v>
      </c>
      <c r="G363" s="2" t="n">
        <v>2</v>
      </c>
      <c r="H363" s="2" t="n">
        <v>1532</v>
      </c>
      <c r="I363" s="2" t="n">
        <v>1532</v>
      </c>
      <c r="J363" s="2" t="n">
        <v>1223</v>
      </c>
      <c r="K363" s="2">
        <f>H363+5&gt;D363</f>
        <v/>
      </c>
      <c r="L363" s="2">
        <f>J363&lt;I363</f>
        <v/>
      </c>
      <c r="M363" s="2" t="b">
        <v>1</v>
      </c>
      <c r="N363" s="2" t="b">
        <v>1</v>
      </c>
      <c r="O363" s="2" t="inlineStr">
        <is>
          <t>allow</t>
        </is>
      </c>
      <c r="P363" s="2">
        <f>O363&lt;&gt;"unknown"</f>
        <v/>
      </c>
    </row>
    <row r="364">
      <c r="A364" s="2" t="inlineStr">
        <is>
          <t>1280-on</t>
        </is>
      </c>
      <c r="B364" s="2" t="n">
        <v>1280</v>
      </c>
      <c r="C364" s="2" t="inlineStr">
        <is>
          <t>on</t>
        </is>
      </c>
      <c r="D364" s="2" t="n">
        <v>1228</v>
      </c>
      <c r="E364" s="2" t="inlineStr">
        <is>
          <t>go 1.27 net/http (crypto/tls)</t>
        </is>
      </c>
      <c r="F364" s="2" t="b">
        <v>1</v>
      </c>
      <c r="G364" s="2" t="n">
        <v>3</v>
      </c>
      <c r="H364" s="2" t="n">
        <v>1532</v>
      </c>
      <c r="I364" s="2" t="n">
        <v>1532</v>
      </c>
      <c r="J364" s="2" t="n">
        <v>1223</v>
      </c>
      <c r="K364" s="2">
        <f>H364+5&gt;D364</f>
        <v/>
      </c>
      <c r="L364" s="2">
        <f>J364&lt;I364</f>
        <v/>
      </c>
      <c r="M364" s="2" t="b">
        <v>1</v>
      </c>
      <c r="N364" s="2" t="b">
        <v>1</v>
      </c>
      <c r="O364" s="2" t="inlineStr">
        <is>
          <t>allow</t>
        </is>
      </c>
      <c r="P364" s="2">
        <f>O364&lt;&gt;"unknown"</f>
        <v/>
      </c>
    </row>
    <row r="365">
      <c r="A365" s="2" t="inlineStr">
        <is>
          <t>1280-on</t>
        </is>
      </c>
      <c r="B365" s="2" t="n">
        <v>1280</v>
      </c>
      <c r="C365" s="2" t="inlineStr">
        <is>
          <t>on</t>
        </is>
      </c>
      <c r="D365" s="2" t="n">
        <v>1228</v>
      </c>
      <c r="E365" s="2" t="inlineStr">
        <is>
          <t>go 1.27 net/http (crypto/tls)</t>
        </is>
      </c>
      <c r="F365" s="2" t="b">
        <v>1</v>
      </c>
      <c r="G365" s="2" t="n">
        <v>4</v>
      </c>
      <c r="H365" s="2" t="n">
        <v>1532</v>
      </c>
      <c r="I365" s="2" t="n">
        <v>1532</v>
      </c>
      <c r="J365" s="2" t="n">
        <v>1223</v>
      </c>
      <c r="K365" s="2">
        <f>H365+5&gt;D365</f>
        <v/>
      </c>
      <c r="L365" s="2">
        <f>J365&lt;I365</f>
        <v/>
      </c>
      <c r="M365" s="2" t="b">
        <v>1</v>
      </c>
      <c r="N365" s="2" t="b">
        <v>1</v>
      </c>
      <c r="O365" s="2" t="inlineStr">
        <is>
          <t>allow</t>
        </is>
      </c>
      <c r="P365" s="2">
        <f>O365&lt;&gt;"unknown"</f>
        <v/>
      </c>
    </row>
    <row r="366">
      <c r="A366" s="2" t="inlineStr">
        <is>
          <t>1280-on</t>
        </is>
      </c>
      <c r="B366" s="2" t="n">
        <v>1280</v>
      </c>
      <c r="C366" s="2" t="inlineStr">
        <is>
          <t>on</t>
        </is>
      </c>
      <c r="D366" s="2" t="n">
        <v>1228</v>
      </c>
      <c r="E366" s="2" t="inlineStr">
        <is>
          <t>go 1.27 net/http (crypto/tls)</t>
        </is>
      </c>
      <c r="F366" s="2" t="b">
        <v>1</v>
      </c>
      <c r="G366" s="2" t="n">
        <v>5</v>
      </c>
      <c r="H366" s="2" t="n">
        <v>1532</v>
      </c>
      <c r="I366" s="2" t="n">
        <v>1532</v>
      </c>
      <c r="J366" s="2" t="n">
        <v>1223</v>
      </c>
      <c r="K366" s="2">
        <f>H366+5&gt;D366</f>
        <v/>
      </c>
      <c r="L366" s="2">
        <f>J366&lt;I366</f>
        <v/>
      </c>
      <c r="M366" s="2" t="b">
        <v>1</v>
      </c>
      <c r="N366" s="2" t="b">
        <v>1</v>
      </c>
      <c r="O366" s="2" t="inlineStr">
        <is>
          <t>allow</t>
        </is>
      </c>
      <c r="P366" s="2">
        <f>O366&lt;&gt;"unknown"</f>
        <v/>
      </c>
    </row>
    <row r="367">
      <c r="A367" s="2" t="inlineStr">
        <is>
          <t>1280-on</t>
        </is>
      </c>
      <c r="B367" s="2" t="n">
        <v>1280</v>
      </c>
      <c r="C367" s="2" t="inlineStr">
        <is>
          <t>on</t>
        </is>
      </c>
      <c r="D367" s="2" t="n">
        <v>1228</v>
      </c>
      <c r="E367" s="2" t="inlineStr">
        <is>
          <t>go 1.27 net/http (crypto/tls)</t>
        </is>
      </c>
      <c r="F367" s="2" t="b">
        <v>1</v>
      </c>
      <c r="G367" s="2" t="n">
        <v>6</v>
      </c>
      <c r="H367" s="2" t="n">
        <v>1532</v>
      </c>
      <c r="I367" s="2" t="n">
        <v>1532</v>
      </c>
      <c r="J367" s="2" t="n">
        <v>1223</v>
      </c>
      <c r="K367" s="2">
        <f>H367+5&gt;D367</f>
        <v/>
      </c>
      <c r="L367" s="2">
        <f>J367&lt;I367</f>
        <v/>
      </c>
      <c r="M367" s="2" t="b">
        <v>1</v>
      </c>
      <c r="N367" s="2" t="b">
        <v>1</v>
      </c>
      <c r="O367" s="2" t="inlineStr">
        <is>
          <t>allow</t>
        </is>
      </c>
      <c r="P367" s="2">
        <f>O367&lt;&gt;"unknown"</f>
        <v/>
      </c>
    </row>
    <row r="368">
      <c r="A368" s="2" t="inlineStr">
        <is>
          <t>1280-on</t>
        </is>
      </c>
      <c r="B368" s="2" t="n">
        <v>1280</v>
      </c>
      <c r="C368" s="2" t="inlineStr">
        <is>
          <t>on</t>
        </is>
      </c>
      <c r="D368" s="2" t="n">
        <v>1228</v>
      </c>
      <c r="E368" s="2" t="inlineStr">
        <is>
          <t>go 1.27 net/http (crypto/tls)</t>
        </is>
      </c>
      <c r="F368" s="2" t="b">
        <v>1</v>
      </c>
      <c r="G368" s="2" t="n">
        <v>7</v>
      </c>
      <c r="H368" s="2" t="n">
        <v>1532</v>
      </c>
      <c r="I368" s="2" t="n">
        <v>1532</v>
      </c>
      <c r="J368" s="2" t="n">
        <v>1223</v>
      </c>
      <c r="K368" s="2">
        <f>H368+5&gt;D368</f>
        <v/>
      </c>
      <c r="L368" s="2">
        <f>J368&lt;I368</f>
        <v/>
      </c>
      <c r="M368" s="2" t="b">
        <v>1</v>
      </c>
      <c r="N368" s="2" t="b">
        <v>1</v>
      </c>
      <c r="O368" s="2" t="inlineStr">
        <is>
          <t>allow</t>
        </is>
      </c>
      <c r="P368" s="2">
        <f>O368&lt;&gt;"unknown"</f>
        <v/>
      </c>
    </row>
    <row r="369">
      <c r="A369" s="2" t="inlineStr">
        <is>
          <t>1280-on</t>
        </is>
      </c>
      <c r="B369" s="2" t="n">
        <v>1280</v>
      </c>
      <c r="C369" s="2" t="inlineStr">
        <is>
          <t>on</t>
        </is>
      </c>
      <c r="D369" s="2" t="n">
        <v>1228</v>
      </c>
      <c r="E369" s="2" t="inlineStr">
        <is>
          <t>go 1.27 net/http (crypto/tls)</t>
        </is>
      </c>
      <c r="F369" s="2" t="b">
        <v>1</v>
      </c>
      <c r="G369" s="2" t="n">
        <v>8</v>
      </c>
      <c r="H369" s="2" t="n">
        <v>1532</v>
      </c>
      <c r="I369" s="2" t="n">
        <v>1532</v>
      </c>
      <c r="J369" s="2" t="n">
        <v>1223</v>
      </c>
      <c r="K369" s="2">
        <f>H369+5&gt;D369</f>
        <v/>
      </c>
      <c r="L369" s="2">
        <f>J369&lt;I369</f>
        <v/>
      </c>
      <c r="M369" s="2" t="b">
        <v>1</v>
      </c>
      <c r="N369" s="2" t="b">
        <v>1</v>
      </c>
      <c r="O369" s="2" t="inlineStr">
        <is>
          <t>allow</t>
        </is>
      </c>
      <c r="P369" s="2">
        <f>O369&lt;&gt;"unknown"</f>
        <v/>
      </c>
    </row>
    <row r="370">
      <c r="A370" s="2" t="inlineStr">
        <is>
          <t>1280-on</t>
        </is>
      </c>
      <c r="B370" s="2" t="n">
        <v>1280</v>
      </c>
      <c r="C370" s="2" t="inlineStr">
        <is>
          <t>on</t>
        </is>
      </c>
      <c r="D370" s="2" t="n">
        <v>1228</v>
      </c>
      <c r="E370" s="2" t="inlineStr">
        <is>
          <t>go 1.27 net/http (crypto/tls)</t>
        </is>
      </c>
      <c r="F370" s="2" t="b">
        <v>1</v>
      </c>
      <c r="G370" s="2" t="n">
        <v>9</v>
      </c>
      <c r="H370" s="2" t="n">
        <v>1532</v>
      </c>
      <c r="I370" s="2" t="n">
        <v>1532</v>
      </c>
      <c r="J370" s="2" t="n">
        <v>1223</v>
      </c>
      <c r="K370" s="2">
        <f>H370+5&gt;D370</f>
        <v/>
      </c>
      <c r="L370" s="2">
        <f>J370&lt;I370</f>
        <v/>
      </c>
      <c r="M370" s="2" t="b">
        <v>1</v>
      </c>
      <c r="N370" s="2" t="b">
        <v>1</v>
      </c>
      <c r="O370" s="2" t="inlineStr">
        <is>
          <t>allow</t>
        </is>
      </c>
      <c r="P370" s="2">
        <f>O370&lt;&gt;"unknown"</f>
        <v/>
      </c>
    </row>
    <row r="371">
      <c r="A371" s="2" t="inlineStr">
        <is>
          <t>1280-on</t>
        </is>
      </c>
      <c r="B371" s="2" t="n">
        <v>1280</v>
      </c>
      <c r="C371" s="2" t="inlineStr">
        <is>
          <t>on</t>
        </is>
      </c>
      <c r="D371" s="2" t="n">
        <v>1228</v>
      </c>
      <c r="E371" s="2" t="inlineStr">
        <is>
          <t>go 1.27 net/http (crypto/tls)</t>
        </is>
      </c>
      <c r="F371" s="2" t="b">
        <v>1</v>
      </c>
      <c r="G371" s="2" t="n">
        <v>10</v>
      </c>
      <c r="H371" s="2" t="n">
        <v>1532</v>
      </c>
      <c r="I371" s="2" t="n">
        <v>1532</v>
      </c>
      <c r="J371" s="2" t="n">
        <v>1223</v>
      </c>
      <c r="K371" s="2">
        <f>H371+5&gt;D371</f>
        <v/>
      </c>
      <c r="L371" s="2">
        <f>J371&lt;I371</f>
        <v/>
      </c>
      <c r="M371" s="2" t="b">
        <v>1</v>
      </c>
      <c r="N371" s="2" t="b">
        <v>1</v>
      </c>
      <c r="O371" s="2" t="inlineStr">
        <is>
          <t>allow</t>
        </is>
      </c>
      <c r="P371" s="2">
        <f>O371&lt;&gt;"unknown"</f>
        <v/>
      </c>
    </row>
    <row r="372">
      <c r="A372" s="2" t="inlineStr">
        <is>
          <t>1280-on</t>
        </is>
      </c>
      <c r="B372" s="2" t="n">
        <v>1280</v>
      </c>
      <c r="C372" s="2" t="inlineStr">
        <is>
          <t>on</t>
        </is>
      </c>
      <c r="D372" s="2" t="n">
        <v>1228</v>
      </c>
      <c r="E372" s="2" t="inlineStr">
        <is>
          <t>go 1.27 net/http (crypto/tls)</t>
        </is>
      </c>
      <c r="F372" s="2" t="b">
        <v>1</v>
      </c>
      <c r="G372" s="2" t="n">
        <v>11</v>
      </c>
      <c r="H372" s="2" t="n">
        <v>1532</v>
      </c>
      <c r="I372" s="2" t="n">
        <v>1532</v>
      </c>
      <c r="J372" s="2" t="n">
        <v>1223</v>
      </c>
      <c r="K372" s="2">
        <f>H372+5&gt;D372</f>
        <v/>
      </c>
      <c r="L372" s="2">
        <f>J372&lt;I372</f>
        <v/>
      </c>
      <c r="M372" s="2" t="b">
        <v>1</v>
      </c>
      <c r="N372" s="2" t="b">
        <v>1</v>
      </c>
      <c r="O372" s="2" t="inlineStr">
        <is>
          <t>allow</t>
        </is>
      </c>
      <c r="P372" s="2">
        <f>O372&lt;&gt;"unknown"</f>
        <v/>
      </c>
    </row>
    <row r="373">
      <c r="A373" s="2" t="inlineStr">
        <is>
          <t>1280-on</t>
        </is>
      </c>
      <c r="B373" s="2" t="n">
        <v>1280</v>
      </c>
      <c r="C373" s="2" t="inlineStr">
        <is>
          <t>on</t>
        </is>
      </c>
      <c r="D373" s="2" t="n">
        <v>1228</v>
      </c>
      <c r="E373" s="2" t="inlineStr">
        <is>
          <t>go 1.27 net/http (crypto/tls)</t>
        </is>
      </c>
      <c r="F373" s="2" t="b">
        <v>1</v>
      </c>
      <c r="G373" s="2" t="n">
        <v>12</v>
      </c>
      <c r="H373" s="2" t="n">
        <v>1532</v>
      </c>
      <c r="I373" s="2" t="n">
        <v>1532</v>
      </c>
      <c r="J373" s="2" t="n">
        <v>1223</v>
      </c>
      <c r="K373" s="2">
        <f>H373+5&gt;D373</f>
        <v/>
      </c>
      <c r="L373" s="2">
        <f>J373&lt;I373</f>
        <v/>
      </c>
      <c r="M373" s="2" t="b">
        <v>1</v>
      </c>
      <c r="N373" s="2" t="b">
        <v>1</v>
      </c>
      <c r="O373" s="2" t="inlineStr">
        <is>
          <t>allow</t>
        </is>
      </c>
      <c r="P373" s="2">
        <f>O373&lt;&gt;"unknown"</f>
        <v/>
      </c>
    </row>
    <row r="374">
      <c r="A374" s="2" t="inlineStr">
        <is>
          <t>1280-on</t>
        </is>
      </c>
      <c r="B374" s="2" t="n">
        <v>1280</v>
      </c>
      <c r="C374" s="2" t="inlineStr">
        <is>
          <t>on</t>
        </is>
      </c>
      <c r="D374" s="2" t="n">
        <v>1228</v>
      </c>
      <c r="E374" s="2" t="inlineStr">
        <is>
          <t>go 1.27 net/http (crypto/tls)</t>
        </is>
      </c>
      <c r="F374" s="2" t="b">
        <v>1</v>
      </c>
      <c r="G374" s="2" t="n">
        <v>13</v>
      </c>
      <c r="H374" s="2" t="n">
        <v>1532</v>
      </c>
      <c r="I374" s="2" t="n">
        <v>1532</v>
      </c>
      <c r="J374" s="2" t="n">
        <v>1223</v>
      </c>
      <c r="K374" s="2">
        <f>H374+5&gt;D374</f>
        <v/>
      </c>
      <c r="L374" s="2">
        <f>J374&lt;I374</f>
        <v/>
      </c>
      <c r="M374" s="2" t="b">
        <v>1</v>
      </c>
      <c r="N374" s="2" t="b">
        <v>1</v>
      </c>
      <c r="O374" s="2" t="inlineStr">
        <is>
          <t>allow</t>
        </is>
      </c>
      <c r="P374" s="2">
        <f>O374&lt;&gt;"unknown"</f>
        <v/>
      </c>
    </row>
    <row r="375">
      <c r="A375" s="2" t="inlineStr">
        <is>
          <t>1280-on</t>
        </is>
      </c>
      <c r="B375" s="2" t="n">
        <v>1280</v>
      </c>
      <c r="C375" s="2" t="inlineStr">
        <is>
          <t>on</t>
        </is>
      </c>
      <c r="D375" s="2" t="n">
        <v>1228</v>
      </c>
      <c r="E375" s="2" t="inlineStr">
        <is>
          <t>go 1.27 net/http (crypto/tls)</t>
        </is>
      </c>
      <c r="F375" s="2" t="b">
        <v>1</v>
      </c>
      <c r="G375" s="2" t="n">
        <v>14</v>
      </c>
      <c r="H375" s="2" t="n">
        <v>1532</v>
      </c>
      <c r="I375" s="2" t="n">
        <v>1532</v>
      </c>
      <c r="J375" s="2" t="n">
        <v>1223</v>
      </c>
      <c r="K375" s="2">
        <f>H375+5&gt;D375</f>
        <v/>
      </c>
      <c r="L375" s="2">
        <f>J375&lt;I375</f>
        <v/>
      </c>
      <c r="M375" s="2" t="b">
        <v>1</v>
      </c>
      <c r="N375" s="2" t="b">
        <v>1</v>
      </c>
      <c r="O375" s="2" t="inlineStr">
        <is>
          <t>allow</t>
        </is>
      </c>
      <c r="P375" s="2">
        <f>O375&lt;&gt;"unknown"</f>
        <v/>
      </c>
    </row>
    <row r="376">
      <c r="A376" s="2" t="inlineStr">
        <is>
          <t>1280-on</t>
        </is>
      </c>
      <c r="B376" s="2" t="n">
        <v>1280</v>
      </c>
      <c r="C376" s="2" t="inlineStr">
        <is>
          <t>on</t>
        </is>
      </c>
      <c r="D376" s="2" t="n">
        <v>1228</v>
      </c>
      <c r="E376" s="2" t="inlineStr">
        <is>
          <t>go 1.27 net/http (crypto/tls)</t>
        </is>
      </c>
      <c r="F376" s="2" t="b">
        <v>1</v>
      </c>
      <c r="G376" s="2" t="n">
        <v>15</v>
      </c>
      <c r="H376" s="2" t="n">
        <v>1532</v>
      </c>
      <c r="I376" s="2" t="n">
        <v>1532</v>
      </c>
      <c r="J376" s="2" t="n">
        <v>1223</v>
      </c>
      <c r="K376" s="2">
        <f>H376+5&gt;D376</f>
        <v/>
      </c>
      <c r="L376" s="2">
        <f>J376&lt;I376</f>
        <v/>
      </c>
      <c r="M376" s="2" t="b">
        <v>1</v>
      </c>
      <c r="N376" s="2" t="b">
        <v>1</v>
      </c>
      <c r="O376" s="2" t="inlineStr">
        <is>
          <t>allow</t>
        </is>
      </c>
      <c r="P376" s="2">
        <f>O376&lt;&gt;"unknown"</f>
        <v/>
      </c>
    </row>
    <row r="377">
      <c r="A377" s="2" t="inlineStr">
        <is>
          <t>1280-on</t>
        </is>
      </c>
      <c r="B377" s="2" t="n">
        <v>1280</v>
      </c>
      <c r="C377" s="2" t="inlineStr">
        <is>
          <t>on</t>
        </is>
      </c>
      <c r="D377" s="2" t="n">
        <v>1228</v>
      </c>
      <c r="E377" s="2" t="inlineStr">
        <is>
          <t>go 1.27 net/http (crypto/tls)</t>
        </is>
      </c>
      <c r="F377" s="2" t="b">
        <v>1</v>
      </c>
      <c r="G377" s="2" t="n">
        <v>16</v>
      </c>
      <c r="H377" s="2" t="n">
        <v>1532</v>
      </c>
      <c r="I377" s="2" t="n">
        <v>1532</v>
      </c>
      <c r="J377" s="2" t="n">
        <v>1223</v>
      </c>
      <c r="K377" s="2">
        <f>H377+5&gt;D377</f>
        <v/>
      </c>
      <c r="L377" s="2">
        <f>J377&lt;I377</f>
        <v/>
      </c>
      <c r="M377" s="2" t="b">
        <v>1</v>
      </c>
      <c r="N377" s="2" t="b">
        <v>1</v>
      </c>
      <c r="O377" s="2" t="inlineStr">
        <is>
          <t>allow</t>
        </is>
      </c>
      <c r="P377" s="2">
        <f>O377&lt;&gt;"unknown"</f>
        <v/>
      </c>
    </row>
    <row r="378">
      <c r="A378" s="2" t="inlineStr">
        <is>
          <t>1280-on</t>
        </is>
      </c>
      <c r="B378" s="2" t="n">
        <v>1280</v>
      </c>
      <c r="C378" s="2" t="inlineStr">
        <is>
          <t>on</t>
        </is>
      </c>
      <c r="D378" s="2" t="n">
        <v>1228</v>
      </c>
      <c r="E378" s="2" t="inlineStr">
        <is>
          <t>go 1.27 net/http (crypto/tls)</t>
        </is>
      </c>
      <c r="F378" s="2" t="b">
        <v>1</v>
      </c>
      <c r="G378" s="2" t="n">
        <v>17</v>
      </c>
      <c r="H378" s="2" t="n">
        <v>1532</v>
      </c>
      <c r="I378" s="2" t="n">
        <v>1532</v>
      </c>
      <c r="J378" s="2" t="n">
        <v>1223</v>
      </c>
      <c r="K378" s="2">
        <f>H378+5&gt;D378</f>
        <v/>
      </c>
      <c r="L378" s="2">
        <f>J378&lt;I378</f>
        <v/>
      </c>
      <c r="M378" s="2" t="b">
        <v>1</v>
      </c>
      <c r="N378" s="2" t="b">
        <v>1</v>
      </c>
      <c r="O378" s="2" t="inlineStr">
        <is>
          <t>allow</t>
        </is>
      </c>
      <c r="P378" s="2">
        <f>O378&lt;&gt;"unknown"</f>
        <v/>
      </c>
    </row>
    <row r="379">
      <c r="A379" s="2" t="inlineStr">
        <is>
          <t>1280-on</t>
        </is>
      </c>
      <c r="B379" s="2" t="n">
        <v>1280</v>
      </c>
      <c r="C379" s="2" t="inlineStr">
        <is>
          <t>on</t>
        </is>
      </c>
      <c r="D379" s="2" t="n">
        <v>1228</v>
      </c>
      <c r="E379" s="2" t="inlineStr">
        <is>
          <t>go 1.27 net/http (crypto/tls)</t>
        </is>
      </c>
      <c r="F379" s="2" t="b">
        <v>1</v>
      </c>
      <c r="G379" s="2" t="n">
        <v>18</v>
      </c>
      <c r="H379" s="2" t="n">
        <v>1532</v>
      </c>
      <c r="I379" s="2" t="n">
        <v>1532</v>
      </c>
      <c r="J379" s="2" t="n">
        <v>1223</v>
      </c>
      <c r="K379" s="2">
        <f>H379+5&gt;D379</f>
        <v/>
      </c>
      <c r="L379" s="2">
        <f>J379&lt;I379</f>
        <v/>
      </c>
      <c r="M379" s="2" t="b">
        <v>1</v>
      </c>
      <c r="N379" s="2" t="b">
        <v>1</v>
      </c>
      <c r="O379" s="2" t="inlineStr">
        <is>
          <t>allow</t>
        </is>
      </c>
      <c r="P379" s="2">
        <f>O379&lt;&gt;"unknown"</f>
        <v/>
      </c>
    </row>
    <row r="380">
      <c r="A380" s="2" t="inlineStr">
        <is>
          <t>1280-on</t>
        </is>
      </c>
      <c r="B380" s="2" t="n">
        <v>1280</v>
      </c>
      <c r="C380" s="2" t="inlineStr">
        <is>
          <t>on</t>
        </is>
      </c>
      <c r="D380" s="2" t="n">
        <v>1228</v>
      </c>
      <c r="E380" s="2" t="inlineStr">
        <is>
          <t>go 1.27 net/http (crypto/tls)</t>
        </is>
      </c>
      <c r="F380" s="2" t="b">
        <v>1</v>
      </c>
      <c r="G380" s="2" t="n">
        <v>19</v>
      </c>
      <c r="H380" s="2" t="n">
        <v>1532</v>
      </c>
      <c r="I380" s="2" t="n">
        <v>1532</v>
      </c>
      <c r="J380" s="2" t="n">
        <v>1223</v>
      </c>
      <c r="K380" s="2">
        <f>H380+5&gt;D380</f>
        <v/>
      </c>
      <c r="L380" s="2">
        <f>J380&lt;I380</f>
        <v/>
      </c>
      <c r="M380" s="2" t="b">
        <v>1</v>
      </c>
      <c r="N380" s="2" t="b">
        <v>1</v>
      </c>
      <c r="O380" s="2" t="inlineStr">
        <is>
          <t>allow</t>
        </is>
      </c>
      <c r="P380" s="2">
        <f>O380&lt;&gt;"unknown"</f>
        <v/>
      </c>
    </row>
    <row r="381">
      <c r="A381" s="2" t="inlineStr">
        <is>
          <t>1280-on</t>
        </is>
      </c>
      <c r="B381" s="2" t="n">
        <v>1280</v>
      </c>
      <c r="C381" s="2" t="inlineStr">
        <is>
          <t>on</t>
        </is>
      </c>
      <c r="D381" s="2" t="n">
        <v>1228</v>
      </c>
      <c r="E381" s="2" t="inlineStr">
        <is>
          <t>go 1.27 net/http (crypto/tls)</t>
        </is>
      </c>
      <c r="F381" s="2" t="b">
        <v>1</v>
      </c>
      <c r="G381" s="2" t="n">
        <v>20</v>
      </c>
      <c r="H381" s="2" t="n">
        <v>1532</v>
      </c>
      <c r="I381" s="2" t="n">
        <v>1532</v>
      </c>
      <c r="J381" s="2" t="n">
        <v>1223</v>
      </c>
      <c r="K381" s="2">
        <f>H381+5&gt;D381</f>
        <v/>
      </c>
      <c r="L381" s="2">
        <f>J381&lt;I381</f>
        <v/>
      </c>
      <c r="M381" s="2" t="b">
        <v>1</v>
      </c>
      <c r="N381" s="2" t="b">
        <v>1</v>
      </c>
      <c r="O381" s="2" t="inlineStr">
        <is>
          <t>allow</t>
        </is>
      </c>
      <c r="P381" s="2">
        <f>O381&lt;&gt;"unknown"</f>
        <v/>
      </c>
    </row>
    <row r="382">
      <c r="A382" s="2" t="inlineStr">
        <is>
          <t>1280-on</t>
        </is>
      </c>
      <c r="B382" s="2" t="n">
        <v>1280</v>
      </c>
      <c r="C382" s="2" t="inlineStr">
        <is>
          <t>on</t>
        </is>
      </c>
      <c r="D382" s="2" t="n">
        <v>1228</v>
      </c>
      <c r="E382" s="2" t="inlineStr">
        <is>
          <t>browser chrome116</t>
        </is>
      </c>
      <c r="F382" s="2" t="b">
        <v>0</v>
      </c>
      <c r="G382" s="2" t="n">
        <v>1</v>
      </c>
      <c r="H382" s="2" t="n">
        <v>512</v>
      </c>
      <c r="I382" s="2" t="n">
        <v>512</v>
      </c>
      <c r="J382" s="2" t="n">
        <v>512</v>
      </c>
      <c r="K382" s="2">
        <f>H382+5&gt;D382</f>
        <v/>
      </c>
      <c r="L382" s="2">
        <f>J382&lt;I382</f>
        <v/>
      </c>
      <c r="M382" s="2" t="b">
        <v>1</v>
      </c>
      <c r="N382" s="2" t="b">
        <v>1</v>
      </c>
      <c r="O382" s="2" t="inlineStr">
        <is>
          <t>allow</t>
        </is>
      </c>
      <c r="P382" s="2">
        <f>O382&lt;&gt;"unknown"</f>
        <v/>
      </c>
    </row>
    <row r="383">
      <c r="A383" s="2" t="inlineStr">
        <is>
          <t>1280-on</t>
        </is>
      </c>
      <c r="B383" s="2" t="n">
        <v>1280</v>
      </c>
      <c r="C383" s="2" t="inlineStr">
        <is>
          <t>on</t>
        </is>
      </c>
      <c r="D383" s="2" t="n">
        <v>1228</v>
      </c>
      <c r="E383" s="2" t="inlineStr">
        <is>
          <t>browser chrome116</t>
        </is>
      </c>
      <c r="F383" s="2" t="b">
        <v>0</v>
      </c>
      <c r="G383" s="2" t="n">
        <v>2</v>
      </c>
      <c r="H383" s="2" t="n">
        <v>512</v>
      </c>
      <c r="I383" s="2" t="n">
        <v>512</v>
      </c>
      <c r="J383" s="2" t="n">
        <v>512</v>
      </c>
      <c r="K383" s="2">
        <f>H383+5&gt;D383</f>
        <v/>
      </c>
      <c r="L383" s="2">
        <f>J383&lt;I383</f>
        <v/>
      </c>
      <c r="M383" s="2" t="b">
        <v>1</v>
      </c>
      <c r="N383" s="2" t="b">
        <v>1</v>
      </c>
      <c r="O383" s="2" t="inlineStr">
        <is>
          <t>allow</t>
        </is>
      </c>
      <c r="P383" s="2">
        <f>O383&lt;&gt;"unknown"</f>
        <v/>
      </c>
    </row>
    <row r="384">
      <c r="A384" s="2" t="inlineStr">
        <is>
          <t>1280-on</t>
        </is>
      </c>
      <c r="B384" s="2" t="n">
        <v>1280</v>
      </c>
      <c r="C384" s="2" t="inlineStr">
        <is>
          <t>on</t>
        </is>
      </c>
      <c r="D384" s="2" t="n">
        <v>1228</v>
      </c>
      <c r="E384" s="2" t="inlineStr">
        <is>
          <t>browser chrome116</t>
        </is>
      </c>
      <c r="F384" s="2" t="b">
        <v>0</v>
      </c>
      <c r="G384" s="2" t="n">
        <v>3</v>
      </c>
      <c r="H384" s="2" t="n">
        <v>512</v>
      </c>
      <c r="I384" s="2" t="n">
        <v>512</v>
      </c>
      <c r="J384" s="2" t="n">
        <v>512</v>
      </c>
      <c r="K384" s="2">
        <f>H384+5&gt;D384</f>
        <v/>
      </c>
      <c r="L384" s="2">
        <f>J384&lt;I384</f>
        <v/>
      </c>
      <c r="M384" s="2" t="b">
        <v>1</v>
      </c>
      <c r="N384" s="2" t="b">
        <v>1</v>
      </c>
      <c r="O384" s="2" t="inlineStr">
        <is>
          <t>allow</t>
        </is>
      </c>
      <c r="P384" s="2">
        <f>O384&lt;&gt;"unknown"</f>
        <v/>
      </c>
    </row>
    <row r="385">
      <c r="A385" s="2" t="inlineStr">
        <is>
          <t>1280-on</t>
        </is>
      </c>
      <c r="B385" s="2" t="n">
        <v>1280</v>
      </c>
      <c r="C385" s="2" t="inlineStr">
        <is>
          <t>on</t>
        </is>
      </c>
      <c r="D385" s="2" t="n">
        <v>1228</v>
      </c>
      <c r="E385" s="2" t="inlineStr">
        <is>
          <t>browser chrome116</t>
        </is>
      </c>
      <c r="F385" s="2" t="b">
        <v>0</v>
      </c>
      <c r="G385" s="2" t="n">
        <v>4</v>
      </c>
      <c r="H385" s="2" t="n">
        <v>512</v>
      </c>
      <c r="I385" s="2" t="n">
        <v>512</v>
      </c>
      <c r="J385" s="2" t="n">
        <v>512</v>
      </c>
      <c r="K385" s="2">
        <f>H385+5&gt;D385</f>
        <v/>
      </c>
      <c r="L385" s="2">
        <f>J385&lt;I385</f>
        <v/>
      </c>
      <c r="M385" s="2" t="b">
        <v>1</v>
      </c>
      <c r="N385" s="2" t="b">
        <v>1</v>
      </c>
      <c r="O385" s="2" t="inlineStr">
        <is>
          <t>allow</t>
        </is>
      </c>
      <c r="P385" s="2">
        <f>O385&lt;&gt;"unknown"</f>
        <v/>
      </c>
    </row>
    <row r="386">
      <c r="A386" s="2" t="inlineStr">
        <is>
          <t>1280-on</t>
        </is>
      </c>
      <c r="B386" s="2" t="n">
        <v>1280</v>
      </c>
      <c r="C386" s="2" t="inlineStr">
        <is>
          <t>on</t>
        </is>
      </c>
      <c r="D386" s="2" t="n">
        <v>1228</v>
      </c>
      <c r="E386" s="2" t="inlineStr">
        <is>
          <t>browser chrome116</t>
        </is>
      </c>
      <c r="F386" s="2" t="b">
        <v>0</v>
      </c>
      <c r="G386" s="2" t="n">
        <v>5</v>
      </c>
      <c r="H386" s="2" t="n">
        <v>512</v>
      </c>
      <c r="I386" s="2" t="n">
        <v>512</v>
      </c>
      <c r="J386" s="2" t="n">
        <v>512</v>
      </c>
      <c r="K386" s="2">
        <f>H386+5&gt;D386</f>
        <v/>
      </c>
      <c r="L386" s="2">
        <f>J386&lt;I386</f>
        <v/>
      </c>
      <c r="M386" s="2" t="b">
        <v>1</v>
      </c>
      <c r="N386" s="2" t="b">
        <v>1</v>
      </c>
      <c r="O386" s="2" t="inlineStr">
        <is>
          <t>allow</t>
        </is>
      </c>
      <c r="P386" s="2">
        <f>O386&lt;&gt;"unknown"</f>
        <v/>
      </c>
    </row>
    <row r="387">
      <c r="A387" s="2" t="inlineStr">
        <is>
          <t>1280-on</t>
        </is>
      </c>
      <c r="B387" s="2" t="n">
        <v>1280</v>
      </c>
      <c r="C387" s="2" t="inlineStr">
        <is>
          <t>on</t>
        </is>
      </c>
      <c r="D387" s="2" t="n">
        <v>1228</v>
      </c>
      <c r="E387" s="2" t="inlineStr">
        <is>
          <t>browser chrome116</t>
        </is>
      </c>
      <c r="F387" s="2" t="b">
        <v>0</v>
      </c>
      <c r="G387" s="2" t="n">
        <v>6</v>
      </c>
      <c r="H387" s="2" t="n">
        <v>512</v>
      </c>
      <c r="I387" s="2" t="n">
        <v>512</v>
      </c>
      <c r="J387" s="2" t="n">
        <v>512</v>
      </c>
      <c r="K387" s="2">
        <f>H387+5&gt;D387</f>
        <v/>
      </c>
      <c r="L387" s="2">
        <f>J387&lt;I387</f>
        <v/>
      </c>
      <c r="M387" s="2" t="b">
        <v>1</v>
      </c>
      <c r="N387" s="2" t="b">
        <v>1</v>
      </c>
      <c r="O387" s="2" t="inlineStr">
        <is>
          <t>allow</t>
        </is>
      </c>
      <c r="P387" s="2">
        <f>O387&lt;&gt;"unknown"</f>
        <v/>
      </c>
    </row>
    <row r="388">
      <c r="A388" s="2" t="inlineStr">
        <is>
          <t>1280-on</t>
        </is>
      </c>
      <c r="B388" s="2" t="n">
        <v>1280</v>
      </c>
      <c r="C388" s="2" t="inlineStr">
        <is>
          <t>on</t>
        </is>
      </c>
      <c r="D388" s="2" t="n">
        <v>1228</v>
      </c>
      <c r="E388" s="2" t="inlineStr">
        <is>
          <t>browser chrome116</t>
        </is>
      </c>
      <c r="F388" s="2" t="b">
        <v>0</v>
      </c>
      <c r="G388" s="2" t="n">
        <v>7</v>
      </c>
      <c r="H388" s="2" t="n">
        <v>512</v>
      </c>
      <c r="I388" s="2" t="n">
        <v>512</v>
      </c>
      <c r="J388" s="2" t="n">
        <v>512</v>
      </c>
      <c r="K388" s="2">
        <f>H388+5&gt;D388</f>
        <v/>
      </c>
      <c r="L388" s="2">
        <f>J388&lt;I388</f>
        <v/>
      </c>
      <c r="M388" s="2" t="b">
        <v>1</v>
      </c>
      <c r="N388" s="2" t="b">
        <v>1</v>
      </c>
      <c r="O388" s="2" t="inlineStr">
        <is>
          <t>allow</t>
        </is>
      </c>
      <c r="P388" s="2">
        <f>O388&lt;&gt;"unknown"</f>
        <v/>
      </c>
    </row>
    <row r="389">
      <c r="A389" s="2" t="inlineStr">
        <is>
          <t>1280-on</t>
        </is>
      </c>
      <c r="B389" s="2" t="n">
        <v>1280</v>
      </c>
      <c r="C389" s="2" t="inlineStr">
        <is>
          <t>on</t>
        </is>
      </c>
      <c r="D389" s="2" t="n">
        <v>1228</v>
      </c>
      <c r="E389" s="2" t="inlineStr">
        <is>
          <t>browser chrome116</t>
        </is>
      </c>
      <c r="F389" s="2" t="b">
        <v>0</v>
      </c>
      <c r="G389" s="2" t="n">
        <v>8</v>
      </c>
      <c r="H389" s="2" t="n">
        <v>512</v>
      </c>
      <c r="I389" s="2" t="n">
        <v>512</v>
      </c>
      <c r="J389" s="2" t="n">
        <v>512</v>
      </c>
      <c r="K389" s="2">
        <f>H389+5&gt;D389</f>
        <v/>
      </c>
      <c r="L389" s="2">
        <f>J389&lt;I389</f>
        <v/>
      </c>
      <c r="M389" s="2" t="b">
        <v>1</v>
      </c>
      <c r="N389" s="2" t="b">
        <v>1</v>
      </c>
      <c r="O389" s="2" t="inlineStr">
        <is>
          <t>allow</t>
        </is>
      </c>
      <c r="P389" s="2">
        <f>O389&lt;&gt;"unknown"</f>
        <v/>
      </c>
    </row>
    <row r="390">
      <c r="A390" s="2" t="inlineStr">
        <is>
          <t>1280-on</t>
        </is>
      </c>
      <c r="B390" s="2" t="n">
        <v>1280</v>
      </c>
      <c r="C390" s="2" t="inlineStr">
        <is>
          <t>on</t>
        </is>
      </c>
      <c r="D390" s="2" t="n">
        <v>1228</v>
      </c>
      <c r="E390" s="2" t="inlineStr">
        <is>
          <t>browser chrome116</t>
        </is>
      </c>
      <c r="F390" s="2" t="b">
        <v>0</v>
      </c>
      <c r="G390" s="2" t="n">
        <v>9</v>
      </c>
      <c r="H390" s="2" t="n">
        <v>512</v>
      </c>
      <c r="I390" s="2" t="n">
        <v>512</v>
      </c>
      <c r="J390" s="2" t="n">
        <v>512</v>
      </c>
      <c r="K390" s="2">
        <f>H390+5&gt;D390</f>
        <v/>
      </c>
      <c r="L390" s="2">
        <f>J390&lt;I390</f>
        <v/>
      </c>
      <c r="M390" s="2" t="b">
        <v>1</v>
      </c>
      <c r="N390" s="2" t="b">
        <v>1</v>
      </c>
      <c r="O390" s="2" t="inlineStr">
        <is>
          <t>allow</t>
        </is>
      </c>
      <c r="P390" s="2">
        <f>O390&lt;&gt;"unknown"</f>
        <v/>
      </c>
    </row>
    <row r="391">
      <c r="A391" s="2" t="inlineStr">
        <is>
          <t>1280-on</t>
        </is>
      </c>
      <c r="B391" s="2" t="n">
        <v>1280</v>
      </c>
      <c r="C391" s="2" t="inlineStr">
        <is>
          <t>on</t>
        </is>
      </c>
      <c r="D391" s="2" t="n">
        <v>1228</v>
      </c>
      <c r="E391" s="2" t="inlineStr">
        <is>
          <t>browser chrome116</t>
        </is>
      </c>
      <c r="F391" s="2" t="b">
        <v>0</v>
      </c>
      <c r="G391" s="2" t="n">
        <v>10</v>
      </c>
      <c r="H391" s="2" t="n">
        <v>512</v>
      </c>
      <c r="I391" s="2" t="n">
        <v>512</v>
      </c>
      <c r="J391" s="2" t="n">
        <v>512</v>
      </c>
      <c r="K391" s="2">
        <f>H391+5&gt;D391</f>
        <v/>
      </c>
      <c r="L391" s="2">
        <f>J391&lt;I391</f>
        <v/>
      </c>
      <c r="M391" s="2" t="b">
        <v>1</v>
      </c>
      <c r="N391" s="2" t="b">
        <v>1</v>
      </c>
      <c r="O391" s="2" t="inlineStr">
        <is>
          <t>allow</t>
        </is>
      </c>
      <c r="P391" s="2">
        <f>O391&lt;&gt;"unknown"</f>
        <v/>
      </c>
    </row>
    <row r="392">
      <c r="A392" s="2" t="inlineStr">
        <is>
          <t>1280-on</t>
        </is>
      </c>
      <c r="B392" s="2" t="n">
        <v>1280</v>
      </c>
      <c r="C392" s="2" t="inlineStr">
        <is>
          <t>on</t>
        </is>
      </c>
      <c r="D392" s="2" t="n">
        <v>1228</v>
      </c>
      <c r="E392" s="2" t="inlineStr">
        <is>
          <t>browser chrome116</t>
        </is>
      </c>
      <c r="F392" s="2" t="b">
        <v>0</v>
      </c>
      <c r="G392" s="2" t="n">
        <v>11</v>
      </c>
      <c r="H392" s="2" t="n">
        <v>512</v>
      </c>
      <c r="I392" s="2" t="n">
        <v>512</v>
      </c>
      <c r="J392" s="2" t="n">
        <v>512</v>
      </c>
      <c r="K392" s="2">
        <f>H392+5&gt;D392</f>
        <v/>
      </c>
      <c r="L392" s="2">
        <f>J392&lt;I392</f>
        <v/>
      </c>
      <c r="M392" s="2" t="b">
        <v>1</v>
      </c>
      <c r="N392" s="2" t="b">
        <v>1</v>
      </c>
      <c r="O392" s="2" t="inlineStr">
        <is>
          <t>allow</t>
        </is>
      </c>
      <c r="P392" s="2">
        <f>O392&lt;&gt;"unknown"</f>
        <v/>
      </c>
    </row>
    <row r="393">
      <c r="A393" s="2" t="inlineStr">
        <is>
          <t>1280-on</t>
        </is>
      </c>
      <c r="B393" s="2" t="n">
        <v>1280</v>
      </c>
      <c r="C393" s="2" t="inlineStr">
        <is>
          <t>on</t>
        </is>
      </c>
      <c r="D393" s="2" t="n">
        <v>1228</v>
      </c>
      <c r="E393" s="2" t="inlineStr">
        <is>
          <t>browser chrome116</t>
        </is>
      </c>
      <c r="F393" s="2" t="b">
        <v>0</v>
      </c>
      <c r="G393" s="2" t="n">
        <v>12</v>
      </c>
      <c r="H393" s="2" t="n">
        <v>512</v>
      </c>
      <c r="I393" s="2" t="n">
        <v>512</v>
      </c>
      <c r="J393" s="2" t="n">
        <v>512</v>
      </c>
      <c r="K393" s="2">
        <f>H393+5&gt;D393</f>
        <v/>
      </c>
      <c r="L393" s="2">
        <f>J393&lt;I393</f>
        <v/>
      </c>
      <c r="M393" s="2" t="b">
        <v>1</v>
      </c>
      <c r="N393" s="2" t="b">
        <v>1</v>
      </c>
      <c r="O393" s="2" t="inlineStr">
        <is>
          <t>allow</t>
        </is>
      </c>
      <c r="P393" s="2">
        <f>O393&lt;&gt;"unknown"</f>
        <v/>
      </c>
    </row>
    <row r="394">
      <c r="A394" s="2" t="inlineStr">
        <is>
          <t>1280-on</t>
        </is>
      </c>
      <c r="B394" s="2" t="n">
        <v>1280</v>
      </c>
      <c r="C394" s="2" t="inlineStr">
        <is>
          <t>on</t>
        </is>
      </c>
      <c r="D394" s="2" t="n">
        <v>1228</v>
      </c>
      <c r="E394" s="2" t="inlineStr">
        <is>
          <t>browser chrome116</t>
        </is>
      </c>
      <c r="F394" s="2" t="b">
        <v>0</v>
      </c>
      <c r="G394" s="2" t="n">
        <v>13</v>
      </c>
      <c r="H394" s="2" t="n">
        <v>512</v>
      </c>
      <c r="I394" s="2" t="n">
        <v>512</v>
      </c>
      <c r="J394" s="2" t="n">
        <v>512</v>
      </c>
      <c r="K394" s="2">
        <f>H394+5&gt;D394</f>
        <v/>
      </c>
      <c r="L394" s="2">
        <f>J394&lt;I394</f>
        <v/>
      </c>
      <c r="M394" s="2" t="b">
        <v>1</v>
      </c>
      <c r="N394" s="2" t="b">
        <v>1</v>
      </c>
      <c r="O394" s="2" t="inlineStr">
        <is>
          <t>allow</t>
        </is>
      </c>
      <c r="P394" s="2">
        <f>O394&lt;&gt;"unknown"</f>
        <v/>
      </c>
    </row>
    <row r="395">
      <c r="A395" s="2" t="inlineStr">
        <is>
          <t>1280-on</t>
        </is>
      </c>
      <c r="B395" s="2" t="n">
        <v>1280</v>
      </c>
      <c r="C395" s="2" t="inlineStr">
        <is>
          <t>on</t>
        </is>
      </c>
      <c r="D395" s="2" t="n">
        <v>1228</v>
      </c>
      <c r="E395" s="2" t="inlineStr">
        <is>
          <t>browser chrome116</t>
        </is>
      </c>
      <c r="F395" s="2" t="b">
        <v>0</v>
      </c>
      <c r="G395" s="2" t="n">
        <v>14</v>
      </c>
      <c r="H395" s="2" t="n">
        <v>512</v>
      </c>
      <c r="I395" s="2" t="n">
        <v>512</v>
      </c>
      <c r="J395" s="2" t="n">
        <v>512</v>
      </c>
      <c r="K395" s="2">
        <f>H395+5&gt;D395</f>
        <v/>
      </c>
      <c r="L395" s="2">
        <f>J395&lt;I395</f>
        <v/>
      </c>
      <c r="M395" s="2" t="b">
        <v>1</v>
      </c>
      <c r="N395" s="2" t="b">
        <v>1</v>
      </c>
      <c r="O395" s="2" t="inlineStr">
        <is>
          <t>allow</t>
        </is>
      </c>
      <c r="P395" s="2">
        <f>O395&lt;&gt;"unknown"</f>
        <v/>
      </c>
    </row>
    <row r="396">
      <c r="A396" s="2" t="inlineStr">
        <is>
          <t>1280-on</t>
        </is>
      </c>
      <c r="B396" s="2" t="n">
        <v>1280</v>
      </c>
      <c r="C396" s="2" t="inlineStr">
        <is>
          <t>on</t>
        </is>
      </c>
      <c r="D396" s="2" t="n">
        <v>1228</v>
      </c>
      <c r="E396" s="2" t="inlineStr">
        <is>
          <t>browser chrome116</t>
        </is>
      </c>
      <c r="F396" s="2" t="b">
        <v>0</v>
      </c>
      <c r="G396" s="2" t="n">
        <v>15</v>
      </c>
      <c r="H396" s="2" t="n">
        <v>512</v>
      </c>
      <c r="I396" s="2" t="n">
        <v>512</v>
      </c>
      <c r="J396" s="2" t="n">
        <v>512</v>
      </c>
      <c r="K396" s="2">
        <f>H396+5&gt;D396</f>
        <v/>
      </c>
      <c r="L396" s="2">
        <f>J396&lt;I396</f>
        <v/>
      </c>
      <c r="M396" s="2" t="b">
        <v>1</v>
      </c>
      <c r="N396" s="2" t="b">
        <v>1</v>
      </c>
      <c r="O396" s="2" t="inlineStr">
        <is>
          <t>allow</t>
        </is>
      </c>
      <c r="P396" s="2">
        <f>O396&lt;&gt;"unknown"</f>
        <v/>
      </c>
    </row>
    <row r="397">
      <c r="A397" s="2" t="inlineStr">
        <is>
          <t>1280-on</t>
        </is>
      </c>
      <c r="B397" s="2" t="n">
        <v>1280</v>
      </c>
      <c r="C397" s="2" t="inlineStr">
        <is>
          <t>on</t>
        </is>
      </c>
      <c r="D397" s="2" t="n">
        <v>1228</v>
      </c>
      <c r="E397" s="2" t="inlineStr">
        <is>
          <t>browser chrome116</t>
        </is>
      </c>
      <c r="F397" s="2" t="b">
        <v>0</v>
      </c>
      <c r="G397" s="2" t="n">
        <v>16</v>
      </c>
      <c r="H397" s="2" t="n">
        <v>512</v>
      </c>
      <c r="I397" s="2" t="n">
        <v>512</v>
      </c>
      <c r="J397" s="2" t="n">
        <v>512</v>
      </c>
      <c r="K397" s="2">
        <f>H397+5&gt;D397</f>
        <v/>
      </c>
      <c r="L397" s="2">
        <f>J397&lt;I397</f>
        <v/>
      </c>
      <c r="M397" s="2" t="b">
        <v>1</v>
      </c>
      <c r="N397" s="2" t="b">
        <v>1</v>
      </c>
      <c r="O397" s="2" t="inlineStr">
        <is>
          <t>allow</t>
        </is>
      </c>
      <c r="P397" s="2">
        <f>O397&lt;&gt;"unknown"</f>
        <v/>
      </c>
    </row>
    <row r="398">
      <c r="A398" s="2" t="inlineStr">
        <is>
          <t>1280-on</t>
        </is>
      </c>
      <c r="B398" s="2" t="n">
        <v>1280</v>
      </c>
      <c r="C398" s="2" t="inlineStr">
        <is>
          <t>on</t>
        </is>
      </c>
      <c r="D398" s="2" t="n">
        <v>1228</v>
      </c>
      <c r="E398" s="2" t="inlineStr">
        <is>
          <t>browser chrome116</t>
        </is>
      </c>
      <c r="F398" s="2" t="b">
        <v>0</v>
      </c>
      <c r="G398" s="2" t="n">
        <v>17</v>
      </c>
      <c r="H398" s="2" t="n">
        <v>512</v>
      </c>
      <c r="I398" s="2" t="n">
        <v>512</v>
      </c>
      <c r="J398" s="2" t="n">
        <v>512</v>
      </c>
      <c r="K398" s="2">
        <f>H398+5&gt;D398</f>
        <v/>
      </c>
      <c r="L398" s="2">
        <f>J398&lt;I398</f>
        <v/>
      </c>
      <c r="M398" s="2" t="b">
        <v>1</v>
      </c>
      <c r="N398" s="2" t="b">
        <v>1</v>
      </c>
      <c r="O398" s="2" t="inlineStr">
        <is>
          <t>allow</t>
        </is>
      </c>
      <c r="P398" s="2">
        <f>O398&lt;&gt;"unknown"</f>
        <v/>
      </c>
    </row>
    <row r="399">
      <c r="A399" s="2" t="inlineStr">
        <is>
          <t>1280-on</t>
        </is>
      </c>
      <c r="B399" s="2" t="n">
        <v>1280</v>
      </c>
      <c r="C399" s="2" t="inlineStr">
        <is>
          <t>on</t>
        </is>
      </c>
      <c r="D399" s="2" t="n">
        <v>1228</v>
      </c>
      <c r="E399" s="2" t="inlineStr">
        <is>
          <t>browser chrome116</t>
        </is>
      </c>
      <c r="F399" s="2" t="b">
        <v>0</v>
      </c>
      <c r="G399" s="2" t="n">
        <v>18</v>
      </c>
      <c r="H399" s="2" t="n">
        <v>512</v>
      </c>
      <c r="I399" s="2" t="n">
        <v>512</v>
      </c>
      <c r="J399" s="2" t="n">
        <v>512</v>
      </c>
      <c r="K399" s="2">
        <f>H399+5&gt;D399</f>
        <v/>
      </c>
      <c r="L399" s="2">
        <f>J399&lt;I399</f>
        <v/>
      </c>
      <c r="M399" s="2" t="b">
        <v>1</v>
      </c>
      <c r="N399" s="2" t="b">
        <v>1</v>
      </c>
      <c r="O399" s="2" t="inlineStr">
        <is>
          <t>allow</t>
        </is>
      </c>
      <c r="P399" s="2">
        <f>O399&lt;&gt;"unknown"</f>
        <v/>
      </c>
    </row>
    <row r="400">
      <c r="A400" s="2" t="inlineStr">
        <is>
          <t>1280-on</t>
        </is>
      </c>
      <c r="B400" s="2" t="n">
        <v>1280</v>
      </c>
      <c r="C400" s="2" t="inlineStr">
        <is>
          <t>on</t>
        </is>
      </c>
      <c r="D400" s="2" t="n">
        <v>1228</v>
      </c>
      <c r="E400" s="2" t="inlineStr">
        <is>
          <t>browser chrome116</t>
        </is>
      </c>
      <c r="F400" s="2" t="b">
        <v>0</v>
      </c>
      <c r="G400" s="2" t="n">
        <v>19</v>
      </c>
      <c r="H400" s="2" t="n">
        <v>512</v>
      </c>
      <c r="I400" s="2" t="n">
        <v>512</v>
      </c>
      <c r="J400" s="2" t="n">
        <v>512</v>
      </c>
      <c r="K400" s="2">
        <f>H400+5&gt;D400</f>
        <v/>
      </c>
      <c r="L400" s="2">
        <f>J400&lt;I400</f>
        <v/>
      </c>
      <c r="M400" s="2" t="b">
        <v>1</v>
      </c>
      <c r="N400" s="2" t="b">
        <v>1</v>
      </c>
      <c r="O400" s="2" t="inlineStr">
        <is>
          <t>allow</t>
        </is>
      </c>
      <c r="P400" s="2">
        <f>O400&lt;&gt;"unknown"</f>
        <v/>
      </c>
    </row>
    <row r="401">
      <c r="A401" s="2" t="inlineStr">
        <is>
          <t>1280-on</t>
        </is>
      </c>
      <c r="B401" s="2" t="n">
        <v>1280</v>
      </c>
      <c r="C401" s="2" t="inlineStr">
        <is>
          <t>on</t>
        </is>
      </c>
      <c r="D401" s="2" t="n">
        <v>1228</v>
      </c>
      <c r="E401" s="2" t="inlineStr">
        <is>
          <t>browser chrome116</t>
        </is>
      </c>
      <c r="F401" s="2" t="b">
        <v>0</v>
      </c>
      <c r="G401" s="2" t="n">
        <v>20</v>
      </c>
      <c r="H401" s="2" t="n">
        <v>512</v>
      </c>
      <c r="I401" s="2" t="n">
        <v>512</v>
      </c>
      <c r="J401" s="2" t="n">
        <v>512</v>
      </c>
      <c r="K401" s="2">
        <f>H401+5&gt;D401</f>
        <v/>
      </c>
      <c r="L401" s="2">
        <f>J401&lt;I401</f>
        <v/>
      </c>
      <c r="M401" s="2" t="b">
        <v>1</v>
      </c>
      <c r="N401" s="2" t="b">
        <v>1</v>
      </c>
      <c r="O401" s="2" t="inlineStr">
        <is>
          <t>allow</t>
        </is>
      </c>
      <c r="P401" s="2">
        <f>O401&lt;&gt;"unknown"</f>
        <v/>
      </c>
    </row>
    <row r="402">
      <c r="A402" s="2" t="inlineStr">
        <is>
          <t>1280-on</t>
        </is>
      </c>
      <c r="B402" s="2" t="n">
        <v>1280</v>
      </c>
      <c r="C402" s="2" t="inlineStr">
        <is>
          <t>on</t>
        </is>
      </c>
      <c r="D402" s="2" t="n">
        <v>1228</v>
      </c>
      <c r="E402" s="2" t="inlineStr">
        <is>
          <t>browser chrome124</t>
        </is>
      </c>
      <c r="F402" s="2" t="b">
        <v>1</v>
      </c>
      <c r="G402" s="2" t="n">
        <v>1</v>
      </c>
      <c r="H402" s="2" t="n">
        <v>1720</v>
      </c>
      <c r="I402" s="2" t="n">
        <v>1720</v>
      </c>
      <c r="J402" s="2" t="n">
        <v>1223</v>
      </c>
      <c r="K402" s="2">
        <f>H402+5&gt;D402</f>
        <v/>
      </c>
      <c r="L402" s="2">
        <f>J402&lt;I402</f>
        <v/>
      </c>
      <c r="M402" s="2" t="b">
        <v>1</v>
      </c>
      <c r="N402" s="2" t="b">
        <v>0</v>
      </c>
      <c r="O402" s="2" t="inlineStr">
        <is>
          <t>unknown</t>
        </is>
      </c>
      <c r="P402" s="2">
        <f>O402&lt;&gt;"unknown"</f>
        <v/>
      </c>
    </row>
    <row r="403">
      <c r="A403" s="2" t="inlineStr">
        <is>
          <t>1280-on</t>
        </is>
      </c>
      <c r="B403" s="2" t="n">
        <v>1280</v>
      </c>
      <c r="C403" s="2" t="inlineStr">
        <is>
          <t>on</t>
        </is>
      </c>
      <c r="D403" s="2" t="n">
        <v>1228</v>
      </c>
      <c r="E403" s="2" t="inlineStr">
        <is>
          <t>browser chrome124</t>
        </is>
      </c>
      <c r="F403" s="2" t="b">
        <v>1</v>
      </c>
      <c r="G403" s="2" t="n">
        <v>2</v>
      </c>
      <c r="H403" s="2" t="n">
        <v>1784</v>
      </c>
      <c r="I403" s="2" t="n">
        <v>1784</v>
      </c>
      <c r="J403" s="2" t="n">
        <v>1223</v>
      </c>
      <c r="K403" s="2">
        <f>H403+5&gt;D403</f>
        <v/>
      </c>
      <c r="L403" s="2">
        <f>J403&lt;I403</f>
        <v/>
      </c>
      <c r="M403" s="2" t="b">
        <v>1</v>
      </c>
      <c r="N403" s="2" t="b">
        <v>0</v>
      </c>
      <c r="O403" s="2" t="inlineStr">
        <is>
          <t>unknown</t>
        </is>
      </c>
      <c r="P403" s="2">
        <f>O403&lt;&gt;"unknown"</f>
        <v/>
      </c>
    </row>
    <row r="404">
      <c r="A404" s="2" t="inlineStr">
        <is>
          <t>1280-on</t>
        </is>
      </c>
      <c r="B404" s="2" t="n">
        <v>1280</v>
      </c>
      <c r="C404" s="2" t="inlineStr">
        <is>
          <t>on</t>
        </is>
      </c>
      <c r="D404" s="2" t="n">
        <v>1228</v>
      </c>
      <c r="E404" s="2" t="inlineStr">
        <is>
          <t>browser chrome124</t>
        </is>
      </c>
      <c r="F404" s="2" t="b">
        <v>1</v>
      </c>
      <c r="G404" s="2" t="n">
        <v>3</v>
      </c>
      <c r="H404" s="2" t="n">
        <v>1752</v>
      </c>
      <c r="I404" s="2" t="n">
        <v>1752</v>
      </c>
      <c r="J404" s="2" t="n">
        <v>1223</v>
      </c>
      <c r="K404" s="2">
        <f>H404+5&gt;D404</f>
        <v/>
      </c>
      <c r="L404" s="2">
        <f>J404&lt;I404</f>
        <v/>
      </c>
      <c r="M404" s="2" t="b">
        <v>1</v>
      </c>
      <c r="N404" s="2" t="b">
        <v>0</v>
      </c>
      <c r="O404" s="2" t="inlineStr">
        <is>
          <t>unknown</t>
        </is>
      </c>
      <c r="P404" s="2">
        <f>O404&lt;&gt;"unknown"</f>
        <v/>
      </c>
    </row>
    <row r="405">
      <c r="A405" s="2" t="inlineStr">
        <is>
          <t>1280-on</t>
        </is>
      </c>
      <c r="B405" s="2" t="n">
        <v>1280</v>
      </c>
      <c r="C405" s="2" t="inlineStr">
        <is>
          <t>on</t>
        </is>
      </c>
      <c r="D405" s="2" t="n">
        <v>1228</v>
      </c>
      <c r="E405" s="2" t="inlineStr">
        <is>
          <t>browser chrome124</t>
        </is>
      </c>
      <c r="F405" s="2" t="b">
        <v>1</v>
      </c>
      <c r="G405" s="2" t="n">
        <v>4</v>
      </c>
      <c r="H405" s="2" t="n">
        <v>1784</v>
      </c>
      <c r="I405" s="2" t="n">
        <v>1784</v>
      </c>
      <c r="J405" s="2" t="n">
        <v>1223</v>
      </c>
      <c r="K405" s="2">
        <f>H405+5&gt;D405</f>
        <v/>
      </c>
      <c r="L405" s="2">
        <f>J405&lt;I405</f>
        <v/>
      </c>
      <c r="M405" s="2" t="b">
        <v>1</v>
      </c>
      <c r="N405" s="2" t="b">
        <v>1</v>
      </c>
      <c r="O405" s="2" t="inlineStr">
        <is>
          <t>allow</t>
        </is>
      </c>
      <c r="P405" s="2">
        <f>O405&lt;&gt;"unknown"</f>
        <v/>
      </c>
    </row>
    <row r="406">
      <c r="A406" s="2" t="inlineStr">
        <is>
          <t>1280-on</t>
        </is>
      </c>
      <c r="B406" s="2" t="n">
        <v>1280</v>
      </c>
      <c r="C406" s="2" t="inlineStr">
        <is>
          <t>on</t>
        </is>
      </c>
      <c r="D406" s="2" t="n">
        <v>1228</v>
      </c>
      <c r="E406" s="2" t="inlineStr">
        <is>
          <t>browser chrome124</t>
        </is>
      </c>
      <c r="F406" s="2" t="b">
        <v>1</v>
      </c>
      <c r="G406" s="2" t="n">
        <v>5</v>
      </c>
      <c r="H406" s="2" t="n">
        <v>1720</v>
      </c>
      <c r="I406" s="2" t="n">
        <v>1720</v>
      </c>
      <c r="J406" s="2" t="n">
        <v>1223</v>
      </c>
      <c r="K406" s="2">
        <f>H406+5&gt;D406</f>
        <v/>
      </c>
      <c r="L406" s="2">
        <f>J406&lt;I406</f>
        <v/>
      </c>
      <c r="M406" s="2" t="b">
        <v>1</v>
      </c>
      <c r="N406" s="2" t="b">
        <v>0</v>
      </c>
      <c r="O406" s="2" t="inlineStr">
        <is>
          <t>unknown</t>
        </is>
      </c>
      <c r="P406" s="2">
        <f>O406&lt;&gt;"unknown"</f>
        <v/>
      </c>
    </row>
    <row r="407">
      <c r="A407" s="2" t="inlineStr">
        <is>
          <t>1280-on</t>
        </is>
      </c>
      <c r="B407" s="2" t="n">
        <v>1280</v>
      </c>
      <c r="C407" s="2" t="inlineStr">
        <is>
          <t>on</t>
        </is>
      </c>
      <c r="D407" s="2" t="n">
        <v>1228</v>
      </c>
      <c r="E407" s="2" t="inlineStr">
        <is>
          <t>browser chrome124</t>
        </is>
      </c>
      <c r="F407" s="2" t="b">
        <v>1</v>
      </c>
      <c r="G407" s="2" t="n">
        <v>6</v>
      </c>
      <c r="H407" s="2" t="n">
        <v>1752</v>
      </c>
      <c r="I407" s="2" t="n">
        <v>1752</v>
      </c>
      <c r="J407" s="2" t="n">
        <v>1223</v>
      </c>
      <c r="K407" s="2">
        <f>H407+5&gt;D407</f>
        <v/>
      </c>
      <c r="L407" s="2">
        <f>J407&lt;I407</f>
        <v/>
      </c>
      <c r="M407" s="2" t="b">
        <v>1</v>
      </c>
      <c r="N407" s="2" t="b">
        <v>0</v>
      </c>
      <c r="O407" s="2" t="inlineStr">
        <is>
          <t>unknown</t>
        </is>
      </c>
      <c r="P407" s="2">
        <f>O407&lt;&gt;"unknown"</f>
        <v/>
      </c>
    </row>
    <row r="408">
      <c r="A408" s="2" t="inlineStr">
        <is>
          <t>1280-on</t>
        </is>
      </c>
      <c r="B408" s="2" t="n">
        <v>1280</v>
      </c>
      <c r="C408" s="2" t="inlineStr">
        <is>
          <t>on</t>
        </is>
      </c>
      <c r="D408" s="2" t="n">
        <v>1228</v>
      </c>
      <c r="E408" s="2" t="inlineStr">
        <is>
          <t>browser chrome124</t>
        </is>
      </c>
      <c r="F408" s="2" t="b">
        <v>1</v>
      </c>
      <c r="G408" s="2" t="n">
        <v>7</v>
      </c>
      <c r="H408" s="2" t="n">
        <v>1720</v>
      </c>
      <c r="I408" s="2" t="n">
        <v>1720</v>
      </c>
      <c r="J408" s="2" t="n">
        <v>1223</v>
      </c>
      <c r="K408" s="2">
        <f>H408+5&gt;D408</f>
        <v/>
      </c>
      <c r="L408" s="2">
        <f>J408&lt;I408</f>
        <v/>
      </c>
      <c r="M408" s="2" t="b">
        <v>1</v>
      </c>
      <c r="N408" s="2" t="b">
        <v>0</v>
      </c>
      <c r="O408" s="2" t="inlineStr">
        <is>
          <t>unknown</t>
        </is>
      </c>
      <c r="P408" s="2">
        <f>O408&lt;&gt;"unknown"</f>
        <v/>
      </c>
    </row>
    <row r="409">
      <c r="A409" s="2" t="inlineStr">
        <is>
          <t>1280-on</t>
        </is>
      </c>
      <c r="B409" s="2" t="n">
        <v>1280</v>
      </c>
      <c r="C409" s="2" t="inlineStr">
        <is>
          <t>on</t>
        </is>
      </c>
      <c r="D409" s="2" t="n">
        <v>1228</v>
      </c>
      <c r="E409" s="2" t="inlineStr">
        <is>
          <t>browser chrome124</t>
        </is>
      </c>
      <c r="F409" s="2" t="b">
        <v>1</v>
      </c>
      <c r="G409" s="2" t="n">
        <v>8</v>
      </c>
      <c r="H409" s="2" t="n">
        <v>1784</v>
      </c>
      <c r="I409" s="2" t="n">
        <v>1784</v>
      </c>
      <c r="J409" s="2" t="n">
        <v>1223</v>
      </c>
      <c r="K409" s="2">
        <f>H409+5&gt;D409</f>
        <v/>
      </c>
      <c r="L409" s="2">
        <f>J409&lt;I409</f>
        <v/>
      </c>
      <c r="M409" s="2" t="b">
        <v>1</v>
      </c>
      <c r="N409" s="2" t="b">
        <v>1</v>
      </c>
      <c r="O409" s="2" t="inlineStr">
        <is>
          <t>allow</t>
        </is>
      </c>
      <c r="P409" s="2">
        <f>O409&lt;&gt;"unknown"</f>
        <v/>
      </c>
    </row>
    <row r="410">
      <c r="A410" s="2" t="inlineStr">
        <is>
          <t>1280-on</t>
        </is>
      </c>
      <c r="B410" s="2" t="n">
        <v>1280</v>
      </c>
      <c r="C410" s="2" t="inlineStr">
        <is>
          <t>on</t>
        </is>
      </c>
      <c r="D410" s="2" t="n">
        <v>1228</v>
      </c>
      <c r="E410" s="2" t="inlineStr">
        <is>
          <t>browser chrome124</t>
        </is>
      </c>
      <c r="F410" s="2" t="b">
        <v>1</v>
      </c>
      <c r="G410" s="2" t="n">
        <v>9</v>
      </c>
      <c r="H410" s="2" t="n">
        <v>1752</v>
      </c>
      <c r="I410" s="2" t="n">
        <v>1752</v>
      </c>
      <c r="J410" s="2" t="n">
        <v>1223</v>
      </c>
      <c r="K410" s="2">
        <f>H410+5&gt;D410</f>
        <v/>
      </c>
      <c r="L410" s="2">
        <f>J410&lt;I410</f>
        <v/>
      </c>
      <c r="M410" s="2" t="b">
        <v>1</v>
      </c>
      <c r="N410" s="2" t="b">
        <v>1</v>
      </c>
      <c r="O410" s="2" t="inlineStr">
        <is>
          <t>allow</t>
        </is>
      </c>
      <c r="P410" s="2">
        <f>O410&lt;&gt;"unknown"</f>
        <v/>
      </c>
    </row>
    <row r="411">
      <c r="A411" s="2" t="inlineStr">
        <is>
          <t>1280-on</t>
        </is>
      </c>
      <c r="B411" s="2" t="n">
        <v>1280</v>
      </c>
      <c r="C411" s="2" t="inlineStr">
        <is>
          <t>on</t>
        </is>
      </c>
      <c r="D411" s="2" t="n">
        <v>1228</v>
      </c>
      <c r="E411" s="2" t="inlineStr">
        <is>
          <t>browser chrome124</t>
        </is>
      </c>
      <c r="F411" s="2" t="b">
        <v>1</v>
      </c>
      <c r="G411" s="2" t="n">
        <v>10</v>
      </c>
      <c r="H411" s="2" t="n">
        <v>1784</v>
      </c>
      <c r="I411" s="2" t="n">
        <v>1784</v>
      </c>
      <c r="J411" s="2" t="n">
        <v>1223</v>
      </c>
      <c r="K411" s="2">
        <f>H411+5&gt;D411</f>
        <v/>
      </c>
      <c r="L411" s="2">
        <f>J411&lt;I411</f>
        <v/>
      </c>
      <c r="M411" s="2" t="b">
        <v>1</v>
      </c>
      <c r="N411" s="2" t="b">
        <v>1</v>
      </c>
      <c r="O411" s="2" t="inlineStr">
        <is>
          <t>allow</t>
        </is>
      </c>
      <c r="P411" s="2">
        <f>O411&lt;&gt;"unknown"</f>
        <v/>
      </c>
    </row>
    <row r="412">
      <c r="A412" s="2" t="inlineStr">
        <is>
          <t>1280-on</t>
        </is>
      </c>
      <c r="B412" s="2" t="n">
        <v>1280</v>
      </c>
      <c r="C412" s="2" t="inlineStr">
        <is>
          <t>on</t>
        </is>
      </c>
      <c r="D412" s="2" t="n">
        <v>1228</v>
      </c>
      <c r="E412" s="2" t="inlineStr">
        <is>
          <t>browser chrome124</t>
        </is>
      </c>
      <c r="F412" s="2" t="b">
        <v>1</v>
      </c>
      <c r="G412" s="2" t="n">
        <v>11</v>
      </c>
      <c r="H412" s="2" t="n">
        <v>1752</v>
      </c>
      <c r="I412" s="2" t="n">
        <v>1752</v>
      </c>
      <c r="J412" s="2" t="n">
        <v>1223</v>
      </c>
      <c r="K412" s="2">
        <f>H412+5&gt;D412</f>
        <v/>
      </c>
      <c r="L412" s="2">
        <f>J412&lt;I412</f>
        <v/>
      </c>
      <c r="M412" s="2" t="b">
        <v>1</v>
      </c>
      <c r="N412" s="2" t="b">
        <v>0</v>
      </c>
      <c r="O412" s="2" t="inlineStr">
        <is>
          <t>unknown</t>
        </is>
      </c>
      <c r="P412" s="2">
        <f>O412&lt;&gt;"unknown"</f>
        <v/>
      </c>
    </row>
    <row r="413">
      <c r="A413" s="2" t="inlineStr">
        <is>
          <t>1280-on</t>
        </is>
      </c>
      <c r="B413" s="2" t="n">
        <v>1280</v>
      </c>
      <c r="C413" s="2" t="inlineStr">
        <is>
          <t>on</t>
        </is>
      </c>
      <c r="D413" s="2" t="n">
        <v>1228</v>
      </c>
      <c r="E413" s="2" t="inlineStr">
        <is>
          <t>browser chrome124</t>
        </is>
      </c>
      <c r="F413" s="2" t="b">
        <v>1</v>
      </c>
      <c r="G413" s="2" t="n">
        <v>12</v>
      </c>
      <c r="H413" s="2" t="n">
        <v>1752</v>
      </c>
      <c r="I413" s="2" t="n">
        <v>1752</v>
      </c>
      <c r="J413" s="2" t="n">
        <v>1223</v>
      </c>
      <c r="K413" s="2">
        <f>H413+5&gt;D413</f>
        <v/>
      </c>
      <c r="L413" s="2">
        <f>J413&lt;I413</f>
        <v/>
      </c>
      <c r="M413" s="2" t="b">
        <v>1</v>
      </c>
      <c r="N413" s="2" t="b">
        <v>0</v>
      </c>
      <c r="O413" s="2" t="inlineStr">
        <is>
          <t>unknown</t>
        </is>
      </c>
      <c r="P413" s="2">
        <f>O413&lt;&gt;"unknown"</f>
        <v/>
      </c>
    </row>
    <row r="414">
      <c r="A414" s="2" t="inlineStr">
        <is>
          <t>1280-on</t>
        </is>
      </c>
      <c r="B414" s="2" t="n">
        <v>1280</v>
      </c>
      <c r="C414" s="2" t="inlineStr">
        <is>
          <t>on</t>
        </is>
      </c>
      <c r="D414" s="2" t="n">
        <v>1228</v>
      </c>
      <c r="E414" s="2" t="inlineStr">
        <is>
          <t>browser chrome124</t>
        </is>
      </c>
      <c r="F414" s="2" t="b">
        <v>1</v>
      </c>
      <c r="G414" s="2" t="n">
        <v>13</v>
      </c>
      <c r="H414" s="2" t="n">
        <v>1720</v>
      </c>
      <c r="I414" s="2" t="n">
        <v>1720</v>
      </c>
      <c r="J414" s="2" t="n">
        <v>1223</v>
      </c>
      <c r="K414" s="2">
        <f>H414+5&gt;D414</f>
        <v/>
      </c>
      <c r="L414" s="2">
        <f>J414&lt;I414</f>
        <v/>
      </c>
      <c r="M414" s="2" t="b">
        <v>1</v>
      </c>
      <c r="N414" s="2" t="b">
        <v>0</v>
      </c>
      <c r="O414" s="2" t="inlineStr">
        <is>
          <t>unknown</t>
        </is>
      </c>
      <c r="P414" s="2">
        <f>O414&lt;&gt;"unknown"</f>
        <v/>
      </c>
    </row>
    <row r="415">
      <c r="A415" s="2" t="inlineStr">
        <is>
          <t>1280-on</t>
        </is>
      </c>
      <c r="B415" s="2" t="n">
        <v>1280</v>
      </c>
      <c r="C415" s="2" t="inlineStr">
        <is>
          <t>on</t>
        </is>
      </c>
      <c r="D415" s="2" t="n">
        <v>1228</v>
      </c>
      <c r="E415" s="2" t="inlineStr">
        <is>
          <t>browser chrome124</t>
        </is>
      </c>
      <c r="F415" s="2" t="b">
        <v>1</v>
      </c>
      <c r="G415" s="2" t="n">
        <v>14</v>
      </c>
      <c r="H415" s="2" t="n">
        <v>1752</v>
      </c>
      <c r="I415" s="2" t="n">
        <v>1752</v>
      </c>
      <c r="J415" s="2" t="n">
        <v>1223</v>
      </c>
      <c r="K415" s="2">
        <f>H415+5&gt;D415</f>
        <v/>
      </c>
      <c r="L415" s="2">
        <f>J415&lt;I415</f>
        <v/>
      </c>
      <c r="M415" s="2" t="b">
        <v>1</v>
      </c>
      <c r="N415" s="2" t="b">
        <v>1</v>
      </c>
      <c r="O415" s="2" t="inlineStr">
        <is>
          <t>allow</t>
        </is>
      </c>
      <c r="P415" s="2">
        <f>O415&lt;&gt;"unknown"</f>
        <v/>
      </c>
    </row>
    <row r="416">
      <c r="A416" s="2" t="inlineStr">
        <is>
          <t>1280-on</t>
        </is>
      </c>
      <c r="B416" s="2" t="n">
        <v>1280</v>
      </c>
      <c r="C416" s="2" t="inlineStr">
        <is>
          <t>on</t>
        </is>
      </c>
      <c r="D416" s="2" t="n">
        <v>1228</v>
      </c>
      <c r="E416" s="2" t="inlineStr">
        <is>
          <t>browser chrome124</t>
        </is>
      </c>
      <c r="F416" s="2" t="b">
        <v>1</v>
      </c>
      <c r="G416" s="2" t="n">
        <v>15</v>
      </c>
      <c r="H416" s="2" t="n">
        <v>1784</v>
      </c>
      <c r="I416" s="2" t="n">
        <v>1784</v>
      </c>
      <c r="J416" s="2" t="n">
        <v>1223</v>
      </c>
      <c r="K416" s="2">
        <f>H416+5&gt;D416</f>
        <v/>
      </c>
      <c r="L416" s="2">
        <f>J416&lt;I416</f>
        <v/>
      </c>
      <c r="M416" s="2" t="b">
        <v>1</v>
      </c>
      <c r="N416" s="2" t="b">
        <v>0</v>
      </c>
      <c r="O416" s="2" t="inlineStr">
        <is>
          <t>unknown</t>
        </is>
      </c>
      <c r="P416" s="2">
        <f>O416&lt;&gt;"unknown"</f>
        <v/>
      </c>
    </row>
    <row r="417">
      <c r="A417" s="2" t="inlineStr">
        <is>
          <t>1280-on</t>
        </is>
      </c>
      <c r="B417" s="2" t="n">
        <v>1280</v>
      </c>
      <c r="C417" s="2" t="inlineStr">
        <is>
          <t>on</t>
        </is>
      </c>
      <c r="D417" s="2" t="n">
        <v>1228</v>
      </c>
      <c r="E417" s="2" t="inlineStr">
        <is>
          <t>browser chrome124</t>
        </is>
      </c>
      <c r="F417" s="2" t="b">
        <v>1</v>
      </c>
      <c r="G417" s="2" t="n">
        <v>16</v>
      </c>
      <c r="H417" s="2" t="n">
        <v>1784</v>
      </c>
      <c r="I417" s="2" t="n">
        <v>1784</v>
      </c>
      <c r="J417" s="2" t="n">
        <v>1223</v>
      </c>
      <c r="K417" s="2">
        <f>H417+5&gt;D417</f>
        <v/>
      </c>
      <c r="L417" s="2">
        <f>J417&lt;I417</f>
        <v/>
      </c>
      <c r="M417" s="2" t="b">
        <v>1</v>
      </c>
      <c r="N417" s="2" t="b">
        <v>1</v>
      </c>
      <c r="O417" s="2" t="inlineStr">
        <is>
          <t>allow</t>
        </is>
      </c>
      <c r="P417" s="2">
        <f>O417&lt;&gt;"unknown"</f>
        <v/>
      </c>
    </row>
    <row r="418">
      <c r="A418" s="2" t="inlineStr">
        <is>
          <t>1280-on</t>
        </is>
      </c>
      <c r="B418" s="2" t="n">
        <v>1280</v>
      </c>
      <c r="C418" s="2" t="inlineStr">
        <is>
          <t>on</t>
        </is>
      </c>
      <c r="D418" s="2" t="n">
        <v>1228</v>
      </c>
      <c r="E418" s="2" t="inlineStr">
        <is>
          <t>browser chrome124</t>
        </is>
      </c>
      <c r="F418" s="2" t="b">
        <v>1</v>
      </c>
      <c r="G418" s="2" t="n">
        <v>17</v>
      </c>
      <c r="H418" s="2" t="n">
        <v>1816</v>
      </c>
      <c r="I418" s="2" t="n">
        <v>1816</v>
      </c>
      <c r="J418" s="2" t="n">
        <v>1223</v>
      </c>
      <c r="K418" s="2">
        <f>H418+5&gt;D418</f>
        <v/>
      </c>
      <c r="L418" s="2">
        <f>J418&lt;I418</f>
        <v/>
      </c>
      <c r="M418" s="2" t="b">
        <v>1</v>
      </c>
      <c r="N418" s="2" t="b">
        <v>1</v>
      </c>
      <c r="O418" s="2" t="inlineStr">
        <is>
          <t>allow</t>
        </is>
      </c>
      <c r="P418" s="2">
        <f>O418&lt;&gt;"unknown"</f>
        <v/>
      </c>
    </row>
    <row r="419">
      <c r="A419" s="2" t="inlineStr">
        <is>
          <t>1280-on</t>
        </is>
      </c>
      <c r="B419" s="2" t="n">
        <v>1280</v>
      </c>
      <c r="C419" s="2" t="inlineStr">
        <is>
          <t>on</t>
        </is>
      </c>
      <c r="D419" s="2" t="n">
        <v>1228</v>
      </c>
      <c r="E419" s="2" t="inlineStr">
        <is>
          <t>browser chrome124</t>
        </is>
      </c>
      <c r="F419" s="2" t="b">
        <v>1</v>
      </c>
      <c r="G419" s="2" t="n">
        <v>18</v>
      </c>
      <c r="H419" s="2" t="n">
        <v>1720</v>
      </c>
      <c r="I419" s="2" t="n">
        <v>1720</v>
      </c>
      <c r="J419" s="2" t="n">
        <v>1223</v>
      </c>
      <c r="K419" s="2">
        <f>H419+5&gt;D419</f>
        <v/>
      </c>
      <c r="L419" s="2">
        <f>J419&lt;I419</f>
        <v/>
      </c>
      <c r="M419" s="2" t="b">
        <v>1</v>
      </c>
      <c r="N419" s="2" t="b">
        <v>1</v>
      </c>
      <c r="O419" s="2" t="inlineStr">
        <is>
          <t>allow</t>
        </is>
      </c>
      <c r="P419" s="2">
        <f>O419&lt;&gt;"unknown"</f>
        <v/>
      </c>
    </row>
    <row r="420">
      <c r="A420" s="2" t="inlineStr">
        <is>
          <t>1280-on</t>
        </is>
      </c>
      <c r="B420" s="2" t="n">
        <v>1280</v>
      </c>
      <c r="C420" s="2" t="inlineStr">
        <is>
          <t>on</t>
        </is>
      </c>
      <c r="D420" s="2" t="n">
        <v>1228</v>
      </c>
      <c r="E420" s="2" t="inlineStr">
        <is>
          <t>browser chrome124</t>
        </is>
      </c>
      <c r="F420" s="2" t="b">
        <v>1</v>
      </c>
      <c r="G420" s="2" t="n">
        <v>19</v>
      </c>
      <c r="H420" s="2" t="n">
        <v>1752</v>
      </c>
      <c r="I420" s="2" t="n">
        <v>1752</v>
      </c>
      <c r="J420" s="2" t="n">
        <v>1223</v>
      </c>
      <c r="K420" s="2">
        <f>H420+5&gt;D420</f>
        <v/>
      </c>
      <c r="L420" s="2">
        <f>J420&lt;I420</f>
        <v/>
      </c>
      <c r="M420" s="2" t="b">
        <v>1</v>
      </c>
      <c r="N420" s="2" t="b">
        <v>1</v>
      </c>
      <c r="O420" s="2" t="inlineStr">
        <is>
          <t>allow</t>
        </is>
      </c>
      <c r="P420" s="2">
        <f>O420&lt;&gt;"unknown"</f>
        <v/>
      </c>
    </row>
    <row r="421">
      <c r="A421" s="2" t="inlineStr">
        <is>
          <t>1280-on</t>
        </is>
      </c>
      <c r="B421" s="2" t="n">
        <v>1280</v>
      </c>
      <c r="C421" s="2" t="inlineStr">
        <is>
          <t>on</t>
        </is>
      </c>
      <c r="D421" s="2" t="n">
        <v>1228</v>
      </c>
      <c r="E421" s="2" t="inlineStr">
        <is>
          <t>browser chrome124</t>
        </is>
      </c>
      <c r="F421" s="2" t="b">
        <v>1</v>
      </c>
      <c r="G421" s="2" t="n">
        <v>20</v>
      </c>
      <c r="H421" s="2" t="n">
        <v>1816</v>
      </c>
      <c r="I421" s="2" t="n">
        <v>1816</v>
      </c>
      <c r="J421" s="2" t="n">
        <v>1223</v>
      </c>
      <c r="K421" s="2">
        <f>H421+5&gt;D421</f>
        <v/>
      </c>
      <c r="L421" s="2">
        <f>J421&lt;I421</f>
        <v/>
      </c>
      <c r="M421" s="2" t="b">
        <v>1</v>
      </c>
      <c r="N421" s="2" t="b">
        <v>1</v>
      </c>
      <c r="O421" s="2" t="inlineStr">
        <is>
          <t>allow</t>
        </is>
      </c>
      <c r="P421" s="2">
        <f>O421&lt;&gt;"unknown"</f>
        <v/>
      </c>
    </row>
    <row r="422">
      <c r="A422" s="2" t="inlineStr">
        <is>
          <t>1280-on</t>
        </is>
      </c>
      <c r="B422" s="2" t="n">
        <v>1280</v>
      </c>
      <c r="C422" s="2" t="inlineStr">
        <is>
          <t>on</t>
        </is>
      </c>
      <c r="D422" s="2" t="n">
        <v>1228</v>
      </c>
      <c r="E422" s="2" t="inlineStr">
        <is>
          <t>browser chrome131</t>
        </is>
      </c>
      <c r="F422" s="2" t="b">
        <v>1</v>
      </c>
      <c r="G422" s="2" t="n">
        <v>1</v>
      </c>
      <c r="H422" s="2" t="n">
        <v>1816</v>
      </c>
      <c r="I422" s="2" t="n">
        <v>1816</v>
      </c>
      <c r="J422" s="2" t="n">
        <v>1223</v>
      </c>
      <c r="K422" s="2">
        <f>H422+5&gt;D422</f>
        <v/>
      </c>
      <c r="L422" s="2">
        <f>J422&lt;I422</f>
        <v/>
      </c>
      <c r="M422" s="2" t="b">
        <v>1</v>
      </c>
      <c r="N422" s="2" t="b">
        <v>1</v>
      </c>
      <c r="O422" s="2" t="inlineStr">
        <is>
          <t>allow</t>
        </is>
      </c>
      <c r="P422" s="2">
        <f>O422&lt;&gt;"unknown"</f>
        <v/>
      </c>
    </row>
    <row r="423">
      <c r="A423" s="2" t="inlineStr">
        <is>
          <t>1280-on</t>
        </is>
      </c>
      <c r="B423" s="2" t="n">
        <v>1280</v>
      </c>
      <c r="C423" s="2" t="inlineStr">
        <is>
          <t>on</t>
        </is>
      </c>
      <c r="D423" s="2" t="n">
        <v>1228</v>
      </c>
      <c r="E423" s="2" t="inlineStr">
        <is>
          <t>browser chrome131</t>
        </is>
      </c>
      <c r="F423" s="2" t="b">
        <v>1</v>
      </c>
      <c r="G423" s="2" t="n">
        <v>2</v>
      </c>
      <c r="H423" s="2" t="n">
        <v>1720</v>
      </c>
      <c r="I423" s="2" t="n">
        <v>1720</v>
      </c>
      <c r="J423" s="2" t="n">
        <v>1223</v>
      </c>
      <c r="K423" s="2">
        <f>H423+5&gt;D423</f>
        <v/>
      </c>
      <c r="L423" s="2">
        <f>J423&lt;I423</f>
        <v/>
      </c>
      <c r="M423" s="2" t="b">
        <v>1</v>
      </c>
      <c r="N423" s="2" t="b">
        <v>1</v>
      </c>
      <c r="O423" s="2" t="inlineStr">
        <is>
          <t>allow</t>
        </is>
      </c>
      <c r="P423" s="2">
        <f>O423&lt;&gt;"unknown"</f>
        <v/>
      </c>
    </row>
    <row r="424">
      <c r="A424" s="2" t="inlineStr">
        <is>
          <t>1280-on</t>
        </is>
      </c>
      <c r="B424" s="2" t="n">
        <v>1280</v>
      </c>
      <c r="C424" s="2" t="inlineStr">
        <is>
          <t>on</t>
        </is>
      </c>
      <c r="D424" s="2" t="n">
        <v>1228</v>
      </c>
      <c r="E424" s="2" t="inlineStr">
        <is>
          <t>browser chrome131</t>
        </is>
      </c>
      <c r="F424" s="2" t="b">
        <v>1</v>
      </c>
      <c r="G424" s="2" t="n">
        <v>3</v>
      </c>
      <c r="H424" s="2" t="n">
        <v>1816</v>
      </c>
      <c r="I424" s="2" t="n">
        <v>1816</v>
      </c>
      <c r="J424" s="2" t="n">
        <v>1223</v>
      </c>
      <c r="K424" s="2">
        <f>H424+5&gt;D424</f>
        <v/>
      </c>
      <c r="L424" s="2">
        <f>J424&lt;I424</f>
        <v/>
      </c>
      <c r="M424" s="2" t="b">
        <v>1</v>
      </c>
      <c r="N424" s="2" t="b">
        <v>1</v>
      </c>
      <c r="O424" s="2" t="inlineStr">
        <is>
          <t>allow</t>
        </is>
      </c>
      <c r="P424" s="2">
        <f>O424&lt;&gt;"unknown"</f>
        <v/>
      </c>
    </row>
    <row r="425">
      <c r="A425" s="2" t="inlineStr">
        <is>
          <t>1280-on</t>
        </is>
      </c>
      <c r="B425" s="2" t="n">
        <v>1280</v>
      </c>
      <c r="C425" s="2" t="inlineStr">
        <is>
          <t>on</t>
        </is>
      </c>
      <c r="D425" s="2" t="n">
        <v>1228</v>
      </c>
      <c r="E425" s="2" t="inlineStr">
        <is>
          <t>browser chrome131</t>
        </is>
      </c>
      <c r="F425" s="2" t="b">
        <v>1</v>
      </c>
      <c r="G425" s="2" t="n">
        <v>4</v>
      </c>
      <c r="H425" s="2" t="n">
        <v>1816</v>
      </c>
      <c r="I425" s="2" t="n">
        <v>1816</v>
      </c>
      <c r="J425" s="2" t="n">
        <v>1223</v>
      </c>
      <c r="K425" s="2">
        <f>H425+5&gt;D425</f>
        <v/>
      </c>
      <c r="L425" s="2">
        <f>J425&lt;I425</f>
        <v/>
      </c>
      <c r="M425" s="2" t="b">
        <v>1</v>
      </c>
      <c r="N425" s="2" t="b">
        <v>1</v>
      </c>
      <c r="O425" s="2" t="inlineStr">
        <is>
          <t>allow</t>
        </is>
      </c>
      <c r="P425" s="2">
        <f>O425&lt;&gt;"unknown"</f>
        <v/>
      </c>
    </row>
    <row r="426">
      <c r="A426" s="2" t="inlineStr">
        <is>
          <t>1280-on</t>
        </is>
      </c>
      <c r="B426" s="2" t="n">
        <v>1280</v>
      </c>
      <c r="C426" s="2" t="inlineStr">
        <is>
          <t>on</t>
        </is>
      </c>
      <c r="D426" s="2" t="n">
        <v>1228</v>
      </c>
      <c r="E426" s="2" t="inlineStr">
        <is>
          <t>browser chrome131</t>
        </is>
      </c>
      <c r="F426" s="2" t="b">
        <v>1</v>
      </c>
      <c r="G426" s="2" t="n">
        <v>5</v>
      </c>
      <c r="H426" s="2" t="n">
        <v>1816</v>
      </c>
      <c r="I426" s="2" t="n">
        <v>1816</v>
      </c>
      <c r="J426" s="2" t="n">
        <v>1223</v>
      </c>
      <c r="K426" s="2">
        <f>H426+5&gt;D426</f>
        <v/>
      </c>
      <c r="L426" s="2">
        <f>J426&lt;I426</f>
        <v/>
      </c>
      <c r="M426" s="2" t="b">
        <v>1</v>
      </c>
      <c r="N426" s="2" t="b">
        <v>0</v>
      </c>
      <c r="O426" s="2" t="inlineStr">
        <is>
          <t>unknown</t>
        </is>
      </c>
      <c r="P426" s="2">
        <f>O426&lt;&gt;"unknown"</f>
        <v/>
      </c>
    </row>
    <row r="427">
      <c r="A427" s="2" t="inlineStr">
        <is>
          <t>1280-on</t>
        </is>
      </c>
      <c r="B427" s="2" t="n">
        <v>1280</v>
      </c>
      <c r="C427" s="2" t="inlineStr">
        <is>
          <t>on</t>
        </is>
      </c>
      <c r="D427" s="2" t="n">
        <v>1228</v>
      </c>
      <c r="E427" s="2" t="inlineStr">
        <is>
          <t>browser chrome131</t>
        </is>
      </c>
      <c r="F427" s="2" t="b">
        <v>1</v>
      </c>
      <c r="G427" s="2" t="n">
        <v>6</v>
      </c>
      <c r="H427" s="2" t="n">
        <v>1784</v>
      </c>
      <c r="I427" s="2" t="n">
        <v>1784</v>
      </c>
      <c r="J427" s="2" t="n">
        <v>1223</v>
      </c>
      <c r="K427" s="2">
        <f>H427+5&gt;D427</f>
        <v/>
      </c>
      <c r="L427" s="2">
        <f>J427&lt;I427</f>
        <v/>
      </c>
      <c r="M427" s="2" t="b">
        <v>1</v>
      </c>
      <c r="N427" s="2" t="b">
        <v>0</v>
      </c>
      <c r="O427" s="2" t="inlineStr">
        <is>
          <t>unknown</t>
        </is>
      </c>
      <c r="P427" s="2">
        <f>O427&lt;&gt;"unknown"</f>
        <v/>
      </c>
    </row>
    <row r="428">
      <c r="A428" s="2" t="inlineStr">
        <is>
          <t>1280-on</t>
        </is>
      </c>
      <c r="B428" s="2" t="n">
        <v>1280</v>
      </c>
      <c r="C428" s="2" t="inlineStr">
        <is>
          <t>on</t>
        </is>
      </c>
      <c r="D428" s="2" t="n">
        <v>1228</v>
      </c>
      <c r="E428" s="2" t="inlineStr">
        <is>
          <t>browser chrome131</t>
        </is>
      </c>
      <c r="F428" s="2" t="b">
        <v>1</v>
      </c>
      <c r="G428" s="2" t="n">
        <v>7</v>
      </c>
      <c r="H428" s="2" t="n">
        <v>1784</v>
      </c>
      <c r="I428" s="2" t="n">
        <v>1784</v>
      </c>
      <c r="J428" s="2" t="n">
        <v>1223</v>
      </c>
      <c r="K428" s="2">
        <f>H428+5&gt;D428</f>
        <v/>
      </c>
      <c r="L428" s="2">
        <f>J428&lt;I428</f>
        <v/>
      </c>
      <c r="M428" s="2" t="b">
        <v>1</v>
      </c>
      <c r="N428" s="2" t="b">
        <v>1</v>
      </c>
      <c r="O428" s="2" t="inlineStr">
        <is>
          <t>allow</t>
        </is>
      </c>
      <c r="P428" s="2">
        <f>O428&lt;&gt;"unknown"</f>
        <v/>
      </c>
    </row>
    <row r="429">
      <c r="A429" s="2" t="inlineStr">
        <is>
          <t>1280-on</t>
        </is>
      </c>
      <c r="B429" s="2" t="n">
        <v>1280</v>
      </c>
      <c r="C429" s="2" t="inlineStr">
        <is>
          <t>on</t>
        </is>
      </c>
      <c r="D429" s="2" t="n">
        <v>1228</v>
      </c>
      <c r="E429" s="2" t="inlineStr">
        <is>
          <t>browser chrome131</t>
        </is>
      </c>
      <c r="F429" s="2" t="b">
        <v>1</v>
      </c>
      <c r="G429" s="2" t="n">
        <v>8</v>
      </c>
      <c r="H429" s="2" t="n">
        <v>1752</v>
      </c>
      <c r="I429" s="2" t="n">
        <v>1752</v>
      </c>
      <c r="J429" s="2" t="n">
        <v>1223</v>
      </c>
      <c r="K429" s="2">
        <f>H429+5&gt;D429</f>
        <v/>
      </c>
      <c r="L429" s="2">
        <f>J429&lt;I429</f>
        <v/>
      </c>
      <c r="M429" s="2" t="b">
        <v>1</v>
      </c>
      <c r="N429" s="2" t="b">
        <v>0</v>
      </c>
      <c r="O429" s="2" t="inlineStr">
        <is>
          <t>unknown</t>
        </is>
      </c>
      <c r="P429" s="2">
        <f>O429&lt;&gt;"unknown"</f>
        <v/>
      </c>
    </row>
    <row r="430">
      <c r="A430" s="2" t="inlineStr">
        <is>
          <t>1280-on</t>
        </is>
      </c>
      <c r="B430" s="2" t="n">
        <v>1280</v>
      </c>
      <c r="C430" s="2" t="inlineStr">
        <is>
          <t>on</t>
        </is>
      </c>
      <c r="D430" s="2" t="n">
        <v>1228</v>
      </c>
      <c r="E430" s="2" t="inlineStr">
        <is>
          <t>browser chrome131</t>
        </is>
      </c>
      <c r="F430" s="2" t="b">
        <v>1</v>
      </c>
      <c r="G430" s="2" t="n">
        <v>9</v>
      </c>
      <c r="H430" s="2" t="n">
        <v>1720</v>
      </c>
      <c r="I430" s="2" t="n">
        <v>1720</v>
      </c>
      <c r="J430" s="2" t="n">
        <v>1223</v>
      </c>
      <c r="K430" s="2">
        <f>H430+5&gt;D430</f>
        <v/>
      </c>
      <c r="L430" s="2">
        <f>J430&lt;I430</f>
        <v/>
      </c>
      <c r="M430" s="2" t="b">
        <v>1</v>
      </c>
      <c r="N430" s="2" t="b">
        <v>0</v>
      </c>
      <c r="O430" s="2" t="inlineStr">
        <is>
          <t>unknown</t>
        </is>
      </c>
      <c r="P430" s="2">
        <f>O430&lt;&gt;"unknown"</f>
        <v/>
      </c>
    </row>
    <row r="431">
      <c r="A431" s="2" t="inlineStr">
        <is>
          <t>1280-on</t>
        </is>
      </c>
      <c r="B431" s="2" t="n">
        <v>1280</v>
      </c>
      <c r="C431" s="2" t="inlineStr">
        <is>
          <t>on</t>
        </is>
      </c>
      <c r="D431" s="2" t="n">
        <v>1228</v>
      </c>
      <c r="E431" s="2" t="inlineStr">
        <is>
          <t>browser chrome131</t>
        </is>
      </c>
      <c r="F431" s="2" t="b">
        <v>1</v>
      </c>
      <c r="G431" s="2" t="n">
        <v>10</v>
      </c>
      <c r="H431" s="2" t="n">
        <v>1816</v>
      </c>
      <c r="I431" s="2" t="n">
        <v>1816</v>
      </c>
      <c r="J431" s="2" t="n">
        <v>1223</v>
      </c>
      <c r="K431" s="2">
        <f>H431+5&gt;D431</f>
        <v/>
      </c>
      <c r="L431" s="2">
        <f>J431&lt;I431</f>
        <v/>
      </c>
      <c r="M431" s="2" t="b">
        <v>1</v>
      </c>
      <c r="N431" s="2" t="b">
        <v>1</v>
      </c>
      <c r="O431" s="2" t="inlineStr">
        <is>
          <t>allow</t>
        </is>
      </c>
      <c r="P431" s="2">
        <f>O431&lt;&gt;"unknown"</f>
        <v/>
      </c>
    </row>
    <row r="432">
      <c r="A432" s="2" t="inlineStr">
        <is>
          <t>1280-on</t>
        </is>
      </c>
      <c r="B432" s="2" t="n">
        <v>1280</v>
      </c>
      <c r="C432" s="2" t="inlineStr">
        <is>
          <t>on</t>
        </is>
      </c>
      <c r="D432" s="2" t="n">
        <v>1228</v>
      </c>
      <c r="E432" s="2" t="inlineStr">
        <is>
          <t>browser chrome131</t>
        </is>
      </c>
      <c r="F432" s="2" t="b">
        <v>1</v>
      </c>
      <c r="G432" s="2" t="n">
        <v>11</v>
      </c>
      <c r="H432" s="2" t="n">
        <v>1784</v>
      </c>
      <c r="I432" s="2" t="n">
        <v>1784</v>
      </c>
      <c r="J432" s="2" t="n">
        <v>1223</v>
      </c>
      <c r="K432" s="2">
        <f>H432+5&gt;D432</f>
        <v/>
      </c>
      <c r="L432" s="2">
        <f>J432&lt;I432</f>
        <v/>
      </c>
      <c r="M432" s="2" t="b">
        <v>1</v>
      </c>
      <c r="N432" s="2" t="b">
        <v>0</v>
      </c>
      <c r="O432" s="2" t="inlineStr">
        <is>
          <t>unknown</t>
        </is>
      </c>
      <c r="P432" s="2">
        <f>O432&lt;&gt;"unknown"</f>
        <v/>
      </c>
    </row>
    <row r="433">
      <c r="A433" s="2" t="inlineStr">
        <is>
          <t>1280-on</t>
        </is>
      </c>
      <c r="B433" s="2" t="n">
        <v>1280</v>
      </c>
      <c r="C433" s="2" t="inlineStr">
        <is>
          <t>on</t>
        </is>
      </c>
      <c r="D433" s="2" t="n">
        <v>1228</v>
      </c>
      <c r="E433" s="2" t="inlineStr">
        <is>
          <t>browser chrome131</t>
        </is>
      </c>
      <c r="F433" s="2" t="b">
        <v>1</v>
      </c>
      <c r="G433" s="2" t="n">
        <v>12</v>
      </c>
      <c r="H433" s="2" t="n">
        <v>1784</v>
      </c>
      <c r="I433" s="2" t="n">
        <v>1784</v>
      </c>
      <c r="J433" s="2" t="n">
        <v>1223</v>
      </c>
      <c r="K433" s="2">
        <f>H433+5&gt;D433</f>
        <v/>
      </c>
      <c r="L433" s="2">
        <f>J433&lt;I433</f>
        <v/>
      </c>
      <c r="M433" s="2" t="b">
        <v>1</v>
      </c>
      <c r="N433" s="2" t="b">
        <v>1</v>
      </c>
      <c r="O433" s="2" t="inlineStr">
        <is>
          <t>allow</t>
        </is>
      </c>
      <c r="P433" s="2">
        <f>O433&lt;&gt;"unknown"</f>
        <v/>
      </c>
    </row>
    <row r="434">
      <c r="A434" s="2" t="inlineStr">
        <is>
          <t>1280-on</t>
        </is>
      </c>
      <c r="B434" s="2" t="n">
        <v>1280</v>
      </c>
      <c r="C434" s="2" t="inlineStr">
        <is>
          <t>on</t>
        </is>
      </c>
      <c r="D434" s="2" t="n">
        <v>1228</v>
      </c>
      <c r="E434" s="2" t="inlineStr">
        <is>
          <t>browser chrome131</t>
        </is>
      </c>
      <c r="F434" s="2" t="b">
        <v>1</v>
      </c>
      <c r="G434" s="2" t="n">
        <v>13</v>
      </c>
      <c r="H434" s="2" t="n">
        <v>1784</v>
      </c>
      <c r="I434" s="2" t="n">
        <v>1784</v>
      </c>
      <c r="J434" s="2" t="n">
        <v>1223</v>
      </c>
      <c r="K434" s="2">
        <f>H434+5&gt;D434</f>
        <v/>
      </c>
      <c r="L434" s="2">
        <f>J434&lt;I434</f>
        <v/>
      </c>
      <c r="M434" s="2" t="b">
        <v>1</v>
      </c>
      <c r="N434" s="2" t="b">
        <v>0</v>
      </c>
      <c r="O434" s="2" t="inlineStr">
        <is>
          <t>unknown</t>
        </is>
      </c>
      <c r="P434" s="2">
        <f>O434&lt;&gt;"unknown"</f>
        <v/>
      </c>
    </row>
    <row r="435">
      <c r="A435" s="2" t="inlineStr">
        <is>
          <t>1280-on</t>
        </is>
      </c>
      <c r="B435" s="2" t="n">
        <v>1280</v>
      </c>
      <c r="C435" s="2" t="inlineStr">
        <is>
          <t>on</t>
        </is>
      </c>
      <c r="D435" s="2" t="n">
        <v>1228</v>
      </c>
      <c r="E435" s="2" t="inlineStr">
        <is>
          <t>browser chrome131</t>
        </is>
      </c>
      <c r="F435" s="2" t="b">
        <v>1</v>
      </c>
      <c r="G435" s="2" t="n">
        <v>14</v>
      </c>
      <c r="H435" s="2" t="n">
        <v>1816</v>
      </c>
      <c r="I435" s="2" t="n">
        <v>1816</v>
      </c>
      <c r="J435" s="2" t="n">
        <v>1223</v>
      </c>
      <c r="K435" s="2">
        <f>H435+5&gt;D435</f>
        <v/>
      </c>
      <c r="L435" s="2">
        <f>J435&lt;I435</f>
        <v/>
      </c>
      <c r="M435" s="2" t="b">
        <v>1</v>
      </c>
      <c r="N435" s="2" t="b">
        <v>1</v>
      </c>
      <c r="O435" s="2" t="inlineStr">
        <is>
          <t>allow</t>
        </is>
      </c>
      <c r="P435" s="2">
        <f>O435&lt;&gt;"unknown"</f>
        <v/>
      </c>
    </row>
    <row r="436">
      <c r="A436" s="2" t="inlineStr">
        <is>
          <t>1280-on</t>
        </is>
      </c>
      <c r="B436" s="2" t="n">
        <v>1280</v>
      </c>
      <c r="C436" s="2" t="inlineStr">
        <is>
          <t>on</t>
        </is>
      </c>
      <c r="D436" s="2" t="n">
        <v>1228</v>
      </c>
      <c r="E436" s="2" t="inlineStr">
        <is>
          <t>browser chrome131</t>
        </is>
      </c>
      <c r="F436" s="2" t="b">
        <v>1</v>
      </c>
      <c r="G436" s="2" t="n">
        <v>15</v>
      </c>
      <c r="H436" s="2" t="n">
        <v>1816</v>
      </c>
      <c r="I436" s="2" t="n">
        <v>1816</v>
      </c>
      <c r="J436" s="2" t="n">
        <v>1223</v>
      </c>
      <c r="K436" s="2">
        <f>H436+5&gt;D436</f>
        <v/>
      </c>
      <c r="L436" s="2">
        <f>J436&lt;I436</f>
        <v/>
      </c>
      <c r="M436" s="2" t="b">
        <v>1</v>
      </c>
      <c r="N436" s="2" t="b">
        <v>1</v>
      </c>
      <c r="O436" s="2" t="inlineStr">
        <is>
          <t>allow</t>
        </is>
      </c>
      <c r="P436" s="2">
        <f>O436&lt;&gt;"unknown"</f>
        <v/>
      </c>
    </row>
    <row r="437">
      <c r="A437" s="2" t="inlineStr">
        <is>
          <t>1280-on</t>
        </is>
      </c>
      <c r="B437" s="2" t="n">
        <v>1280</v>
      </c>
      <c r="C437" s="2" t="inlineStr">
        <is>
          <t>on</t>
        </is>
      </c>
      <c r="D437" s="2" t="n">
        <v>1228</v>
      </c>
      <c r="E437" s="2" t="inlineStr">
        <is>
          <t>browser chrome131</t>
        </is>
      </c>
      <c r="F437" s="2" t="b">
        <v>1</v>
      </c>
      <c r="G437" s="2" t="n">
        <v>16</v>
      </c>
      <c r="H437" s="2" t="n">
        <v>1752</v>
      </c>
      <c r="I437" s="2" t="n">
        <v>1752</v>
      </c>
      <c r="J437" s="2" t="n">
        <v>1223</v>
      </c>
      <c r="K437" s="2">
        <f>H437+5&gt;D437</f>
        <v/>
      </c>
      <c r="L437" s="2">
        <f>J437&lt;I437</f>
        <v/>
      </c>
      <c r="M437" s="2" t="b">
        <v>1</v>
      </c>
      <c r="N437" s="2" t="b">
        <v>1</v>
      </c>
      <c r="O437" s="2" t="inlineStr">
        <is>
          <t>allow</t>
        </is>
      </c>
      <c r="P437" s="2">
        <f>O437&lt;&gt;"unknown"</f>
        <v/>
      </c>
    </row>
    <row r="438">
      <c r="A438" s="2" t="inlineStr">
        <is>
          <t>1280-on</t>
        </is>
      </c>
      <c r="B438" s="2" t="n">
        <v>1280</v>
      </c>
      <c r="C438" s="2" t="inlineStr">
        <is>
          <t>on</t>
        </is>
      </c>
      <c r="D438" s="2" t="n">
        <v>1228</v>
      </c>
      <c r="E438" s="2" t="inlineStr">
        <is>
          <t>browser chrome131</t>
        </is>
      </c>
      <c r="F438" s="2" t="b">
        <v>1</v>
      </c>
      <c r="G438" s="2" t="n">
        <v>17</v>
      </c>
      <c r="H438" s="2" t="n">
        <v>1784</v>
      </c>
      <c r="I438" s="2" t="n">
        <v>1784</v>
      </c>
      <c r="J438" s="2" t="n">
        <v>1223</v>
      </c>
      <c r="K438" s="2">
        <f>H438+5&gt;D438</f>
        <v/>
      </c>
      <c r="L438" s="2">
        <f>J438&lt;I438</f>
        <v/>
      </c>
      <c r="M438" s="2" t="b">
        <v>1</v>
      </c>
      <c r="N438" s="2" t="b">
        <v>0</v>
      </c>
      <c r="O438" s="2" t="inlineStr">
        <is>
          <t>unknown</t>
        </is>
      </c>
      <c r="P438" s="2">
        <f>O438&lt;&gt;"unknown"</f>
        <v/>
      </c>
    </row>
    <row r="439">
      <c r="A439" s="2" t="inlineStr">
        <is>
          <t>1280-on</t>
        </is>
      </c>
      <c r="B439" s="2" t="n">
        <v>1280</v>
      </c>
      <c r="C439" s="2" t="inlineStr">
        <is>
          <t>on</t>
        </is>
      </c>
      <c r="D439" s="2" t="n">
        <v>1228</v>
      </c>
      <c r="E439" s="2" t="inlineStr">
        <is>
          <t>browser chrome131</t>
        </is>
      </c>
      <c r="F439" s="2" t="b">
        <v>1</v>
      </c>
      <c r="G439" s="2" t="n">
        <v>18</v>
      </c>
      <c r="H439" s="2" t="n">
        <v>1816</v>
      </c>
      <c r="I439" s="2" t="n">
        <v>1816</v>
      </c>
      <c r="J439" s="2" t="n">
        <v>1223</v>
      </c>
      <c r="K439" s="2">
        <f>H439+5&gt;D439</f>
        <v/>
      </c>
      <c r="L439" s="2">
        <f>J439&lt;I439</f>
        <v/>
      </c>
      <c r="M439" s="2" t="b">
        <v>1</v>
      </c>
      <c r="N439" s="2" t="b">
        <v>1</v>
      </c>
      <c r="O439" s="2" t="inlineStr">
        <is>
          <t>allow</t>
        </is>
      </c>
      <c r="P439" s="2">
        <f>O439&lt;&gt;"unknown"</f>
        <v/>
      </c>
    </row>
    <row r="440">
      <c r="A440" s="2" t="inlineStr">
        <is>
          <t>1280-on</t>
        </is>
      </c>
      <c r="B440" s="2" t="n">
        <v>1280</v>
      </c>
      <c r="C440" s="2" t="inlineStr">
        <is>
          <t>on</t>
        </is>
      </c>
      <c r="D440" s="2" t="n">
        <v>1228</v>
      </c>
      <c r="E440" s="2" t="inlineStr">
        <is>
          <t>browser chrome131</t>
        </is>
      </c>
      <c r="F440" s="2" t="b">
        <v>1</v>
      </c>
      <c r="G440" s="2" t="n">
        <v>19</v>
      </c>
      <c r="H440" s="2" t="n">
        <v>1720</v>
      </c>
      <c r="I440" s="2" t="n">
        <v>1720</v>
      </c>
      <c r="J440" s="2" t="n">
        <v>1223</v>
      </c>
      <c r="K440" s="2">
        <f>H440+5&gt;D440</f>
        <v/>
      </c>
      <c r="L440" s="2">
        <f>J440&lt;I440</f>
        <v/>
      </c>
      <c r="M440" s="2" t="b">
        <v>1</v>
      </c>
      <c r="N440" s="2" t="b">
        <v>1</v>
      </c>
      <c r="O440" s="2" t="inlineStr">
        <is>
          <t>allow</t>
        </is>
      </c>
      <c r="P440" s="2">
        <f>O440&lt;&gt;"unknown"</f>
        <v/>
      </c>
    </row>
    <row r="441">
      <c r="A441" s="2" t="inlineStr">
        <is>
          <t>1280-on</t>
        </is>
      </c>
      <c r="B441" s="2" t="n">
        <v>1280</v>
      </c>
      <c r="C441" s="2" t="inlineStr">
        <is>
          <t>on</t>
        </is>
      </c>
      <c r="D441" s="2" t="n">
        <v>1228</v>
      </c>
      <c r="E441" s="2" t="inlineStr">
        <is>
          <t>browser chrome131</t>
        </is>
      </c>
      <c r="F441" s="2" t="b">
        <v>1</v>
      </c>
      <c r="G441" s="2" t="n">
        <v>20</v>
      </c>
      <c r="H441" s="2" t="n">
        <v>1784</v>
      </c>
      <c r="I441" s="2" t="n">
        <v>1784</v>
      </c>
      <c r="J441" s="2" t="n">
        <v>1223</v>
      </c>
      <c r="K441" s="2">
        <f>H441+5&gt;D441</f>
        <v/>
      </c>
      <c r="L441" s="2">
        <f>J441&lt;I441</f>
        <v/>
      </c>
      <c r="M441" s="2" t="b">
        <v>1</v>
      </c>
      <c r="N441" s="2" t="b">
        <v>1</v>
      </c>
      <c r="O441" s="2" t="inlineStr">
        <is>
          <t>allow</t>
        </is>
      </c>
      <c r="P441" s="2">
        <f>O441&lt;&gt;"unknown"</f>
        <v/>
      </c>
    </row>
    <row r="442">
      <c r="A442" s="2" t="inlineStr">
        <is>
          <t>1280-on</t>
        </is>
      </c>
      <c r="B442" s="2" t="n">
        <v>1280</v>
      </c>
      <c r="C442" s="2" t="inlineStr">
        <is>
          <t>on</t>
        </is>
      </c>
      <c r="D442" s="2" t="n">
        <v>1228</v>
      </c>
      <c r="E442" s="2" t="inlineStr">
        <is>
          <t>browser chrome150</t>
        </is>
      </c>
      <c r="F442" s="2" t="b">
        <v>1</v>
      </c>
      <c r="G442" s="2" t="n">
        <v>1</v>
      </c>
      <c r="H442" s="2" t="n">
        <v>1822</v>
      </c>
      <c r="I442" s="2" t="n">
        <v>1822</v>
      </c>
      <c r="J442" s="2" t="n">
        <v>1223</v>
      </c>
      <c r="K442" s="2">
        <f>H442+5&gt;D442</f>
        <v/>
      </c>
      <c r="L442" s="2">
        <f>J442&lt;I442</f>
        <v/>
      </c>
      <c r="M442" s="2" t="b">
        <v>1</v>
      </c>
      <c r="N442" s="2" t="b">
        <v>0</v>
      </c>
      <c r="O442" s="2" t="inlineStr">
        <is>
          <t>unknown</t>
        </is>
      </c>
      <c r="P442" s="2">
        <f>O442&lt;&gt;"unknown"</f>
        <v/>
      </c>
    </row>
    <row r="443">
      <c r="A443" s="2" t="inlineStr">
        <is>
          <t>1280-on</t>
        </is>
      </c>
      <c r="B443" s="2" t="n">
        <v>1280</v>
      </c>
      <c r="C443" s="2" t="inlineStr">
        <is>
          <t>on</t>
        </is>
      </c>
      <c r="D443" s="2" t="n">
        <v>1228</v>
      </c>
      <c r="E443" s="2" t="inlineStr">
        <is>
          <t>browser chrome150</t>
        </is>
      </c>
      <c r="F443" s="2" t="b">
        <v>1</v>
      </c>
      <c r="G443" s="2" t="n">
        <v>2</v>
      </c>
      <c r="H443" s="2" t="n">
        <v>1790</v>
      </c>
      <c r="I443" s="2" t="n">
        <v>1790</v>
      </c>
      <c r="J443" s="2" t="n">
        <v>1223</v>
      </c>
      <c r="K443" s="2">
        <f>H443+5&gt;D443</f>
        <v/>
      </c>
      <c r="L443" s="2">
        <f>J443&lt;I443</f>
        <v/>
      </c>
      <c r="M443" s="2" t="b">
        <v>1</v>
      </c>
      <c r="N443" s="2" t="b">
        <v>0</v>
      </c>
      <c r="O443" s="2" t="inlineStr">
        <is>
          <t>unknown</t>
        </is>
      </c>
      <c r="P443" s="2">
        <f>O443&lt;&gt;"unknown"</f>
        <v/>
      </c>
    </row>
    <row r="444">
      <c r="A444" s="2" t="inlineStr">
        <is>
          <t>1280-on</t>
        </is>
      </c>
      <c r="B444" s="2" t="n">
        <v>1280</v>
      </c>
      <c r="C444" s="2" t="inlineStr">
        <is>
          <t>on</t>
        </is>
      </c>
      <c r="D444" s="2" t="n">
        <v>1228</v>
      </c>
      <c r="E444" s="2" t="inlineStr">
        <is>
          <t>browser chrome150</t>
        </is>
      </c>
      <c r="F444" s="2" t="b">
        <v>1</v>
      </c>
      <c r="G444" s="2" t="n">
        <v>3</v>
      </c>
      <c r="H444" s="2" t="n">
        <v>1790</v>
      </c>
      <c r="I444" s="2" t="n">
        <v>1790</v>
      </c>
      <c r="J444" s="2" t="n">
        <v>1223</v>
      </c>
      <c r="K444" s="2">
        <f>H444+5&gt;D444</f>
        <v/>
      </c>
      <c r="L444" s="2">
        <f>J444&lt;I444</f>
        <v/>
      </c>
      <c r="M444" s="2" t="b">
        <v>1</v>
      </c>
      <c r="N444" s="2" t="b">
        <v>0</v>
      </c>
      <c r="O444" s="2" t="inlineStr">
        <is>
          <t>unknown</t>
        </is>
      </c>
      <c r="P444" s="2">
        <f>O444&lt;&gt;"unknown"</f>
        <v/>
      </c>
    </row>
    <row r="445">
      <c r="A445" s="2" t="inlineStr">
        <is>
          <t>1280-on</t>
        </is>
      </c>
      <c r="B445" s="2" t="n">
        <v>1280</v>
      </c>
      <c r="C445" s="2" t="inlineStr">
        <is>
          <t>on</t>
        </is>
      </c>
      <c r="D445" s="2" t="n">
        <v>1228</v>
      </c>
      <c r="E445" s="2" t="inlineStr">
        <is>
          <t>browser chrome150</t>
        </is>
      </c>
      <c r="F445" s="2" t="b">
        <v>1</v>
      </c>
      <c r="G445" s="2" t="n">
        <v>4</v>
      </c>
      <c r="H445" s="2" t="n">
        <v>1758</v>
      </c>
      <c r="I445" s="2" t="n">
        <v>1758</v>
      </c>
      <c r="J445" s="2" t="n">
        <v>1223</v>
      </c>
      <c r="K445" s="2">
        <f>H445+5&gt;D445</f>
        <v/>
      </c>
      <c r="L445" s="2">
        <f>J445&lt;I445</f>
        <v/>
      </c>
      <c r="M445" s="2" t="b">
        <v>1</v>
      </c>
      <c r="N445" s="2" t="b">
        <v>1</v>
      </c>
      <c r="O445" s="2" t="inlineStr">
        <is>
          <t>allow</t>
        </is>
      </c>
      <c r="P445" s="2">
        <f>O445&lt;&gt;"unknown"</f>
        <v/>
      </c>
    </row>
    <row r="446">
      <c r="A446" s="2" t="inlineStr">
        <is>
          <t>1280-on</t>
        </is>
      </c>
      <c r="B446" s="2" t="n">
        <v>1280</v>
      </c>
      <c r="C446" s="2" t="inlineStr">
        <is>
          <t>on</t>
        </is>
      </c>
      <c r="D446" s="2" t="n">
        <v>1228</v>
      </c>
      <c r="E446" s="2" t="inlineStr">
        <is>
          <t>browser chrome150</t>
        </is>
      </c>
      <c r="F446" s="2" t="b">
        <v>1</v>
      </c>
      <c r="G446" s="2" t="n">
        <v>5</v>
      </c>
      <c r="H446" s="2" t="n">
        <v>1726</v>
      </c>
      <c r="I446" s="2" t="n">
        <v>1726</v>
      </c>
      <c r="J446" s="2" t="n">
        <v>1223</v>
      </c>
      <c r="K446" s="2">
        <f>H446+5&gt;D446</f>
        <v/>
      </c>
      <c r="L446" s="2">
        <f>J446&lt;I446</f>
        <v/>
      </c>
      <c r="M446" s="2" t="b">
        <v>1</v>
      </c>
      <c r="N446" s="2" t="b">
        <v>0</v>
      </c>
      <c r="O446" s="2" t="inlineStr">
        <is>
          <t>unknown</t>
        </is>
      </c>
      <c r="P446" s="2">
        <f>O446&lt;&gt;"unknown"</f>
        <v/>
      </c>
    </row>
    <row r="447">
      <c r="A447" s="2" t="inlineStr">
        <is>
          <t>1280-on</t>
        </is>
      </c>
      <c r="B447" s="2" t="n">
        <v>1280</v>
      </c>
      <c r="C447" s="2" t="inlineStr">
        <is>
          <t>on</t>
        </is>
      </c>
      <c r="D447" s="2" t="n">
        <v>1228</v>
      </c>
      <c r="E447" s="2" t="inlineStr">
        <is>
          <t>browser chrome150</t>
        </is>
      </c>
      <c r="F447" s="2" t="b">
        <v>1</v>
      </c>
      <c r="G447" s="2" t="n">
        <v>6</v>
      </c>
      <c r="H447" s="2" t="n">
        <v>1758</v>
      </c>
      <c r="I447" s="2" t="n">
        <v>1758</v>
      </c>
      <c r="J447" s="2" t="n">
        <v>1223</v>
      </c>
      <c r="K447" s="2">
        <f>H447+5&gt;D447</f>
        <v/>
      </c>
      <c r="L447" s="2">
        <f>J447&lt;I447</f>
        <v/>
      </c>
      <c r="M447" s="2" t="b">
        <v>1</v>
      </c>
      <c r="N447" s="2" t="b">
        <v>1</v>
      </c>
      <c r="O447" s="2" t="inlineStr">
        <is>
          <t>allow</t>
        </is>
      </c>
      <c r="P447" s="2">
        <f>O447&lt;&gt;"unknown"</f>
        <v/>
      </c>
    </row>
    <row r="448">
      <c r="A448" s="2" t="inlineStr">
        <is>
          <t>1280-on</t>
        </is>
      </c>
      <c r="B448" s="2" t="n">
        <v>1280</v>
      </c>
      <c r="C448" s="2" t="inlineStr">
        <is>
          <t>on</t>
        </is>
      </c>
      <c r="D448" s="2" t="n">
        <v>1228</v>
      </c>
      <c r="E448" s="2" t="inlineStr">
        <is>
          <t>browser chrome150</t>
        </is>
      </c>
      <c r="F448" s="2" t="b">
        <v>1</v>
      </c>
      <c r="G448" s="2" t="n">
        <v>7</v>
      </c>
      <c r="H448" s="2" t="n">
        <v>1758</v>
      </c>
      <c r="I448" s="2" t="n">
        <v>1758</v>
      </c>
      <c r="J448" s="2" t="n">
        <v>1223</v>
      </c>
      <c r="K448" s="2">
        <f>H448+5&gt;D448</f>
        <v/>
      </c>
      <c r="L448" s="2">
        <f>J448&lt;I448</f>
        <v/>
      </c>
      <c r="M448" s="2" t="b">
        <v>1</v>
      </c>
      <c r="N448" s="2" t="b">
        <v>1</v>
      </c>
      <c r="O448" s="2" t="inlineStr">
        <is>
          <t>allow</t>
        </is>
      </c>
      <c r="P448" s="2">
        <f>O448&lt;&gt;"unknown"</f>
        <v/>
      </c>
    </row>
    <row r="449">
      <c r="A449" s="2" t="inlineStr">
        <is>
          <t>1280-on</t>
        </is>
      </c>
      <c r="B449" s="2" t="n">
        <v>1280</v>
      </c>
      <c r="C449" s="2" t="inlineStr">
        <is>
          <t>on</t>
        </is>
      </c>
      <c r="D449" s="2" t="n">
        <v>1228</v>
      </c>
      <c r="E449" s="2" t="inlineStr">
        <is>
          <t>browser chrome150</t>
        </is>
      </c>
      <c r="F449" s="2" t="b">
        <v>1</v>
      </c>
      <c r="G449" s="2" t="n">
        <v>8</v>
      </c>
      <c r="H449" s="2" t="n">
        <v>1758</v>
      </c>
      <c r="I449" s="2" t="n">
        <v>1758</v>
      </c>
      <c r="J449" s="2" t="n">
        <v>1223</v>
      </c>
      <c r="K449" s="2">
        <f>H449+5&gt;D449</f>
        <v/>
      </c>
      <c r="L449" s="2">
        <f>J449&lt;I449</f>
        <v/>
      </c>
      <c r="M449" s="2" t="b">
        <v>1</v>
      </c>
      <c r="N449" s="2" t="b">
        <v>1</v>
      </c>
      <c r="O449" s="2" t="inlineStr">
        <is>
          <t>allow</t>
        </is>
      </c>
      <c r="P449" s="2">
        <f>O449&lt;&gt;"unknown"</f>
        <v/>
      </c>
    </row>
    <row r="450">
      <c r="A450" s="2" t="inlineStr">
        <is>
          <t>1280-on</t>
        </is>
      </c>
      <c r="B450" s="2" t="n">
        <v>1280</v>
      </c>
      <c r="C450" s="2" t="inlineStr">
        <is>
          <t>on</t>
        </is>
      </c>
      <c r="D450" s="2" t="n">
        <v>1228</v>
      </c>
      <c r="E450" s="2" t="inlineStr">
        <is>
          <t>browser chrome150</t>
        </is>
      </c>
      <c r="F450" s="2" t="b">
        <v>1</v>
      </c>
      <c r="G450" s="2" t="n">
        <v>9</v>
      </c>
      <c r="H450" s="2" t="n">
        <v>1758</v>
      </c>
      <c r="I450" s="2" t="n">
        <v>1758</v>
      </c>
      <c r="J450" s="2" t="n">
        <v>1223</v>
      </c>
      <c r="K450" s="2">
        <f>H450+5&gt;D450</f>
        <v/>
      </c>
      <c r="L450" s="2">
        <f>J450&lt;I450</f>
        <v/>
      </c>
      <c r="M450" s="2" t="b">
        <v>1</v>
      </c>
      <c r="N450" s="2" t="b">
        <v>0</v>
      </c>
      <c r="O450" s="2" t="inlineStr">
        <is>
          <t>unknown</t>
        </is>
      </c>
      <c r="P450" s="2">
        <f>O450&lt;&gt;"unknown"</f>
        <v/>
      </c>
    </row>
    <row r="451">
      <c r="A451" s="2" t="inlineStr">
        <is>
          <t>1280-on</t>
        </is>
      </c>
      <c r="B451" s="2" t="n">
        <v>1280</v>
      </c>
      <c r="C451" s="2" t="inlineStr">
        <is>
          <t>on</t>
        </is>
      </c>
      <c r="D451" s="2" t="n">
        <v>1228</v>
      </c>
      <c r="E451" s="2" t="inlineStr">
        <is>
          <t>browser chrome150</t>
        </is>
      </c>
      <c r="F451" s="2" t="b">
        <v>1</v>
      </c>
      <c r="G451" s="2" t="n">
        <v>10</v>
      </c>
      <c r="H451" s="2" t="n">
        <v>1758</v>
      </c>
      <c r="I451" s="2" t="n">
        <v>1758</v>
      </c>
      <c r="J451" s="2" t="n">
        <v>1223</v>
      </c>
      <c r="K451" s="2">
        <f>H451+5&gt;D451</f>
        <v/>
      </c>
      <c r="L451" s="2">
        <f>J451&lt;I451</f>
        <v/>
      </c>
      <c r="M451" s="2" t="b">
        <v>1</v>
      </c>
      <c r="N451" s="2" t="b">
        <v>1</v>
      </c>
      <c r="O451" s="2" t="inlineStr">
        <is>
          <t>allow</t>
        </is>
      </c>
      <c r="P451" s="2">
        <f>O451&lt;&gt;"unknown"</f>
        <v/>
      </c>
    </row>
    <row r="452">
      <c r="A452" s="2" t="inlineStr">
        <is>
          <t>1280-on</t>
        </is>
      </c>
      <c r="B452" s="2" t="n">
        <v>1280</v>
      </c>
      <c r="C452" s="2" t="inlineStr">
        <is>
          <t>on</t>
        </is>
      </c>
      <c r="D452" s="2" t="n">
        <v>1228</v>
      </c>
      <c r="E452" s="2" t="inlineStr">
        <is>
          <t>browser chrome150</t>
        </is>
      </c>
      <c r="F452" s="2" t="b">
        <v>1</v>
      </c>
      <c r="G452" s="2" t="n">
        <v>11</v>
      </c>
      <c r="H452" s="2" t="n">
        <v>1758</v>
      </c>
      <c r="I452" s="2" t="n">
        <v>1758</v>
      </c>
      <c r="J452" s="2" t="n">
        <v>1223</v>
      </c>
      <c r="K452" s="2">
        <f>H452+5&gt;D452</f>
        <v/>
      </c>
      <c r="L452" s="2">
        <f>J452&lt;I452</f>
        <v/>
      </c>
      <c r="M452" s="2" t="b">
        <v>1</v>
      </c>
      <c r="N452" s="2" t="b">
        <v>0</v>
      </c>
      <c r="O452" s="2" t="inlineStr">
        <is>
          <t>unknown</t>
        </is>
      </c>
      <c r="P452" s="2">
        <f>O452&lt;&gt;"unknown"</f>
        <v/>
      </c>
    </row>
    <row r="453">
      <c r="A453" s="2" t="inlineStr">
        <is>
          <t>1280-on</t>
        </is>
      </c>
      <c r="B453" s="2" t="n">
        <v>1280</v>
      </c>
      <c r="C453" s="2" t="inlineStr">
        <is>
          <t>on</t>
        </is>
      </c>
      <c r="D453" s="2" t="n">
        <v>1228</v>
      </c>
      <c r="E453" s="2" t="inlineStr">
        <is>
          <t>browser chrome150</t>
        </is>
      </c>
      <c r="F453" s="2" t="b">
        <v>1</v>
      </c>
      <c r="G453" s="2" t="n">
        <v>12</v>
      </c>
      <c r="H453" s="2" t="n">
        <v>1758</v>
      </c>
      <c r="I453" s="2" t="n">
        <v>1758</v>
      </c>
      <c r="J453" s="2" t="n">
        <v>1223</v>
      </c>
      <c r="K453" s="2">
        <f>H453+5&gt;D453</f>
        <v/>
      </c>
      <c r="L453" s="2">
        <f>J453&lt;I453</f>
        <v/>
      </c>
      <c r="M453" s="2" t="b">
        <v>1</v>
      </c>
      <c r="N453" s="2" t="b">
        <v>1</v>
      </c>
      <c r="O453" s="2" t="inlineStr">
        <is>
          <t>allow</t>
        </is>
      </c>
      <c r="P453" s="2">
        <f>O453&lt;&gt;"unknown"</f>
        <v/>
      </c>
    </row>
    <row r="454">
      <c r="A454" s="2" t="inlineStr">
        <is>
          <t>1280-on</t>
        </is>
      </c>
      <c r="B454" s="2" t="n">
        <v>1280</v>
      </c>
      <c r="C454" s="2" t="inlineStr">
        <is>
          <t>on</t>
        </is>
      </c>
      <c r="D454" s="2" t="n">
        <v>1228</v>
      </c>
      <c r="E454" s="2" t="inlineStr">
        <is>
          <t>browser chrome150</t>
        </is>
      </c>
      <c r="F454" s="2" t="b">
        <v>1</v>
      </c>
      <c r="G454" s="2" t="n">
        <v>13</v>
      </c>
      <c r="H454" s="2" t="n">
        <v>1790</v>
      </c>
      <c r="I454" s="2" t="n">
        <v>1790</v>
      </c>
      <c r="J454" s="2" t="n">
        <v>1223</v>
      </c>
      <c r="K454" s="2">
        <f>H454+5&gt;D454</f>
        <v/>
      </c>
      <c r="L454" s="2">
        <f>J454&lt;I454</f>
        <v/>
      </c>
      <c r="M454" s="2" t="b">
        <v>1</v>
      </c>
      <c r="N454" s="2" t="b">
        <v>1</v>
      </c>
      <c r="O454" s="2" t="inlineStr">
        <is>
          <t>allow</t>
        </is>
      </c>
      <c r="P454" s="2">
        <f>O454&lt;&gt;"unknown"</f>
        <v/>
      </c>
    </row>
    <row r="455">
      <c r="A455" s="2" t="inlineStr">
        <is>
          <t>1280-on</t>
        </is>
      </c>
      <c r="B455" s="2" t="n">
        <v>1280</v>
      </c>
      <c r="C455" s="2" t="inlineStr">
        <is>
          <t>on</t>
        </is>
      </c>
      <c r="D455" s="2" t="n">
        <v>1228</v>
      </c>
      <c r="E455" s="2" t="inlineStr">
        <is>
          <t>browser chrome150</t>
        </is>
      </c>
      <c r="F455" s="2" t="b">
        <v>1</v>
      </c>
      <c r="G455" s="2" t="n">
        <v>14</v>
      </c>
      <c r="H455" s="2" t="n">
        <v>1726</v>
      </c>
      <c r="I455" s="2" t="n">
        <v>1726</v>
      </c>
      <c r="J455" s="2" t="n">
        <v>1223</v>
      </c>
      <c r="K455" s="2">
        <f>H455+5&gt;D455</f>
        <v/>
      </c>
      <c r="L455" s="2">
        <f>J455&lt;I455</f>
        <v/>
      </c>
      <c r="M455" s="2" t="b">
        <v>1</v>
      </c>
      <c r="N455" s="2" t="b">
        <v>1</v>
      </c>
      <c r="O455" s="2" t="inlineStr">
        <is>
          <t>allow</t>
        </is>
      </c>
      <c r="P455" s="2">
        <f>O455&lt;&gt;"unknown"</f>
        <v/>
      </c>
    </row>
    <row r="456">
      <c r="A456" s="2" t="inlineStr">
        <is>
          <t>1280-on</t>
        </is>
      </c>
      <c r="B456" s="2" t="n">
        <v>1280</v>
      </c>
      <c r="C456" s="2" t="inlineStr">
        <is>
          <t>on</t>
        </is>
      </c>
      <c r="D456" s="2" t="n">
        <v>1228</v>
      </c>
      <c r="E456" s="2" t="inlineStr">
        <is>
          <t>browser chrome150</t>
        </is>
      </c>
      <c r="F456" s="2" t="b">
        <v>1</v>
      </c>
      <c r="G456" s="2" t="n">
        <v>15</v>
      </c>
      <c r="H456" s="2" t="n">
        <v>1726</v>
      </c>
      <c r="I456" s="2" t="n">
        <v>1726</v>
      </c>
      <c r="J456" s="2" t="n">
        <v>1223</v>
      </c>
      <c r="K456" s="2">
        <f>H456+5&gt;D456</f>
        <v/>
      </c>
      <c r="L456" s="2">
        <f>J456&lt;I456</f>
        <v/>
      </c>
      <c r="M456" s="2" t="b">
        <v>1</v>
      </c>
      <c r="N456" s="2" t="b">
        <v>0</v>
      </c>
      <c r="O456" s="2" t="inlineStr">
        <is>
          <t>unknown</t>
        </is>
      </c>
      <c r="P456" s="2">
        <f>O456&lt;&gt;"unknown"</f>
        <v/>
      </c>
    </row>
    <row r="457">
      <c r="A457" s="2" t="inlineStr">
        <is>
          <t>1280-on</t>
        </is>
      </c>
      <c r="B457" s="2" t="n">
        <v>1280</v>
      </c>
      <c r="C457" s="2" t="inlineStr">
        <is>
          <t>on</t>
        </is>
      </c>
      <c r="D457" s="2" t="n">
        <v>1228</v>
      </c>
      <c r="E457" s="2" t="inlineStr">
        <is>
          <t>browser chrome150</t>
        </is>
      </c>
      <c r="F457" s="2" t="b">
        <v>1</v>
      </c>
      <c r="G457" s="2" t="n">
        <v>16</v>
      </c>
      <c r="H457" s="2" t="n">
        <v>1822</v>
      </c>
      <c r="I457" s="2" t="n">
        <v>1822</v>
      </c>
      <c r="J457" s="2" t="n">
        <v>1223</v>
      </c>
      <c r="K457" s="2">
        <f>H457+5&gt;D457</f>
        <v/>
      </c>
      <c r="L457" s="2">
        <f>J457&lt;I457</f>
        <v/>
      </c>
      <c r="M457" s="2" t="b">
        <v>1</v>
      </c>
      <c r="N457" s="2" t="b">
        <v>0</v>
      </c>
      <c r="O457" s="2" t="inlineStr">
        <is>
          <t>unknown</t>
        </is>
      </c>
      <c r="P457" s="2">
        <f>O457&lt;&gt;"unknown"</f>
        <v/>
      </c>
    </row>
    <row r="458">
      <c r="A458" s="2" t="inlineStr">
        <is>
          <t>1280-on</t>
        </is>
      </c>
      <c r="B458" s="2" t="n">
        <v>1280</v>
      </c>
      <c r="C458" s="2" t="inlineStr">
        <is>
          <t>on</t>
        </is>
      </c>
      <c r="D458" s="2" t="n">
        <v>1228</v>
      </c>
      <c r="E458" s="2" t="inlineStr">
        <is>
          <t>browser chrome150</t>
        </is>
      </c>
      <c r="F458" s="2" t="b">
        <v>1</v>
      </c>
      <c r="G458" s="2" t="n">
        <v>17</v>
      </c>
      <c r="H458" s="2" t="n">
        <v>1758</v>
      </c>
      <c r="I458" s="2" t="n">
        <v>1758</v>
      </c>
      <c r="J458" s="2" t="n">
        <v>1223</v>
      </c>
      <c r="K458" s="2">
        <f>H458+5&gt;D458</f>
        <v/>
      </c>
      <c r="L458" s="2">
        <f>J458&lt;I458</f>
        <v/>
      </c>
      <c r="M458" s="2" t="b">
        <v>1</v>
      </c>
      <c r="N458" s="2" t="b">
        <v>0</v>
      </c>
      <c r="O458" s="2" t="inlineStr">
        <is>
          <t>unknown</t>
        </is>
      </c>
      <c r="P458" s="2">
        <f>O458&lt;&gt;"unknown"</f>
        <v/>
      </c>
    </row>
    <row r="459">
      <c r="A459" s="2" t="inlineStr">
        <is>
          <t>1280-on</t>
        </is>
      </c>
      <c r="B459" s="2" t="n">
        <v>1280</v>
      </c>
      <c r="C459" s="2" t="inlineStr">
        <is>
          <t>on</t>
        </is>
      </c>
      <c r="D459" s="2" t="n">
        <v>1228</v>
      </c>
      <c r="E459" s="2" t="inlineStr">
        <is>
          <t>browser chrome150</t>
        </is>
      </c>
      <c r="F459" s="2" t="b">
        <v>1</v>
      </c>
      <c r="G459" s="2" t="n">
        <v>18</v>
      </c>
      <c r="H459" s="2" t="n">
        <v>1822</v>
      </c>
      <c r="I459" s="2" t="n">
        <v>1822</v>
      </c>
      <c r="J459" s="2" t="n">
        <v>1223</v>
      </c>
      <c r="K459" s="2">
        <f>H459+5&gt;D459</f>
        <v/>
      </c>
      <c r="L459" s="2">
        <f>J459&lt;I459</f>
        <v/>
      </c>
      <c r="M459" s="2" t="b">
        <v>1</v>
      </c>
      <c r="N459" s="2" t="b">
        <v>1</v>
      </c>
      <c r="O459" s="2" t="inlineStr">
        <is>
          <t>allow</t>
        </is>
      </c>
      <c r="P459" s="2">
        <f>O459&lt;&gt;"unknown"</f>
        <v/>
      </c>
    </row>
    <row r="460">
      <c r="A460" s="2" t="inlineStr">
        <is>
          <t>1280-on</t>
        </is>
      </c>
      <c r="B460" s="2" t="n">
        <v>1280</v>
      </c>
      <c r="C460" s="2" t="inlineStr">
        <is>
          <t>on</t>
        </is>
      </c>
      <c r="D460" s="2" t="n">
        <v>1228</v>
      </c>
      <c r="E460" s="2" t="inlineStr">
        <is>
          <t>browser chrome150</t>
        </is>
      </c>
      <c r="F460" s="2" t="b">
        <v>1</v>
      </c>
      <c r="G460" s="2" t="n">
        <v>19</v>
      </c>
      <c r="H460" s="2" t="n">
        <v>1758</v>
      </c>
      <c r="I460" s="2" t="n">
        <v>1758</v>
      </c>
      <c r="J460" s="2" t="n">
        <v>1223</v>
      </c>
      <c r="K460" s="2">
        <f>H460+5&gt;D460</f>
        <v/>
      </c>
      <c r="L460" s="2">
        <f>J460&lt;I460</f>
        <v/>
      </c>
      <c r="M460" s="2" t="b">
        <v>1</v>
      </c>
      <c r="N460" s="2" t="b">
        <v>0</v>
      </c>
      <c r="O460" s="2" t="inlineStr">
        <is>
          <t>unknown</t>
        </is>
      </c>
      <c r="P460" s="2">
        <f>O460&lt;&gt;"unknown"</f>
        <v/>
      </c>
    </row>
    <row r="461">
      <c r="A461" s="2" t="inlineStr">
        <is>
          <t>1280-on</t>
        </is>
      </c>
      <c r="B461" s="2" t="n">
        <v>1280</v>
      </c>
      <c r="C461" s="2" t="inlineStr">
        <is>
          <t>on</t>
        </is>
      </c>
      <c r="D461" s="2" t="n">
        <v>1228</v>
      </c>
      <c r="E461" s="2" t="inlineStr">
        <is>
          <t>browser chrome150</t>
        </is>
      </c>
      <c r="F461" s="2" t="b">
        <v>1</v>
      </c>
      <c r="G461" s="2" t="n">
        <v>20</v>
      </c>
      <c r="H461" s="2" t="n">
        <v>1758</v>
      </c>
      <c r="I461" s="2" t="n">
        <v>1758</v>
      </c>
      <c r="J461" s="2" t="n">
        <v>1223</v>
      </c>
      <c r="K461" s="2">
        <f>H461+5&gt;D461</f>
        <v/>
      </c>
      <c r="L461" s="2">
        <f>J461&lt;I461</f>
        <v/>
      </c>
      <c r="M461" s="2" t="b">
        <v>1</v>
      </c>
      <c r="N461" s="2" t="b">
        <v>0</v>
      </c>
      <c r="O461" s="2" t="inlineStr">
        <is>
          <t>unknown</t>
        </is>
      </c>
      <c r="P461" s="2">
        <f>O461&lt;&gt;"unknown"</f>
        <v/>
      </c>
    </row>
    <row r="462">
      <c r="A462" s="2" t="inlineStr">
        <is>
          <t>1280-on</t>
        </is>
      </c>
      <c r="B462" s="2" t="n">
        <v>1280</v>
      </c>
      <c r="C462" s="2" t="inlineStr">
        <is>
          <t>on</t>
        </is>
      </c>
      <c r="D462" s="2" t="n">
        <v>1228</v>
      </c>
      <c r="E462" s="2" t="inlineStr">
        <is>
          <t>browser edge101</t>
        </is>
      </c>
      <c r="F462" s="2" t="b">
        <v>0</v>
      </c>
      <c r="G462" s="2" t="n">
        <v>1</v>
      </c>
      <c r="H462" s="2" t="n">
        <v>512</v>
      </c>
      <c r="I462" s="2" t="n">
        <v>512</v>
      </c>
      <c r="J462" s="2" t="n">
        <v>512</v>
      </c>
      <c r="K462" s="2">
        <f>H462+5&gt;D462</f>
        <v/>
      </c>
      <c r="L462" s="2">
        <f>J462&lt;I462</f>
        <v/>
      </c>
      <c r="M462" s="2" t="b">
        <v>1</v>
      </c>
      <c r="N462" s="2" t="b">
        <v>1</v>
      </c>
      <c r="O462" s="2" t="inlineStr">
        <is>
          <t>allow</t>
        </is>
      </c>
      <c r="P462" s="2">
        <f>O462&lt;&gt;"unknown"</f>
        <v/>
      </c>
    </row>
    <row r="463">
      <c r="A463" s="2" t="inlineStr">
        <is>
          <t>1280-on</t>
        </is>
      </c>
      <c r="B463" s="2" t="n">
        <v>1280</v>
      </c>
      <c r="C463" s="2" t="inlineStr">
        <is>
          <t>on</t>
        </is>
      </c>
      <c r="D463" s="2" t="n">
        <v>1228</v>
      </c>
      <c r="E463" s="2" t="inlineStr">
        <is>
          <t>browser edge101</t>
        </is>
      </c>
      <c r="F463" s="2" t="b">
        <v>0</v>
      </c>
      <c r="G463" s="2" t="n">
        <v>2</v>
      </c>
      <c r="H463" s="2" t="n">
        <v>512</v>
      </c>
      <c r="I463" s="2" t="n">
        <v>512</v>
      </c>
      <c r="J463" s="2" t="n">
        <v>512</v>
      </c>
      <c r="K463" s="2">
        <f>H463+5&gt;D463</f>
        <v/>
      </c>
      <c r="L463" s="2">
        <f>J463&lt;I463</f>
        <v/>
      </c>
      <c r="M463" s="2" t="b">
        <v>1</v>
      </c>
      <c r="N463" s="2" t="b">
        <v>1</v>
      </c>
      <c r="O463" s="2" t="inlineStr">
        <is>
          <t>allow</t>
        </is>
      </c>
      <c r="P463" s="2">
        <f>O463&lt;&gt;"unknown"</f>
        <v/>
      </c>
    </row>
    <row r="464">
      <c r="A464" s="2" t="inlineStr">
        <is>
          <t>1280-on</t>
        </is>
      </c>
      <c r="B464" s="2" t="n">
        <v>1280</v>
      </c>
      <c r="C464" s="2" t="inlineStr">
        <is>
          <t>on</t>
        </is>
      </c>
      <c r="D464" s="2" t="n">
        <v>1228</v>
      </c>
      <c r="E464" s="2" t="inlineStr">
        <is>
          <t>browser edge101</t>
        </is>
      </c>
      <c r="F464" s="2" t="b">
        <v>0</v>
      </c>
      <c r="G464" s="2" t="n">
        <v>3</v>
      </c>
      <c r="H464" s="2" t="n">
        <v>512</v>
      </c>
      <c r="I464" s="2" t="n">
        <v>512</v>
      </c>
      <c r="J464" s="2" t="n">
        <v>512</v>
      </c>
      <c r="K464" s="2">
        <f>H464+5&gt;D464</f>
        <v/>
      </c>
      <c r="L464" s="2">
        <f>J464&lt;I464</f>
        <v/>
      </c>
      <c r="M464" s="2" t="b">
        <v>1</v>
      </c>
      <c r="N464" s="2" t="b">
        <v>1</v>
      </c>
      <c r="O464" s="2" t="inlineStr">
        <is>
          <t>allow</t>
        </is>
      </c>
      <c r="P464" s="2">
        <f>O464&lt;&gt;"unknown"</f>
        <v/>
      </c>
    </row>
    <row r="465">
      <c r="A465" s="2" t="inlineStr">
        <is>
          <t>1280-on</t>
        </is>
      </c>
      <c r="B465" s="2" t="n">
        <v>1280</v>
      </c>
      <c r="C465" s="2" t="inlineStr">
        <is>
          <t>on</t>
        </is>
      </c>
      <c r="D465" s="2" t="n">
        <v>1228</v>
      </c>
      <c r="E465" s="2" t="inlineStr">
        <is>
          <t>browser edge101</t>
        </is>
      </c>
      <c r="F465" s="2" t="b">
        <v>0</v>
      </c>
      <c r="G465" s="2" t="n">
        <v>4</v>
      </c>
      <c r="H465" s="2" t="n">
        <v>512</v>
      </c>
      <c r="I465" s="2" t="n">
        <v>512</v>
      </c>
      <c r="J465" s="2" t="n">
        <v>512</v>
      </c>
      <c r="K465" s="2">
        <f>H465+5&gt;D465</f>
        <v/>
      </c>
      <c r="L465" s="2">
        <f>J465&lt;I465</f>
        <v/>
      </c>
      <c r="M465" s="2" t="b">
        <v>1</v>
      </c>
      <c r="N465" s="2" t="b">
        <v>1</v>
      </c>
      <c r="O465" s="2" t="inlineStr">
        <is>
          <t>allow</t>
        </is>
      </c>
      <c r="P465" s="2">
        <f>O465&lt;&gt;"unknown"</f>
        <v/>
      </c>
    </row>
    <row r="466">
      <c r="A466" s="2" t="inlineStr">
        <is>
          <t>1280-on</t>
        </is>
      </c>
      <c r="B466" s="2" t="n">
        <v>1280</v>
      </c>
      <c r="C466" s="2" t="inlineStr">
        <is>
          <t>on</t>
        </is>
      </c>
      <c r="D466" s="2" t="n">
        <v>1228</v>
      </c>
      <c r="E466" s="2" t="inlineStr">
        <is>
          <t>browser edge101</t>
        </is>
      </c>
      <c r="F466" s="2" t="b">
        <v>0</v>
      </c>
      <c r="G466" s="2" t="n">
        <v>5</v>
      </c>
      <c r="H466" s="2" t="n">
        <v>512</v>
      </c>
      <c r="I466" s="2" t="n">
        <v>512</v>
      </c>
      <c r="J466" s="2" t="n">
        <v>512</v>
      </c>
      <c r="K466" s="2">
        <f>H466+5&gt;D466</f>
        <v/>
      </c>
      <c r="L466" s="2">
        <f>J466&lt;I466</f>
        <v/>
      </c>
      <c r="M466" s="2" t="b">
        <v>1</v>
      </c>
      <c r="N466" s="2" t="b">
        <v>1</v>
      </c>
      <c r="O466" s="2" t="inlineStr">
        <is>
          <t>allow</t>
        </is>
      </c>
      <c r="P466" s="2">
        <f>O466&lt;&gt;"unknown"</f>
        <v/>
      </c>
    </row>
    <row r="467">
      <c r="A467" s="2" t="inlineStr">
        <is>
          <t>1280-on</t>
        </is>
      </c>
      <c r="B467" s="2" t="n">
        <v>1280</v>
      </c>
      <c r="C467" s="2" t="inlineStr">
        <is>
          <t>on</t>
        </is>
      </c>
      <c r="D467" s="2" t="n">
        <v>1228</v>
      </c>
      <c r="E467" s="2" t="inlineStr">
        <is>
          <t>browser edge101</t>
        </is>
      </c>
      <c r="F467" s="2" t="b">
        <v>0</v>
      </c>
      <c r="G467" s="2" t="n">
        <v>6</v>
      </c>
      <c r="H467" s="2" t="n">
        <v>512</v>
      </c>
      <c r="I467" s="2" t="n">
        <v>512</v>
      </c>
      <c r="J467" s="2" t="n">
        <v>512</v>
      </c>
      <c r="K467" s="2">
        <f>H467+5&gt;D467</f>
        <v/>
      </c>
      <c r="L467" s="2">
        <f>J467&lt;I467</f>
        <v/>
      </c>
      <c r="M467" s="2" t="b">
        <v>1</v>
      </c>
      <c r="N467" s="2" t="b">
        <v>1</v>
      </c>
      <c r="O467" s="2" t="inlineStr">
        <is>
          <t>allow</t>
        </is>
      </c>
      <c r="P467" s="2">
        <f>O467&lt;&gt;"unknown"</f>
        <v/>
      </c>
    </row>
    <row r="468">
      <c r="A468" s="2" t="inlineStr">
        <is>
          <t>1280-on</t>
        </is>
      </c>
      <c r="B468" s="2" t="n">
        <v>1280</v>
      </c>
      <c r="C468" s="2" t="inlineStr">
        <is>
          <t>on</t>
        </is>
      </c>
      <c r="D468" s="2" t="n">
        <v>1228</v>
      </c>
      <c r="E468" s="2" t="inlineStr">
        <is>
          <t>browser edge101</t>
        </is>
      </c>
      <c r="F468" s="2" t="b">
        <v>0</v>
      </c>
      <c r="G468" s="2" t="n">
        <v>7</v>
      </c>
      <c r="H468" s="2" t="n">
        <v>512</v>
      </c>
      <c r="I468" s="2" t="n">
        <v>512</v>
      </c>
      <c r="J468" s="2" t="n">
        <v>512</v>
      </c>
      <c r="K468" s="2">
        <f>H468+5&gt;D468</f>
        <v/>
      </c>
      <c r="L468" s="2">
        <f>J468&lt;I468</f>
        <v/>
      </c>
      <c r="M468" s="2" t="b">
        <v>1</v>
      </c>
      <c r="N468" s="2" t="b">
        <v>1</v>
      </c>
      <c r="O468" s="2" t="inlineStr">
        <is>
          <t>allow</t>
        </is>
      </c>
      <c r="P468" s="2">
        <f>O468&lt;&gt;"unknown"</f>
        <v/>
      </c>
    </row>
    <row r="469">
      <c r="A469" s="2" t="inlineStr">
        <is>
          <t>1280-on</t>
        </is>
      </c>
      <c r="B469" s="2" t="n">
        <v>1280</v>
      </c>
      <c r="C469" s="2" t="inlineStr">
        <is>
          <t>on</t>
        </is>
      </c>
      <c r="D469" s="2" t="n">
        <v>1228</v>
      </c>
      <c r="E469" s="2" t="inlineStr">
        <is>
          <t>browser edge101</t>
        </is>
      </c>
      <c r="F469" s="2" t="b">
        <v>0</v>
      </c>
      <c r="G469" s="2" t="n">
        <v>8</v>
      </c>
      <c r="H469" s="2" t="n">
        <v>512</v>
      </c>
      <c r="I469" s="2" t="n">
        <v>512</v>
      </c>
      <c r="J469" s="2" t="n">
        <v>512</v>
      </c>
      <c r="K469" s="2">
        <f>H469+5&gt;D469</f>
        <v/>
      </c>
      <c r="L469" s="2">
        <f>J469&lt;I469</f>
        <v/>
      </c>
      <c r="M469" s="2" t="b">
        <v>1</v>
      </c>
      <c r="N469" s="2" t="b">
        <v>1</v>
      </c>
      <c r="O469" s="2" t="inlineStr">
        <is>
          <t>allow</t>
        </is>
      </c>
      <c r="P469" s="2">
        <f>O469&lt;&gt;"unknown"</f>
        <v/>
      </c>
    </row>
    <row r="470">
      <c r="A470" s="2" t="inlineStr">
        <is>
          <t>1280-on</t>
        </is>
      </c>
      <c r="B470" s="2" t="n">
        <v>1280</v>
      </c>
      <c r="C470" s="2" t="inlineStr">
        <is>
          <t>on</t>
        </is>
      </c>
      <c r="D470" s="2" t="n">
        <v>1228</v>
      </c>
      <c r="E470" s="2" t="inlineStr">
        <is>
          <t>browser edge101</t>
        </is>
      </c>
      <c r="F470" s="2" t="b">
        <v>0</v>
      </c>
      <c r="G470" s="2" t="n">
        <v>9</v>
      </c>
      <c r="H470" s="2" t="n">
        <v>512</v>
      </c>
      <c r="I470" s="2" t="n">
        <v>512</v>
      </c>
      <c r="J470" s="2" t="n">
        <v>512</v>
      </c>
      <c r="K470" s="2">
        <f>H470+5&gt;D470</f>
        <v/>
      </c>
      <c r="L470" s="2">
        <f>J470&lt;I470</f>
        <v/>
      </c>
      <c r="M470" s="2" t="b">
        <v>1</v>
      </c>
      <c r="N470" s="2" t="b">
        <v>1</v>
      </c>
      <c r="O470" s="2" t="inlineStr">
        <is>
          <t>allow</t>
        </is>
      </c>
      <c r="P470" s="2">
        <f>O470&lt;&gt;"unknown"</f>
        <v/>
      </c>
    </row>
    <row r="471">
      <c r="A471" s="2" t="inlineStr">
        <is>
          <t>1280-on</t>
        </is>
      </c>
      <c r="B471" s="2" t="n">
        <v>1280</v>
      </c>
      <c r="C471" s="2" t="inlineStr">
        <is>
          <t>on</t>
        </is>
      </c>
      <c r="D471" s="2" t="n">
        <v>1228</v>
      </c>
      <c r="E471" s="2" t="inlineStr">
        <is>
          <t>browser edge101</t>
        </is>
      </c>
      <c r="F471" s="2" t="b">
        <v>0</v>
      </c>
      <c r="G471" s="2" t="n">
        <v>10</v>
      </c>
      <c r="H471" s="2" t="n">
        <v>512</v>
      </c>
      <c r="I471" s="2" t="n">
        <v>512</v>
      </c>
      <c r="J471" s="2" t="n">
        <v>512</v>
      </c>
      <c r="K471" s="2">
        <f>H471+5&gt;D471</f>
        <v/>
      </c>
      <c r="L471" s="2">
        <f>J471&lt;I471</f>
        <v/>
      </c>
      <c r="M471" s="2" t="b">
        <v>1</v>
      </c>
      <c r="N471" s="2" t="b">
        <v>1</v>
      </c>
      <c r="O471" s="2" t="inlineStr">
        <is>
          <t>allow</t>
        </is>
      </c>
      <c r="P471" s="2">
        <f>O471&lt;&gt;"unknown"</f>
        <v/>
      </c>
    </row>
    <row r="472">
      <c r="A472" s="2" t="inlineStr">
        <is>
          <t>1280-on</t>
        </is>
      </c>
      <c r="B472" s="2" t="n">
        <v>1280</v>
      </c>
      <c r="C472" s="2" t="inlineStr">
        <is>
          <t>on</t>
        </is>
      </c>
      <c r="D472" s="2" t="n">
        <v>1228</v>
      </c>
      <c r="E472" s="2" t="inlineStr">
        <is>
          <t>browser edge101</t>
        </is>
      </c>
      <c r="F472" s="2" t="b">
        <v>0</v>
      </c>
      <c r="G472" s="2" t="n">
        <v>11</v>
      </c>
      <c r="H472" s="2" t="n">
        <v>512</v>
      </c>
      <c r="I472" s="2" t="n">
        <v>512</v>
      </c>
      <c r="J472" s="2" t="n">
        <v>512</v>
      </c>
      <c r="K472" s="2">
        <f>H472+5&gt;D472</f>
        <v/>
      </c>
      <c r="L472" s="2">
        <f>J472&lt;I472</f>
        <v/>
      </c>
      <c r="M472" s="2" t="b">
        <v>1</v>
      </c>
      <c r="N472" s="2" t="b">
        <v>1</v>
      </c>
      <c r="O472" s="2" t="inlineStr">
        <is>
          <t>allow</t>
        </is>
      </c>
      <c r="P472" s="2">
        <f>O472&lt;&gt;"unknown"</f>
        <v/>
      </c>
    </row>
    <row r="473">
      <c r="A473" s="2" t="inlineStr">
        <is>
          <t>1280-on</t>
        </is>
      </c>
      <c r="B473" s="2" t="n">
        <v>1280</v>
      </c>
      <c r="C473" s="2" t="inlineStr">
        <is>
          <t>on</t>
        </is>
      </c>
      <c r="D473" s="2" t="n">
        <v>1228</v>
      </c>
      <c r="E473" s="2" t="inlineStr">
        <is>
          <t>browser edge101</t>
        </is>
      </c>
      <c r="F473" s="2" t="b">
        <v>0</v>
      </c>
      <c r="G473" s="2" t="n">
        <v>12</v>
      </c>
      <c r="H473" s="2" t="n">
        <v>512</v>
      </c>
      <c r="I473" s="2" t="n">
        <v>512</v>
      </c>
      <c r="J473" s="2" t="n">
        <v>512</v>
      </c>
      <c r="K473" s="2">
        <f>H473+5&gt;D473</f>
        <v/>
      </c>
      <c r="L473" s="2">
        <f>J473&lt;I473</f>
        <v/>
      </c>
      <c r="M473" s="2" t="b">
        <v>1</v>
      </c>
      <c r="N473" s="2" t="b">
        <v>1</v>
      </c>
      <c r="O473" s="2" t="inlineStr">
        <is>
          <t>allow</t>
        </is>
      </c>
      <c r="P473" s="2">
        <f>O473&lt;&gt;"unknown"</f>
        <v/>
      </c>
    </row>
    <row r="474">
      <c r="A474" s="2" t="inlineStr">
        <is>
          <t>1280-on</t>
        </is>
      </c>
      <c r="B474" s="2" t="n">
        <v>1280</v>
      </c>
      <c r="C474" s="2" t="inlineStr">
        <is>
          <t>on</t>
        </is>
      </c>
      <c r="D474" s="2" t="n">
        <v>1228</v>
      </c>
      <c r="E474" s="2" t="inlineStr">
        <is>
          <t>browser edge101</t>
        </is>
      </c>
      <c r="F474" s="2" t="b">
        <v>0</v>
      </c>
      <c r="G474" s="2" t="n">
        <v>13</v>
      </c>
      <c r="H474" s="2" t="n">
        <v>512</v>
      </c>
      <c r="I474" s="2" t="n">
        <v>512</v>
      </c>
      <c r="J474" s="2" t="n">
        <v>512</v>
      </c>
      <c r="K474" s="2">
        <f>H474+5&gt;D474</f>
        <v/>
      </c>
      <c r="L474" s="2">
        <f>J474&lt;I474</f>
        <v/>
      </c>
      <c r="M474" s="2" t="b">
        <v>1</v>
      </c>
      <c r="N474" s="2" t="b">
        <v>1</v>
      </c>
      <c r="O474" s="2" t="inlineStr">
        <is>
          <t>allow</t>
        </is>
      </c>
      <c r="P474" s="2">
        <f>O474&lt;&gt;"unknown"</f>
        <v/>
      </c>
    </row>
    <row r="475">
      <c r="A475" s="2" t="inlineStr">
        <is>
          <t>1280-on</t>
        </is>
      </c>
      <c r="B475" s="2" t="n">
        <v>1280</v>
      </c>
      <c r="C475" s="2" t="inlineStr">
        <is>
          <t>on</t>
        </is>
      </c>
      <c r="D475" s="2" t="n">
        <v>1228</v>
      </c>
      <c r="E475" s="2" t="inlineStr">
        <is>
          <t>browser edge101</t>
        </is>
      </c>
      <c r="F475" s="2" t="b">
        <v>0</v>
      </c>
      <c r="G475" s="2" t="n">
        <v>14</v>
      </c>
      <c r="H475" s="2" t="n">
        <v>512</v>
      </c>
      <c r="I475" s="2" t="n">
        <v>512</v>
      </c>
      <c r="J475" s="2" t="n">
        <v>512</v>
      </c>
      <c r="K475" s="2">
        <f>H475+5&gt;D475</f>
        <v/>
      </c>
      <c r="L475" s="2">
        <f>J475&lt;I475</f>
        <v/>
      </c>
      <c r="M475" s="2" t="b">
        <v>1</v>
      </c>
      <c r="N475" s="2" t="b">
        <v>1</v>
      </c>
      <c r="O475" s="2" t="inlineStr">
        <is>
          <t>allow</t>
        </is>
      </c>
      <c r="P475" s="2">
        <f>O475&lt;&gt;"unknown"</f>
        <v/>
      </c>
    </row>
    <row r="476">
      <c r="A476" s="2" t="inlineStr">
        <is>
          <t>1280-on</t>
        </is>
      </c>
      <c r="B476" s="2" t="n">
        <v>1280</v>
      </c>
      <c r="C476" s="2" t="inlineStr">
        <is>
          <t>on</t>
        </is>
      </c>
      <c r="D476" s="2" t="n">
        <v>1228</v>
      </c>
      <c r="E476" s="2" t="inlineStr">
        <is>
          <t>browser edge101</t>
        </is>
      </c>
      <c r="F476" s="2" t="b">
        <v>0</v>
      </c>
      <c r="G476" s="2" t="n">
        <v>15</v>
      </c>
      <c r="H476" s="2" t="n">
        <v>512</v>
      </c>
      <c r="I476" s="2" t="n">
        <v>512</v>
      </c>
      <c r="J476" s="2" t="n">
        <v>512</v>
      </c>
      <c r="K476" s="2">
        <f>H476+5&gt;D476</f>
        <v/>
      </c>
      <c r="L476" s="2">
        <f>J476&lt;I476</f>
        <v/>
      </c>
      <c r="M476" s="2" t="b">
        <v>1</v>
      </c>
      <c r="N476" s="2" t="b">
        <v>1</v>
      </c>
      <c r="O476" s="2" t="inlineStr">
        <is>
          <t>allow</t>
        </is>
      </c>
      <c r="P476" s="2">
        <f>O476&lt;&gt;"unknown"</f>
        <v/>
      </c>
    </row>
    <row r="477">
      <c r="A477" s="2" t="inlineStr">
        <is>
          <t>1280-on</t>
        </is>
      </c>
      <c r="B477" s="2" t="n">
        <v>1280</v>
      </c>
      <c r="C477" s="2" t="inlineStr">
        <is>
          <t>on</t>
        </is>
      </c>
      <c r="D477" s="2" t="n">
        <v>1228</v>
      </c>
      <c r="E477" s="2" t="inlineStr">
        <is>
          <t>browser edge101</t>
        </is>
      </c>
      <c r="F477" s="2" t="b">
        <v>0</v>
      </c>
      <c r="G477" s="2" t="n">
        <v>16</v>
      </c>
      <c r="H477" s="2" t="n">
        <v>512</v>
      </c>
      <c r="I477" s="2" t="n">
        <v>512</v>
      </c>
      <c r="J477" s="2" t="n">
        <v>512</v>
      </c>
      <c r="K477" s="2">
        <f>H477+5&gt;D477</f>
        <v/>
      </c>
      <c r="L477" s="2">
        <f>J477&lt;I477</f>
        <v/>
      </c>
      <c r="M477" s="2" t="b">
        <v>1</v>
      </c>
      <c r="N477" s="2" t="b">
        <v>1</v>
      </c>
      <c r="O477" s="2" t="inlineStr">
        <is>
          <t>allow</t>
        </is>
      </c>
      <c r="P477" s="2">
        <f>O477&lt;&gt;"unknown"</f>
        <v/>
      </c>
    </row>
    <row r="478">
      <c r="A478" s="2" t="inlineStr">
        <is>
          <t>1280-on</t>
        </is>
      </c>
      <c r="B478" s="2" t="n">
        <v>1280</v>
      </c>
      <c r="C478" s="2" t="inlineStr">
        <is>
          <t>on</t>
        </is>
      </c>
      <c r="D478" s="2" t="n">
        <v>1228</v>
      </c>
      <c r="E478" s="2" t="inlineStr">
        <is>
          <t>browser edge101</t>
        </is>
      </c>
      <c r="F478" s="2" t="b">
        <v>0</v>
      </c>
      <c r="G478" s="2" t="n">
        <v>17</v>
      </c>
      <c r="H478" s="2" t="n">
        <v>512</v>
      </c>
      <c r="I478" s="2" t="n">
        <v>512</v>
      </c>
      <c r="J478" s="2" t="n">
        <v>512</v>
      </c>
      <c r="K478" s="2">
        <f>H478+5&gt;D478</f>
        <v/>
      </c>
      <c r="L478" s="2">
        <f>J478&lt;I478</f>
        <v/>
      </c>
      <c r="M478" s="2" t="b">
        <v>1</v>
      </c>
      <c r="N478" s="2" t="b">
        <v>1</v>
      </c>
      <c r="O478" s="2" t="inlineStr">
        <is>
          <t>allow</t>
        </is>
      </c>
      <c r="P478" s="2">
        <f>O478&lt;&gt;"unknown"</f>
        <v/>
      </c>
    </row>
    <row r="479">
      <c r="A479" s="2" t="inlineStr">
        <is>
          <t>1280-on</t>
        </is>
      </c>
      <c r="B479" s="2" t="n">
        <v>1280</v>
      </c>
      <c r="C479" s="2" t="inlineStr">
        <is>
          <t>on</t>
        </is>
      </c>
      <c r="D479" s="2" t="n">
        <v>1228</v>
      </c>
      <c r="E479" s="2" t="inlineStr">
        <is>
          <t>browser edge101</t>
        </is>
      </c>
      <c r="F479" s="2" t="b">
        <v>0</v>
      </c>
      <c r="G479" s="2" t="n">
        <v>18</v>
      </c>
      <c r="H479" s="2" t="n">
        <v>512</v>
      </c>
      <c r="I479" s="2" t="n">
        <v>512</v>
      </c>
      <c r="J479" s="2" t="n">
        <v>512</v>
      </c>
      <c r="K479" s="2">
        <f>H479+5&gt;D479</f>
        <v/>
      </c>
      <c r="L479" s="2">
        <f>J479&lt;I479</f>
        <v/>
      </c>
      <c r="M479" s="2" t="b">
        <v>1</v>
      </c>
      <c r="N479" s="2" t="b">
        <v>1</v>
      </c>
      <c r="O479" s="2" t="inlineStr">
        <is>
          <t>allow</t>
        </is>
      </c>
      <c r="P479" s="2">
        <f>O479&lt;&gt;"unknown"</f>
        <v/>
      </c>
    </row>
    <row r="480">
      <c r="A480" s="2" t="inlineStr">
        <is>
          <t>1280-on</t>
        </is>
      </c>
      <c r="B480" s="2" t="n">
        <v>1280</v>
      </c>
      <c r="C480" s="2" t="inlineStr">
        <is>
          <t>on</t>
        </is>
      </c>
      <c r="D480" s="2" t="n">
        <v>1228</v>
      </c>
      <c r="E480" s="2" t="inlineStr">
        <is>
          <t>browser edge101</t>
        </is>
      </c>
      <c r="F480" s="2" t="b">
        <v>0</v>
      </c>
      <c r="G480" s="2" t="n">
        <v>19</v>
      </c>
      <c r="H480" s="2" t="n">
        <v>512</v>
      </c>
      <c r="I480" s="2" t="n">
        <v>512</v>
      </c>
      <c r="J480" s="2" t="n">
        <v>512</v>
      </c>
      <c r="K480" s="2">
        <f>H480+5&gt;D480</f>
        <v/>
      </c>
      <c r="L480" s="2">
        <f>J480&lt;I480</f>
        <v/>
      </c>
      <c r="M480" s="2" t="b">
        <v>1</v>
      </c>
      <c r="N480" s="2" t="b">
        <v>1</v>
      </c>
      <c r="O480" s="2" t="inlineStr">
        <is>
          <t>allow</t>
        </is>
      </c>
      <c r="P480" s="2">
        <f>O480&lt;&gt;"unknown"</f>
        <v/>
      </c>
    </row>
    <row r="481">
      <c r="A481" s="2" t="inlineStr">
        <is>
          <t>1280-on</t>
        </is>
      </c>
      <c r="B481" s="2" t="n">
        <v>1280</v>
      </c>
      <c r="C481" s="2" t="inlineStr">
        <is>
          <t>on</t>
        </is>
      </c>
      <c r="D481" s="2" t="n">
        <v>1228</v>
      </c>
      <c r="E481" s="2" t="inlineStr">
        <is>
          <t>browser edge101</t>
        </is>
      </c>
      <c r="F481" s="2" t="b">
        <v>0</v>
      </c>
      <c r="G481" s="2" t="n">
        <v>20</v>
      </c>
      <c r="H481" s="2" t="n">
        <v>512</v>
      </c>
      <c r="I481" s="2" t="n">
        <v>512</v>
      </c>
      <c r="J481" s="2" t="n">
        <v>512</v>
      </c>
      <c r="K481" s="2">
        <f>H481+5&gt;D481</f>
        <v/>
      </c>
      <c r="L481" s="2">
        <f>J481&lt;I481</f>
        <v/>
      </c>
      <c r="M481" s="2" t="b">
        <v>1</v>
      </c>
      <c r="N481" s="2" t="b">
        <v>1</v>
      </c>
      <c r="O481" s="2" t="inlineStr">
        <is>
          <t>allow</t>
        </is>
      </c>
      <c r="P481" s="2">
        <f>O481&lt;&gt;"unknown"</f>
        <v/>
      </c>
    </row>
    <row r="482">
      <c r="A482" s="2" t="inlineStr">
        <is>
          <t>1280-on</t>
        </is>
      </c>
      <c r="B482" s="2" t="n">
        <v>1280</v>
      </c>
      <c r="C482" s="2" t="inlineStr">
        <is>
          <t>on</t>
        </is>
      </c>
      <c r="D482" s="2" t="n">
        <v>1228</v>
      </c>
      <c r="E482" s="2" t="inlineStr">
        <is>
          <t>browser firefox133</t>
        </is>
      </c>
      <c r="F482" s="2" t="b">
        <v>1</v>
      </c>
      <c r="G482" s="2" t="n">
        <v>1</v>
      </c>
      <c r="H482" s="2" t="n">
        <v>1796</v>
      </c>
      <c r="I482" s="2" t="n">
        <v>1796</v>
      </c>
      <c r="J482" s="2" t="n">
        <v>1223</v>
      </c>
      <c r="K482" s="2">
        <f>H482+5&gt;D482</f>
        <v/>
      </c>
      <c r="L482" s="2">
        <f>J482&lt;I482</f>
        <v/>
      </c>
      <c r="M482" s="2" t="b">
        <v>1</v>
      </c>
      <c r="N482" s="2" t="b">
        <v>0</v>
      </c>
      <c r="O482" s="2" t="inlineStr">
        <is>
          <t>unknown</t>
        </is>
      </c>
      <c r="P482" s="2">
        <f>O482&lt;&gt;"unknown"</f>
        <v/>
      </c>
    </row>
    <row r="483">
      <c r="A483" s="2" t="inlineStr">
        <is>
          <t>1280-on</t>
        </is>
      </c>
      <c r="B483" s="2" t="n">
        <v>1280</v>
      </c>
      <c r="C483" s="2" t="inlineStr">
        <is>
          <t>on</t>
        </is>
      </c>
      <c r="D483" s="2" t="n">
        <v>1228</v>
      </c>
      <c r="E483" s="2" t="inlineStr">
        <is>
          <t>browser firefox133</t>
        </is>
      </c>
      <c r="F483" s="2" t="b">
        <v>1</v>
      </c>
      <c r="G483" s="2" t="n">
        <v>2</v>
      </c>
      <c r="H483" s="2" t="n">
        <v>1828</v>
      </c>
      <c r="I483" s="2" t="n">
        <v>1828</v>
      </c>
      <c r="J483" s="2" t="n">
        <v>1223</v>
      </c>
      <c r="K483" s="2">
        <f>H483+5&gt;D483</f>
        <v/>
      </c>
      <c r="L483" s="2">
        <f>J483&lt;I483</f>
        <v/>
      </c>
      <c r="M483" s="2" t="b">
        <v>1</v>
      </c>
      <c r="N483" s="2" t="b">
        <v>0</v>
      </c>
      <c r="O483" s="2" t="inlineStr">
        <is>
          <t>unknown</t>
        </is>
      </c>
      <c r="P483" s="2">
        <f>O483&lt;&gt;"unknown"</f>
        <v/>
      </c>
    </row>
    <row r="484">
      <c r="A484" s="2" t="inlineStr">
        <is>
          <t>1280-on</t>
        </is>
      </c>
      <c r="B484" s="2" t="n">
        <v>1280</v>
      </c>
      <c r="C484" s="2" t="inlineStr">
        <is>
          <t>on</t>
        </is>
      </c>
      <c r="D484" s="2" t="n">
        <v>1228</v>
      </c>
      <c r="E484" s="2" t="inlineStr">
        <is>
          <t>browser firefox133</t>
        </is>
      </c>
      <c r="F484" s="2" t="b">
        <v>1</v>
      </c>
      <c r="G484" s="2" t="n">
        <v>3</v>
      </c>
      <c r="H484" s="2" t="n">
        <v>1828</v>
      </c>
      <c r="I484" s="2" t="n">
        <v>1828</v>
      </c>
      <c r="J484" s="2" t="n">
        <v>1223</v>
      </c>
      <c r="K484" s="2">
        <f>H484+5&gt;D484</f>
        <v/>
      </c>
      <c r="L484" s="2">
        <f>J484&lt;I484</f>
        <v/>
      </c>
      <c r="M484" s="2" t="b">
        <v>1</v>
      </c>
      <c r="N484" s="2" t="b">
        <v>0</v>
      </c>
      <c r="O484" s="2" t="inlineStr">
        <is>
          <t>unknown</t>
        </is>
      </c>
      <c r="P484" s="2">
        <f>O484&lt;&gt;"unknown"</f>
        <v/>
      </c>
    </row>
    <row r="485">
      <c r="A485" s="2" t="inlineStr">
        <is>
          <t>1280-on</t>
        </is>
      </c>
      <c r="B485" s="2" t="n">
        <v>1280</v>
      </c>
      <c r="C485" s="2" t="inlineStr">
        <is>
          <t>on</t>
        </is>
      </c>
      <c r="D485" s="2" t="n">
        <v>1228</v>
      </c>
      <c r="E485" s="2" t="inlineStr">
        <is>
          <t>browser firefox133</t>
        </is>
      </c>
      <c r="F485" s="2" t="b">
        <v>1</v>
      </c>
      <c r="G485" s="2" t="n">
        <v>4</v>
      </c>
      <c r="H485" s="2" t="n">
        <v>1796</v>
      </c>
      <c r="I485" s="2" t="n">
        <v>1796</v>
      </c>
      <c r="J485" s="2" t="n">
        <v>1223</v>
      </c>
      <c r="K485" s="2">
        <f>H485+5&gt;D485</f>
        <v/>
      </c>
      <c r="L485" s="2">
        <f>J485&lt;I485</f>
        <v/>
      </c>
      <c r="M485" s="2" t="b">
        <v>1</v>
      </c>
      <c r="N485" s="2" t="b">
        <v>0</v>
      </c>
      <c r="O485" s="2" t="inlineStr">
        <is>
          <t>unknown</t>
        </is>
      </c>
      <c r="P485" s="2">
        <f>O485&lt;&gt;"unknown"</f>
        <v/>
      </c>
    </row>
    <row r="486">
      <c r="A486" s="2" t="inlineStr">
        <is>
          <t>1280-on</t>
        </is>
      </c>
      <c r="B486" s="2" t="n">
        <v>1280</v>
      </c>
      <c r="C486" s="2" t="inlineStr">
        <is>
          <t>on</t>
        </is>
      </c>
      <c r="D486" s="2" t="n">
        <v>1228</v>
      </c>
      <c r="E486" s="2" t="inlineStr">
        <is>
          <t>browser firefox133</t>
        </is>
      </c>
      <c r="F486" s="2" t="b">
        <v>1</v>
      </c>
      <c r="G486" s="2" t="n">
        <v>5</v>
      </c>
      <c r="H486" s="2" t="n">
        <v>1860</v>
      </c>
      <c r="I486" s="2" t="n">
        <v>1860</v>
      </c>
      <c r="J486" s="2" t="n">
        <v>1223</v>
      </c>
      <c r="K486" s="2">
        <f>H486+5&gt;D486</f>
        <v/>
      </c>
      <c r="L486" s="2">
        <f>J486&lt;I486</f>
        <v/>
      </c>
      <c r="M486" s="2" t="b">
        <v>1</v>
      </c>
      <c r="N486" s="2" t="b">
        <v>0</v>
      </c>
      <c r="O486" s="2" t="inlineStr">
        <is>
          <t>unknown</t>
        </is>
      </c>
      <c r="P486" s="2">
        <f>O486&lt;&gt;"unknown"</f>
        <v/>
      </c>
    </row>
    <row r="487">
      <c r="A487" s="2" t="inlineStr">
        <is>
          <t>1280-on</t>
        </is>
      </c>
      <c r="B487" s="2" t="n">
        <v>1280</v>
      </c>
      <c r="C487" s="2" t="inlineStr">
        <is>
          <t>on</t>
        </is>
      </c>
      <c r="D487" s="2" t="n">
        <v>1228</v>
      </c>
      <c r="E487" s="2" t="inlineStr">
        <is>
          <t>browser firefox133</t>
        </is>
      </c>
      <c r="F487" s="2" t="b">
        <v>1</v>
      </c>
      <c r="G487" s="2" t="n">
        <v>6</v>
      </c>
      <c r="H487" s="2" t="n">
        <v>1828</v>
      </c>
      <c r="I487" s="2" t="n">
        <v>1828</v>
      </c>
      <c r="J487" s="2" t="n">
        <v>1223</v>
      </c>
      <c r="K487" s="2">
        <f>H487+5&gt;D487</f>
        <v/>
      </c>
      <c r="L487" s="2">
        <f>J487&lt;I487</f>
        <v/>
      </c>
      <c r="M487" s="2" t="b">
        <v>1</v>
      </c>
      <c r="N487" s="2" t="b">
        <v>0</v>
      </c>
      <c r="O487" s="2" t="inlineStr">
        <is>
          <t>unknown</t>
        </is>
      </c>
      <c r="P487" s="2">
        <f>O487&lt;&gt;"unknown"</f>
        <v/>
      </c>
    </row>
    <row r="488">
      <c r="A488" s="2" t="inlineStr">
        <is>
          <t>1280-on</t>
        </is>
      </c>
      <c r="B488" s="2" t="n">
        <v>1280</v>
      </c>
      <c r="C488" s="2" t="inlineStr">
        <is>
          <t>on</t>
        </is>
      </c>
      <c r="D488" s="2" t="n">
        <v>1228</v>
      </c>
      <c r="E488" s="2" t="inlineStr">
        <is>
          <t>browser firefox133</t>
        </is>
      </c>
      <c r="F488" s="2" t="b">
        <v>1</v>
      </c>
      <c r="G488" s="2" t="n">
        <v>7</v>
      </c>
      <c r="H488" s="2" t="n">
        <v>1796</v>
      </c>
      <c r="I488" s="2" t="n">
        <v>1796</v>
      </c>
      <c r="J488" s="2" t="n">
        <v>1223</v>
      </c>
      <c r="K488" s="2">
        <f>H488+5&gt;D488</f>
        <v/>
      </c>
      <c r="L488" s="2">
        <f>J488&lt;I488</f>
        <v/>
      </c>
      <c r="M488" s="2" t="b">
        <v>1</v>
      </c>
      <c r="N488" s="2" t="b">
        <v>0</v>
      </c>
      <c r="O488" s="2" t="inlineStr">
        <is>
          <t>unknown</t>
        </is>
      </c>
      <c r="P488" s="2">
        <f>O488&lt;&gt;"unknown"</f>
        <v/>
      </c>
    </row>
    <row r="489">
      <c r="A489" s="2" t="inlineStr">
        <is>
          <t>1280-on</t>
        </is>
      </c>
      <c r="B489" s="2" t="n">
        <v>1280</v>
      </c>
      <c r="C489" s="2" t="inlineStr">
        <is>
          <t>on</t>
        </is>
      </c>
      <c r="D489" s="2" t="n">
        <v>1228</v>
      </c>
      <c r="E489" s="2" t="inlineStr">
        <is>
          <t>browser firefox133</t>
        </is>
      </c>
      <c r="F489" s="2" t="b">
        <v>1</v>
      </c>
      <c r="G489" s="2" t="n">
        <v>8</v>
      </c>
      <c r="H489" s="2" t="n">
        <v>1828</v>
      </c>
      <c r="I489" s="2" t="n">
        <v>1828</v>
      </c>
      <c r="J489" s="2" t="n">
        <v>1223</v>
      </c>
      <c r="K489" s="2">
        <f>H489+5&gt;D489</f>
        <v/>
      </c>
      <c r="L489" s="2">
        <f>J489&lt;I489</f>
        <v/>
      </c>
      <c r="M489" s="2" t="b">
        <v>1</v>
      </c>
      <c r="N489" s="2" t="b">
        <v>0</v>
      </c>
      <c r="O489" s="2" t="inlineStr">
        <is>
          <t>unknown</t>
        </is>
      </c>
      <c r="P489" s="2">
        <f>O489&lt;&gt;"unknown"</f>
        <v/>
      </c>
    </row>
    <row r="490">
      <c r="A490" s="2" t="inlineStr">
        <is>
          <t>1280-on</t>
        </is>
      </c>
      <c r="B490" s="2" t="n">
        <v>1280</v>
      </c>
      <c r="C490" s="2" t="inlineStr">
        <is>
          <t>on</t>
        </is>
      </c>
      <c r="D490" s="2" t="n">
        <v>1228</v>
      </c>
      <c r="E490" s="2" t="inlineStr">
        <is>
          <t>browser firefox133</t>
        </is>
      </c>
      <c r="F490" s="2" t="b">
        <v>1</v>
      </c>
      <c r="G490" s="2" t="n">
        <v>9</v>
      </c>
      <c r="H490" s="2" t="n">
        <v>1828</v>
      </c>
      <c r="I490" s="2" t="n">
        <v>1828</v>
      </c>
      <c r="J490" s="2" t="n">
        <v>1223</v>
      </c>
      <c r="K490" s="2">
        <f>H490+5&gt;D490</f>
        <v/>
      </c>
      <c r="L490" s="2">
        <f>J490&lt;I490</f>
        <v/>
      </c>
      <c r="M490" s="2" t="b">
        <v>1</v>
      </c>
      <c r="N490" s="2" t="b">
        <v>0</v>
      </c>
      <c r="O490" s="2" t="inlineStr">
        <is>
          <t>unknown</t>
        </is>
      </c>
      <c r="P490" s="2">
        <f>O490&lt;&gt;"unknown"</f>
        <v/>
      </c>
    </row>
    <row r="491">
      <c r="A491" s="2" t="inlineStr">
        <is>
          <t>1280-on</t>
        </is>
      </c>
      <c r="B491" s="2" t="n">
        <v>1280</v>
      </c>
      <c r="C491" s="2" t="inlineStr">
        <is>
          <t>on</t>
        </is>
      </c>
      <c r="D491" s="2" t="n">
        <v>1228</v>
      </c>
      <c r="E491" s="2" t="inlineStr">
        <is>
          <t>browser firefox133</t>
        </is>
      </c>
      <c r="F491" s="2" t="b">
        <v>1</v>
      </c>
      <c r="G491" s="2" t="n">
        <v>10</v>
      </c>
      <c r="H491" s="2" t="n">
        <v>1796</v>
      </c>
      <c r="I491" s="2" t="n">
        <v>1796</v>
      </c>
      <c r="J491" s="2" t="n">
        <v>1223</v>
      </c>
      <c r="K491" s="2">
        <f>H491+5&gt;D491</f>
        <v/>
      </c>
      <c r="L491" s="2">
        <f>J491&lt;I491</f>
        <v/>
      </c>
      <c r="M491" s="2" t="b">
        <v>1</v>
      </c>
      <c r="N491" s="2" t="b">
        <v>0</v>
      </c>
      <c r="O491" s="2" t="inlineStr">
        <is>
          <t>unknown</t>
        </is>
      </c>
      <c r="P491" s="2">
        <f>O491&lt;&gt;"unknown"</f>
        <v/>
      </c>
    </row>
    <row r="492">
      <c r="A492" s="2" t="inlineStr">
        <is>
          <t>1280-on</t>
        </is>
      </c>
      <c r="B492" s="2" t="n">
        <v>1280</v>
      </c>
      <c r="C492" s="2" t="inlineStr">
        <is>
          <t>on</t>
        </is>
      </c>
      <c r="D492" s="2" t="n">
        <v>1228</v>
      </c>
      <c r="E492" s="2" t="inlineStr">
        <is>
          <t>browser firefox133</t>
        </is>
      </c>
      <c r="F492" s="2" t="b">
        <v>1</v>
      </c>
      <c r="G492" s="2" t="n">
        <v>11</v>
      </c>
      <c r="H492" s="2" t="n">
        <v>1828</v>
      </c>
      <c r="I492" s="2" t="n">
        <v>1828</v>
      </c>
      <c r="J492" s="2" t="n">
        <v>1223</v>
      </c>
      <c r="K492" s="2">
        <f>H492+5&gt;D492</f>
        <v/>
      </c>
      <c r="L492" s="2">
        <f>J492&lt;I492</f>
        <v/>
      </c>
      <c r="M492" s="2" t="b">
        <v>1</v>
      </c>
      <c r="N492" s="2" t="b">
        <v>0</v>
      </c>
      <c r="O492" s="2" t="inlineStr">
        <is>
          <t>unknown</t>
        </is>
      </c>
      <c r="P492" s="2">
        <f>O492&lt;&gt;"unknown"</f>
        <v/>
      </c>
    </row>
    <row r="493">
      <c r="A493" s="2" t="inlineStr">
        <is>
          <t>1280-on</t>
        </is>
      </c>
      <c r="B493" s="2" t="n">
        <v>1280</v>
      </c>
      <c r="C493" s="2" t="inlineStr">
        <is>
          <t>on</t>
        </is>
      </c>
      <c r="D493" s="2" t="n">
        <v>1228</v>
      </c>
      <c r="E493" s="2" t="inlineStr">
        <is>
          <t>browser firefox133</t>
        </is>
      </c>
      <c r="F493" s="2" t="b">
        <v>1</v>
      </c>
      <c r="G493" s="2" t="n">
        <v>12</v>
      </c>
      <c r="H493" s="2" t="n">
        <v>1796</v>
      </c>
      <c r="I493" s="2" t="n">
        <v>1796</v>
      </c>
      <c r="J493" s="2" t="n">
        <v>1223</v>
      </c>
      <c r="K493" s="2">
        <f>H493+5&gt;D493</f>
        <v/>
      </c>
      <c r="L493" s="2">
        <f>J493&lt;I493</f>
        <v/>
      </c>
      <c r="M493" s="2" t="b">
        <v>1</v>
      </c>
      <c r="N493" s="2" t="b">
        <v>0</v>
      </c>
      <c r="O493" s="2" t="inlineStr">
        <is>
          <t>unknown</t>
        </is>
      </c>
      <c r="P493" s="2">
        <f>O493&lt;&gt;"unknown"</f>
        <v/>
      </c>
    </row>
    <row r="494">
      <c r="A494" s="2" t="inlineStr">
        <is>
          <t>1280-on</t>
        </is>
      </c>
      <c r="B494" s="2" t="n">
        <v>1280</v>
      </c>
      <c r="C494" s="2" t="inlineStr">
        <is>
          <t>on</t>
        </is>
      </c>
      <c r="D494" s="2" t="n">
        <v>1228</v>
      </c>
      <c r="E494" s="2" t="inlineStr">
        <is>
          <t>browser firefox133</t>
        </is>
      </c>
      <c r="F494" s="2" t="b">
        <v>1</v>
      </c>
      <c r="G494" s="2" t="n">
        <v>13</v>
      </c>
      <c r="H494" s="2" t="n">
        <v>1860</v>
      </c>
      <c r="I494" s="2" t="n">
        <v>1860</v>
      </c>
      <c r="J494" s="2" t="n">
        <v>1223</v>
      </c>
      <c r="K494" s="2">
        <f>H494+5&gt;D494</f>
        <v/>
      </c>
      <c r="L494" s="2">
        <f>J494&lt;I494</f>
        <v/>
      </c>
      <c r="M494" s="2" t="b">
        <v>1</v>
      </c>
      <c r="N494" s="2" t="b">
        <v>0</v>
      </c>
      <c r="O494" s="2" t="inlineStr">
        <is>
          <t>unknown</t>
        </is>
      </c>
      <c r="P494" s="2">
        <f>O494&lt;&gt;"unknown"</f>
        <v/>
      </c>
    </row>
    <row r="495">
      <c r="A495" s="2" t="inlineStr">
        <is>
          <t>1280-on</t>
        </is>
      </c>
      <c r="B495" s="2" t="n">
        <v>1280</v>
      </c>
      <c r="C495" s="2" t="inlineStr">
        <is>
          <t>on</t>
        </is>
      </c>
      <c r="D495" s="2" t="n">
        <v>1228</v>
      </c>
      <c r="E495" s="2" t="inlineStr">
        <is>
          <t>browser firefox133</t>
        </is>
      </c>
      <c r="F495" s="2" t="b">
        <v>1</v>
      </c>
      <c r="G495" s="2" t="n">
        <v>14</v>
      </c>
      <c r="H495" s="2" t="n">
        <v>1796</v>
      </c>
      <c r="I495" s="2" t="n">
        <v>1796</v>
      </c>
      <c r="J495" s="2" t="n">
        <v>1223</v>
      </c>
      <c r="K495" s="2">
        <f>H495+5&gt;D495</f>
        <v/>
      </c>
      <c r="L495" s="2">
        <f>J495&lt;I495</f>
        <v/>
      </c>
      <c r="M495" s="2" t="b">
        <v>1</v>
      </c>
      <c r="N495" s="2" t="b">
        <v>0</v>
      </c>
      <c r="O495" s="2" t="inlineStr">
        <is>
          <t>unknown</t>
        </is>
      </c>
      <c r="P495" s="2">
        <f>O495&lt;&gt;"unknown"</f>
        <v/>
      </c>
    </row>
    <row r="496">
      <c r="A496" s="2" t="inlineStr">
        <is>
          <t>1280-on</t>
        </is>
      </c>
      <c r="B496" s="2" t="n">
        <v>1280</v>
      </c>
      <c r="C496" s="2" t="inlineStr">
        <is>
          <t>on</t>
        </is>
      </c>
      <c r="D496" s="2" t="n">
        <v>1228</v>
      </c>
      <c r="E496" s="2" t="inlineStr">
        <is>
          <t>browser firefox133</t>
        </is>
      </c>
      <c r="F496" s="2" t="b">
        <v>1</v>
      </c>
      <c r="G496" s="2" t="n">
        <v>15</v>
      </c>
      <c r="H496" s="2" t="n">
        <v>1892</v>
      </c>
      <c r="I496" s="2" t="n">
        <v>1892</v>
      </c>
      <c r="J496" s="2" t="n">
        <v>1223</v>
      </c>
      <c r="K496" s="2">
        <f>H496+5&gt;D496</f>
        <v/>
      </c>
      <c r="L496" s="2">
        <f>J496&lt;I496</f>
        <v/>
      </c>
      <c r="M496" s="2" t="b">
        <v>1</v>
      </c>
      <c r="N496" s="2" t="b">
        <v>0</v>
      </c>
      <c r="O496" s="2" t="inlineStr">
        <is>
          <t>unknown</t>
        </is>
      </c>
      <c r="P496" s="2">
        <f>O496&lt;&gt;"unknown"</f>
        <v/>
      </c>
    </row>
    <row r="497">
      <c r="A497" s="2" t="inlineStr">
        <is>
          <t>1280-on</t>
        </is>
      </c>
      <c r="B497" s="2" t="n">
        <v>1280</v>
      </c>
      <c r="C497" s="2" t="inlineStr">
        <is>
          <t>on</t>
        </is>
      </c>
      <c r="D497" s="2" t="n">
        <v>1228</v>
      </c>
      <c r="E497" s="2" t="inlineStr">
        <is>
          <t>browser firefox133</t>
        </is>
      </c>
      <c r="F497" s="2" t="b">
        <v>1</v>
      </c>
      <c r="G497" s="2" t="n">
        <v>16</v>
      </c>
      <c r="H497" s="2" t="n">
        <v>1796</v>
      </c>
      <c r="I497" s="2" t="n">
        <v>1796</v>
      </c>
      <c r="J497" s="2" t="n">
        <v>1223</v>
      </c>
      <c r="K497" s="2">
        <f>H497+5&gt;D497</f>
        <v/>
      </c>
      <c r="L497" s="2">
        <f>J497&lt;I497</f>
        <v/>
      </c>
      <c r="M497" s="2" t="b">
        <v>1</v>
      </c>
      <c r="N497" s="2" t="b">
        <v>0</v>
      </c>
      <c r="O497" s="2" t="inlineStr">
        <is>
          <t>unknown</t>
        </is>
      </c>
      <c r="P497" s="2">
        <f>O497&lt;&gt;"unknown"</f>
        <v/>
      </c>
    </row>
    <row r="498">
      <c r="A498" s="2" t="inlineStr">
        <is>
          <t>1280-on</t>
        </is>
      </c>
      <c r="B498" s="2" t="n">
        <v>1280</v>
      </c>
      <c r="C498" s="2" t="inlineStr">
        <is>
          <t>on</t>
        </is>
      </c>
      <c r="D498" s="2" t="n">
        <v>1228</v>
      </c>
      <c r="E498" s="2" t="inlineStr">
        <is>
          <t>browser firefox133</t>
        </is>
      </c>
      <c r="F498" s="2" t="b">
        <v>1</v>
      </c>
      <c r="G498" s="2" t="n">
        <v>17</v>
      </c>
      <c r="H498" s="2" t="n">
        <v>1828</v>
      </c>
      <c r="I498" s="2" t="n">
        <v>1828</v>
      </c>
      <c r="J498" s="2" t="n">
        <v>1223</v>
      </c>
      <c r="K498" s="2">
        <f>H498+5&gt;D498</f>
        <v/>
      </c>
      <c r="L498" s="2">
        <f>J498&lt;I498</f>
        <v/>
      </c>
      <c r="M498" s="2" t="b">
        <v>1</v>
      </c>
      <c r="N498" s="2" t="b">
        <v>0</v>
      </c>
      <c r="O498" s="2" t="inlineStr">
        <is>
          <t>unknown</t>
        </is>
      </c>
      <c r="P498" s="2">
        <f>O498&lt;&gt;"unknown"</f>
        <v/>
      </c>
    </row>
    <row r="499">
      <c r="A499" s="2" t="inlineStr">
        <is>
          <t>1280-on</t>
        </is>
      </c>
      <c r="B499" s="2" t="n">
        <v>1280</v>
      </c>
      <c r="C499" s="2" t="inlineStr">
        <is>
          <t>on</t>
        </is>
      </c>
      <c r="D499" s="2" t="n">
        <v>1228</v>
      </c>
      <c r="E499" s="2" t="inlineStr">
        <is>
          <t>browser firefox133</t>
        </is>
      </c>
      <c r="F499" s="2" t="b">
        <v>1</v>
      </c>
      <c r="G499" s="2" t="n">
        <v>18</v>
      </c>
      <c r="H499" s="2" t="n">
        <v>1828</v>
      </c>
      <c r="I499" s="2" t="n">
        <v>1828</v>
      </c>
      <c r="J499" s="2" t="n">
        <v>1223</v>
      </c>
      <c r="K499" s="2">
        <f>H499+5&gt;D499</f>
        <v/>
      </c>
      <c r="L499" s="2">
        <f>J499&lt;I499</f>
        <v/>
      </c>
      <c r="M499" s="2" t="b">
        <v>1</v>
      </c>
      <c r="N499" s="2" t="b">
        <v>0</v>
      </c>
      <c r="O499" s="2" t="inlineStr">
        <is>
          <t>unknown</t>
        </is>
      </c>
      <c r="P499" s="2">
        <f>O499&lt;&gt;"unknown"</f>
        <v/>
      </c>
    </row>
    <row r="500">
      <c r="A500" s="2" t="inlineStr">
        <is>
          <t>1280-on</t>
        </is>
      </c>
      <c r="B500" s="2" t="n">
        <v>1280</v>
      </c>
      <c r="C500" s="2" t="inlineStr">
        <is>
          <t>on</t>
        </is>
      </c>
      <c r="D500" s="2" t="n">
        <v>1228</v>
      </c>
      <c r="E500" s="2" t="inlineStr">
        <is>
          <t>browser firefox133</t>
        </is>
      </c>
      <c r="F500" s="2" t="b">
        <v>1</v>
      </c>
      <c r="G500" s="2" t="n">
        <v>19</v>
      </c>
      <c r="H500" s="2" t="n">
        <v>1860</v>
      </c>
      <c r="I500" s="2" t="n">
        <v>1860</v>
      </c>
      <c r="J500" s="2" t="n">
        <v>1223</v>
      </c>
      <c r="K500" s="2">
        <f>H500+5&gt;D500</f>
        <v/>
      </c>
      <c r="L500" s="2">
        <f>J500&lt;I500</f>
        <v/>
      </c>
      <c r="M500" s="2" t="b">
        <v>1</v>
      </c>
      <c r="N500" s="2" t="b">
        <v>0</v>
      </c>
      <c r="O500" s="2" t="inlineStr">
        <is>
          <t>unknown</t>
        </is>
      </c>
      <c r="P500" s="2">
        <f>O500&lt;&gt;"unknown"</f>
        <v/>
      </c>
    </row>
    <row r="501">
      <c r="A501" s="2" t="inlineStr">
        <is>
          <t>1280-on</t>
        </is>
      </c>
      <c r="B501" s="2" t="n">
        <v>1280</v>
      </c>
      <c r="C501" s="2" t="inlineStr">
        <is>
          <t>on</t>
        </is>
      </c>
      <c r="D501" s="2" t="n">
        <v>1228</v>
      </c>
      <c r="E501" s="2" t="inlineStr">
        <is>
          <t>browser firefox133</t>
        </is>
      </c>
      <c r="F501" s="2" t="b">
        <v>1</v>
      </c>
      <c r="G501" s="2" t="n">
        <v>20</v>
      </c>
      <c r="H501" s="2" t="n">
        <v>1892</v>
      </c>
      <c r="I501" s="2" t="n">
        <v>1892</v>
      </c>
      <c r="J501" s="2" t="n">
        <v>1223</v>
      </c>
      <c r="K501" s="2">
        <f>H501+5&gt;D501</f>
        <v/>
      </c>
      <c r="L501" s="2">
        <f>J501&lt;I501</f>
        <v/>
      </c>
      <c r="M501" s="2" t="b">
        <v>1</v>
      </c>
      <c r="N501" s="2" t="b">
        <v>0</v>
      </c>
      <c r="O501" s="2" t="inlineStr">
        <is>
          <t>unknown</t>
        </is>
      </c>
      <c r="P501" s="2">
        <f>O501&lt;&gt;"unknown"</f>
        <v/>
      </c>
    </row>
    <row r="502">
      <c r="A502" s="2" t="inlineStr">
        <is>
          <t>1280-on</t>
        </is>
      </c>
      <c r="B502" s="2" t="n">
        <v>1280</v>
      </c>
      <c r="C502" s="2" t="inlineStr">
        <is>
          <t>on</t>
        </is>
      </c>
      <c r="D502" s="2" t="n">
        <v>1228</v>
      </c>
      <c r="E502" s="2" t="inlineStr">
        <is>
          <t>browser firefox147</t>
        </is>
      </c>
      <c r="F502" s="2" t="b">
        <v>1</v>
      </c>
      <c r="G502" s="2" t="n">
        <v>1</v>
      </c>
      <c r="H502" s="2" t="n">
        <v>1800</v>
      </c>
      <c r="I502" s="2" t="n">
        <v>1800</v>
      </c>
      <c r="J502" s="2" t="n">
        <v>1223</v>
      </c>
      <c r="K502" s="2">
        <f>H502+5&gt;D502</f>
        <v/>
      </c>
      <c r="L502" s="2">
        <f>J502&lt;I502</f>
        <v/>
      </c>
      <c r="M502" s="2" t="b">
        <v>1</v>
      </c>
      <c r="N502" s="2" t="b">
        <v>0</v>
      </c>
      <c r="O502" s="2" t="inlineStr">
        <is>
          <t>unknown</t>
        </is>
      </c>
      <c r="P502" s="2">
        <f>O502&lt;&gt;"unknown"</f>
        <v/>
      </c>
    </row>
    <row r="503">
      <c r="A503" s="2" t="inlineStr">
        <is>
          <t>1280-on</t>
        </is>
      </c>
      <c r="B503" s="2" t="n">
        <v>1280</v>
      </c>
      <c r="C503" s="2" t="inlineStr">
        <is>
          <t>on</t>
        </is>
      </c>
      <c r="D503" s="2" t="n">
        <v>1228</v>
      </c>
      <c r="E503" s="2" t="inlineStr">
        <is>
          <t>browser firefox147</t>
        </is>
      </c>
      <c r="F503" s="2" t="b">
        <v>1</v>
      </c>
      <c r="G503" s="2" t="n">
        <v>2</v>
      </c>
      <c r="H503" s="2" t="n">
        <v>1864</v>
      </c>
      <c r="I503" s="2" t="n">
        <v>1864</v>
      </c>
      <c r="J503" s="2" t="n">
        <v>1223</v>
      </c>
      <c r="K503" s="2">
        <f>H503+5&gt;D503</f>
        <v/>
      </c>
      <c r="L503" s="2">
        <f>J503&lt;I503</f>
        <v/>
      </c>
      <c r="M503" s="2" t="b">
        <v>1</v>
      </c>
      <c r="N503" s="2" t="b">
        <v>0</v>
      </c>
      <c r="O503" s="2" t="inlineStr">
        <is>
          <t>unknown</t>
        </is>
      </c>
      <c r="P503" s="2">
        <f>O503&lt;&gt;"unknown"</f>
        <v/>
      </c>
    </row>
    <row r="504">
      <c r="A504" s="2" t="inlineStr">
        <is>
          <t>1280-on</t>
        </is>
      </c>
      <c r="B504" s="2" t="n">
        <v>1280</v>
      </c>
      <c r="C504" s="2" t="inlineStr">
        <is>
          <t>on</t>
        </is>
      </c>
      <c r="D504" s="2" t="n">
        <v>1228</v>
      </c>
      <c r="E504" s="2" t="inlineStr">
        <is>
          <t>browser firefox147</t>
        </is>
      </c>
      <c r="F504" s="2" t="b">
        <v>1</v>
      </c>
      <c r="G504" s="2" t="n">
        <v>3</v>
      </c>
      <c r="H504" s="2" t="n">
        <v>1800</v>
      </c>
      <c r="I504" s="2" t="n">
        <v>1800</v>
      </c>
      <c r="J504" s="2" t="n">
        <v>1223</v>
      </c>
      <c r="K504" s="2">
        <f>H504+5&gt;D504</f>
        <v/>
      </c>
      <c r="L504" s="2">
        <f>J504&lt;I504</f>
        <v/>
      </c>
      <c r="M504" s="2" t="b">
        <v>1</v>
      </c>
      <c r="N504" s="2" t="b">
        <v>0</v>
      </c>
      <c r="O504" s="2" t="inlineStr">
        <is>
          <t>unknown</t>
        </is>
      </c>
      <c r="P504" s="2">
        <f>O504&lt;&gt;"unknown"</f>
        <v/>
      </c>
    </row>
    <row r="505">
      <c r="A505" s="2" t="inlineStr">
        <is>
          <t>1280-on</t>
        </is>
      </c>
      <c r="B505" s="2" t="n">
        <v>1280</v>
      </c>
      <c r="C505" s="2" t="inlineStr">
        <is>
          <t>on</t>
        </is>
      </c>
      <c r="D505" s="2" t="n">
        <v>1228</v>
      </c>
      <c r="E505" s="2" t="inlineStr">
        <is>
          <t>browser firefox147</t>
        </is>
      </c>
      <c r="F505" s="2" t="b">
        <v>1</v>
      </c>
      <c r="G505" s="2" t="n">
        <v>4</v>
      </c>
      <c r="H505" s="2" t="n">
        <v>1832</v>
      </c>
      <c r="I505" s="2" t="n">
        <v>1832</v>
      </c>
      <c r="J505" s="2" t="n">
        <v>1223</v>
      </c>
      <c r="K505" s="2">
        <f>H505+5&gt;D505</f>
        <v/>
      </c>
      <c r="L505" s="2">
        <f>J505&lt;I505</f>
        <v/>
      </c>
      <c r="M505" s="2" t="b">
        <v>1</v>
      </c>
      <c r="N505" s="2" t="b">
        <v>0</v>
      </c>
      <c r="O505" s="2" t="inlineStr">
        <is>
          <t>unknown</t>
        </is>
      </c>
      <c r="P505" s="2">
        <f>O505&lt;&gt;"unknown"</f>
        <v/>
      </c>
    </row>
    <row r="506">
      <c r="A506" s="2" t="inlineStr">
        <is>
          <t>1280-on</t>
        </is>
      </c>
      <c r="B506" s="2" t="n">
        <v>1280</v>
      </c>
      <c r="C506" s="2" t="inlineStr">
        <is>
          <t>on</t>
        </is>
      </c>
      <c r="D506" s="2" t="n">
        <v>1228</v>
      </c>
      <c r="E506" s="2" t="inlineStr">
        <is>
          <t>browser firefox147</t>
        </is>
      </c>
      <c r="F506" s="2" t="b">
        <v>1</v>
      </c>
      <c r="G506" s="2" t="n">
        <v>5</v>
      </c>
      <c r="H506" s="2" t="n">
        <v>1896</v>
      </c>
      <c r="I506" s="2" t="n">
        <v>1896</v>
      </c>
      <c r="J506" s="2" t="n">
        <v>1223</v>
      </c>
      <c r="K506" s="2">
        <f>H506+5&gt;D506</f>
        <v/>
      </c>
      <c r="L506" s="2">
        <f>J506&lt;I506</f>
        <v/>
      </c>
      <c r="M506" s="2" t="b">
        <v>1</v>
      </c>
      <c r="N506" s="2" t="b">
        <v>0</v>
      </c>
      <c r="O506" s="2" t="inlineStr">
        <is>
          <t>unknown</t>
        </is>
      </c>
      <c r="P506" s="2">
        <f>O506&lt;&gt;"unknown"</f>
        <v/>
      </c>
    </row>
    <row r="507">
      <c r="A507" s="2" t="inlineStr">
        <is>
          <t>1280-on</t>
        </is>
      </c>
      <c r="B507" s="2" t="n">
        <v>1280</v>
      </c>
      <c r="C507" s="2" t="inlineStr">
        <is>
          <t>on</t>
        </is>
      </c>
      <c r="D507" s="2" t="n">
        <v>1228</v>
      </c>
      <c r="E507" s="2" t="inlineStr">
        <is>
          <t>browser firefox147</t>
        </is>
      </c>
      <c r="F507" s="2" t="b">
        <v>1</v>
      </c>
      <c r="G507" s="2" t="n">
        <v>6</v>
      </c>
      <c r="H507" s="2" t="n">
        <v>1800</v>
      </c>
      <c r="I507" s="2" t="n">
        <v>1800</v>
      </c>
      <c r="J507" s="2" t="n">
        <v>1223</v>
      </c>
      <c r="K507" s="2">
        <f>H507+5&gt;D507</f>
        <v/>
      </c>
      <c r="L507" s="2">
        <f>J507&lt;I507</f>
        <v/>
      </c>
      <c r="M507" s="2" t="b">
        <v>1</v>
      </c>
      <c r="N507" s="2" t="b">
        <v>0</v>
      </c>
      <c r="O507" s="2" t="inlineStr">
        <is>
          <t>unknown</t>
        </is>
      </c>
      <c r="P507" s="2">
        <f>O507&lt;&gt;"unknown"</f>
        <v/>
      </c>
    </row>
    <row r="508">
      <c r="A508" s="2" t="inlineStr">
        <is>
          <t>1280-on</t>
        </is>
      </c>
      <c r="B508" s="2" t="n">
        <v>1280</v>
      </c>
      <c r="C508" s="2" t="inlineStr">
        <is>
          <t>on</t>
        </is>
      </c>
      <c r="D508" s="2" t="n">
        <v>1228</v>
      </c>
      <c r="E508" s="2" t="inlineStr">
        <is>
          <t>browser firefox147</t>
        </is>
      </c>
      <c r="F508" s="2" t="b">
        <v>1</v>
      </c>
      <c r="G508" s="2" t="n">
        <v>7</v>
      </c>
      <c r="H508" s="2" t="n">
        <v>1864</v>
      </c>
      <c r="I508" s="2" t="n">
        <v>1864</v>
      </c>
      <c r="J508" s="2" t="n">
        <v>1223</v>
      </c>
      <c r="K508" s="2">
        <f>H508+5&gt;D508</f>
        <v/>
      </c>
      <c r="L508" s="2">
        <f>J508&lt;I508</f>
        <v/>
      </c>
      <c r="M508" s="2" t="b">
        <v>1</v>
      </c>
      <c r="N508" s="2" t="b">
        <v>0</v>
      </c>
      <c r="O508" s="2" t="inlineStr">
        <is>
          <t>unknown</t>
        </is>
      </c>
      <c r="P508" s="2">
        <f>O508&lt;&gt;"unknown"</f>
        <v/>
      </c>
    </row>
    <row r="509">
      <c r="A509" s="2" t="inlineStr">
        <is>
          <t>1280-on</t>
        </is>
      </c>
      <c r="B509" s="2" t="n">
        <v>1280</v>
      </c>
      <c r="C509" s="2" t="inlineStr">
        <is>
          <t>on</t>
        </is>
      </c>
      <c r="D509" s="2" t="n">
        <v>1228</v>
      </c>
      <c r="E509" s="2" t="inlineStr">
        <is>
          <t>browser firefox147</t>
        </is>
      </c>
      <c r="F509" s="2" t="b">
        <v>1</v>
      </c>
      <c r="G509" s="2" t="n">
        <v>8</v>
      </c>
      <c r="H509" s="2" t="n">
        <v>1896</v>
      </c>
      <c r="I509" s="2" t="n">
        <v>1896</v>
      </c>
      <c r="J509" s="2" t="n">
        <v>1223</v>
      </c>
      <c r="K509" s="2">
        <f>H509+5&gt;D509</f>
        <v/>
      </c>
      <c r="L509" s="2">
        <f>J509&lt;I509</f>
        <v/>
      </c>
      <c r="M509" s="2" t="b">
        <v>1</v>
      </c>
      <c r="N509" s="2" t="b">
        <v>0</v>
      </c>
      <c r="O509" s="2" t="inlineStr">
        <is>
          <t>unknown</t>
        </is>
      </c>
      <c r="P509" s="2">
        <f>O509&lt;&gt;"unknown"</f>
        <v/>
      </c>
    </row>
    <row r="510">
      <c r="A510" s="2" t="inlineStr">
        <is>
          <t>1280-on</t>
        </is>
      </c>
      <c r="B510" s="2" t="n">
        <v>1280</v>
      </c>
      <c r="C510" s="2" t="inlineStr">
        <is>
          <t>on</t>
        </is>
      </c>
      <c r="D510" s="2" t="n">
        <v>1228</v>
      </c>
      <c r="E510" s="2" t="inlineStr">
        <is>
          <t>browser firefox147</t>
        </is>
      </c>
      <c r="F510" s="2" t="b">
        <v>1</v>
      </c>
      <c r="G510" s="2" t="n">
        <v>9</v>
      </c>
      <c r="H510" s="2" t="n">
        <v>1896</v>
      </c>
      <c r="I510" s="2" t="n">
        <v>1896</v>
      </c>
      <c r="J510" s="2" t="n">
        <v>1223</v>
      </c>
      <c r="K510" s="2">
        <f>H510+5&gt;D510</f>
        <v/>
      </c>
      <c r="L510" s="2">
        <f>J510&lt;I510</f>
        <v/>
      </c>
      <c r="M510" s="2" t="b">
        <v>1</v>
      </c>
      <c r="N510" s="2" t="b">
        <v>0</v>
      </c>
      <c r="O510" s="2" t="inlineStr">
        <is>
          <t>unknown</t>
        </is>
      </c>
      <c r="P510" s="2">
        <f>O510&lt;&gt;"unknown"</f>
        <v/>
      </c>
    </row>
    <row r="511">
      <c r="A511" s="2" t="inlineStr">
        <is>
          <t>1280-on</t>
        </is>
      </c>
      <c r="B511" s="2" t="n">
        <v>1280</v>
      </c>
      <c r="C511" s="2" t="inlineStr">
        <is>
          <t>on</t>
        </is>
      </c>
      <c r="D511" s="2" t="n">
        <v>1228</v>
      </c>
      <c r="E511" s="2" t="inlineStr">
        <is>
          <t>browser firefox147</t>
        </is>
      </c>
      <c r="F511" s="2" t="b">
        <v>1</v>
      </c>
      <c r="G511" s="2" t="n">
        <v>10</v>
      </c>
      <c r="H511" s="2" t="n">
        <v>1864</v>
      </c>
      <c r="I511" s="2" t="n">
        <v>1864</v>
      </c>
      <c r="J511" s="2" t="n">
        <v>1223</v>
      </c>
      <c r="K511" s="2">
        <f>H511+5&gt;D511</f>
        <v/>
      </c>
      <c r="L511" s="2">
        <f>J511&lt;I511</f>
        <v/>
      </c>
      <c r="M511" s="2" t="b">
        <v>1</v>
      </c>
      <c r="N511" s="2" t="b">
        <v>0</v>
      </c>
      <c r="O511" s="2" t="inlineStr">
        <is>
          <t>unknown</t>
        </is>
      </c>
      <c r="P511" s="2">
        <f>O511&lt;&gt;"unknown"</f>
        <v/>
      </c>
    </row>
    <row r="512">
      <c r="A512" s="2" t="inlineStr">
        <is>
          <t>1280-on</t>
        </is>
      </c>
      <c r="B512" s="2" t="n">
        <v>1280</v>
      </c>
      <c r="C512" s="2" t="inlineStr">
        <is>
          <t>on</t>
        </is>
      </c>
      <c r="D512" s="2" t="n">
        <v>1228</v>
      </c>
      <c r="E512" s="2" t="inlineStr">
        <is>
          <t>browser firefox147</t>
        </is>
      </c>
      <c r="F512" s="2" t="b">
        <v>1</v>
      </c>
      <c r="G512" s="2" t="n">
        <v>11</v>
      </c>
      <c r="H512" s="2" t="n">
        <v>1896</v>
      </c>
      <c r="I512" s="2" t="n">
        <v>1896</v>
      </c>
      <c r="J512" s="2" t="n">
        <v>1223</v>
      </c>
      <c r="K512" s="2">
        <f>H512+5&gt;D512</f>
        <v/>
      </c>
      <c r="L512" s="2">
        <f>J512&lt;I512</f>
        <v/>
      </c>
      <c r="M512" s="2" t="b">
        <v>1</v>
      </c>
      <c r="N512" s="2" t="b">
        <v>0</v>
      </c>
      <c r="O512" s="2" t="inlineStr">
        <is>
          <t>unknown</t>
        </is>
      </c>
      <c r="P512" s="2">
        <f>O512&lt;&gt;"unknown"</f>
        <v/>
      </c>
    </row>
    <row r="513">
      <c r="A513" s="2" t="inlineStr">
        <is>
          <t>1280-on</t>
        </is>
      </c>
      <c r="B513" s="2" t="n">
        <v>1280</v>
      </c>
      <c r="C513" s="2" t="inlineStr">
        <is>
          <t>on</t>
        </is>
      </c>
      <c r="D513" s="2" t="n">
        <v>1228</v>
      </c>
      <c r="E513" s="2" t="inlineStr">
        <is>
          <t>browser firefox147</t>
        </is>
      </c>
      <c r="F513" s="2" t="b">
        <v>1</v>
      </c>
      <c r="G513" s="2" t="n">
        <v>12</v>
      </c>
      <c r="H513" s="2" t="n">
        <v>1832</v>
      </c>
      <c r="I513" s="2" t="n">
        <v>1832</v>
      </c>
      <c r="J513" s="2" t="n">
        <v>1223</v>
      </c>
      <c r="K513" s="2">
        <f>H513+5&gt;D513</f>
        <v/>
      </c>
      <c r="L513" s="2">
        <f>J513&lt;I513</f>
        <v/>
      </c>
      <c r="M513" s="2" t="b">
        <v>1</v>
      </c>
      <c r="N513" s="2" t="b">
        <v>0</v>
      </c>
      <c r="O513" s="2" t="inlineStr">
        <is>
          <t>unknown</t>
        </is>
      </c>
      <c r="P513" s="2">
        <f>O513&lt;&gt;"unknown"</f>
        <v/>
      </c>
    </row>
    <row r="514">
      <c r="A514" s="2" t="inlineStr">
        <is>
          <t>1280-on</t>
        </is>
      </c>
      <c r="B514" s="2" t="n">
        <v>1280</v>
      </c>
      <c r="C514" s="2" t="inlineStr">
        <is>
          <t>on</t>
        </is>
      </c>
      <c r="D514" s="2" t="n">
        <v>1228</v>
      </c>
      <c r="E514" s="2" t="inlineStr">
        <is>
          <t>browser firefox147</t>
        </is>
      </c>
      <c r="F514" s="2" t="b">
        <v>1</v>
      </c>
      <c r="G514" s="2" t="n">
        <v>13</v>
      </c>
      <c r="H514" s="2" t="n">
        <v>1896</v>
      </c>
      <c r="I514" s="2" t="n">
        <v>1896</v>
      </c>
      <c r="J514" s="2" t="n">
        <v>1223</v>
      </c>
      <c r="K514" s="2">
        <f>H514+5&gt;D514</f>
        <v/>
      </c>
      <c r="L514" s="2">
        <f>J514&lt;I514</f>
        <v/>
      </c>
      <c r="M514" s="2" t="b">
        <v>1</v>
      </c>
      <c r="N514" s="2" t="b">
        <v>0</v>
      </c>
      <c r="O514" s="2" t="inlineStr">
        <is>
          <t>unknown</t>
        </is>
      </c>
      <c r="P514" s="2">
        <f>O514&lt;&gt;"unknown"</f>
        <v/>
      </c>
    </row>
    <row r="515">
      <c r="A515" s="2" t="inlineStr">
        <is>
          <t>1280-on</t>
        </is>
      </c>
      <c r="B515" s="2" t="n">
        <v>1280</v>
      </c>
      <c r="C515" s="2" t="inlineStr">
        <is>
          <t>on</t>
        </is>
      </c>
      <c r="D515" s="2" t="n">
        <v>1228</v>
      </c>
      <c r="E515" s="2" t="inlineStr">
        <is>
          <t>browser firefox147</t>
        </is>
      </c>
      <c r="F515" s="2" t="b">
        <v>1</v>
      </c>
      <c r="G515" s="2" t="n">
        <v>14</v>
      </c>
      <c r="H515" s="2" t="n">
        <v>1864</v>
      </c>
      <c r="I515" s="2" t="n">
        <v>1864</v>
      </c>
      <c r="J515" s="2" t="n">
        <v>1223</v>
      </c>
      <c r="K515" s="2">
        <f>H515+5&gt;D515</f>
        <v/>
      </c>
      <c r="L515" s="2">
        <f>J515&lt;I515</f>
        <v/>
      </c>
      <c r="M515" s="2" t="b">
        <v>1</v>
      </c>
      <c r="N515" s="2" t="b">
        <v>0</v>
      </c>
      <c r="O515" s="2" t="inlineStr">
        <is>
          <t>unknown</t>
        </is>
      </c>
      <c r="P515" s="2">
        <f>O515&lt;&gt;"unknown"</f>
        <v/>
      </c>
    </row>
    <row r="516">
      <c r="A516" s="2" t="inlineStr">
        <is>
          <t>1280-on</t>
        </is>
      </c>
      <c r="B516" s="2" t="n">
        <v>1280</v>
      </c>
      <c r="C516" s="2" t="inlineStr">
        <is>
          <t>on</t>
        </is>
      </c>
      <c r="D516" s="2" t="n">
        <v>1228</v>
      </c>
      <c r="E516" s="2" t="inlineStr">
        <is>
          <t>browser firefox147</t>
        </is>
      </c>
      <c r="F516" s="2" t="b">
        <v>1</v>
      </c>
      <c r="G516" s="2" t="n">
        <v>15</v>
      </c>
      <c r="H516" s="2" t="n">
        <v>1864</v>
      </c>
      <c r="I516" s="2" t="n">
        <v>1864</v>
      </c>
      <c r="J516" s="2" t="n">
        <v>1223</v>
      </c>
      <c r="K516" s="2">
        <f>H516+5&gt;D516</f>
        <v/>
      </c>
      <c r="L516" s="2">
        <f>J516&lt;I516</f>
        <v/>
      </c>
      <c r="M516" s="2" t="b">
        <v>1</v>
      </c>
      <c r="N516" s="2" t="b">
        <v>0</v>
      </c>
      <c r="O516" s="2" t="inlineStr">
        <is>
          <t>unknown</t>
        </is>
      </c>
      <c r="P516" s="2">
        <f>O516&lt;&gt;"unknown"</f>
        <v/>
      </c>
    </row>
    <row r="517">
      <c r="A517" s="2" t="inlineStr">
        <is>
          <t>1280-on</t>
        </is>
      </c>
      <c r="B517" s="2" t="n">
        <v>1280</v>
      </c>
      <c r="C517" s="2" t="inlineStr">
        <is>
          <t>on</t>
        </is>
      </c>
      <c r="D517" s="2" t="n">
        <v>1228</v>
      </c>
      <c r="E517" s="2" t="inlineStr">
        <is>
          <t>browser firefox147</t>
        </is>
      </c>
      <c r="F517" s="2" t="b">
        <v>1</v>
      </c>
      <c r="G517" s="2" t="n">
        <v>16</v>
      </c>
      <c r="H517" s="2" t="n">
        <v>1832</v>
      </c>
      <c r="I517" s="2" t="n">
        <v>1832</v>
      </c>
      <c r="J517" s="2" t="n">
        <v>1223</v>
      </c>
      <c r="K517" s="2">
        <f>H517+5&gt;D517</f>
        <v/>
      </c>
      <c r="L517" s="2">
        <f>J517&lt;I517</f>
        <v/>
      </c>
      <c r="M517" s="2" t="b">
        <v>1</v>
      </c>
      <c r="N517" s="2" t="b">
        <v>0</v>
      </c>
      <c r="O517" s="2" t="inlineStr">
        <is>
          <t>unknown</t>
        </is>
      </c>
      <c r="P517" s="2">
        <f>O517&lt;&gt;"unknown"</f>
        <v/>
      </c>
    </row>
    <row r="518">
      <c r="A518" s="2" t="inlineStr">
        <is>
          <t>1280-on</t>
        </is>
      </c>
      <c r="B518" s="2" t="n">
        <v>1280</v>
      </c>
      <c r="C518" s="2" t="inlineStr">
        <is>
          <t>on</t>
        </is>
      </c>
      <c r="D518" s="2" t="n">
        <v>1228</v>
      </c>
      <c r="E518" s="2" t="inlineStr">
        <is>
          <t>browser firefox147</t>
        </is>
      </c>
      <c r="F518" s="2" t="b">
        <v>1</v>
      </c>
      <c r="G518" s="2" t="n">
        <v>17</v>
      </c>
      <c r="H518" s="2" t="n">
        <v>1832</v>
      </c>
      <c r="I518" s="2" t="n">
        <v>1832</v>
      </c>
      <c r="J518" s="2" t="n">
        <v>1223</v>
      </c>
      <c r="K518" s="2">
        <f>H518+5&gt;D518</f>
        <v/>
      </c>
      <c r="L518" s="2">
        <f>J518&lt;I518</f>
        <v/>
      </c>
      <c r="M518" s="2" t="b">
        <v>1</v>
      </c>
      <c r="N518" s="2" t="b">
        <v>0</v>
      </c>
      <c r="O518" s="2" t="inlineStr">
        <is>
          <t>unknown</t>
        </is>
      </c>
      <c r="P518" s="2">
        <f>O518&lt;&gt;"unknown"</f>
        <v/>
      </c>
    </row>
    <row r="519">
      <c r="A519" s="2" t="inlineStr">
        <is>
          <t>1280-on</t>
        </is>
      </c>
      <c r="B519" s="2" t="n">
        <v>1280</v>
      </c>
      <c r="C519" s="2" t="inlineStr">
        <is>
          <t>on</t>
        </is>
      </c>
      <c r="D519" s="2" t="n">
        <v>1228</v>
      </c>
      <c r="E519" s="2" t="inlineStr">
        <is>
          <t>browser firefox147</t>
        </is>
      </c>
      <c r="F519" s="2" t="b">
        <v>1</v>
      </c>
      <c r="G519" s="2" t="n">
        <v>18</v>
      </c>
      <c r="H519" s="2" t="n">
        <v>1800</v>
      </c>
      <c r="I519" s="2" t="n">
        <v>1800</v>
      </c>
      <c r="J519" s="2" t="n">
        <v>1223</v>
      </c>
      <c r="K519" s="2">
        <f>H519+5&gt;D519</f>
        <v/>
      </c>
      <c r="L519" s="2">
        <f>J519&lt;I519</f>
        <v/>
      </c>
      <c r="M519" s="2" t="b">
        <v>1</v>
      </c>
      <c r="N519" s="2" t="b">
        <v>0</v>
      </c>
      <c r="O519" s="2" t="inlineStr">
        <is>
          <t>unknown</t>
        </is>
      </c>
      <c r="P519" s="2">
        <f>O519&lt;&gt;"unknown"</f>
        <v/>
      </c>
    </row>
    <row r="520">
      <c r="A520" s="2" t="inlineStr">
        <is>
          <t>1280-on</t>
        </is>
      </c>
      <c r="B520" s="2" t="n">
        <v>1280</v>
      </c>
      <c r="C520" s="2" t="inlineStr">
        <is>
          <t>on</t>
        </is>
      </c>
      <c r="D520" s="2" t="n">
        <v>1228</v>
      </c>
      <c r="E520" s="2" t="inlineStr">
        <is>
          <t>browser firefox147</t>
        </is>
      </c>
      <c r="F520" s="2" t="b">
        <v>1</v>
      </c>
      <c r="G520" s="2" t="n">
        <v>19</v>
      </c>
      <c r="H520" s="2" t="n">
        <v>1832</v>
      </c>
      <c r="I520" s="2" t="n">
        <v>1832</v>
      </c>
      <c r="J520" s="2" t="n">
        <v>1223</v>
      </c>
      <c r="K520" s="2">
        <f>H520+5&gt;D520</f>
        <v/>
      </c>
      <c r="L520" s="2">
        <f>J520&lt;I520</f>
        <v/>
      </c>
      <c r="M520" s="2" t="b">
        <v>1</v>
      </c>
      <c r="N520" s="2" t="b">
        <v>0</v>
      </c>
      <c r="O520" s="2" t="inlineStr">
        <is>
          <t>unknown</t>
        </is>
      </c>
      <c r="P520" s="2">
        <f>O520&lt;&gt;"unknown"</f>
        <v/>
      </c>
    </row>
    <row r="521">
      <c r="A521" s="2" t="inlineStr">
        <is>
          <t>1280-on</t>
        </is>
      </c>
      <c r="B521" s="2" t="n">
        <v>1280</v>
      </c>
      <c r="C521" s="2" t="inlineStr">
        <is>
          <t>on</t>
        </is>
      </c>
      <c r="D521" s="2" t="n">
        <v>1228</v>
      </c>
      <c r="E521" s="2" t="inlineStr">
        <is>
          <t>browser firefox147</t>
        </is>
      </c>
      <c r="F521" s="2" t="b">
        <v>1</v>
      </c>
      <c r="G521" s="2" t="n">
        <v>20</v>
      </c>
      <c r="H521" s="2" t="n">
        <v>1800</v>
      </c>
      <c r="I521" s="2" t="n">
        <v>1800</v>
      </c>
      <c r="J521" s="2" t="n">
        <v>1223</v>
      </c>
      <c r="K521" s="2">
        <f>H521+5&gt;D521</f>
        <v/>
      </c>
      <c r="L521" s="2">
        <f>J521&lt;I521</f>
        <v/>
      </c>
      <c r="M521" s="2" t="b">
        <v>1</v>
      </c>
      <c r="N521" s="2" t="b">
        <v>0</v>
      </c>
      <c r="O521" s="2" t="inlineStr">
        <is>
          <t>unknown</t>
        </is>
      </c>
      <c r="P521" s="2">
        <f>O521&lt;&gt;"unknown"</f>
        <v/>
      </c>
    </row>
    <row r="522">
      <c r="A522" s="2" t="inlineStr">
        <is>
          <t>1280-on</t>
        </is>
      </c>
      <c r="B522" s="2" t="n">
        <v>1280</v>
      </c>
      <c r="C522" s="2" t="inlineStr">
        <is>
          <t>on</t>
        </is>
      </c>
      <c r="D522" s="2" t="n">
        <v>1228</v>
      </c>
      <c r="E522" s="2" t="inlineStr">
        <is>
          <t>browser safari184</t>
        </is>
      </c>
      <c r="F522" s="2" t="b">
        <v>0</v>
      </c>
      <c r="G522" s="2" t="n">
        <v>1</v>
      </c>
      <c r="H522" s="2" t="n">
        <v>512</v>
      </c>
      <c r="I522" s="2" t="n">
        <v>512</v>
      </c>
      <c r="J522" s="2" t="n">
        <v>512</v>
      </c>
      <c r="K522" s="2">
        <f>H522+5&gt;D522</f>
        <v/>
      </c>
      <c r="L522" s="2">
        <f>J522&lt;I522</f>
        <v/>
      </c>
      <c r="M522" s="2" t="b">
        <v>1</v>
      </c>
      <c r="N522" s="2" t="b">
        <v>1</v>
      </c>
      <c r="O522" s="2" t="inlineStr">
        <is>
          <t>violation</t>
        </is>
      </c>
      <c r="P522" s="2">
        <f>O522&lt;&gt;"unknown"</f>
        <v/>
      </c>
    </row>
    <row r="523">
      <c r="A523" s="2" t="inlineStr">
        <is>
          <t>1280-on</t>
        </is>
      </c>
      <c r="B523" s="2" t="n">
        <v>1280</v>
      </c>
      <c r="C523" s="2" t="inlineStr">
        <is>
          <t>on</t>
        </is>
      </c>
      <c r="D523" s="2" t="n">
        <v>1228</v>
      </c>
      <c r="E523" s="2" t="inlineStr">
        <is>
          <t>browser safari184</t>
        </is>
      </c>
      <c r="F523" s="2" t="b">
        <v>0</v>
      </c>
      <c r="G523" s="2" t="n">
        <v>2</v>
      </c>
      <c r="H523" s="2" t="n">
        <v>512</v>
      </c>
      <c r="I523" s="2" t="n">
        <v>512</v>
      </c>
      <c r="J523" s="2" t="n">
        <v>512</v>
      </c>
      <c r="K523" s="2">
        <f>H523+5&gt;D523</f>
        <v/>
      </c>
      <c r="L523" s="2">
        <f>J523&lt;I523</f>
        <v/>
      </c>
      <c r="M523" s="2" t="b">
        <v>1</v>
      </c>
      <c r="N523" s="2" t="b">
        <v>1</v>
      </c>
      <c r="O523" s="2" t="inlineStr">
        <is>
          <t>violation</t>
        </is>
      </c>
      <c r="P523" s="2">
        <f>O523&lt;&gt;"unknown"</f>
        <v/>
      </c>
    </row>
    <row r="524">
      <c r="A524" s="2" t="inlineStr">
        <is>
          <t>1280-on</t>
        </is>
      </c>
      <c r="B524" s="2" t="n">
        <v>1280</v>
      </c>
      <c r="C524" s="2" t="inlineStr">
        <is>
          <t>on</t>
        </is>
      </c>
      <c r="D524" s="2" t="n">
        <v>1228</v>
      </c>
      <c r="E524" s="2" t="inlineStr">
        <is>
          <t>browser safari184</t>
        </is>
      </c>
      <c r="F524" s="2" t="b">
        <v>0</v>
      </c>
      <c r="G524" s="2" t="n">
        <v>3</v>
      </c>
      <c r="H524" s="2" t="n">
        <v>512</v>
      </c>
      <c r="I524" s="2" t="n">
        <v>512</v>
      </c>
      <c r="J524" s="2" t="n">
        <v>512</v>
      </c>
      <c r="K524" s="2">
        <f>H524+5&gt;D524</f>
        <v/>
      </c>
      <c r="L524" s="2">
        <f>J524&lt;I524</f>
        <v/>
      </c>
      <c r="M524" s="2" t="b">
        <v>1</v>
      </c>
      <c r="N524" s="2" t="b">
        <v>1</v>
      </c>
      <c r="O524" s="2" t="inlineStr">
        <is>
          <t>violation</t>
        </is>
      </c>
      <c r="P524" s="2">
        <f>O524&lt;&gt;"unknown"</f>
        <v/>
      </c>
    </row>
    <row r="525">
      <c r="A525" s="2" t="inlineStr">
        <is>
          <t>1280-on</t>
        </is>
      </c>
      <c r="B525" s="2" t="n">
        <v>1280</v>
      </c>
      <c r="C525" s="2" t="inlineStr">
        <is>
          <t>on</t>
        </is>
      </c>
      <c r="D525" s="2" t="n">
        <v>1228</v>
      </c>
      <c r="E525" s="2" t="inlineStr">
        <is>
          <t>browser safari184</t>
        </is>
      </c>
      <c r="F525" s="2" t="b">
        <v>0</v>
      </c>
      <c r="G525" s="2" t="n">
        <v>4</v>
      </c>
      <c r="H525" s="2" t="n">
        <v>512</v>
      </c>
      <c r="I525" s="2" t="n">
        <v>512</v>
      </c>
      <c r="J525" s="2" t="n">
        <v>512</v>
      </c>
      <c r="K525" s="2">
        <f>H525+5&gt;D525</f>
        <v/>
      </c>
      <c r="L525" s="2">
        <f>J525&lt;I525</f>
        <v/>
      </c>
      <c r="M525" s="2" t="b">
        <v>1</v>
      </c>
      <c r="N525" s="2" t="b">
        <v>1</v>
      </c>
      <c r="O525" s="2" t="inlineStr">
        <is>
          <t>violation</t>
        </is>
      </c>
      <c r="P525" s="2">
        <f>O525&lt;&gt;"unknown"</f>
        <v/>
      </c>
    </row>
    <row r="526">
      <c r="A526" s="2" t="inlineStr">
        <is>
          <t>1280-on</t>
        </is>
      </c>
      <c r="B526" s="2" t="n">
        <v>1280</v>
      </c>
      <c r="C526" s="2" t="inlineStr">
        <is>
          <t>on</t>
        </is>
      </c>
      <c r="D526" s="2" t="n">
        <v>1228</v>
      </c>
      <c r="E526" s="2" t="inlineStr">
        <is>
          <t>browser safari184</t>
        </is>
      </c>
      <c r="F526" s="2" t="b">
        <v>0</v>
      </c>
      <c r="G526" s="2" t="n">
        <v>5</v>
      </c>
      <c r="H526" s="2" t="n">
        <v>512</v>
      </c>
      <c r="I526" s="2" t="n">
        <v>512</v>
      </c>
      <c r="J526" s="2" t="n">
        <v>512</v>
      </c>
      <c r="K526" s="2">
        <f>H526+5&gt;D526</f>
        <v/>
      </c>
      <c r="L526" s="2">
        <f>J526&lt;I526</f>
        <v/>
      </c>
      <c r="M526" s="2" t="b">
        <v>1</v>
      </c>
      <c r="N526" s="2" t="b">
        <v>1</v>
      </c>
      <c r="O526" s="2" t="inlineStr">
        <is>
          <t>violation</t>
        </is>
      </c>
      <c r="P526" s="2">
        <f>O526&lt;&gt;"unknown"</f>
        <v/>
      </c>
    </row>
    <row r="527">
      <c r="A527" s="2" t="inlineStr">
        <is>
          <t>1280-on</t>
        </is>
      </c>
      <c r="B527" s="2" t="n">
        <v>1280</v>
      </c>
      <c r="C527" s="2" t="inlineStr">
        <is>
          <t>on</t>
        </is>
      </c>
      <c r="D527" s="2" t="n">
        <v>1228</v>
      </c>
      <c r="E527" s="2" t="inlineStr">
        <is>
          <t>browser safari184</t>
        </is>
      </c>
      <c r="F527" s="2" t="b">
        <v>0</v>
      </c>
      <c r="G527" s="2" t="n">
        <v>6</v>
      </c>
      <c r="H527" s="2" t="n">
        <v>512</v>
      </c>
      <c r="I527" s="2" t="n">
        <v>512</v>
      </c>
      <c r="J527" s="2" t="n">
        <v>512</v>
      </c>
      <c r="K527" s="2">
        <f>H527+5&gt;D527</f>
        <v/>
      </c>
      <c r="L527" s="2">
        <f>J527&lt;I527</f>
        <v/>
      </c>
      <c r="M527" s="2" t="b">
        <v>1</v>
      </c>
      <c r="N527" s="2" t="b">
        <v>1</v>
      </c>
      <c r="O527" s="2" t="inlineStr">
        <is>
          <t>violation</t>
        </is>
      </c>
      <c r="P527" s="2">
        <f>O527&lt;&gt;"unknown"</f>
        <v/>
      </c>
    </row>
    <row r="528">
      <c r="A528" s="2" t="inlineStr">
        <is>
          <t>1280-on</t>
        </is>
      </c>
      <c r="B528" s="2" t="n">
        <v>1280</v>
      </c>
      <c r="C528" s="2" t="inlineStr">
        <is>
          <t>on</t>
        </is>
      </c>
      <c r="D528" s="2" t="n">
        <v>1228</v>
      </c>
      <c r="E528" s="2" t="inlineStr">
        <is>
          <t>browser safari184</t>
        </is>
      </c>
      <c r="F528" s="2" t="b">
        <v>0</v>
      </c>
      <c r="G528" s="2" t="n">
        <v>7</v>
      </c>
      <c r="H528" s="2" t="n">
        <v>512</v>
      </c>
      <c r="I528" s="2" t="n">
        <v>512</v>
      </c>
      <c r="J528" s="2" t="n">
        <v>512</v>
      </c>
      <c r="K528" s="2">
        <f>H528+5&gt;D528</f>
        <v/>
      </c>
      <c r="L528" s="2">
        <f>J528&lt;I528</f>
        <v/>
      </c>
      <c r="M528" s="2" t="b">
        <v>1</v>
      </c>
      <c r="N528" s="2" t="b">
        <v>1</v>
      </c>
      <c r="O528" s="2" t="inlineStr">
        <is>
          <t>violation</t>
        </is>
      </c>
      <c r="P528" s="2">
        <f>O528&lt;&gt;"unknown"</f>
        <v/>
      </c>
    </row>
    <row r="529">
      <c r="A529" s="2" t="inlineStr">
        <is>
          <t>1280-on</t>
        </is>
      </c>
      <c r="B529" s="2" t="n">
        <v>1280</v>
      </c>
      <c r="C529" s="2" t="inlineStr">
        <is>
          <t>on</t>
        </is>
      </c>
      <c r="D529" s="2" t="n">
        <v>1228</v>
      </c>
      <c r="E529" s="2" t="inlineStr">
        <is>
          <t>browser safari184</t>
        </is>
      </c>
      <c r="F529" s="2" t="b">
        <v>0</v>
      </c>
      <c r="G529" s="2" t="n">
        <v>8</v>
      </c>
      <c r="H529" s="2" t="n">
        <v>512</v>
      </c>
      <c r="I529" s="2" t="n">
        <v>512</v>
      </c>
      <c r="J529" s="2" t="n">
        <v>512</v>
      </c>
      <c r="K529" s="2">
        <f>H529+5&gt;D529</f>
        <v/>
      </c>
      <c r="L529" s="2">
        <f>J529&lt;I529</f>
        <v/>
      </c>
      <c r="M529" s="2" t="b">
        <v>1</v>
      </c>
      <c r="N529" s="2" t="b">
        <v>1</v>
      </c>
      <c r="O529" s="2" t="inlineStr">
        <is>
          <t>violation</t>
        </is>
      </c>
      <c r="P529" s="2">
        <f>O529&lt;&gt;"unknown"</f>
        <v/>
      </c>
    </row>
    <row r="530">
      <c r="A530" s="2" t="inlineStr">
        <is>
          <t>1280-on</t>
        </is>
      </c>
      <c r="B530" s="2" t="n">
        <v>1280</v>
      </c>
      <c r="C530" s="2" t="inlineStr">
        <is>
          <t>on</t>
        </is>
      </c>
      <c r="D530" s="2" t="n">
        <v>1228</v>
      </c>
      <c r="E530" s="2" t="inlineStr">
        <is>
          <t>browser safari184</t>
        </is>
      </c>
      <c r="F530" s="2" t="b">
        <v>0</v>
      </c>
      <c r="G530" s="2" t="n">
        <v>9</v>
      </c>
      <c r="H530" s="2" t="n">
        <v>512</v>
      </c>
      <c r="I530" s="2" t="n">
        <v>512</v>
      </c>
      <c r="J530" s="2" t="n">
        <v>512</v>
      </c>
      <c r="K530" s="2">
        <f>H530+5&gt;D530</f>
        <v/>
      </c>
      <c r="L530" s="2">
        <f>J530&lt;I530</f>
        <v/>
      </c>
      <c r="M530" s="2" t="b">
        <v>1</v>
      </c>
      <c r="N530" s="2" t="b">
        <v>1</v>
      </c>
      <c r="O530" s="2" t="inlineStr">
        <is>
          <t>violation</t>
        </is>
      </c>
      <c r="P530" s="2">
        <f>O530&lt;&gt;"unknown"</f>
        <v/>
      </c>
    </row>
    <row r="531">
      <c r="A531" s="2" t="inlineStr">
        <is>
          <t>1280-on</t>
        </is>
      </c>
      <c r="B531" s="2" t="n">
        <v>1280</v>
      </c>
      <c r="C531" s="2" t="inlineStr">
        <is>
          <t>on</t>
        </is>
      </c>
      <c r="D531" s="2" t="n">
        <v>1228</v>
      </c>
      <c r="E531" s="2" t="inlineStr">
        <is>
          <t>browser safari184</t>
        </is>
      </c>
      <c r="F531" s="2" t="b">
        <v>0</v>
      </c>
      <c r="G531" s="2" t="n">
        <v>10</v>
      </c>
      <c r="H531" s="2" t="n">
        <v>512</v>
      </c>
      <c r="I531" s="2" t="n">
        <v>512</v>
      </c>
      <c r="J531" s="2" t="n">
        <v>512</v>
      </c>
      <c r="K531" s="2">
        <f>H531+5&gt;D531</f>
        <v/>
      </c>
      <c r="L531" s="2">
        <f>J531&lt;I531</f>
        <v/>
      </c>
      <c r="M531" s="2" t="b">
        <v>1</v>
      </c>
      <c r="N531" s="2" t="b">
        <v>1</v>
      </c>
      <c r="O531" s="2" t="inlineStr">
        <is>
          <t>violation</t>
        </is>
      </c>
      <c r="P531" s="2">
        <f>O531&lt;&gt;"unknown"</f>
        <v/>
      </c>
    </row>
    <row r="532">
      <c r="A532" s="2" t="inlineStr">
        <is>
          <t>1280-on</t>
        </is>
      </c>
      <c r="B532" s="2" t="n">
        <v>1280</v>
      </c>
      <c r="C532" s="2" t="inlineStr">
        <is>
          <t>on</t>
        </is>
      </c>
      <c r="D532" s="2" t="n">
        <v>1228</v>
      </c>
      <c r="E532" s="2" t="inlineStr">
        <is>
          <t>browser safari184</t>
        </is>
      </c>
      <c r="F532" s="2" t="b">
        <v>0</v>
      </c>
      <c r="G532" s="2" t="n">
        <v>11</v>
      </c>
      <c r="H532" s="2" t="n">
        <v>512</v>
      </c>
      <c r="I532" s="2" t="n">
        <v>512</v>
      </c>
      <c r="J532" s="2" t="n">
        <v>512</v>
      </c>
      <c r="K532" s="2">
        <f>H532+5&gt;D532</f>
        <v/>
      </c>
      <c r="L532" s="2">
        <f>J532&lt;I532</f>
        <v/>
      </c>
      <c r="M532" s="2" t="b">
        <v>1</v>
      </c>
      <c r="N532" s="2" t="b">
        <v>1</v>
      </c>
      <c r="O532" s="2" t="inlineStr">
        <is>
          <t>violation</t>
        </is>
      </c>
      <c r="P532" s="2">
        <f>O532&lt;&gt;"unknown"</f>
        <v/>
      </c>
    </row>
    <row r="533">
      <c r="A533" s="2" t="inlineStr">
        <is>
          <t>1280-on</t>
        </is>
      </c>
      <c r="B533" s="2" t="n">
        <v>1280</v>
      </c>
      <c r="C533" s="2" t="inlineStr">
        <is>
          <t>on</t>
        </is>
      </c>
      <c r="D533" s="2" t="n">
        <v>1228</v>
      </c>
      <c r="E533" s="2" t="inlineStr">
        <is>
          <t>browser safari184</t>
        </is>
      </c>
      <c r="F533" s="2" t="b">
        <v>0</v>
      </c>
      <c r="G533" s="2" t="n">
        <v>12</v>
      </c>
      <c r="H533" s="2" t="n">
        <v>512</v>
      </c>
      <c r="I533" s="2" t="n">
        <v>512</v>
      </c>
      <c r="J533" s="2" t="n">
        <v>512</v>
      </c>
      <c r="K533" s="2">
        <f>H533+5&gt;D533</f>
        <v/>
      </c>
      <c r="L533" s="2">
        <f>J533&lt;I533</f>
        <v/>
      </c>
      <c r="M533" s="2" t="b">
        <v>1</v>
      </c>
      <c r="N533" s="2" t="b">
        <v>1</v>
      </c>
      <c r="O533" s="2" t="inlineStr">
        <is>
          <t>violation</t>
        </is>
      </c>
      <c r="P533" s="2">
        <f>O533&lt;&gt;"unknown"</f>
        <v/>
      </c>
    </row>
    <row r="534">
      <c r="A534" s="2" t="inlineStr">
        <is>
          <t>1280-on</t>
        </is>
      </c>
      <c r="B534" s="2" t="n">
        <v>1280</v>
      </c>
      <c r="C534" s="2" t="inlineStr">
        <is>
          <t>on</t>
        </is>
      </c>
      <c r="D534" s="2" t="n">
        <v>1228</v>
      </c>
      <c r="E534" s="2" t="inlineStr">
        <is>
          <t>browser safari184</t>
        </is>
      </c>
      <c r="F534" s="2" t="b">
        <v>0</v>
      </c>
      <c r="G534" s="2" t="n">
        <v>13</v>
      </c>
      <c r="H534" s="2" t="n">
        <v>512</v>
      </c>
      <c r="I534" s="2" t="n">
        <v>512</v>
      </c>
      <c r="J534" s="2" t="n">
        <v>512</v>
      </c>
      <c r="K534" s="2">
        <f>H534+5&gt;D534</f>
        <v/>
      </c>
      <c r="L534" s="2">
        <f>J534&lt;I534</f>
        <v/>
      </c>
      <c r="M534" s="2" t="b">
        <v>1</v>
      </c>
      <c r="N534" s="2" t="b">
        <v>1</v>
      </c>
      <c r="O534" s="2" t="inlineStr">
        <is>
          <t>violation</t>
        </is>
      </c>
      <c r="P534" s="2">
        <f>O534&lt;&gt;"unknown"</f>
        <v/>
      </c>
    </row>
    <row r="535">
      <c r="A535" s="2" t="inlineStr">
        <is>
          <t>1280-on</t>
        </is>
      </c>
      <c r="B535" s="2" t="n">
        <v>1280</v>
      </c>
      <c r="C535" s="2" t="inlineStr">
        <is>
          <t>on</t>
        </is>
      </c>
      <c r="D535" s="2" t="n">
        <v>1228</v>
      </c>
      <c r="E535" s="2" t="inlineStr">
        <is>
          <t>browser safari184</t>
        </is>
      </c>
      <c r="F535" s="2" t="b">
        <v>0</v>
      </c>
      <c r="G535" s="2" t="n">
        <v>14</v>
      </c>
      <c r="H535" s="2" t="n">
        <v>512</v>
      </c>
      <c r="I535" s="2" t="n">
        <v>512</v>
      </c>
      <c r="J535" s="2" t="n">
        <v>512</v>
      </c>
      <c r="K535" s="2">
        <f>H535+5&gt;D535</f>
        <v/>
      </c>
      <c r="L535" s="2">
        <f>J535&lt;I535</f>
        <v/>
      </c>
      <c r="M535" s="2" t="b">
        <v>1</v>
      </c>
      <c r="N535" s="2" t="b">
        <v>1</v>
      </c>
      <c r="O535" s="2" t="inlineStr">
        <is>
          <t>violation</t>
        </is>
      </c>
      <c r="P535" s="2">
        <f>O535&lt;&gt;"unknown"</f>
        <v/>
      </c>
    </row>
    <row r="536">
      <c r="A536" s="2" t="inlineStr">
        <is>
          <t>1280-on</t>
        </is>
      </c>
      <c r="B536" s="2" t="n">
        <v>1280</v>
      </c>
      <c r="C536" s="2" t="inlineStr">
        <is>
          <t>on</t>
        </is>
      </c>
      <c r="D536" s="2" t="n">
        <v>1228</v>
      </c>
      <c r="E536" s="2" t="inlineStr">
        <is>
          <t>browser safari184</t>
        </is>
      </c>
      <c r="F536" s="2" t="b">
        <v>0</v>
      </c>
      <c r="G536" s="2" t="n">
        <v>15</v>
      </c>
      <c r="H536" s="2" t="n">
        <v>512</v>
      </c>
      <c r="I536" s="2" t="n">
        <v>512</v>
      </c>
      <c r="J536" s="2" t="n">
        <v>512</v>
      </c>
      <c r="K536" s="2">
        <f>H536+5&gt;D536</f>
        <v/>
      </c>
      <c r="L536" s="2">
        <f>J536&lt;I536</f>
        <v/>
      </c>
      <c r="M536" s="2" t="b">
        <v>1</v>
      </c>
      <c r="N536" s="2" t="b">
        <v>1</v>
      </c>
      <c r="O536" s="2" t="inlineStr">
        <is>
          <t>violation</t>
        </is>
      </c>
      <c r="P536" s="2">
        <f>O536&lt;&gt;"unknown"</f>
        <v/>
      </c>
    </row>
    <row r="537">
      <c r="A537" s="2" t="inlineStr">
        <is>
          <t>1280-on</t>
        </is>
      </c>
      <c r="B537" s="2" t="n">
        <v>1280</v>
      </c>
      <c r="C537" s="2" t="inlineStr">
        <is>
          <t>on</t>
        </is>
      </c>
      <c r="D537" s="2" t="n">
        <v>1228</v>
      </c>
      <c r="E537" s="2" t="inlineStr">
        <is>
          <t>browser safari184</t>
        </is>
      </c>
      <c r="F537" s="2" t="b">
        <v>0</v>
      </c>
      <c r="G537" s="2" t="n">
        <v>16</v>
      </c>
      <c r="H537" s="2" t="n">
        <v>512</v>
      </c>
      <c r="I537" s="2" t="n">
        <v>512</v>
      </c>
      <c r="J537" s="2" t="n">
        <v>512</v>
      </c>
      <c r="K537" s="2">
        <f>H537+5&gt;D537</f>
        <v/>
      </c>
      <c r="L537" s="2">
        <f>J537&lt;I537</f>
        <v/>
      </c>
      <c r="M537" s="2" t="b">
        <v>1</v>
      </c>
      <c r="N537" s="2" t="b">
        <v>1</v>
      </c>
      <c r="O537" s="2" t="inlineStr">
        <is>
          <t>violation</t>
        </is>
      </c>
      <c r="P537" s="2">
        <f>O537&lt;&gt;"unknown"</f>
        <v/>
      </c>
    </row>
    <row r="538">
      <c r="A538" s="2" t="inlineStr">
        <is>
          <t>1280-on</t>
        </is>
      </c>
      <c r="B538" s="2" t="n">
        <v>1280</v>
      </c>
      <c r="C538" s="2" t="inlineStr">
        <is>
          <t>on</t>
        </is>
      </c>
      <c r="D538" s="2" t="n">
        <v>1228</v>
      </c>
      <c r="E538" s="2" t="inlineStr">
        <is>
          <t>browser safari184</t>
        </is>
      </c>
      <c r="F538" s="2" t="b">
        <v>0</v>
      </c>
      <c r="G538" s="2" t="n">
        <v>17</v>
      </c>
      <c r="H538" s="2" t="n">
        <v>512</v>
      </c>
      <c r="I538" s="2" t="n">
        <v>512</v>
      </c>
      <c r="J538" s="2" t="n">
        <v>512</v>
      </c>
      <c r="K538" s="2">
        <f>H538+5&gt;D538</f>
        <v/>
      </c>
      <c r="L538" s="2">
        <f>J538&lt;I538</f>
        <v/>
      </c>
      <c r="M538" s="2" t="b">
        <v>1</v>
      </c>
      <c r="N538" s="2" t="b">
        <v>1</v>
      </c>
      <c r="O538" s="2" t="inlineStr">
        <is>
          <t>violation</t>
        </is>
      </c>
      <c r="P538" s="2">
        <f>O538&lt;&gt;"unknown"</f>
        <v/>
      </c>
    </row>
    <row r="539">
      <c r="A539" s="2" t="inlineStr">
        <is>
          <t>1280-on</t>
        </is>
      </c>
      <c r="B539" s="2" t="n">
        <v>1280</v>
      </c>
      <c r="C539" s="2" t="inlineStr">
        <is>
          <t>on</t>
        </is>
      </c>
      <c r="D539" s="2" t="n">
        <v>1228</v>
      </c>
      <c r="E539" s="2" t="inlineStr">
        <is>
          <t>browser safari184</t>
        </is>
      </c>
      <c r="F539" s="2" t="b">
        <v>0</v>
      </c>
      <c r="G539" s="2" t="n">
        <v>18</v>
      </c>
      <c r="H539" s="2" t="n">
        <v>512</v>
      </c>
      <c r="I539" s="2" t="n">
        <v>512</v>
      </c>
      <c r="J539" s="2" t="n">
        <v>512</v>
      </c>
      <c r="K539" s="2">
        <f>H539+5&gt;D539</f>
        <v/>
      </c>
      <c r="L539" s="2">
        <f>J539&lt;I539</f>
        <v/>
      </c>
      <c r="M539" s="2" t="b">
        <v>1</v>
      </c>
      <c r="N539" s="2" t="b">
        <v>1</v>
      </c>
      <c r="O539" s="2" t="inlineStr">
        <is>
          <t>violation</t>
        </is>
      </c>
      <c r="P539" s="2">
        <f>O539&lt;&gt;"unknown"</f>
        <v/>
      </c>
    </row>
    <row r="540">
      <c r="A540" s="2" t="inlineStr">
        <is>
          <t>1280-on</t>
        </is>
      </c>
      <c r="B540" s="2" t="n">
        <v>1280</v>
      </c>
      <c r="C540" s="2" t="inlineStr">
        <is>
          <t>on</t>
        </is>
      </c>
      <c r="D540" s="2" t="n">
        <v>1228</v>
      </c>
      <c r="E540" s="2" t="inlineStr">
        <is>
          <t>browser safari184</t>
        </is>
      </c>
      <c r="F540" s="2" t="b">
        <v>0</v>
      </c>
      <c r="G540" s="2" t="n">
        <v>19</v>
      </c>
      <c r="H540" s="2" t="n">
        <v>512</v>
      </c>
      <c r="I540" s="2" t="n">
        <v>512</v>
      </c>
      <c r="J540" s="2" t="n">
        <v>512</v>
      </c>
      <c r="K540" s="2">
        <f>H540+5&gt;D540</f>
        <v/>
      </c>
      <c r="L540" s="2">
        <f>J540&lt;I540</f>
        <v/>
      </c>
      <c r="M540" s="2" t="b">
        <v>1</v>
      </c>
      <c r="N540" s="2" t="b">
        <v>1</v>
      </c>
      <c r="O540" s="2" t="inlineStr">
        <is>
          <t>violation</t>
        </is>
      </c>
      <c r="P540" s="2">
        <f>O540&lt;&gt;"unknown"</f>
        <v/>
      </c>
    </row>
    <row r="541">
      <c r="A541" s="2" t="inlineStr">
        <is>
          <t>1280-on</t>
        </is>
      </c>
      <c r="B541" s="2" t="n">
        <v>1280</v>
      </c>
      <c r="C541" s="2" t="inlineStr">
        <is>
          <t>on</t>
        </is>
      </c>
      <c r="D541" s="2" t="n">
        <v>1228</v>
      </c>
      <c r="E541" s="2" t="inlineStr">
        <is>
          <t>browser safari184</t>
        </is>
      </c>
      <c r="F541" s="2" t="b">
        <v>0</v>
      </c>
      <c r="G541" s="2" t="n">
        <v>20</v>
      </c>
      <c r="H541" s="2" t="n">
        <v>512</v>
      </c>
      <c r="I541" s="2" t="n">
        <v>512</v>
      </c>
      <c r="J541" s="2" t="n">
        <v>512</v>
      </c>
      <c r="K541" s="2">
        <f>H541+5&gt;D541</f>
        <v/>
      </c>
      <c r="L541" s="2">
        <f>J541&lt;I541</f>
        <v/>
      </c>
      <c r="M541" s="2" t="b">
        <v>1</v>
      </c>
      <c r="N541" s="2" t="b">
        <v>1</v>
      </c>
      <c r="O541" s="2" t="inlineStr">
        <is>
          <t>violation</t>
        </is>
      </c>
      <c r="P541" s="2">
        <f>O541&lt;&gt;"unknown"</f>
        <v/>
      </c>
    </row>
    <row r="542">
      <c r="A542" s="2" t="inlineStr">
        <is>
          <t>1280-on</t>
        </is>
      </c>
      <c r="B542" s="2" t="n">
        <v>1280</v>
      </c>
      <c r="C542" s="2" t="inlineStr">
        <is>
          <t>on</t>
        </is>
      </c>
      <c r="D542" s="2" t="n">
        <v>1228</v>
      </c>
      <c r="E542" s="2" t="inlineStr">
        <is>
          <t>browser safari260</t>
        </is>
      </c>
      <c r="F542" s="2" t="b">
        <v>1</v>
      </c>
      <c r="G542" s="2" t="n">
        <v>1</v>
      </c>
      <c r="H542" s="2" t="n">
        <v>1537</v>
      </c>
      <c r="I542" s="2" t="n">
        <v>1537</v>
      </c>
      <c r="J542" s="2" t="n">
        <v>1223</v>
      </c>
      <c r="K542" s="2">
        <f>H542+5&gt;D542</f>
        <v/>
      </c>
      <c r="L542" s="2">
        <f>J542&lt;I542</f>
        <v/>
      </c>
      <c r="M542" s="2" t="b">
        <v>1</v>
      </c>
      <c r="N542" s="2" t="b">
        <v>0</v>
      </c>
      <c r="O542" s="2" t="inlineStr">
        <is>
          <t>unknown</t>
        </is>
      </c>
      <c r="P542" s="2">
        <f>O542&lt;&gt;"unknown"</f>
        <v/>
      </c>
    </row>
    <row r="543">
      <c r="A543" s="2" t="inlineStr">
        <is>
          <t>1280-on</t>
        </is>
      </c>
      <c r="B543" s="2" t="n">
        <v>1280</v>
      </c>
      <c r="C543" s="2" t="inlineStr">
        <is>
          <t>on</t>
        </is>
      </c>
      <c r="D543" s="2" t="n">
        <v>1228</v>
      </c>
      <c r="E543" s="2" t="inlineStr">
        <is>
          <t>browser safari260</t>
        </is>
      </c>
      <c r="F543" s="2" t="b">
        <v>1</v>
      </c>
      <c r="G543" s="2" t="n">
        <v>2</v>
      </c>
      <c r="H543" s="2" t="n">
        <v>1537</v>
      </c>
      <c r="I543" s="2" t="n">
        <v>1537</v>
      </c>
      <c r="J543" s="2" t="n">
        <v>1223</v>
      </c>
      <c r="K543" s="2">
        <f>H543+5&gt;D543</f>
        <v/>
      </c>
      <c r="L543" s="2">
        <f>J543&lt;I543</f>
        <v/>
      </c>
      <c r="M543" s="2" t="b">
        <v>1</v>
      </c>
      <c r="N543" s="2" t="b">
        <v>0</v>
      </c>
      <c r="O543" s="2" t="inlineStr">
        <is>
          <t>unknown</t>
        </is>
      </c>
      <c r="P543" s="2">
        <f>O543&lt;&gt;"unknown"</f>
        <v/>
      </c>
    </row>
    <row r="544">
      <c r="A544" s="2" t="inlineStr">
        <is>
          <t>1280-on</t>
        </is>
      </c>
      <c r="B544" s="2" t="n">
        <v>1280</v>
      </c>
      <c r="C544" s="2" t="inlineStr">
        <is>
          <t>on</t>
        </is>
      </c>
      <c r="D544" s="2" t="n">
        <v>1228</v>
      </c>
      <c r="E544" s="2" t="inlineStr">
        <is>
          <t>browser safari260</t>
        </is>
      </c>
      <c r="F544" s="2" t="b">
        <v>1</v>
      </c>
      <c r="G544" s="2" t="n">
        <v>3</v>
      </c>
      <c r="H544" s="2" t="n">
        <v>1537</v>
      </c>
      <c r="I544" s="2" t="n">
        <v>1537</v>
      </c>
      <c r="J544" s="2" t="n">
        <v>1223</v>
      </c>
      <c r="K544" s="2">
        <f>H544+5&gt;D544</f>
        <v/>
      </c>
      <c r="L544" s="2">
        <f>J544&lt;I544</f>
        <v/>
      </c>
      <c r="M544" s="2" t="b">
        <v>1</v>
      </c>
      <c r="N544" s="2" t="b">
        <v>0</v>
      </c>
      <c r="O544" s="2" t="inlineStr">
        <is>
          <t>unknown</t>
        </is>
      </c>
      <c r="P544" s="2">
        <f>O544&lt;&gt;"unknown"</f>
        <v/>
      </c>
    </row>
    <row r="545">
      <c r="A545" s="2" t="inlineStr">
        <is>
          <t>1280-on</t>
        </is>
      </c>
      <c r="B545" s="2" t="n">
        <v>1280</v>
      </c>
      <c r="C545" s="2" t="inlineStr">
        <is>
          <t>on</t>
        </is>
      </c>
      <c r="D545" s="2" t="n">
        <v>1228</v>
      </c>
      <c r="E545" s="2" t="inlineStr">
        <is>
          <t>browser safari260</t>
        </is>
      </c>
      <c r="F545" s="2" t="b">
        <v>1</v>
      </c>
      <c r="G545" s="2" t="n">
        <v>4</v>
      </c>
      <c r="H545" s="2" t="n">
        <v>1537</v>
      </c>
      <c r="I545" s="2" t="n">
        <v>1537</v>
      </c>
      <c r="J545" s="2" t="n">
        <v>1223</v>
      </c>
      <c r="K545" s="2">
        <f>H545+5&gt;D545</f>
        <v/>
      </c>
      <c r="L545" s="2">
        <f>J545&lt;I545</f>
        <v/>
      </c>
      <c r="M545" s="2" t="b">
        <v>1</v>
      </c>
      <c r="N545" s="2" t="b">
        <v>0</v>
      </c>
      <c r="O545" s="2" t="inlineStr">
        <is>
          <t>unknown</t>
        </is>
      </c>
      <c r="P545" s="2">
        <f>O545&lt;&gt;"unknown"</f>
        <v/>
      </c>
    </row>
    <row r="546">
      <c r="A546" s="2" t="inlineStr">
        <is>
          <t>1280-on</t>
        </is>
      </c>
      <c r="B546" s="2" t="n">
        <v>1280</v>
      </c>
      <c r="C546" s="2" t="inlineStr">
        <is>
          <t>on</t>
        </is>
      </c>
      <c r="D546" s="2" t="n">
        <v>1228</v>
      </c>
      <c r="E546" s="2" t="inlineStr">
        <is>
          <t>browser safari260</t>
        </is>
      </c>
      <c r="F546" s="2" t="b">
        <v>1</v>
      </c>
      <c r="G546" s="2" t="n">
        <v>5</v>
      </c>
      <c r="H546" s="2" t="n">
        <v>1537</v>
      </c>
      <c r="I546" s="2" t="n">
        <v>1537</v>
      </c>
      <c r="J546" s="2" t="n">
        <v>1223</v>
      </c>
      <c r="K546" s="2">
        <f>H546+5&gt;D546</f>
        <v/>
      </c>
      <c r="L546" s="2">
        <f>J546&lt;I546</f>
        <v/>
      </c>
      <c r="M546" s="2" t="b">
        <v>1</v>
      </c>
      <c r="N546" s="2" t="b">
        <v>0</v>
      </c>
      <c r="O546" s="2" t="inlineStr">
        <is>
          <t>unknown</t>
        </is>
      </c>
      <c r="P546" s="2">
        <f>O546&lt;&gt;"unknown"</f>
        <v/>
      </c>
    </row>
    <row r="547">
      <c r="A547" s="2" t="inlineStr">
        <is>
          <t>1280-on</t>
        </is>
      </c>
      <c r="B547" s="2" t="n">
        <v>1280</v>
      </c>
      <c r="C547" s="2" t="inlineStr">
        <is>
          <t>on</t>
        </is>
      </c>
      <c r="D547" s="2" t="n">
        <v>1228</v>
      </c>
      <c r="E547" s="2" t="inlineStr">
        <is>
          <t>browser safari260</t>
        </is>
      </c>
      <c r="F547" s="2" t="b">
        <v>1</v>
      </c>
      <c r="G547" s="2" t="n">
        <v>6</v>
      </c>
      <c r="H547" s="2" t="n">
        <v>1537</v>
      </c>
      <c r="I547" s="2" t="n">
        <v>1537</v>
      </c>
      <c r="J547" s="2" t="n">
        <v>1223</v>
      </c>
      <c r="K547" s="2">
        <f>H547+5&gt;D547</f>
        <v/>
      </c>
      <c r="L547" s="2">
        <f>J547&lt;I547</f>
        <v/>
      </c>
      <c r="M547" s="2" t="b">
        <v>1</v>
      </c>
      <c r="N547" s="2" t="b">
        <v>0</v>
      </c>
      <c r="O547" s="2" t="inlineStr">
        <is>
          <t>unknown</t>
        </is>
      </c>
      <c r="P547" s="2">
        <f>O547&lt;&gt;"unknown"</f>
        <v/>
      </c>
    </row>
    <row r="548">
      <c r="A548" s="2" t="inlineStr">
        <is>
          <t>1280-on</t>
        </is>
      </c>
      <c r="B548" s="2" t="n">
        <v>1280</v>
      </c>
      <c r="C548" s="2" t="inlineStr">
        <is>
          <t>on</t>
        </is>
      </c>
      <c r="D548" s="2" t="n">
        <v>1228</v>
      </c>
      <c r="E548" s="2" t="inlineStr">
        <is>
          <t>browser safari260</t>
        </is>
      </c>
      <c r="F548" s="2" t="b">
        <v>1</v>
      </c>
      <c r="G548" s="2" t="n">
        <v>7</v>
      </c>
      <c r="H548" s="2" t="n">
        <v>1537</v>
      </c>
      <c r="I548" s="2" t="n">
        <v>1537</v>
      </c>
      <c r="J548" s="2" t="n">
        <v>1223</v>
      </c>
      <c r="K548" s="2">
        <f>H548+5&gt;D548</f>
        <v/>
      </c>
      <c r="L548" s="2">
        <f>J548&lt;I548</f>
        <v/>
      </c>
      <c r="M548" s="2" t="b">
        <v>1</v>
      </c>
      <c r="N548" s="2" t="b">
        <v>0</v>
      </c>
      <c r="O548" s="2" t="inlineStr">
        <is>
          <t>unknown</t>
        </is>
      </c>
      <c r="P548" s="2">
        <f>O548&lt;&gt;"unknown"</f>
        <v/>
      </c>
    </row>
    <row r="549">
      <c r="A549" s="2" t="inlineStr">
        <is>
          <t>1280-on</t>
        </is>
      </c>
      <c r="B549" s="2" t="n">
        <v>1280</v>
      </c>
      <c r="C549" s="2" t="inlineStr">
        <is>
          <t>on</t>
        </is>
      </c>
      <c r="D549" s="2" t="n">
        <v>1228</v>
      </c>
      <c r="E549" s="2" t="inlineStr">
        <is>
          <t>browser safari260</t>
        </is>
      </c>
      <c r="F549" s="2" t="b">
        <v>1</v>
      </c>
      <c r="G549" s="2" t="n">
        <v>8</v>
      </c>
      <c r="H549" s="2" t="n">
        <v>1537</v>
      </c>
      <c r="I549" s="2" t="n">
        <v>1537</v>
      </c>
      <c r="J549" s="2" t="n">
        <v>1223</v>
      </c>
      <c r="K549" s="2">
        <f>H549+5&gt;D549</f>
        <v/>
      </c>
      <c r="L549" s="2">
        <f>J549&lt;I549</f>
        <v/>
      </c>
      <c r="M549" s="2" t="b">
        <v>1</v>
      </c>
      <c r="N549" s="2" t="b">
        <v>0</v>
      </c>
      <c r="O549" s="2" t="inlineStr">
        <is>
          <t>unknown</t>
        </is>
      </c>
      <c r="P549" s="2">
        <f>O549&lt;&gt;"unknown"</f>
        <v/>
      </c>
    </row>
    <row r="550">
      <c r="A550" s="2" t="inlineStr">
        <is>
          <t>1280-on</t>
        </is>
      </c>
      <c r="B550" s="2" t="n">
        <v>1280</v>
      </c>
      <c r="C550" s="2" t="inlineStr">
        <is>
          <t>on</t>
        </is>
      </c>
      <c r="D550" s="2" t="n">
        <v>1228</v>
      </c>
      <c r="E550" s="2" t="inlineStr">
        <is>
          <t>browser safari260</t>
        </is>
      </c>
      <c r="F550" s="2" t="b">
        <v>1</v>
      </c>
      <c r="G550" s="2" t="n">
        <v>9</v>
      </c>
      <c r="H550" s="2" t="n">
        <v>1537</v>
      </c>
      <c r="I550" s="2" t="n">
        <v>1537</v>
      </c>
      <c r="J550" s="2" t="n">
        <v>1223</v>
      </c>
      <c r="K550" s="2">
        <f>H550+5&gt;D550</f>
        <v/>
      </c>
      <c r="L550" s="2">
        <f>J550&lt;I550</f>
        <v/>
      </c>
      <c r="M550" s="2" t="b">
        <v>1</v>
      </c>
      <c r="N550" s="2" t="b">
        <v>0</v>
      </c>
      <c r="O550" s="2" t="inlineStr">
        <is>
          <t>unknown</t>
        </is>
      </c>
      <c r="P550" s="2">
        <f>O550&lt;&gt;"unknown"</f>
        <v/>
      </c>
    </row>
    <row r="551">
      <c r="A551" s="2" t="inlineStr">
        <is>
          <t>1280-on</t>
        </is>
      </c>
      <c r="B551" s="2" t="n">
        <v>1280</v>
      </c>
      <c r="C551" s="2" t="inlineStr">
        <is>
          <t>on</t>
        </is>
      </c>
      <c r="D551" s="2" t="n">
        <v>1228</v>
      </c>
      <c r="E551" s="2" t="inlineStr">
        <is>
          <t>browser safari260</t>
        </is>
      </c>
      <c r="F551" s="2" t="b">
        <v>1</v>
      </c>
      <c r="G551" s="2" t="n">
        <v>10</v>
      </c>
      <c r="H551" s="2" t="n">
        <v>1537</v>
      </c>
      <c r="I551" s="2" t="n">
        <v>1537</v>
      </c>
      <c r="J551" s="2" t="n">
        <v>1223</v>
      </c>
      <c r="K551" s="2">
        <f>H551+5&gt;D551</f>
        <v/>
      </c>
      <c r="L551" s="2">
        <f>J551&lt;I551</f>
        <v/>
      </c>
      <c r="M551" s="2" t="b">
        <v>1</v>
      </c>
      <c r="N551" s="2" t="b">
        <v>0</v>
      </c>
      <c r="O551" s="2" t="inlineStr">
        <is>
          <t>unknown</t>
        </is>
      </c>
      <c r="P551" s="2">
        <f>O551&lt;&gt;"unknown"</f>
        <v/>
      </c>
    </row>
    <row r="552">
      <c r="A552" s="2" t="inlineStr">
        <is>
          <t>1280-on</t>
        </is>
      </c>
      <c r="B552" s="2" t="n">
        <v>1280</v>
      </c>
      <c r="C552" s="2" t="inlineStr">
        <is>
          <t>on</t>
        </is>
      </c>
      <c r="D552" s="2" t="n">
        <v>1228</v>
      </c>
      <c r="E552" s="2" t="inlineStr">
        <is>
          <t>browser safari260</t>
        </is>
      </c>
      <c r="F552" s="2" t="b">
        <v>1</v>
      </c>
      <c r="G552" s="2" t="n">
        <v>11</v>
      </c>
      <c r="H552" s="2" t="n">
        <v>1537</v>
      </c>
      <c r="I552" s="2" t="n">
        <v>1537</v>
      </c>
      <c r="J552" s="2" t="n">
        <v>1223</v>
      </c>
      <c r="K552" s="2">
        <f>H552+5&gt;D552</f>
        <v/>
      </c>
      <c r="L552" s="2">
        <f>J552&lt;I552</f>
        <v/>
      </c>
      <c r="M552" s="2" t="b">
        <v>1</v>
      </c>
      <c r="N552" s="2" t="b">
        <v>0</v>
      </c>
      <c r="O552" s="2" t="inlineStr">
        <is>
          <t>unknown</t>
        </is>
      </c>
      <c r="P552" s="2">
        <f>O552&lt;&gt;"unknown"</f>
        <v/>
      </c>
    </row>
    <row r="553">
      <c r="A553" s="2" t="inlineStr">
        <is>
          <t>1280-on</t>
        </is>
      </c>
      <c r="B553" s="2" t="n">
        <v>1280</v>
      </c>
      <c r="C553" s="2" t="inlineStr">
        <is>
          <t>on</t>
        </is>
      </c>
      <c r="D553" s="2" t="n">
        <v>1228</v>
      </c>
      <c r="E553" s="2" t="inlineStr">
        <is>
          <t>browser safari260</t>
        </is>
      </c>
      <c r="F553" s="2" t="b">
        <v>1</v>
      </c>
      <c r="G553" s="2" t="n">
        <v>12</v>
      </c>
      <c r="H553" s="2" t="n">
        <v>1537</v>
      </c>
      <c r="I553" s="2" t="n">
        <v>1537</v>
      </c>
      <c r="J553" s="2" t="n">
        <v>1223</v>
      </c>
      <c r="K553" s="2">
        <f>H553+5&gt;D553</f>
        <v/>
      </c>
      <c r="L553" s="2">
        <f>J553&lt;I553</f>
        <v/>
      </c>
      <c r="M553" s="2" t="b">
        <v>1</v>
      </c>
      <c r="N553" s="2" t="b">
        <v>0</v>
      </c>
      <c r="O553" s="2" t="inlineStr">
        <is>
          <t>unknown</t>
        </is>
      </c>
      <c r="P553" s="2">
        <f>O553&lt;&gt;"unknown"</f>
        <v/>
      </c>
    </row>
    <row r="554">
      <c r="A554" s="2" t="inlineStr">
        <is>
          <t>1280-on</t>
        </is>
      </c>
      <c r="B554" s="2" t="n">
        <v>1280</v>
      </c>
      <c r="C554" s="2" t="inlineStr">
        <is>
          <t>on</t>
        </is>
      </c>
      <c r="D554" s="2" t="n">
        <v>1228</v>
      </c>
      <c r="E554" s="2" t="inlineStr">
        <is>
          <t>browser safari260</t>
        </is>
      </c>
      <c r="F554" s="2" t="b">
        <v>1</v>
      </c>
      <c r="G554" s="2" t="n">
        <v>13</v>
      </c>
      <c r="H554" s="2" t="n">
        <v>1537</v>
      </c>
      <c r="I554" s="2" t="n">
        <v>1537</v>
      </c>
      <c r="J554" s="2" t="n">
        <v>1223</v>
      </c>
      <c r="K554" s="2">
        <f>H554+5&gt;D554</f>
        <v/>
      </c>
      <c r="L554" s="2">
        <f>J554&lt;I554</f>
        <v/>
      </c>
      <c r="M554" s="2" t="b">
        <v>1</v>
      </c>
      <c r="N554" s="2" t="b">
        <v>0</v>
      </c>
      <c r="O554" s="2" t="inlineStr">
        <is>
          <t>unknown</t>
        </is>
      </c>
      <c r="P554" s="2">
        <f>O554&lt;&gt;"unknown"</f>
        <v/>
      </c>
    </row>
    <row r="555">
      <c r="A555" s="2" t="inlineStr">
        <is>
          <t>1280-on</t>
        </is>
      </c>
      <c r="B555" s="2" t="n">
        <v>1280</v>
      </c>
      <c r="C555" s="2" t="inlineStr">
        <is>
          <t>on</t>
        </is>
      </c>
      <c r="D555" s="2" t="n">
        <v>1228</v>
      </c>
      <c r="E555" s="2" t="inlineStr">
        <is>
          <t>browser safari260</t>
        </is>
      </c>
      <c r="F555" s="2" t="b">
        <v>1</v>
      </c>
      <c r="G555" s="2" t="n">
        <v>14</v>
      </c>
      <c r="H555" s="2" t="n">
        <v>1537</v>
      </c>
      <c r="I555" s="2" t="n">
        <v>1537</v>
      </c>
      <c r="J555" s="2" t="n">
        <v>1223</v>
      </c>
      <c r="K555" s="2">
        <f>H555+5&gt;D555</f>
        <v/>
      </c>
      <c r="L555" s="2">
        <f>J555&lt;I555</f>
        <v/>
      </c>
      <c r="M555" s="2" t="b">
        <v>1</v>
      </c>
      <c r="N555" s="2" t="b">
        <v>0</v>
      </c>
      <c r="O555" s="2" t="inlineStr">
        <is>
          <t>unknown</t>
        </is>
      </c>
      <c r="P555" s="2">
        <f>O555&lt;&gt;"unknown"</f>
        <v/>
      </c>
    </row>
    <row r="556">
      <c r="A556" s="2" t="inlineStr">
        <is>
          <t>1280-on</t>
        </is>
      </c>
      <c r="B556" s="2" t="n">
        <v>1280</v>
      </c>
      <c r="C556" s="2" t="inlineStr">
        <is>
          <t>on</t>
        </is>
      </c>
      <c r="D556" s="2" t="n">
        <v>1228</v>
      </c>
      <c r="E556" s="2" t="inlineStr">
        <is>
          <t>browser safari260</t>
        </is>
      </c>
      <c r="F556" s="2" t="b">
        <v>1</v>
      </c>
      <c r="G556" s="2" t="n">
        <v>15</v>
      </c>
      <c r="H556" s="2" t="n">
        <v>1537</v>
      </c>
      <c r="I556" s="2" t="n">
        <v>1537</v>
      </c>
      <c r="J556" s="2" t="n">
        <v>1223</v>
      </c>
      <c r="K556" s="2">
        <f>H556+5&gt;D556</f>
        <v/>
      </c>
      <c r="L556" s="2">
        <f>J556&lt;I556</f>
        <v/>
      </c>
      <c r="M556" s="2" t="b">
        <v>1</v>
      </c>
      <c r="N556" s="2" t="b">
        <v>0</v>
      </c>
      <c r="O556" s="2" t="inlineStr">
        <is>
          <t>unknown</t>
        </is>
      </c>
      <c r="P556" s="2">
        <f>O556&lt;&gt;"unknown"</f>
        <v/>
      </c>
    </row>
    <row r="557">
      <c r="A557" s="2" t="inlineStr">
        <is>
          <t>1280-on</t>
        </is>
      </c>
      <c r="B557" s="2" t="n">
        <v>1280</v>
      </c>
      <c r="C557" s="2" t="inlineStr">
        <is>
          <t>on</t>
        </is>
      </c>
      <c r="D557" s="2" t="n">
        <v>1228</v>
      </c>
      <c r="E557" s="2" t="inlineStr">
        <is>
          <t>browser safari260</t>
        </is>
      </c>
      <c r="F557" s="2" t="b">
        <v>1</v>
      </c>
      <c r="G557" s="2" t="n">
        <v>16</v>
      </c>
      <c r="H557" s="2" t="n">
        <v>1537</v>
      </c>
      <c r="I557" s="2" t="n">
        <v>1537</v>
      </c>
      <c r="J557" s="2" t="n">
        <v>1223</v>
      </c>
      <c r="K557" s="2">
        <f>H557+5&gt;D557</f>
        <v/>
      </c>
      <c r="L557" s="2">
        <f>J557&lt;I557</f>
        <v/>
      </c>
      <c r="M557" s="2" t="b">
        <v>1</v>
      </c>
      <c r="N557" s="2" t="b">
        <v>0</v>
      </c>
      <c r="O557" s="2" t="inlineStr">
        <is>
          <t>unknown</t>
        </is>
      </c>
      <c r="P557" s="2">
        <f>O557&lt;&gt;"unknown"</f>
        <v/>
      </c>
    </row>
    <row r="558">
      <c r="A558" s="2" t="inlineStr">
        <is>
          <t>1280-on</t>
        </is>
      </c>
      <c r="B558" s="2" t="n">
        <v>1280</v>
      </c>
      <c r="C558" s="2" t="inlineStr">
        <is>
          <t>on</t>
        </is>
      </c>
      <c r="D558" s="2" t="n">
        <v>1228</v>
      </c>
      <c r="E558" s="2" t="inlineStr">
        <is>
          <t>browser safari260</t>
        </is>
      </c>
      <c r="F558" s="2" t="b">
        <v>1</v>
      </c>
      <c r="G558" s="2" t="n">
        <v>17</v>
      </c>
      <c r="H558" s="2" t="n">
        <v>1537</v>
      </c>
      <c r="I558" s="2" t="n">
        <v>1537</v>
      </c>
      <c r="J558" s="2" t="n">
        <v>1223</v>
      </c>
      <c r="K558" s="2">
        <f>H558+5&gt;D558</f>
        <v/>
      </c>
      <c r="L558" s="2">
        <f>J558&lt;I558</f>
        <v/>
      </c>
      <c r="M558" s="2" t="b">
        <v>1</v>
      </c>
      <c r="N558" s="2" t="b">
        <v>0</v>
      </c>
      <c r="O558" s="2" t="inlineStr">
        <is>
          <t>unknown</t>
        </is>
      </c>
      <c r="P558" s="2">
        <f>O558&lt;&gt;"unknown"</f>
        <v/>
      </c>
    </row>
    <row r="559">
      <c r="A559" s="2" t="inlineStr">
        <is>
          <t>1280-on</t>
        </is>
      </c>
      <c r="B559" s="2" t="n">
        <v>1280</v>
      </c>
      <c r="C559" s="2" t="inlineStr">
        <is>
          <t>on</t>
        </is>
      </c>
      <c r="D559" s="2" t="n">
        <v>1228</v>
      </c>
      <c r="E559" s="2" t="inlineStr">
        <is>
          <t>browser safari260</t>
        </is>
      </c>
      <c r="F559" s="2" t="b">
        <v>1</v>
      </c>
      <c r="G559" s="2" t="n">
        <v>18</v>
      </c>
      <c r="H559" s="2" t="n">
        <v>1537</v>
      </c>
      <c r="I559" s="2" t="n">
        <v>1537</v>
      </c>
      <c r="J559" s="2" t="n">
        <v>1223</v>
      </c>
      <c r="K559" s="2">
        <f>H559+5&gt;D559</f>
        <v/>
      </c>
      <c r="L559" s="2">
        <f>J559&lt;I559</f>
        <v/>
      </c>
      <c r="M559" s="2" t="b">
        <v>1</v>
      </c>
      <c r="N559" s="2" t="b">
        <v>0</v>
      </c>
      <c r="O559" s="2" t="inlineStr">
        <is>
          <t>unknown</t>
        </is>
      </c>
      <c r="P559" s="2">
        <f>O559&lt;&gt;"unknown"</f>
        <v/>
      </c>
    </row>
    <row r="560">
      <c r="A560" s="2" t="inlineStr">
        <is>
          <t>1280-on</t>
        </is>
      </c>
      <c r="B560" s="2" t="n">
        <v>1280</v>
      </c>
      <c r="C560" s="2" t="inlineStr">
        <is>
          <t>on</t>
        </is>
      </c>
      <c r="D560" s="2" t="n">
        <v>1228</v>
      </c>
      <c r="E560" s="2" t="inlineStr">
        <is>
          <t>browser safari260</t>
        </is>
      </c>
      <c r="F560" s="2" t="b">
        <v>1</v>
      </c>
      <c r="G560" s="2" t="n">
        <v>19</v>
      </c>
      <c r="H560" s="2" t="n">
        <v>1537</v>
      </c>
      <c r="I560" s="2" t="n">
        <v>1537</v>
      </c>
      <c r="J560" s="2" t="n">
        <v>1223</v>
      </c>
      <c r="K560" s="2">
        <f>H560+5&gt;D560</f>
        <v/>
      </c>
      <c r="L560" s="2">
        <f>J560&lt;I560</f>
        <v/>
      </c>
      <c r="M560" s="2" t="b">
        <v>1</v>
      </c>
      <c r="N560" s="2" t="b">
        <v>0</v>
      </c>
      <c r="O560" s="2" t="inlineStr">
        <is>
          <t>unknown</t>
        </is>
      </c>
      <c r="P560" s="2">
        <f>O560&lt;&gt;"unknown"</f>
        <v/>
      </c>
    </row>
    <row r="561">
      <c r="A561" s="2" t="inlineStr">
        <is>
          <t>1280-on</t>
        </is>
      </c>
      <c r="B561" s="2" t="n">
        <v>1280</v>
      </c>
      <c r="C561" s="2" t="inlineStr">
        <is>
          <t>on</t>
        </is>
      </c>
      <c r="D561" s="2" t="n">
        <v>1228</v>
      </c>
      <c r="E561" s="2" t="inlineStr">
        <is>
          <t>browser safari260</t>
        </is>
      </c>
      <c r="F561" s="2" t="b">
        <v>1</v>
      </c>
      <c r="G561" s="2" t="n">
        <v>20</v>
      </c>
      <c r="H561" s="2" t="n">
        <v>1537</v>
      </c>
      <c r="I561" s="2" t="n">
        <v>1537</v>
      </c>
      <c r="J561" s="2" t="n">
        <v>1223</v>
      </c>
      <c r="K561" s="2">
        <f>H561+5&gt;D561</f>
        <v/>
      </c>
      <c r="L561" s="2">
        <f>J561&lt;I561</f>
        <v/>
      </c>
      <c r="M561" s="2" t="b">
        <v>1</v>
      </c>
      <c r="N561" s="2" t="b">
        <v>0</v>
      </c>
      <c r="O561" s="2" t="inlineStr">
        <is>
          <t>unknown</t>
        </is>
      </c>
      <c r="P561" s="2">
        <f>O561&lt;&gt;"unknown"</f>
        <v/>
      </c>
    </row>
    <row r="562">
      <c r="A562" s="2" t="inlineStr">
        <is>
          <t>1280-on</t>
        </is>
      </c>
      <c r="B562" s="2" t="n">
        <v>1280</v>
      </c>
      <c r="C562" s="2" t="inlineStr">
        <is>
          <t>on</t>
        </is>
      </c>
      <c r="D562" s="2" t="n">
        <v>1228</v>
      </c>
      <c r="E562" s="2" t="inlineStr">
        <is>
          <t>browser safari260_ios</t>
        </is>
      </c>
      <c r="F562" s="2" t="b">
        <v>0</v>
      </c>
      <c r="G562" s="2" t="n">
        <v>1</v>
      </c>
      <c r="H562" s="2" t="n">
        <v>512</v>
      </c>
      <c r="I562" s="2" t="n">
        <v>512</v>
      </c>
      <c r="J562" s="2" t="n">
        <v>512</v>
      </c>
      <c r="K562" s="2">
        <f>H562+5&gt;D562</f>
        <v/>
      </c>
      <c r="L562" s="2">
        <f>J562&lt;I562</f>
        <v/>
      </c>
      <c r="M562" s="2" t="b">
        <v>1</v>
      </c>
      <c r="N562" s="2" t="b">
        <v>1</v>
      </c>
      <c r="O562" s="2" t="inlineStr">
        <is>
          <t>allow</t>
        </is>
      </c>
      <c r="P562" s="2">
        <f>O562&lt;&gt;"unknown"</f>
        <v/>
      </c>
    </row>
    <row r="563">
      <c r="A563" s="2" t="inlineStr">
        <is>
          <t>1280-on</t>
        </is>
      </c>
      <c r="B563" s="2" t="n">
        <v>1280</v>
      </c>
      <c r="C563" s="2" t="inlineStr">
        <is>
          <t>on</t>
        </is>
      </c>
      <c r="D563" s="2" t="n">
        <v>1228</v>
      </c>
      <c r="E563" s="2" t="inlineStr">
        <is>
          <t>browser safari260_ios</t>
        </is>
      </c>
      <c r="F563" s="2" t="b">
        <v>0</v>
      </c>
      <c r="G563" s="2" t="n">
        <v>2</v>
      </c>
      <c r="H563" s="2" t="n">
        <v>512</v>
      </c>
      <c r="I563" s="2" t="n">
        <v>512</v>
      </c>
      <c r="J563" s="2" t="n">
        <v>512</v>
      </c>
      <c r="K563" s="2">
        <f>H563+5&gt;D563</f>
        <v/>
      </c>
      <c r="L563" s="2">
        <f>J563&lt;I563</f>
        <v/>
      </c>
      <c r="M563" s="2" t="b">
        <v>1</v>
      </c>
      <c r="N563" s="2" t="b">
        <v>1</v>
      </c>
      <c r="O563" s="2" t="inlineStr">
        <is>
          <t>allow</t>
        </is>
      </c>
      <c r="P563" s="2">
        <f>O563&lt;&gt;"unknown"</f>
        <v/>
      </c>
    </row>
    <row r="564">
      <c r="A564" s="2" t="inlineStr">
        <is>
          <t>1280-on</t>
        </is>
      </c>
      <c r="B564" s="2" t="n">
        <v>1280</v>
      </c>
      <c r="C564" s="2" t="inlineStr">
        <is>
          <t>on</t>
        </is>
      </c>
      <c r="D564" s="2" t="n">
        <v>1228</v>
      </c>
      <c r="E564" s="2" t="inlineStr">
        <is>
          <t>browser safari260_ios</t>
        </is>
      </c>
      <c r="F564" s="2" t="b">
        <v>0</v>
      </c>
      <c r="G564" s="2" t="n">
        <v>3</v>
      </c>
      <c r="H564" s="2" t="n">
        <v>512</v>
      </c>
      <c r="I564" s="2" t="n">
        <v>512</v>
      </c>
      <c r="J564" s="2" t="n">
        <v>512</v>
      </c>
      <c r="K564" s="2">
        <f>H564+5&gt;D564</f>
        <v/>
      </c>
      <c r="L564" s="2">
        <f>J564&lt;I564</f>
        <v/>
      </c>
      <c r="M564" s="2" t="b">
        <v>1</v>
      </c>
      <c r="N564" s="2" t="b">
        <v>1</v>
      </c>
      <c r="O564" s="2" t="inlineStr">
        <is>
          <t>allow</t>
        </is>
      </c>
      <c r="P564" s="2">
        <f>O564&lt;&gt;"unknown"</f>
        <v/>
      </c>
    </row>
    <row r="565">
      <c r="A565" s="2" t="inlineStr">
        <is>
          <t>1280-on</t>
        </is>
      </c>
      <c r="B565" s="2" t="n">
        <v>1280</v>
      </c>
      <c r="C565" s="2" t="inlineStr">
        <is>
          <t>on</t>
        </is>
      </c>
      <c r="D565" s="2" t="n">
        <v>1228</v>
      </c>
      <c r="E565" s="2" t="inlineStr">
        <is>
          <t>browser safari260_ios</t>
        </is>
      </c>
      <c r="F565" s="2" t="b">
        <v>0</v>
      </c>
      <c r="G565" s="2" t="n">
        <v>4</v>
      </c>
      <c r="H565" s="2" t="n">
        <v>512</v>
      </c>
      <c r="I565" s="2" t="n">
        <v>512</v>
      </c>
      <c r="J565" s="2" t="n">
        <v>512</v>
      </c>
      <c r="K565" s="2">
        <f>H565+5&gt;D565</f>
        <v/>
      </c>
      <c r="L565" s="2">
        <f>J565&lt;I565</f>
        <v/>
      </c>
      <c r="M565" s="2" t="b">
        <v>1</v>
      </c>
      <c r="N565" s="2" t="b">
        <v>1</v>
      </c>
      <c r="O565" s="2" t="inlineStr">
        <is>
          <t>allow</t>
        </is>
      </c>
      <c r="P565" s="2">
        <f>O565&lt;&gt;"unknown"</f>
        <v/>
      </c>
    </row>
    <row r="566">
      <c r="A566" s="2" t="inlineStr">
        <is>
          <t>1280-on</t>
        </is>
      </c>
      <c r="B566" s="2" t="n">
        <v>1280</v>
      </c>
      <c r="C566" s="2" t="inlineStr">
        <is>
          <t>on</t>
        </is>
      </c>
      <c r="D566" s="2" t="n">
        <v>1228</v>
      </c>
      <c r="E566" s="2" t="inlineStr">
        <is>
          <t>browser safari260_ios</t>
        </is>
      </c>
      <c r="F566" s="2" t="b">
        <v>0</v>
      </c>
      <c r="G566" s="2" t="n">
        <v>5</v>
      </c>
      <c r="H566" s="2" t="n">
        <v>512</v>
      </c>
      <c r="I566" s="2" t="n">
        <v>512</v>
      </c>
      <c r="J566" s="2" t="n">
        <v>512</v>
      </c>
      <c r="K566" s="2">
        <f>H566+5&gt;D566</f>
        <v/>
      </c>
      <c r="L566" s="2">
        <f>J566&lt;I566</f>
        <v/>
      </c>
      <c r="M566" s="2" t="b">
        <v>1</v>
      </c>
      <c r="N566" s="2" t="b">
        <v>1</v>
      </c>
      <c r="O566" s="2" t="inlineStr">
        <is>
          <t>allow</t>
        </is>
      </c>
      <c r="P566" s="2">
        <f>O566&lt;&gt;"unknown"</f>
        <v/>
      </c>
    </row>
    <row r="567">
      <c r="A567" s="2" t="inlineStr">
        <is>
          <t>1280-on</t>
        </is>
      </c>
      <c r="B567" s="2" t="n">
        <v>1280</v>
      </c>
      <c r="C567" s="2" t="inlineStr">
        <is>
          <t>on</t>
        </is>
      </c>
      <c r="D567" s="2" t="n">
        <v>1228</v>
      </c>
      <c r="E567" s="2" t="inlineStr">
        <is>
          <t>browser safari260_ios</t>
        </is>
      </c>
      <c r="F567" s="2" t="b">
        <v>0</v>
      </c>
      <c r="G567" s="2" t="n">
        <v>6</v>
      </c>
      <c r="H567" s="2" t="n">
        <v>512</v>
      </c>
      <c r="I567" s="2" t="n">
        <v>512</v>
      </c>
      <c r="J567" s="2" t="n">
        <v>512</v>
      </c>
      <c r="K567" s="2">
        <f>H567+5&gt;D567</f>
        <v/>
      </c>
      <c r="L567" s="2">
        <f>J567&lt;I567</f>
        <v/>
      </c>
      <c r="M567" s="2" t="b">
        <v>1</v>
      </c>
      <c r="N567" s="2" t="b">
        <v>1</v>
      </c>
      <c r="O567" s="2" t="inlineStr">
        <is>
          <t>allow</t>
        </is>
      </c>
      <c r="P567" s="2">
        <f>O567&lt;&gt;"unknown"</f>
        <v/>
      </c>
    </row>
    <row r="568">
      <c r="A568" s="2" t="inlineStr">
        <is>
          <t>1280-on</t>
        </is>
      </c>
      <c r="B568" s="2" t="n">
        <v>1280</v>
      </c>
      <c r="C568" s="2" t="inlineStr">
        <is>
          <t>on</t>
        </is>
      </c>
      <c r="D568" s="2" t="n">
        <v>1228</v>
      </c>
      <c r="E568" s="2" t="inlineStr">
        <is>
          <t>browser safari260_ios</t>
        </is>
      </c>
      <c r="F568" s="2" t="b">
        <v>0</v>
      </c>
      <c r="G568" s="2" t="n">
        <v>7</v>
      </c>
      <c r="H568" s="2" t="n">
        <v>512</v>
      </c>
      <c r="I568" s="2" t="n">
        <v>512</v>
      </c>
      <c r="J568" s="2" t="n">
        <v>512</v>
      </c>
      <c r="K568" s="2">
        <f>H568+5&gt;D568</f>
        <v/>
      </c>
      <c r="L568" s="2">
        <f>J568&lt;I568</f>
        <v/>
      </c>
      <c r="M568" s="2" t="b">
        <v>1</v>
      </c>
      <c r="N568" s="2" t="b">
        <v>1</v>
      </c>
      <c r="O568" s="2" t="inlineStr">
        <is>
          <t>allow</t>
        </is>
      </c>
      <c r="P568" s="2">
        <f>O568&lt;&gt;"unknown"</f>
        <v/>
      </c>
    </row>
    <row r="569">
      <c r="A569" s="2" t="inlineStr">
        <is>
          <t>1280-on</t>
        </is>
      </c>
      <c r="B569" s="2" t="n">
        <v>1280</v>
      </c>
      <c r="C569" s="2" t="inlineStr">
        <is>
          <t>on</t>
        </is>
      </c>
      <c r="D569" s="2" t="n">
        <v>1228</v>
      </c>
      <c r="E569" s="2" t="inlineStr">
        <is>
          <t>browser safari260_ios</t>
        </is>
      </c>
      <c r="F569" s="2" t="b">
        <v>0</v>
      </c>
      <c r="G569" s="2" t="n">
        <v>8</v>
      </c>
      <c r="H569" s="2" t="n">
        <v>512</v>
      </c>
      <c r="I569" s="2" t="n">
        <v>512</v>
      </c>
      <c r="J569" s="2" t="n">
        <v>512</v>
      </c>
      <c r="K569" s="2">
        <f>H569+5&gt;D569</f>
        <v/>
      </c>
      <c r="L569" s="2">
        <f>J569&lt;I569</f>
        <v/>
      </c>
      <c r="M569" s="2" t="b">
        <v>1</v>
      </c>
      <c r="N569" s="2" t="b">
        <v>1</v>
      </c>
      <c r="O569" s="2" t="inlineStr">
        <is>
          <t>allow</t>
        </is>
      </c>
      <c r="P569" s="2">
        <f>O569&lt;&gt;"unknown"</f>
        <v/>
      </c>
    </row>
    <row r="570">
      <c r="A570" s="2" t="inlineStr">
        <is>
          <t>1280-on</t>
        </is>
      </c>
      <c r="B570" s="2" t="n">
        <v>1280</v>
      </c>
      <c r="C570" s="2" t="inlineStr">
        <is>
          <t>on</t>
        </is>
      </c>
      <c r="D570" s="2" t="n">
        <v>1228</v>
      </c>
      <c r="E570" s="2" t="inlineStr">
        <is>
          <t>browser safari260_ios</t>
        </is>
      </c>
      <c r="F570" s="2" t="b">
        <v>0</v>
      </c>
      <c r="G570" s="2" t="n">
        <v>9</v>
      </c>
      <c r="H570" s="2" t="n">
        <v>512</v>
      </c>
      <c r="I570" s="2" t="n">
        <v>512</v>
      </c>
      <c r="J570" s="2" t="n">
        <v>512</v>
      </c>
      <c r="K570" s="2">
        <f>H570+5&gt;D570</f>
        <v/>
      </c>
      <c r="L570" s="2">
        <f>J570&lt;I570</f>
        <v/>
      </c>
      <c r="M570" s="2" t="b">
        <v>1</v>
      </c>
      <c r="N570" s="2" t="b">
        <v>1</v>
      </c>
      <c r="O570" s="2" t="inlineStr">
        <is>
          <t>allow</t>
        </is>
      </c>
      <c r="P570" s="2">
        <f>O570&lt;&gt;"unknown"</f>
        <v/>
      </c>
    </row>
    <row r="571">
      <c r="A571" s="2" t="inlineStr">
        <is>
          <t>1280-on</t>
        </is>
      </c>
      <c r="B571" s="2" t="n">
        <v>1280</v>
      </c>
      <c r="C571" s="2" t="inlineStr">
        <is>
          <t>on</t>
        </is>
      </c>
      <c r="D571" s="2" t="n">
        <v>1228</v>
      </c>
      <c r="E571" s="2" t="inlineStr">
        <is>
          <t>browser safari260_ios</t>
        </is>
      </c>
      <c r="F571" s="2" t="b">
        <v>0</v>
      </c>
      <c r="G571" s="2" t="n">
        <v>10</v>
      </c>
      <c r="H571" s="2" t="n">
        <v>512</v>
      </c>
      <c r="I571" s="2" t="n">
        <v>512</v>
      </c>
      <c r="J571" s="2" t="n">
        <v>512</v>
      </c>
      <c r="K571" s="2">
        <f>H571+5&gt;D571</f>
        <v/>
      </c>
      <c r="L571" s="2">
        <f>J571&lt;I571</f>
        <v/>
      </c>
      <c r="M571" s="2" t="b">
        <v>1</v>
      </c>
      <c r="N571" s="2" t="b">
        <v>1</v>
      </c>
      <c r="O571" s="2" t="inlineStr">
        <is>
          <t>allow</t>
        </is>
      </c>
      <c r="P571" s="2">
        <f>O571&lt;&gt;"unknown"</f>
        <v/>
      </c>
    </row>
    <row r="572">
      <c r="A572" s="2" t="inlineStr">
        <is>
          <t>1280-on</t>
        </is>
      </c>
      <c r="B572" s="2" t="n">
        <v>1280</v>
      </c>
      <c r="C572" s="2" t="inlineStr">
        <is>
          <t>on</t>
        </is>
      </c>
      <c r="D572" s="2" t="n">
        <v>1228</v>
      </c>
      <c r="E572" s="2" t="inlineStr">
        <is>
          <t>browser safari260_ios</t>
        </is>
      </c>
      <c r="F572" s="2" t="b">
        <v>0</v>
      </c>
      <c r="G572" s="2" t="n">
        <v>11</v>
      </c>
      <c r="H572" s="2" t="n">
        <v>512</v>
      </c>
      <c r="I572" s="2" t="n">
        <v>512</v>
      </c>
      <c r="J572" s="2" t="n">
        <v>512</v>
      </c>
      <c r="K572" s="2">
        <f>H572+5&gt;D572</f>
        <v/>
      </c>
      <c r="L572" s="2">
        <f>J572&lt;I572</f>
        <v/>
      </c>
      <c r="M572" s="2" t="b">
        <v>1</v>
      </c>
      <c r="N572" s="2" t="b">
        <v>1</v>
      </c>
      <c r="O572" s="2" t="inlineStr">
        <is>
          <t>allow</t>
        </is>
      </c>
      <c r="P572" s="2">
        <f>O572&lt;&gt;"unknown"</f>
        <v/>
      </c>
    </row>
    <row r="573">
      <c r="A573" s="2" t="inlineStr">
        <is>
          <t>1280-on</t>
        </is>
      </c>
      <c r="B573" s="2" t="n">
        <v>1280</v>
      </c>
      <c r="C573" s="2" t="inlineStr">
        <is>
          <t>on</t>
        </is>
      </c>
      <c r="D573" s="2" t="n">
        <v>1228</v>
      </c>
      <c r="E573" s="2" t="inlineStr">
        <is>
          <t>browser safari260_ios</t>
        </is>
      </c>
      <c r="F573" s="2" t="b">
        <v>0</v>
      </c>
      <c r="G573" s="2" t="n">
        <v>12</v>
      </c>
      <c r="H573" s="2" t="n">
        <v>512</v>
      </c>
      <c r="I573" s="2" t="n">
        <v>512</v>
      </c>
      <c r="J573" s="2" t="n">
        <v>512</v>
      </c>
      <c r="K573" s="2">
        <f>H573+5&gt;D573</f>
        <v/>
      </c>
      <c r="L573" s="2">
        <f>J573&lt;I573</f>
        <v/>
      </c>
      <c r="M573" s="2" t="b">
        <v>1</v>
      </c>
      <c r="N573" s="2" t="b">
        <v>1</v>
      </c>
      <c r="O573" s="2" t="inlineStr">
        <is>
          <t>allow</t>
        </is>
      </c>
      <c r="P573" s="2">
        <f>O573&lt;&gt;"unknown"</f>
        <v/>
      </c>
    </row>
    <row r="574">
      <c r="A574" s="2" t="inlineStr">
        <is>
          <t>1280-on</t>
        </is>
      </c>
      <c r="B574" s="2" t="n">
        <v>1280</v>
      </c>
      <c r="C574" s="2" t="inlineStr">
        <is>
          <t>on</t>
        </is>
      </c>
      <c r="D574" s="2" t="n">
        <v>1228</v>
      </c>
      <c r="E574" s="2" t="inlineStr">
        <is>
          <t>browser safari260_ios</t>
        </is>
      </c>
      <c r="F574" s="2" t="b">
        <v>0</v>
      </c>
      <c r="G574" s="2" t="n">
        <v>13</v>
      </c>
      <c r="H574" s="2" t="n">
        <v>512</v>
      </c>
      <c r="I574" s="2" t="n">
        <v>512</v>
      </c>
      <c r="J574" s="2" t="n">
        <v>512</v>
      </c>
      <c r="K574" s="2">
        <f>H574+5&gt;D574</f>
        <v/>
      </c>
      <c r="L574" s="2">
        <f>J574&lt;I574</f>
        <v/>
      </c>
      <c r="M574" s="2" t="b">
        <v>1</v>
      </c>
      <c r="N574" s="2" t="b">
        <v>1</v>
      </c>
      <c r="O574" s="2" t="inlineStr">
        <is>
          <t>allow</t>
        </is>
      </c>
      <c r="P574" s="2">
        <f>O574&lt;&gt;"unknown"</f>
        <v/>
      </c>
    </row>
    <row r="575">
      <c r="A575" s="2" t="inlineStr">
        <is>
          <t>1280-on</t>
        </is>
      </c>
      <c r="B575" s="2" t="n">
        <v>1280</v>
      </c>
      <c r="C575" s="2" t="inlineStr">
        <is>
          <t>on</t>
        </is>
      </c>
      <c r="D575" s="2" t="n">
        <v>1228</v>
      </c>
      <c r="E575" s="2" t="inlineStr">
        <is>
          <t>browser safari260_ios</t>
        </is>
      </c>
      <c r="F575" s="2" t="b">
        <v>0</v>
      </c>
      <c r="G575" s="2" t="n">
        <v>14</v>
      </c>
      <c r="H575" s="2" t="n">
        <v>512</v>
      </c>
      <c r="I575" s="2" t="n">
        <v>512</v>
      </c>
      <c r="J575" s="2" t="n">
        <v>512</v>
      </c>
      <c r="K575" s="2">
        <f>H575+5&gt;D575</f>
        <v/>
      </c>
      <c r="L575" s="2">
        <f>J575&lt;I575</f>
        <v/>
      </c>
      <c r="M575" s="2" t="b">
        <v>1</v>
      </c>
      <c r="N575" s="2" t="b">
        <v>1</v>
      </c>
      <c r="O575" s="2" t="inlineStr">
        <is>
          <t>allow</t>
        </is>
      </c>
      <c r="P575" s="2">
        <f>O575&lt;&gt;"unknown"</f>
        <v/>
      </c>
    </row>
    <row r="576">
      <c r="A576" s="2" t="inlineStr">
        <is>
          <t>1280-on</t>
        </is>
      </c>
      <c r="B576" s="2" t="n">
        <v>1280</v>
      </c>
      <c r="C576" s="2" t="inlineStr">
        <is>
          <t>on</t>
        </is>
      </c>
      <c r="D576" s="2" t="n">
        <v>1228</v>
      </c>
      <c r="E576" s="2" t="inlineStr">
        <is>
          <t>browser safari260_ios</t>
        </is>
      </c>
      <c r="F576" s="2" t="b">
        <v>0</v>
      </c>
      <c r="G576" s="2" t="n">
        <v>15</v>
      </c>
      <c r="H576" s="2" t="n">
        <v>512</v>
      </c>
      <c r="I576" s="2" t="n">
        <v>512</v>
      </c>
      <c r="J576" s="2" t="n">
        <v>512</v>
      </c>
      <c r="K576" s="2">
        <f>H576+5&gt;D576</f>
        <v/>
      </c>
      <c r="L576" s="2">
        <f>J576&lt;I576</f>
        <v/>
      </c>
      <c r="M576" s="2" t="b">
        <v>1</v>
      </c>
      <c r="N576" s="2" t="b">
        <v>1</v>
      </c>
      <c r="O576" s="2" t="inlineStr">
        <is>
          <t>allow</t>
        </is>
      </c>
      <c r="P576" s="2">
        <f>O576&lt;&gt;"unknown"</f>
        <v/>
      </c>
    </row>
    <row r="577">
      <c r="A577" s="2" t="inlineStr">
        <is>
          <t>1280-on</t>
        </is>
      </c>
      <c r="B577" s="2" t="n">
        <v>1280</v>
      </c>
      <c r="C577" s="2" t="inlineStr">
        <is>
          <t>on</t>
        </is>
      </c>
      <c r="D577" s="2" t="n">
        <v>1228</v>
      </c>
      <c r="E577" s="2" t="inlineStr">
        <is>
          <t>browser safari260_ios</t>
        </is>
      </c>
      <c r="F577" s="2" t="b">
        <v>0</v>
      </c>
      <c r="G577" s="2" t="n">
        <v>16</v>
      </c>
      <c r="H577" s="2" t="n">
        <v>512</v>
      </c>
      <c r="I577" s="2" t="n">
        <v>512</v>
      </c>
      <c r="J577" s="2" t="n">
        <v>512</v>
      </c>
      <c r="K577" s="2">
        <f>H577+5&gt;D577</f>
        <v/>
      </c>
      <c r="L577" s="2">
        <f>J577&lt;I577</f>
        <v/>
      </c>
      <c r="M577" s="2" t="b">
        <v>1</v>
      </c>
      <c r="N577" s="2" t="b">
        <v>1</v>
      </c>
      <c r="O577" s="2" t="inlineStr">
        <is>
          <t>allow</t>
        </is>
      </c>
      <c r="P577" s="2">
        <f>O577&lt;&gt;"unknown"</f>
        <v/>
      </c>
    </row>
    <row r="578">
      <c r="A578" s="2" t="inlineStr">
        <is>
          <t>1280-on</t>
        </is>
      </c>
      <c r="B578" s="2" t="n">
        <v>1280</v>
      </c>
      <c r="C578" s="2" t="inlineStr">
        <is>
          <t>on</t>
        </is>
      </c>
      <c r="D578" s="2" t="n">
        <v>1228</v>
      </c>
      <c r="E578" s="2" t="inlineStr">
        <is>
          <t>browser safari260_ios</t>
        </is>
      </c>
      <c r="F578" s="2" t="b">
        <v>0</v>
      </c>
      <c r="G578" s="2" t="n">
        <v>17</v>
      </c>
      <c r="H578" s="2" t="n">
        <v>512</v>
      </c>
      <c r="I578" s="2" t="n">
        <v>512</v>
      </c>
      <c r="J578" s="2" t="n">
        <v>512</v>
      </c>
      <c r="K578" s="2">
        <f>H578+5&gt;D578</f>
        <v/>
      </c>
      <c r="L578" s="2">
        <f>J578&lt;I578</f>
        <v/>
      </c>
      <c r="M578" s="2" t="b">
        <v>1</v>
      </c>
      <c r="N578" s="2" t="b">
        <v>1</v>
      </c>
      <c r="O578" s="2" t="inlineStr">
        <is>
          <t>allow</t>
        </is>
      </c>
      <c r="P578" s="2">
        <f>O578&lt;&gt;"unknown"</f>
        <v/>
      </c>
    </row>
    <row r="579">
      <c r="A579" s="2" t="inlineStr">
        <is>
          <t>1280-on</t>
        </is>
      </c>
      <c r="B579" s="2" t="n">
        <v>1280</v>
      </c>
      <c r="C579" s="2" t="inlineStr">
        <is>
          <t>on</t>
        </is>
      </c>
      <c r="D579" s="2" t="n">
        <v>1228</v>
      </c>
      <c r="E579" s="2" t="inlineStr">
        <is>
          <t>browser safari260_ios</t>
        </is>
      </c>
      <c r="F579" s="2" t="b">
        <v>0</v>
      </c>
      <c r="G579" s="2" t="n">
        <v>18</v>
      </c>
      <c r="H579" s="2" t="n">
        <v>512</v>
      </c>
      <c r="I579" s="2" t="n">
        <v>512</v>
      </c>
      <c r="J579" s="2" t="n">
        <v>512</v>
      </c>
      <c r="K579" s="2">
        <f>H579+5&gt;D579</f>
        <v/>
      </c>
      <c r="L579" s="2">
        <f>J579&lt;I579</f>
        <v/>
      </c>
      <c r="M579" s="2" t="b">
        <v>1</v>
      </c>
      <c r="N579" s="2" t="b">
        <v>1</v>
      </c>
      <c r="O579" s="2" t="inlineStr">
        <is>
          <t>allow</t>
        </is>
      </c>
      <c r="P579" s="2">
        <f>O579&lt;&gt;"unknown"</f>
        <v/>
      </c>
    </row>
    <row r="580">
      <c r="A580" s="2" t="inlineStr">
        <is>
          <t>1280-on</t>
        </is>
      </c>
      <c r="B580" s="2" t="n">
        <v>1280</v>
      </c>
      <c r="C580" s="2" t="inlineStr">
        <is>
          <t>on</t>
        </is>
      </c>
      <c r="D580" s="2" t="n">
        <v>1228</v>
      </c>
      <c r="E580" s="2" t="inlineStr">
        <is>
          <t>browser safari260_ios</t>
        </is>
      </c>
      <c r="F580" s="2" t="b">
        <v>0</v>
      </c>
      <c r="G580" s="2" t="n">
        <v>19</v>
      </c>
      <c r="H580" s="2" t="n">
        <v>512</v>
      </c>
      <c r="I580" s="2" t="n">
        <v>512</v>
      </c>
      <c r="J580" s="2" t="n">
        <v>512</v>
      </c>
      <c r="K580" s="2">
        <f>H580+5&gt;D580</f>
        <v/>
      </c>
      <c r="L580" s="2">
        <f>J580&lt;I580</f>
        <v/>
      </c>
      <c r="M580" s="2" t="b">
        <v>1</v>
      </c>
      <c r="N580" s="2" t="b">
        <v>1</v>
      </c>
      <c r="O580" s="2" t="inlineStr">
        <is>
          <t>allow</t>
        </is>
      </c>
      <c r="P580" s="2">
        <f>O580&lt;&gt;"unknown"</f>
        <v/>
      </c>
    </row>
    <row r="581">
      <c r="A581" s="2" t="inlineStr">
        <is>
          <t>1280-on</t>
        </is>
      </c>
      <c r="B581" s="2" t="n">
        <v>1280</v>
      </c>
      <c r="C581" s="2" t="inlineStr">
        <is>
          <t>on</t>
        </is>
      </c>
      <c r="D581" s="2" t="n">
        <v>1228</v>
      </c>
      <c r="E581" s="2" t="inlineStr">
        <is>
          <t>browser safari260_ios</t>
        </is>
      </c>
      <c r="F581" s="2" t="b">
        <v>0</v>
      </c>
      <c r="G581" s="2" t="n">
        <v>20</v>
      </c>
      <c r="H581" s="2" t="n">
        <v>512</v>
      </c>
      <c r="I581" s="2" t="n">
        <v>512</v>
      </c>
      <c r="J581" s="2" t="n">
        <v>512</v>
      </c>
      <c r="K581" s="2">
        <f>H581+5&gt;D581</f>
        <v/>
      </c>
      <c r="L581" s="2">
        <f>J581&lt;I581</f>
        <v/>
      </c>
      <c r="M581" s="2" t="b">
        <v>1</v>
      </c>
      <c r="N581" s="2" t="b">
        <v>1</v>
      </c>
      <c r="O581" s="2" t="inlineStr">
        <is>
          <t>allow</t>
        </is>
      </c>
      <c r="P581" s="2">
        <f>O581&lt;&gt;"unknown"</f>
        <v/>
      </c>
    </row>
    <row r="582">
      <c r="A582" s="2" t="inlineStr">
        <is>
          <t>1280-on</t>
        </is>
      </c>
      <c r="B582" s="2" t="n">
        <v>1280</v>
      </c>
      <c r="C582" s="2" t="inlineStr">
        <is>
          <t>on</t>
        </is>
      </c>
      <c r="D582" s="2" t="n">
        <v>1228</v>
      </c>
      <c r="E582" s="2" t="inlineStr">
        <is>
          <t>browser tor145</t>
        </is>
      </c>
      <c r="F582" s="2" t="b">
        <v>0</v>
      </c>
      <c r="G582" s="2" t="n">
        <v>1</v>
      </c>
      <c r="H582" s="2" t="n">
        <v>613</v>
      </c>
      <c r="I582" s="2" t="n">
        <v>613</v>
      </c>
      <c r="J582" s="2" t="n">
        <v>613</v>
      </c>
      <c r="K582" s="2">
        <f>H582+5&gt;D582</f>
        <v/>
      </c>
      <c r="L582" s="2">
        <f>J582&lt;I582</f>
        <v/>
      </c>
      <c r="M582" s="2" t="b">
        <v>1</v>
      </c>
      <c r="N582" s="2" t="b">
        <v>1</v>
      </c>
      <c r="O582" s="2" t="inlineStr">
        <is>
          <t>allow</t>
        </is>
      </c>
      <c r="P582" s="2">
        <f>O582&lt;&gt;"unknown"</f>
        <v/>
      </c>
    </row>
    <row r="583">
      <c r="A583" s="2" t="inlineStr">
        <is>
          <t>1280-on</t>
        </is>
      </c>
      <c r="B583" s="2" t="n">
        <v>1280</v>
      </c>
      <c r="C583" s="2" t="inlineStr">
        <is>
          <t>on</t>
        </is>
      </c>
      <c r="D583" s="2" t="n">
        <v>1228</v>
      </c>
      <c r="E583" s="2" t="inlineStr">
        <is>
          <t>browser tor145</t>
        </is>
      </c>
      <c r="F583" s="2" t="b">
        <v>0</v>
      </c>
      <c r="G583" s="2" t="n">
        <v>2</v>
      </c>
      <c r="H583" s="2" t="n">
        <v>613</v>
      </c>
      <c r="I583" s="2" t="n">
        <v>613</v>
      </c>
      <c r="J583" s="2" t="n">
        <v>613</v>
      </c>
      <c r="K583" s="2">
        <f>H583+5&gt;D583</f>
        <v/>
      </c>
      <c r="L583" s="2">
        <f>J583&lt;I583</f>
        <v/>
      </c>
      <c r="M583" s="2" t="b">
        <v>1</v>
      </c>
      <c r="N583" s="2" t="b">
        <v>1</v>
      </c>
      <c r="O583" s="2" t="inlineStr">
        <is>
          <t>allow</t>
        </is>
      </c>
      <c r="P583" s="2">
        <f>O583&lt;&gt;"unknown"</f>
        <v/>
      </c>
    </row>
    <row r="584">
      <c r="A584" s="2" t="inlineStr">
        <is>
          <t>1280-on</t>
        </is>
      </c>
      <c r="B584" s="2" t="n">
        <v>1280</v>
      </c>
      <c r="C584" s="2" t="inlineStr">
        <is>
          <t>on</t>
        </is>
      </c>
      <c r="D584" s="2" t="n">
        <v>1228</v>
      </c>
      <c r="E584" s="2" t="inlineStr">
        <is>
          <t>browser tor145</t>
        </is>
      </c>
      <c r="F584" s="2" t="b">
        <v>0</v>
      </c>
      <c r="G584" s="2" t="n">
        <v>3</v>
      </c>
      <c r="H584" s="2" t="n">
        <v>549</v>
      </c>
      <c r="I584" s="2" t="n">
        <v>549</v>
      </c>
      <c r="J584" s="2" t="n">
        <v>549</v>
      </c>
      <c r="K584" s="2">
        <f>H584+5&gt;D584</f>
        <v/>
      </c>
      <c r="L584" s="2">
        <f>J584&lt;I584</f>
        <v/>
      </c>
      <c r="M584" s="2" t="b">
        <v>1</v>
      </c>
      <c r="N584" s="2" t="b">
        <v>1</v>
      </c>
      <c r="O584" s="2" t="inlineStr">
        <is>
          <t>allow</t>
        </is>
      </c>
      <c r="P584" s="2">
        <f>O584&lt;&gt;"unknown"</f>
        <v/>
      </c>
    </row>
    <row r="585">
      <c r="A585" s="2" t="inlineStr">
        <is>
          <t>1280-on</t>
        </is>
      </c>
      <c r="B585" s="2" t="n">
        <v>1280</v>
      </c>
      <c r="C585" s="2" t="inlineStr">
        <is>
          <t>on</t>
        </is>
      </c>
      <c r="D585" s="2" t="n">
        <v>1228</v>
      </c>
      <c r="E585" s="2" t="inlineStr">
        <is>
          <t>browser tor145</t>
        </is>
      </c>
      <c r="F585" s="2" t="b">
        <v>0</v>
      </c>
      <c r="G585" s="2" t="n">
        <v>4</v>
      </c>
      <c r="H585" s="2" t="n">
        <v>581</v>
      </c>
      <c r="I585" s="2" t="n">
        <v>581</v>
      </c>
      <c r="J585" s="2" t="n">
        <v>581</v>
      </c>
      <c r="K585" s="2">
        <f>H585+5&gt;D585</f>
        <v/>
      </c>
      <c r="L585" s="2">
        <f>J585&lt;I585</f>
        <v/>
      </c>
      <c r="M585" s="2" t="b">
        <v>1</v>
      </c>
      <c r="N585" s="2" t="b">
        <v>1</v>
      </c>
      <c r="O585" s="2" t="inlineStr">
        <is>
          <t>allow</t>
        </is>
      </c>
      <c r="P585" s="2">
        <f>O585&lt;&gt;"unknown"</f>
        <v/>
      </c>
    </row>
    <row r="586">
      <c r="A586" s="2" t="inlineStr">
        <is>
          <t>1280-on</t>
        </is>
      </c>
      <c r="B586" s="2" t="n">
        <v>1280</v>
      </c>
      <c r="C586" s="2" t="inlineStr">
        <is>
          <t>on</t>
        </is>
      </c>
      <c r="D586" s="2" t="n">
        <v>1228</v>
      </c>
      <c r="E586" s="2" t="inlineStr">
        <is>
          <t>browser tor145</t>
        </is>
      </c>
      <c r="F586" s="2" t="b">
        <v>0</v>
      </c>
      <c r="G586" s="2" t="n">
        <v>5</v>
      </c>
      <c r="H586" s="2" t="n">
        <v>613</v>
      </c>
      <c r="I586" s="2" t="n">
        <v>613</v>
      </c>
      <c r="J586" s="2" t="n">
        <v>613</v>
      </c>
      <c r="K586" s="2">
        <f>H586+5&gt;D586</f>
        <v/>
      </c>
      <c r="L586" s="2">
        <f>J586&lt;I586</f>
        <v/>
      </c>
      <c r="M586" s="2" t="b">
        <v>1</v>
      </c>
      <c r="N586" s="2" t="b">
        <v>1</v>
      </c>
      <c r="O586" s="2" t="inlineStr">
        <is>
          <t>allow</t>
        </is>
      </c>
      <c r="P586" s="2">
        <f>O586&lt;&gt;"unknown"</f>
        <v/>
      </c>
    </row>
    <row r="587">
      <c r="A587" s="2" t="inlineStr">
        <is>
          <t>1280-on</t>
        </is>
      </c>
      <c r="B587" s="2" t="n">
        <v>1280</v>
      </c>
      <c r="C587" s="2" t="inlineStr">
        <is>
          <t>on</t>
        </is>
      </c>
      <c r="D587" s="2" t="n">
        <v>1228</v>
      </c>
      <c r="E587" s="2" t="inlineStr">
        <is>
          <t>browser tor145</t>
        </is>
      </c>
      <c r="F587" s="2" t="b">
        <v>0</v>
      </c>
      <c r="G587" s="2" t="n">
        <v>6</v>
      </c>
      <c r="H587" s="2" t="n">
        <v>581</v>
      </c>
      <c r="I587" s="2" t="n">
        <v>581</v>
      </c>
      <c r="J587" s="2" t="n">
        <v>581</v>
      </c>
      <c r="K587" s="2">
        <f>H587+5&gt;D587</f>
        <v/>
      </c>
      <c r="L587" s="2">
        <f>J587&lt;I587</f>
        <v/>
      </c>
      <c r="M587" s="2" t="b">
        <v>1</v>
      </c>
      <c r="N587" s="2" t="b">
        <v>1</v>
      </c>
      <c r="O587" s="2" t="inlineStr">
        <is>
          <t>allow</t>
        </is>
      </c>
      <c r="P587" s="2">
        <f>O587&lt;&gt;"unknown"</f>
        <v/>
      </c>
    </row>
    <row r="588">
      <c r="A588" s="2" t="inlineStr">
        <is>
          <t>1280-on</t>
        </is>
      </c>
      <c r="B588" s="2" t="n">
        <v>1280</v>
      </c>
      <c r="C588" s="2" t="inlineStr">
        <is>
          <t>on</t>
        </is>
      </c>
      <c r="D588" s="2" t="n">
        <v>1228</v>
      </c>
      <c r="E588" s="2" t="inlineStr">
        <is>
          <t>browser tor145</t>
        </is>
      </c>
      <c r="F588" s="2" t="b">
        <v>0</v>
      </c>
      <c r="G588" s="2" t="n">
        <v>7</v>
      </c>
      <c r="H588" s="2" t="n">
        <v>613</v>
      </c>
      <c r="I588" s="2" t="n">
        <v>613</v>
      </c>
      <c r="J588" s="2" t="n">
        <v>613</v>
      </c>
      <c r="K588" s="2">
        <f>H588+5&gt;D588</f>
        <v/>
      </c>
      <c r="L588" s="2">
        <f>J588&lt;I588</f>
        <v/>
      </c>
      <c r="M588" s="2" t="b">
        <v>1</v>
      </c>
      <c r="N588" s="2" t="b">
        <v>1</v>
      </c>
      <c r="O588" s="2" t="inlineStr">
        <is>
          <t>allow</t>
        </is>
      </c>
      <c r="P588" s="2">
        <f>O588&lt;&gt;"unknown"</f>
        <v/>
      </c>
    </row>
    <row r="589">
      <c r="A589" s="2" t="inlineStr">
        <is>
          <t>1280-on</t>
        </is>
      </c>
      <c r="B589" s="2" t="n">
        <v>1280</v>
      </c>
      <c r="C589" s="2" t="inlineStr">
        <is>
          <t>on</t>
        </is>
      </c>
      <c r="D589" s="2" t="n">
        <v>1228</v>
      </c>
      <c r="E589" s="2" t="inlineStr">
        <is>
          <t>browser tor145</t>
        </is>
      </c>
      <c r="F589" s="2" t="b">
        <v>0</v>
      </c>
      <c r="G589" s="2" t="n">
        <v>8</v>
      </c>
      <c r="H589" s="2" t="n">
        <v>549</v>
      </c>
      <c r="I589" s="2" t="n">
        <v>549</v>
      </c>
      <c r="J589" s="2" t="n">
        <v>549</v>
      </c>
      <c r="K589" s="2">
        <f>H589+5&gt;D589</f>
        <v/>
      </c>
      <c r="L589" s="2">
        <f>J589&lt;I589</f>
        <v/>
      </c>
      <c r="M589" s="2" t="b">
        <v>1</v>
      </c>
      <c r="N589" s="2" t="b">
        <v>1</v>
      </c>
      <c r="O589" s="2" t="inlineStr">
        <is>
          <t>allow</t>
        </is>
      </c>
      <c r="P589" s="2">
        <f>O589&lt;&gt;"unknown"</f>
        <v/>
      </c>
    </row>
    <row r="590">
      <c r="A590" s="2" t="inlineStr">
        <is>
          <t>1280-on</t>
        </is>
      </c>
      <c r="B590" s="2" t="n">
        <v>1280</v>
      </c>
      <c r="C590" s="2" t="inlineStr">
        <is>
          <t>on</t>
        </is>
      </c>
      <c r="D590" s="2" t="n">
        <v>1228</v>
      </c>
      <c r="E590" s="2" t="inlineStr">
        <is>
          <t>browser tor145</t>
        </is>
      </c>
      <c r="F590" s="2" t="b">
        <v>0</v>
      </c>
      <c r="G590" s="2" t="n">
        <v>9</v>
      </c>
      <c r="H590" s="2" t="n">
        <v>549</v>
      </c>
      <c r="I590" s="2" t="n">
        <v>549</v>
      </c>
      <c r="J590" s="2" t="n">
        <v>549</v>
      </c>
      <c r="K590" s="2">
        <f>H590+5&gt;D590</f>
        <v/>
      </c>
      <c r="L590" s="2">
        <f>J590&lt;I590</f>
        <v/>
      </c>
      <c r="M590" s="2" t="b">
        <v>1</v>
      </c>
      <c r="N590" s="2" t="b">
        <v>1</v>
      </c>
      <c r="O590" s="2" t="inlineStr">
        <is>
          <t>allow</t>
        </is>
      </c>
      <c r="P590" s="2">
        <f>O590&lt;&gt;"unknown"</f>
        <v/>
      </c>
    </row>
    <row r="591">
      <c r="A591" s="2" t="inlineStr">
        <is>
          <t>1280-on</t>
        </is>
      </c>
      <c r="B591" s="2" t="n">
        <v>1280</v>
      </c>
      <c r="C591" s="2" t="inlineStr">
        <is>
          <t>on</t>
        </is>
      </c>
      <c r="D591" s="2" t="n">
        <v>1228</v>
      </c>
      <c r="E591" s="2" t="inlineStr">
        <is>
          <t>browser tor145</t>
        </is>
      </c>
      <c r="F591" s="2" t="b">
        <v>0</v>
      </c>
      <c r="G591" s="2" t="n">
        <v>10</v>
      </c>
      <c r="H591" s="2" t="n">
        <v>581</v>
      </c>
      <c r="I591" s="2" t="n">
        <v>581</v>
      </c>
      <c r="J591" s="2" t="n">
        <v>581</v>
      </c>
      <c r="K591" s="2">
        <f>H591+5&gt;D591</f>
        <v/>
      </c>
      <c r="L591" s="2">
        <f>J591&lt;I591</f>
        <v/>
      </c>
      <c r="M591" s="2" t="b">
        <v>1</v>
      </c>
      <c r="N591" s="2" t="b">
        <v>1</v>
      </c>
      <c r="O591" s="2" t="inlineStr">
        <is>
          <t>allow</t>
        </is>
      </c>
      <c r="P591" s="2">
        <f>O591&lt;&gt;"unknown"</f>
        <v/>
      </c>
    </row>
    <row r="592">
      <c r="A592" s="2" t="inlineStr">
        <is>
          <t>1280-on</t>
        </is>
      </c>
      <c r="B592" s="2" t="n">
        <v>1280</v>
      </c>
      <c r="C592" s="2" t="inlineStr">
        <is>
          <t>on</t>
        </is>
      </c>
      <c r="D592" s="2" t="n">
        <v>1228</v>
      </c>
      <c r="E592" s="2" t="inlineStr">
        <is>
          <t>browser tor145</t>
        </is>
      </c>
      <c r="F592" s="2" t="b">
        <v>0</v>
      </c>
      <c r="G592" s="2" t="n">
        <v>11</v>
      </c>
      <c r="H592" s="2" t="n">
        <v>549</v>
      </c>
      <c r="I592" s="2" t="n">
        <v>549</v>
      </c>
      <c r="J592" s="2" t="n">
        <v>549</v>
      </c>
      <c r="K592" s="2">
        <f>H592+5&gt;D592</f>
        <v/>
      </c>
      <c r="L592" s="2">
        <f>J592&lt;I592</f>
        <v/>
      </c>
      <c r="M592" s="2" t="b">
        <v>1</v>
      </c>
      <c r="N592" s="2" t="b">
        <v>1</v>
      </c>
      <c r="O592" s="2" t="inlineStr">
        <is>
          <t>allow</t>
        </is>
      </c>
      <c r="P592" s="2">
        <f>O592&lt;&gt;"unknown"</f>
        <v/>
      </c>
    </row>
    <row r="593">
      <c r="A593" s="2" t="inlineStr">
        <is>
          <t>1280-on</t>
        </is>
      </c>
      <c r="B593" s="2" t="n">
        <v>1280</v>
      </c>
      <c r="C593" s="2" t="inlineStr">
        <is>
          <t>on</t>
        </is>
      </c>
      <c r="D593" s="2" t="n">
        <v>1228</v>
      </c>
      <c r="E593" s="2" t="inlineStr">
        <is>
          <t>browser tor145</t>
        </is>
      </c>
      <c r="F593" s="2" t="b">
        <v>0</v>
      </c>
      <c r="G593" s="2" t="n">
        <v>12</v>
      </c>
      <c r="H593" s="2" t="n">
        <v>581</v>
      </c>
      <c r="I593" s="2" t="n">
        <v>581</v>
      </c>
      <c r="J593" s="2" t="n">
        <v>581</v>
      </c>
      <c r="K593" s="2">
        <f>H593+5&gt;D593</f>
        <v/>
      </c>
      <c r="L593" s="2">
        <f>J593&lt;I593</f>
        <v/>
      </c>
      <c r="M593" s="2" t="b">
        <v>1</v>
      </c>
      <c r="N593" s="2" t="b">
        <v>1</v>
      </c>
      <c r="O593" s="2" t="inlineStr">
        <is>
          <t>allow</t>
        </is>
      </c>
      <c r="P593" s="2">
        <f>O593&lt;&gt;"unknown"</f>
        <v/>
      </c>
    </row>
    <row r="594">
      <c r="A594" s="2" t="inlineStr">
        <is>
          <t>1280-on</t>
        </is>
      </c>
      <c r="B594" s="2" t="n">
        <v>1280</v>
      </c>
      <c r="C594" s="2" t="inlineStr">
        <is>
          <t>on</t>
        </is>
      </c>
      <c r="D594" s="2" t="n">
        <v>1228</v>
      </c>
      <c r="E594" s="2" t="inlineStr">
        <is>
          <t>browser tor145</t>
        </is>
      </c>
      <c r="F594" s="2" t="b">
        <v>0</v>
      </c>
      <c r="G594" s="2" t="n">
        <v>13</v>
      </c>
      <c r="H594" s="2" t="n">
        <v>613</v>
      </c>
      <c r="I594" s="2" t="n">
        <v>613</v>
      </c>
      <c r="J594" s="2" t="n">
        <v>613</v>
      </c>
      <c r="K594" s="2">
        <f>H594+5&gt;D594</f>
        <v/>
      </c>
      <c r="L594" s="2">
        <f>J594&lt;I594</f>
        <v/>
      </c>
      <c r="M594" s="2" t="b">
        <v>1</v>
      </c>
      <c r="N594" s="2" t="b">
        <v>1</v>
      </c>
      <c r="O594" s="2" t="inlineStr">
        <is>
          <t>allow</t>
        </is>
      </c>
      <c r="P594" s="2">
        <f>O594&lt;&gt;"unknown"</f>
        <v/>
      </c>
    </row>
    <row r="595">
      <c r="A595" s="2" t="inlineStr">
        <is>
          <t>1280-on</t>
        </is>
      </c>
      <c r="B595" s="2" t="n">
        <v>1280</v>
      </c>
      <c r="C595" s="2" t="inlineStr">
        <is>
          <t>on</t>
        </is>
      </c>
      <c r="D595" s="2" t="n">
        <v>1228</v>
      </c>
      <c r="E595" s="2" t="inlineStr">
        <is>
          <t>browser tor145</t>
        </is>
      </c>
      <c r="F595" s="2" t="b">
        <v>0</v>
      </c>
      <c r="G595" s="2" t="n">
        <v>14</v>
      </c>
      <c r="H595" s="2" t="n">
        <v>549</v>
      </c>
      <c r="I595" s="2" t="n">
        <v>549</v>
      </c>
      <c r="J595" s="2" t="n">
        <v>549</v>
      </c>
      <c r="K595" s="2">
        <f>H595+5&gt;D595</f>
        <v/>
      </c>
      <c r="L595" s="2">
        <f>J595&lt;I595</f>
        <v/>
      </c>
      <c r="M595" s="2" t="b">
        <v>1</v>
      </c>
      <c r="N595" s="2" t="b">
        <v>1</v>
      </c>
      <c r="O595" s="2" t="inlineStr">
        <is>
          <t>allow</t>
        </is>
      </c>
      <c r="P595" s="2">
        <f>O595&lt;&gt;"unknown"</f>
        <v/>
      </c>
    </row>
    <row r="596">
      <c r="A596" s="2" t="inlineStr">
        <is>
          <t>1280-on</t>
        </is>
      </c>
      <c r="B596" s="2" t="n">
        <v>1280</v>
      </c>
      <c r="C596" s="2" t="inlineStr">
        <is>
          <t>on</t>
        </is>
      </c>
      <c r="D596" s="2" t="n">
        <v>1228</v>
      </c>
      <c r="E596" s="2" t="inlineStr">
        <is>
          <t>browser tor145</t>
        </is>
      </c>
      <c r="F596" s="2" t="b">
        <v>0</v>
      </c>
      <c r="G596" s="2" t="n">
        <v>15</v>
      </c>
      <c r="H596" s="2" t="n">
        <v>549</v>
      </c>
      <c r="I596" s="2" t="n">
        <v>549</v>
      </c>
      <c r="J596" s="2" t="n">
        <v>549</v>
      </c>
      <c r="K596" s="2">
        <f>H596+5&gt;D596</f>
        <v/>
      </c>
      <c r="L596" s="2">
        <f>J596&lt;I596</f>
        <v/>
      </c>
      <c r="M596" s="2" t="b">
        <v>1</v>
      </c>
      <c r="N596" s="2" t="b">
        <v>1</v>
      </c>
      <c r="O596" s="2" t="inlineStr">
        <is>
          <t>allow</t>
        </is>
      </c>
      <c r="P596" s="2">
        <f>O596&lt;&gt;"unknown"</f>
        <v/>
      </c>
    </row>
    <row r="597">
      <c r="A597" s="2" t="inlineStr">
        <is>
          <t>1280-on</t>
        </is>
      </c>
      <c r="B597" s="2" t="n">
        <v>1280</v>
      </c>
      <c r="C597" s="2" t="inlineStr">
        <is>
          <t>on</t>
        </is>
      </c>
      <c r="D597" s="2" t="n">
        <v>1228</v>
      </c>
      <c r="E597" s="2" t="inlineStr">
        <is>
          <t>browser tor145</t>
        </is>
      </c>
      <c r="F597" s="2" t="b">
        <v>0</v>
      </c>
      <c r="G597" s="2" t="n">
        <v>16</v>
      </c>
      <c r="H597" s="2" t="n">
        <v>613</v>
      </c>
      <c r="I597" s="2" t="n">
        <v>613</v>
      </c>
      <c r="J597" s="2" t="n">
        <v>613</v>
      </c>
      <c r="K597" s="2">
        <f>H597+5&gt;D597</f>
        <v/>
      </c>
      <c r="L597" s="2">
        <f>J597&lt;I597</f>
        <v/>
      </c>
      <c r="M597" s="2" t="b">
        <v>1</v>
      </c>
      <c r="N597" s="2" t="b">
        <v>1</v>
      </c>
      <c r="O597" s="2" t="inlineStr">
        <is>
          <t>allow</t>
        </is>
      </c>
      <c r="P597" s="2">
        <f>O597&lt;&gt;"unknown"</f>
        <v/>
      </c>
    </row>
    <row r="598">
      <c r="A598" s="2" t="inlineStr">
        <is>
          <t>1280-on</t>
        </is>
      </c>
      <c r="B598" s="2" t="n">
        <v>1280</v>
      </c>
      <c r="C598" s="2" t="inlineStr">
        <is>
          <t>on</t>
        </is>
      </c>
      <c r="D598" s="2" t="n">
        <v>1228</v>
      </c>
      <c r="E598" s="2" t="inlineStr">
        <is>
          <t>browser tor145</t>
        </is>
      </c>
      <c r="F598" s="2" t="b">
        <v>0</v>
      </c>
      <c r="G598" s="2" t="n">
        <v>17</v>
      </c>
      <c r="H598" s="2" t="n">
        <v>581</v>
      </c>
      <c r="I598" s="2" t="n">
        <v>581</v>
      </c>
      <c r="J598" s="2" t="n">
        <v>581</v>
      </c>
      <c r="K598" s="2">
        <f>H598+5&gt;D598</f>
        <v/>
      </c>
      <c r="L598" s="2">
        <f>J598&lt;I598</f>
        <v/>
      </c>
      <c r="M598" s="2" t="b">
        <v>1</v>
      </c>
      <c r="N598" s="2" t="b">
        <v>1</v>
      </c>
      <c r="O598" s="2" t="inlineStr">
        <is>
          <t>allow</t>
        </is>
      </c>
      <c r="P598" s="2">
        <f>O598&lt;&gt;"unknown"</f>
        <v/>
      </c>
    </row>
    <row r="599">
      <c r="A599" s="2" t="inlineStr">
        <is>
          <t>1280-on</t>
        </is>
      </c>
      <c r="B599" s="2" t="n">
        <v>1280</v>
      </c>
      <c r="C599" s="2" t="inlineStr">
        <is>
          <t>on</t>
        </is>
      </c>
      <c r="D599" s="2" t="n">
        <v>1228</v>
      </c>
      <c r="E599" s="2" t="inlineStr">
        <is>
          <t>browser tor145</t>
        </is>
      </c>
      <c r="F599" s="2" t="b">
        <v>0</v>
      </c>
      <c r="G599" s="2" t="n">
        <v>18</v>
      </c>
      <c r="H599" s="2" t="n">
        <v>581</v>
      </c>
      <c r="I599" s="2" t="n">
        <v>581</v>
      </c>
      <c r="J599" s="2" t="n">
        <v>581</v>
      </c>
      <c r="K599" s="2">
        <f>H599+5&gt;D599</f>
        <v/>
      </c>
      <c r="L599" s="2">
        <f>J599&lt;I599</f>
        <v/>
      </c>
      <c r="M599" s="2" t="b">
        <v>1</v>
      </c>
      <c r="N599" s="2" t="b">
        <v>1</v>
      </c>
      <c r="O599" s="2" t="inlineStr">
        <is>
          <t>allow</t>
        </is>
      </c>
      <c r="P599" s="2">
        <f>O599&lt;&gt;"unknown"</f>
        <v/>
      </c>
    </row>
    <row r="600">
      <c r="A600" s="2" t="inlineStr">
        <is>
          <t>1280-on</t>
        </is>
      </c>
      <c r="B600" s="2" t="n">
        <v>1280</v>
      </c>
      <c r="C600" s="2" t="inlineStr">
        <is>
          <t>on</t>
        </is>
      </c>
      <c r="D600" s="2" t="n">
        <v>1228</v>
      </c>
      <c r="E600" s="2" t="inlineStr">
        <is>
          <t>browser tor145</t>
        </is>
      </c>
      <c r="F600" s="2" t="b">
        <v>0</v>
      </c>
      <c r="G600" s="2" t="n">
        <v>19</v>
      </c>
      <c r="H600" s="2" t="n">
        <v>613</v>
      </c>
      <c r="I600" s="2" t="n">
        <v>613</v>
      </c>
      <c r="J600" s="2" t="n">
        <v>613</v>
      </c>
      <c r="K600" s="2">
        <f>H600+5&gt;D600</f>
        <v/>
      </c>
      <c r="L600" s="2">
        <f>J600&lt;I600</f>
        <v/>
      </c>
      <c r="M600" s="2" t="b">
        <v>1</v>
      </c>
      <c r="N600" s="2" t="b">
        <v>1</v>
      </c>
      <c r="O600" s="2" t="inlineStr">
        <is>
          <t>allow</t>
        </is>
      </c>
      <c r="P600" s="2">
        <f>O600&lt;&gt;"unknown"</f>
        <v/>
      </c>
    </row>
    <row r="601">
      <c r="A601" s="2" t="inlineStr">
        <is>
          <t>1280-on</t>
        </is>
      </c>
      <c r="B601" s="2" t="n">
        <v>1280</v>
      </c>
      <c r="C601" s="2" t="inlineStr">
        <is>
          <t>on</t>
        </is>
      </c>
      <c r="D601" s="2" t="n">
        <v>1228</v>
      </c>
      <c r="E601" s="2" t="inlineStr">
        <is>
          <t>browser tor145</t>
        </is>
      </c>
      <c r="F601" s="2" t="b">
        <v>0</v>
      </c>
      <c r="G601" s="2" t="n">
        <v>20</v>
      </c>
      <c r="H601" s="2" t="n">
        <v>645</v>
      </c>
      <c r="I601" s="2" t="n">
        <v>645</v>
      </c>
      <c r="J601" s="2" t="n">
        <v>645</v>
      </c>
      <c r="K601" s="2">
        <f>H601+5&gt;D601</f>
        <v/>
      </c>
      <c r="L601" s="2">
        <f>J601&lt;I601</f>
        <v/>
      </c>
      <c r="M601" s="2" t="b">
        <v>1</v>
      </c>
      <c r="N601" s="2" t="b">
        <v>1</v>
      </c>
      <c r="O601" s="2" t="inlineStr">
        <is>
          <t>allow</t>
        </is>
      </c>
      <c r="P601" s="2">
        <f>O601&lt;&gt;"unknown"</f>
        <v/>
      </c>
    </row>
    <row r="602">
      <c r="A602" s="2" t="inlineStr">
        <is>
          <t>1400-on</t>
        </is>
      </c>
      <c r="B602" s="2" t="n">
        <v>1400</v>
      </c>
      <c r="C602" s="2" t="inlineStr">
        <is>
          <t>on</t>
        </is>
      </c>
      <c r="D602" s="2" t="n">
        <v>1348</v>
      </c>
      <c r="E602" s="2" t="inlineStr">
        <is>
          <t>openssl 3.5.8 default</t>
        </is>
      </c>
      <c r="F602" s="2" t="b">
        <v>1</v>
      </c>
      <c r="G602" s="2" t="n">
        <v>1</v>
      </c>
      <c r="H602" s="2" t="n">
        <v>1543</v>
      </c>
      <c r="I602" s="2" t="n">
        <v>1543</v>
      </c>
      <c r="J602" s="2" t="n">
        <v>1343</v>
      </c>
      <c r="K602" s="2">
        <f>H602+5&gt;D602</f>
        <v/>
      </c>
      <c r="L602" s="2">
        <f>J602&lt;I602</f>
        <v/>
      </c>
      <c r="M602" s="2" t="b">
        <v>1</v>
      </c>
      <c r="N602" s="2" t="b">
        <v>1</v>
      </c>
      <c r="O602" s="2" t="inlineStr">
        <is>
          <t>allow</t>
        </is>
      </c>
      <c r="P602" s="2">
        <f>O602&lt;&gt;"unknown"</f>
        <v/>
      </c>
    </row>
    <row r="603">
      <c r="A603" s="2" t="inlineStr">
        <is>
          <t>1400-on</t>
        </is>
      </c>
      <c r="B603" s="2" t="n">
        <v>1400</v>
      </c>
      <c r="C603" s="2" t="inlineStr">
        <is>
          <t>on</t>
        </is>
      </c>
      <c r="D603" s="2" t="n">
        <v>1348</v>
      </c>
      <c r="E603" s="2" t="inlineStr">
        <is>
          <t>openssl 3.5.8 default</t>
        </is>
      </c>
      <c r="F603" s="2" t="b">
        <v>1</v>
      </c>
      <c r="G603" s="2" t="n">
        <v>2</v>
      </c>
      <c r="H603" s="2" t="n">
        <v>1543</v>
      </c>
      <c r="I603" s="2" t="n">
        <v>1543</v>
      </c>
      <c r="J603" s="2" t="n">
        <v>1343</v>
      </c>
      <c r="K603" s="2">
        <f>H603+5&gt;D603</f>
        <v/>
      </c>
      <c r="L603" s="2">
        <f>J603&lt;I603</f>
        <v/>
      </c>
      <c r="M603" s="2" t="b">
        <v>1</v>
      </c>
      <c r="N603" s="2" t="b">
        <v>1</v>
      </c>
      <c r="O603" s="2" t="inlineStr">
        <is>
          <t>allow</t>
        </is>
      </c>
      <c r="P603" s="2">
        <f>O603&lt;&gt;"unknown"</f>
        <v/>
      </c>
    </row>
    <row r="604">
      <c r="A604" s="2" t="inlineStr">
        <is>
          <t>1400-on</t>
        </is>
      </c>
      <c r="B604" s="2" t="n">
        <v>1400</v>
      </c>
      <c r="C604" s="2" t="inlineStr">
        <is>
          <t>on</t>
        </is>
      </c>
      <c r="D604" s="2" t="n">
        <v>1348</v>
      </c>
      <c r="E604" s="2" t="inlineStr">
        <is>
          <t>openssl 3.5.8 default</t>
        </is>
      </c>
      <c r="F604" s="2" t="b">
        <v>1</v>
      </c>
      <c r="G604" s="2" t="n">
        <v>3</v>
      </c>
      <c r="H604" s="2" t="n">
        <v>1543</v>
      </c>
      <c r="I604" s="2" t="n">
        <v>1543</v>
      </c>
      <c r="J604" s="2" t="n">
        <v>1343</v>
      </c>
      <c r="K604" s="2">
        <f>H604+5&gt;D604</f>
        <v/>
      </c>
      <c r="L604" s="2">
        <f>J604&lt;I604</f>
        <v/>
      </c>
      <c r="M604" s="2" t="b">
        <v>1</v>
      </c>
      <c r="N604" s="2" t="b">
        <v>1</v>
      </c>
      <c r="O604" s="2" t="inlineStr">
        <is>
          <t>allow</t>
        </is>
      </c>
      <c r="P604" s="2">
        <f>O604&lt;&gt;"unknown"</f>
        <v/>
      </c>
    </row>
    <row r="605">
      <c r="A605" s="2" t="inlineStr">
        <is>
          <t>1400-on</t>
        </is>
      </c>
      <c r="B605" s="2" t="n">
        <v>1400</v>
      </c>
      <c r="C605" s="2" t="inlineStr">
        <is>
          <t>on</t>
        </is>
      </c>
      <c r="D605" s="2" t="n">
        <v>1348</v>
      </c>
      <c r="E605" s="2" t="inlineStr">
        <is>
          <t>openssl 3.5.8 default</t>
        </is>
      </c>
      <c r="F605" s="2" t="b">
        <v>1</v>
      </c>
      <c r="G605" s="2" t="n">
        <v>4</v>
      </c>
      <c r="H605" s="2" t="n">
        <v>1543</v>
      </c>
      <c r="I605" s="2" t="n">
        <v>1543</v>
      </c>
      <c r="J605" s="2" t="n">
        <v>1343</v>
      </c>
      <c r="K605" s="2">
        <f>H605+5&gt;D605</f>
        <v/>
      </c>
      <c r="L605" s="2">
        <f>J605&lt;I605</f>
        <v/>
      </c>
      <c r="M605" s="2" t="b">
        <v>1</v>
      </c>
      <c r="N605" s="2" t="b">
        <v>1</v>
      </c>
      <c r="O605" s="2" t="inlineStr">
        <is>
          <t>allow</t>
        </is>
      </c>
      <c r="P605" s="2">
        <f>O605&lt;&gt;"unknown"</f>
        <v/>
      </c>
    </row>
    <row r="606">
      <c r="A606" s="2" t="inlineStr">
        <is>
          <t>1400-on</t>
        </is>
      </c>
      <c r="B606" s="2" t="n">
        <v>1400</v>
      </c>
      <c r="C606" s="2" t="inlineStr">
        <is>
          <t>on</t>
        </is>
      </c>
      <c r="D606" s="2" t="n">
        <v>1348</v>
      </c>
      <c r="E606" s="2" t="inlineStr">
        <is>
          <t>openssl 3.5.8 default</t>
        </is>
      </c>
      <c r="F606" s="2" t="b">
        <v>1</v>
      </c>
      <c r="G606" s="2" t="n">
        <v>5</v>
      </c>
      <c r="H606" s="2" t="n">
        <v>1543</v>
      </c>
      <c r="I606" s="2" t="n">
        <v>1543</v>
      </c>
      <c r="J606" s="2" t="n">
        <v>1343</v>
      </c>
      <c r="K606" s="2">
        <f>H606+5&gt;D606</f>
        <v/>
      </c>
      <c r="L606" s="2">
        <f>J606&lt;I606</f>
        <v/>
      </c>
      <c r="M606" s="2" t="b">
        <v>1</v>
      </c>
      <c r="N606" s="2" t="b">
        <v>1</v>
      </c>
      <c r="O606" s="2" t="inlineStr">
        <is>
          <t>allow</t>
        </is>
      </c>
      <c r="P606" s="2">
        <f>O606&lt;&gt;"unknown"</f>
        <v/>
      </c>
    </row>
    <row r="607">
      <c r="A607" s="2" t="inlineStr">
        <is>
          <t>1400-on</t>
        </is>
      </c>
      <c r="B607" s="2" t="n">
        <v>1400</v>
      </c>
      <c r="C607" s="2" t="inlineStr">
        <is>
          <t>on</t>
        </is>
      </c>
      <c r="D607" s="2" t="n">
        <v>1348</v>
      </c>
      <c r="E607" s="2" t="inlineStr">
        <is>
          <t>openssl X25519 only (classical)</t>
        </is>
      </c>
      <c r="F607" s="2" t="b">
        <v>0</v>
      </c>
      <c r="G607" s="2" t="n">
        <v>1</v>
      </c>
      <c r="H607" s="2" t="n">
        <v>309</v>
      </c>
      <c r="I607" s="2" t="n">
        <v>309</v>
      </c>
      <c r="J607" s="2" t="n">
        <v>309</v>
      </c>
      <c r="K607" s="2">
        <f>H607+5&gt;D607</f>
        <v/>
      </c>
      <c r="L607" s="2">
        <f>J607&lt;I607</f>
        <v/>
      </c>
      <c r="M607" s="2" t="b">
        <v>1</v>
      </c>
      <c r="N607" s="2" t="b">
        <v>1</v>
      </c>
      <c r="O607" s="2" t="inlineStr">
        <is>
          <t>allow</t>
        </is>
      </c>
      <c r="P607" s="2">
        <f>O607&lt;&gt;"unknown"</f>
        <v/>
      </c>
    </row>
    <row r="608">
      <c r="A608" s="2" t="inlineStr">
        <is>
          <t>1400-on</t>
        </is>
      </c>
      <c r="B608" s="2" t="n">
        <v>1400</v>
      </c>
      <c r="C608" s="2" t="inlineStr">
        <is>
          <t>on</t>
        </is>
      </c>
      <c r="D608" s="2" t="n">
        <v>1348</v>
      </c>
      <c r="E608" s="2" t="inlineStr">
        <is>
          <t>openssl X25519 only (classical)</t>
        </is>
      </c>
      <c r="F608" s="2" t="b">
        <v>0</v>
      </c>
      <c r="G608" s="2" t="n">
        <v>2</v>
      </c>
      <c r="H608" s="2" t="n">
        <v>309</v>
      </c>
      <c r="I608" s="2" t="n">
        <v>309</v>
      </c>
      <c r="J608" s="2" t="n">
        <v>309</v>
      </c>
      <c r="K608" s="2">
        <f>H608+5&gt;D608</f>
        <v/>
      </c>
      <c r="L608" s="2">
        <f>J608&lt;I608</f>
        <v/>
      </c>
      <c r="M608" s="2" t="b">
        <v>1</v>
      </c>
      <c r="N608" s="2" t="b">
        <v>1</v>
      </c>
      <c r="O608" s="2" t="inlineStr">
        <is>
          <t>allow</t>
        </is>
      </c>
      <c r="P608" s="2">
        <f>O608&lt;&gt;"unknown"</f>
        <v/>
      </c>
    </row>
    <row r="609">
      <c r="A609" s="2" t="inlineStr">
        <is>
          <t>1400-on</t>
        </is>
      </c>
      <c r="B609" s="2" t="n">
        <v>1400</v>
      </c>
      <c r="C609" s="2" t="inlineStr">
        <is>
          <t>on</t>
        </is>
      </c>
      <c r="D609" s="2" t="n">
        <v>1348</v>
      </c>
      <c r="E609" s="2" t="inlineStr">
        <is>
          <t>openssl X25519 only (classical)</t>
        </is>
      </c>
      <c r="F609" s="2" t="b">
        <v>0</v>
      </c>
      <c r="G609" s="2" t="n">
        <v>3</v>
      </c>
      <c r="H609" s="2" t="n">
        <v>309</v>
      </c>
      <c r="I609" s="2" t="n">
        <v>309</v>
      </c>
      <c r="J609" s="2" t="n">
        <v>309</v>
      </c>
      <c r="K609" s="2">
        <f>H609+5&gt;D609</f>
        <v/>
      </c>
      <c r="L609" s="2">
        <f>J609&lt;I609</f>
        <v/>
      </c>
      <c r="M609" s="2" t="b">
        <v>1</v>
      </c>
      <c r="N609" s="2" t="b">
        <v>1</v>
      </c>
      <c r="O609" s="2" t="inlineStr">
        <is>
          <t>allow</t>
        </is>
      </c>
      <c r="P609" s="2">
        <f>O609&lt;&gt;"unknown"</f>
        <v/>
      </c>
    </row>
    <row r="610">
      <c r="A610" s="2" t="inlineStr">
        <is>
          <t>1400-on</t>
        </is>
      </c>
      <c r="B610" s="2" t="n">
        <v>1400</v>
      </c>
      <c r="C610" s="2" t="inlineStr">
        <is>
          <t>on</t>
        </is>
      </c>
      <c r="D610" s="2" t="n">
        <v>1348</v>
      </c>
      <c r="E610" s="2" t="inlineStr">
        <is>
          <t>openssl X25519 only (classical)</t>
        </is>
      </c>
      <c r="F610" s="2" t="b">
        <v>0</v>
      </c>
      <c r="G610" s="2" t="n">
        <v>4</v>
      </c>
      <c r="H610" s="2" t="n">
        <v>309</v>
      </c>
      <c r="I610" s="2" t="n">
        <v>309</v>
      </c>
      <c r="J610" s="2" t="n">
        <v>309</v>
      </c>
      <c r="K610" s="2">
        <f>H610+5&gt;D610</f>
        <v/>
      </c>
      <c r="L610" s="2">
        <f>J610&lt;I610</f>
        <v/>
      </c>
      <c r="M610" s="2" t="b">
        <v>1</v>
      </c>
      <c r="N610" s="2" t="b">
        <v>1</v>
      </c>
      <c r="O610" s="2" t="inlineStr">
        <is>
          <t>allow</t>
        </is>
      </c>
      <c r="P610" s="2">
        <f>O610&lt;&gt;"unknown"</f>
        <v/>
      </c>
    </row>
    <row r="611">
      <c r="A611" s="2" t="inlineStr">
        <is>
          <t>1400-on</t>
        </is>
      </c>
      <c r="B611" s="2" t="n">
        <v>1400</v>
      </c>
      <c r="C611" s="2" t="inlineStr">
        <is>
          <t>on</t>
        </is>
      </c>
      <c r="D611" s="2" t="n">
        <v>1348</v>
      </c>
      <c r="E611" s="2" t="inlineStr">
        <is>
          <t>openssl X25519 only (classical)</t>
        </is>
      </c>
      <c r="F611" s="2" t="b">
        <v>0</v>
      </c>
      <c r="G611" s="2" t="n">
        <v>5</v>
      </c>
      <c r="H611" s="2" t="n">
        <v>309</v>
      </c>
      <c r="I611" s="2" t="n">
        <v>309</v>
      </c>
      <c r="J611" s="2" t="n">
        <v>309</v>
      </c>
      <c r="K611" s="2">
        <f>H611+5&gt;D611</f>
        <v/>
      </c>
      <c r="L611" s="2">
        <f>J611&lt;I611</f>
        <v/>
      </c>
      <c r="M611" s="2" t="b">
        <v>1</v>
      </c>
      <c r="N611" s="2" t="b">
        <v>1</v>
      </c>
      <c r="O611" s="2" t="inlineStr">
        <is>
          <t>allow</t>
        </is>
      </c>
      <c r="P611" s="2">
        <f>O611&lt;&gt;"unknown"</f>
        <v/>
      </c>
    </row>
    <row r="612">
      <c r="A612" s="2" t="inlineStr">
        <is>
          <t>1400-on</t>
        </is>
      </c>
      <c r="B612" s="2" t="n">
        <v>1400</v>
      </c>
      <c r="C612" s="2" t="inlineStr">
        <is>
          <t>on</t>
        </is>
      </c>
      <c r="D612" s="2" t="n">
        <v>1348</v>
      </c>
      <c r="E612" s="2" t="inlineStr">
        <is>
          <t>openssl secp256r1 only (classical)</t>
        </is>
      </c>
      <c r="F612" s="2" t="b">
        <v>0</v>
      </c>
      <c r="G612" s="2" t="n">
        <v>1</v>
      </c>
      <c r="H612" s="2" t="n">
        <v>342</v>
      </c>
      <c r="I612" s="2" t="n">
        <v>342</v>
      </c>
      <c r="J612" s="2" t="n">
        <v>342</v>
      </c>
      <c r="K612" s="2">
        <f>H612+5&gt;D612</f>
        <v/>
      </c>
      <c r="L612" s="2">
        <f>J612&lt;I612</f>
        <v/>
      </c>
      <c r="M612" s="2" t="b">
        <v>1</v>
      </c>
      <c r="N612" s="2" t="b">
        <v>1</v>
      </c>
      <c r="O612" s="2" t="inlineStr">
        <is>
          <t>allow</t>
        </is>
      </c>
      <c r="P612" s="2">
        <f>O612&lt;&gt;"unknown"</f>
        <v/>
      </c>
    </row>
    <row r="613">
      <c r="A613" s="2" t="inlineStr">
        <is>
          <t>1400-on</t>
        </is>
      </c>
      <c r="B613" s="2" t="n">
        <v>1400</v>
      </c>
      <c r="C613" s="2" t="inlineStr">
        <is>
          <t>on</t>
        </is>
      </c>
      <c r="D613" s="2" t="n">
        <v>1348</v>
      </c>
      <c r="E613" s="2" t="inlineStr">
        <is>
          <t>openssl secp256r1 only (classical)</t>
        </is>
      </c>
      <c r="F613" s="2" t="b">
        <v>0</v>
      </c>
      <c r="G613" s="2" t="n">
        <v>2</v>
      </c>
      <c r="H613" s="2" t="n">
        <v>342</v>
      </c>
      <c r="I613" s="2" t="n">
        <v>342</v>
      </c>
      <c r="J613" s="2" t="n">
        <v>342</v>
      </c>
      <c r="K613" s="2">
        <f>H613+5&gt;D613</f>
        <v/>
      </c>
      <c r="L613" s="2">
        <f>J613&lt;I613</f>
        <v/>
      </c>
      <c r="M613" s="2" t="b">
        <v>1</v>
      </c>
      <c r="N613" s="2" t="b">
        <v>1</v>
      </c>
      <c r="O613" s="2" t="inlineStr">
        <is>
          <t>allow</t>
        </is>
      </c>
      <c r="P613" s="2">
        <f>O613&lt;&gt;"unknown"</f>
        <v/>
      </c>
    </row>
    <row r="614">
      <c r="A614" s="2" t="inlineStr">
        <is>
          <t>1400-on</t>
        </is>
      </c>
      <c r="B614" s="2" t="n">
        <v>1400</v>
      </c>
      <c r="C614" s="2" t="inlineStr">
        <is>
          <t>on</t>
        </is>
      </c>
      <c r="D614" s="2" t="n">
        <v>1348</v>
      </c>
      <c r="E614" s="2" t="inlineStr">
        <is>
          <t>openssl secp256r1 only (classical)</t>
        </is>
      </c>
      <c r="F614" s="2" t="b">
        <v>0</v>
      </c>
      <c r="G614" s="2" t="n">
        <v>3</v>
      </c>
      <c r="H614" s="2" t="n">
        <v>342</v>
      </c>
      <c r="I614" s="2" t="n">
        <v>342</v>
      </c>
      <c r="J614" s="2" t="n">
        <v>342</v>
      </c>
      <c r="K614" s="2">
        <f>H614+5&gt;D614</f>
        <v/>
      </c>
      <c r="L614" s="2">
        <f>J614&lt;I614</f>
        <v/>
      </c>
      <c r="M614" s="2" t="b">
        <v>1</v>
      </c>
      <c r="N614" s="2" t="b">
        <v>1</v>
      </c>
      <c r="O614" s="2" t="inlineStr">
        <is>
          <t>allow</t>
        </is>
      </c>
      <c r="P614" s="2">
        <f>O614&lt;&gt;"unknown"</f>
        <v/>
      </c>
    </row>
    <row r="615">
      <c r="A615" s="2" t="inlineStr">
        <is>
          <t>1400-on</t>
        </is>
      </c>
      <c r="B615" s="2" t="n">
        <v>1400</v>
      </c>
      <c r="C615" s="2" t="inlineStr">
        <is>
          <t>on</t>
        </is>
      </c>
      <c r="D615" s="2" t="n">
        <v>1348</v>
      </c>
      <c r="E615" s="2" t="inlineStr">
        <is>
          <t>openssl secp256r1 only (classical)</t>
        </is>
      </c>
      <c r="F615" s="2" t="b">
        <v>0</v>
      </c>
      <c r="G615" s="2" t="n">
        <v>4</v>
      </c>
      <c r="H615" s="2" t="n">
        <v>342</v>
      </c>
      <c r="I615" s="2" t="n">
        <v>342</v>
      </c>
      <c r="J615" s="2" t="n">
        <v>342</v>
      </c>
      <c r="K615" s="2">
        <f>H615+5&gt;D615</f>
        <v/>
      </c>
      <c r="L615" s="2">
        <f>J615&lt;I615</f>
        <v/>
      </c>
      <c r="M615" s="2" t="b">
        <v>1</v>
      </c>
      <c r="N615" s="2" t="b">
        <v>1</v>
      </c>
      <c r="O615" s="2" t="inlineStr">
        <is>
          <t>allow</t>
        </is>
      </c>
      <c r="P615" s="2">
        <f>O615&lt;&gt;"unknown"</f>
        <v/>
      </c>
    </row>
    <row r="616">
      <c r="A616" s="2" t="inlineStr">
        <is>
          <t>1400-on</t>
        </is>
      </c>
      <c r="B616" s="2" t="n">
        <v>1400</v>
      </c>
      <c r="C616" s="2" t="inlineStr">
        <is>
          <t>on</t>
        </is>
      </c>
      <c r="D616" s="2" t="n">
        <v>1348</v>
      </c>
      <c r="E616" s="2" t="inlineStr">
        <is>
          <t>openssl secp256r1 only (classical)</t>
        </is>
      </c>
      <c r="F616" s="2" t="b">
        <v>0</v>
      </c>
      <c r="G616" s="2" t="n">
        <v>5</v>
      </c>
      <c r="H616" s="2" t="n">
        <v>342</v>
      </c>
      <c r="I616" s="2" t="n">
        <v>342</v>
      </c>
      <c r="J616" s="2" t="n">
        <v>342</v>
      </c>
      <c r="K616" s="2">
        <f>H616+5&gt;D616</f>
        <v/>
      </c>
      <c r="L616" s="2">
        <f>J616&lt;I616</f>
        <v/>
      </c>
      <c r="M616" s="2" t="b">
        <v>1</v>
      </c>
      <c r="N616" s="2" t="b">
        <v>1</v>
      </c>
      <c r="O616" s="2" t="inlineStr">
        <is>
          <t>allow</t>
        </is>
      </c>
      <c r="P616" s="2">
        <f>O616&lt;&gt;"unknown"</f>
        <v/>
      </c>
    </row>
    <row r="617">
      <c r="A617" s="2" t="inlineStr">
        <is>
          <t>1400-on</t>
        </is>
      </c>
      <c r="B617" s="2" t="n">
        <v>1400</v>
      </c>
      <c r="C617" s="2" t="inlineStr">
        <is>
          <t>on</t>
        </is>
      </c>
      <c r="D617" s="2" t="n">
        <v>1348</v>
      </c>
      <c r="E617" s="2" t="inlineStr">
        <is>
          <t>openssl X25519MLKEM768 only</t>
        </is>
      </c>
      <c r="F617" s="2" t="b">
        <v>1</v>
      </c>
      <c r="G617" s="2" t="n">
        <v>1</v>
      </c>
      <c r="H617" s="2" t="n">
        <v>1485</v>
      </c>
      <c r="I617" s="2" t="n">
        <v>1485</v>
      </c>
      <c r="J617" s="2" t="n">
        <v>1343</v>
      </c>
      <c r="K617" s="2">
        <f>H617+5&gt;D617</f>
        <v/>
      </c>
      <c r="L617" s="2">
        <f>J617&lt;I617</f>
        <v/>
      </c>
      <c r="M617" s="2" t="b">
        <v>1</v>
      </c>
      <c r="N617" s="2" t="b">
        <v>1</v>
      </c>
      <c r="O617" s="2" t="inlineStr">
        <is>
          <t>allow</t>
        </is>
      </c>
      <c r="P617" s="2">
        <f>O617&lt;&gt;"unknown"</f>
        <v/>
      </c>
    </row>
    <row r="618">
      <c r="A618" s="2" t="inlineStr">
        <is>
          <t>1400-on</t>
        </is>
      </c>
      <c r="B618" s="2" t="n">
        <v>1400</v>
      </c>
      <c r="C618" s="2" t="inlineStr">
        <is>
          <t>on</t>
        </is>
      </c>
      <c r="D618" s="2" t="n">
        <v>1348</v>
      </c>
      <c r="E618" s="2" t="inlineStr">
        <is>
          <t>openssl X25519MLKEM768 only</t>
        </is>
      </c>
      <c r="F618" s="2" t="b">
        <v>1</v>
      </c>
      <c r="G618" s="2" t="n">
        <v>2</v>
      </c>
      <c r="H618" s="2" t="n">
        <v>1485</v>
      </c>
      <c r="I618" s="2" t="n">
        <v>1485</v>
      </c>
      <c r="J618" s="2" t="n">
        <v>1343</v>
      </c>
      <c r="K618" s="2">
        <f>H618+5&gt;D618</f>
        <v/>
      </c>
      <c r="L618" s="2">
        <f>J618&lt;I618</f>
        <v/>
      </c>
      <c r="M618" s="2" t="b">
        <v>1</v>
      </c>
      <c r="N618" s="2" t="b">
        <v>1</v>
      </c>
      <c r="O618" s="2" t="inlineStr">
        <is>
          <t>allow</t>
        </is>
      </c>
      <c r="P618" s="2">
        <f>O618&lt;&gt;"unknown"</f>
        <v/>
      </c>
    </row>
    <row r="619">
      <c r="A619" s="2" t="inlineStr">
        <is>
          <t>1400-on</t>
        </is>
      </c>
      <c r="B619" s="2" t="n">
        <v>1400</v>
      </c>
      <c r="C619" s="2" t="inlineStr">
        <is>
          <t>on</t>
        </is>
      </c>
      <c r="D619" s="2" t="n">
        <v>1348</v>
      </c>
      <c r="E619" s="2" t="inlineStr">
        <is>
          <t>openssl X25519MLKEM768 only</t>
        </is>
      </c>
      <c r="F619" s="2" t="b">
        <v>1</v>
      </c>
      <c r="G619" s="2" t="n">
        <v>3</v>
      </c>
      <c r="H619" s="2" t="n">
        <v>1485</v>
      </c>
      <c r="I619" s="2" t="n">
        <v>1485</v>
      </c>
      <c r="J619" s="2" t="n">
        <v>1343</v>
      </c>
      <c r="K619" s="2">
        <f>H619+5&gt;D619</f>
        <v/>
      </c>
      <c r="L619" s="2">
        <f>J619&lt;I619</f>
        <v/>
      </c>
      <c r="M619" s="2" t="b">
        <v>1</v>
      </c>
      <c r="N619" s="2" t="b">
        <v>1</v>
      </c>
      <c r="O619" s="2" t="inlineStr">
        <is>
          <t>allow</t>
        </is>
      </c>
      <c r="P619" s="2">
        <f>O619&lt;&gt;"unknown"</f>
        <v/>
      </c>
    </row>
    <row r="620">
      <c r="A620" s="2" t="inlineStr">
        <is>
          <t>1400-on</t>
        </is>
      </c>
      <c r="B620" s="2" t="n">
        <v>1400</v>
      </c>
      <c r="C620" s="2" t="inlineStr">
        <is>
          <t>on</t>
        </is>
      </c>
      <c r="D620" s="2" t="n">
        <v>1348</v>
      </c>
      <c r="E620" s="2" t="inlineStr">
        <is>
          <t>openssl X25519MLKEM768 only</t>
        </is>
      </c>
      <c r="F620" s="2" t="b">
        <v>1</v>
      </c>
      <c r="G620" s="2" t="n">
        <v>4</v>
      </c>
      <c r="H620" s="2" t="n">
        <v>1485</v>
      </c>
      <c r="I620" s="2" t="n">
        <v>1485</v>
      </c>
      <c r="J620" s="2" t="n">
        <v>1343</v>
      </c>
      <c r="K620" s="2">
        <f>H620+5&gt;D620</f>
        <v/>
      </c>
      <c r="L620" s="2">
        <f>J620&lt;I620</f>
        <v/>
      </c>
      <c r="M620" s="2" t="b">
        <v>1</v>
      </c>
      <c r="N620" s="2" t="b">
        <v>1</v>
      </c>
      <c r="O620" s="2" t="inlineStr">
        <is>
          <t>allow</t>
        </is>
      </c>
      <c r="P620" s="2">
        <f>O620&lt;&gt;"unknown"</f>
        <v/>
      </c>
    </row>
    <row r="621">
      <c r="A621" s="2" t="inlineStr">
        <is>
          <t>1400-on</t>
        </is>
      </c>
      <c r="B621" s="2" t="n">
        <v>1400</v>
      </c>
      <c r="C621" s="2" t="inlineStr">
        <is>
          <t>on</t>
        </is>
      </c>
      <c r="D621" s="2" t="n">
        <v>1348</v>
      </c>
      <c r="E621" s="2" t="inlineStr">
        <is>
          <t>openssl X25519MLKEM768 only</t>
        </is>
      </c>
      <c r="F621" s="2" t="b">
        <v>1</v>
      </c>
      <c r="G621" s="2" t="n">
        <v>5</v>
      </c>
      <c r="H621" s="2" t="n">
        <v>1485</v>
      </c>
      <c r="I621" s="2" t="n">
        <v>1485</v>
      </c>
      <c r="J621" s="2" t="n">
        <v>1343</v>
      </c>
      <c r="K621" s="2">
        <f>H621+5&gt;D621</f>
        <v/>
      </c>
      <c r="L621" s="2">
        <f>J621&lt;I621</f>
        <v/>
      </c>
      <c r="M621" s="2" t="b">
        <v>1</v>
      </c>
      <c r="N621" s="2" t="b">
        <v>1</v>
      </c>
      <c r="O621" s="2" t="inlineStr">
        <is>
          <t>allow</t>
        </is>
      </c>
      <c r="P621" s="2">
        <f>O621&lt;&gt;"unknown"</f>
        <v/>
      </c>
    </row>
    <row r="622">
      <c r="A622" s="2" t="inlineStr">
        <is>
          <t>1400-on</t>
        </is>
      </c>
      <c r="B622" s="2" t="n">
        <v>1400</v>
      </c>
      <c r="C622" s="2" t="inlineStr">
        <is>
          <t>on</t>
        </is>
      </c>
      <c r="D622" s="2" t="n">
        <v>1348</v>
      </c>
      <c r="E622" s="2" t="inlineStr">
        <is>
          <t>openssl SecP256r1MLKEM768</t>
        </is>
      </c>
      <c r="F622" s="2" t="b">
        <v>1</v>
      </c>
      <c r="G622" s="2" t="n">
        <v>1</v>
      </c>
      <c r="H622" s="2" t="n">
        <v>1518</v>
      </c>
      <c r="I622" s="2" t="n">
        <v>1518</v>
      </c>
      <c r="J622" s="2" t="n">
        <v>1343</v>
      </c>
      <c r="K622" s="2">
        <f>H622+5&gt;D622</f>
        <v/>
      </c>
      <c r="L622" s="2">
        <f>J622&lt;I622</f>
        <v/>
      </c>
      <c r="M622" s="2" t="b">
        <v>1</v>
      </c>
      <c r="N622" s="2" t="b">
        <v>1</v>
      </c>
      <c r="O622" s="2" t="inlineStr">
        <is>
          <t>allow</t>
        </is>
      </c>
      <c r="P622" s="2">
        <f>O622&lt;&gt;"unknown"</f>
        <v/>
      </c>
    </row>
    <row r="623">
      <c r="A623" s="2" t="inlineStr">
        <is>
          <t>1400-on</t>
        </is>
      </c>
      <c r="B623" s="2" t="n">
        <v>1400</v>
      </c>
      <c r="C623" s="2" t="inlineStr">
        <is>
          <t>on</t>
        </is>
      </c>
      <c r="D623" s="2" t="n">
        <v>1348</v>
      </c>
      <c r="E623" s="2" t="inlineStr">
        <is>
          <t>openssl SecP256r1MLKEM768</t>
        </is>
      </c>
      <c r="F623" s="2" t="b">
        <v>1</v>
      </c>
      <c r="G623" s="2" t="n">
        <v>2</v>
      </c>
      <c r="H623" s="2" t="n">
        <v>1518</v>
      </c>
      <c r="I623" s="2" t="n">
        <v>1518</v>
      </c>
      <c r="J623" s="2" t="n">
        <v>1343</v>
      </c>
      <c r="K623" s="2">
        <f>H623+5&gt;D623</f>
        <v/>
      </c>
      <c r="L623" s="2">
        <f>J623&lt;I623</f>
        <v/>
      </c>
      <c r="M623" s="2" t="b">
        <v>1</v>
      </c>
      <c r="N623" s="2" t="b">
        <v>1</v>
      </c>
      <c r="O623" s="2" t="inlineStr">
        <is>
          <t>allow</t>
        </is>
      </c>
      <c r="P623" s="2">
        <f>O623&lt;&gt;"unknown"</f>
        <v/>
      </c>
    </row>
    <row r="624">
      <c r="A624" s="2" t="inlineStr">
        <is>
          <t>1400-on</t>
        </is>
      </c>
      <c r="B624" s="2" t="n">
        <v>1400</v>
      </c>
      <c r="C624" s="2" t="inlineStr">
        <is>
          <t>on</t>
        </is>
      </c>
      <c r="D624" s="2" t="n">
        <v>1348</v>
      </c>
      <c r="E624" s="2" t="inlineStr">
        <is>
          <t>openssl SecP256r1MLKEM768</t>
        </is>
      </c>
      <c r="F624" s="2" t="b">
        <v>1</v>
      </c>
      <c r="G624" s="2" t="n">
        <v>3</v>
      </c>
      <c r="H624" s="2" t="n">
        <v>1518</v>
      </c>
      <c r="I624" s="2" t="n">
        <v>1518</v>
      </c>
      <c r="J624" s="2" t="n">
        <v>1343</v>
      </c>
      <c r="K624" s="2">
        <f>H624+5&gt;D624</f>
        <v/>
      </c>
      <c r="L624" s="2">
        <f>J624&lt;I624</f>
        <v/>
      </c>
      <c r="M624" s="2" t="b">
        <v>1</v>
      </c>
      <c r="N624" s="2" t="b">
        <v>1</v>
      </c>
      <c r="O624" s="2" t="inlineStr">
        <is>
          <t>allow</t>
        </is>
      </c>
      <c r="P624" s="2">
        <f>O624&lt;&gt;"unknown"</f>
        <v/>
      </c>
    </row>
    <row r="625">
      <c r="A625" s="2" t="inlineStr">
        <is>
          <t>1400-on</t>
        </is>
      </c>
      <c r="B625" s="2" t="n">
        <v>1400</v>
      </c>
      <c r="C625" s="2" t="inlineStr">
        <is>
          <t>on</t>
        </is>
      </c>
      <c r="D625" s="2" t="n">
        <v>1348</v>
      </c>
      <c r="E625" s="2" t="inlineStr">
        <is>
          <t>openssl SecP256r1MLKEM768</t>
        </is>
      </c>
      <c r="F625" s="2" t="b">
        <v>1</v>
      </c>
      <c r="G625" s="2" t="n">
        <v>4</v>
      </c>
      <c r="H625" s="2" t="n">
        <v>1518</v>
      </c>
      <c r="I625" s="2" t="n">
        <v>1518</v>
      </c>
      <c r="J625" s="2" t="n">
        <v>1343</v>
      </c>
      <c r="K625" s="2">
        <f>H625+5&gt;D625</f>
        <v/>
      </c>
      <c r="L625" s="2">
        <f>J625&lt;I625</f>
        <v/>
      </c>
      <c r="M625" s="2" t="b">
        <v>1</v>
      </c>
      <c r="N625" s="2" t="b">
        <v>1</v>
      </c>
      <c r="O625" s="2" t="inlineStr">
        <is>
          <t>allow</t>
        </is>
      </c>
      <c r="P625" s="2">
        <f>O625&lt;&gt;"unknown"</f>
        <v/>
      </c>
    </row>
    <row r="626">
      <c r="A626" s="2" t="inlineStr">
        <is>
          <t>1400-on</t>
        </is>
      </c>
      <c r="B626" s="2" t="n">
        <v>1400</v>
      </c>
      <c r="C626" s="2" t="inlineStr">
        <is>
          <t>on</t>
        </is>
      </c>
      <c r="D626" s="2" t="n">
        <v>1348</v>
      </c>
      <c r="E626" s="2" t="inlineStr">
        <is>
          <t>openssl SecP256r1MLKEM768</t>
        </is>
      </c>
      <c r="F626" s="2" t="b">
        <v>1</v>
      </c>
      <c r="G626" s="2" t="n">
        <v>5</v>
      </c>
      <c r="H626" s="2" t="n">
        <v>1518</v>
      </c>
      <c r="I626" s="2" t="n">
        <v>1518</v>
      </c>
      <c r="J626" s="2" t="n">
        <v>1343</v>
      </c>
      <c r="K626" s="2">
        <f>H626+5&gt;D626</f>
        <v/>
      </c>
      <c r="L626" s="2">
        <f>J626&lt;I626</f>
        <v/>
      </c>
      <c r="M626" s="2" t="b">
        <v>1</v>
      </c>
      <c r="N626" s="2" t="b">
        <v>1</v>
      </c>
      <c r="O626" s="2" t="inlineStr">
        <is>
          <t>allow</t>
        </is>
      </c>
      <c r="P626" s="2">
        <f>O626&lt;&gt;"unknown"</f>
        <v/>
      </c>
    </row>
    <row r="627">
      <c r="A627" s="2" t="inlineStr">
        <is>
          <t>1400-on</t>
        </is>
      </c>
      <c r="B627" s="2" t="n">
        <v>1400</v>
      </c>
      <c r="C627" s="2" t="inlineStr">
        <is>
          <t>on</t>
        </is>
      </c>
      <c r="D627" s="2" t="n">
        <v>1348</v>
      </c>
      <c r="E627" s="2" t="inlineStr">
        <is>
          <t>openssl SecP384r1MLKEM1024</t>
        </is>
      </c>
      <c r="F627" s="2" t="b">
        <v>1</v>
      </c>
      <c r="G627" s="2" t="n">
        <v>1</v>
      </c>
      <c r="H627" s="2" t="n">
        <v>1934</v>
      </c>
      <c r="I627" s="2" t="n">
        <v>1934</v>
      </c>
      <c r="J627" s="2" t="n">
        <v>1343</v>
      </c>
      <c r="K627" s="2">
        <f>H627+5&gt;D627</f>
        <v/>
      </c>
      <c r="L627" s="2">
        <f>J627&lt;I627</f>
        <v/>
      </c>
      <c r="M627" s="2" t="b">
        <v>1</v>
      </c>
      <c r="N627" s="2" t="b">
        <v>1</v>
      </c>
      <c r="O627" s="2" t="inlineStr">
        <is>
          <t>allow</t>
        </is>
      </c>
      <c r="P627" s="2">
        <f>O627&lt;&gt;"unknown"</f>
        <v/>
      </c>
    </row>
    <row r="628">
      <c r="A628" s="2" t="inlineStr">
        <is>
          <t>1400-on</t>
        </is>
      </c>
      <c r="B628" s="2" t="n">
        <v>1400</v>
      </c>
      <c r="C628" s="2" t="inlineStr">
        <is>
          <t>on</t>
        </is>
      </c>
      <c r="D628" s="2" t="n">
        <v>1348</v>
      </c>
      <c r="E628" s="2" t="inlineStr">
        <is>
          <t>openssl SecP384r1MLKEM1024</t>
        </is>
      </c>
      <c r="F628" s="2" t="b">
        <v>1</v>
      </c>
      <c r="G628" s="2" t="n">
        <v>2</v>
      </c>
      <c r="H628" s="2" t="n">
        <v>1934</v>
      </c>
      <c r="I628" s="2" t="n">
        <v>1934</v>
      </c>
      <c r="J628" s="2" t="n">
        <v>1343</v>
      </c>
      <c r="K628" s="2">
        <f>H628+5&gt;D628</f>
        <v/>
      </c>
      <c r="L628" s="2">
        <f>J628&lt;I628</f>
        <v/>
      </c>
      <c r="M628" s="2" t="b">
        <v>1</v>
      </c>
      <c r="N628" s="2" t="b">
        <v>1</v>
      </c>
      <c r="O628" s="2" t="inlineStr">
        <is>
          <t>allow</t>
        </is>
      </c>
      <c r="P628" s="2">
        <f>O628&lt;&gt;"unknown"</f>
        <v/>
      </c>
    </row>
    <row r="629">
      <c r="A629" s="2" t="inlineStr">
        <is>
          <t>1400-on</t>
        </is>
      </c>
      <c r="B629" s="2" t="n">
        <v>1400</v>
      </c>
      <c r="C629" s="2" t="inlineStr">
        <is>
          <t>on</t>
        </is>
      </c>
      <c r="D629" s="2" t="n">
        <v>1348</v>
      </c>
      <c r="E629" s="2" t="inlineStr">
        <is>
          <t>openssl SecP384r1MLKEM1024</t>
        </is>
      </c>
      <c r="F629" s="2" t="b">
        <v>1</v>
      </c>
      <c r="G629" s="2" t="n">
        <v>3</v>
      </c>
      <c r="H629" s="2" t="n">
        <v>1934</v>
      </c>
      <c r="I629" s="2" t="n">
        <v>1934</v>
      </c>
      <c r="J629" s="2" t="n">
        <v>1343</v>
      </c>
      <c r="K629" s="2">
        <f>H629+5&gt;D629</f>
        <v/>
      </c>
      <c r="L629" s="2">
        <f>J629&lt;I629</f>
        <v/>
      </c>
      <c r="M629" s="2" t="b">
        <v>1</v>
      </c>
      <c r="N629" s="2" t="b">
        <v>1</v>
      </c>
      <c r="O629" s="2" t="inlineStr">
        <is>
          <t>allow</t>
        </is>
      </c>
      <c r="P629" s="2">
        <f>O629&lt;&gt;"unknown"</f>
        <v/>
      </c>
    </row>
    <row r="630">
      <c r="A630" s="2" t="inlineStr">
        <is>
          <t>1400-on</t>
        </is>
      </c>
      <c r="B630" s="2" t="n">
        <v>1400</v>
      </c>
      <c r="C630" s="2" t="inlineStr">
        <is>
          <t>on</t>
        </is>
      </c>
      <c r="D630" s="2" t="n">
        <v>1348</v>
      </c>
      <c r="E630" s="2" t="inlineStr">
        <is>
          <t>openssl SecP384r1MLKEM1024</t>
        </is>
      </c>
      <c r="F630" s="2" t="b">
        <v>1</v>
      </c>
      <c r="G630" s="2" t="n">
        <v>4</v>
      </c>
      <c r="H630" s="2" t="n">
        <v>1934</v>
      </c>
      <c r="I630" s="2" t="n">
        <v>1934</v>
      </c>
      <c r="J630" s="2" t="n">
        <v>1343</v>
      </c>
      <c r="K630" s="2">
        <f>H630+5&gt;D630</f>
        <v/>
      </c>
      <c r="L630" s="2">
        <f>J630&lt;I630</f>
        <v/>
      </c>
      <c r="M630" s="2" t="b">
        <v>1</v>
      </c>
      <c r="N630" s="2" t="b">
        <v>1</v>
      </c>
      <c r="O630" s="2" t="inlineStr">
        <is>
          <t>allow</t>
        </is>
      </c>
      <c r="P630" s="2">
        <f>O630&lt;&gt;"unknown"</f>
        <v/>
      </c>
    </row>
    <row r="631">
      <c r="A631" s="2" t="inlineStr">
        <is>
          <t>1400-on</t>
        </is>
      </c>
      <c r="B631" s="2" t="n">
        <v>1400</v>
      </c>
      <c r="C631" s="2" t="inlineStr">
        <is>
          <t>on</t>
        </is>
      </c>
      <c r="D631" s="2" t="n">
        <v>1348</v>
      </c>
      <c r="E631" s="2" t="inlineStr">
        <is>
          <t>openssl SecP384r1MLKEM1024</t>
        </is>
      </c>
      <c r="F631" s="2" t="b">
        <v>1</v>
      </c>
      <c r="G631" s="2" t="n">
        <v>5</v>
      </c>
      <c r="H631" s="2" t="n">
        <v>1934</v>
      </c>
      <c r="I631" s="2" t="n">
        <v>1934</v>
      </c>
      <c r="J631" s="2" t="n">
        <v>1343</v>
      </c>
      <c r="K631" s="2">
        <f>H631+5&gt;D631</f>
        <v/>
      </c>
      <c r="L631" s="2">
        <f>J631&lt;I631</f>
        <v/>
      </c>
      <c r="M631" s="2" t="b">
        <v>1</v>
      </c>
      <c r="N631" s="2" t="b">
        <v>1</v>
      </c>
      <c r="O631" s="2" t="inlineStr">
        <is>
          <t>allow</t>
        </is>
      </c>
      <c r="P631" s="2">
        <f>O631&lt;&gt;"unknown"</f>
        <v/>
      </c>
    </row>
    <row r="632">
      <c r="A632" s="2" t="inlineStr">
        <is>
          <t>1400-on</t>
        </is>
      </c>
      <c r="B632" s="2" t="n">
        <v>1400</v>
      </c>
      <c r="C632" s="2" t="inlineStr">
        <is>
          <t>on</t>
        </is>
      </c>
      <c r="D632" s="2" t="n">
        <v>1348</v>
      </c>
      <c r="E632" s="2" t="inlineStr">
        <is>
          <t>openssl MLKEM768 (pure PQ)</t>
        </is>
      </c>
      <c r="F632" s="2" t="b">
        <v>1</v>
      </c>
      <c r="G632" s="2" t="n">
        <v>1</v>
      </c>
      <c r="H632" s="2" t="n">
        <v>1453</v>
      </c>
      <c r="I632" s="2" t="n">
        <v>1453</v>
      </c>
      <c r="J632" s="2" t="n">
        <v>1343</v>
      </c>
      <c r="K632" s="2">
        <f>H632+5&gt;D632</f>
        <v/>
      </c>
      <c r="L632" s="2">
        <f>J632&lt;I632</f>
        <v/>
      </c>
      <c r="M632" s="2" t="b">
        <v>1</v>
      </c>
      <c r="N632" s="2" t="b">
        <v>1</v>
      </c>
      <c r="O632" s="2" t="inlineStr">
        <is>
          <t>allow</t>
        </is>
      </c>
      <c r="P632" s="2">
        <f>O632&lt;&gt;"unknown"</f>
        <v/>
      </c>
    </row>
    <row r="633">
      <c r="A633" s="2" t="inlineStr">
        <is>
          <t>1400-on</t>
        </is>
      </c>
      <c r="B633" s="2" t="n">
        <v>1400</v>
      </c>
      <c r="C633" s="2" t="inlineStr">
        <is>
          <t>on</t>
        </is>
      </c>
      <c r="D633" s="2" t="n">
        <v>1348</v>
      </c>
      <c r="E633" s="2" t="inlineStr">
        <is>
          <t>openssl MLKEM768 (pure PQ)</t>
        </is>
      </c>
      <c r="F633" s="2" t="b">
        <v>1</v>
      </c>
      <c r="G633" s="2" t="n">
        <v>2</v>
      </c>
      <c r="H633" s="2" t="n">
        <v>1453</v>
      </c>
      <c r="I633" s="2" t="n">
        <v>1453</v>
      </c>
      <c r="J633" s="2" t="n">
        <v>1343</v>
      </c>
      <c r="K633" s="2">
        <f>H633+5&gt;D633</f>
        <v/>
      </c>
      <c r="L633" s="2">
        <f>J633&lt;I633</f>
        <v/>
      </c>
      <c r="M633" s="2" t="b">
        <v>1</v>
      </c>
      <c r="N633" s="2" t="b">
        <v>1</v>
      </c>
      <c r="O633" s="2" t="inlineStr">
        <is>
          <t>allow</t>
        </is>
      </c>
      <c r="P633" s="2">
        <f>O633&lt;&gt;"unknown"</f>
        <v/>
      </c>
    </row>
    <row r="634">
      <c r="A634" s="2" t="inlineStr">
        <is>
          <t>1400-on</t>
        </is>
      </c>
      <c r="B634" s="2" t="n">
        <v>1400</v>
      </c>
      <c r="C634" s="2" t="inlineStr">
        <is>
          <t>on</t>
        </is>
      </c>
      <c r="D634" s="2" t="n">
        <v>1348</v>
      </c>
      <c r="E634" s="2" t="inlineStr">
        <is>
          <t>openssl MLKEM768 (pure PQ)</t>
        </is>
      </c>
      <c r="F634" s="2" t="b">
        <v>1</v>
      </c>
      <c r="G634" s="2" t="n">
        <v>3</v>
      </c>
      <c r="H634" s="2" t="n">
        <v>1453</v>
      </c>
      <c r="I634" s="2" t="n">
        <v>1453</v>
      </c>
      <c r="J634" s="2" t="n">
        <v>1343</v>
      </c>
      <c r="K634" s="2">
        <f>H634+5&gt;D634</f>
        <v/>
      </c>
      <c r="L634" s="2">
        <f>J634&lt;I634</f>
        <v/>
      </c>
      <c r="M634" s="2" t="b">
        <v>1</v>
      </c>
      <c r="N634" s="2" t="b">
        <v>1</v>
      </c>
      <c r="O634" s="2" t="inlineStr">
        <is>
          <t>allow</t>
        </is>
      </c>
      <c r="P634" s="2">
        <f>O634&lt;&gt;"unknown"</f>
        <v/>
      </c>
    </row>
    <row r="635">
      <c r="A635" s="2" t="inlineStr">
        <is>
          <t>1400-on</t>
        </is>
      </c>
      <c r="B635" s="2" t="n">
        <v>1400</v>
      </c>
      <c r="C635" s="2" t="inlineStr">
        <is>
          <t>on</t>
        </is>
      </c>
      <c r="D635" s="2" t="n">
        <v>1348</v>
      </c>
      <c r="E635" s="2" t="inlineStr">
        <is>
          <t>openssl MLKEM768 (pure PQ)</t>
        </is>
      </c>
      <c r="F635" s="2" t="b">
        <v>1</v>
      </c>
      <c r="G635" s="2" t="n">
        <v>4</v>
      </c>
      <c r="H635" s="2" t="n">
        <v>1453</v>
      </c>
      <c r="I635" s="2" t="n">
        <v>1453</v>
      </c>
      <c r="J635" s="2" t="n">
        <v>1343</v>
      </c>
      <c r="K635" s="2">
        <f>H635+5&gt;D635</f>
        <v/>
      </c>
      <c r="L635" s="2">
        <f>J635&lt;I635</f>
        <v/>
      </c>
      <c r="M635" s="2" t="b">
        <v>1</v>
      </c>
      <c r="N635" s="2" t="b">
        <v>1</v>
      </c>
      <c r="O635" s="2" t="inlineStr">
        <is>
          <t>allow</t>
        </is>
      </c>
      <c r="P635" s="2">
        <f>O635&lt;&gt;"unknown"</f>
        <v/>
      </c>
    </row>
    <row r="636">
      <c r="A636" s="2" t="inlineStr">
        <is>
          <t>1400-on</t>
        </is>
      </c>
      <c r="B636" s="2" t="n">
        <v>1400</v>
      </c>
      <c r="C636" s="2" t="inlineStr">
        <is>
          <t>on</t>
        </is>
      </c>
      <c r="D636" s="2" t="n">
        <v>1348</v>
      </c>
      <c r="E636" s="2" t="inlineStr">
        <is>
          <t>openssl MLKEM768 (pure PQ)</t>
        </is>
      </c>
      <c r="F636" s="2" t="b">
        <v>1</v>
      </c>
      <c r="G636" s="2" t="n">
        <v>5</v>
      </c>
      <c r="H636" s="2" t="n">
        <v>1453</v>
      </c>
      <c r="I636" s="2" t="n">
        <v>1453</v>
      </c>
      <c r="J636" s="2" t="n">
        <v>1343</v>
      </c>
      <c r="K636" s="2">
        <f>H636+5&gt;D636</f>
        <v/>
      </c>
      <c r="L636" s="2">
        <f>J636&lt;I636</f>
        <v/>
      </c>
      <c r="M636" s="2" t="b">
        <v>1</v>
      </c>
      <c r="N636" s="2" t="b">
        <v>1</v>
      </c>
      <c r="O636" s="2" t="inlineStr">
        <is>
          <t>allow</t>
        </is>
      </c>
      <c r="P636" s="2">
        <f>O636&lt;&gt;"unknown"</f>
        <v/>
      </c>
    </row>
    <row r="637">
      <c r="A637" s="2" t="inlineStr">
        <is>
          <t>1400-on</t>
        </is>
      </c>
      <c r="B637" s="2" t="n">
        <v>1400</v>
      </c>
      <c r="C637" s="2" t="inlineStr">
        <is>
          <t>on</t>
        </is>
      </c>
      <c r="D637" s="2" t="n">
        <v>1348</v>
      </c>
      <c r="E637" s="2" t="inlineStr">
        <is>
          <t>openssl MLKEM1024 (pure PQ)</t>
        </is>
      </c>
      <c r="F637" s="2" t="b">
        <v>1</v>
      </c>
      <c r="G637" s="2" t="n">
        <v>1</v>
      </c>
      <c r="H637" s="2" t="n">
        <v>1837</v>
      </c>
      <c r="I637" s="2" t="n">
        <v>1837</v>
      </c>
      <c r="J637" s="2" t="n">
        <v>1343</v>
      </c>
      <c r="K637" s="2">
        <f>H637+5&gt;D637</f>
        <v/>
      </c>
      <c r="L637" s="2">
        <f>J637&lt;I637</f>
        <v/>
      </c>
      <c r="M637" s="2" t="b">
        <v>1</v>
      </c>
      <c r="N637" s="2" t="b">
        <v>1</v>
      </c>
      <c r="O637" s="2" t="inlineStr">
        <is>
          <t>allow</t>
        </is>
      </c>
      <c r="P637" s="2">
        <f>O637&lt;&gt;"unknown"</f>
        <v/>
      </c>
    </row>
    <row r="638">
      <c r="A638" s="2" t="inlineStr">
        <is>
          <t>1400-on</t>
        </is>
      </c>
      <c r="B638" s="2" t="n">
        <v>1400</v>
      </c>
      <c r="C638" s="2" t="inlineStr">
        <is>
          <t>on</t>
        </is>
      </c>
      <c r="D638" s="2" t="n">
        <v>1348</v>
      </c>
      <c r="E638" s="2" t="inlineStr">
        <is>
          <t>openssl MLKEM1024 (pure PQ)</t>
        </is>
      </c>
      <c r="F638" s="2" t="b">
        <v>1</v>
      </c>
      <c r="G638" s="2" t="n">
        <v>2</v>
      </c>
      <c r="H638" s="2" t="n">
        <v>1837</v>
      </c>
      <c r="I638" s="2" t="n">
        <v>1837</v>
      </c>
      <c r="J638" s="2" t="n">
        <v>1343</v>
      </c>
      <c r="K638" s="2">
        <f>H638+5&gt;D638</f>
        <v/>
      </c>
      <c r="L638" s="2">
        <f>J638&lt;I638</f>
        <v/>
      </c>
      <c r="M638" s="2" t="b">
        <v>1</v>
      </c>
      <c r="N638" s="2" t="b">
        <v>1</v>
      </c>
      <c r="O638" s="2" t="inlineStr">
        <is>
          <t>allow</t>
        </is>
      </c>
      <c r="P638" s="2">
        <f>O638&lt;&gt;"unknown"</f>
        <v/>
      </c>
    </row>
    <row r="639">
      <c r="A639" s="2" t="inlineStr">
        <is>
          <t>1400-on</t>
        </is>
      </c>
      <c r="B639" s="2" t="n">
        <v>1400</v>
      </c>
      <c r="C639" s="2" t="inlineStr">
        <is>
          <t>on</t>
        </is>
      </c>
      <c r="D639" s="2" t="n">
        <v>1348</v>
      </c>
      <c r="E639" s="2" t="inlineStr">
        <is>
          <t>openssl MLKEM1024 (pure PQ)</t>
        </is>
      </c>
      <c r="F639" s="2" t="b">
        <v>1</v>
      </c>
      <c r="G639" s="2" t="n">
        <v>3</v>
      </c>
      <c r="H639" s="2" t="n">
        <v>1837</v>
      </c>
      <c r="I639" s="2" t="n">
        <v>1837</v>
      </c>
      <c r="J639" s="2" t="n">
        <v>1343</v>
      </c>
      <c r="K639" s="2">
        <f>H639+5&gt;D639</f>
        <v/>
      </c>
      <c r="L639" s="2">
        <f>J639&lt;I639</f>
        <v/>
      </c>
      <c r="M639" s="2" t="b">
        <v>1</v>
      </c>
      <c r="N639" s="2" t="b">
        <v>1</v>
      </c>
      <c r="O639" s="2" t="inlineStr">
        <is>
          <t>allow</t>
        </is>
      </c>
      <c r="P639" s="2">
        <f>O639&lt;&gt;"unknown"</f>
        <v/>
      </c>
    </row>
    <row r="640">
      <c r="A640" s="2" t="inlineStr">
        <is>
          <t>1400-on</t>
        </is>
      </c>
      <c r="B640" s="2" t="n">
        <v>1400</v>
      </c>
      <c r="C640" s="2" t="inlineStr">
        <is>
          <t>on</t>
        </is>
      </c>
      <c r="D640" s="2" t="n">
        <v>1348</v>
      </c>
      <c r="E640" s="2" t="inlineStr">
        <is>
          <t>openssl MLKEM1024 (pure PQ)</t>
        </is>
      </c>
      <c r="F640" s="2" t="b">
        <v>1</v>
      </c>
      <c r="G640" s="2" t="n">
        <v>4</v>
      </c>
      <c r="H640" s="2" t="n">
        <v>1837</v>
      </c>
      <c r="I640" s="2" t="n">
        <v>1837</v>
      </c>
      <c r="J640" s="2" t="n">
        <v>1343</v>
      </c>
      <c r="K640" s="2">
        <f>H640+5&gt;D640</f>
        <v/>
      </c>
      <c r="L640" s="2">
        <f>J640&lt;I640</f>
        <v/>
      </c>
      <c r="M640" s="2" t="b">
        <v>1</v>
      </c>
      <c r="N640" s="2" t="b">
        <v>1</v>
      </c>
      <c r="O640" s="2" t="inlineStr">
        <is>
          <t>allow</t>
        </is>
      </c>
      <c r="P640" s="2">
        <f>O640&lt;&gt;"unknown"</f>
        <v/>
      </c>
    </row>
    <row r="641">
      <c r="A641" s="2" t="inlineStr">
        <is>
          <t>1400-on</t>
        </is>
      </c>
      <c r="B641" s="2" t="n">
        <v>1400</v>
      </c>
      <c r="C641" s="2" t="inlineStr">
        <is>
          <t>on</t>
        </is>
      </c>
      <c r="D641" s="2" t="n">
        <v>1348</v>
      </c>
      <c r="E641" s="2" t="inlineStr">
        <is>
          <t>openssl MLKEM1024 (pure PQ)</t>
        </is>
      </c>
      <c r="F641" s="2" t="b">
        <v>1</v>
      </c>
      <c r="G641" s="2" t="n">
        <v>5</v>
      </c>
      <c r="H641" s="2" t="n">
        <v>1837</v>
      </c>
      <c r="I641" s="2" t="n">
        <v>1837</v>
      </c>
      <c r="J641" s="2" t="n">
        <v>1343</v>
      </c>
      <c r="K641" s="2">
        <f>H641+5&gt;D641</f>
        <v/>
      </c>
      <c r="L641" s="2">
        <f>J641&lt;I641</f>
        <v/>
      </c>
      <c r="M641" s="2" t="b">
        <v>1</v>
      </c>
      <c r="N641" s="2" t="b">
        <v>1</v>
      </c>
      <c r="O641" s="2" t="inlineStr">
        <is>
          <t>allow</t>
        </is>
      </c>
      <c r="P641" s="2">
        <f>O641&lt;&gt;"unknown"</f>
        <v/>
      </c>
    </row>
    <row r="642">
      <c r="A642" s="2" t="inlineStr">
        <is>
          <t>1400-on</t>
        </is>
      </c>
      <c r="B642" s="2" t="n">
        <v>1400</v>
      </c>
      <c r="C642" s="2" t="inlineStr">
        <is>
          <t>on</t>
        </is>
      </c>
      <c r="D642" s="2" t="n">
        <v>1348</v>
      </c>
      <c r="E642" s="2" t="inlineStr">
        <is>
          <t>openssl TLS 1.2 only</t>
        </is>
      </c>
      <c r="F642" s="2" t="b">
        <v>0</v>
      </c>
      <c r="G642" s="2" t="n">
        <v>1</v>
      </c>
      <c r="H642" s="2" t="n">
        <v>210</v>
      </c>
      <c r="I642" s="2" t="n">
        <v>210</v>
      </c>
      <c r="J642" s="2" t="n">
        <v>210</v>
      </c>
      <c r="K642" s="2">
        <f>H642+5&gt;D642</f>
        <v/>
      </c>
      <c r="L642" s="2">
        <f>J642&lt;I642</f>
        <v/>
      </c>
      <c r="M642" s="2" t="b">
        <v>1</v>
      </c>
      <c r="N642" s="2" t="b">
        <v>1</v>
      </c>
      <c r="O642" s="2" t="inlineStr">
        <is>
          <t>allow</t>
        </is>
      </c>
      <c r="P642" s="2">
        <f>O642&lt;&gt;"unknown"</f>
        <v/>
      </c>
    </row>
    <row r="643">
      <c r="A643" s="2" t="inlineStr">
        <is>
          <t>1400-on</t>
        </is>
      </c>
      <c r="B643" s="2" t="n">
        <v>1400</v>
      </c>
      <c r="C643" s="2" t="inlineStr">
        <is>
          <t>on</t>
        </is>
      </c>
      <c r="D643" s="2" t="n">
        <v>1348</v>
      </c>
      <c r="E643" s="2" t="inlineStr">
        <is>
          <t>openssl TLS 1.2 only</t>
        </is>
      </c>
      <c r="F643" s="2" t="b">
        <v>0</v>
      </c>
      <c r="G643" s="2" t="n">
        <v>2</v>
      </c>
      <c r="H643" s="2" t="n">
        <v>210</v>
      </c>
      <c r="I643" s="2" t="n">
        <v>210</v>
      </c>
      <c r="J643" s="2" t="n">
        <v>210</v>
      </c>
      <c r="K643" s="2">
        <f>H643+5&gt;D643</f>
        <v/>
      </c>
      <c r="L643" s="2">
        <f>J643&lt;I643</f>
        <v/>
      </c>
      <c r="M643" s="2" t="b">
        <v>1</v>
      </c>
      <c r="N643" s="2" t="b">
        <v>1</v>
      </c>
      <c r="O643" s="2" t="inlineStr">
        <is>
          <t>allow</t>
        </is>
      </c>
      <c r="P643" s="2">
        <f>O643&lt;&gt;"unknown"</f>
        <v/>
      </c>
    </row>
    <row r="644">
      <c r="A644" s="2" t="inlineStr">
        <is>
          <t>1400-on</t>
        </is>
      </c>
      <c r="B644" s="2" t="n">
        <v>1400</v>
      </c>
      <c r="C644" s="2" t="inlineStr">
        <is>
          <t>on</t>
        </is>
      </c>
      <c r="D644" s="2" t="n">
        <v>1348</v>
      </c>
      <c r="E644" s="2" t="inlineStr">
        <is>
          <t>openssl TLS 1.2 only</t>
        </is>
      </c>
      <c r="F644" s="2" t="b">
        <v>0</v>
      </c>
      <c r="G644" s="2" t="n">
        <v>3</v>
      </c>
      <c r="H644" s="2" t="n">
        <v>210</v>
      </c>
      <c r="I644" s="2" t="n">
        <v>210</v>
      </c>
      <c r="J644" s="2" t="n">
        <v>210</v>
      </c>
      <c r="K644" s="2">
        <f>H644+5&gt;D644</f>
        <v/>
      </c>
      <c r="L644" s="2">
        <f>J644&lt;I644</f>
        <v/>
      </c>
      <c r="M644" s="2" t="b">
        <v>1</v>
      </c>
      <c r="N644" s="2" t="b">
        <v>1</v>
      </c>
      <c r="O644" s="2" t="inlineStr">
        <is>
          <t>allow</t>
        </is>
      </c>
      <c r="P644" s="2">
        <f>O644&lt;&gt;"unknown"</f>
        <v/>
      </c>
    </row>
    <row r="645">
      <c r="A645" s="2" t="inlineStr">
        <is>
          <t>1400-on</t>
        </is>
      </c>
      <c r="B645" s="2" t="n">
        <v>1400</v>
      </c>
      <c r="C645" s="2" t="inlineStr">
        <is>
          <t>on</t>
        </is>
      </c>
      <c r="D645" s="2" t="n">
        <v>1348</v>
      </c>
      <c r="E645" s="2" t="inlineStr">
        <is>
          <t>openssl TLS 1.2 only</t>
        </is>
      </c>
      <c r="F645" s="2" t="b">
        <v>0</v>
      </c>
      <c r="G645" s="2" t="n">
        <v>4</v>
      </c>
      <c r="H645" s="2" t="n">
        <v>210</v>
      </c>
      <c r="I645" s="2" t="n">
        <v>210</v>
      </c>
      <c r="J645" s="2" t="n">
        <v>210</v>
      </c>
      <c r="K645" s="2">
        <f>H645+5&gt;D645</f>
        <v/>
      </c>
      <c r="L645" s="2">
        <f>J645&lt;I645</f>
        <v/>
      </c>
      <c r="M645" s="2" t="b">
        <v>1</v>
      </c>
      <c r="N645" s="2" t="b">
        <v>1</v>
      </c>
      <c r="O645" s="2" t="inlineStr">
        <is>
          <t>allow</t>
        </is>
      </c>
      <c r="P645" s="2">
        <f>O645&lt;&gt;"unknown"</f>
        <v/>
      </c>
    </row>
    <row r="646">
      <c r="A646" s="2" t="inlineStr">
        <is>
          <t>1400-on</t>
        </is>
      </c>
      <c r="B646" s="2" t="n">
        <v>1400</v>
      </c>
      <c r="C646" s="2" t="inlineStr">
        <is>
          <t>on</t>
        </is>
      </c>
      <c r="D646" s="2" t="n">
        <v>1348</v>
      </c>
      <c r="E646" s="2" t="inlineStr">
        <is>
          <t>openssl TLS 1.2 only</t>
        </is>
      </c>
      <c r="F646" s="2" t="b">
        <v>0</v>
      </c>
      <c r="G646" s="2" t="n">
        <v>5</v>
      </c>
      <c r="H646" s="2" t="n">
        <v>210</v>
      </c>
      <c r="I646" s="2" t="n">
        <v>210</v>
      </c>
      <c r="J646" s="2" t="n">
        <v>210</v>
      </c>
      <c r="K646" s="2">
        <f>H646+5&gt;D646</f>
        <v/>
      </c>
      <c r="L646" s="2">
        <f>J646&lt;I646</f>
        <v/>
      </c>
      <c r="M646" s="2" t="b">
        <v>1</v>
      </c>
      <c r="N646" s="2" t="b">
        <v>1</v>
      </c>
      <c r="O646" s="2" t="inlineStr">
        <is>
          <t>allow</t>
        </is>
      </c>
      <c r="P646" s="2">
        <f>O646&lt;&gt;"unknown"</f>
        <v/>
      </c>
    </row>
    <row r="647">
      <c r="A647" s="2" t="inlineStr">
        <is>
          <t>1400-on</t>
        </is>
      </c>
      <c r="B647" s="2" t="n">
        <v>1400</v>
      </c>
      <c r="C647" s="2" t="inlineStr">
        <is>
          <t>on</t>
        </is>
      </c>
      <c r="D647" s="2" t="n">
        <v>1348</v>
      </c>
      <c r="E647" s="2" t="inlineStr">
        <is>
          <t>curl 8.22 (OpenSSL 3.5.8)</t>
        </is>
      </c>
      <c r="F647" s="2" t="b">
        <v>1</v>
      </c>
      <c r="G647" s="2" t="n">
        <v>1</v>
      </c>
      <c r="H647" s="2" t="n">
        <v>1561</v>
      </c>
      <c r="I647" s="2" t="n">
        <v>1561</v>
      </c>
      <c r="J647" s="2" t="n">
        <v>1343</v>
      </c>
      <c r="K647" s="2">
        <f>H647+5&gt;D647</f>
        <v/>
      </c>
      <c r="L647" s="2">
        <f>J647&lt;I647</f>
        <v/>
      </c>
      <c r="M647" s="2" t="b">
        <v>1</v>
      </c>
      <c r="N647" s="2" t="b">
        <v>1</v>
      </c>
      <c r="O647" s="2" t="inlineStr">
        <is>
          <t>allow</t>
        </is>
      </c>
      <c r="P647" s="2">
        <f>O647&lt;&gt;"unknown"</f>
        <v/>
      </c>
    </row>
    <row r="648">
      <c r="A648" s="2" t="inlineStr">
        <is>
          <t>1400-on</t>
        </is>
      </c>
      <c r="B648" s="2" t="n">
        <v>1400</v>
      </c>
      <c r="C648" s="2" t="inlineStr">
        <is>
          <t>on</t>
        </is>
      </c>
      <c r="D648" s="2" t="n">
        <v>1348</v>
      </c>
      <c r="E648" s="2" t="inlineStr">
        <is>
          <t>curl 8.22 (OpenSSL 3.5.8)</t>
        </is>
      </c>
      <c r="F648" s="2" t="b">
        <v>1</v>
      </c>
      <c r="G648" s="2" t="n">
        <v>2</v>
      </c>
      <c r="H648" s="2" t="n">
        <v>1561</v>
      </c>
      <c r="I648" s="2" t="n">
        <v>1561</v>
      </c>
      <c r="J648" s="2" t="n">
        <v>1343</v>
      </c>
      <c r="K648" s="2">
        <f>H648+5&gt;D648</f>
        <v/>
      </c>
      <c r="L648" s="2">
        <f>J648&lt;I648</f>
        <v/>
      </c>
      <c r="M648" s="2" t="b">
        <v>1</v>
      </c>
      <c r="N648" s="2" t="b">
        <v>1</v>
      </c>
      <c r="O648" s="2" t="inlineStr">
        <is>
          <t>allow</t>
        </is>
      </c>
      <c r="P648" s="2">
        <f>O648&lt;&gt;"unknown"</f>
        <v/>
      </c>
    </row>
    <row r="649">
      <c r="A649" s="2" t="inlineStr">
        <is>
          <t>1400-on</t>
        </is>
      </c>
      <c r="B649" s="2" t="n">
        <v>1400</v>
      </c>
      <c r="C649" s="2" t="inlineStr">
        <is>
          <t>on</t>
        </is>
      </c>
      <c r="D649" s="2" t="n">
        <v>1348</v>
      </c>
      <c r="E649" s="2" t="inlineStr">
        <is>
          <t>curl 8.22 (OpenSSL 3.5.8)</t>
        </is>
      </c>
      <c r="F649" s="2" t="b">
        <v>1</v>
      </c>
      <c r="G649" s="2" t="n">
        <v>3</v>
      </c>
      <c r="H649" s="2" t="n">
        <v>1561</v>
      </c>
      <c r="I649" s="2" t="n">
        <v>1561</v>
      </c>
      <c r="J649" s="2" t="n">
        <v>1343</v>
      </c>
      <c r="K649" s="2">
        <f>H649+5&gt;D649</f>
        <v/>
      </c>
      <c r="L649" s="2">
        <f>J649&lt;I649</f>
        <v/>
      </c>
      <c r="M649" s="2" t="b">
        <v>1</v>
      </c>
      <c r="N649" s="2" t="b">
        <v>1</v>
      </c>
      <c r="O649" s="2" t="inlineStr">
        <is>
          <t>allow</t>
        </is>
      </c>
      <c r="P649" s="2">
        <f>O649&lt;&gt;"unknown"</f>
        <v/>
      </c>
    </row>
    <row r="650">
      <c r="A650" s="2" t="inlineStr">
        <is>
          <t>1400-on</t>
        </is>
      </c>
      <c r="B650" s="2" t="n">
        <v>1400</v>
      </c>
      <c r="C650" s="2" t="inlineStr">
        <is>
          <t>on</t>
        </is>
      </c>
      <c r="D650" s="2" t="n">
        <v>1348</v>
      </c>
      <c r="E650" s="2" t="inlineStr">
        <is>
          <t>curl 8.22 (OpenSSL 3.5.8)</t>
        </is>
      </c>
      <c r="F650" s="2" t="b">
        <v>1</v>
      </c>
      <c r="G650" s="2" t="n">
        <v>4</v>
      </c>
      <c r="H650" s="2" t="n">
        <v>1561</v>
      </c>
      <c r="I650" s="2" t="n">
        <v>1561</v>
      </c>
      <c r="J650" s="2" t="n">
        <v>1343</v>
      </c>
      <c r="K650" s="2">
        <f>H650+5&gt;D650</f>
        <v/>
      </c>
      <c r="L650" s="2">
        <f>J650&lt;I650</f>
        <v/>
      </c>
      <c r="M650" s="2" t="b">
        <v>1</v>
      </c>
      <c r="N650" s="2" t="b">
        <v>1</v>
      </c>
      <c r="O650" s="2" t="inlineStr">
        <is>
          <t>allow</t>
        </is>
      </c>
      <c r="P650" s="2">
        <f>O650&lt;&gt;"unknown"</f>
        <v/>
      </c>
    </row>
    <row r="651">
      <c r="A651" s="2" t="inlineStr">
        <is>
          <t>1400-on</t>
        </is>
      </c>
      <c r="B651" s="2" t="n">
        <v>1400</v>
      </c>
      <c r="C651" s="2" t="inlineStr">
        <is>
          <t>on</t>
        </is>
      </c>
      <c r="D651" s="2" t="n">
        <v>1348</v>
      </c>
      <c r="E651" s="2" t="inlineStr">
        <is>
          <t>curl 8.22 (OpenSSL 3.5.8)</t>
        </is>
      </c>
      <c r="F651" s="2" t="b">
        <v>1</v>
      </c>
      <c r="G651" s="2" t="n">
        <v>5</v>
      </c>
      <c r="H651" s="2" t="n">
        <v>1561</v>
      </c>
      <c r="I651" s="2" t="n">
        <v>1561</v>
      </c>
      <c r="J651" s="2" t="n">
        <v>1343</v>
      </c>
      <c r="K651" s="2">
        <f>H651+5&gt;D651</f>
        <v/>
      </c>
      <c r="L651" s="2">
        <f>J651&lt;I651</f>
        <v/>
      </c>
      <c r="M651" s="2" t="b">
        <v>1</v>
      </c>
      <c r="N651" s="2" t="b">
        <v>1</v>
      </c>
      <c r="O651" s="2" t="inlineStr">
        <is>
          <t>allow</t>
        </is>
      </c>
      <c r="P651" s="2">
        <f>O651&lt;&gt;"unknown"</f>
        <v/>
      </c>
    </row>
    <row r="652">
      <c r="A652" s="2" t="inlineStr">
        <is>
          <t>1400-on</t>
        </is>
      </c>
      <c r="B652" s="2" t="n">
        <v>1400</v>
      </c>
      <c r="C652" s="2" t="inlineStr">
        <is>
          <t>on</t>
        </is>
      </c>
      <c r="D652" s="2" t="n">
        <v>1348</v>
      </c>
      <c r="E652" s="2" t="inlineStr">
        <is>
          <t>python 3.14 urllib (OpenSSL 3.5.8)</t>
        </is>
      </c>
      <c r="F652" s="2" t="b">
        <v>1</v>
      </c>
      <c r="G652" s="2" t="n">
        <v>1</v>
      </c>
      <c r="H652" s="2" t="n">
        <v>1517</v>
      </c>
      <c r="I652" s="2" t="n">
        <v>1517</v>
      </c>
      <c r="J652" s="2" t="n">
        <v>1343</v>
      </c>
      <c r="K652" s="2">
        <f>H652+5&gt;D652</f>
        <v/>
      </c>
      <c r="L652" s="2">
        <f>J652&lt;I652</f>
        <v/>
      </c>
      <c r="M652" s="2" t="b">
        <v>1</v>
      </c>
      <c r="N652" s="2" t="b">
        <v>1</v>
      </c>
      <c r="O652" s="2" t="inlineStr">
        <is>
          <t>allow</t>
        </is>
      </c>
      <c r="P652" s="2">
        <f>O652&lt;&gt;"unknown"</f>
        <v/>
      </c>
    </row>
    <row r="653">
      <c r="A653" s="2" t="inlineStr">
        <is>
          <t>1400-on</t>
        </is>
      </c>
      <c r="B653" s="2" t="n">
        <v>1400</v>
      </c>
      <c r="C653" s="2" t="inlineStr">
        <is>
          <t>on</t>
        </is>
      </c>
      <c r="D653" s="2" t="n">
        <v>1348</v>
      </c>
      <c r="E653" s="2" t="inlineStr">
        <is>
          <t>python 3.14 urllib (OpenSSL 3.5.8)</t>
        </is>
      </c>
      <c r="F653" s="2" t="b">
        <v>1</v>
      </c>
      <c r="G653" s="2" t="n">
        <v>2</v>
      </c>
      <c r="H653" s="2" t="n">
        <v>1517</v>
      </c>
      <c r="I653" s="2" t="n">
        <v>1517</v>
      </c>
      <c r="J653" s="2" t="n">
        <v>1343</v>
      </c>
      <c r="K653" s="2">
        <f>H653+5&gt;D653</f>
        <v/>
      </c>
      <c r="L653" s="2">
        <f>J653&lt;I653</f>
        <v/>
      </c>
      <c r="M653" s="2" t="b">
        <v>1</v>
      </c>
      <c r="N653" s="2" t="b">
        <v>1</v>
      </c>
      <c r="O653" s="2" t="inlineStr">
        <is>
          <t>allow</t>
        </is>
      </c>
      <c r="P653" s="2">
        <f>O653&lt;&gt;"unknown"</f>
        <v/>
      </c>
    </row>
    <row r="654">
      <c r="A654" s="2" t="inlineStr">
        <is>
          <t>1400-on</t>
        </is>
      </c>
      <c r="B654" s="2" t="n">
        <v>1400</v>
      </c>
      <c r="C654" s="2" t="inlineStr">
        <is>
          <t>on</t>
        </is>
      </c>
      <c r="D654" s="2" t="n">
        <v>1348</v>
      </c>
      <c r="E654" s="2" t="inlineStr">
        <is>
          <t>python 3.14 urllib (OpenSSL 3.5.8)</t>
        </is>
      </c>
      <c r="F654" s="2" t="b">
        <v>1</v>
      </c>
      <c r="G654" s="2" t="n">
        <v>3</v>
      </c>
      <c r="H654" s="2" t="n">
        <v>1517</v>
      </c>
      <c r="I654" s="2" t="n">
        <v>1517</v>
      </c>
      <c r="J654" s="2" t="n">
        <v>1343</v>
      </c>
      <c r="K654" s="2">
        <f>H654+5&gt;D654</f>
        <v/>
      </c>
      <c r="L654" s="2">
        <f>J654&lt;I654</f>
        <v/>
      </c>
      <c r="M654" s="2" t="b">
        <v>1</v>
      </c>
      <c r="N654" s="2" t="b">
        <v>1</v>
      </c>
      <c r="O654" s="2" t="inlineStr">
        <is>
          <t>allow</t>
        </is>
      </c>
      <c r="P654" s="2">
        <f>O654&lt;&gt;"unknown"</f>
        <v/>
      </c>
    </row>
    <row r="655">
      <c r="A655" s="2" t="inlineStr">
        <is>
          <t>1400-on</t>
        </is>
      </c>
      <c r="B655" s="2" t="n">
        <v>1400</v>
      </c>
      <c r="C655" s="2" t="inlineStr">
        <is>
          <t>on</t>
        </is>
      </c>
      <c r="D655" s="2" t="n">
        <v>1348</v>
      </c>
      <c r="E655" s="2" t="inlineStr">
        <is>
          <t>python 3.14 urllib (OpenSSL 3.5.8)</t>
        </is>
      </c>
      <c r="F655" s="2" t="b">
        <v>1</v>
      </c>
      <c r="G655" s="2" t="n">
        <v>4</v>
      </c>
      <c r="H655" s="2" t="n">
        <v>1517</v>
      </c>
      <c r="I655" s="2" t="n">
        <v>1517</v>
      </c>
      <c r="J655" s="2" t="n">
        <v>1343</v>
      </c>
      <c r="K655" s="2">
        <f>H655+5&gt;D655</f>
        <v/>
      </c>
      <c r="L655" s="2">
        <f>J655&lt;I655</f>
        <v/>
      </c>
      <c r="M655" s="2" t="b">
        <v>1</v>
      </c>
      <c r="N655" s="2" t="b">
        <v>1</v>
      </c>
      <c r="O655" s="2" t="inlineStr">
        <is>
          <t>allow</t>
        </is>
      </c>
      <c r="P655" s="2">
        <f>O655&lt;&gt;"unknown"</f>
        <v/>
      </c>
    </row>
    <row r="656">
      <c r="A656" s="2" t="inlineStr">
        <is>
          <t>1400-on</t>
        </is>
      </c>
      <c r="B656" s="2" t="n">
        <v>1400</v>
      </c>
      <c r="C656" s="2" t="inlineStr">
        <is>
          <t>on</t>
        </is>
      </c>
      <c r="D656" s="2" t="n">
        <v>1348</v>
      </c>
      <c r="E656" s="2" t="inlineStr">
        <is>
          <t>python 3.14 urllib (OpenSSL 3.5.8)</t>
        </is>
      </c>
      <c r="F656" s="2" t="b">
        <v>1</v>
      </c>
      <c r="G656" s="2" t="n">
        <v>5</v>
      </c>
      <c r="H656" s="2" t="n">
        <v>1517</v>
      </c>
      <c r="I656" s="2" t="n">
        <v>1517</v>
      </c>
      <c r="J656" s="2" t="n">
        <v>1343</v>
      </c>
      <c r="K656" s="2">
        <f>H656+5&gt;D656</f>
        <v/>
      </c>
      <c r="L656" s="2">
        <f>J656&lt;I656</f>
        <v/>
      </c>
      <c r="M656" s="2" t="b">
        <v>1</v>
      </c>
      <c r="N656" s="2" t="b">
        <v>1</v>
      </c>
      <c r="O656" s="2" t="inlineStr">
        <is>
          <t>allow</t>
        </is>
      </c>
      <c r="P656" s="2">
        <f>O656&lt;&gt;"unknown"</f>
        <v/>
      </c>
    </row>
    <row r="657">
      <c r="A657" s="2" t="inlineStr">
        <is>
          <t>1400-on</t>
        </is>
      </c>
      <c r="B657" s="2" t="n">
        <v>1400</v>
      </c>
      <c r="C657" s="2" t="inlineStr">
        <is>
          <t>on</t>
        </is>
      </c>
      <c r="D657" s="2" t="n">
        <v>1348</v>
      </c>
      <c r="E657" s="2" t="inlineStr">
        <is>
          <t>node 26 https (OpenSSL 3.5.8)</t>
        </is>
      </c>
      <c r="F657" s="2" t="b">
        <v>1</v>
      </c>
      <c r="G657" s="2" t="n">
        <v>1</v>
      </c>
      <c r="H657" s="2" t="n">
        <v>1587</v>
      </c>
      <c r="I657" s="2" t="n">
        <v>1587</v>
      </c>
      <c r="J657" s="2" t="n">
        <v>1343</v>
      </c>
      <c r="K657" s="2">
        <f>H657+5&gt;D657</f>
        <v/>
      </c>
      <c r="L657" s="2">
        <f>J657&lt;I657</f>
        <v/>
      </c>
      <c r="M657" s="2" t="b">
        <v>1</v>
      </c>
      <c r="N657" s="2" t="b">
        <v>1</v>
      </c>
      <c r="O657" s="2" t="inlineStr">
        <is>
          <t>allow</t>
        </is>
      </c>
      <c r="P657" s="2">
        <f>O657&lt;&gt;"unknown"</f>
        <v/>
      </c>
    </row>
    <row r="658">
      <c r="A658" s="2" t="inlineStr">
        <is>
          <t>1400-on</t>
        </is>
      </c>
      <c r="B658" s="2" t="n">
        <v>1400</v>
      </c>
      <c r="C658" s="2" t="inlineStr">
        <is>
          <t>on</t>
        </is>
      </c>
      <c r="D658" s="2" t="n">
        <v>1348</v>
      </c>
      <c r="E658" s="2" t="inlineStr">
        <is>
          <t>node 26 https (OpenSSL 3.5.8)</t>
        </is>
      </c>
      <c r="F658" s="2" t="b">
        <v>1</v>
      </c>
      <c r="G658" s="2" t="n">
        <v>2</v>
      </c>
      <c r="H658" s="2" t="n">
        <v>1587</v>
      </c>
      <c r="I658" s="2" t="n">
        <v>1587</v>
      </c>
      <c r="J658" s="2" t="n">
        <v>1343</v>
      </c>
      <c r="K658" s="2">
        <f>H658+5&gt;D658</f>
        <v/>
      </c>
      <c r="L658" s="2">
        <f>J658&lt;I658</f>
        <v/>
      </c>
      <c r="M658" s="2" t="b">
        <v>1</v>
      </c>
      <c r="N658" s="2" t="b">
        <v>1</v>
      </c>
      <c r="O658" s="2" t="inlineStr">
        <is>
          <t>allow</t>
        </is>
      </c>
      <c r="P658" s="2">
        <f>O658&lt;&gt;"unknown"</f>
        <v/>
      </c>
    </row>
    <row r="659">
      <c r="A659" s="2" t="inlineStr">
        <is>
          <t>1400-on</t>
        </is>
      </c>
      <c r="B659" s="2" t="n">
        <v>1400</v>
      </c>
      <c r="C659" s="2" t="inlineStr">
        <is>
          <t>on</t>
        </is>
      </c>
      <c r="D659" s="2" t="n">
        <v>1348</v>
      </c>
      <c r="E659" s="2" t="inlineStr">
        <is>
          <t>node 26 https (OpenSSL 3.5.8)</t>
        </is>
      </c>
      <c r="F659" s="2" t="b">
        <v>1</v>
      </c>
      <c r="G659" s="2" t="n">
        <v>3</v>
      </c>
      <c r="H659" s="2" t="n">
        <v>1587</v>
      </c>
      <c r="I659" s="2" t="n">
        <v>1587</v>
      </c>
      <c r="J659" s="2" t="n">
        <v>1343</v>
      </c>
      <c r="K659" s="2">
        <f>H659+5&gt;D659</f>
        <v/>
      </c>
      <c r="L659" s="2">
        <f>J659&lt;I659</f>
        <v/>
      </c>
      <c r="M659" s="2" t="b">
        <v>1</v>
      </c>
      <c r="N659" s="2" t="b">
        <v>1</v>
      </c>
      <c r="O659" s="2" t="inlineStr">
        <is>
          <t>allow</t>
        </is>
      </c>
      <c r="P659" s="2">
        <f>O659&lt;&gt;"unknown"</f>
        <v/>
      </c>
    </row>
    <row r="660">
      <c r="A660" s="2" t="inlineStr">
        <is>
          <t>1400-on</t>
        </is>
      </c>
      <c r="B660" s="2" t="n">
        <v>1400</v>
      </c>
      <c r="C660" s="2" t="inlineStr">
        <is>
          <t>on</t>
        </is>
      </c>
      <c r="D660" s="2" t="n">
        <v>1348</v>
      </c>
      <c r="E660" s="2" t="inlineStr">
        <is>
          <t>node 26 https (OpenSSL 3.5.8)</t>
        </is>
      </c>
      <c r="F660" s="2" t="b">
        <v>1</v>
      </c>
      <c r="G660" s="2" t="n">
        <v>4</v>
      </c>
      <c r="H660" s="2" t="n">
        <v>1587</v>
      </c>
      <c r="I660" s="2" t="n">
        <v>1587</v>
      </c>
      <c r="J660" s="2" t="n">
        <v>1343</v>
      </c>
      <c r="K660" s="2">
        <f>H660+5&gt;D660</f>
        <v/>
      </c>
      <c r="L660" s="2">
        <f>J660&lt;I660</f>
        <v/>
      </c>
      <c r="M660" s="2" t="b">
        <v>1</v>
      </c>
      <c r="N660" s="2" t="b">
        <v>1</v>
      </c>
      <c r="O660" s="2" t="inlineStr">
        <is>
          <t>allow</t>
        </is>
      </c>
      <c r="P660" s="2">
        <f>O660&lt;&gt;"unknown"</f>
        <v/>
      </c>
    </row>
    <row r="661">
      <c r="A661" s="2" t="inlineStr">
        <is>
          <t>1400-on</t>
        </is>
      </c>
      <c r="B661" s="2" t="n">
        <v>1400</v>
      </c>
      <c r="C661" s="2" t="inlineStr">
        <is>
          <t>on</t>
        </is>
      </c>
      <c r="D661" s="2" t="n">
        <v>1348</v>
      </c>
      <c r="E661" s="2" t="inlineStr">
        <is>
          <t>node 26 https (OpenSSL 3.5.8)</t>
        </is>
      </c>
      <c r="F661" s="2" t="b">
        <v>1</v>
      </c>
      <c r="G661" s="2" t="n">
        <v>5</v>
      </c>
      <c r="H661" s="2" t="n">
        <v>1587</v>
      </c>
      <c r="I661" s="2" t="n">
        <v>1587</v>
      </c>
      <c r="J661" s="2" t="n">
        <v>1343</v>
      </c>
      <c r="K661" s="2">
        <f>H661+5&gt;D661</f>
        <v/>
      </c>
      <c r="L661" s="2">
        <f>J661&lt;I661</f>
        <v/>
      </c>
      <c r="M661" s="2" t="b">
        <v>1</v>
      </c>
      <c r="N661" s="2" t="b">
        <v>1</v>
      </c>
      <c r="O661" s="2" t="inlineStr">
        <is>
          <t>allow</t>
        </is>
      </c>
      <c r="P661" s="2">
        <f>O661&lt;&gt;"unknown"</f>
        <v/>
      </c>
    </row>
    <row r="662">
      <c r="A662" s="2" t="inlineStr">
        <is>
          <t>1400-on</t>
        </is>
      </c>
      <c r="B662" s="2" t="n">
        <v>1400</v>
      </c>
      <c r="C662" s="2" t="inlineStr">
        <is>
          <t>on</t>
        </is>
      </c>
      <c r="D662" s="2" t="n">
        <v>1348</v>
      </c>
      <c r="E662" s="2" t="inlineStr">
        <is>
          <t>go 1.27 net/http (crypto/tls)</t>
        </is>
      </c>
      <c r="F662" s="2" t="b">
        <v>1</v>
      </c>
      <c r="G662" s="2" t="n">
        <v>1</v>
      </c>
      <c r="H662" s="2" t="n">
        <v>1532</v>
      </c>
      <c r="I662" s="2" t="n">
        <v>1532</v>
      </c>
      <c r="J662" s="2" t="n">
        <v>1343</v>
      </c>
      <c r="K662" s="2">
        <f>H662+5&gt;D662</f>
        <v/>
      </c>
      <c r="L662" s="2">
        <f>J662&lt;I662</f>
        <v/>
      </c>
      <c r="M662" s="2" t="b">
        <v>1</v>
      </c>
      <c r="N662" s="2" t="b">
        <v>1</v>
      </c>
      <c r="O662" s="2" t="inlineStr">
        <is>
          <t>allow</t>
        </is>
      </c>
      <c r="P662" s="2">
        <f>O662&lt;&gt;"unknown"</f>
        <v/>
      </c>
    </row>
    <row r="663">
      <c r="A663" s="2" t="inlineStr">
        <is>
          <t>1400-on</t>
        </is>
      </c>
      <c r="B663" s="2" t="n">
        <v>1400</v>
      </c>
      <c r="C663" s="2" t="inlineStr">
        <is>
          <t>on</t>
        </is>
      </c>
      <c r="D663" s="2" t="n">
        <v>1348</v>
      </c>
      <c r="E663" s="2" t="inlineStr">
        <is>
          <t>go 1.27 net/http (crypto/tls)</t>
        </is>
      </c>
      <c r="F663" s="2" t="b">
        <v>1</v>
      </c>
      <c r="G663" s="2" t="n">
        <v>2</v>
      </c>
      <c r="H663" s="2" t="n">
        <v>1532</v>
      </c>
      <c r="I663" s="2" t="n">
        <v>1532</v>
      </c>
      <c r="J663" s="2" t="n">
        <v>1343</v>
      </c>
      <c r="K663" s="2">
        <f>H663+5&gt;D663</f>
        <v/>
      </c>
      <c r="L663" s="2">
        <f>J663&lt;I663</f>
        <v/>
      </c>
      <c r="M663" s="2" t="b">
        <v>1</v>
      </c>
      <c r="N663" s="2" t="b">
        <v>1</v>
      </c>
      <c r="O663" s="2" t="inlineStr">
        <is>
          <t>allow</t>
        </is>
      </c>
      <c r="P663" s="2">
        <f>O663&lt;&gt;"unknown"</f>
        <v/>
      </c>
    </row>
    <row r="664">
      <c r="A664" s="2" t="inlineStr">
        <is>
          <t>1400-on</t>
        </is>
      </c>
      <c r="B664" s="2" t="n">
        <v>1400</v>
      </c>
      <c r="C664" s="2" t="inlineStr">
        <is>
          <t>on</t>
        </is>
      </c>
      <c r="D664" s="2" t="n">
        <v>1348</v>
      </c>
      <c r="E664" s="2" t="inlineStr">
        <is>
          <t>go 1.27 net/http (crypto/tls)</t>
        </is>
      </c>
      <c r="F664" s="2" t="b">
        <v>1</v>
      </c>
      <c r="G664" s="2" t="n">
        <v>3</v>
      </c>
      <c r="H664" s="2" t="n">
        <v>1532</v>
      </c>
      <c r="I664" s="2" t="n">
        <v>1532</v>
      </c>
      <c r="J664" s="2" t="n">
        <v>1343</v>
      </c>
      <c r="K664" s="2">
        <f>H664+5&gt;D664</f>
        <v/>
      </c>
      <c r="L664" s="2">
        <f>J664&lt;I664</f>
        <v/>
      </c>
      <c r="M664" s="2" t="b">
        <v>1</v>
      </c>
      <c r="N664" s="2" t="b">
        <v>1</v>
      </c>
      <c r="O664" s="2" t="inlineStr">
        <is>
          <t>allow</t>
        </is>
      </c>
      <c r="P664" s="2">
        <f>O664&lt;&gt;"unknown"</f>
        <v/>
      </c>
    </row>
    <row r="665">
      <c r="A665" s="2" t="inlineStr">
        <is>
          <t>1400-on</t>
        </is>
      </c>
      <c r="B665" s="2" t="n">
        <v>1400</v>
      </c>
      <c r="C665" s="2" t="inlineStr">
        <is>
          <t>on</t>
        </is>
      </c>
      <c r="D665" s="2" t="n">
        <v>1348</v>
      </c>
      <c r="E665" s="2" t="inlineStr">
        <is>
          <t>go 1.27 net/http (crypto/tls)</t>
        </is>
      </c>
      <c r="F665" s="2" t="b">
        <v>1</v>
      </c>
      <c r="G665" s="2" t="n">
        <v>4</v>
      </c>
      <c r="H665" s="2" t="n">
        <v>1532</v>
      </c>
      <c r="I665" s="2" t="n">
        <v>1532</v>
      </c>
      <c r="J665" s="2" t="n">
        <v>1343</v>
      </c>
      <c r="K665" s="2">
        <f>H665+5&gt;D665</f>
        <v/>
      </c>
      <c r="L665" s="2">
        <f>J665&lt;I665</f>
        <v/>
      </c>
      <c r="M665" s="2" t="b">
        <v>1</v>
      </c>
      <c r="N665" s="2" t="b">
        <v>1</v>
      </c>
      <c r="O665" s="2" t="inlineStr">
        <is>
          <t>allow</t>
        </is>
      </c>
      <c r="P665" s="2">
        <f>O665&lt;&gt;"unknown"</f>
        <v/>
      </c>
    </row>
    <row r="666">
      <c r="A666" s="2" t="inlineStr">
        <is>
          <t>1400-on</t>
        </is>
      </c>
      <c r="B666" s="2" t="n">
        <v>1400</v>
      </c>
      <c r="C666" s="2" t="inlineStr">
        <is>
          <t>on</t>
        </is>
      </c>
      <c r="D666" s="2" t="n">
        <v>1348</v>
      </c>
      <c r="E666" s="2" t="inlineStr">
        <is>
          <t>go 1.27 net/http (crypto/tls)</t>
        </is>
      </c>
      <c r="F666" s="2" t="b">
        <v>1</v>
      </c>
      <c r="G666" s="2" t="n">
        <v>5</v>
      </c>
      <c r="H666" s="2" t="n">
        <v>1532</v>
      </c>
      <c r="I666" s="2" t="n">
        <v>1532</v>
      </c>
      <c r="J666" s="2" t="n">
        <v>1343</v>
      </c>
      <c r="K666" s="2">
        <f>H666+5&gt;D666</f>
        <v/>
      </c>
      <c r="L666" s="2">
        <f>J666&lt;I666</f>
        <v/>
      </c>
      <c r="M666" s="2" t="b">
        <v>1</v>
      </c>
      <c r="N666" s="2" t="b">
        <v>1</v>
      </c>
      <c r="O666" s="2" t="inlineStr">
        <is>
          <t>allow</t>
        </is>
      </c>
      <c r="P666" s="2">
        <f>O666&lt;&gt;"unknown"</f>
        <v/>
      </c>
    </row>
    <row r="667">
      <c r="A667" s="2" t="inlineStr">
        <is>
          <t>1400-on</t>
        </is>
      </c>
      <c r="B667" s="2" t="n">
        <v>1400</v>
      </c>
      <c r="C667" s="2" t="inlineStr">
        <is>
          <t>on</t>
        </is>
      </c>
      <c r="D667" s="2" t="n">
        <v>1348</v>
      </c>
      <c r="E667" s="2" t="inlineStr">
        <is>
          <t>browser chrome116</t>
        </is>
      </c>
      <c r="F667" s="2" t="b">
        <v>0</v>
      </c>
      <c r="G667" s="2" t="n">
        <v>1</v>
      </c>
      <c r="H667" s="2" t="n">
        <v>512</v>
      </c>
      <c r="I667" s="2" t="n">
        <v>512</v>
      </c>
      <c r="J667" s="2" t="n">
        <v>512</v>
      </c>
      <c r="K667" s="2">
        <f>H667+5&gt;D667</f>
        <v/>
      </c>
      <c r="L667" s="2">
        <f>J667&lt;I667</f>
        <v/>
      </c>
      <c r="M667" s="2" t="b">
        <v>1</v>
      </c>
      <c r="N667" s="2" t="b">
        <v>1</v>
      </c>
      <c r="O667" s="2" t="inlineStr">
        <is>
          <t>allow</t>
        </is>
      </c>
      <c r="P667" s="2">
        <f>O667&lt;&gt;"unknown"</f>
        <v/>
      </c>
    </row>
    <row r="668">
      <c r="A668" s="2" t="inlineStr">
        <is>
          <t>1400-on</t>
        </is>
      </c>
      <c r="B668" s="2" t="n">
        <v>1400</v>
      </c>
      <c r="C668" s="2" t="inlineStr">
        <is>
          <t>on</t>
        </is>
      </c>
      <c r="D668" s="2" t="n">
        <v>1348</v>
      </c>
      <c r="E668" s="2" t="inlineStr">
        <is>
          <t>browser chrome116</t>
        </is>
      </c>
      <c r="F668" s="2" t="b">
        <v>0</v>
      </c>
      <c r="G668" s="2" t="n">
        <v>2</v>
      </c>
      <c r="H668" s="2" t="n">
        <v>512</v>
      </c>
      <c r="I668" s="2" t="n">
        <v>512</v>
      </c>
      <c r="J668" s="2" t="n">
        <v>512</v>
      </c>
      <c r="K668" s="2">
        <f>H668+5&gt;D668</f>
        <v/>
      </c>
      <c r="L668" s="2">
        <f>J668&lt;I668</f>
        <v/>
      </c>
      <c r="M668" s="2" t="b">
        <v>1</v>
      </c>
      <c r="N668" s="2" t="b">
        <v>1</v>
      </c>
      <c r="O668" s="2" t="inlineStr">
        <is>
          <t>allow</t>
        </is>
      </c>
      <c r="P668" s="2">
        <f>O668&lt;&gt;"unknown"</f>
        <v/>
      </c>
    </row>
    <row r="669">
      <c r="A669" s="2" t="inlineStr">
        <is>
          <t>1400-on</t>
        </is>
      </c>
      <c r="B669" s="2" t="n">
        <v>1400</v>
      </c>
      <c r="C669" s="2" t="inlineStr">
        <is>
          <t>on</t>
        </is>
      </c>
      <c r="D669" s="2" t="n">
        <v>1348</v>
      </c>
      <c r="E669" s="2" t="inlineStr">
        <is>
          <t>browser chrome116</t>
        </is>
      </c>
      <c r="F669" s="2" t="b">
        <v>0</v>
      </c>
      <c r="G669" s="2" t="n">
        <v>3</v>
      </c>
      <c r="H669" s="2" t="n">
        <v>512</v>
      </c>
      <c r="I669" s="2" t="n">
        <v>512</v>
      </c>
      <c r="J669" s="2" t="n">
        <v>512</v>
      </c>
      <c r="K669" s="2">
        <f>H669+5&gt;D669</f>
        <v/>
      </c>
      <c r="L669" s="2">
        <f>J669&lt;I669</f>
        <v/>
      </c>
      <c r="M669" s="2" t="b">
        <v>1</v>
      </c>
      <c r="N669" s="2" t="b">
        <v>1</v>
      </c>
      <c r="O669" s="2" t="inlineStr">
        <is>
          <t>allow</t>
        </is>
      </c>
      <c r="P669" s="2">
        <f>O669&lt;&gt;"unknown"</f>
        <v/>
      </c>
    </row>
    <row r="670">
      <c r="A670" s="2" t="inlineStr">
        <is>
          <t>1400-on</t>
        </is>
      </c>
      <c r="B670" s="2" t="n">
        <v>1400</v>
      </c>
      <c r="C670" s="2" t="inlineStr">
        <is>
          <t>on</t>
        </is>
      </c>
      <c r="D670" s="2" t="n">
        <v>1348</v>
      </c>
      <c r="E670" s="2" t="inlineStr">
        <is>
          <t>browser chrome116</t>
        </is>
      </c>
      <c r="F670" s="2" t="b">
        <v>0</v>
      </c>
      <c r="G670" s="2" t="n">
        <v>4</v>
      </c>
      <c r="H670" s="2" t="n">
        <v>512</v>
      </c>
      <c r="I670" s="2" t="n">
        <v>512</v>
      </c>
      <c r="J670" s="2" t="n">
        <v>512</v>
      </c>
      <c r="K670" s="2">
        <f>H670+5&gt;D670</f>
        <v/>
      </c>
      <c r="L670" s="2">
        <f>J670&lt;I670</f>
        <v/>
      </c>
      <c r="M670" s="2" t="b">
        <v>1</v>
      </c>
      <c r="N670" s="2" t="b">
        <v>1</v>
      </c>
      <c r="O670" s="2" t="inlineStr">
        <is>
          <t>allow</t>
        </is>
      </c>
      <c r="P670" s="2">
        <f>O670&lt;&gt;"unknown"</f>
        <v/>
      </c>
    </row>
    <row r="671">
      <c r="A671" s="2" t="inlineStr">
        <is>
          <t>1400-on</t>
        </is>
      </c>
      <c r="B671" s="2" t="n">
        <v>1400</v>
      </c>
      <c r="C671" s="2" t="inlineStr">
        <is>
          <t>on</t>
        </is>
      </c>
      <c r="D671" s="2" t="n">
        <v>1348</v>
      </c>
      <c r="E671" s="2" t="inlineStr">
        <is>
          <t>browser chrome116</t>
        </is>
      </c>
      <c r="F671" s="2" t="b">
        <v>0</v>
      </c>
      <c r="G671" s="2" t="n">
        <v>5</v>
      </c>
      <c r="H671" s="2" t="n">
        <v>512</v>
      </c>
      <c r="I671" s="2" t="n">
        <v>512</v>
      </c>
      <c r="J671" s="2" t="n">
        <v>512</v>
      </c>
      <c r="K671" s="2">
        <f>H671+5&gt;D671</f>
        <v/>
      </c>
      <c r="L671" s="2">
        <f>J671&lt;I671</f>
        <v/>
      </c>
      <c r="M671" s="2" t="b">
        <v>1</v>
      </c>
      <c r="N671" s="2" t="b">
        <v>1</v>
      </c>
      <c r="O671" s="2" t="inlineStr">
        <is>
          <t>allow</t>
        </is>
      </c>
      <c r="P671" s="2">
        <f>O671&lt;&gt;"unknown"</f>
        <v/>
      </c>
    </row>
    <row r="672">
      <c r="A672" s="2" t="inlineStr">
        <is>
          <t>1400-on</t>
        </is>
      </c>
      <c r="B672" s="2" t="n">
        <v>1400</v>
      </c>
      <c r="C672" s="2" t="inlineStr">
        <is>
          <t>on</t>
        </is>
      </c>
      <c r="D672" s="2" t="n">
        <v>1348</v>
      </c>
      <c r="E672" s="2" t="inlineStr">
        <is>
          <t>browser chrome124</t>
        </is>
      </c>
      <c r="F672" s="2" t="b">
        <v>1</v>
      </c>
      <c r="G672" s="2" t="n">
        <v>1</v>
      </c>
      <c r="H672" s="2" t="n">
        <v>1720</v>
      </c>
      <c r="I672" s="2" t="n">
        <v>1720</v>
      </c>
      <c r="J672" s="2" t="n">
        <v>1343</v>
      </c>
      <c r="K672" s="2">
        <f>H672+5&gt;D672</f>
        <v/>
      </c>
      <c r="L672" s="2">
        <f>J672&lt;I672</f>
        <v/>
      </c>
      <c r="M672" s="2" t="b">
        <v>1</v>
      </c>
      <c r="N672" s="2" t="b">
        <v>0</v>
      </c>
      <c r="O672" s="2" t="inlineStr">
        <is>
          <t>unknown</t>
        </is>
      </c>
      <c r="P672" s="2">
        <f>O672&lt;&gt;"unknown"</f>
        <v/>
      </c>
    </row>
    <row r="673">
      <c r="A673" s="2" t="inlineStr">
        <is>
          <t>1400-on</t>
        </is>
      </c>
      <c r="B673" s="2" t="n">
        <v>1400</v>
      </c>
      <c r="C673" s="2" t="inlineStr">
        <is>
          <t>on</t>
        </is>
      </c>
      <c r="D673" s="2" t="n">
        <v>1348</v>
      </c>
      <c r="E673" s="2" t="inlineStr">
        <is>
          <t>browser chrome124</t>
        </is>
      </c>
      <c r="F673" s="2" t="b">
        <v>1</v>
      </c>
      <c r="G673" s="2" t="n">
        <v>2</v>
      </c>
      <c r="H673" s="2" t="n">
        <v>1784</v>
      </c>
      <c r="I673" s="2" t="n">
        <v>1784</v>
      </c>
      <c r="J673" s="2" t="n">
        <v>1343</v>
      </c>
      <c r="K673" s="2">
        <f>H673+5&gt;D673</f>
        <v/>
      </c>
      <c r="L673" s="2">
        <f>J673&lt;I673</f>
        <v/>
      </c>
      <c r="M673" s="2" t="b">
        <v>1</v>
      </c>
      <c r="N673" s="2" t="b">
        <v>0</v>
      </c>
      <c r="O673" s="2" t="inlineStr">
        <is>
          <t>unknown</t>
        </is>
      </c>
      <c r="P673" s="2">
        <f>O673&lt;&gt;"unknown"</f>
        <v/>
      </c>
    </row>
    <row r="674">
      <c r="A674" s="2" t="inlineStr">
        <is>
          <t>1400-on</t>
        </is>
      </c>
      <c r="B674" s="2" t="n">
        <v>1400</v>
      </c>
      <c r="C674" s="2" t="inlineStr">
        <is>
          <t>on</t>
        </is>
      </c>
      <c r="D674" s="2" t="n">
        <v>1348</v>
      </c>
      <c r="E674" s="2" t="inlineStr">
        <is>
          <t>browser chrome124</t>
        </is>
      </c>
      <c r="F674" s="2" t="b">
        <v>1</v>
      </c>
      <c r="G674" s="2" t="n">
        <v>3</v>
      </c>
      <c r="H674" s="2" t="n">
        <v>1784</v>
      </c>
      <c r="I674" s="2" t="n">
        <v>1784</v>
      </c>
      <c r="J674" s="2" t="n">
        <v>1343</v>
      </c>
      <c r="K674" s="2">
        <f>H674+5&gt;D674</f>
        <v/>
      </c>
      <c r="L674" s="2">
        <f>J674&lt;I674</f>
        <v/>
      </c>
      <c r="M674" s="2" t="b">
        <v>1</v>
      </c>
      <c r="N674" s="2" t="b">
        <v>0</v>
      </c>
      <c r="O674" s="2" t="inlineStr">
        <is>
          <t>unknown</t>
        </is>
      </c>
      <c r="P674" s="2">
        <f>O674&lt;&gt;"unknown"</f>
        <v/>
      </c>
    </row>
    <row r="675">
      <c r="A675" s="2" t="inlineStr">
        <is>
          <t>1400-on</t>
        </is>
      </c>
      <c r="B675" s="2" t="n">
        <v>1400</v>
      </c>
      <c r="C675" s="2" t="inlineStr">
        <is>
          <t>on</t>
        </is>
      </c>
      <c r="D675" s="2" t="n">
        <v>1348</v>
      </c>
      <c r="E675" s="2" t="inlineStr">
        <is>
          <t>browser chrome124</t>
        </is>
      </c>
      <c r="F675" s="2" t="b">
        <v>1</v>
      </c>
      <c r="G675" s="2" t="n">
        <v>4</v>
      </c>
      <c r="H675" s="2" t="n">
        <v>1784</v>
      </c>
      <c r="I675" s="2" t="n">
        <v>1784</v>
      </c>
      <c r="J675" s="2" t="n">
        <v>1343</v>
      </c>
      <c r="K675" s="2">
        <f>H675+5&gt;D675</f>
        <v/>
      </c>
      <c r="L675" s="2">
        <f>J675&lt;I675</f>
        <v/>
      </c>
      <c r="M675" s="2" t="b">
        <v>1</v>
      </c>
      <c r="N675" s="2" t="b">
        <v>0</v>
      </c>
      <c r="O675" s="2" t="inlineStr">
        <is>
          <t>unknown</t>
        </is>
      </c>
      <c r="P675" s="2">
        <f>O675&lt;&gt;"unknown"</f>
        <v/>
      </c>
    </row>
    <row r="676">
      <c r="A676" s="2" t="inlineStr">
        <is>
          <t>1400-on</t>
        </is>
      </c>
      <c r="B676" s="2" t="n">
        <v>1400</v>
      </c>
      <c r="C676" s="2" t="inlineStr">
        <is>
          <t>on</t>
        </is>
      </c>
      <c r="D676" s="2" t="n">
        <v>1348</v>
      </c>
      <c r="E676" s="2" t="inlineStr">
        <is>
          <t>browser chrome124</t>
        </is>
      </c>
      <c r="F676" s="2" t="b">
        <v>1</v>
      </c>
      <c r="G676" s="2" t="n">
        <v>5</v>
      </c>
      <c r="H676" s="2" t="n">
        <v>1752</v>
      </c>
      <c r="I676" s="2" t="n">
        <v>1752</v>
      </c>
      <c r="J676" s="2" t="n">
        <v>1343</v>
      </c>
      <c r="K676" s="2">
        <f>H676+5&gt;D676</f>
        <v/>
      </c>
      <c r="L676" s="2">
        <f>J676&lt;I676</f>
        <v/>
      </c>
      <c r="M676" s="2" t="b">
        <v>1</v>
      </c>
      <c r="N676" s="2" t="b">
        <v>1</v>
      </c>
      <c r="O676" s="2" t="inlineStr">
        <is>
          <t>allow</t>
        </is>
      </c>
      <c r="P676" s="2">
        <f>O676&lt;&gt;"unknown"</f>
        <v/>
      </c>
    </row>
    <row r="677">
      <c r="A677" s="2" t="inlineStr">
        <is>
          <t>1400-on</t>
        </is>
      </c>
      <c r="B677" s="2" t="n">
        <v>1400</v>
      </c>
      <c r="C677" s="2" t="inlineStr">
        <is>
          <t>on</t>
        </is>
      </c>
      <c r="D677" s="2" t="n">
        <v>1348</v>
      </c>
      <c r="E677" s="2" t="inlineStr">
        <is>
          <t>browser chrome131</t>
        </is>
      </c>
      <c r="F677" s="2" t="b">
        <v>1</v>
      </c>
      <c r="G677" s="2" t="n">
        <v>1</v>
      </c>
      <c r="H677" s="2" t="n">
        <v>1720</v>
      </c>
      <c r="I677" s="2" t="n">
        <v>1720</v>
      </c>
      <c r="J677" s="2" t="n">
        <v>1343</v>
      </c>
      <c r="K677" s="2">
        <f>H677+5&gt;D677</f>
        <v/>
      </c>
      <c r="L677" s="2">
        <f>J677&lt;I677</f>
        <v/>
      </c>
      <c r="M677" s="2" t="b">
        <v>1</v>
      </c>
      <c r="N677" s="2" t="b">
        <v>0</v>
      </c>
      <c r="O677" s="2" t="inlineStr">
        <is>
          <t>unknown</t>
        </is>
      </c>
      <c r="P677" s="2">
        <f>O677&lt;&gt;"unknown"</f>
        <v/>
      </c>
    </row>
    <row r="678">
      <c r="A678" s="2" t="inlineStr">
        <is>
          <t>1400-on</t>
        </is>
      </c>
      <c r="B678" s="2" t="n">
        <v>1400</v>
      </c>
      <c r="C678" s="2" t="inlineStr">
        <is>
          <t>on</t>
        </is>
      </c>
      <c r="D678" s="2" t="n">
        <v>1348</v>
      </c>
      <c r="E678" s="2" t="inlineStr">
        <is>
          <t>browser chrome131</t>
        </is>
      </c>
      <c r="F678" s="2" t="b">
        <v>1</v>
      </c>
      <c r="G678" s="2" t="n">
        <v>2</v>
      </c>
      <c r="H678" s="2" t="n">
        <v>1784</v>
      </c>
      <c r="I678" s="2" t="n">
        <v>1784</v>
      </c>
      <c r="J678" s="2" t="n">
        <v>1343</v>
      </c>
      <c r="K678" s="2">
        <f>H678+5&gt;D678</f>
        <v/>
      </c>
      <c r="L678" s="2">
        <f>J678&lt;I678</f>
        <v/>
      </c>
      <c r="M678" s="2" t="b">
        <v>1</v>
      </c>
      <c r="N678" s="2" t="b">
        <v>0</v>
      </c>
      <c r="O678" s="2" t="inlineStr">
        <is>
          <t>unknown</t>
        </is>
      </c>
      <c r="P678" s="2">
        <f>O678&lt;&gt;"unknown"</f>
        <v/>
      </c>
    </row>
    <row r="679">
      <c r="A679" s="2" t="inlineStr">
        <is>
          <t>1400-on</t>
        </is>
      </c>
      <c r="B679" s="2" t="n">
        <v>1400</v>
      </c>
      <c r="C679" s="2" t="inlineStr">
        <is>
          <t>on</t>
        </is>
      </c>
      <c r="D679" s="2" t="n">
        <v>1348</v>
      </c>
      <c r="E679" s="2" t="inlineStr">
        <is>
          <t>browser chrome131</t>
        </is>
      </c>
      <c r="F679" s="2" t="b">
        <v>1</v>
      </c>
      <c r="G679" s="2" t="n">
        <v>3</v>
      </c>
      <c r="H679" s="2" t="n">
        <v>1752</v>
      </c>
      <c r="I679" s="2" t="n">
        <v>1752</v>
      </c>
      <c r="J679" s="2" t="n">
        <v>1343</v>
      </c>
      <c r="K679" s="2">
        <f>H679+5&gt;D679</f>
        <v/>
      </c>
      <c r="L679" s="2">
        <f>J679&lt;I679</f>
        <v/>
      </c>
      <c r="M679" s="2" t="b">
        <v>1</v>
      </c>
      <c r="N679" s="2" t="b">
        <v>1</v>
      </c>
      <c r="O679" s="2" t="inlineStr">
        <is>
          <t>allow</t>
        </is>
      </c>
      <c r="P679" s="2">
        <f>O679&lt;&gt;"unknown"</f>
        <v/>
      </c>
    </row>
    <row r="680">
      <c r="A680" s="2" t="inlineStr">
        <is>
          <t>1400-on</t>
        </is>
      </c>
      <c r="B680" s="2" t="n">
        <v>1400</v>
      </c>
      <c r="C680" s="2" t="inlineStr">
        <is>
          <t>on</t>
        </is>
      </c>
      <c r="D680" s="2" t="n">
        <v>1348</v>
      </c>
      <c r="E680" s="2" t="inlineStr">
        <is>
          <t>browser chrome131</t>
        </is>
      </c>
      <c r="F680" s="2" t="b">
        <v>1</v>
      </c>
      <c r="G680" s="2" t="n">
        <v>4</v>
      </c>
      <c r="H680" s="2" t="n">
        <v>1720</v>
      </c>
      <c r="I680" s="2" t="n">
        <v>1720</v>
      </c>
      <c r="J680" s="2" t="n">
        <v>1343</v>
      </c>
      <c r="K680" s="2">
        <f>H680+5&gt;D680</f>
        <v/>
      </c>
      <c r="L680" s="2">
        <f>J680&lt;I680</f>
        <v/>
      </c>
      <c r="M680" s="2" t="b">
        <v>1</v>
      </c>
      <c r="N680" s="2" t="b">
        <v>0</v>
      </c>
      <c r="O680" s="2" t="inlineStr">
        <is>
          <t>unknown</t>
        </is>
      </c>
      <c r="P680" s="2">
        <f>O680&lt;&gt;"unknown"</f>
        <v/>
      </c>
    </row>
    <row r="681">
      <c r="A681" s="2" t="inlineStr">
        <is>
          <t>1400-on</t>
        </is>
      </c>
      <c r="B681" s="2" t="n">
        <v>1400</v>
      </c>
      <c r="C681" s="2" t="inlineStr">
        <is>
          <t>on</t>
        </is>
      </c>
      <c r="D681" s="2" t="n">
        <v>1348</v>
      </c>
      <c r="E681" s="2" t="inlineStr">
        <is>
          <t>browser chrome131</t>
        </is>
      </c>
      <c r="F681" s="2" t="b">
        <v>1</v>
      </c>
      <c r="G681" s="2" t="n">
        <v>5</v>
      </c>
      <c r="H681" s="2" t="n">
        <v>1784</v>
      </c>
      <c r="I681" s="2" t="n">
        <v>1784</v>
      </c>
      <c r="J681" s="2" t="n">
        <v>1343</v>
      </c>
      <c r="K681" s="2">
        <f>H681+5&gt;D681</f>
        <v/>
      </c>
      <c r="L681" s="2">
        <f>J681&lt;I681</f>
        <v/>
      </c>
      <c r="M681" s="2" t="b">
        <v>1</v>
      </c>
      <c r="N681" s="2" t="b">
        <v>0</v>
      </c>
      <c r="O681" s="2" t="inlineStr">
        <is>
          <t>unknown</t>
        </is>
      </c>
      <c r="P681" s="2">
        <f>O681&lt;&gt;"unknown"</f>
        <v/>
      </c>
    </row>
    <row r="682">
      <c r="A682" s="2" t="inlineStr">
        <is>
          <t>1400-on</t>
        </is>
      </c>
      <c r="B682" s="2" t="n">
        <v>1400</v>
      </c>
      <c r="C682" s="2" t="inlineStr">
        <is>
          <t>on</t>
        </is>
      </c>
      <c r="D682" s="2" t="n">
        <v>1348</v>
      </c>
      <c r="E682" s="2" t="inlineStr">
        <is>
          <t>browser chrome150</t>
        </is>
      </c>
      <c r="F682" s="2" t="b">
        <v>1</v>
      </c>
      <c r="G682" s="2" t="n">
        <v>1</v>
      </c>
      <c r="H682" s="2" t="n">
        <v>1726</v>
      </c>
      <c r="I682" s="2" t="n">
        <v>1726</v>
      </c>
      <c r="J682" s="2" t="n">
        <v>1343</v>
      </c>
      <c r="K682" s="2">
        <f>H682+5&gt;D682</f>
        <v/>
      </c>
      <c r="L682" s="2">
        <f>J682&lt;I682</f>
        <v/>
      </c>
      <c r="M682" s="2" t="b">
        <v>1</v>
      </c>
      <c r="N682" s="2" t="b">
        <v>0</v>
      </c>
      <c r="O682" s="2" t="inlineStr">
        <is>
          <t>unknown</t>
        </is>
      </c>
      <c r="P682" s="2">
        <f>O682&lt;&gt;"unknown"</f>
        <v/>
      </c>
    </row>
    <row r="683">
      <c r="A683" s="2" t="inlineStr">
        <is>
          <t>1400-on</t>
        </is>
      </c>
      <c r="B683" s="2" t="n">
        <v>1400</v>
      </c>
      <c r="C683" s="2" t="inlineStr">
        <is>
          <t>on</t>
        </is>
      </c>
      <c r="D683" s="2" t="n">
        <v>1348</v>
      </c>
      <c r="E683" s="2" t="inlineStr">
        <is>
          <t>browser chrome150</t>
        </is>
      </c>
      <c r="F683" s="2" t="b">
        <v>1</v>
      </c>
      <c r="G683" s="2" t="n">
        <v>2</v>
      </c>
      <c r="H683" s="2" t="n">
        <v>1758</v>
      </c>
      <c r="I683" s="2" t="n">
        <v>1758</v>
      </c>
      <c r="J683" s="2" t="n">
        <v>1343</v>
      </c>
      <c r="K683" s="2">
        <f>H683+5&gt;D683</f>
        <v/>
      </c>
      <c r="L683" s="2">
        <f>J683&lt;I683</f>
        <v/>
      </c>
      <c r="M683" s="2" t="b">
        <v>1</v>
      </c>
      <c r="N683" s="2" t="b">
        <v>0</v>
      </c>
      <c r="O683" s="2" t="inlineStr">
        <is>
          <t>unknown</t>
        </is>
      </c>
      <c r="P683" s="2">
        <f>O683&lt;&gt;"unknown"</f>
        <v/>
      </c>
    </row>
    <row r="684">
      <c r="A684" s="2" t="inlineStr">
        <is>
          <t>1400-on</t>
        </is>
      </c>
      <c r="B684" s="2" t="n">
        <v>1400</v>
      </c>
      <c r="C684" s="2" t="inlineStr">
        <is>
          <t>on</t>
        </is>
      </c>
      <c r="D684" s="2" t="n">
        <v>1348</v>
      </c>
      <c r="E684" s="2" t="inlineStr">
        <is>
          <t>browser chrome150</t>
        </is>
      </c>
      <c r="F684" s="2" t="b">
        <v>1</v>
      </c>
      <c r="G684" s="2" t="n">
        <v>3</v>
      </c>
      <c r="H684" s="2" t="n">
        <v>1758</v>
      </c>
      <c r="I684" s="2" t="n">
        <v>1758</v>
      </c>
      <c r="J684" s="2" t="n">
        <v>1343</v>
      </c>
      <c r="K684" s="2">
        <f>H684+5&gt;D684</f>
        <v/>
      </c>
      <c r="L684" s="2">
        <f>J684&lt;I684</f>
        <v/>
      </c>
      <c r="M684" s="2" t="b">
        <v>1</v>
      </c>
      <c r="N684" s="2" t="b">
        <v>0</v>
      </c>
      <c r="O684" s="2" t="inlineStr">
        <is>
          <t>unknown</t>
        </is>
      </c>
      <c r="P684" s="2">
        <f>O684&lt;&gt;"unknown"</f>
        <v/>
      </c>
    </row>
    <row r="685">
      <c r="A685" s="2" t="inlineStr">
        <is>
          <t>1400-on</t>
        </is>
      </c>
      <c r="B685" s="2" t="n">
        <v>1400</v>
      </c>
      <c r="C685" s="2" t="inlineStr">
        <is>
          <t>on</t>
        </is>
      </c>
      <c r="D685" s="2" t="n">
        <v>1348</v>
      </c>
      <c r="E685" s="2" t="inlineStr">
        <is>
          <t>browser chrome150</t>
        </is>
      </c>
      <c r="F685" s="2" t="b">
        <v>1</v>
      </c>
      <c r="G685" s="2" t="n">
        <v>4</v>
      </c>
      <c r="H685" s="2" t="n">
        <v>1726</v>
      </c>
      <c r="I685" s="2" t="n">
        <v>1726</v>
      </c>
      <c r="J685" s="2" t="n">
        <v>1343</v>
      </c>
      <c r="K685" s="2">
        <f>H685+5&gt;D685</f>
        <v/>
      </c>
      <c r="L685" s="2">
        <f>J685&lt;I685</f>
        <v/>
      </c>
      <c r="M685" s="2" t="b">
        <v>1</v>
      </c>
      <c r="N685" s="2" t="b">
        <v>1</v>
      </c>
      <c r="O685" s="2" t="inlineStr">
        <is>
          <t>allow</t>
        </is>
      </c>
      <c r="P685" s="2">
        <f>O685&lt;&gt;"unknown"</f>
        <v/>
      </c>
    </row>
    <row r="686">
      <c r="A686" s="2" t="inlineStr">
        <is>
          <t>1400-on</t>
        </is>
      </c>
      <c r="B686" s="2" t="n">
        <v>1400</v>
      </c>
      <c r="C686" s="2" t="inlineStr">
        <is>
          <t>on</t>
        </is>
      </c>
      <c r="D686" s="2" t="n">
        <v>1348</v>
      </c>
      <c r="E686" s="2" t="inlineStr">
        <is>
          <t>browser chrome150</t>
        </is>
      </c>
      <c r="F686" s="2" t="b">
        <v>1</v>
      </c>
      <c r="G686" s="2" t="n">
        <v>5</v>
      </c>
      <c r="H686" s="2" t="n">
        <v>1758</v>
      </c>
      <c r="I686" s="2" t="n">
        <v>1758</v>
      </c>
      <c r="J686" s="2" t="n">
        <v>1343</v>
      </c>
      <c r="K686" s="2">
        <f>H686+5&gt;D686</f>
        <v/>
      </c>
      <c r="L686" s="2">
        <f>J686&lt;I686</f>
        <v/>
      </c>
      <c r="M686" s="2" t="b">
        <v>1</v>
      </c>
      <c r="N686" s="2" t="b">
        <v>0</v>
      </c>
      <c r="O686" s="2" t="inlineStr">
        <is>
          <t>unknown</t>
        </is>
      </c>
      <c r="P686" s="2">
        <f>O686&lt;&gt;"unknown"</f>
        <v/>
      </c>
    </row>
    <row r="687">
      <c r="A687" s="2" t="inlineStr">
        <is>
          <t>1400-on</t>
        </is>
      </c>
      <c r="B687" s="2" t="n">
        <v>1400</v>
      </c>
      <c r="C687" s="2" t="inlineStr">
        <is>
          <t>on</t>
        </is>
      </c>
      <c r="D687" s="2" t="n">
        <v>1348</v>
      </c>
      <c r="E687" s="2" t="inlineStr">
        <is>
          <t>browser edge101</t>
        </is>
      </c>
      <c r="F687" s="2" t="b">
        <v>0</v>
      </c>
      <c r="G687" s="2" t="n">
        <v>1</v>
      </c>
      <c r="H687" s="2" t="n">
        <v>512</v>
      </c>
      <c r="I687" s="2" t="n">
        <v>512</v>
      </c>
      <c r="J687" s="2" t="n">
        <v>512</v>
      </c>
      <c r="K687" s="2">
        <f>H687+5&gt;D687</f>
        <v/>
      </c>
      <c r="L687" s="2">
        <f>J687&lt;I687</f>
        <v/>
      </c>
      <c r="M687" s="2" t="b">
        <v>1</v>
      </c>
      <c r="N687" s="2" t="b">
        <v>1</v>
      </c>
      <c r="O687" s="2" t="inlineStr">
        <is>
          <t>allow</t>
        </is>
      </c>
      <c r="P687" s="2">
        <f>O687&lt;&gt;"unknown"</f>
        <v/>
      </c>
    </row>
    <row r="688">
      <c r="A688" s="2" t="inlineStr">
        <is>
          <t>1400-on</t>
        </is>
      </c>
      <c r="B688" s="2" t="n">
        <v>1400</v>
      </c>
      <c r="C688" s="2" t="inlineStr">
        <is>
          <t>on</t>
        </is>
      </c>
      <c r="D688" s="2" t="n">
        <v>1348</v>
      </c>
      <c r="E688" s="2" t="inlineStr">
        <is>
          <t>browser edge101</t>
        </is>
      </c>
      <c r="F688" s="2" t="b">
        <v>0</v>
      </c>
      <c r="G688" s="2" t="n">
        <v>2</v>
      </c>
      <c r="H688" s="2" t="n">
        <v>512</v>
      </c>
      <c r="I688" s="2" t="n">
        <v>512</v>
      </c>
      <c r="J688" s="2" t="n">
        <v>512</v>
      </c>
      <c r="K688" s="2">
        <f>H688+5&gt;D688</f>
        <v/>
      </c>
      <c r="L688" s="2">
        <f>J688&lt;I688</f>
        <v/>
      </c>
      <c r="M688" s="2" t="b">
        <v>1</v>
      </c>
      <c r="N688" s="2" t="b">
        <v>1</v>
      </c>
      <c r="O688" s="2" t="inlineStr">
        <is>
          <t>allow</t>
        </is>
      </c>
      <c r="P688" s="2">
        <f>O688&lt;&gt;"unknown"</f>
        <v/>
      </c>
    </row>
    <row r="689">
      <c r="A689" s="2" t="inlineStr">
        <is>
          <t>1400-on</t>
        </is>
      </c>
      <c r="B689" s="2" t="n">
        <v>1400</v>
      </c>
      <c r="C689" s="2" t="inlineStr">
        <is>
          <t>on</t>
        </is>
      </c>
      <c r="D689" s="2" t="n">
        <v>1348</v>
      </c>
      <c r="E689" s="2" t="inlineStr">
        <is>
          <t>browser edge101</t>
        </is>
      </c>
      <c r="F689" s="2" t="b">
        <v>0</v>
      </c>
      <c r="G689" s="2" t="n">
        <v>3</v>
      </c>
      <c r="H689" s="2" t="n">
        <v>512</v>
      </c>
      <c r="I689" s="2" t="n">
        <v>512</v>
      </c>
      <c r="J689" s="2" t="n">
        <v>512</v>
      </c>
      <c r="K689" s="2">
        <f>H689+5&gt;D689</f>
        <v/>
      </c>
      <c r="L689" s="2">
        <f>J689&lt;I689</f>
        <v/>
      </c>
      <c r="M689" s="2" t="b">
        <v>1</v>
      </c>
      <c r="N689" s="2" t="b">
        <v>1</v>
      </c>
      <c r="O689" s="2" t="inlineStr">
        <is>
          <t>allow</t>
        </is>
      </c>
      <c r="P689" s="2">
        <f>O689&lt;&gt;"unknown"</f>
        <v/>
      </c>
    </row>
    <row r="690">
      <c r="A690" s="2" t="inlineStr">
        <is>
          <t>1400-on</t>
        </is>
      </c>
      <c r="B690" s="2" t="n">
        <v>1400</v>
      </c>
      <c r="C690" s="2" t="inlineStr">
        <is>
          <t>on</t>
        </is>
      </c>
      <c r="D690" s="2" t="n">
        <v>1348</v>
      </c>
      <c r="E690" s="2" t="inlineStr">
        <is>
          <t>browser edge101</t>
        </is>
      </c>
      <c r="F690" s="2" t="b">
        <v>0</v>
      </c>
      <c r="G690" s="2" t="n">
        <v>4</v>
      </c>
      <c r="H690" s="2" t="n">
        <v>512</v>
      </c>
      <c r="I690" s="2" t="n">
        <v>512</v>
      </c>
      <c r="J690" s="2" t="n">
        <v>512</v>
      </c>
      <c r="K690" s="2">
        <f>H690+5&gt;D690</f>
        <v/>
      </c>
      <c r="L690" s="2">
        <f>J690&lt;I690</f>
        <v/>
      </c>
      <c r="M690" s="2" t="b">
        <v>1</v>
      </c>
      <c r="N690" s="2" t="b">
        <v>1</v>
      </c>
      <c r="O690" s="2" t="inlineStr">
        <is>
          <t>allow</t>
        </is>
      </c>
      <c r="P690" s="2">
        <f>O690&lt;&gt;"unknown"</f>
        <v/>
      </c>
    </row>
    <row r="691">
      <c r="A691" s="2" t="inlineStr">
        <is>
          <t>1400-on</t>
        </is>
      </c>
      <c r="B691" s="2" t="n">
        <v>1400</v>
      </c>
      <c r="C691" s="2" t="inlineStr">
        <is>
          <t>on</t>
        </is>
      </c>
      <c r="D691" s="2" t="n">
        <v>1348</v>
      </c>
      <c r="E691" s="2" t="inlineStr">
        <is>
          <t>browser edge101</t>
        </is>
      </c>
      <c r="F691" s="2" t="b">
        <v>0</v>
      </c>
      <c r="G691" s="2" t="n">
        <v>5</v>
      </c>
      <c r="H691" s="2" t="n">
        <v>512</v>
      </c>
      <c r="I691" s="2" t="n">
        <v>512</v>
      </c>
      <c r="J691" s="2" t="n">
        <v>512</v>
      </c>
      <c r="K691" s="2">
        <f>H691+5&gt;D691</f>
        <v/>
      </c>
      <c r="L691" s="2">
        <f>J691&lt;I691</f>
        <v/>
      </c>
      <c r="M691" s="2" t="b">
        <v>1</v>
      </c>
      <c r="N691" s="2" t="b">
        <v>1</v>
      </c>
      <c r="O691" s="2" t="inlineStr">
        <is>
          <t>allow</t>
        </is>
      </c>
      <c r="P691" s="2">
        <f>O691&lt;&gt;"unknown"</f>
        <v/>
      </c>
    </row>
    <row r="692">
      <c r="A692" s="2" t="inlineStr">
        <is>
          <t>1400-on</t>
        </is>
      </c>
      <c r="B692" s="2" t="n">
        <v>1400</v>
      </c>
      <c r="C692" s="2" t="inlineStr">
        <is>
          <t>on</t>
        </is>
      </c>
      <c r="D692" s="2" t="n">
        <v>1348</v>
      </c>
      <c r="E692" s="2" t="inlineStr">
        <is>
          <t>browser firefox133</t>
        </is>
      </c>
      <c r="F692" s="2" t="b">
        <v>1</v>
      </c>
      <c r="G692" s="2" t="n">
        <v>1</v>
      </c>
      <c r="H692" s="2" t="n">
        <v>1828</v>
      </c>
      <c r="I692" s="2" t="n">
        <v>1828</v>
      </c>
      <c r="J692" s="2" t="n">
        <v>1343</v>
      </c>
      <c r="K692" s="2">
        <f>H692+5&gt;D692</f>
        <v/>
      </c>
      <c r="L692" s="2">
        <f>J692&lt;I692</f>
        <v/>
      </c>
      <c r="M692" s="2" t="b">
        <v>1</v>
      </c>
      <c r="N692" s="2" t="b">
        <v>0</v>
      </c>
      <c r="O692" s="2" t="inlineStr">
        <is>
          <t>unknown</t>
        </is>
      </c>
      <c r="P692" s="2">
        <f>O692&lt;&gt;"unknown"</f>
        <v/>
      </c>
    </row>
    <row r="693">
      <c r="A693" s="2" t="inlineStr">
        <is>
          <t>1400-on</t>
        </is>
      </c>
      <c r="B693" s="2" t="n">
        <v>1400</v>
      </c>
      <c r="C693" s="2" t="inlineStr">
        <is>
          <t>on</t>
        </is>
      </c>
      <c r="D693" s="2" t="n">
        <v>1348</v>
      </c>
      <c r="E693" s="2" t="inlineStr">
        <is>
          <t>browser firefox133</t>
        </is>
      </c>
      <c r="F693" s="2" t="b">
        <v>1</v>
      </c>
      <c r="G693" s="2" t="n">
        <v>2</v>
      </c>
      <c r="H693" s="2" t="n">
        <v>1796</v>
      </c>
      <c r="I693" s="2" t="n">
        <v>1796</v>
      </c>
      <c r="J693" s="2" t="n">
        <v>1343</v>
      </c>
      <c r="K693" s="2">
        <f>H693+5&gt;D693</f>
        <v/>
      </c>
      <c r="L693" s="2">
        <f>J693&lt;I693</f>
        <v/>
      </c>
      <c r="M693" s="2" t="b">
        <v>1</v>
      </c>
      <c r="N693" s="2" t="b">
        <v>0</v>
      </c>
      <c r="O693" s="2" t="inlineStr">
        <is>
          <t>unknown</t>
        </is>
      </c>
      <c r="P693" s="2">
        <f>O693&lt;&gt;"unknown"</f>
        <v/>
      </c>
    </row>
    <row r="694">
      <c r="A694" s="2" t="inlineStr">
        <is>
          <t>1400-on</t>
        </is>
      </c>
      <c r="B694" s="2" t="n">
        <v>1400</v>
      </c>
      <c r="C694" s="2" t="inlineStr">
        <is>
          <t>on</t>
        </is>
      </c>
      <c r="D694" s="2" t="n">
        <v>1348</v>
      </c>
      <c r="E694" s="2" t="inlineStr">
        <is>
          <t>browser firefox133</t>
        </is>
      </c>
      <c r="F694" s="2" t="b">
        <v>1</v>
      </c>
      <c r="G694" s="2" t="n">
        <v>3</v>
      </c>
      <c r="H694" s="2" t="n">
        <v>1892</v>
      </c>
      <c r="I694" s="2" t="n">
        <v>1892</v>
      </c>
      <c r="J694" s="2" t="n">
        <v>1343</v>
      </c>
      <c r="K694" s="2">
        <f>H694+5&gt;D694</f>
        <v/>
      </c>
      <c r="L694" s="2">
        <f>J694&lt;I694</f>
        <v/>
      </c>
      <c r="M694" s="2" t="b">
        <v>1</v>
      </c>
      <c r="N694" s="2" t="b">
        <v>0</v>
      </c>
      <c r="O694" s="2" t="inlineStr">
        <is>
          <t>unknown</t>
        </is>
      </c>
      <c r="P694" s="2">
        <f>O694&lt;&gt;"unknown"</f>
        <v/>
      </c>
    </row>
    <row r="695">
      <c r="A695" s="2" t="inlineStr">
        <is>
          <t>1400-on</t>
        </is>
      </c>
      <c r="B695" s="2" t="n">
        <v>1400</v>
      </c>
      <c r="C695" s="2" t="inlineStr">
        <is>
          <t>on</t>
        </is>
      </c>
      <c r="D695" s="2" t="n">
        <v>1348</v>
      </c>
      <c r="E695" s="2" t="inlineStr">
        <is>
          <t>browser firefox133</t>
        </is>
      </c>
      <c r="F695" s="2" t="b">
        <v>1</v>
      </c>
      <c r="G695" s="2" t="n">
        <v>4</v>
      </c>
      <c r="H695" s="2" t="n">
        <v>1828</v>
      </c>
      <c r="I695" s="2" t="n">
        <v>1828</v>
      </c>
      <c r="J695" s="2" t="n">
        <v>1343</v>
      </c>
      <c r="K695" s="2">
        <f>H695+5&gt;D695</f>
        <v/>
      </c>
      <c r="L695" s="2">
        <f>J695&lt;I695</f>
        <v/>
      </c>
      <c r="M695" s="2" t="b">
        <v>1</v>
      </c>
      <c r="N695" s="2" t="b">
        <v>0</v>
      </c>
      <c r="O695" s="2" t="inlineStr">
        <is>
          <t>unknown</t>
        </is>
      </c>
      <c r="P695" s="2">
        <f>O695&lt;&gt;"unknown"</f>
        <v/>
      </c>
    </row>
    <row r="696">
      <c r="A696" s="2" t="inlineStr">
        <is>
          <t>1400-on</t>
        </is>
      </c>
      <c r="B696" s="2" t="n">
        <v>1400</v>
      </c>
      <c r="C696" s="2" t="inlineStr">
        <is>
          <t>on</t>
        </is>
      </c>
      <c r="D696" s="2" t="n">
        <v>1348</v>
      </c>
      <c r="E696" s="2" t="inlineStr">
        <is>
          <t>browser firefox133</t>
        </is>
      </c>
      <c r="F696" s="2" t="b">
        <v>1</v>
      </c>
      <c r="G696" s="2" t="n">
        <v>5</v>
      </c>
      <c r="H696" s="2" t="n">
        <v>1796</v>
      </c>
      <c r="I696" s="2" t="n">
        <v>1796</v>
      </c>
      <c r="J696" s="2" t="n">
        <v>1343</v>
      </c>
      <c r="K696" s="2">
        <f>H696+5&gt;D696</f>
        <v/>
      </c>
      <c r="L696" s="2">
        <f>J696&lt;I696</f>
        <v/>
      </c>
      <c r="M696" s="2" t="b">
        <v>1</v>
      </c>
      <c r="N696" s="2" t="b">
        <v>0</v>
      </c>
      <c r="O696" s="2" t="inlineStr">
        <is>
          <t>unknown</t>
        </is>
      </c>
      <c r="P696" s="2">
        <f>O696&lt;&gt;"unknown"</f>
        <v/>
      </c>
    </row>
    <row r="697">
      <c r="A697" s="2" t="inlineStr">
        <is>
          <t>1400-on</t>
        </is>
      </c>
      <c r="B697" s="2" t="n">
        <v>1400</v>
      </c>
      <c r="C697" s="2" t="inlineStr">
        <is>
          <t>on</t>
        </is>
      </c>
      <c r="D697" s="2" t="n">
        <v>1348</v>
      </c>
      <c r="E697" s="2" t="inlineStr">
        <is>
          <t>browser firefox147</t>
        </is>
      </c>
      <c r="F697" s="2" t="b">
        <v>1</v>
      </c>
      <c r="G697" s="2" t="n">
        <v>1</v>
      </c>
      <c r="H697" s="2" t="n">
        <v>1896</v>
      </c>
      <c r="I697" s="2" t="n">
        <v>1896</v>
      </c>
      <c r="J697" s="2" t="n">
        <v>1343</v>
      </c>
      <c r="K697" s="2">
        <f>H697+5&gt;D697</f>
        <v/>
      </c>
      <c r="L697" s="2">
        <f>J697&lt;I697</f>
        <v/>
      </c>
      <c r="M697" s="2" t="b">
        <v>1</v>
      </c>
      <c r="N697" s="2" t="b">
        <v>0</v>
      </c>
      <c r="O697" s="2" t="inlineStr">
        <is>
          <t>unknown</t>
        </is>
      </c>
      <c r="P697" s="2">
        <f>O697&lt;&gt;"unknown"</f>
        <v/>
      </c>
    </row>
    <row r="698">
      <c r="A698" s="2" t="inlineStr">
        <is>
          <t>1400-on</t>
        </is>
      </c>
      <c r="B698" s="2" t="n">
        <v>1400</v>
      </c>
      <c r="C698" s="2" t="inlineStr">
        <is>
          <t>on</t>
        </is>
      </c>
      <c r="D698" s="2" t="n">
        <v>1348</v>
      </c>
      <c r="E698" s="2" t="inlineStr">
        <is>
          <t>browser firefox147</t>
        </is>
      </c>
      <c r="F698" s="2" t="b">
        <v>1</v>
      </c>
      <c r="G698" s="2" t="n">
        <v>2</v>
      </c>
      <c r="H698" s="2" t="n">
        <v>1864</v>
      </c>
      <c r="I698" s="2" t="n">
        <v>1864</v>
      </c>
      <c r="J698" s="2" t="n">
        <v>1343</v>
      </c>
      <c r="K698" s="2">
        <f>H698+5&gt;D698</f>
        <v/>
      </c>
      <c r="L698" s="2">
        <f>J698&lt;I698</f>
        <v/>
      </c>
      <c r="M698" s="2" t="b">
        <v>1</v>
      </c>
      <c r="N698" s="2" t="b">
        <v>0</v>
      </c>
      <c r="O698" s="2" t="inlineStr">
        <is>
          <t>unknown</t>
        </is>
      </c>
      <c r="P698" s="2">
        <f>O698&lt;&gt;"unknown"</f>
        <v/>
      </c>
    </row>
    <row r="699">
      <c r="A699" s="2" t="inlineStr">
        <is>
          <t>1400-on</t>
        </is>
      </c>
      <c r="B699" s="2" t="n">
        <v>1400</v>
      </c>
      <c r="C699" s="2" t="inlineStr">
        <is>
          <t>on</t>
        </is>
      </c>
      <c r="D699" s="2" t="n">
        <v>1348</v>
      </c>
      <c r="E699" s="2" t="inlineStr">
        <is>
          <t>browser firefox147</t>
        </is>
      </c>
      <c r="F699" s="2" t="b">
        <v>1</v>
      </c>
      <c r="G699" s="2" t="n">
        <v>3</v>
      </c>
      <c r="H699" s="2" t="n">
        <v>1832</v>
      </c>
      <c r="I699" s="2" t="n">
        <v>1832</v>
      </c>
      <c r="J699" s="2" t="n">
        <v>1343</v>
      </c>
      <c r="K699" s="2">
        <f>H699+5&gt;D699</f>
        <v/>
      </c>
      <c r="L699" s="2">
        <f>J699&lt;I699</f>
        <v/>
      </c>
      <c r="M699" s="2" t="b">
        <v>1</v>
      </c>
      <c r="N699" s="2" t="b">
        <v>0</v>
      </c>
      <c r="O699" s="2" t="inlineStr">
        <is>
          <t>unknown</t>
        </is>
      </c>
      <c r="P699" s="2">
        <f>O699&lt;&gt;"unknown"</f>
        <v/>
      </c>
    </row>
    <row r="700">
      <c r="A700" s="2" t="inlineStr">
        <is>
          <t>1400-on</t>
        </is>
      </c>
      <c r="B700" s="2" t="n">
        <v>1400</v>
      </c>
      <c r="C700" s="2" t="inlineStr">
        <is>
          <t>on</t>
        </is>
      </c>
      <c r="D700" s="2" t="n">
        <v>1348</v>
      </c>
      <c r="E700" s="2" t="inlineStr">
        <is>
          <t>browser firefox147</t>
        </is>
      </c>
      <c r="F700" s="2" t="b">
        <v>1</v>
      </c>
      <c r="G700" s="2" t="n">
        <v>4</v>
      </c>
      <c r="H700" s="2" t="n">
        <v>1864</v>
      </c>
      <c r="I700" s="2" t="n">
        <v>1864</v>
      </c>
      <c r="J700" s="2" t="n">
        <v>1343</v>
      </c>
      <c r="K700" s="2">
        <f>H700+5&gt;D700</f>
        <v/>
      </c>
      <c r="L700" s="2">
        <f>J700&lt;I700</f>
        <v/>
      </c>
      <c r="M700" s="2" t="b">
        <v>1</v>
      </c>
      <c r="N700" s="2" t="b">
        <v>0</v>
      </c>
      <c r="O700" s="2" t="inlineStr">
        <is>
          <t>unknown</t>
        </is>
      </c>
      <c r="P700" s="2">
        <f>O700&lt;&gt;"unknown"</f>
        <v/>
      </c>
    </row>
    <row r="701">
      <c r="A701" s="2" t="inlineStr">
        <is>
          <t>1400-on</t>
        </is>
      </c>
      <c r="B701" s="2" t="n">
        <v>1400</v>
      </c>
      <c r="C701" s="2" t="inlineStr">
        <is>
          <t>on</t>
        </is>
      </c>
      <c r="D701" s="2" t="n">
        <v>1348</v>
      </c>
      <c r="E701" s="2" t="inlineStr">
        <is>
          <t>browser firefox147</t>
        </is>
      </c>
      <c r="F701" s="2" t="b">
        <v>1</v>
      </c>
      <c r="G701" s="2" t="n">
        <v>5</v>
      </c>
      <c r="H701" s="2" t="n">
        <v>1896</v>
      </c>
      <c r="I701" s="2" t="n">
        <v>1896</v>
      </c>
      <c r="J701" s="2" t="n">
        <v>1343</v>
      </c>
      <c r="K701" s="2">
        <f>H701+5&gt;D701</f>
        <v/>
      </c>
      <c r="L701" s="2">
        <f>J701&lt;I701</f>
        <v/>
      </c>
      <c r="M701" s="2" t="b">
        <v>1</v>
      </c>
      <c r="N701" s="2" t="b">
        <v>0</v>
      </c>
      <c r="O701" s="2" t="inlineStr">
        <is>
          <t>unknown</t>
        </is>
      </c>
      <c r="P701" s="2">
        <f>O701&lt;&gt;"unknown"</f>
        <v/>
      </c>
    </row>
    <row r="702">
      <c r="A702" s="2" t="inlineStr">
        <is>
          <t>1400-on</t>
        </is>
      </c>
      <c r="B702" s="2" t="n">
        <v>1400</v>
      </c>
      <c r="C702" s="2" t="inlineStr">
        <is>
          <t>on</t>
        </is>
      </c>
      <c r="D702" s="2" t="n">
        <v>1348</v>
      </c>
      <c r="E702" s="2" t="inlineStr">
        <is>
          <t>browser safari184</t>
        </is>
      </c>
      <c r="F702" s="2" t="b">
        <v>0</v>
      </c>
      <c r="G702" s="2" t="n">
        <v>1</v>
      </c>
      <c r="H702" s="2" t="n">
        <v>512</v>
      </c>
      <c r="I702" s="2" t="n">
        <v>512</v>
      </c>
      <c r="J702" s="2" t="n">
        <v>512</v>
      </c>
      <c r="K702" s="2">
        <f>H702+5&gt;D702</f>
        <v/>
      </c>
      <c r="L702" s="2">
        <f>J702&lt;I702</f>
        <v/>
      </c>
      <c r="M702" s="2" t="b">
        <v>1</v>
      </c>
      <c r="N702" s="2" t="b">
        <v>1</v>
      </c>
      <c r="O702" s="2" t="inlineStr">
        <is>
          <t>violation</t>
        </is>
      </c>
      <c r="P702" s="2">
        <f>O702&lt;&gt;"unknown"</f>
        <v/>
      </c>
    </row>
    <row r="703">
      <c r="A703" s="2" t="inlineStr">
        <is>
          <t>1400-on</t>
        </is>
      </c>
      <c r="B703" s="2" t="n">
        <v>1400</v>
      </c>
      <c r="C703" s="2" t="inlineStr">
        <is>
          <t>on</t>
        </is>
      </c>
      <c r="D703" s="2" t="n">
        <v>1348</v>
      </c>
      <c r="E703" s="2" t="inlineStr">
        <is>
          <t>browser safari184</t>
        </is>
      </c>
      <c r="F703" s="2" t="b">
        <v>0</v>
      </c>
      <c r="G703" s="2" t="n">
        <v>2</v>
      </c>
      <c r="H703" s="2" t="n">
        <v>512</v>
      </c>
      <c r="I703" s="2" t="n">
        <v>512</v>
      </c>
      <c r="J703" s="2" t="n">
        <v>512</v>
      </c>
      <c r="K703" s="2">
        <f>H703+5&gt;D703</f>
        <v/>
      </c>
      <c r="L703" s="2">
        <f>J703&lt;I703</f>
        <v/>
      </c>
      <c r="M703" s="2" t="b">
        <v>1</v>
      </c>
      <c r="N703" s="2" t="b">
        <v>1</v>
      </c>
      <c r="O703" s="2" t="inlineStr">
        <is>
          <t>violation</t>
        </is>
      </c>
      <c r="P703" s="2">
        <f>O703&lt;&gt;"unknown"</f>
        <v/>
      </c>
    </row>
    <row r="704">
      <c r="A704" s="2" t="inlineStr">
        <is>
          <t>1400-on</t>
        </is>
      </c>
      <c r="B704" s="2" t="n">
        <v>1400</v>
      </c>
      <c r="C704" s="2" t="inlineStr">
        <is>
          <t>on</t>
        </is>
      </c>
      <c r="D704" s="2" t="n">
        <v>1348</v>
      </c>
      <c r="E704" s="2" t="inlineStr">
        <is>
          <t>browser safari184</t>
        </is>
      </c>
      <c r="F704" s="2" t="b">
        <v>0</v>
      </c>
      <c r="G704" s="2" t="n">
        <v>3</v>
      </c>
      <c r="H704" s="2" t="n">
        <v>512</v>
      </c>
      <c r="I704" s="2" t="n">
        <v>512</v>
      </c>
      <c r="J704" s="2" t="n">
        <v>512</v>
      </c>
      <c r="K704" s="2">
        <f>H704+5&gt;D704</f>
        <v/>
      </c>
      <c r="L704" s="2">
        <f>J704&lt;I704</f>
        <v/>
      </c>
      <c r="M704" s="2" t="b">
        <v>1</v>
      </c>
      <c r="N704" s="2" t="b">
        <v>1</v>
      </c>
      <c r="O704" s="2" t="inlineStr">
        <is>
          <t>violation</t>
        </is>
      </c>
      <c r="P704" s="2">
        <f>O704&lt;&gt;"unknown"</f>
        <v/>
      </c>
    </row>
    <row r="705">
      <c r="A705" s="2" t="inlineStr">
        <is>
          <t>1400-on</t>
        </is>
      </c>
      <c r="B705" s="2" t="n">
        <v>1400</v>
      </c>
      <c r="C705" s="2" t="inlineStr">
        <is>
          <t>on</t>
        </is>
      </c>
      <c r="D705" s="2" t="n">
        <v>1348</v>
      </c>
      <c r="E705" s="2" t="inlineStr">
        <is>
          <t>browser safari184</t>
        </is>
      </c>
      <c r="F705" s="2" t="b">
        <v>0</v>
      </c>
      <c r="G705" s="2" t="n">
        <v>4</v>
      </c>
      <c r="H705" s="2" t="n">
        <v>512</v>
      </c>
      <c r="I705" s="2" t="n">
        <v>512</v>
      </c>
      <c r="J705" s="2" t="n">
        <v>512</v>
      </c>
      <c r="K705" s="2">
        <f>H705+5&gt;D705</f>
        <v/>
      </c>
      <c r="L705" s="2">
        <f>J705&lt;I705</f>
        <v/>
      </c>
      <c r="M705" s="2" t="b">
        <v>1</v>
      </c>
      <c r="N705" s="2" t="b">
        <v>1</v>
      </c>
      <c r="O705" s="2" t="inlineStr">
        <is>
          <t>violation</t>
        </is>
      </c>
      <c r="P705" s="2">
        <f>O705&lt;&gt;"unknown"</f>
        <v/>
      </c>
    </row>
    <row r="706">
      <c r="A706" s="2" t="inlineStr">
        <is>
          <t>1400-on</t>
        </is>
      </c>
      <c r="B706" s="2" t="n">
        <v>1400</v>
      </c>
      <c r="C706" s="2" t="inlineStr">
        <is>
          <t>on</t>
        </is>
      </c>
      <c r="D706" s="2" t="n">
        <v>1348</v>
      </c>
      <c r="E706" s="2" t="inlineStr">
        <is>
          <t>browser safari184</t>
        </is>
      </c>
      <c r="F706" s="2" t="b">
        <v>0</v>
      </c>
      <c r="G706" s="2" t="n">
        <v>5</v>
      </c>
      <c r="H706" s="2" t="n">
        <v>512</v>
      </c>
      <c r="I706" s="2" t="n">
        <v>512</v>
      </c>
      <c r="J706" s="2" t="n">
        <v>512</v>
      </c>
      <c r="K706" s="2">
        <f>H706+5&gt;D706</f>
        <v/>
      </c>
      <c r="L706" s="2">
        <f>J706&lt;I706</f>
        <v/>
      </c>
      <c r="M706" s="2" t="b">
        <v>1</v>
      </c>
      <c r="N706" s="2" t="b">
        <v>1</v>
      </c>
      <c r="O706" s="2" t="inlineStr">
        <is>
          <t>violation</t>
        </is>
      </c>
      <c r="P706" s="2">
        <f>O706&lt;&gt;"unknown"</f>
        <v/>
      </c>
    </row>
    <row r="707">
      <c r="A707" s="2" t="inlineStr">
        <is>
          <t>1400-on</t>
        </is>
      </c>
      <c r="B707" s="2" t="n">
        <v>1400</v>
      </c>
      <c r="C707" s="2" t="inlineStr">
        <is>
          <t>on</t>
        </is>
      </c>
      <c r="D707" s="2" t="n">
        <v>1348</v>
      </c>
      <c r="E707" s="2" t="inlineStr">
        <is>
          <t>browser safari260</t>
        </is>
      </c>
      <c r="F707" s="2" t="b">
        <v>1</v>
      </c>
      <c r="G707" s="2" t="n">
        <v>1</v>
      </c>
      <c r="H707" s="2" t="n">
        <v>1537</v>
      </c>
      <c r="I707" s="2" t="n">
        <v>1537</v>
      </c>
      <c r="J707" s="2" t="n">
        <v>1343</v>
      </c>
      <c r="K707" s="2">
        <f>H707+5&gt;D707</f>
        <v/>
      </c>
      <c r="L707" s="2">
        <f>J707&lt;I707</f>
        <v/>
      </c>
      <c r="M707" s="2" t="b">
        <v>1</v>
      </c>
      <c r="N707" s="2" t="b">
        <v>0</v>
      </c>
      <c r="O707" s="2" t="inlineStr">
        <is>
          <t>unknown</t>
        </is>
      </c>
      <c r="P707" s="2">
        <f>O707&lt;&gt;"unknown"</f>
        <v/>
      </c>
    </row>
    <row r="708">
      <c r="A708" s="2" t="inlineStr">
        <is>
          <t>1400-on</t>
        </is>
      </c>
      <c r="B708" s="2" t="n">
        <v>1400</v>
      </c>
      <c r="C708" s="2" t="inlineStr">
        <is>
          <t>on</t>
        </is>
      </c>
      <c r="D708" s="2" t="n">
        <v>1348</v>
      </c>
      <c r="E708" s="2" t="inlineStr">
        <is>
          <t>browser safari260</t>
        </is>
      </c>
      <c r="F708" s="2" t="b">
        <v>1</v>
      </c>
      <c r="G708" s="2" t="n">
        <v>2</v>
      </c>
      <c r="H708" s="2" t="n">
        <v>1537</v>
      </c>
      <c r="I708" s="2" t="n">
        <v>1537</v>
      </c>
      <c r="J708" s="2" t="n">
        <v>1343</v>
      </c>
      <c r="K708" s="2">
        <f>H708+5&gt;D708</f>
        <v/>
      </c>
      <c r="L708" s="2">
        <f>J708&lt;I708</f>
        <v/>
      </c>
      <c r="M708" s="2" t="b">
        <v>1</v>
      </c>
      <c r="N708" s="2" t="b">
        <v>0</v>
      </c>
      <c r="O708" s="2" t="inlineStr">
        <is>
          <t>unknown</t>
        </is>
      </c>
      <c r="P708" s="2">
        <f>O708&lt;&gt;"unknown"</f>
        <v/>
      </c>
    </row>
    <row r="709">
      <c r="A709" s="2" t="inlineStr">
        <is>
          <t>1400-on</t>
        </is>
      </c>
      <c r="B709" s="2" t="n">
        <v>1400</v>
      </c>
      <c r="C709" s="2" t="inlineStr">
        <is>
          <t>on</t>
        </is>
      </c>
      <c r="D709" s="2" t="n">
        <v>1348</v>
      </c>
      <c r="E709" s="2" t="inlineStr">
        <is>
          <t>browser safari260</t>
        </is>
      </c>
      <c r="F709" s="2" t="b">
        <v>1</v>
      </c>
      <c r="G709" s="2" t="n">
        <v>3</v>
      </c>
      <c r="H709" s="2" t="n">
        <v>1537</v>
      </c>
      <c r="I709" s="2" t="n">
        <v>1537</v>
      </c>
      <c r="J709" s="2" t="n">
        <v>1343</v>
      </c>
      <c r="K709" s="2">
        <f>H709+5&gt;D709</f>
        <v/>
      </c>
      <c r="L709" s="2">
        <f>J709&lt;I709</f>
        <v/>
      </c>
      <c r="M709" s="2" t="b">
        <v>1</v>
      </c>
      <c r="N709" s="2" t="b">
        <v>0</v>
      </c>
      <c r="O709" s="2" t="inlineStr">
        <is>
          <t>unknown</t>
        </is>
      </c>
      <c r="P709" s="2">
        <f>O709&lt;&gt;"unknown"</f>
        <v/>
      </c>
    </row>
    <row r="710">
      <c r="A710" s="2" t="inlineStr">
        <is>
          <t>1400-on</t>
        </is>
      </c>
      <c r="B710" s="2" t="n">
        <v>1400</v>
      </c>
      <c r="C710" s="2" t="inlineStr">
        <is>
          <t>on</t>
        </is>
      </c>
      <c r="D710" s="2" t="n">
        <v>1348</v>
      </c>
      <c r="E710" s="2" t="inlineStr">
        <is>
          <t>browser safari260</t>
        </is>
      </c>
      <c r="F710" s="2" t="b">
        <v>1</v>
      </c>
      <c r="G710" s="2" t="n">
        <v>4</v>
      </c>
      <c r="H710" s="2" t="n">
        <v>1537</v>
      </c>
      <c r="I710" s="2" t="n">
        <v>1537</v>
      </c>
      <c r="J710" s="2" t="n">
        <v>1343</v>
      </c>
      <c r="K710" s="2">
        <f>H710+5&gt;D710</f>
        <v/>
      </c>
      <c r="L710" s="2">
        <f>J710&lt;I710</f>
        <v/>
      </c>
      <c r="M710" s="2" t="b">
        <v>1</v>
      </c>
      <c r="N710" s="2" t="b">
        <v>0</v>
      </c>
      <c r="O710" s="2" t="inlineStr">
        <is>
          <t>unknown</t>
        </is>
      </c>
      <c r="P710" s="2">
        <f>O710&lt;&gt;"unknown"</f>
        <v/>
      </c>
    </row>
    <row r="711">
      <c r="A711" s="2" t="inlineStr">
        <is>
          <t>1400-on</t>
        </is>
      </c>
      <c r="B711" s="2" t="n">
        <v>1400</v>
      </c>
      <c r="C711" s="2" t="inlineStr">
        <is>
          <t>on</t>
        </is>
      </c>
      <c r="D711" s="2" t="n">
        <v>1348</v>
      </c>
      <c r="E711" s="2" t="inlineStr">
        <is>
          <t>browser safari260</t>
        </is>
      </c>
      <c r="F711" s="2" t="b">
        <v>1</v>
      </c>
      <c r="G711" s="2" t="n">
        <v>5</v>
      </c>
      <c r="H711" s="2" t="n">
        <v>1537</v>
      </c>
      <c r="I711" s="2" t="n">
        <v>1537</v>
      </c>
      <c r="J711" s="2" t="n">
        <v>1343</v>
      </c>
      <c r="K711" s="2">
        <f>H711+5&gt;D711</f>
        <v/>
      </c>
      <c r="L711" s="2">
        <f>J711&lt;I711</f>
        <v/>
      </c>
      <c r="M711" s="2" t="b">
        <v>1</v>
      </c>
      <c r="N711" s="2" t="b">
        <v>0</v>
      </c>
      <c r="O711" s="2" t="inlineStr">
        <is>
          <t>unknown</t>
        </is>
      </c>
      <c r="P711" s="2">
        <f>O711&lt;&gt;"unknown"</f>
        <v/>
      </c>
    </row>
    <row r="712">
      <c r="A712" s="2" t="inlineStr">
        <is>
          <t>1400-on</t>
        </is>
      </c>
      <c r="B712" s="2" t="n">
        <v>1400</v>
      </c>
      <c r="C712" s="2" t="inlineStr">
        <is>
          <t>on</t>
        </is>
      </c>
      <c r="D712" s="2" t="n">
        <v>1348</v>
      </c>
      <c r="E712" s="2" t="inlineStr">
        <is>
          <t>browser safari260_ios</t>
        </is>
      </c>
      <c r="F712" s="2" t="b">
        <v>0</v>
      </c>
      <c r="G712" s="2" t="n">
        <v>1</v>
      </c>
      <c r="H712" s="2" t="n">
        <v>512</v>
      </c>
      <c r="I712" s="2" t="n">
        <v>512</v>
      </c>
      <c r="J712" s="2" t="n">
        <v>512</v>
      </c>
      <c r="K712" s="2">
        <f>H712+5&gt;D712</f>
        <v/>
      </c>
      <c r="L712" s="2">
        <f>J712&lt;I712</f>
        <v/>
      </c>
      <c r="M712" s="2" t="b">
        <v>1</v>
      </c>
      <c r="N712" s="2" t="b">
        <v>1</v>
      </c>
      <c r="O712" s="2" t="inlineStr">
        <is>
          <t>allow</t>
        </is>
      </c>
      <c r="P712" s="2">
        <f>O712&lt;&gt;"unknown"</f>
        <v/>
      </c>
    </row>
    <row r="713">
      <c r="A713" s="2" t="inlineStr">
        <is>
          <t>1400-on</t>
        </is>
      </c>
      <c r="B713" s="2" t="n">
        <v>1400</v>
      </c>
      <c r="C713" s="2" t="inlineStr">
        <is>
          <t>on</t>
        </is>
      </c>
      <c r="D713" s="2" t="n">
        <v>1348</v>
      </c>
      <c r="E713" s="2" t="inlineStr">
        <is>
          <t>browser safari260_ios</t>
        </is>
      </c>
      <c r="F713" s="2" t="b">
        <v>0</v>
      </c>
      <c r="G713" s="2" t="n">
        <v>2</v>
      </c>
      <c r="H713" s="2" t="n">
        <v>512</v>
      </c>
      <c r="I713" s="2" t="n">
        <v>512</v>
      </c>
      <c r="J713" s="2" t="n">
        <v>512</v>
      </c>
      <c r="K713" s="2">
        <f>H713+5&gt;D713</f>
        <v/>
      </c>
      <c r="L713" s="2">
        <f>J713&lt;I713</f>
        <v/>
      </c>
      <c r="M713" s="2" t="b">
        <v>1</v>
      </c>
      <c r="N713" s="2" t="b">
        <v>1</v>
      </c>
      <c r="O713" s="2" t="inlineStr">
        <is>
          <t>allow</t>
        </is>
      </c>
      <c r="P713" s="2">
        <f>O713&lt;&gt;"unknown"</f>
        <v/>
      </c>
    </row>
    <row r="714">
      <c r="A714" s="2" t="inlineStr">
        <is>
          <t>1400-on</t>
        </is>
      </c>
      <c r="B714" s="2" t="n">
        <v>1400</v>
      </c>
      <c r="C714" s="2" t="inlineStr">
        <is>
          <t>on</t>
        </is>
      </c>
      <c r="D714" s="2" t="n">
        <v>1348</v>
      </c>
      <c r="E714" s="2" t="inlineStr">
        <is>
          <t>browser safari260_ios</t>
        </is>
      </c>
      <c r="F714" s="2" t="b">
        <v>0</v>
      </c>
      <c r="G714" s="2" t="n">
        <v>3</v>
      </c>
      <c r="H714" s="2" t="n">
        <v>512</v>
      </c>
      <c r="I714" s="2" t="n">
        <v>512</v>
      </c>
      <c r="J714" s="2" t="n">
        <v>512</v>
      </c>
      <c r="K714" s="2">
        <f>H714+5&gt;D714</f>
        <v/>
      </c>
      <c r="L714" s="2">
        <f>J714&lt;I714</f>
        <v/>
      </c>
      <c r="M714" s="2" t="b">
        <v>1</v>
      </c>
      <c r="N714" s="2" t="b">
        <v>1</v>
      </c>
      <c r="O714" s="2" t="inlineStr">
        <is>
          <t>allow</t>
        </is>
      </c>
      <c r="P714" s="2">
        <f>O714&lt;&gt;"unknown"</f>
        <v/>
      </c>
    </row>
    <row r="715">
      <c r="A715" s="2" t="inlineStr">
        <is>
          <t>1400-on</t>
        </is>
      </c>
      <c r="B715" s="2" t="n">
        <v>1400</v>
      </c>
      <c r="C715" s="2" t="inlineStr">
        <is>
          <t>on</t>
        </is>
      </c>
      <c r="D715" s="2" t="n">
        <v>1348</v>
      </c>
      <c r="E715" s="2" t="inlineStr">
        <is>
          <t>browser safari260_ios</t>
        </is>
      </c>
      <c r="F715" s="2" t="b">
        <v>0</v>
      </c>
      <c r="G715" s="2" t="n">
        <v>4</v>
      </c>
      <c r="H715" s="2" t="n">
        <v>512</v>
      </c>
      <c r="I715" s="2" t="n">
        <v>512</v>
      </c>
      <c r="J715" s="2" t="n">
        <v>512</v>
      </c>
      <c r="K715" s="2">
        <f>H715+5&gt;D715</f>
        <v/>
      </c>
      <c r="L715" s="2">
        <f>J715&lt;I715</f>
        <v/>
      </c>
      <c r="M715" s="2" t="b">
        <v>1</v>
      </c>
      <c r="N715" s="2" t="b">
        <v>1</v>
      </c>
      <c r="O715" s="2" t="inlineStr">
        <is>
          <t>allow</t>
        </is>
      </c>
      <c r="P715" s="2">
        <f>O715&lt;&gt;"unknown"</f>
        <v/>
      </c>
    </row>
    <row r="716">
      <c r="A716" s="2" t="inlineStr">
        <is>
          <t>1400-on</t>
        </is>
      </c>
      <c r="B716" s="2" t="n">
        <v>1400</v>
      </c>
      <c r="C716" s="2" t="inlineStr">
        <is>
          <t>on</t>
        </is>
      </c>
      <c r="D716" s="2" t="n">
        <v>1348</v>
      </c>
      <c r="E716" s="2" t="inlineStr">
        <is>
          <t>browser safari260_ios</t>
        </is>
      </c>
      <c r="F716" s="2" t="b">
        <v>0</v>
      </c>
      <c r="G716" s="2" t="n">
        <v>5</v>
      </c>
      <c r="H716" s="2" t="n">
        <v>512</v>
      </c>
      <c r="I716" s="2" t="n">
        <v>512</v>
      </c>
      <c r="J716" s="2" t="n">
        <v>512</v>
      </c>
      <c r="K716" s="2">
        <f>H716+5&gt;D716</f>
        <v/>
      </c>
      <c r="L716" s="2">
        <f>J716&lt;I716</f>
        <v/>
      </c>
      <c r="M716" s="2" t="b">
        <v>1</v>
      </c>
      <c r="N716" s="2" t="b">
        <v>1</v>
      </c>
      <c r="O716" s="2" t="inlineStr">
        <is>
          <t>allow</t>
        </is>
      </c>
      <c r="P716" s="2">
        <f>O716&lt;&gt;"unknown"</f>
        <v/>
      </c>
    </row>
    <row r="717">
      <c r="A717" s="2" t="inlineStr">
        <is>
          <t>1400-on</t>
        </is>
      </c>
      <c r="B717" s="2" t="n">
        <v>1400</v>
      </c>
      <c r="C717" s="2" t="inlineStr">
        <is>
          <t>on</t>
        </is>
      </c>
      <c r="D717" s="2" t="n">
        <v>1348</v>
      </c>
      <c r="E717" s="2" t="inlineStr">
        <is>
          <t>browser tor145</t>
        </is>
      </c>
      <c r="F717" s="2" t="b">
        <v>0</v>
      </c>
      <c r="G717" s="2" t="n">
        <v>1</v>
      </c>
      <c r="H717" s="2" t="n">
        <v>549</v>
      </c>
      <c r="I717" s="2" t="n">
        <v>549</v>
      </c>
      <c r="J717" s="2" t="n">
        <v>549</v>
      </c>
      <c r="K717" s="2">
        <f>H717+5&gt;D717</f>
        <v/>
      </c>
      <c r="L717" s="2">
        <f>J717&lt;I717</f>
        <v/>
      </c>
      <c r="M717" s="2" t="b">
        <v>1</v>
      </c>
      <c r="N717" s="2" t="b">
        <v>1</v>
      </c>
      <c r="O717" s="2" t="inlineStr">
        <is>
          <t>allow</t>
        </is>
      </c>
      <c r="P717" s="2">
        <f>O717&lt;&gt;"unknown"</f>
        <v/>
      </c>
    </row>
    <row r="718">
      <c r="A718" s="2" t="inlineStr">
        <is>
          <t>1400-on</t>
        </is>
      </c>
      <c r="B718" s="2" t="n">
        <v>1400</v>
      </c>
      <c r="C718" s="2" t="inlineStr">
        <is>
          <t>on</t>
        </is>
      </c>
      <c r="D718" s="2" t="n">
        <v>1348</v>
      </c>
      <c r="E718" s="2" t="inlineStr">
        <is>
          <t>browser tor145</t>
        </is>
      </c>
      <c r="F718" s="2" t="b">
        <v>0</v>
      </c>
      <c r="G718" s="2" t="n">
        <v>2</v>
      </c>
      <c r="H718" s="2" t="n">
        <v>645</v>
      </c>
      <c r="I718" s="2" t="n">
        <v>645</v>
      </c>
      <c r="J718" s="2" t="n">
        <v>645</v>
      </c>
      <c r="K718" s="2">
        <f>H718+5&gt;D718</f>
        <v/>
      </c>
      <c r="L718" s="2">
        <f>J718&lt;I718</f>
        <v/>
      </c>
      <c r="M718" s="2" t="b">
        <v>1</v>
      </c>
      <c r="N718" s="2" t="b">
        <v>1</v>
      </c>
      <c r="O718" s="2" t="inlineStr">
        <is>
          <t>allow</t>
        </is>
      </c>
      <c r="P718" s="2">
        <f>O718&lt;&gt;"unknown"</f>
        <v/>
      </c>
    </row>
    <row r="719">
      <c r="A719" s="2" t="inlineStr">
        <is>
          <t>1400-on</t>
        </is>
      </c>
      <c r="B719" s="2" t="n">
        <v>1400</v>
      </c>
      <c r="C719" s="2" t="inlineStr">
        <is>
          <t>on</t>
        </is>
      </c>
      <c r="D719" s="2" t="n">
        <v>1348</v>
      </c>
      <c r="E719" s="2" t="inlineStr">
        <is>
          <t>browser tor145</t>
        </is>
      </c>
      <c r="F719" s="2" t="b">
        <v>0</v>
      </c>
      <c r="G719" s="2" t="n">
        <v>3</v>
      </c>
      <c r="H719" s="2" t="n">
        <v>645</v>
      </c>
      <c r="I719" s="2" t="n">
        <v>645</v>
      </c>
      <c r="J719" s="2" t="n">
        <v>645</v>
      </c>
      <c r="K719" s="2">
        <f>H719+5&gt;D719</f>
        <v/>
      </c>
      <c r="L719" s="2">
        <f>J719&lt;I719</f>
        <v/>
      </c>
      <c r="M719" s="2" t="b">
        <v>1</v>
      </c>
      <c r="N719" s="2" t="b">
        <v>1</v>
      </c>
      <c r="O719" s="2" t="inlineStr">
        <is>
          <t>allow</t>
        </is>
      </c>
      <c r="P719" s="2">
        <f>O719&lt;&gt;"unknown"</f>
        <v/>
      </c>
    </row>
    <row r="720">
      <c r="A720" s="2" t="inlineStr">
        <is>
          <t>1400-on</t>
        </is>
      </c>
      <c r="B720" s="2" t="n">
        <v>1400</v>
      </c>
      <c r="C720" s="2" t="inlineStr">
        <is>
          <t>on</t>
        </is>
      </c>
      <c r="D720" s="2" t="n">
        <v>1348</v>
      </c>
      <c r="E720" s="2" t="inlineStr">
        <is>
          <t>browser tor145</t>
        </is>
      </c>
      <c r="F720" s="2" t="b">
        <v>0</v>
      </c>
      <c r="G720" s="2" t="n">
        <v>4</v>
      </c>
      <c r="H720" s="2" t="n">
        <v>613</v>
      </c>
      <c r="I720" s="2" t="n">
        <v>613</v>
      </c>
      <c r="J720" s="2" t="n">
        <v>613</v>
      </c>
      <c r="K720" s="2">
        <f>H720+5&gt;D720</f>
        <v/>
      </c>
      <c r="L720" s="2">
        <f>J720&lt;I720</f>
        <v/>
      </c>
      <c r="M720" s="2" t="b">
        <v>1</v>
      </c>
      <c r="N720" s="2" t="b">
        <v>1</v>
      </c>
      <c r="O720" s="2" t="inlineStr">
        <is>
          <t>allow</t>
        </is>
      </c>
      <c r="P720" s="2">
        <f>O720&lt;&gt;"unknown"</f>
        <v/>
      </c>
    </row>
    <row r="721">
      <c r="A721" s="2" t="inlineStr">
        <is>
          <t>1400-on</t>
        </is>
      </c>
      <c r="B721" s="2" t="n">
        <v>1400</v>
      </c>
      <c r="C721" s="2" t="inlineStr">
        <is>
          <t>on</t>
        </is>
      </c>
      <c r="D721" s="2" t="n">
        <v>1348</v>
      </c>
      <c r="E721" s="2" t="inlineStr">
        <is>
          <t>browser tor145</t>
        </is>
      </c>
      <c r="F721" s="2" t="b">
        <v>0</v>
      </c>
      <c r="G721" s="2" t="n">
        <v>5</v>
      </c>
      <c r="H721" s="2" t="n">
        <v>613</v>
      </c>
      <c r="I721" s="2" t="n">
        <v>613</v>
      </c>
      <c r="J721" s="2" t="n">
        <v>613</v>
      </c>
      <c r="K721" s="2">
        <f>H721+5&gt;D721</f>
        <v/>
      </c>
      <c r="L721" s="2">
        <f>J721&lt;I721</f>
        <v/>
      </c>
      <c r="M721" s="2" t="b">
        <v>1</v>
      </c>
      <c r="N721" s="2" t="b">
        <v>1</v>
      </c>
      <c r="O721" s="2" t="inlineStr">
        <is>
          <t>allow</t>
        </is>
      </c>
      <c r="P721" s="2">
        <f>O721&lt;&gt;"unknown"</f>
        <v/>
      </c>
    </row>
    <row r="722">
      <c r="A722" s="2" t="inlineStr">
        <is>
          <t>1460-on</t>
        </is>
      </c>
      <c r="B722" s="2" t="n">
        <v>1460</v>
      </c>
      <c r="C722" s="2" t="inlineStr">
        <is>
          <t>on</t>
        </is>
      </c>
      <c r="D722" s="2" t="n">
        <v>1408</v>
      </c>
      <c r="E722" s="2" t="inlineStr">
        <is>
          <t>openssl 3.5.8 default</t>
        </is>
      </c>
      <c r="F722" s="2" t="b">
        <v>1</v>
      </c>
      <c r="G722" s="2" t="n">
        <v>1</v>
      </c>
      <c r="H722" s="2" t="n">
        <v>1543</v>
      </c>
      <c r="I722" s="2" t="n">
        <v>1543</v>
      </c>
      <c r="J722" s="2" t="n">
        <v>1403</v>
      </c>
      <c r="K722" s="2">
        <f>H722+5&gt;D722</f>
        <v/>
      </c>
      <c r="L722" s="2">
        <f>J722&lt;I722</f>
        <v/>
      </c>
      <c r="M722" s="2" t="b">
        <v>1</v>
      </c>
      <c r="N722" s="2" t="b">
        <v>1</v>
      </c>
      <c r="O722" s="2" t="inlineStr">
        <is>
          <t>allow</t>
        </is>
      </c>
      <c r="P722" s="2">
        <f>O722&lt;&gt;"unknown"</f>
        <v/>
      </c>
    </row>
    <row r="723">
      <c r="A723" s="2" t="inlineStr">
        <is>
          <t>1460-on</t>
        </is>
      </c>
      <c r="B723" s="2" t="n">
        <v>1460</v>
      </c>
      <c r="C723" s="2" t="inlineStr">
        <is>
          <t>on</t>
        </is>
      </c>
      <c r="D723" s="2" t="n">
        <v>1408</v>
      </c>
      <c r="E723" s="2" t="inlineStr">
        <is>
          <t>openssl 3.5.8 default</t>
        </is>
      </c>
      <c r="F723" s="2" t="b">
        <v>1</v>
      </c>
      <c r="G723" s="2" t="n">
        <v>2</v>
      </c>
      <c r="H723" s="2" t="n">
        <v>1543</v>
      </c>
      <c r="I723" s="2" t="n">
        <v>1543</v>
      </c>
      <c r="J723" s="2" t="n">
        <v>1403</v>
      </c>
      <c r="K723" s="2">
        <f>H723+5&gt;D723</f>
        <v/>
      </c>
      <c r="L723" s="2">
        <f>J723&lt;I723</f>
        <v/>
      </c>
      <c r="M723" s="2" t="b">
        <v>1</v>
      </c>
      <c r="N723" s="2" t="b">
        <v>1</v>
      </c>
      <c r="O723" s="2" t="inlineStr">
        <is>
          <t>allow</t>
        </is>
      </c>
      <c r="P723" s="2">
        <f>O723&lt;&gt;"unknown"</f>
        <v/>
      </c>
    </row>
    <row r="724">
      <c r="A724" s="2" t="inlineStr">
        <is>
          <t>1460-on</t>
        </is>
      </c>
      <c r="B724" s="2" t="n">
        <v>1460</v>
      </c>
      <c r="C724" s="2" t="inlineStr">
        <is>
          <t>on</t>
        </is>
      </c>
      <c r="D724" s="2" t="n">
        <v>1408</v>
      </c>
      <c r="E724" s="2" t="inlineStr">
        <is>
          <t>openssl 3.5.8 default</t>
        </is>
      </c>
      <c r="F724" s="2" t="b">
        <v>1</v>
      </c>
      <c r="G724" s="2" t="n">
        <v>3</v>
      </c>
      <c r="H724" s="2" t="n">
        <v>1543</v>
      </c>
      <c r="I724" s="2" t="n">
        <v>1543</v>
      </c>
      <c r="J724" s="2" t="n">
        <v>1403</v>
      </c>
      <c r="K724" s="2">
        <f>H724+5&gt;D724</f>
        <v/>
      </c>
      <c r="L724" s="2">
        <f>J724&lt;I724</f>
        <v/>
      </c>
      <c r="M724" s="2" t="b">
        <v>1</v>
      </c>
      <c r="N724" s="2" t="b">
        <v>1</v>
      </c>
      <c r="O724" s="2" t="inlineStr">
        <is>
          <t>allow</t>
        </is>
      </c>
      <c r="P724" s="2">
        <f>O724&lt;&gt;"unknown"</f>
        <v/>
      </c>
    </row>
    <row r="725">
      <c r="A725" s="2" t="inlineStr">
        <is>
          <t>1460-on</t>
        </is>
      </c>
      <c r="B725" s="2" t="n">
        <v>1460</v>
      </c>
      <c r="C725" s="2" t="inlineStr">
        <is>
          <t>on</t>
        </is>
      </c>
      <c r="D725" s="2" t="n">
        <v>1408</v>
      </c>
      <c r="E725" s="2" t="inlineStr">
        <is>
          <t>openssl 3.5.8 default</t>
        </is>
      </c>
      <c r="F725" s="2" t="b">
        <v>1</v>
      </c>
      <c r="G725" s="2" t="n">
        <v>4</v>
      </c>
      <c r="H725" s="2" t="n">
        <v>1543</v>
      </c>
      <c r="I725" s="2" t="n">
        <v>1543</v>
      </c>
      <c r="J725" s="2" t="n">
        <v>1403</v>
      </c>
      <c r="K725" s="2">
        <f>H725+5&gt;D725</f>
        <v/>
      </c>
      <c r="L725" s="2">
        <f>J725&lt;I725</f>
        <v/>
      </c>
      <c r="M725" s="2" t="b">
        <v>1</v>
      </c>
      <c r="N725" s="2" t="b">
        <v>1</v>
      </c>
      <c r="O725" s="2" t="inlineStr">
        <is>
          <t>allow</t>
        </is>
      </c>
      <c r="P725" s="2">
        <f>O725&lt;&gt;"unknown"</f>
        <v/>
      </c>
    </row>
    <row r="726">
      <c r="A726" s="2" t="inlineStr">
        <is>
          <t>1460-on</t>
        </is>
      </c>
      <c r="B726" s="2" t="n">
        <v>1460</v>
      </c>
      <c r="C726" s="2" t="inlineStr">
        <is>
          <t>on</t>
        </is>
      </c>
      <c r="D726" s="2" t="n">
        <v>1408</v>
      </c>
      <c r="E726" s="2" t="inlineStr">
        <is>
          <t>openssl 3.5.8 default</t>
        </is>
      </c>
      <c r="F726" s="2" t="b">
        <v>1</v>
      </c>
      <c r="G726" s="2" t="n">
        <v>5</v>
      </c>
      <c r="H726" s="2" t="n">
        <v>1543</v>
      </c>
      <c r="I726" s="2" t="n">
        <v>1543</v>
      </c>
      <c r="J726" s="2" t="n">
        <v>1403</v>
      </c>
      <c r="K726" s="2">
        <f>H726+5&gt;D726</f>
        <v/>
      </c>
      <c r="L726" s="2">
        <f>J726&lt;I726</f>
        <v/>
      </c>
      <c r="M726" s="2" t="b">
        <v>1</v>
      </c>
      <c r="N726" s="2" t="b">
        <v>1</v>
      </c>
      <c r="O726" s="2" t="inlineStr">
        <is>
          <t>allow</t>
        </is>
      </c>
      <c r="P726" s="2">
        <f>O726&lt;&gt;"unknown"</f>
        <v/>
      </c>
    </row>
    <row r="727">
      <c r="A727" s="2" t="inlineStr">
        <is>
          <t>1460-on</t>
        </is>
      </c>
      <c r="B727" s="2" t="n">
        <v>1460</v>
      </c>
      <c r="C727" s="2" t="inlineStr">
        <is>
          <t>on</t>
        </is>
      </c>
      <c r="D727" s="2" t="n">
        <v>1408</v>
      </c>
      <c r="E727" s="2" t="inlineStr">
        <is>
          <t>openssl X25519 only (classical)</t>
        </is>
      </c>
      <c r="F727" s="2" t="b">
        <v>0</v>
      </c>
      <c r="G727" s="2" t="n">
        <v>1</v>
      </c>
      <c r="H727" s="2" t="n">
        <v>309</v>
      </c>
      <c r="I727" s="2" t="n">
        <v>309</v>
      </c>
      <c r="J727" s="2" t="n">
        <v>309</v>
      </c>
      <c r="K727" s="2">
        <f>H727+5&gt;D727</f>
        <v/>
      </c>
      <c r="L727" s="2">
        <f>J727&lt;I727</f>
        <v/>
      </c>
      <c r="M727" s="2" t="b">
        <v>1</v>
      </c>
      <c r="N727" s="2" t="b">
        <v>1</v>
      </c>
      <c r="O727" s="2" t="inlineStr">
        <is>
          <t>allow</t>
        </is>
      </c>
      <c r="P727" s="2">
        <f>O727&lt;&gt;"unknown"</f>
        <v/>
      </c>
    </row>
    <row r="728">
      <c r="A728" s="2" t="inlineStr">
        <is>
          <t>1460-on</t>
        </is>
      </c>
      <c r="B728" s="2" t="n">
        <v>1460</v>
      </c>
      <c r="C728" s="2" t="inlineStr">
        <is>
          <t>on</t>
        </is>
      </c>
      <c r="D728" s="2" t="n">
        <v>1408</v>
      </c>
      <c r="E728" s="2" t="inlineStr">
        <is>
          <t>openssl X25519 only (classical)</t>
        </is>
      </c>
      <c r="F728" s="2" t="b">
        <v>0</v>
      </c>
      <c r="G728" s="2" t="n">
        <v>2</v>
      </c>
      <c r="H728" s="2" t="n">
        <v>309</v>
      </c>
      <c r="I728" s="2" t="n">
        <v>309</v>
      </c>
      <c r="J728" s="2" t="n">
        <v>309</v>
      </c>
      <c r="K728" s="2">
        <f>H728+5&gt;D728</f>
        <v/>
      </c>
      <c r="L728" s="2">
        <f>J728&lt;I728</f>
        <v/>
      </c>
      <c r="M728" s="2" t="b">
        <v>1</v>
      </c>
      <c r="N728" s="2" t="b">
        <v>1</v>
      </c>
      <c r="O728" s="2" t="inlineStr">
        <is>
          <t>allow</t>
        </is>
      </c>
      <c r="P728" s="2">
        <f>O728&lt;&gt;"unknown"</f>
        <v/>
      </c>
    </row>
    <row r="729">
      <c r="A729" s="2" t="inlineStr">
        <is>
          <t>1460-on</t>
        </is>
      </c>
      <c r="B729" s="2" t="n">
        <v>1460</v>
      </c>
      <c r="C729" s="2" t="inlineStr">
        <is>
          <t>on</t>
        </is>
      </c>
      <c r="D729" s="2" t="n">
        <v>1408</v>
      </c>
      <c r="E729" s="2" t="inlineStr">
        <is>
          <t>openssl X25519 only (classical)</t>
        </is>
      </c>
      <c r="F729" s="2" t="b">
        <v>0</v>
      </c>
      <c r="G729" s="2" t="n">
        <v>3</v>
      </c>
      <c r="H729" s="2" t="n">
        <v>309</v>
      </c>
      <c r="I729" s="2" t="n">
        <v>309</v>
      </c>
      <c r="J729" s="2" t="n">
        <v>309</v>
      </c>
      <c r="K729" s="2">
        <f>H729+5&gt;D729</f>
        <v/>
      </c>
      <c r="L729" s="2">
        <f>J729&lt;I729</f>
        <v/>
      </c>
      <c r="M729" s="2" t="b">
        <v>1</v>
      </c>
      <c r="N729" s="2" t="b">
        <v>1</v>
      </c>
      <c r="O729" s="2" t="inlineStr">
        <is>
          <t>allow</t>
        </is>
      </c>
      <c r="P729" s="2">
        <f>O729&lt;&gt;"unknown"</f>
        <v/>
      </c>
    </row>
    <row r="730">
      <c r="A730" s="2" t="inlineStr">
        <is>
          <t>1460-on</t>
        </is>
      </c>
      <c r="B730" s="2" t="n">
        <v>1460</v>
      </c>
      <c r="C730" s="2" t="inlineStr">
        <is>
          <t>on</t>
        </is>
      </c>
      <c r="D730" s="2" t="n">
        <v>1408</v>
      </c>
      <c r="E730" s="2" t="inlineStr">
        <is>
          <t>openssl X25519 only (classical)</t>
        </is>
      </c>
      <c r="F730" s="2" t="b">
        <v>0</v>
      </c>
      <c r="G730" s="2" t="n">
        <v>4</v>
      </c>
      <c r="H730" s="2" t="n">
        <v>309</v>
      </c>
      <c r="I730" s="2" t="n">
        <v>309</v>
      </c>
      <c r="J730" s="2" t="n">
        <v>309</v>
      </c>
      <c r="K730" s="2">
        <f>H730+5&gt;D730</f>
        <v/>
      </c>
      <c r="L730" s="2">
        <f>J730&lt;I730</f>
        <v/>
      </c>
      <c r="M730" s="2" t="b">
        <v>1</v>
      </c>
      <c r="N730" s="2" t="b">
        <v>1</v>
      </c>
      <c r="O730" s="2" t="inlineStr">
        <is>
          <t>allow</t>
        </is>
      </c>
      <c r="P730" s="2">
        <f>O730&lt;&gt;"unknown"</f>
        <v/>
      </c>
    </row>
    <row r="731">
      <c r="A731" s="2" t="inlineStr">
        <is>
          <t>1460-on</t>
        </is>
      </c>
      <c r="B731" s="2" t="n">
        <v>1460</v>
      </c>
      <c r="C731" s="2" t="inlineStr">
        <is>
          <t>on</t>
        </is>
      </c>
      <c r="D731" s="2" t="n">
        <v>1408</v>
      </c>
      <c r="E731" s="2" t="inlineStr">
        <is>
          <t>openssl X25519 only (classical)</t>
        </is>
      </c>
      <c r="F731" s="2" t="b">
        <v>0</v>
      </c>
      <c r="G731" s="2" t="n">
        <v>5</v>
      </c>
      <c r="H731" s="2" t="n">
        <v>309</v>
      </c>
      <c r="I731" s="2" t="n">
        <v>309</v>
      </c>
      <c r="J731" s="2" t="n">
        <v>309</v>
      </c>
      <c r="K731" s="2">
        <f>H731+5&gt;D731</f>
        <v/>
      </c>
      <c r="L731" s="2">
        <f>J731&lt;I731</f>
        <v/>
      </c>
      <c r="M731" s="2" t="b">
        <v>1</v>
      </c>
      <c r="N731" s="2" t="b">
        <v>1</v>
      </c>
      <c r="O731" s="2" t="inlineStr">
        <is>
          <t>allow</t>
        </is>
      </c>
      <c r="P731" s="2">
        <f>O731&lt;&gt;"unknown"</f>
        <v/>
      </c>
    </row>
    <row r="732">
      <c r="A732" s="2" t="inlineStr">
        <is>
          <t>1460-on</t>
        </is>
      </c>
      <c r="B732" s="2" t="n">
        <v>1460</v>
      </c>
      <c r="C732" s="2" t="inlineStr">
        <is>
          <t>on</t>
        </is>
      </c>
      <c r="D732" s="2" t="n">
        <v>1408</v>
      </c>
      <c r="E732" s="2" t="inlineStr">
        <is>
          <t>openssl secp256r1 only (classical)</t>
        </is>
      </c>
      <c r="F732" s="2" t="b">
        <v>0</v>
      </c>
      <c r="G732" s="2" t="n">
        <v>1</v>
      </c>
      <c r="H732" s="2" t="n">
        <v>342</v>
      </c>
      <c r="I732" s="2" t="n">
        <v>342</v>
      </c>
      <c r="J732" s="2" t="n">
        <v>342</v>
      </c>
      <c r="K732" s="2">
        <f>H732+5&gt;D732</f>
        <v/>
      </c>
      <c r="L732" s="2">
        <f>J732&lt;I732</f>
        <v/>
      </c>
      <c r="M732" s="2" t="b">
        <v>1</v>
      </c>
      <c r="N732" s="2" t="b">
        <v>1</v>
      </c>
      <c r="O732" s="2" t="inlineStr">
        <is>
          <t>allow</t>
        </is>
      </c>
      <c r="P732" s="2">
        <f>O732&lt;&gt;"unknown"</f>
        <v/>
      </c>
    </row>
    <row r="733">
      <c r="A733" s="2" t="inlineStr">
        <is>
          <t>1460-on</t>
        </is>
      </c>
      <c r="B733" s="2" t="n">
        <v>1460</v>
      </c>
      <c r="C733" s="2" t="inlineStr">
        <is>
          <t>on</t>
        </is>
      </c>
      <c r="D733" s="2" t="n">
        <v>1408</v>
      </c>
      <c r="E733" s="2" t="inlineStr">
        <is>
          <t>openssl secp256r1 only (classical)</t>
        </is>
      </c>
      <c r="F733" s="2" t="b">
        <v>0</v>
      </c>
      <c r="G733" s="2" t="n">
        <v>2</v>
      </c>
      <c r="H733" s="2" t="n">
        <v>342</v>
      </c>
      <c r="I733" s="2" t="n">
        <v>342</v>
      </c>
      <c r="J733" s="2" t="n">
        <v>342</v>
      </c>
      <c r="K733" s="2">
        <f>H733+5&gt;D733</f>
        <v/>
      </c>
      <c r="L733" s="2">
        <f>J733&lt;I733</f>
        <v/>
      </c>
      <c r="M733" s="2" t="b">
        <v>1</v>
      </c>
      <c r="N733" s="2" t="b">
        <v>1</v>
      </c>
      <c r="O733" s="2" t="inlineStr">
        <is>
          <t>allow</t>
        </is>
      </c>
      <c r="P733" s="2">
        <f>O733&lt;&gt;"unknown"</f>
        <v/>
      </c>
    </row>
    <row r="734">
      <c r="A734" s="2" t="inlineStr">
        <is>
          <t>1460-on</t>
        </is>
      </c>
      <c r="B734" s="2" t="n">
        <v>1460</v>
      </c>
      <c r="C734" s="2" t="inlineStr">
        <is>
          <t>on</t>
        </is>
      </c>
      <c r="D734" s="2" t="n">
        <v>1408</v>
      </c>
      <c r="E734" s="2" t="inlineStr">
        <is>
          <t>openssl secp256r1 only (classical)</t>
        </is>
      </c>
      <c r="F734" s="2" t="b">
        <v>0</v>
      </c>
      <c r="G734" s="2" t="n">
        <v>3</v>
      </c>
      <c r="H734" s="2" t="n">
        <v>342</v>
      </c>
      <c r="I734" s="2" t="n">
        <v>342</v>
      </c>
      <c r="J734" s="2" t="n">
        <v>342</v>
      </c>
      <c r="K734" s="2">
        <f>H734+5&gt;D734</f>
        <v/>
      </c>
      <c r="L734" s="2">
        <f>J734&lt;I734</f>
        <v/>
      </c>
      <c r="M734" s="2" t="b">
        <v>1</v>
      </c>
      <c r="N734" s="2" t="b">
        <v>1</v>
      </c>
      <c r="O734" s="2" t="inlineStr">
        <is>
          <t>allow</t>
        </is>
      </c>
      <c r="P734" s="2">
        <f>O734&lt;&gt;"unknown"</f>
        <v/>
      </c>
    </row>
    <row r="735">
      <c r="A735" s="2" t="inlineStr">
        <is>
          <t>1460-on</t>
        </is>
      </c>
      <c r="B735" s="2" t="n">
        <v>1460</v>
      </c>
      <c r="C735" s="2" t="inlineStr">
        <is>
          <t>on</t>
        </is>
      </c>
      <c r="D735" s="2" t="n">
        <v>1408</v>
      </c>
      <c r="E735" s="2" t="inlineStr">
        <is>
          <t>openssl secp256r1 only (classical)</t>
        </is>
      </c>
      <c r="F735" s="2" t="b">
        <v>0</v>
      </c>
      <c r="G735" s="2" t="n">
        <v>4</v>
      </c>
      <c r="H735" s="2" t="n">
        <v>342</v>
      </c>
      <c r="I735" s="2" t="n">
        <v>342</v>
      </c>
      <c r="J735" s="2" t="n">
        <v>342</v>
      </c>
      <c r="K735" s="2">
        <f>H735+5&gt;D735</f>
        <v/>
      </c>
      <c r="L735" s="2">
        <f>J735&lt;I735</f>
        <v/>
      </c>
      <c r="M735" s="2" t="b">
        <v>1</v>
      </c>
      <c r="N735" s="2" t="b">
        <v>1</v>
      </c>
      <c r="O735" s="2" t="inlineStr">
        <is>
          <t>allow</t>
        </is>
      </c>
      <c r="P735" s="2">
        <f>O735&lt;&gt;"unknown"</f>
        <v/>
      </c>
    </row>
    <row r="736">
      <c r="A736" s="2" t="inlineStr">
        <is>
          <t>1460-on</t>
        </is>
      </c>
      <c r="B736" s="2" t="n">
        <v>1460</v>
      </c>
      <c r="C736" s="2" t="inlineStr">
        <is>
          <t>on</t>
        </is>
      </c>
      <c r="D736" s="2" t="n">
        <v>1408</v>
      </c>
      <c r="E736" s="2" t="inlineStr">
        <is>
          <t>openssl secp256r1 only (classical)</t>
        </is>
      </c>
      <c r="F736" s="2" t="b">
        <v>0</v>
      </c>
      <c r="G736" s="2" t="n">
        <v>5</v>
      </c>
      <c r="H736" s="2" t="n">
        <v>342</v>
      </c>
      <c r="I736" s="2" t="n">
        <v>342</v>
      </c>
      <c r="J736" s="2" t="n">
        <v>342</v>
      </c>
      <c r="K736" s="2">
        <f>H736+5&gt;D736</f>
        <v/>
      </c>
      <c r="L736" s="2">
        <f>J736&lt;I736</f>
        <v/>
      </c>
      <c r="M736" s="2" t="b">
        <v>1</v>
      </c>
      <c r="N736" s="2" t="b">
        <v>1</v>
      </c>
      <c r="O736" s="2" t="inlineStr">
        <is>
          <t>allow</t>
        </is>
      </c>
      <c r="P736" s="2">
        <f>O736&lt;&gt;"unknown"</f>
        <v/>
      </c>
    </row>
    <row r="737">
      <c r="A737" s="2" t="inlineStr">
        <is>
          <t>1460-on</t>
        </is>
      </c>
      <c r="B737" s="2" t="n">
        <v>1460</v>
      </c>
      <c r="C737" s="2" t="inlineStr">
        <is>
          <t>on</t>
        </is>
      </c>
      <c r="D737" s="2" t="n">
        <v>1408</v>
      </c>
      <c r="E737" s="2" t="inlineStr">
        <is>
          <t>openssl X25519MLKEM768 only</t>
        </is>
      </c>
      <c r="F737" s="2" t="b">
        <v>1</v>
      </c>
      <c r="G737" s="2" t="n">
        <v>1</v>
      </c>
      <c r="H737" s="2" t="n">
        <v>1485</v>
      </c>
      <c r="I737" s="2" t="n">
        <v>1485</v>
      </c>
      <c r="J737" s="2" t="n">
        <v>1403</v>
      </c>
      <c r="K737" s="2">
        <f>H737+5&gt;D737</f>
        <v/>
      </c>
      <c r="L737" s="2">
        <f>J737&lt;I737</f>
        <v/>
      </c>
      <c r="M737" s="2" t="b">
        <v>1</v>
      </c>
      <c r="N737" s="2" t="b">
        <v>1</v>
      </c>
      <c r="O737" s="2" t="inlineStr">
        <is>
          <t>allow</t>
        </is>
      </c>
      <c r="P737" s="2">
        <f>O737&lt;&gt;"unknown"</f>
        <v/>
      </c>
    </row>
    <row r="738">
      <c r="A738" s="2" t="inlineStr">
        <is>
          <t>1460-on</t>
        </is>
      </c>
      <c r="B738" s="2" t="n">
        <v>1460</v>
      </c>
      <c r="C738" s="2" t="inlineStr">
        <is>
          <t>on</t>
        </is>
      </c>
      <c r="D738" s="2" t="n">
        <v>1408</v>
      </c>
      <c r="E738" s="2" t="inlineStr">
        <is>
          <t>openssl X25519MLKEM768 only</t>
        </is>
      </c>
      <c r="F738" s="2" t="b">
        <v>1</v>
      </c>
      <c r="G738" s="2" t="n">
        <v>2</v>
      </c>
      <c r="H738" s="2" t="n">
        <v>1485</v>
      </c>
      <c r="I738" s="2" t="n">
        <v>1485</v>
      </c>
      <c r="J738" s="2" t="n">
        <v>1403</v>
      </c>
      <c r="K738" s="2">
        <f>H738+5&gt;D738</f>
        <v/>
      </c>
      <c r="L738" s="2">
        <f>J738&lt;I738</f>
        <v/>
      </c>
      <c r="M738" s="2" t="b">
        <v>1</v>
      </c>
      <c r="N738" s="2" t="b">
        <v>1</v>
      </c>
      <c r="O738" s="2" t="inlineStr">
        <is>
          <t>allow</t>
        </is>
      </c>
      <c r="P738" s="2">
        <f>O738&lt;&gt;"unknown"</f>
        <v/>
      </c>
    </row>
    <row r="739">
      <c r="A739" s="2" t="inlineStr">
        <is>
          <t>1460-on</t>
        </is>
      </c>
      <c r="B739" s="2" t="n">
        <v>1460</v>
      </c>
      <c r="C739" s="2" t="inlineStr">
        <is>
          <t>on</t>
        </is>
      </c>
      <c r="D739" s="2" t="n">
        <v>1408</v>
      </c>
      <c r="E739" s="2" t="inlineStr">
        <is>
          <t>openssl X25519MLKEM768 only</t>
        </is>
      </c>
      <c r="F739" s="2" t="b">
        <v>1</v>
      </c>
      <c r="G739" s="2" t="n">
        <v>3</v>
      </c>
      <c r="H739" s="2" t="n">
        <v>1485</v>
      </c>
      <c r="I739" s="2" t="n">
        <v>1485</v>
      </c>
      <c r="J739" s="2" t="n">
        <v>1403</v>
      </c>
      <c r="K739" s="2">
        <f>H739+5&gt;D739</f>
        <v/>
      </c>
      <c r="L739" s="2">
        <f>J739&lt;I739</f>
        <v/>
      </c>
      <c r="M739" s="2" t="b">
        <v>1</v>
      </c>
      <c r="N739" s="2" t="b">
        <v>1</v>
      </c>
      <c r="O739" s="2" t="inlineStr">
        <is>
          <t>allow</t>
        </is>
      </c>
      <c r="P739" s="2">
        <f>O739&lt;&gt;"unknown"</f>
        <v/>
      </c>
    </row>
    <row r="740">
      <c r="A740" s="2" t="inlineStr">
        <is>
          <t>1460-on</t>
        </is>
      </c>
      <c r="B740" s="2" t="n">
        <v>1460</v>
      </c>
      <c r="C740" s="2" t="inlineStr">
        <is>
          <t>on</t>
        </is>
      </c>
      <c r="D740" s="2" t="n">
        <v>1408</v>
      </c>
      <c r="E740" s="2" t="inlineStr">
        <is>
          <t>openssl X25519MLKEM768 only</t>
        </is>
      </c>
      <c r="F740" s="2" t="b">
        <v>1</v>
      </c>
      <c r="G740" s="2" t="n">
        <v>4</v>
      </c>
      <c r="H740" s="2" t="n">
        <v>1485</v>
      </c>
      <c r="I740" s="2" t="n">
        <v>1485</v>
      </c>
      <c r="J740" s="2" t="n">
        <v>1403</v>
      </c>
      <c r="K740" s="2">
        <f>H740+5&gt;D740</f>
        <v/>
      </c>
      <c r="L740" s="2">
        <f>J740&lt;I740</f>
        <v/>
      </c>
      <c r="M740" s="2" t="b">
        <v>1</v>
      </c>
      <c r="N740" s="2" t="b">
        <v>1</v>
      </c>
      <c r="O740" s="2" t="inlineStr">
        <is>
          <t>allow</t>
        </is>
      </c>
      <c r="P740" s="2">
        <f>O740&lt;&gt;"unknown"</f>
        <v/>
      </c>
    </row>
    <row r="741">
      <c r="A741" s="2" t="inlineStr">
        <is>
          <t>1460-on</t>
        </is>
      </c>
      <c r="B741" s="2" t="n">
        <v>1460</v>
      </c>
      <c r="C741" s="2" t="inlineStr">
        <is>
          <t>on</t>
        </is>
      </c>
      <c r="D741" s="2" t="n">
        <v>1408</v>
      </c>
      <c r="E741" s="2" t="inlineStr">
        <is>
          <t>openssl X25519MLKEM768 only</t>
        </is>
      </c>
      <c r="F741" s="2" t="b">
        <v>1</v>
      </c>
      <c r="G741" s="2" t="n">
        <v>5</v>
      </c>
      <c r="H741" s="2" t="n">
        <v>1485</v>
      </c>
      <c r="I741" s="2" t="n">
        <v>1485</v>
      </c>
      <c r="J741" s="2" t="n">
        <v>1403</v>
      </c>
      <c r="K741" s="2">
        <f>H741+5&gt;D741</f>
        <v/>
      </c>
      <c r="L741" s="2">
        <f>J741&lt;I741</f>
        <v/>
      </c>
      <c r="M741" s="2" t="b">
        <v>1</v>
      </c>
      <c r="N741" s="2" t="b">
        <v>1</v>
      </c>
      <c r="O741" s="2" t="inlineStr">
        <is>
          <t>allow</t>
        </is>
      </c>
      <c r="P741" s="2">
        <f>O741&lt;&gt;"unknown"</f>
        <v/>
      </c>
    </row>
    <row r="742">
      <c r="A742" s="2" t="inlineStr">
        <is>
          <t>1460-on</t>
        </is>
      </c>
      <c r="B742" s="2" t="n">
        <v>1460</v>
      </c>
      <c r="C742" s="2" t="inlineStr">
        <is>
          <t>on</t>
        </is>
      </c>
      <c r="D742" s="2" t="n">
        <v>1408</v>
      </c>
      <c r="E742" s="2" t="inlineStr">
        <is>
          <t>openssl SecP256r1MLKEM768</t>
        </is>
      </c>
      <c r="F742" s="2" t="b">
        <v>1</v>
      </c>
      <c r="G742" s="2" t="n">
        <v>1</v>
      </c>
      <c r="H742" s="2" t="n">
        <v>1518</v>
      </c>
      <c r="I742" s="2" t="n">
        <v>1518</v>
      </c>
      <c r="J742" s="2" t="n">
        <v>1403</v>
      </c>
      <c r="K742" s="2">
        <f>H742+5&gt;D742</f>
        <v/>
      </c>
      <c r="L742" s="2">
        <f>J742&lt;I742</f>
        <v/>
      </c>
      <c r="M742" s="2" t="b">
        <v>1</v>
      </c>
      <c r="N742" s="2" t="b">
        <v>1</v>
      </c>
      <c r="O742" s="2" t="inlineStr">
        <is>
          <t>allow</t>
        </is>
      </c>
      <c r="P742" s="2">
        <f>O742&lt;&gt;"unknown"</f>
        <v/>
      </c>
    </row>
    <row r="743">
      <c r="A743" s="2" t="inlineStr">
        <is>
          <t>1460-on</t>
        </is>
      </c>
      <c r="B743" s="2" t="n">
        <v>1460</v>
      </c>
      <c r="C743" s="2" t="inlineStr">
        <is>
          <t>on</t>
        </is>
      </c>
      <c r="D743" s="2" t="n">
        <v>1408</v>
      </c>
      <c r="E743" s="2" t="inlineStr">
        <is>
          <t>openssl SecP256r1MLKEM768</t>
        </is>
      </c>
      <c r="F743" s="2" t="b">
        <v>1</v>
      </c>
      <c r="G743" s="2" t="n">
        <v>2</v>
      </c>
      <c r="H743" s="2" t="n">
        <v>1518</v>
      </c>
      <c r="I743" s="2" t="n">
        <v>1518</v>
      </c>
      <c r="J743" s="2" t="n">
        <v>1403</v>
      </c>
      <c r="K743" s="2">
        <f>H743+5&gt;D743</f>
        <v/>
      </c>
      <c r="L743" s="2">
        <f>J743&lt;I743</f>
        <v/>
      </c>
      <c r="M743" s="2" t="b">
        <v>1</v>
      </c>
      <c r="N743" s="2" t="b">
        <v>1</v>
      </c>
      <c r="O743" s="2" t="inlineStr">
        <is>
          <t>allow</t>
        </is>
      </c>
      <c r="P743" s="2">
        <f>O743&lt;&gt;"unknown"</f>
        <v/>
      </c>
    </row>
    <row r="744">
      <c r="A744" s="2" t="inlineStr">
        <is>
          <t>1460-on</t>
        </is>
      </c>
      <c r="B744" s="2" t="n">
        <v>1460</v>
      </c>
      <c r="C744" s="2" t="inlineStr">
        <is>
          <t>on</t>
        </is>
      </c>
      <c r="D744" s="2" t="n">
        <v>1408</v>
      </c>
      <c r="E744" s="2" t="inlineStr">
        <is>
          <t>openssl SecP256r1MLKEM768</t>
        </is>
      </c>
      <c r="F744" s="2" t="b">
        <v>1</v>
      </c>
      <c r="G744" s="2" t="n">
        <v>3</v>
      </c>
      <c r="H744" s="2" t="n">
        <v>1518</v>
      </c>
      <c r="I744" s="2" t="n">
        <v>1518</v>
      </c>
      <c r="J744" s="2" t="n">
        <v>1403</v>
      </c>
      <c r="K744" s="2">
        <f>H744+5&gt;D744</f>
        <v/>
      </c>
      <c r="L744" s="2">
        <f>J744&lt;I744</f>
        <v/>
      </c>
      <c r="M744" s="2" t="b">
        <v>1</v>
      </c>
      <c r="N744" s="2" t="b">
        <v>1</v>
      </c>
      <c r="O744" s="2" t="inlineStr">
        <is>
          <t>allow</t>
        </is>
      </c>
      <c r="P744" s="2">
        <f>O744&lt;&gt;"unknown"</f>
        <v/>
      </c>
    </row>
    <row r="745">
      <c r="A745" s="2" t="inlineStr">
        <is>
          <t>1460-on</t>
        </is>
      </c>
      <c r="B745" s="2" t="n">
        <v>1460</v>
      </c>
      <c r="C745" s="2" t="inlineStr">
        <is>
          <t>on</t>
        </is>
      </c>
      <c r="D745" s="2" t="n">
        <v>1408</v>
      </c>
      <c r="E745" s="2" t="inlineStr">
        <is>
          <t>openssl SecP256r1MLKEM768</t>
        </is>
      </c>
      <c r="F745" s="2" t="b">
        <v>1</v>
      </c>
      <c r="G745" s="2" t="n">
        <v>4</v>
      </c>
      <c r="H745" s="2" t="n">
        <v>1518</v>
      </c>
      <c r="I745" s="2" t="n">
        <v>1518</v>
      </c>
      <c r="J745" s="2" t="n">
        <v>1403</v>
      </c>
      <c r="K745" s="2">
        <f>H745+5&gt;D745</f>
        <v/>
      </c>
      <c r="L745" s="2">
        <f>J745&lt;I745</f>
        <v/>
      </c>
      <c r="M745" s="2" t="b">
        <v>1</v>
      </c>
      <c r="N745" s="2" t="b">
        <v>1</v>
      </c>
      <c r="O745" s="2" t="inlineStr">
        <is>
          <t>allow</t>
        </is>
      </c>
      <c r="P745" s="2">
        <f>O745&lt;&gt;"unknown"</f>
        <v/>
      </c>
    </row>
    <row r="746">
      <c r="A746" s="2" t="inlineStr">
        <is>
          <t>1460-on</t>
        </is>
      </c>
      <c r="B746" s="2" t="n">
        <v>1460</v>
      </c>
      <c r="C746" s="2" t="inlineStr">
        <is>
          <t>on</t>
        </is>
      </c>
      <c r="D746" s="2" t="n">
        <v>1408</v>
      </c>
      <c r="E746" s="2" t="inlineStr">
        <is>
          <t>openssl SecP256r1MLKEM768</t>
        </is>
      </c>
      <c r="F746" s="2" t="b">
        <v>1</v>
      </c>
      <c r="G746" s="2" t="n">
        <v>5</v>
      </c>
      <c r="H746" s="2" t="n">
        <v>1518</v>
      </c>
      <c r="I746" s="2" t="n">
        <v>1518</v>
      </c>
      <c r="J746" s="2" t="n">
        <v>1403</v>
      </c>
      <c r="K746" s="2">
        <f>H746+5&gt;D746</f>
        <v/>
      </c>
      <c r="L746" s="2">
        <f>J746&lt;I746</f>
        <v/>
      </c>
      <c r="M746" s="2" t="b">
        <v>1</v>
      </c>
      <c r="N746" s="2" t="b">
        <v>1</v>
      </c>
      <c r="O746" s="2" t="inlineStr">
        <is>
          <t>allow</t>
        </is>
      </c>
      <c r="P746" s="2">
        <f>O746&lt;&gt;"unknown"</f>
        <v/>
      </c>
    </row>
    <row r="747">
      <c r="A747" s="2" t="inlineStr">
        <is>
          <t>1460-on</t>
        </is>
      </c>
      <c r="B747" s="2" t="n">
        <v>1460</v>
      </c>
      <c r="C747" s="2" t="inlineStr">
        <is>
          <t>on</t>
        </is>
      </c>
      <c r="D747" s="2" t="n">
        <v>1408</v>
      </c>
      <c r="E747" s="2" t="inlineStr">
        <is>
          <t>openssl SecP384r1MLKEM1024</t>
        </is>
      </c>
      <c r="F747" s="2" t="b">
        <v>1</v>
      </c>
      <c r="G747" s="2" t="n">
        <v>1</v>
      </c>
      <c r="H747" s="2" t="n">
        <v>1934</v>
      </c>
      <c r="I747" s="2" t="n">
        <v>1934</v>
      </c>
      <c r="J747" s="2" t="n">
        <v>1403</v>
      </c>
      <c r="K747" s="2">
        <f>H747+5&gt;D747</f>
        <v/>
      </c>
      <c r="L747" s="2">
        <f>J747&lt;I747</f>
        <v/>
      </c>
      <c r="M747" s="2" t="b">
        <v>1</v>
      </c>
      <c r="N747" s="2" t="b">
        <v>1</v>
      </c>
      <c r="O747" s="2" t="inlineStr">
        <is>
          <t>allow</t>
        </is>
      </c>
      <c r="P747" s="2">
        <f>O747&lt;&gt;"unknown"</f>
        <v/>
      </c>
    </row>
    <row r="748">
      <c r="A748" s="2" t="inlineStr">
        <is>
          <t>1460-on</t>
        </is>
      </c>
      <c r="B748" s="2" t="n">
        <v>1460</v>
      </c>
      <c r="C748" s="2" t="inlineStr">
        <is>
          <t>on</t>
        </is>
      </c>
      <c r="D748" s="2" t="n">
        <v>1408</v>
      </c>
      <c r="E748" s="2" t="inlineStr">
        <is>
          <t>openssl SecP384r1MLKEM1024</t>
        </is>
      </c>
      <c r="F748" s="2" t="b">
        <v>1</v>
      </c>
      <c r="G748" s="2" t="n">
        <v>2</v>
      </c>
      <c r="H748" s="2" t="n">
        <v>1934</v>
      </c>
      <c r="I748" s="2" t="n">
        <v>1934</v>
      </c>
      <c r="J748" s="2" t="n">
        <v>1403</v>
      </c>
      <c r="K748" s="2">
        <f>H748+5&gt;D748</f>
        <v/>
      </c>
      <c r="L748" s="2">
        <f>J748&lt;I748</f>
        <v/>
      </c>
      <c r="M748" s="2" t="b">
        <v>1</v>
      </c>
      <c r="N748" s="2" t="b">
        <v>1</v>
      </c>
      <c r="O748" s="2" t="inlineStr">
        <is>
          <t>allow</t>
        </is>
      </c>
      <c r="P748" s="2">
        <f>O748&lt;&gt;"unknown"</f>
        <v/>
      </c>
    </row>
    <row r="749">
      <c r="A749" s="2" t="inlineStr">
        <is>
          <t>1460-on</t>
        </is>
      </c>
      <c r="B749" s="2" t="n">
        <v>1460</v>
      </c>
      <c r="C749" s="2" t="inlineStr">
        <is>
          <t>on</t>
        </is>
      </c>
      <c r="D749" s="2" t="n">
        <v>1408</v>
      </c>
      <c r="E749" s="2" t="inlineStr">
        <is>
          <t>openssl SecP384r1MLKEM1024</t>
        </is>
      </c>
      <c r="F749" s="2" t="b">
        <v>1</v>
      </c>
      <c r="G749" s="2" t="n">
        <v>3</v>
      </c>
      <c r="H749" s="2" t="n">
        <v>1934</v>
      </c>
      <c r="I749" s="2" t="n">
        <v>1934</v>
      </c>
      <c r="J749" s="2" t="n">
        <v>1403</v>
      </c>
      <c r="K749" s="2">
        <f>H749+5&gt;D749</f>
        <v/>
      </c>
      <c r="L749" s="2">
        <f>J749&lt;I749</f>
        <v/>
      </c>
      <c r="M749" s="2" t="b">
        <v>1</v>
      </c>
      <c r="N749" s="2" t="b">
        <v>1</v>
      </c>
      <c r="O749" s="2" t="inlineStr">
        <is>
          <t>allow</t>
        </is>
      </c>
      <c r="P749" s="2">
        <f>O749&lt;&gt;"unknown"</f>
        <v/>
      </c>
    </row>
    <row r="750">
      <c r="A750" s="2" t="inlineStr">
        <is>
          <t>1460-on</t>
        </is>
      </c>
      <c r="B750" s="2" t="n">
        <v>1460</v>
      </c>
      <c r="C750" s="2" t="inlineStr">
        <is>
          <t>on</t>
        </is>
      </c>
      <c r="D750" s="2" t="n">
        <v>1408</v>
      </c>
      <c r="E750" s="2" t="inlineStr">
        <is>
          <t>openssl SecP384r1MLKEM1024</t>
        </is>
      </c>
      <c r="F750" s="2" t="b">
        <v>1</v>
      </c>
      <c r="G750" s="2" t="n">
        <v>4</v>
      </c>
      <c r="H750" s="2" t="n">
        <v>1934</v>
      </c>
      <c r="I750" s="2" t="n">
        <v>1934</v>
      </c>
      <c r="J750" s="2" t="n">
        <v>1403</v>
      </c>
      <c r="K750" s="2">
        <f>H750+5&gt;D750</f>
        <v/>
      </c>
      <c r="L750" s="2">
        <f>J750&lt;I750</f>
        <v/>
      </c>
      <c r="M750" s="2" t="b">
        <v>1</v>
      </c>
      <c r="N750" s="2" t="b">
        <v>1</v>
      </c>
      <c r="O750" s="2" t="inlineStr">
        <is>
          <t>allow</t>
        </is>
      </c>
      <c r="P750" s="2">
        <f>O750&lt;&gt;"unknown"</f>
        <v/>
      </c>
    </row>
    <row r="751">
      <c r="A751" s="2" t="inlineStr">
        <is>
          <t>1460-on</t>
        </is>
      </c>
      <c r="B751" s="2" t="n">
        <v>1460</v>
      </c>
      <c r="C751" s="2" t="inlineStr">
        <is>
          <t>on</t>
        </is>
      </c>
      <c r="D751" s="2" t="n">
        <v>1408</v>
      </c>
      <c r="E751" s="2" t="inlineStr">
        <is>
          <t>openssl SecP384r1MLKEM1024</t>
        </is>
      </c>
      <c r="F751" s="2" t="b">
        <v>1</v>
      </c>
      <c r="G751" s="2" t="n">
        <v>5</v>
      </c>
      <c r="H751" s="2" t="n">
        <v>1934</v>
      </c>
      <c r="I751" s="2" t="n">
        <v>1934</v>
      </c>
      <c r="J751" s="2" t="n">
        <v>1403</v>
      </c>
      <c r="K751" s="2">
        <f>H751+5&gt;D751</f>
        <v/>
      </c>
      <c r="L751" s="2">
        <f>J751&lt;I751</f>
        <v/>
      </c>
      <c r="M751" s="2" t="b">
        <v>1</v>
      </c>
      <c r="N751" s="2" t="b">
        <v>1</v>
      </c>
      <c r="O751" s="2" t="inlineStr">
        <is>
          <t>allow</t>
        </is>
      </c>
      <c r="P751" s="2">
        <f>O751&lt;&gt;"unknown"</f>
        <v/>
      </c>
    </row>
    <row r="752">
      <c r="A752" s="2" t="inlineStr">
        <is>
          <t>1460-on</t>
        </is>
      </c>
      <c r="B752" s="2" t="n">
        <v>1460</v>
      </c>
      <c r="C752" s="2" t="inlineStr">
        <is>
          <t>on</t>
        </is>
      </c>
      <c r="D752" s="2" t="n">
        <v>1408</v>
      </c>
      <c r="E752" s="2" t="inlineStr">
        <is>
          <t>openssl MLKEM768 (pure PQ)</t>
        </is>
      </c>
      <c r="F752" s="2" t="b">
        <v>1</v>
      </c>
      <c r="G752" s="2" t="n">
        <v>1</v>
      </c>
      <c r="H752" s="2" t="n">
        <v>1453</v>
      </c>
      <c r="I752" s="2" t="n">
        <v>1453</v>
      </c>
      <c r="J752" s="2" t="n">
        <v>1403</v>
      </c>
      <c r="K752" s="2">
        <f>H752+5&gt;D752</f>
        <v/>
      </c>
      <c r="L752" s="2">
        <f>J752&lt;I752</f>
        <v/>
      </c>
      <c r="M752" s="2" t="b">
        <v>1</v>
      </c>
      <c r="N752" s="2" t="b">
        <v>1</v>
      </c>
      <c r="O752" s="2" t="inlineStr">
        <is>
          <t>allow</t>
        </is>
      </c>
      <c r="P752" s="2">
        <f>O752&lt;&gt;"unknown"</f>
        <v/>
      </c>
    </row>
    <row r="753">
      <c r="A753" s="2" t="inlineStr">
        <is>
          <t>1460-on</t>
        </is>
      </c>
      <c r="B753" s="2" t="n">
        <v>1460</v>
      </c>
      <c r="C753" s="2" t="inlineStr">
        <is>
          <t>on</t>
        </is>
      </c>
      <c r="D753" s="2" t="n">
        <v>1408</v>
      </c>
      <c r="E753" s="2" t="inlineStr">
        <is>
          <t>openssl MLKEM768 (pure PQ)</t>
        </is>
      </c>
      <c r="F753" s="2" t="b">
        <v>1</v>
      </c>
      <c r="G753" s="2" t="n">
        <v>2</v>
      </c>
      <c r="H753" s="2" t="n">
        <v>1453</v>
      </c>
      <c r="I753" s="2" t="n">
        <v>1453</v>
      </c>
      <c r="J753" s="2" t="n">
        <v>1403</v>
      </c>
      <c r="K753" s="2">
        <f>H753+5&gt;D753</f>
        <v/>
      </c>
      <c r="L753" s="2">
        <f>J753&lt;I753</f>
        <v/>
      </c>
      <c r="M753" s="2" t="b">
        <v>1</v>
      </c>
      <c r="N753" s="2" t="b">
        <v>1</v>
      </c>
      <c r="O753" s="2" t="inlineStr">
        <is>
          <t>allow</t>
        </is>
      </c>
      <c r="P753" s="2">
        <f>O753&lt;&gt;"unknown"</f>
        <v/>
      </c>
    </row>
    <row r="754">
      <c r="A754" s="2" t="inlineStr">
        <is>
          <t>1460-on</t>
        </is>
      </c>
      <c r="B754" s="2" t="n">
        <v>1460</v>
      </c>
      <c r="C754" s="2" t="inlineStr">
        <is>
          <t>on</t>
        </is>
      </c>
      <c r="D754" s="2" t="n">
        <v>1408</v>
      </c>
      <c r="E754" s="2" t="inlineStr">
        <is>
          <t>openssl MLKEM768 (pure PQ)</t>
        </is>
      </c>
      <c r="F754" s="2" t="b">
        <v>1</v>
      </c>
      <c r="G754" s="2" t="n">
        <v>3</v>
      </c>
      <c r="H754" s="2" t="n">
        <v>1453</v>
      </c>
      <c r="I754" s="2" t="n">
        <v>1453</v>
      </c>
      <c r="J754" s="2" t="n">
        <v>1403</v>
      </c>
      <c r="K754" s="2">
        <f>H754+5&gt;D754</f>
        <v/>
      </c>
      <c r="L754" s="2">
        <f>J754&lt;I754</f>
        <v/>
      </c>
      <c r="M754" s="2" t="b">
        <v>1</v>
      </c>
      <c r="N754" s="2" t="b">
        <v>1</v>
      </c>
      <c r="O754" s="2" t="inlineStr">
        <is>
          <t>allow</t>
        </is>
      </c>
      <c r="P754" s="2">
        <f>O754&lt;&gt;"unknown"</f>
        <v/>
      </c>
    </row>
    <row r="755">
      <c r="A755" s="2" t="inlineStr">
        <is>
          <t>1460-on</t>
        </is>
      </c>
      <c r="B755" s="2" t="n">
        <v>1460</v>
      </c>
      <c r="C755" s="2" t="inlineStr">
        <is>
          <t>on</t>
        </is>
      </c>
      <c r="D755" s="2" t="n">
        <v>1408</v>
      </c>
      <c r="E755" s="2" t="inlineStr">
        <is>
          <t>openssl MLKEM768 (pure PQ)</t>
        </is>
      </c>
      <c r="F755" s="2" t="b">
        <v>1</v>
      </c>
      <c r="G755" s="2" t="n">
        <v>4</v>
      </c>
      <c r="H755" s="2" t="n">
        <v>1453</v>
      </c>
      <c r="I755" s="2" t="n">
        <v>1453</v>
      </c>
      <c r="J755" s="2" t="n">
        <v>1403</v>
      </c>
      <c r="K755" s="2">
        <f>H755+5&gt;D755</f>
        <v/>
      </c>
      <c r="L755" s="2">
        <f>J755&lt;I755</f>
        <v/>
      </c>
      <c r="M755" s="2" t="b">
        <v>1</v>
      </c>
      <c r="N755" s="2" t="b">
        <v>1</v>
      </c>
      <c r="O755" s="2" t="inlineStr">
        <is>
          <t>allow</t>
        </is>
      </c>
      <c r="P755" s="2">
        <f>O755&lt;&gt;"unknown"</f>
        <v/>
      </c>
    </row>
    <row r="756">
      <c r="A756" s="2" t="inlineStr">
        <is>
          <t>1460-on</t>
        </is>
      </c>
      <c r="B756" s="2" t="n">
        <v>1460</v>
      </c>
      <c r="C756" s="2" t="inlineStr">
        <is>
          <t>on</t>
        </is>
      </c>
      <c r="D756" s="2" t="n">
        <v>1408</v>
      </c>
      <c r="E756" s="2" t="inlineStr">
        <is>
          <t>openssl MLKEM768 (pure PQ)</t>
        </is>
      </c>
      <c r="F756" s="2" t="b">
        <v>1</v>
      </c>
      <c r="G756" s="2" t="n">
        <v>5</v>
      </c>
      <c r="H756" s="2" t="n">
        <v>1453</v>
      </c>
      <c r="I756" s="2" t="n">
        <v>1453</v>
      </c>
      <c r="J756" s="2" t="n">
        <v>1403</v>
      </c>
      <c r="K756" s="2">
        <f>H756+5&gt;D756</f>
        <v/>
      </c>
      <c r="L756" s="2">
        <f>J756&lt;I756</f>
        <v/>
      </c>
      <c r="M756" s="2" t="b">
        <v>1</v>
      </c>
      <c r="N756" s="2" t="b">
        <v>1</v>
      </c>
      <c r="O756" s="2" t="inlineStr">
        <is>
          <t>allow</t>
        </is>
      </c>
      <c r="P756" s="2">
        <f>O756&lt;&gt;"unknown"</f>
        <v/>
      </c>
    </row>
    <row r="757">
      <c r="A757" s="2" t="inlineStr">
        <is>
          <t>1460-on</t>
        </is>
      </c>
      <c r="B757" s="2" t="n">
        <v>1460</v>
      </c>
      <c r="C757" s="2" t="inlineStr">
        <is>
          <t>on</t>
        </is>
      </c>
      <c r="D757" s="2" t="n">
        <v>1408</v>
      </c>
      <c r="E757" s="2" t="inlineStr">
        <is>
          <t>openssl MLKEM1024 (pure PQ)</t>
        </is>
      </c>
      <c r="F757" s="2" t="b">
        <v>1</v>
      </c>
      <c r="G757" s="2" t="n">
        <v>1</v>
      </c>
      <c r="H757" s="2" t="n">
        <v>1837</v>
      </c>
      <c r="I757" s="2" t="n">
        <v>1837</v>
      </c>
      <c r="J757" s="2" t="n">
        <v>1403</v>
      </c>
      <c r="K757" s="2">
        <f>H757+5&gt;D757</f>
        <v/>
      </c>
      <c r="L757" s="2">
        <f>J757&lt;I757</f>
        <v/>
      </c>
      <c r="M757" s="2" t="b">
        <v>1</v>
      </c>
      <c r="N757" s="2" t="b">
        <v>1</v>
      </c>
      <c r="O757" s="2" t="inlineStr">
        <is>
          <t>allow</t>
        </is>
      </c>
      <c r="P757" s="2">
        <f>O757&lt;&gt;"unknown"</f>
        <v/>
      </c>
    </row>
    <row r="758">
      <c r="A758" s="2" t="inlineStr">
        <is>
          <t>1460-on</t>
        </is>
      </c>
      <c r="B758" s="2" t="n">
        <v>1460</v>
      </c>
      <c r="C758" s="2" t="inlineStr">
        <is>
          <t>on</t>
        </is>
      </c>
      <c r="D758" s="2" t="n">
        <v>1408</v>
      </c>
      <c r="E758" s="2" t="inlineStr">
        <is>
          <t>openssl MLKEM1024 (pure PQ)</t>
        </is>
      </c>
      <c r="F758" s="2" t="b">
        <v>1</v>
      </c>
      <c r="G758" s="2" t="n">
        <v>2</v>
      </c>
      <c r="H758" s="2" t="n">
        <v>1837</v>
      </c>
      <c r="I758" s="2" t="n">
        <v>1837</v>
      </c>
      <c r="J758" s="2" t="n">
        <v>1403</v>
      </c>
      <c r="K758" s="2">
        <f>H758+5&gt;D758</f>
        <v/>
      </c>
      <c r="L758" s="2">
        <f>J758&lt;I758</f>
        <v/>
      </c>
      <c r="M758" s="2" t="b">
        <v>1</v>
      </c>
      <c r="N758" s="2" t="b">
        <v>1</v>
      </c>
      <c r="O758" s="2" t="inlineStr">
        <is>
          <t>allow</t>
        </is>
      </c>
      <c r="P758" s="2">
        <f>O758&lt;&gt;"unknown"</f>
        <v/>
      </c>
    </row>
    <row r="759">
      <c r="A759" s="2" t="inlineStr">
        <is>
          <t>1460-on</t>
        </is>
      </c>
      <c r="B759" s="2" t="n">
        <v>1460</v>
      </c>
      <c r="C759" s="2" t="inlineStr">
        <is>
          <t>on</t>
        </is>
      </c>
      <c r="D759" s="2" t="n">
        <v>1408</v>
      </c>
      <c r="E759" s="2" t="inlineStr">
        <is>
          <t>openssl MLKEM1024 (pure PQ)</t>
        </is>
      </c>
      <c r="F759" s="2" t="b">
        <v>1</v>
      </c>
      <c r="G759" s="2" t="n">
        <v>3</v>
      </c>
      <c r="H759" s="2" t="n">
        <v>1837</v>
      </c>
      <c r="I759" s="2" t="n">
        <v>1837</v>
      </c>
      <c r="J759" s="2" t="n">
        <v>1403</v>
      </c>
      <c r="K759" s="2">
        <f>H759+5&gt;D759</f>
        <v/>
      </c>
      <c r="L759" s="2">
        <f>J759&lt;I759</f>
        <v/>
      </c>
      <c r="M759" s="2" t="b">
        <v>1</v>
      </c>
      <c r="N759" s="2" t="b">
        <v>1</v>
      </c>
      <c r="O759" s="2" t="inlineStr">
        <is>
          <t>allow</t>
        </is>
      </c>
      <c r="P759" s="2">
        <f>O759&lt;&gt;"unknown"</f>
        <v/>
      </c>
    </row>
    <row r="760">
      <c r="A760" s="2" t="inlineStr">
        <is>
          <t>1460-on</t>
        </is>
      </c>
      <c r="B760" s="2" t="n">
        <v>1460</v>
      </c>
      <c r="C760" s="2" t="inlineStr">
        <is>
          <t>on</t>
        </is>
      </c>
      <c r="D760" s="2" t="n">
        <v>1408</v>
      </c>
      <c r="E760" s="2" t="inlineStr">
        <is>
          <t>openssl MLKEM1024 (pure PQ)</t>
        </is>
      </c>
      <c r="F760" s="2" t="b">
        <v>1</v>
      </c>
      <c r="G760" s="2" t="n">
        <v>4</v>
      </c>
      <c r="H760" s="2" t="n">
        <v>1837</v>
      </c>
      <c r="I760" s="2" t="n">
        <v>1837</v>
      </c>
      <c r="J760" s="2" t="n">
        <v>1403</v>
      </c>
      <c r="K760" s="2">
        <f>H760+5&gt;D760</f>
        <v/>
      </c>
      <c r="L760" s="2">
        <f>J760&lt;I760</f>
        <v/>
      </c>
      <c r="M760" s="2" t="b">
        <v>1</v>
      </c>
      <c r="N760" s="2" t="b">
        <v>1</v>
      </c>
      <c r="O760" s="2" t="inlineStr">
        <is>
          <t>allow</t>
        </is>
      </c>
      <c r="P760" s="2">
        <f>O760&lt;&gt;"unknown"</f>
        <v/>
      </c>
    </row>
    <row r="761">
      <c r="A761" s="2" t="inlineStr">
        <is>
          <t>1460-on</t>
        </is>
      </c>
      <c r="B761" s="2" t="n">
        <v>1460</v>
      </c>
      <c r="C761" s="2" t="inlineStr">
        <is>
          <t>on</t>
        </is>
      </c>
      <c r="D761" s="2" t="n">
        <v>1408</v>
      </c>
      <c r="E761" s="2" t="inlineStr">
        <is>
          <t>openssl MLKEM1024 (pure PQ)</t>
        </is>
      </c>
      <c r="F761" s="2" t="b">
        <v>1</v>
      </c>
      <c r="G761" s="2" t="n">
        <v>5</v>
      </c>
      <c r="H761" s="2" t="n">
        <v>1837</v>
      </c>
      <c r="I761" s="2" t="n">
        <v>1837</v>
      </c>
      <c r="J761" s="2" t="n">
        <v>1403</v>
      </c>
      <c r="K761" s="2">
        <f>H761+5&gt;D761</f>
        <v/>
      </c>
      <c r="L761" s="2">
        <f>J761&lt;I761</f>
        <v/>
      </c>
      <c r="M761" s="2" t="b">
        <v>1</v>
      </c>
      <c r="N761" s="2" t="b">
        <v>1</v>
      </c>
      <c r="O761" s="2" t="inlineStr">
        <is>
          <t>allow</t>
        </is>
      </c>
      <c r="P761" s="2">
        <f>O761&lt;&gt;"unknown"</f>
        <v/>
      </c>
    </row>
    <row r="762">
      <c r="A762" s="2" t="inlineStr">
        <is>
          <t>1460-on</t>
        </is>
      </c>
      <c r="B762" s="2" t="n">
        <v>1460</v>
      </c>
      <c r="C762" s="2" t="inlineStr">
        <is>
          <t>on</t>
        </is>
      </c>
      <c r="D762" s="2" t="n">
        <v>1408</v>
      </c>
      <c r="E762" s="2" t="inlineStr">
        <is>
          <t>openssl TLS 1.2 only</t>
        </is>
      </c>
      <c r="F762" s="2" t="b">
        <v>0</v>
      </c>
      <c r="G762" s="2" t="n">
        <v>1</v>
      </c>
      <c r="H762" s="2" t="n">
        <v>210</v>
      </c>
      <c r="I762" s="2" t="n">
        <v>210</v>
      </c>
      <c r="J762" s="2" t="n">
        <v>210</v>
      </c>
      <c r="K762" s="2">
        <f>H762+5&gt;D762</f>
        <v/>
      </c>
      <c r="L762" s="2">
        <f>J762&lt;I762</f>
        <v/>
      </c>
      <c r="M762" s="2" t="b">
        <v>1</v>
      </c>
      <c r="N762" s="2" t="b">
        <v>1</v>
      </c>
      <c r="O762" s="2" t="inlineStr">
        <is>
          <t>allow</t>
        </is>
      </c>
      <c r="P762" s="2">
        <f>O762&lt;&gt;"unknown"</f>
        <v/>
      </c>
    </row>
    <row r="763">
      <c r="A763" s="2" t="inlineStr">
        <is>
          <t>1460-on</t>
        </is>
      </c>
      <c r="B763" s="2" t="n">
        <v>1460</v>
      </c>
      <c r="C763" s="2" t="inlineStr">
        <is>
          <t>on</t>
        </is>
      </c>
      <c r="D763" s="2" t="n">
        <v>1408</v>
      </c>
      <c r="E763" s="2" t="inlineStr">
        <is>
          <t>openssl TLS 1.2 only</t>
        </is>
      </c>
      <c r="F763" s="2" t="b">
        <v>0</v>
      </c>
      <c r="G763" s="2" t="n">
        <v>2</v>
      </c>
      <c r="H763" s="2" t="n">
        <v>210</v>
      </c>
      <c r="I763" s="2" t="n">
        <v>210</v>
      </c>
      <c r="J763" s="2" t="n">
        <v>210</v>
      </c>
      <c r="K763" s="2">
        <f>H763+5&gt;D763</f>
        <v/>
      </c>
      <c r="L763" s="2">
        <f>J763&lt;I763</f>
        <v/>
      </c>
      <c r="M763" s="2" t="b">
        <v>1</v>
      </c>
      <c r="N763" s="2" t="b">
        <v>1</v>
      </c>
      <c r="O763" s="2" t="inlineStr">
        <is>
          <t>allow</t>
        </is>
      </c>
      <c r="P763" s="2">
        <f>O763&lt;&gt;"unknown"</f>
        <v/>
      </c>
    </row>
    <row r="764">
      <c r="A764" s="2" t="inlineStr">
        <is>
          <t>1460-on</t>
        </is>
      </c>
      <c r="B764" s="2" t="n">
        <v>1460</v>
      </c>
      <c r="C764" s="2" t="inlineStr">
        <is>
          <t>on</t>
        </is>
      </c>
      <c r="D764" s="2" t="n">
        <v>1408</v>
      </c>
      <c r="E764" s="2" t="inlineStr">
        <is>
          <t>openssl TLS 1.2 only</t>
        </is>
      </c>
      <c r="F764" s="2" t="b">
        <v>0</v>
      </c>
      <c r="G764" s="2" t="n">
        <v>3</v>
      </c>
      <c r="H764" s="2" t="n">
        <v>210</v>
      </c>
      <c r="I764" s="2" t="n">
        <v>210</v>
      </c>
      <c r="J764" s="2" t="n">
        <v>210</v>
      </c>
      <c r="K764" s="2">
        <f>H764+5&gt;D764</f>
        <v/>
      </c>
      <c r="L764" s="2">
        <f>J764&lt;I764</f>
        <v/>
      </c>
      <c r="M764" s="2" t="b">
        <v>1</v>
      </c>
      <c r="N764" s="2" t="b">
        <v>1</v>
      </c>
      <c r="O764" s="2" t="inlineStr">
        <is>
          <t>allow</t>
        </is>
      </c>
      <c r="P764" s="2">
        <f>O764&lt;&gt;"unknown"</f>
        <v/>
      </c>
    </row>
    <row r="765">
      <c r="A765" s="2" t="inlineStr">
        <is>
          <t>1460-on</t>
        </is>
      </c>
      <c r="B765" s="2" t="n">
        <v>1460</v>
      </c>
      <c r="C765" s="2" t="inlineStr">
        <is>
          <t>on</t>
        </is>
      </c>
      <c r="D765" s="2" t="n">
        <v>1408</v>
      </c>
      <c r="E765" s="2" t="inlineStr">
        <is>
          <t>openssl TLS 1.2 only</t>
        </is>
      </c>
      <c r="F765" s="2" t="b">
        <v>0</v>
      </c>
      <c r="G765" s="2" t="n">
        <v>4</v>
      </c>
      <c r="H765" s="2" t="n">
        <v>210</v>
      </c>
      <c r="I765" s="2" t="n">
        <v>210</v>
      </c>
      <c r="J765" s="2" t="n">
        <v>210</v>
      </c>
      <c r="K765" s="2">
        <f>H765+5&gt;D765</f>
        <v/>
      </c>
      <c r="L765" s="2">
        <f>J765&lt;I765</f>
        <v/>
      </c>
      <c r="M765" s="2" t="b">
        <v>1</v>
      </c>
      <c r="N765" s="2" t="b">
        <v>1</v>
      </c>
      <c r="O765" s="2" t="inlineStr">
        <is>
          <t>allow</t>
        </is>
      </c>
      <c r="P765" s="2">
        <f>O765&lt;&gt;"unknown"</f>
        <v/>
      </c>
    </row>
    <row r="766">
      <c r="A766" s="2" t="inlineStr">
        <is>
          <t>1460-on</t>
        </is>
      </c>
      <c r="B766" s="2" t="n">
        <v>1460</v>
      </c>
      <c r="C766" s="2" t="inlineStr">
        <is>
          <t>on</t>
        </is>
      </c>
      <c r="D766" s="2" t="n">
        <v>1408</v>
      </c>
      <c r="E766" s="2" t="inlineStr">
        <is>
          <t>openssl TLS 1.2 only</t>
        </is>
      </c>
      <c r="F766" s="2" t="b">
        <v>0</v>
      </c>
      <c r="G766" s="2" t="n">
        <v>5</v>
      </c>
      <c r="H766" s="2" t="n">
        <v>210</v>
      </c>
      <c r="I766" s="2" t="n">
        <v>210</v>
      </c>
      <c r="J766" s="2" t="n">
        <v>210</v>
      </c>
      <c r="K766" s="2">
        <f>H766+5&gt;D766</f>
        <v/>
      </c>
      <c r="L766" s="2">
        <f>J766&lt;I766</f>
        <v/>
      </c>
      <c r="M766" s="2" t="b">
        <v>1</v>
      </c>
      <c r="N766" s="2" t="b">
        <v>1</v>
      </c>
      <c r="O766" s="2" t="inlineStr">
        <is>
          <t>allow</t>
        </is>
      </c>
      <c r="P766" s="2">
        <f>O766&lt;&gt;"unknown"</f>
        <v/>
      </c>
    </row>
    <row r="767">
      <c r="A767" s="2" t="inlineStr">
        <is>
          <t>1460-on</t>
        </is>
      </c>
      <c r="B767" s="2" t="n">
        <v>1460</v>
      </c>
      <c r="C767" s="2" t="inlineStr">
        <is>
          <t>on</t>
        </is>
      </c>
      <c r="D767" s="2" t="n">
        <v>1408</v>
      </c>
      <c r="E767" s="2" t="inlineStr">
        <is>
          <t>curl 8.22 (OpenSSL 3.5.8)</t>
        </is>
      </c>
      <c r="F767" s="2" t="b">
        <v>1</v>
      </c>
      <c r="G767" s="2" t="n">
        <v>1</v>
      </c>
      <c r="H767" s="2" t="n">
        <v>1561</v>
      </c>
      <c r="I767" s="2" t="n">
        <v>1561</v>
      </c>
      <c r="J767" s="2" t="n">
        <v>1403</v>
      </c>
      <c r="K767" s="2">
        <f>H767+5&gt;D767</f>
        <v/>
      </c>
      <c r="L767" s="2">
        <f>J767&lt;I767</f>
        <v/>
      </c>
      <c r="M767" s="2" t="b">
        <v>1</v>
      </c>
      <c r="N767" s="2" t="b">
        <v>1</v>
      </c>
      <c r="O767" s="2" t="inlineStr">
        <is>
          <t>allow</t>
        </is>
      </c>
      <c r="P767" s="2">
        <f>O767&lt;&gt;"unknown"</f>
        <v/>
      </c>
    </row>
    <row r="768">
      <c r="A768" s="2" t="inlineStr">
        <is>
          <t>1460-on</t>
        </is>
      </c>
      <c r="B768" s="2" t="n">
        <v>1460</v>
      </c>
      <c r="C768" s="2" t="inlineStr">
        <is>
          <t>on</t>
        </is>
      </c>
      <c r="D768" s="2" t="n">
        <v>1408</v>
      </c>
      <c r="E768" s="2" t="inlineStr">
        <is>
          <t>curl 8.22 (OpenSSL 3.5.8)</t>
        </is>
      </c>
      <c r="F768" s="2" t="b">
        <v>1</v>
      </c>
      <c r="G768" s="2" t="n">
        <v>2</v>
      </c>
      <c r="H768" s="2" t="n">
        <v>1561</v>
      </c>
      <c r="I768" s="2" t="n">
        <v>1561</v>
      </c>
      <c r="J768" s="2" t="n">
        <v>1403</v>
      </c>
      <c r="K768" s="2">
        <f>H768+5&gt;D768</f>
        <v/>
      </c>
      <c r="L768" s="2">
        <f>J768&lt;I768</f>
        <v/>
      </c>
      <c r="M768" s="2" t="b">
        <v>1</v>
      </c>
      <c r="N768" s="2" t="b">
        <v>1</v>
      </c>
      <c r="O768" s="2" t="inlineStr">
        <is>
          <t>allow</t>
        </is>
      </c>
      <c r="P768" s="2">
        <f>O768&lt;&gt;"unknown"</f>
        <v/>
      </c>
    </row>
    <row r="769">
      <c r="A769" s="2" t="inlineStr">
        <is>
          <t>1460-on</t>
        </is>
      </c>
      <c r="B769" s="2" t="n">
        <v>1460</v>
      </c>
      <c r="C769" s="2" t="inlineStr">
        <is>
          <t>on</t>
        </is>
      </c>
      <c r="D769" s="2" t="n">
        <v>1408</v>
      </c>
      <c r="E769" s="2" t="inlineStr">
        <is>
          <t>curl 8.22 (OpenSSL 3.5.8)</t>
        </is>
      </c>
      <c r="F769" s="2" t="b">
        <v>1</v>
      </c>
      <c r="G769" s="2" t="n">
        <v>3</v>
      </c>
      <c r="H769" s="2" t="n">
        <v>1561</v>
      </c>
      <c r="I769" s="2" t="n">
        <v>1561</v>
      </c>
      <c r="J769" s="2" t="n">
        <v>1403</v>
      </c>
      <c r="K769" s="2">
        <f>H769+5&gt;D769</f>
        <v/>
      </c>
      <c r="L769" s="2">
        <f>J769&lt;I769</f>
        <v/>
      </c>
      <c r="M769" s="2" t="b">
        <v>1</v>
      </c>
      <c r="N769" s="2" t="b">
        <v>1</v>
      </c>
      <c r="O769" s="2" t="inlineStr">
        <is>
          <t>allow</t>
        </is>
      </c>
      <c r="P769" s="2">
        <f>O769&lt;&gt;"unknown"</f>
        <v/>
      </c>
    </row>
    <row r="770">
      <c r="A770" s="2" t="inlineStr">
        <is>
          <t>1460-on</t>
        </is>
      </c>
      <c r="B770" s="2" t="n">
        <v>1460</v>
      </c>
      <c r="C770" s="2" t="inlineStr">
        <is>
          <t>on</t>
        </is>
      </c>
      <c r="D770" s="2" t="n">
        <v>1408</v>
      </c>
      <c r="E770" s="2" t="inlineStr">
        <is>
          <t>curl 8.22 (OpenSSL 3.5.8)</t>
        </is>
      </c>
      <c r="F770" s="2" t="b">
        <v>1</v>
      </c>
      <c r="G770" s="2" t="n">
        <v>4</v>
      </c>
      <c r="H770" s="2" t="n">
        <v>1561</v>
      </c>
      <c r="I770" s="2" t="n">
        <v>1561</v>
      </c>
      <c r="J770" s="2" t="n">
        <v>1403</v>
      </c>
      <c r="K770" s="2">
        <f>H770+5&gt;D770</f>
        <v/>
      </c>
      <c r="L770" s="2">
        <f>J770&lt;I770</f>
        <v/>
      </c>
      <c r="M770" s="2" t="b">
        <v>1</v>
      </c>
      <c r="N770" s="2" t="b">
        <v>1</v>
      </c>
      <c r="O770" s="2" t="inlineStr">
        <is>
          <t>allow</t>
        </is>
      </c>
      <c r="P770" s="2">
        <f>O770&lt;&gt;"unknown"</f>
        <v/>
      </c>
    </row>
    <row r="771">
      <c r="A771" s="2" t="inlineStr">
        <is>
          <t>1460-on</t>
        </is>
      </c>
      <c r="B771" s="2" t="n">
        <v>1460</v>
      </c>
      <c r="C771" s="2" t="inlineStr">
        <is>
          <t>on</t>
        </is>
      </c>
      <c r="D771" s="2" t="n">
        <v>1408</v>
      </c>
      <c r="E771" s="2" t="inlineStr">
        <is>
          <t>curl 8.22 (OpenSSL 3.5.8)</t>
        </is>
      </c>
      <c r="F771" s="2" t="b">
        <v>1</v>
      </c>
      <c r="G771" s="2" t="n">
        <v>5</v>
      </c>
      <c r="H771" s="2" t="n">
        <v>1561</v>
      </c>
      <c r="I771" s="2" t="n">
        <v>1561</v>
      </c>
      <c r="J771" s="2" t="n">
        <v>1403</v>
      </c>
      <c r="K771" s="2">
        <f>H771+5&gt;D771</f>
        <v/>
      </c>
      <c r="L771" s="2">
        <f>J771&lt;I771</f>
        <v/>
      </c>
      <c r="M771" s="2" t="b">
        <v>1</v>
      </c>
      <c r="N771" s="2" t="b">
        <v>1</v>
      </c>
      <c r="O771" s="2" t="inlineStr">
        <is>
          <t>allow</t>
        </is>
      </c>
      <c r="P771" s="2">
        <f>O771&lt;&gt;"unknown"</f>
        <v/>
      </c>
    </row>
    <row r="772">
      <c r="A772" s="2" t="inlineStr">
        <is>
          <t>1460-on</t>
        </is>
      </c>
      <c r="B772" s="2" t="n">
        <v>1460</v>
      </c>
      <c r="C772" s="2" t="inlineStr">
        <is>
          <t>on</t>
        </is>
      </c>
      <c r="D772" s="2" t="n">
        <v>1408</v>
      </c>
      <c r="E772" s="2" t="inlineStr">
        <is>
          <t>python 3.14 urllib (OpenSSL 3.5.8)</t>
        </is>
      </c>
      <c r="F772" s="2" t="b">
        <v>1</v>
      </c>
      <c r="G772" s="2" t="n">
        <v>1</v>
      </c>
      <c r="H772" s="2" t="n">
        <v>1517</v>
      </c>
      <c r="I772" s="2" t="n">
        <v>1517</v>
      </c>
      <c r="J772" s="2" t="n">
        <v>1403</v>
      </c>
      <c r="K772" s="2">
        <f>H772+5&gt;D772</f>
        <v/>
      </c>
      <c r="L772" s="2">
        <f>J772&lt;I772</f>
        <v/>
      </c>
      <c r="M772" s="2" t="b">
        <v>1</v>
      </c>
      <c r="N772" s="2" t="b">
        <v>1</v>
      </c>
      <c r="O772" s="2" t="inlineStr">
        <is>
          <t>allow</t>
        </is>
      </c>
      <c r="P772" s="2">
        <f>O772&lt;&gt;"unknown"</f>
        <v/>
      </c>
    </row>
    <row r="773">
      <c r="A773" s="2" t="inlineStr">
        <is>
          <t>1460-on</t>
        </is>
      </c>
      <c r="B773" s="2" t="n">
        <v>1460</v>
      </c>
      <c r="C773" s="2" t="inlineStr">
        <is>
          <t>on</t>
        </is>
      </c>
      <c r="D773" s="2" t="n">
        <v>1408</v>
      </c>
      <c r="E773" s="2" t="inlineStr">
        <is>
          <t>python 3.14 urllib (OpenSSL 3.5.8)</t>
        </is>
      </c>
      <c r="F773" s="2" t="b">
        <v>1</v>
      </c>
      <c r="G773" s="2" t="n">
        <v>2</v>
      </c>
      <c r="H773" s="2" t="n">
        <v>1517</v>
      </c>
      <c r="I773" s="2" t="n">
        <v>1517</v>
      </c>
      <c r="J773" s="2" t="n">
        <v>1403</v>
      </c>
      <c r="K773" s="2">
        <f>H773+5&gt;D773</f>
        <v/>
      </c>
      <c r="L773" s="2">
        <f>J773&lt;I773</f>
        <v/>
      </c>
      <c r="M773" s="2" t="b">
        <v>1</v>
      </c>
      <c r="N773" s="2" t="b">
        <v>1</v>
      </c>
      <c r="O773" s="2" t="inlineStr">
        <is>
          <t>allow</t>
        </is>
      </c>
      <c r="P773" s="2">
        <f>O773&lt;&gt;"unknown"</f>
        <v/>
      </c>
    </row>
    <row r="774">
      <c r="A774" s="2" t="inlineStr">
        <is>
          <t>1460-on</t>
        </is>
      </c>
      <c r="B774" s="2" t="n">
        <v>1460</v>
      </c>
      <c r="C774" s="2" t="inlineStr">
        <is>
          <t>on</t>
        </is>
      </c>
      <c r="D774" s="2" t="n">
        <v>1408</v>
      </c>
      <c r="E774" s="2" t="inlineStr">
        <is>
          <t>python 3.14 urllib (OpenSSL 3.5.8)</t>
        </is>
      </c>
      <c r="F774" s="2" t="b">
        <v>1</v>
      </c>
      <c r="G774" s="2" t="n">
        <v>3</v>
      </c>
      <c r="H774" s="2" t="n">
        <v>1517</v>
      </c>
      <c r="I774" s="2" t="n">
        <v>1517</v>
      </c>
      <c r="J774" s="2" t="n">
        <v>1403</v>
      </c>
      <c r="K774" s="2">
        <f>H774+5&gt;D774</f>
        <v/>
      </c>
      <c r="L774" s="2">
        <f>J774&lt;I774</f>
        <v/>
      </c>
      <c r="M774" s="2" t="b">
        <v>1</v>
      </c>
      <c r="N774" s="2" t="b">
        <v>1</v>
      </c>
      <c r="O774" s="2" t="inlineStr">
        <is>
          <t>allow</t>
        </is>
      </c>
      <c r="P774" s="2">
        <f>O774&lt;&gt;"unknown"</f>
        <v/>
      </c>
    </row>
    <row r="775">
      <c r="A775" s="2" t="inlineStr">
        <is>
          <t>1460-on</t>
        </is>
      </c>
      <c r="B775" s="2" t="n">
        <v>1460</v>
      </c>
      <c r="C775" s="2" t="inlineStr">
        <is>
          <t>on</t>
        </is>
      </c>
      <c r="D775" s="2" t="n">
        <v>1408</v>
      </c>
      <c r="E775" s="2" t="inlineStr">
        <is>
          <t>python 3.14 urllib (OpenSSL 3.5.8)</t>
        </is>
      </c>
      <c r="F775" s="2" t="b">
        <v>1</v>
      </c>
      <c r="G775" s="2" t="n">
        <v>4</v>
      </c>
      <c r="H775" s="2" t="n">
        <v>1517</v>
      </c>
      <c r="I775" s="2" t="n">
        <v>1517</v>
      </c>
      <c r="J775" s="2" t="n">
        <v>1403</v>
      </c>
      <c r="K775" s="2">
        <f>H775+5&gt;D775</f>
        <v/>
      </c>
      <c r="L775" s="2">
        <f>J775&lt;I775</f>
        <v/>
      </c>
      <c r="M775" s="2" t="b">
        <v>1</v>
      </c>
      <c r="N775" s="2" t="b">
        <v>1</v>
      </c>
      <c r="O775" s="2" t="inlineStr">
        <is>
          <t>allow</t>
        </is>
      </c>
      <c r="P775" s="2">
        <f>O775&lt;&gt;"unknown"</f>
        <v/>
      </c>
    </row>
    <row r="776">
      <c r="A776" s="2" t="inlineStr">
        <is>
          <t>1460-on</t>
        </is>
      </c>
      <c r="B776" s="2" t="n">
        <v>1460</v>
      </c>
      <c r="C776" s="2" t="inlineStr">
        <is>
          <t>on</t>
        </is>
      </c>
      <c r="D776" s="2" t="n">
        <v>1408</v>
      </c>
      <c r="E776" s="2" t="inlineStr">
        <is>
          <t>python 3.14 urllib (OpenSSL 3.5.8)</t>
        </is>
      </c>
      <c r="F776" s="2" t="b">
        <v>1</v>
      </c>
      <c r="G776" s="2" t="n">
        <v>5</v>
      </c>
      <c r="H776" s="2" t="n">
        <v>1517</v>
      </c>
      <c r="I776" s="2" t="n">
        <v>1517</v>
      </c>
      <c r="J776" s="2" t="n">
        <v>1403</v>
      </c>
      <c r="K776" s="2">
        <f>H776+5&gt;D776</f>
        <v/>
      </c>
      <c r="L776" s="2">
        <f>J776&lt;I776</f>
        <v/>
      </c>
      <c r="M776" s="2" t="b">
        <v>1</v>
      </c>
      <c r="N776" s="2" t="b">
        <v>1</v>
      </c>
      <c r="O776" s="2" t="inlineStr">
        <is>
          <t>allow</t>
        </is>
      </c>
      <c r="P776" s="2">
        <f>O776&lt;&gt;"unknown"</f>
        <v/>
      </c>
    </row>
    <row r="777">
      <c r="A777" s="2" t="inlineStr">
        <is>
          <t>1460-on</t>
        </is>
      </c>
      <c r="B777" s="2" t="n">
        <v>1460</v>
      </c>
      <c r="C777" s="2" t="inlineStr">
        <is>
          <t>on</t>
        </is>
      </c>
      <c r="D777" s="2" t="n">
        <v>1408</v>
      </c>
      <c r="E777" s="2" t="inlineStr">
        <is>
          <t>node 26 https (OpenSSL 3.5.8)</t>
        </is>
      </c>
      <c r="F777" s="2" t="b">
        <v>1</v>
      </c>
      <c r="G777" s="2" t="n">
        <v>1</v>
      </c>
      <c r="H777" s="2" t="n">
        <v>1587</v>
      </c>
      <c r="I777" s="2" t="n">
        <v>1587</v>
      </c>
      <c r="J777" s="2" t="n">
        <v>1403</v>
      </c>
      <c r="K777" s="2">
        <f>H777+5&gt;D777</f>
        <v/>
      </c>
      <c r="L777" s="2">
        <f>J777&lt;I777</f>
        <v/>
      </c>
      <c r="M777" s="2" t="b">
        <v>1</v>
      </c>
      <c r="N777" s="2" t="b">
        <v>1</v>
      </c>
      <c r="O777" s="2" t="inlineStr">
        <is>
          <t>allow</t>
        </is>
      </c>
      <c r="P777" s="2">
        <f>O777&lt;&gt;"unknown"</f>
        <v/>
      </c>
    </row>
    <row r="778">
      <c r="A778" s="2" t="inlineStr">
        <is>
          <t>1460-on</t>
        </is>
      </c>
      <c r="B778" s="2" t="n">
        <v>1460</v>
      </c>
      <c r="C778" s="2" t="inlineStr">
        <is>
          <t>on</t>
        </is>
      </c>
      <c r="D778" s="2" t="n">
        <v>1408</v>
      </c>
      <c r="E778" s="2" t="inlineStr">
        <is>
          <t>node 26 https (OpenSSL 3.5.8)</t>
        </is>
      </c>
      <c r="F778" s="2" t="b">
        <v>1</v>
      </c>
      <c r="G778" s="2" t="n">
        <v>2</v>
      </c>
      <c r="H778" s="2" t="n">
        <v>1587</v>
      </c>
      <c r="I778" s="2" t="n">
        <v>1587</v>
      </c>
      <c r="J778" s="2" t="n">
        <v>1403</v>
      </c>
      <c r="K778" s="2">
        <f>H778+5&gt;D778</f>
        <v/>
      </c>
      <c r="L778" s="2">
        <f>J778&lt;I778</f>
        <v/>
      </c>
      <c r="M778" s="2" t="b">
        <v>1</v>
      </c>
      <c r="N778" s="2" t="b">
        <v>1</v>
      </c>
      <c r="O778" s="2" t="inlineStr">
        <is>
          <t>allow</t>
        </is>
      </c>
      <c r="P778" s="2">
        <f>O778&lt;&gt;"unknown"</f>
        <v/>
      </c>
    </row>
    <row r="779">
      <c r="A779" s="2" t="inlineStr">
        <is>
          <t>1460-on</t>
        </is>
      </c>
      <c r="B779" s="2" t="n">
        <v>1460</v>
      </c>
      <c r="C779" s="2" t="inlineStr">
        <is>
          <t>on</t>
        </is>
      </c>
      <c r="D779" s="2" t="n">
        <v>1408</v>
      </c>
      <c r="E779" s="2" t="inlineStr">
        <is>
          <t>node 26 https (OpenSSL 3.5.8)</t>
        </is>
      </c>
      <c r="F779" s="2" t="b">
        <v>1</v>
      </c>
      <c r="G779" s="2" t="n">
        <v>3</v>
      </c>
      <c r="H779" s="2" t="n">
        <v>1587</v>
      </c>
      <c r="I779" s="2" t="n">
        <v>1587</v>
      </c>
      <c r="J779" s="2" t="n">
        <v>1403</v>
      </c>
      <c r="K779" s="2">
        <f>H779+5&gt;D779</f>
        <v/>
      </c>
      <c r="L779" s="2">
        <f>J779&lt;I779</f>
        <v/>
      </c>
      <c r="M779" s="2" t="b">
        <v>1</v>
      </c>
      <c r="N779" s="2" t="b">
        <v>1</v>
      </c>
      <c r="O779" s="2" t="inlineStr">
        <is>
          <t>allow</t>
        </is>
      </c>
      <c r="P779" s="2">
        <f>O779&lt;&gt;"unknown"</f>
        <v/>
      </c>
    </row>
    <row r="780">
      <c r="A780" s="2" t="inlineStr">
        <is>
          <t>1460-on</t>
        </is>
      </c>
      <c r="B780" s="2" t="n">
        <v>1460</v>
      </c>
      <c r="C780" s="2" t="inlineStr">
        <is>
          <t>on</t>
        </is>
      </c>
      <c r="D780" s="2" t="n">
        <v>1408</v>
      </c>
      <c r="E780" s="2" t="inlineStr">
        <is>
          <t>node 26 https (OpenSSL 3.5.8)</t>
        </is>
      </c>
      <c r="F780" s="2" t="b">
        <v>1</v>
      </c>
      <c r="G780" s="2" t="n">
        <v>4</v>
      </c>
      <c r="H780" s="2" t="n">
        <v>1587</v>
      </c>
      <c r="I780" s="2" t="n">
        <v>1587</v>
      </c>
      <c r="J780" s="2" t="n">
        <v>1403</v>
      </c>
      <c r="K780" s="2">
        <f>H780+5&gt;D780</f>
        <v/>
      </c>
      <c r="L780" s="2">
        <f>J780&lt;I780</f>
        <v/>
      </c>
      <c r="M780" s="2" t="b">
        <v>1</v>
      </c>
      <c r="N780" s="2" t="b">
        <v>1</v>
      </c>
      <c r="O780" s="2" t="inlineStr">
        <is>
          <t>allow</t>
        </is>
      </c>
      <c r="P780" s="2">
        <f>O780&lt;&gt;"unknown"</f>
        <v/>
      </c>
    </row>
    <row r="781">
      <c r="A781" s="2" t="inlineStr">
        <is>
          <t>1460-on</t>
        </is>
      </c>
      <c r="B781" s="2" t="n">
        <v>1460</v>
      </c>
      <c r="C781" s="2" t="inlineStr">
        <is>
          <t>on</t>
        </is>
      </c>
      <c r="D781" s="2" t="n">
        <v>1408</v>
      </c>
      <c r="E781" s="2" t="inlineStr">
        <is>
          <t>node 26 https (OpenSSL 3.5.8)</t>
        </is>
      </c>
      <c r="F781" s="2" t="b">
        <v>1</v>
      </c>
      <c r="G781" s="2" t="n">
        <v>5</v>
      </c>
      <c r="H781" s="2" t="n">
        <v>1587</v>
      </c>
      <c r="I781" s="2" t="n">
        <v>1587</v>
      </c>
      <c r="J781" s="2" t="n">
        <v>1403</v>
      </c>
      <c r="K781" s="2">
        <f>H781+5&gt;D781</f>
        <v/>
      </c>
      <c r="L781" s="2">
        <f>J781&lt;I781</f>
        <v/>
      </c>
      <c r="M781" s="2" t="b">
        <v>1</v>
      </c>
      <c r="N781" s="2" t="b">
        <v>1</v>
      </c>
      <c r="O781" s="2" t="inlineStr">
        <is>
          <t>allow</t>
        </is>
      </c>
      <c r="P781" s="2">
        <f>O781&lt;&gt;"unknown"</f>
        <v/>
      </c>
    </row>
    <row r="782">
      <c r="A782" s="2" t="inlineStr">
        <is>
          <t>1460-on</t>
        </is>
      </c>
      <c r="B782" s="2" t="n">
        <v>1460</v>
      </c>
      <c r="C782" s="2" t="inlineStr">
        <is>
          <t>on</t>
        </is>
      </c>
      <c r="D782" s="2" t="n">
        <v>1408</v>
      </c>
      <c r="E782" s="2" t="inlineStr">
        <is>
          <t>go 1.27 net/http (crypto/tls)</t>
        </is>
      </c>
      <c r="F782" s="2" t="b">
        <v>1</v>
      </c>
      <c r="G782" s="2" t="n">
        <v>1</v>
      </c>
      <c r="H782" s="2" t="n">
        <v>1532</v>
      </c>
      <c r="I782" s="2" t="n">
        <v>1532</v>
      </c>
      <c r="J782" s="2" t="n">
        <v>1403</v>
      </c>
      <c r="K782" s="2">
        <f>H782+5&gt;D782</f>
        <v/>
      </c>
      <c r="L782" s="2">
        <f>J782&lt;I782</f>
        <v/>
      </c>
      <c r="M782" s="2" t="b">
        <v>1</v>
      </c>
      <c r="N782" s="2" t="b">
        <v>1</v>
      </c>
      <c r="O782" s="2" t="inlineStr">
        <is>
          <t>allow</t>
        </is>
      </c>
      <c r="P782" s="2">
        <f>O782&lt;&gt;"unknown"</f>
        <v/>
      </c>
    </row>
    <row r="783">
      <c r="A783" s="2" t="inlineStr">
        <is>
          <t>1460-on</t>
        </is>
      </c>
      <c r="B783" s="2" t="n">
        <v>1460</v>
      </c>
      <c r="C783" s="2" t="inlineStr">
        <is>
          <t>on</t>
        </is>
      </c>
      <c r="D783" s="2" t="n">
        <v>1408</v>
      </c>
      <c r="E783" s="2" t="inlineStr">
        <is>
          <t>go 1.27 net/http (crypto/tls)</t>
        </is>
      </c>
      <c r="F783" s="2" t="b">
        <v>1</v>
      </c>
      <c r="G783" s="2" t="n">
        <v>2</v>
      </c>
      <c r="H783" s="2" t="n">
        <v>1532</v>
      </c>
      <c r="I783" s="2" t="n">
        <v>1532</v>
      </c>
      <c r="J783" s="2" t="n">
        <v>1403</v>
      </c>
      <c r="K783" s="2">
        <f>H783+5&gt;D783</f>
        <v/>
      </c>
      <c r="L783" s="2">
        <f>J783&lt;I783</f>
        <v/>
      </c>
      <c r="M783" s="2" t="b">
        <v>1</v>
      </c>
      <c r="N783" s="2" t="b">
        <v>1</v>
      </c>
      <c r="O783" s="2" t="inlineStr">
        <is>
          <t>allow</t>
        </is>
      </c>
      <c r="P783" s="2">
        <f>O783&lt;&gt;"unknown"</f>
        <v/>
      </c>
    </row>
    <row r="784">
      <c r="A784" s="2" t="inlineStr">
        <is>
          <t>1460-on</t>
        </is>
      </c>
      <c r="B784" s="2" t="n">
        <v>1460</v>
      </c>
      <c r="C784" s="2" t="inlineStr">
        <is>
          <t>on</t>
        </is>
      </c>
      <c r="D784" s="2" t="n">
        <v>1408</v>
      </c>
      <c r="E784" s="2" t="inlineStr">
        <is>
          <t>go 1.27 net/http (crypto/tls)</t>
        </is>
      </c>
      <c r="F784" s="2" t="b">
        <v>1</v>
      </c>
      <c r="G784" s="2" t="n">
        <v>3</v>
      </c>
      <c r="H784" s="2" t="n">
        <v>1532</v>
      </c>
      <c r="I784" s="2" t="n">
        <v>1532</v>
      </c>
      <c r="J784" s="2" t="n">
        <v>1403</v>
      </c>
      <c r="K784" s="2">
        <f>H784+5&gt;D784</f>
        <v/>
      </c>
      <c r="L784" s="2">
        <f>J784&lt;I784</f>
        <v/>
      </c>
      <c r="M784" s="2" t="b">
        <v>1</v>
      </c>
      <c r="N784" s="2" t="b">
        <v>1</v>
      </c>
      <c r="O784" s="2" t="inlineStr">
        <is>
          <t>allow</t>
        </is>
      </c>
      <c r="P784" s="2">
        <f>O784&lt;&gt;"unknown"</f>
        <v/>
      </c>
    </row>
    <row r="785">
      <c r="A785" s="2" t="inlineStr">
        <is>
          <t>1460-on</t>
        </is>
      </c>
      <c r="B785" s="2" t="n">
        <v>1460</v>
      </c>
      <c r="C785" s="2" t="inlineStr">
        <is>
          <t>on</t>
        </is>
      </c>
      <c r="D785" s="2" t="n">
        <v>1408</v>
      </c>
      <c r="E785" s="2" t="inlineStr">
        <is>
          <t>go 1.27 net/http (crypto/tls)</t>
        </is>
      </c>
      <c r="F785" s="2" t="b">
        <v>1</v>
      </c>
      <c r="G785" s="2" t="n">
        <v>4</v>
      </c>
      <c r="H785" s="2" t="n">
        <v>1532</v>
      </c>
      <c r="I785" s="2" t="n">
        <v>1532</v>
      </c>
      <c r="J785" s="2" t="n">
        <v>1403</v>
      </c>
      <c r="K785" s="2">
        <f>H785+5&gt;D785</f>
        <v/>
      </c>
      <c r="L785" s="2">
        <f>J785&lt;I785</f>
        <v/>
      </c>
      <c r="M785" s="2" t="b">
        <v>1</v>
      </c>
      <c r="N785" s="2" t="b">
        <v>1</v>
      </c>
      <c r="O785" s="2" t="inlineStr">
        <is>
          <t>allow</t>
        </is>
      </c>
      <c r="P785" s="2">
        <f>O785&lt;&gt;"unknown"</f>
        <v/>
      </c>
    </row>
    <row r="786">
      <c r="A786" s="2" t="inlineStr">
        <is>
          <t>1460-on</t>
        </is>
      </c>
      <c r="B786" s="2" t="n">
        <v>1460</v>
      </c>
      <c r="C786" s="2" t="inlineStr">
        <is>
          <t>on</t>
        </is>
      </c>
      <c r="D786" s="2" t="n">
        <v>1408</v>
      </c>
      <c r="E786" s="2" t="inlineStr">
        <is>
          <t>go 1.27 net/http (crypto/tls)</t>
        </is>
      </c>
      <c r="F786" s="2" t="b">
        <v>1</v>
      </c>
      <c r="G786" s="2" t="n">
        <v>5</v>
      </c>
      <c r="H786" s="2" t="n">
        <v>1532</v>
      </c>
      <c r="I786" s="2" t="n">
        <v>1532</v>
      </c>
      <c r="J786" s="2" t="n">
        <v>1403</v>
      </c>
      <c r="K786" s="2">
        <f>H786+5&gt;D786</f>
        <v/>
      </c>
      <c r="L786" s="2">
        <f>J786&lt;I786</f>
        <v/>
      </c>
      <c r="M786" s="2" t="b">
        <v>1</v>
      </c>
      <c r="N786" s="2" t="b">
        <v>1</v>
      </c>
      <c r="O786" s="2" t="inlineStr">
        <is>
          <t>allow</t>
        </is>
      </c>
      <c r="P786" s="2">
        <f>O786&lt;&gt;"unknown"</f>
        <v/>
      </c>
    </row>
    <row r="787">
      <c r="A787" s="2" t="inlineStr">
        <is>
          <t>1460-on</t>
        </is>
      </c>
      <c r="B787" s="2" t="n">
        <v>1460</v>
      </c>
      <c r="C787" s="2" t="inlineStr">
        <is>
          <t>on</t>
        </is>
      </c>
      <c r="D787" s="2" t="n">
        <v>1408</v>
      </c>
      <c r="E787" s="2" t="inlineStr">
        <is>
          <t>browser chrome116</t>
        </is>
      </c>
      <c r="F787" s="2" t="b">
        <v>0</v>
      </c>
      <c r="G787" s="2" t="n">
        <v>1</v>
      </c>
      <c r="H787" s="2" t="n">
        <v>512</v>
      </c>
      <c r="I787" s="2" t="n">
        <v>512</v>
      </c>
      <c r="J787" s="2" t="n">
        <v>512</v>
      </c>
      <c r="K787" s="2">
        <f>H787+5&gt;D787</f>
        <v/>
      </c>
      <c r="L787" s="2">
        <f>J787&lt;I787</f>
        <v/>
      </c>
      <c r="M787" s="2" t="b">
        <v>1</v>
      </c>
      <c r="N787" s="2" t="b">
        <v>1</v>
      </c>
      <c r="O787" s="2" t="inlineStr">
        <is>
          <t>allow</t>
        </is>
      </c>
      <c r="P787" s="2">
        <f>O787&lt;&gt;"unknown"</f>
        <v/>
      </c>
    </row>
    <row r="788">
      <c r="A788" s="2" t="inlineStr">
        <is>
          <t>1460-on</t>
        </is>
      </c>
      <c r="B788" s="2" t="n">
        <v>1460</v>
      </c>
      <c r="C788" s="2" t="inlineStr">
        <is>
          <t>on</t>
        </is>
      </c>
      <c r="D788" s="2" t="n">
        <v>1408</v>
      </c>
      <c r="E788" s="2" t="inlineStr">
        <is>
          <t>browser chrome116</t>
        </is>
      </c>
      <c r="F788" s="2" t="b">
        <v>0</v>
      </c>
      <c r="G788" s="2" t="n">
        <v>2</v>
      </c>
      <c r="H788" s="2" t="n">
        <v>512</v>
      </c>
      <c r="I788" s="2" t="n">
        <v>512</v>
      </c>
      <c r="J788" s="2" t="n">
        <v>512</v>
      </c>
      <c r="K788" s="2">
        <f>H788+5&gt;D788</f>
        <v/>
      </c>
      <c r="L788" s="2">
        <f>J788&lt;I788</f>
        <v/>
      </c>
      <c r="M788" s="2" t="b">
        <v>1</v>
      </c>
      <c r="N788" s="2" t="b">
        <v>1</v>
      </c>
      <c r="O788" s="2" t="inlineStr">
        <is>
          <t>allow</t>
        </is>
      </c>
      <c r="P788" s="2">
        <f>O788&lt;&gt;"unknown"</f>
        <v/>
      </c>
    </row>
    <row r="789">
      <c r="A789" s="2" t="inlineStr">
        <is>
          <t>1460-on</t>
        </is>
      </c>
      <c r="B789" s="2" t="n">
        <v>1460</v>
      </c>
      <c r="C789" s="2" t="inlineStr">
        <is>
          <t>on</t>
        </is>
      </c>
      <c r="D789" s="2" t="n">
        <v>1408</v>
      </c>
      <c r="E789" s="2" t="inlineStr">
        <is>
          <t>browser chrome116</t>
        </is>
      </c>
      <c r="F789" s="2" t="b">
        <v>0</v>
      </c>
      <c r="G789" s="2" t="n">
        <v>3</v>
      </c>
      <c r="H789" s="2" t="n">
        <v>512</v>
      </c>
      <c r="I789" s="2" t="n">
        <v>512</v>
      </c>
      <c r="J789" s="2" t="n">
        <v>512</v>
      </c>
      <c r="K789" s="2">
        <f>H789+5&gt;D789</f>
        <v/>
      </c>
      <c r="L789" s="2">
        <f>J789&lt;I789</f>
        <v/>
      </c>
      <c r="M789" s="2" t="b">
        <v>1</v>
      </c>
      <c r="N789" s="2" t="b">
        <v>1</v>
      </c>
      <c r="O789" s="2" t="inlineStr">
        <is>
          <t>allow</t>
        </is>
      </c>
      <c r="P789" s="2">
        <f>O789&lt;&gt;"unknown"</f>
        <v/>
      </c>
    </row>
    <row r="790">
      <c r="A790" s="2" t="inlineStr">
        <is>
          <t>1460-on</t>
        </is>
      </c>
      <c r="B790" s="2" t="n">
        <v>1460</v>
      </c>
      <c r="C790" s="2" t="inlineStr">
        <is>
          <t>on</t>
        </is>
      </c>
      <c r="D790" s="2" t="n">
        <v>1408</v>
      </c>
      <c r="E790" s="2" t="inlineStr">
        <is>
          <t>browser chrome116</t>
        </is>
      </c>
      <c r="F790" s="2" t="b">
        <v>0</v>
      </c>
      <c r="G790" s="2" t="n">
        <v>4</v>
      </c>
      <c r="H790" s="2" t="n">
        <v>512</v>
      </c>
      <c r="I790" s="2" t="n">
        <v>512</v>
      </c>
      <c r="J790" s="2" t="n">
        <v>512</v>
      </c>
      <c r="K790" s="2">
        <f>H790+5&gt;D790</f>
        <v/>
      </c>
      <c r="L790" s="2">
        <f>J790&lt;I790</f>
        <v/>
      </c>
      <c r="M790" s="2" t="b">
        <v>1</v>
      </c>
      <c r="N790" s="2" t="b">
        <v>1</v>
      </c>
      <c r="O790" s="2" t="inlineStr">
        <is>
          <t>allow</t>
        </is>
      </c>
      <c r="P790" s="2">
        <f>O790&lt;&gt;"unknown"</f>
        <v/>
      </c>
    </row>
    <row r="791">
      <c r="A791" s="2" t="inlineStr">
        <is>
          <t>1460-on</t>
        </is>
      </c>
      <c r="B791" s="2" t="n">
        <v>1460</v>
      </c>
      <c r="C791" s="2" t="inlineStr">
        <is>
          <t>on</t>
        </is>
      </c>
      <c r="D791" s="2" t="n">
        <v>1408</v>
      </c>
      <c r="E791" s="2" t="inlineStr">
        <is>
          <t>browser chrome116</t>
        </is>
      </c>
      <c r="F791" s="2" t="b">
        <v>0</v>
      </c>
      <c r="G791" s="2" t="n">
        <v>5</v>
      </c>
      <c r="H791" s="2" t="n">
        <v>512</v>
      </c>
      <c r="I791" s="2" t="n">
        <v>512</v>
      </c>
      <c r="J791" s="2" t="n">
        <v>512</v>
      </c>
      <c r="K791" s="2">
        <f>H791+5&gt;D791</f>
        <v/>
      </c>
      <c r="L791" s="2">
        <f>J791&lt;I791</f>
        <v/>
      </c>
      <c r="M791" s="2" t="b">
        <v>1</v>
      </c>
      <c r="N791" s="2" t="b">
        <v>1</v>
      </c>
      <c r="O791" s="2" t="inlineStr">
        <is>
          <t>allow</t>
        </is>
      </c>
      <c r="P791" s="2">
        <f>O791&lt;&gt;"unknown"</f>
        <v/>
      </c>
    </row>
    <row r="792">
      <c r="A792" s="2" t="inlineStr">
        <is>
          <t>1460-on</t>
        </is>
      </c>
      <c r="B792" s="2" t="n">
        <v>1460</v>
      </c>
      <c r="C792" s="2" t="inlineStr">
        <is>
          <t>on</t>
        </is>
      </c>
      <c r="D792" s="2" t="n">
        <v>1408</v>
      </c>
      <c r="E792" s="2" t="inlineStr">
        <is>
          <t>browser chrome124</t>
        </is>
      </c>
      <c r="F792" s="2" t="b">
        <v>1</v>
      </c>
      <c r="G792" s="2" t="n">
        <v>1</v>
      </c>
      <c r="H792" s="2" t="n">
        <v>1752</v>
      </c>
      <c r="I792" s="2" t="n">
        <v>1752</v>
      </c>
      <c r="J792" s="2" t="n">
        <v>1403</v>
      </c>
      <c r="K792" s="2">
        <f>H792+5&gt;D792</f>
        <v/>
      </c>
      <c r="L792" s="2">
        <f>J792&lt;I792</f>
        <v/>
      </c>
      <c r="M792" s="2" t="b">
        <v>1</v>
      </c>
      <c r="N792" s="2" t="b">
        <v>0</v>
      </c>
      <c r="O792" s="2" t="inlineStr">
        <is>
          <t>unknown</t>
        </is>
      </c>
      <c r="P792" s="2">
        <f>O792&lt;&gt;"unknown"</f>
        <v/>
      </c>
    </row>
    <row r="793">
      <c r="A793" s="2" t="inlineStr">
        <is>
          <t>1460-on</t>
        </is>
      </c>
      <c r="B793" s="2" t="n">
        <v>1460</v>
      </c>
      <c r="C793" s="2" t="inlineStr">
        <is>
          <t>on</t>
        </is>
      </c>
      <c r="D793" s="2" t="n">
        <v>1408</v>
      </c>
      <c r="E793" s="2" t="inlineStr">
        <is>
          <t>browser chrome124</t>
        </is>
      </c>
      <c r="F793" s="2" t="b">
        <v>1</v>
      </c>
      <c r="G793" s="2" t="n">
        <v>2</v>
      </c>
      <c r="H793" s="2" t="n">
        <v>1784</v>
      </c>
      <c r="I793" s="2" t="n">
        <v>1784</v>
      </c>
      <c r="J793" s="2" t="n">
        <v>1403</v>
      </c>
      <c r="K793" s="2">
        <f>H793+5&gt;D793</f>
        <v/>
      </c>
      <c r="L793" s="2">
        <f>J793&lt;I793</f>
        <v/>
      </c>
      <c r="M793" s="2" t="b">
        <v>1</v>
      </c>
      <c r="N793" s="2" t="b">
        <v>0</v>
      </c>
      <c r="O793" s="2" t="inlineStr">
        <is>
          <t>unknown</t>
        </is>
      </c>
      <c r="P793" s="2">
        <f>O793&lt;&gt;"unknown"</f>
        <v/>
      </c>
    </row>
    <row r="794">
      <c r="A794" s="2" t="inlineStr">
        <is>
          <t>1460-on</t>
        </is>
      </c>
      <c r="B794" s="2" t="n">
        <v>1460</v>
      </c>
      <c r="C794" s="2" t="inlineStr">
        <is>
          <t>on</t>
        </is>
      </c>
      <c r="D794" s="2" t="n">
        <v>1408</v>
      </c>
      <c r="E794" s="2" t="inlineStr">
        <is>
          <t>browser chrome124</t>
        </is>
      </c>
      <c r="F794" s="2" t="b">
        <v>1</v>
      </c>
      <c r="G794" s="2" t="n">
        <v>3</v>
      </c>
      <c r="H794" s="2" t="n">
        <v>1752</v>
      </c>
      <c r="I794" s="2" t="n">
        <v>1752</v>
      </c>
      <c r="J794" s="2" t="n">
        <v>1403</v>
      </c>
      <c r="K794" s="2">
        <f>H794+5&gt;D794</f>
        <v/>
      </c>
      <c r="L794" s="2">
        <f>J794&lt;I794</f>
        <v/>
      </c>
      <c r="M794" s="2" t="b">
        <v>1</v>
      </c>
      <c r="N794" s="2" t="b">
        <v>1</v>
      </c>
      <c r="O794" s="2" t="inlineStr">
        <is>
          <t>allow</t>
        </is>
      </c>
      <c r="P794" s="2">
        <f>O794&lt;&gt;"unknown"</f>
        <v/>
      </c>
    </row>
    <row r="795">
      <c r="A795" s="2" t="inlineStr">
        <is>
          <t>1460-on</t>
        </is>
      </c>
      <c r="B795" s="2" t="n">
        <v>1460</v>
      </c>
      <c r="C795" s="2" t="inlineStr">
        <is>
          <t>on</t>
        </is>
      </c>
      <c r="D795" s="2" t="n">
        <v>1408</v>
      </c>
      <c r="E795" s="2" t="inlineStr">
        <is>
          <t>browser chrome124</t>
        </is>
      </c>
      <c r="F795" s="2" t="b">
        <v>1</v>
      </c>
      <c r="G795" s="2" t="n">
        <v>4</v>
      </c>
      <c r="H795" s="2" t="n">
        <v>1816</v>
      </c>
      <c r="I795" s="2" t="n">
        <v>1816</v>
      </c>
      <c r="J795" s="2" t="n">
        <v>1403</v>
      </c>
      <c r="K795" s="2">
        <f>H795+5&gt;D795</f>
        <v/>
      </c>
      <c r="L795" s="2">
        <f>J795&lt;I795</f>
        <v/>
      </c>
      <c r="M795" s="2" t="b">
        <v>1</v>
      </c>
      <c r="N795" s="2" t="b">
        <v>0</v>
      </c>
      <c r="O795" s="2" t="inlineStr">
        <is>
          <t>unknown</t>
        </is>
      </c>
      <c r="P795" s="2">
        <f>O795&lt;&gt;"unknown"</f>
        <v/>
      </c>
    </row>
    <row r="796">
      <c r="A796" s="2" t="inlineStr">
        <is>
          <t>1460-on</t>
        </is>
      </c>
      <c r="B796" s="2" t="n">
        <v>1460</v>
      </c>
      <c r="C796" s="2" t="inlineStr">
        <is>
          <t>on</t>
        </is>
      </c>
      <c r="D796" s="2" t="n">
        <v>1408</v>
      </c>
      <c r="E796" s="2" t="inlineStr">
        <is>
          <t>browser chrome124</t>
        </is>
      </c>
      <c r="F796" s="2" t="b">
        <v>1</v>
      </c>
      <c r="G796" s="2" t="n">
        <v>5</v>
      </c>
      <c r="H796" s="2" t="n">
        <v>1816</v>
      </c>
      <c r="I796" s="2" t="n">
        <v>1816</v>
      </c>
      <c r="J796" s="2" t="n">
        <v>1403</v>
      </c>
      <c r="K796" s="2">
        <f>H796+5&gt;D796</f>
        <v/>
      </c>
      <c r="L796" s="2">
        <f>J796&lt;I796</f>
        <v/>
      </c>
      <c r="M796" s="2" t="b">
        <v>1</v>
      </c>
      <c r="N796" s="2" t="b">
        <v>1</v>
      </c>
      <c r="O796" s="2" t="inlineStr">
        <is>
          <t>allow</t>
        </is>
      </c>
      <c r="P796" s="2">
        <f>O796&lt;&gt;"unknown"</f>
        <v/>
      </c>
    </row>
    <row r="797">
      <c r="A797" s="2" t="inlineStr">
        <is>
          <t>1460-on</t>
        </is>
      </c>
      <c r="B797" s="2" t="n">
        <v>1460</v>
      </c>
      <c r="C797" s="2" t="inlineStr">
        <is>
          <t>on</t>
        </is>
      </c>
      <c r="D797" s="2" t="n">
        <v>1408</v>
      </c>
      <c r="E797" s="2" t="inlineStr">
        <is>
          <t>browser chrome131</t>
        </is>
      </c>
      <c r="F797" s="2" t="b">
        <v>1</v>
      </c>
      <c r="G797" s="2" t="n">
        <v>1</v>
      </c>
      <c r="H797" s="2" t="n">
        <v>1784</v>
      </c>
      <c r="I797" s="2" t="n">
        <v>1784</v>
      </c>
      <c r="J797" s="2" t="n">
        <v>1403</v>
      </c>
      <c r="K797" s="2">
        <f>H797+5&gt;D797</f>
        <v/>
      </c>
      <c r="L797" s="2">
        <f>J797&lt;I797</f>
        <v/>
      </c>
      <c r="M797" s="2" t="b">
        <v>1</v>
      </c>
      <c r="N797" s="2" t="b">
        <v>1</v>
      </c>
      <c r="O797" s="2" t="inlineStr">
        <is>
          <t>allow</t>
        </is>
      </c>
      <c r="P797" s="2">
        <f>O797&lt;&gt;"unknown"</f>
        <v/>
      </c>
    </row>
    <row r="798">
      <c r="A798" s="2" t="inlineStr">
        <is>
          <t>1460-on</t>
        </is>
      </c>
      <c r="B798" s="2" t="n">
        <v>1460</v>
      </c>
      <c r="C798" s="2" t="inlineStr">
        <is>
          <t>on</t>
        </is>
      </c>
      <c r="D798" s="2" t="n">
        <v>1408</v>
      </c>
      <c r="E798" s="2" t="inlineStr">
        <is>
          <t>browser chrome131</t>
        </is>
      </c>
      <c r="F798" s="2" t="b">
        <v>1</v>
      </c>
      <c r="G798" s="2" t="n">
        <v>2</v>
      </c>
      <c r="H798" s="2" t="n">
        <v>1784</v>
      </c>
      <c r="I798" s="2" t="n">
        <v>1784</v>
      </c>
      <c r="J798" s="2" t="n">
        <v>1403</v>
      </c>
      <c r="K798" s="2">
        <f>H798+5&gt;D798</f>
        <v/>
      </c>
      <c r="L798" s="2">
        <f>J798&lt;I798</f>
        <v/>
      </c>
      <c r="M798" s="2" t="b">
        <v>1</v>
      </c>
      <c r="N798" s="2" t="b">
        <v>0</v>
      </c>
      <c r="O798" s="2" t="inlineStr">
        <is>
          <t>unknown</t>
        </is>
      </c>
      <c r="P798" s="2">
        <f>O798&lt;&gt;"unknown"</f>
        <v/>
      </c>
    </row>
    <row r="799">
      <c r="A799" s="2" t="inlineStr">
        <is>
          <t>1460-on</t>
        </is>
      </c>
      <c r="B799" s="2" t="n">
        <v>1460</v>
      </c>
      <c r="C799" s="2" t="inlineStr">
        <is>
          <t>on</t>
        </is>
      </c>
      <c r="D799" s="2" t="n">
        <v>1408</v>
      </c>
      <c r="E799" s="2" t="inlineStr">
        <is>
          <t>browser chrome131</t>
        </is>
      </c>
      <c r="F799" s="2" t="b">
        <v>1</v>
      </c>
      <c r="G799" s="2" t="n">
        <v>3</v>
      </c>
      <c r="H799" s="2" t="n">
        <v>1752</v>
      </c>
      <c r="I799" s="2" t="n">
        <v>1752</v>
      </c>
      <c r="J799" s="2" t="n">
        <v>1403</v>
      </c>
      <c r="K799" s="2">
        <f>H799+5&gt;D799</f>
        <v/>
      </c>
      <c r="L799" s="2">
        <f>J799&lt;I799</f>
        <v/>
      </c>
      <c r="M799" s="2" t="b">
        <v>1</v>
      </c>
      <c r="N799" s="2" t="b">
        <v>0</v>
      </c>
      <c r="O799" s="2" t="inlineStr">
        <is>
          <t>unknown</t>
        </is>
      </c>
      <c r="P799" s="2">
        <f>O799&lt;&gt;"unknown"</f>
        <v/>
      </c>
    </row>
    <row r="800">
      <c r="A800" s="2" t="inlineStr">
        <is>
          <t>1460-on</t>
        </is>
      </c>
      <c r="B800" s="2" t="n">
        <v>1460</v>
      </c>
      <c r="C800" s="2" t="inlineStr">
        <is>
          <t>on</t>
        </is>
      </c>
      <c r="D800" s="2" t="n">
        <v>1408</v>
      </c>
      <c r="E800" s="2" t="inlineStr">
        <is>
          <t>browser chrome131</t>
        </is>
      </c>
      <c r="F800" s="2" t="b">
        <v>1</v>
      </c>
      <c r="G800" s="2" t="n">
        <v>4</v>
      </c>
      <c r="H800" s="2" t="n">
        <v>1816</v>
      </c>
      <c r="I800" s="2" t="n">
        <v>1816</v>
      </c>
      <c r="J800" s="2" t="n">
        <v>1403</v>
      </c>
      <c r="K800" s="2">
        <f>H800+5&gt;D800</f>
        <v/>
      </c>
      <c r="L800" s="2">
        <f>J800&lt;I800</f>
        <v/>
      </c>
      <c r="M800" s="2" t="b">
        <v>1</v>
      </c>
      <c r="N800" s="2" t="b">
        <v>1</v>
      </c>
      <c r="O800" s="2" t="inlineStr">
        <is>
          <t>allow</t>
        </is>
      </c>
      <c r="P800" s="2">
        <f>O800&lt;&gt;"unknown"</f>
        <v/>
      </c>
    </row>
    <row r="801">
      <c r="A801" s="2" t="inlineStr">
        <is>
          <t>1460-on</t>
        </is>
      </c>
      <c r="B801" s="2" t="n">
        <v>1460</v>
      </c>
      <c r="C801" s="2" t="inlineStr">
        <is>
          <t>on</t>
        </is>
      </c>
      <c r="D801" s="2" t="n">
        <v>1408</v>
      </c>
      <c r="E801" s="2" t="inlineStr">
        <is>
          <t>browser chrome131</t>
        </is>
      </c>
      <c r="F801" s="2" t="b">
        <v>1</v>
      </c>
      <c r="G801" s="2" t="n">
        <v>5</v>
      </c>
      <c r="H801" s="2" t="n">
        <v>1720</v>
      </c>
      <c r="I801" s="2" t="n">
        <v>1720</v>
      </c>
      <c r="J801" s="2" t="n">
        <v>1403</v>
      </c>
      <c r="K801" s="2">
        <f>H801+5&gt;D801</f>
        <v/>
      </c>
      <c r="L801" s="2">
        <f>J801&lt;I801</f>
        <v/>
      </c>
      <c r="M801" s="2" t="b">
        <v>1</v>
      </c>
      <c r="N801" s="2" t="b">
        <v>0</v>
      </c>
      <c r="O801" s="2" t="inlineStr">
        <is>
          <t>unknown</t>
        </is>
      </c>
      <c r="P801" s="2">
        <f>O801&lt;&gt;"unknown"</f>
        <v/>
      </c>
    </row>
    <row r="802">
      <c r="A802" s="2" t="inlineStr">
        <is>
          <t>1460-on</t>
        </is>
      </c>
      <c r="B802" s="2" t="n">
        <v>1460</v>
      </c>
      <c r="C802" s="2" t="inlineStr">
        <is>
          <t>on</t>
        </is>
      </c>
      <c r="D802" s="2" t="n">
        <v>1408</v>
      </c>
      <c r="E802" s="2" t="inlineStr">
        <is>
          <t>browser chrome150</t>
        </is>
      </c>
      <c r="F802" s="2" t="b">
        <v>1</v>
      </c>
      <c r="G802" s="2" t="n">
        <v>1</v>
      </c>
      <c r="H802" s="2" t="n">
        <v>1790</v>
      </c>
      <c r="I802" s="2" t="n">
        <v>1790</v>
      </c>
      <c r="J802" s="2" t="n">
        <v>1403</v>
      </c>
      <c r="K802" s="2">
        <f>H802+5&gt;D802</f>
        <v/>
      </c>
      <c r="L802" s="2">
        <f>J802&lt;I802</f>
        <v/>
      </c>
      <c r="M802" s="2" t="b">
        <v>1</v>
      </c>
      <c r="N802" s="2" t="b">
        <v>0</v>
      </c>
      <c r="O802" s="2" t="inlineStr">
        <is>
          <t>unknown</t>
        </is>
      </c>
      <c r="P802" s="2">
        <f>O802&lt;&gt;"unknown"</f>
        <v/>
      </c>
    </row>
    <row r="803">
      <c r="A803" s="2" t="inlineStr">
        <is>
          <t>1460-on</t>
        </is>
      </c>
      <c r="B803" s="2" t="n">
        <v>1460</v>
      </c>
      <c r="C803" s="2" t="inlineStr">
        <is>
          <t>on</t>
        </is>
      </c>
      <c r="D803" s="2" t="n">
        <v>1408</v>
      </c>
      <c r="E803" s="2" t="inlineStr">
        <is>
          <t>browser chrome150</t>
        </is>
      </c>
      <c r="F803" s="2" t="b">
        <v>1</v>
      </c>
      <c r="G803" s="2" t="n">
        <v>2</v>
      </c>
      <c r="H803" s="2" t="n">
        <v>1822</v>
      </c>
      <c r="I803" s="2" t="n">
        <v>1822</v>
      </c>
      <c r="J803" s="2" t="n">
        <v>1403</v>
      </c>
      <c r="K803" s="2">
        <f>H803+5&gt;D803</f>
        <v/>
      </c>
      <c r="L803" s="2">
        <f>J803&lt;I803</f>
        <v/>
      </c>
      <c r="M803" s="2" t="b">
        <v>1</v>
      </c>
      <c r="N803" s="2" t="b">
        <v>0</v>
      </c>
      <c r="O803" s="2" t="inlineStr">
        <is>
          <t>unknown</t>
        </is>
      </c>
      <c r="P803" s="2">
        <f>O803&lt;&gt;"unknown"</f>
        <v/>
      </c>
    </row>
    <row r="804">
      <c r="A804" s="2" t="inlineStr">
        <is>
          <t>1460-on</t>
        </is>
      </c>
      <c r="B804" s="2" t="n">
        <v>1460</v>
      </c>
      <c r="C804" s="2" t="inlineStr">
        <is>
          <t>on</t>
        </is>
      </c>
      <c r="D804" s="2" t="n">
        <v>1408</v>
      </c>
      <c r="E804" s="2" t="inlineStr">
        <is>
          <t>browser chrome150</t>
        </is>
      </c>
      <c r="F804" s="2" t="b">
        <v>1</v>
      </c>
      <c r="G804" s="2" t="n">
        <v>3</v>
      </c>
      <c r="H804" s="2" t="n">
        <v>1790</v>
      </c>
      <c r="I804" s="2" t="n">
        <v>1790</v>
      </c>
      <c r="J804" s="2" t="n">
        <v>1403</v>
      </c>
      <c r="K804" s="2">
        <f>H804+5&gt;D804</f>
        <v/>
      </c>
      <c r="L804" s="2">
        <f>J804&lt;I804</f>
        <v/>
      </c>
      <c r="M804" s="2" t="b">
        <v>1</v>
      </c>
      <c r="N804" s="2" t="b">
        <v>0</v>
      </c>
      <c r="O804" s="2" t="inlineStr">
        <is>
          <t>unknown</t>
        </is>
      </c>
      <c r="P804" s="2">
        <f>O804&lt;&gt;"unknown"</f>
        <v/>
      </c>
    </row>
    <row r="805">
      <c r="A805" s="2" t="inlineStr">
        <is>
          <t>1460-on</t>
        </is>
      </c>
      <c r="B805" s="2" t="n">
        <v>1460</v>
      </c>
      <c r="C805" s="2" t="inlineStr">
        <is>
          <t>on</t>
        </is>
      </c>
      <c r="D805" s="2" t="n">
        <v>1408</v>
      </c>
      <c r="E805" s="2" t="inlineStr">
        <is>
          <t>browser chrome150</t>
        </is>
      </c>
      <c r="F805" s="2" t="b">
        <v>1</v>
      </c>
      <c r="G805" s="2" t="n">
        <v>4</v>
      </c>
      <c r="H805" s="2" t="n">
        <v>1758</v>
      </c>
      <c r="I805" s="2" t="n">
        <v>1758</v>
      </c>
      <c r="J805" s="2" t="n">
        <v>1403</v>
      </c>
      <c r="K805" s="2">
        <f>H805+5&gt;D805</f>
        <v/>
      </c>
      <c r="L805" s="2">
        <f>J805&lt;I805</f>
        <v/>
      </c>
      <c r="M805" s="2" t="b">
        <v>1</v>
      </c>
      <c r="N805" s="2" t="b">
        <v>0</v>
      </c>
      <c r="O805" s="2" t="inlineStr">
        <is>
          <t>unknown</t>
        </is>
      </c>
      <c r="P805" s="2">
        <f>O805&lt;&gt;"unknown"</f>
        <v/>
      </c>
    </row>
    <row r="806">
      <c r="A806" s="2" t="inlineStr">
        <is>
          <t>1460-on</t>
        </is>
      </c>
      <c r="B806" s="2" t="n">
        <v>1460</v>
      </c>
      <c r="C806" s="2" t="inlineStr">
        <is>
          <t>on</t>
        </is>
      </c>
      <c r="D806" s="2" t="n">
        <v>1408</v>
      </c>
      <c r="E806" s="2" t="inlineStr">
        <is>
          <t>browser chrome150</t>
        </is>
      </c>
      <c r="F806" s="2" t="b">
        <v>1</v>
      </c>
      <c r="G806" s="2" t="n">
        <v>5</v>
      </c>
      <c r="H806" s="2" t="n">
        <v>1726</v>
      </c>
      <c r="I806" s="2" t="n">
        <v>1726</v>
      </c>
      <c r="J806" s="2" t="n">
        <v>1403</v>
      </c>
      <c r="K806" s="2">
        <f>H806+5&gt;D806</f>
        <v/>
      </c>
      <c r="L806" s="2">
        <f>J806&lt;I806</f>
        <v/>
      </c>
      <c r="M806" s="2" t="b">
        <v>1</v>
      </c>
      <c r="N806" s="2" t="b">
        <v>0</v>
      </c>
      <c r="O806" s="2" t="inlineStr">
        <is>
          <t>unknown</t>
        </is>
      </c>
      <c r="P806" s="2">
        <f>O806&lt;&gt;"unknown"</f>
        <v/>
      </c>
    </row>
    <row r="807">
      <c r="A807" s="2" t="inlineStr">
        <is>
          <t>1460-on</t>
        </is>
      </c>
      <c r="B807" s="2" t="n">
        <v>1460</v>
      </c>
      <c r="C807" s="2" t="inlineStr">
        <is>
          <t>on</t>
        </is>
      </c>
      <c r="D807" s="2" t="n">
        <v>1408</v>
      </c>
      <c r="E807" s="2" t="inlineStr">
        <is>
          <t>browser edge101</t>
        </is>
      </c>
      <c r="F807" s="2" t="b">
        <v>0</v>
      </c>
      <c r="G807" s="2" t="n">
        <v>1</v>
      </c>
      <c r="H807" s="2" t="n">
        <v>512</v>
      </c>
      <c r="I807" s="2" t="n">
        <v>512</v>
      </c>
      <c r="J807" s="2" t="n">
        <v>512</v>
      </c>
      <c r="K807" s="2">
        <f>H807+5&gt;D807</f>
        <v/>
      </c>
      <c r="L807" s="2">
        <f>J807&lt;I807</f>
        <v/>
      </c>
      <c r="M807" s="2" t="b">
        <v>1</v>
      </c>
      <c r="N807" s="2" t="b">
        <v>1</v>
      </c>
      <c r="O807" s="2" t="inlineStr">
        <is>
          <t>allow</t>
        </is>
      </c>
      <c r="P807" s="2">
        <f>O807&lt;&gt;"unknown"</f>
        <v/>
      </c>
    </row>
    <row r="808">
      <c r="A808" s="2" t="inlineStr">
        <is>
          <t>1460-on</t>
        </is>
      </c>
      <c r="B808" s="2" t="n">
        <v>1460</v>
      </c>
      <c r="C808" s="2" t="inlineStr">
        <is>
          <t>on</t>
        </is>
      </c>
      <c r="D808" s="2" t="n">
        <v>1408</v>
      </c>
      <c r="E808" s="2" t="inlineStr">
        <is>
          <t>browser edge101</t>
        </is>
      </c>
      <c r="F808" s="2" t="b">
        <v>0</v>
      </c>
      <c r="G808" s="2" t="n">
        <v>2</v>
      </c>
      <c r="H808" s="2" t="n">
        <v>512</v>
      </c>
      <c r="I808" s="2" t="n">
        <v>512</v>
      </c>
      <c r="J808" s="2" t="n">
        <v>512</v>
      </c>
      <c r="K808" s="2">
        <f>H808+5&gt;D808</f>
        <v/>
      </c>
      <c r="L808" s="2">
        <f>J808&lt;I808</f>
        <v/>
      </c>
      <c r="M808" s="2" t="b">
        <v>1</v>
      </c>
      <c r="N808" s="2" t="b">
        <v>1</v>
      </c>
      <c r="O808" s="2" t="inlineStr">
        <is>
          <t>allow</t>
        </is>
      </c>
      <c r="P808" s="2">
        <f>O808&lt;&gt;"unknown"</f>
        <v/>
      </c>
    </row>
    <row r="809">
      <c r="A809" s="2" t="inlineStr">
        <is>
          <t>1460-on</t>
        </is>
      </c>
      <c r="B809" s="2" t="n">
        <v>1460</v>
      </c>
      <c r="C809" s="2" t="inlineStr">
        <is>
          <t>on</t>
        </is>
      </c>
      <c r="D809" s="2" t="n">
        <v>1408</v>
      </c>
      <c r="E809" s="2" t="inlineStr">
        <is>
          <t>browser edge101</t>
        </is>
      </c>
      <c r="F809" s="2" t="b">
        <v>0</v>
      </c>
      <c r="G809" s="2" t="n">
        <v>3</v>
      </c>
      <c r="H809" s="2" t="n">
        <v>512</v>
      </c>
      <c r="I809" s="2" t="n">
        <v>512</v>
      </c>
      <c r="J809" s="2" t="n">
        <v>512</v>
      </c>
      <c r="K809" s="2">
        <f>H809+5&gt;D809</f>
        <v/>
      </c>
      <c r="L809" s="2">
        <f>J809&lt;I809</f>
        <v/>
      </c>
      <c r="M809" s="2" t="b">
        <v>1</v>
      </c>
      <c r="N809" s="2" t="b">
        <v>1</v>
      </c>
      <c r="O809" s="2" t="inlineStr">
        <is>
          <t>allow</t>
        </is>
      </c>
      <c r="P809" s="2">
        <f>O809&lt;&gt;"unknown"</f>
        <v/>
      </c>
    </row>
    <row r="810">
      <c r="A810" s="2" t="inlineStr">
        <is>
          <t>1460-on</t>
        </is>
      </c>
      <c r="B810" s="2" t="n">
        <v>1460</v>
      </c>
      <c r="C810" s="2" t="inlineStr">
        <is>
          <t>on</t>
        </is>
      </c>
      <c r="D810" s="2" t="n">
        <v>1408</v>
      </c>
      <c r="E810" s="2" t="inlineStr">
        <is>
          <t>browser edge101</t>
        </is>
      </c>
      <c r="F810" s="2" t="b">
        <v>0</v>
      </c>
      <c r="G810" s="2" t="n">
        <v>4</v>
      </c>
      <c r="H810" s="2" t="n">
        <v>512</v>
      </c>
      <c r="I810" s="2" t="n">
        <v>512</v>
      </c>
      <c r="J810" s="2" t="n">
        <v>512</v>
      </c>
      <c r="K810" s="2">
        <f>H810+5&gt;D810</f>
        <v/>
      </c>
      <c r="L810" s="2">
        <f>J810&lt;I810</f>
        <v/>
      </c>
      <c r="M810" s="2" t="b">
        <v>1</v>
      </c>
      <c r="N810" s="2" t="b">
        <v>1</v>
      </c>
      <c r="O810" s="2" t="inlineStr">
        <is>
          <t>allow</t>
        </is>
      </c>
      <c r="P810" s="2">
        <f>O810&lt;&gt;"unknown"</f>
        <v/>
      </c>
    </row>
    <row r="811">
      <c r="A811" s="2" t="inlineStr">
        <is>
          <t>1460-on</t>
        </is>
      </c>
      <c r="B811" s="2" t="n">
        <v>1460</v>
      </c>
      <c r="C811" s="2" t="inlineStr">
        <is>
          <t>on</t>
        </is>
      </c>
      <c r="D811" s="2" t="n">
        <v>1408</v>
      </c>
      <c r="E811" s="2" t="inlineStr">
        <is>
          <t>browser edge101</t>
        </is>
      </c>
      <c r="F811" s="2" t="b">
        <v>0</v>
      </c>
      <c r="G811" s="2" t="n">
        <v>5</v>
      </c>
      <c r="H811" s="2" t="n">
        <v>512</v>
      </c>
      <c r="I811" s="2" t="n">
        <v>512</v>
      </c>
      <c r="J811" s="2" t="n">
        <v>512</v>
      </c>
      <c r="K811" s="2">
        <f>H811+5&gt;D811</f>
        <v/>
      </c>
      <c r="L811" s="2">
        <f>J811&lt;I811</f>
        <v/>
      </c>
      <c r="M811" s="2" t="b">
        <v>1</v>
      </c>
      <c r="N811" s="2" t="b">
        <v>1</v>
      </c>
      <c r="O811" s="2" t="inlineStr">
        <is>
          <t>allow</t>
        </is>
      </c>
      <c r="P811" s="2">
        <f>O811&lt;&gt;"unknown"</f>
        <v/>
      </c>
    </row>
    <row r="812">
      <c r="A812" s="2" t="inlineStr">
        <is>
          <t>1460-on</t>
        </is>
      </c>
      <c r="B812" s="2" t="n">
        <v>1460</v>
      </c>
      <c r="C812" s="2" t="inlineStr">
        <is>
          <t>on</t>
        </is>
      </c>
      <c r="D812" s="2" t="n">
        <v>1408</v>
      </c>
      <c r="E812" s="2" t="inlineStr">
        <is>
          <t>browser firefox133</t>
        </is>
      </c>
      <c r="F812" s="2" t="b">
        <v>1</v>
      </c>
      <c r="G812" s="2" t="n">
        <v>1</v>
      </c>
      <c r="H812" s="2" t="n">
        <v>1860</v>
      </c>
      <c r="I812" s="2" t="n">
        <v>1860</v>
      </c>
      <c r="J812" s="2" t="n">
        <v>1403</v>
      </c>
      <c r="K812" s="2">
        <f>H812+5&gt;D812</f>
        <v/>
      </c>
      <c r="L812" s="2">
        <f>J812&lt;I812</f>
        <v/>
      </c>
      <c r="M812" s="2" t="b">
        <v>1</v>
      </c>
      <c r="N812" s="2" t="b">
        <v>0</v>
      </c>
      <c r="O812" s="2" t="inlineStr">
        <is>
          <t>unknown</t>
        </is>
      </c>
      <c r="P812" s="2">
        <f>O812&lt;&gt;"unknown"</f>
        <v/>
      </c>
    </row>
    <row r="813">
      <c r="A813" s="2" t="inlineStr">
        <is>
          <t>1460-on</t>
        </is>
      </c>
      <c r="B813" s="2" t="n">
        <v>1460</v>
      </c>
      <c r="C813" s="2" t="inlineStr">
        <is>
          <t>on</t>
        </is>
      </c>
      <c r="D813" s="2" t="n">
        <v>1408</v>
      </c>
      <c r="E813" s="2" t="inlineStr">
        <is>
          <t>browser firefox133</t>
        </is>
      </c>
      <c r="F813" s="2" t="b">
        <v>1</v>
      </c>
      <c r="G813" s="2" t="n">
        <v>2</v>
      </c>
      <c r="H813" s="2" t="n">
        <v>1796</v>
      </c>
      <c r="I813" s="2" t="n">
        <v>1796</v>
      </c>
      <c r="J813" s="2" t="n">
        <v>1403</v>
      </c>
      <c r="K813" s="2">
        <f>H813+5&gt;D813</f>
        <v/>
      </c>
      <c r="L813" s="2">
        <f>J813&lt;I813</f>
        <v/>
      </c>
      <c r="M813" s="2" t="b">
        <v>1</v>
      </c>
      <c r="N813" s="2" t="b">
        <v>0</v>
      </c>
      <c r="O813" s="2" t="inlineStr">
        <is>
          <t>unknown</t>
        </is>
      </c>
      <c r="P813" s="2">
        <f>O813&lt;&gt;"unknown"</f>
        <v/>
      </c>
    </row>
    <row r="814">
      <c r="A814" s="2" t="inlineStr">
        <is>
          <t>1460-on</t>
        </is>
      </c>
      <c r="B814" s="2" t="n">
        <v>1460</v>
      </c>
      <c r="C814" s="2" t="inlineStr">
        <is>
          <t>on</t>
        </is>
      </c>
      <c r="D814" s="2" t="n">
        <v>1408</v>
      </c>
      <c r="E814" s="2" t="inlineStr">
        <is>
          <t>browser firefox133</t>
        </is>
      </c>
      <c r="F814" s="2" t="b">
        <v>1</v>
      </c>
      <c r="G814" s="2" t="n">
        <v>3</v>
      </c>
      <c r="H814" s="2" t="n">
        <v>1796</v>
      </c>
      <c r="I814" s="2" t="n">
        <v>1796</v>
      </c>
      <c r="J814" s="2" t="n">
        <v>1403</v>
      </c>
      <c r="K814" s="2">
        <f>H814+5&gt;D814</f>
        <v/>
      </c>
      <c r="L814" s="2">
        <f>J814&lt;I814</f>
        <v/>
      </c>
      <c r="M814" s="2" t="b">
        <v>1</v>
      </c>
      <c r="N814" s="2" t="b">
        <v>0</v>
      </c>
      <c r="O814" s="2" t="inlineStr">
        <is>
          <t>unknown</t>
        </is>
      </c>
      <c r="P814" s="2">
        <f>O814&lt;&gt;"unknown"</f>
        <v/>
      </c>
    </row>
    <row r="815">
      <c r="A815" s="2" t="inlineStr">
        <is>
          <t>1460-on</t>
        </is>
      </c>
      <c r="B815" s="2" t="n">
        <v>1460</v>
      </c>
      <c r="C815" s="2" t="inlineStr">
        <is>
          <t>on</t>
        </is>
      </c>
      <c r="D815" s="2" t="n">
        <v>1408</v>
      </c>
      <c r="E815" s="2" t="inlineStr">
        <is>
          <t>browser firefox133</t>
        </is>
      </c>
      <c r="F815" s="2" t="b">
        <v>1</v>
      </c>
      <c r="G815" s="2" t="n">
        <v>4</v>
      </c>
      <c r="H815" s="2" t="n">
        <v>1892</v>
      </c>
      <c r="I815" s="2" t="n">
        <v>1892</v>
      </c>
      <c r="J815" s="2" t="n">
        <v>1403</v>
      </c>
      <c r="K815" s="2">
        <f>H815+5&gt;D815</f>
        <v/>
      </c>
      <c r="L815" s="2">
        <f>J815&lt;I815</f>
        <v/>
      </c>
      <c r="M815" s="2" t="b">
        <v>1</v>
      </c>
      <c r="N815" s="2" t="b">
        <v>0</v>
      </c>
      <c r="O815" s="2" t="inlineStr">
        <is>
          <t>unknown</t>
        </is>
      </c>
      <c r="P815" s="2">
        <f>O815&lt;&gt;"unknown"</f>
        <v/>
      </c>
    </row>
    <row r="816">
      <c r="A816" s="2" t="inlineStr">
        <is>
          <t>1460-on</t>
        </is>
      </c>
      <c r="B816" s="2" t="n">
        <v>1460</v>
      </c>
      <c r="C816" s="2" t="inlineStr">
        <is>
          <t>on</t>
        </is>
      </c>
      <c r="D816" s="2" t="n">
        <v>1408</v>
      </c>
      <c r="E816" s="2" t="inlineStr">
        <is>
          <t>browser firefox133</t>
        </is>
      </c>
      <c r="F816" s="2" t="b">
        <v>1</v>
      </c>
      <c r="G816" s="2" t="n">
        <v>5</v>
      </c>
      <c r="H816" s="2" t="n">
        <v>1892</v>
      </c>
      <c r="I816" s="2" t="n">
        <v>1892</v>
      </c>
      <c r="J816" s="2" t="n">
        <v>1403</v>
      </c>
      <c r="K816" s="2">
        <f>H816+5&gt;D816</f>
        <v/>
      </c>
      <c r="L816" s="2">
        <f>J816&lt;I816</f>
        <v/>
      </c>
      <c r="M816" s="2" t="b">
        <v>1</v>
      </c>
      <c r="N816" s="2" t="b">
        <v>0</v>
      </c>
      <c r="O816" s="2" t="inlineStr">
        <is>
          <t>unknown</t>
        </is>
      </c>
      <c r="P816" s="2">
        <f>O816&lt;&gt;"unknown"</f>
        <v/>
      </c>
    </row>
    <row r="817">
      <c r="A817" s="2" t="inlineStr">
        <is>
          <t>1460-on</t>
        </is>
      </c>
      <c r="B817" s="2" t="n">
        <v>1460</v>
      </c>
      <c r="C817" s="2" t="inlineStr">
        <is>
          <t>on</t>
        </is>
      </c>
      <c r="D817" s="2" t="n">
        <v>1408</v>
      </c>
      <c r="E817" s="2" t="inlineStr">
        <is>
          <t>browser firefox147</t>
        </is>
      </c>
      <c r="F817" s="2" t="b">
        <v>1</v>
      </c>
      <c r="G817" s="2" t="n">
        <v>1</v>
      </c>
      <c r="H817" s="2" t="n">
        <v>1864</v>
      </c>
      <c r="I817" s="2" t="n">
        <v>1864</v>
      </c>
      <c r="J817" s="2" t="n">
        <v>1403</v>
      </c>
      <c r="K817" s="2">
        <f>H817+5&gt;D817</f>
        <v/>
      </c>
      <c r="L817" s="2">
        <f>J817&lt;I817</f>
        <v/>
      </c>
      <c r="M817" s="2" t="b">
        <v>1</v>
      </c>
      <c r="N817" s="2" t="b">
        <v>0</v>
      </c>
      <c r="O817" s="2" t="inlineStr">
        <is>
          <t>unknown</t>
        </is>
      </c>
      <c r="P817" s="2">
        <f>O817&lt;&gt;"unknown"</f>
        <v/>
      </c>
    </row>
    <row r="818">
      <c r="A818" s="2" t="inlineStr">
        <is>
          <t>1460-on</t>
        </is>
      </c>
      <c r="B818" s="2" t="n">
        <v>1460</v>
      </c>
      <c r="C818" s="2" t="inlineStr">
        <is>
          <t>on</t>
        </is>
      </c>
      <c r="D818" s="2" t="n">
        <v>1408</v>
      </c>
      <c r="E818" s="2" t="inlineStr">
        <is>
          <t>browser firefox147</t>
        </is>
      </c>
      <c r="F818" s="2" t="b">
        <v>1</v>
      </c>
      <c r="G818" s="2" t="n">
        <v>2</v>
      </c>
      <c r="H818" s="2" t="n">
        <v>1832</v>
      </c>
      <c r="I818" s="2" t="n">
        <v>1832</v>
      </c>
      <c r="J818" s="2" t="n">
        <v>1403</v>
      </c>
      <c r="K818" s="2">
        <f>H818+5&gt;D818</f>
        <v/>
      </c>
      <c r="L818" s="2">
        <f>J818&lt;I818</f>
        <v/>
      </c>
      <c r="M818" s="2" t="b">
        <v>1</v>
      </c>
      <c r="N818" s="2" t="b">
        <v>0</v>
      </c>
      <c r="O818" s="2" t="inlineStr">
        <is>
          <t>unknown</t>
        </is>
      </c>
      <c r="P818" s="2">
        <f>O818&lt;&gt;"unknown"</f>
        <v/>
      </c>
    </row>
    <row r="819">
      <c r="A819" s="2" t="inlineStr">
        <is>
          <t>1460-on</t>
        </is>
      </c>
      <c r="B819" s="2" t="n">
        <v>1460</v>
      </c>
      <c r="C819" s="2" t="inlineStr">
        <is>
          <t>on</t>
        </is>
      </c>
      <c r="D819" s="2" t="n">
        <v>1408</v>
      </c>
      <c r="E819" s="2" t="inlineStr">
        <is>
          <t>browser firefox147</t>
        </is>
      </c>
      <c r="F819" s="2" t="b">
        <v>1</v>
      </c>
      <c r="G819" s="2" t="n">
        <v>3</v>
      </c>
      <c r="H819" s="2" t="n">
        <v>1800</v>
      </c>
      <c r="I819" s="2" t="n">
        <v>1800</v>
      </c>
      <c r="J819" s="2" t="n">
        <v>1403</v>
      </c>
      <c r="K819" s="2">
        <f>H819+5&gt;D819</f>
        <v/>
      </c>
      <c r="L819" s="2">
        <f>J819&lt;I819</f>
        <v/>
      </c>
      <c r="M819" s="2" t="b">
        <v>1</v>
      </c>
      <c r="N819" s="2" t="b">
        <v>0</v>
      </c>
      <c r="O819" s="2" t="inlineStr">
        <is>
          <t>unknown</t>
        </is>
      </c>
      <c r="P819" s="2">
        <f>O819&lt;&gt;"unknown"</f>
        <v/>
      </c>
    </row>
    <row r="820">
      <c r="A820" s="2" t="inlineStr">
        <is>
          <t>1460-on</t>
        </is>
      </c>
      <c r="B820" s="2" t="n">
        <v>1460</v>
      </c>
      <c r="C820" s="2" t="inlineStr">
        <is>
          <t>on</t>
        </is>
      </c>
      <c r="D820" s="2" t="n">
        <v>1408</v>
      </c>
      <c r="E820" s="2" t="inlineStr">
        <is>
          <t>browser firefox147</t>
        </is>
      </c>
      <c r="F820" s="2" t="b">
        <v>1</v>
      </c>
      <c r="G820" s="2" t="n">
        <v>4</v>
      </c>
      <c r="H820" s="2" t="n">
        <v>1832</v>
      </c>
      <c r="I820" s="2" t="n">
        <v>1832</v>
      </c>
      <c r="J820" s="2" t="n">
        <v>1403</v>
      </c>
      <c r="K820" s="2">
        <f>H820+5&gt;D820</f>
        <v/>
      </c>
      <c r="L820" s="2">
        <f>J820&lt;I820</f>
        <v/>
      </c>
      <c r="M820" s="2" t="b">
        <v>1</v>
      </c>
      <c r="N820" s="2" t="b">
        <v>0</v>
      </c>
      <c r="O820" s="2" t="inlineStr">
        <is>
          <t>unknown</t>
        </is>
      </c>
      <c r="P820" s="2">
        <f>O820&lt;&gt;"unknown"</f>
        <v/>
      </c>
    </row>
    <row r="821">
      <c r="A821" s="2" t="inlineStr">
        <is>
          <t>1460-on</t>
        </is>
      </c>
      <c r="B821" s="2" t="n">
        <v>1460</v>
      </c>
      <c r="C821" s="2" t="inlineStr">
        <is>
          <t>on</t>
        </is>
      </c>
      <c r="D821" s="2" t="n">
        <v>1408</v>
      </c>
      <c r="E821" s="2" t="inlineStr">
        <is>
          <t>browser firefox147</t>
        </is>
      </c>
      <c r="F821" s="2" t="b">
        <v>1</v>
      </c>
      <c r="G821" s="2" t="n">
        <v>5</v>
      </c>
      <c r="H821" s="2" t="n">
        <v>1864</v>
      </c>
      <c r="I821" s="2" t="n">
        <v>1864</v>
      </c>
      <c r="J821" s="2" t="n">
        <v>1403</v>
      </c>
      <c r="K821" s="2">
        <f>H821+5&gt;D821</f>
        <v/>
      </c>
      <c r="L821" s="2">
        <f>J821&lt;I821</f>
        <v/>
      </c>
      <c r="M821" s="2" t="b">
        <v>1</v>
      </c>
      <c r="N821" s="2" t="b">
        <v>0</v>
      </c>
      <c r="O821" s="2" t="inlineStr">
        <is>
          <t>unknown</t>
        </is>
      </c>
      <c r="P821" s="2">
        <f>O821&lt;&gt;"unknown"</f>
        <v/>
      </c>
    </row>
    <row r="822">
      <c r="A822" s="2" t="inlineStr">
        <is>
          <t>1460-on</t>
        </is>
      </c>
      <c r="B822" s="2" t="n">
        <v>1460</v>
      </c>
      <c r="C822" s="2" t="inlineStr">
        <is>
          <t>on</t>
        </is>
      </c>
      <c r="D822" s="2" t="n">
        <v>1408</v>
      </c>
      <c r="E822" s="2" t="inlineStr">
        <is>
          <t>browser safari184</t>
        </is>
      </c>
      <c r="F822" s="2" t="b">
        <v>0</v>
      </c>
      <c r="G822" s="2" t="n">
        <v>1</v>
      </c>
      <c r="H822" s="2" t="n">
        <v>512</v>
      </c>
      <c r="I822" s="2" t="n">
        <v>512</v>
      </c>
      <c r="J822" s="2" t="n">
        <v>512</v>
      </c>
      <c r="K822" s="2">
        <f>H822+5&gt;D822</f>
        <v/>
      </c>
      <c r="L822" s="2">
        <f>J822&lt;I822</f>
        <v/>
      </c>
      <c r="M822" s="2" t="b">
        <v>1</v>
      </c>
      <c r="N822" s="2" t="b">
        <v>1</v>
      </c>
      <c r="O822" s="2" t="inlineStr">
        <is>
          <t>violation</t>
        </is>
      </c>
      <c r="P822" s="2">
        <f>O822&lt;&gt;"unknown"</f>
        <v/>
      </c>
    </row>
    <row r="823">
      <c r="A823" s="2" t="inlineStr">
        <is>
          <t>1460-on</t>
        </is>
      </c>
      <c r="B823" s="2" t="n">
        <v>1460</v>
      </c>
      <c r="C823" s="2" t="inlineStr">
        <is>
          <t>on</t>
        </is>
      </c>
      <c r="D823" s="2" t="n">
        <v>1408</v>
      </c>
      <c r="E823" s="2" t="inlineStr">
        <is>
          <t>browser safari184</t>
        </is>
      </c>
      <c r="F823" s="2" t="b">
        <v>0</v>
      </c>
      <c r="G823" s="2" t="n">
        <v>2</v>
      </c>
      <c r="H823" s="2" t="n">
        <v>512</v>
      </c>
      <c r="I823" s="2" t="n">
        <v>512</v>
      </c>
      <c r="J823" s="2" t="n">
        <v>512</v>
      </c>
      <c r="K823" s="2">
        <f>H823+5&gt;D823</f>
        <v/>
      </c>
      <c r="L823" s="2">
        <f>J823&lt;I823</f>
        <v/>
      </c>
      <c r="M823" s="2" t="b">
        <v>1</v>
      </c>
      <c r="N823" s="2" t="b">
        <v>1</v>
      </c>
      <c r="O823" s="2" t="inlineStr">
        <is>
          <t>violation</t>
        </is>
      </c>
      <c r="P823" s="2">
        <f>O823&lt;&gt;"unknown"</f>
        <v/>
      </c>
    </row>
    <row r="824">
      <c r="A824" s="2" t="inlineStr">
        <is>
          <t>1460-on</t>
        </is>
      </c>
      <c r="B824" s="2" t="n">
        <v>1460</v>
      </c>
      <c r="C824" s="2" t="inlineStr">
        <is>
          <t>on</t>
        </is>
      </c>
      <c r="D824" s="2" t="n">
        <v>1408</v>
      </c>
      <c r="E824" s="2" t="inlineStr">
        <is>
          <t>browser safari184</t>
        </is>
      </c>
      <c r="F824" s="2" t="b">
        <v>0</v>
      </c>
      <c r="G824" s="2" t="n">
        <v>3</v>
      </c>
      <c r="H824" s="2" t="n">
        <v>512</v>
      </c>
      <c r="I824" s="2" t="n">
        <v>512</v>
      </c>
      <c r="J824" s="2" t="n">
        <v>512</v>
      </c>
      <c r="K824" s="2">
        <f>H824+5&gt;D824</f>
        <v/>
      </c>
      <c r="L824" s="2">
        <f>J824&lt;I824</f>
        <v/>
      </c>
      <c r="M824" s="2" t="b">
        <v>1</v>
      </c>
      <c r="N824" s="2" t="b">
        <v>1</v>
      </c>
      <c r="O824" s="2" t="inlineStr">
        <is>
          <t>violation</t>
        </is>
      </c>
      <c r="P824" s="2">
        <f>O824&lt;&gt;"unknown"</f>
        <v/>
      </c>
    </row>
    <row r="825">
      <c r="A825" s="2" t="inlineStr">
        <is>
          <t>1460-on</t>
        </is>
      </c>
      <c r="B825" s="2" t="n">
        <v>1460</v>
      </c>
      <c r="C825" s="2" t="inlineStr">
        <is>
          <t>on</t>
        </is>
      </c>
      <c r="D825" s="2" t="n">
        <v>1408</v>
      </c>
      <c r="E825" s="2" t="inlineStr">
        <is>
          <t>browser safari184</t>
        </is>
      </c>
      <c r="F825" s="2" t="b">
        <v>0</v>
      </c>
      <c r="G825" s="2" t="n">
        <v>4</v>
      </c>
      <c r="H825" s="2" t="n">
        <v>512</v>
      </c>
      <c r="I825" s="2" t="n">
        <v>512</v>
      </c>
      <c r="J825" s="2" t="n">
        <v>512</v>
      </c>
      <c r="K825" s="2">
        <f>H825+5&gt;D825</f>
        <v/>
      </c>
      <c r="L825" s="2">
        <f>J825&lt;I825</f>
        <v/>
      </c>
      <c r="M825" s="2" t="b">
        <v>1</v>
      </c>
      <c r="N825" s="2" t="b">
        <v>1</v>
      </c>
      <c r="O825" s="2" t="inlineStr">
        <is>
          <t>violation</t>
        </is>
      </c>
      <c r="P825" s="2">
        <f>O825&lt;&gt;"unknown"</f>
        <v/>
      </c>
    </row>
    <row r="826">
      <c r="A826" s="2" t="inlineStr">
        <is>
          <t>1460-on</t>
        </is>
      </c>
      <c r="B826" s="2" t="n">
        <v>1460</v>
      </c>
      <c r="C826" s="2" t="inlineStr">
        <is>
          <t>on</t>
        </is>
      </c>
      <c r="D826" s="2" t="n">
        <v>1408</v>
      </c>
      <c r="E826" s="2" t="inlineStr">
        <is>
          <t>browser safari184</t>
        </is>
      </c>
      <c r="F826" s="2" t="b">
        <v>0</v>
      </c>
      <c r="G826" s="2" t="n">
        <v>5</v>
      </c>
      <c r="H826" s="2" t="n">
        <v>512</v>
      </c>
      <c r="I826" s="2" t="n">
        <v>512</v>
      </c>
      <c r="J826" s="2" t="n">
        <v>512</v>
      </c>
      <c r="K826" s="2">
        <f>H826+5&gt;D826</f>
        <v/>
      </c>
      <c r="L826" s="2">
        <f>J826&lt;I826</f>
        <v/>
      </c>
      <c r="M826" s="2" t="b">
        <v>1</v>
      </c>
      <c r="N826" s="2" t="b">
        <v>1</v>
      </c>
      <c r="O826" s="2" t="inlineStr">
        <is>
          <t>violation</t>
        </is>
      </c>
      <c r="P826" s="2">
        <f>O826&lt;&gt;"unknown"</f>
        <v/>
      </c>
    </row>
    <row r="827">
      <c r="A827" s="2" t="inlineStr">
        <is>
          <t>1460-on</t>
        </is>
      </c>
      <c r="B827" s="2" t="n">
        <v>1460</v>
      </c>
      <c r="C827" s="2" t="inlineStr">
        <is>
          <t>on</t>
        </is>
      </c>
      <c r="D827" s="2" t="n">
        <v>1408</v>
      </c>
      <c r="E827" s="2" t="inlineStr">
        <is>
          <t>browser safari260</t>
        </is>
      </c>
      <c r="F827" s="2" t="b">
        <v>1</v>
      </c>
      <c r="G827" s="2" t="n">
        <v>1</v>
      </c>
      <c r="H827" s="2" t="n">
        <v>1537</v>
      </c>
      <c r="I827" s="2" t="n">
        <v>1537</v>
      </c>
      <c r="J827" s="2" t="n">
        <v>1403</v>
      </c>
      <c r="K827" s="2">
        <f>H827+5&gt;D827</f>
        <v/>
      </c>
      <c r="L827" s="2">
        <f>J827&lt;I827</f>
        <v/>
      </c>
      <c r="M827" s="2" t="b">
        <v>1</v>
      </c>
      <c r="N827" s="2" t="b">
        <v>0</v>
      </c>
      <c r="O827" s="2" t="inlineStr">
        <is>
          <t>unknown</t>
        </is>
      </c>
      <c r="P827" s="2">
        <f>O827&lt;&gt;"unknown"</f>
        <v/>
      </c>
    </row>
    <row r="828">
      <c r="A828" s="2" t="inlineStr">
        <is>
          <t>1460-on</t>
        </is>
      </c>
      <c r="B828" s="2" t="n">
        <v>1460</v>
      </c>
      <c r="C828" s="2" t="inlineStr">
        <is>
          <t>on</t>
        </is>
      </c>
      <c r="D828" s="2" t="n">
        <v>1408</v>
      </c>
      <c r="E828" s="2" t="inlineStr">
        <is>
          <t>browser safari260</t>
        </is>
      </c>
      <c r="F828" s="2" t="b">
        <v>1</v>
      </c>
      <c r="G828" s="2" t="n">
        <v>2</v>
      </c>
      <c r="H828" s="2" t="n">
        <v>1537</v>
      </c>
      <c r="I828" s="2" t="n">
        <v>1537</v>
      </c>
      <c r="J828" s="2" t="n">
        <v>1403</v>
      </c>
      <c r="K828" s="2">
        <f>H828+5&gt;D828</f>
        <v/>
      </c>
      <c r="L828" s="2">
        <f>J828&lt;I828</f>
        <v/>
      </c>
      <c r="M828" s="2" t="b">
        <v>1</v>
      </c>
      <c r="N828" s="2" t="b">
        <v>0</v>
      </c>
      <c r="O828" s="2" t="inlineStr">
        <is>
          <t>unknown</t>
        </is>
      </c>
      <c r="P828" s="2">
        <f>O828&lt;&gt;"unknown"</f>
        <v/>
      </c>
    </row>
    <row r="829">
      <c r="A829" s="2" t="inlineStr">
        <is>
          <t>1460-on</t>
        </is>
      </c>
      <c r="B829" s="2" t="n">
        <v>1460</v>
      </c>
      <c r="C829" s="2" t="inlineStr">
        <is>
          <t>on</t>
        </is>
      </c>
      <c r="D829" s="2" t="n">
        <v>1408</v>
      </c>
      <c r="E829" s="2" t="inlineStr">
        <is>
          <t>browser safari260</t>
        </is>
      </c>
      <c r="F829" s="2" t="b">
        <v>1</v>
      </c>
      <c r="G829" s="2" t="n">
        <v>3</v>
      </c>
      <c r="H829" s="2" t="n">
        <v>1537</v>
      </c>
      <c r="I829" s="2" t="n">
        <v>1537</v>
      </c>
      <c r="J829" s="2" t="n">
        <v>1403</v>
      </c>
      <c r="K829" s="2">
        <f>H829+5&gt;D829</f>
        <v/>
      </c>
      <c r="L829" s="2">
        <f>J829&lt;I829</f>
        <v/>
      </c>
      <c r="M829" s="2" t="b">
        <v>1</v>
      </c>
      <c r="N829" s="2" t="b">
        <v>0</v>
      </c>
      <c r="O829" s="2" t="inlineStr">
        <is>
          <t>unknown</t>
        </is>
      </c>
      <c r="P829" s="2">
        <f>O829&lt;&gt;"unknown"</f>
        <v/>
      </c>
    </row>
    <row r="830">
      <c r="A830" s="2" t="inlineStr">
        <is>
          <t>1460-on</t>
        </is>
      </c>
      <c r="B830" s="2" t="n">
        <v>1460</v>
      </c>
      <c r="C830" s="2" t="inlineStr">
        <is>
          <t>on</t>
        </is>
      </c>
      <c r="D830" s="2" t="n">
        <v>1408</v>
      </c>
      <c r="E830" s="2" t="inlineStr">
        <is>
          <t>browser safari260</t>
        </is>
      </c>
      <c r="F830" s="2" t="b">
        <v>1</v>
      </c>
      <c r="G830" s="2" t="n">
        <v>4</v>
      </c>
      <c r="H830" s="2" t="n">
        <v>1537</v>
      </c>
      <c r="I830" s="2" t="n">
        <v>1537</v>
      </c>
      <c r="J830" s="2" t="n">
        <v>1403</v>
      </c>
      <c r="K830" s="2">
        <f>H830+5&gt;D830</f>
        <v/>
      </c>
      <c r="L830" s="2">
        <f>J830&lt;I830</f>
        <v/>
      </c>
      <c r="M830" s="2" t="b">
        <v>1</v>
      </c>
      <c r="N830" s="2" t="b">
        <v>0</v>
      </c>
      <c r="O830" s="2" t="inlineStr">
        <is>
          <t>unknown</t>
        </is>
      </c>
      <c r="P830" s="2">
        <f>O830&lt;&gt;"unknown"</f>
        <v/>
      </c>
    </row>
    <row r="831">
      <c r="A831" s="2" t="inlineStr">
        <is>
          <t>1460-on</t>
        </is>
      </c>
      <c r="B831" s="2" t="n">
        <v>1460</v>
      </c>
      <c r="C831" s="2" t="inlineStr">
        <is>
          <t>on</t>
        </is>
      </c>
      <c r="D831" s="2" t="n">
        <v>1408</v>
      </c>
      <c r="E831" s="2" t="inlineStr">
        <is>
          <t>browser safari260</t>
        </is>
      </c>
      <c r="F831" s="2" t="b">
        <v>1</v>
      </c>
      <c r="G831" s="2" t="n">
        <v>5</v>
      </c>
      <c r="H831" s="2" t="n">
        <v>1537</v>
      </c>
      <c r="I831" s="2" t="n">
        <v>1537</v>
      </c>
      <c r="J831" s="2" t="n">
        <v>1403</v>
      </c>
      <c r="K831" s="2">
        <f>H831+5&gt;D831</f>
        <v/>
      </c>
      <c r="L831" s="2">
        <f>J831&lt;I831</f>
        <v/>
      </c>
      <c r="M831" s="2" t="b">
        <v>1</v>
      </c>
      <c r="N831" s="2" t="b">
        <v>0</v>
      </c>
      <c r="O831" s="2" t="inlineStr">
        <is>
          <t>unknown</t>
        </is>
      </c>
      <c r="P831" s="2">
        <f>O831&lt;&gt;"unknown"</f>
        <v/>
      </c>
    </row>
    <row r="832">
      <c r="A832" s="2" t="inlineStr">
        <is>
          <t>1460-on</t>
        </is>
      </c>
      <c r="B832" s="2" t="n">
        <v>1460</v>
      </c>
      <c r="C832" s="2" t="inlineStr">
        <is>
          <t>on</t>
        </is>
      </c>
      <c r="D832" s="2" t="n">
        <v>1408</v>
      </c>
      <c r="E832" s="2" t="inlineStr">
        <is>
          <t>browser safari260_ios</t>
        </is>
      </c>
      <c r="F832" s="2" t="b">
        <v>0</v>
      </c>
      <c r="G832" s="2" t="n">
        <v>1</v>
      </c>
      <c r="H832" s="2" t="n">
        <v>512</v>
      </c>
      <c r="I832" s="2" t="n">
        <v>512</v>
      </c>
      <c r="J832" s="2" t="n">
        <v>512</v>
      </c>
      <c r="K832" s="2">
        <f>H832+5&gt;D832</f>
        <v/>
      </c>
      <c r="L832" s="2">
        <f>J832&lt;I832</f>
        <v/>
      </c>
      <c r="M832" s="2" t="b">
        <v>1</v>
      </c>
      <c r="N832" s="2" t="b">
        <v>1</v>
      </c>
      <c r="O832" s="2" t="inlineStr">
        <is>
          <t>allow</t>
        </is>
      </c>
      <c r="P832" s="2">
        <f>O832&lt;&gt;"unknown"</f>
        <v/>
      </c>
    </row>
    <row r="833">
      <c r="A833" s="2" t="inlineStr">
        <is>
          <t>1460-on</t>
        </is>
      </c>
      <c r="B833" s="2" t="n">
        <v>1460</v>
      </c>
      <c r="C833" s="2" t="inlineStr">
        <is>
          <t>on</t>
        </is>
      </c>
      <c r="D833" s="2" t="n">
        <v>1408</v>
      </c>
      <c r="E833" s="2" t="inlineStr">
        <is>
          <t>browser safari260_ios</t>
        </is>
      </c>
      <c r="F833" s="2" t="b">
        <v>0</v>
      </c>
      <c r="G833" s="2" t="n">
        <v>2</v>
      </c>
      <c r="H833" s="2" t="n">
        <v>512</v>
      </c>
      <c r="I833" s="2" t="n">
        <v>512</v>
      </c>
      <c r="J833" s="2" t="n">
        <v>512</v>
      </c>
      <c r="K833" s="2">
        <f>H833+5&gt;D833</f>
        <v/>
      </c>
      <c r="L833" s="2">
        <f>J833&lt;I833</f>
        <v/>
      </c>
      <c r="M833" s="2" t="b">
        <v>1</v>
      </c>
      <c r="N833" s="2" t="b">
        <v>1</v>
      </c>
      <c r="O833" s="2" t="inlineStr">
        <is>
          <t>allow</t>
        </is>
      </c>
      <c r="P833" s="2">
        <f>O833&lt;&gt;"unknown"</f>
        <v/>
      </c>
    </row>
    <row r="834">
      <c r="A834" s="2" t="inlineStr">
        <is>
          <t>1460-on</t>
        </is>
      </c>
      <c r="B834" s="2" t="n">
        <v>1460</v>
      </c>
      <c r="C834" s="2" t="inlineStr">
        <is>
          <t>on</t>
        </is>
      </c>
      <c r="D834" s="2" t="n">
        <v>1408</v>
      </c>
      <c r="E834" s="2" t="inlineStr">
        <is>
          <t>browser safari260_ios</t>
        </is>
      </c>
      <c r="F834" s="2" t="b">
        <v>0</v>
      </c>
      <c r="G834" s="2" t="n">
        <v>3</v>
      </c>
      <c r="H834" s="2" t="n">
        <v>512</v>
      </c>
      <c r="I834" s="2" t="n">
        <v>512</v>
      </c>
      <c r="J834" s="2" t="n">
        <v>512</v>
      </c>
      <c r="K834" s="2">
        <f>H834+5&gt;D834</f>
        <v/>
      </c>
      <c r="L834" s="2">
        <f>J834&lt;I834</f>
        <v/>
      </c>
      <c r="M834" s="2" t="b">
        <v>1</v>
      </c>
      <c r="N834" s="2" t="b">
        <v>1</v>
      </c>
      <c r="O834" s="2" t="inlineStr">
        <is>
          <t>allow</t>
        </is>
      </c>
      <c r="P834" s="2">
        <f>O834&lt;&gt;"unknown"</f>
        <v/>
      </c>
    </row>
    <row r="835">
      <c r="A835" s="2" t="inlineStr">
        <is>
          <t>1460-on</t>
        </is>
      </c>
      <c r="B835" s="2" t="n">
        <v>1460</v>
      </c>
      <c r="C835" s="2" t="inlineStr">
        <is>
          <t>on</t>
        </is>
      </c>
      <c r="D835" s="2" t="n">
        <v>1408</v>
      </c>
      <c r="E835" s="2" t="inlineStr">
        <is>
          <t>browser safari260_ios</t>
        </is>
      </c>
      <c r="F835" s="2" t="b">
        <v>0</v>
      </c>
      <c r="G835" s="2" t="n">
        <v>4</v>
      </c>
      <c r="H835" s="2" t="n">
        <v>512</v>
      </c>
      <c r="I835" s="2" t="n">
        <v>512</v>
      </c>
      <c r="J835" s="2" t="n">
        <v>512</v>
      </c>
      <c r="K835" s="2">
        <f>H835+5&gt;D835</f>
        <v/>
      </c>
      <c r="L835" s="2">
        <f>J835&lt;I835</f>
        <v/>
      </c>
      <c r="M835" s="2" t="b">
        <v>1</v>
      </c>
      <c r="N835" s="2" t="b">
        <v>1</v>
      </c>
      <c r="O835" s="2" t="inlineStr">
        <is>
          <t>allow</t>
        </is>
      </c>
      <c r="P835" s="2">
        <f>O835&lt;&gt;"unknown"</f>
        <v/>
      </c>
    </row>
    <row r="836">
      <c r="A836" s="2" t="inlineStr">
        <is>
          <t>1460-on</t>
        </is>
      </c>
      <c r="B836" s="2" t="n">
        <v>1460</v>
      </c>
      <c r="C836" s="2" t="inlineStr">
        <is>
          <t>on</t>
        </is>
      </c>
      <c r="D836" s="2" t="n">
        <v>1408</v>
      </c>
      <c r="E836" s="2" t="inlineStr">
        <is>
          <t>browser safari260_ios</t>
        </is>
      </c>
      <c r="F836" s="2" t="b">
        <v>0</v>
      </c>
      <c r="G836" s="2" t="n">
        <v>5</v>
      </c>
      <c r="H836" s="2" t="n">
        <v>512</v>
      </c>
      <c r="I836" s="2" t="n">
        <v>512</v>
      </c>
      <c r="J836" s="2" t="n">
        <v>512</v>
      </c>
      <c r="K836" s="2">
        <f>H836+5&gt;D836</f>
        <v/>
      </c>
      <c r="L836" s="2">
        <f>J836&lt;I836</f>
        <v/>
      </c>
      <c r="M836" s="2" t="b">
        <v>1</v>
      </c>
      <c r="N836" s="2" t="b">
        <v>1</v>
      </c>
      <c r="O836" s="2" t="inlineStr">
        <is>
          <t>allow</t>
        </is>
      </c>
      <c r="P836" s="2">
        <f>O836&lt;&gt;"unknown"</f>
        <v/>
      </c>
    </row>
    <row r="837">
      <c r="A837" s="2" t="inlineStr">
        <is>
          <t>1460-on</t>
        </is>
      </c>
      <c r="B837" s="2" t="n">
        <v>1460</v>
      </c>
      <c r="C837" s="2" t="inlineStr">
        <is>
          <t>on</t>
        </is>
      </c>
      <c r="D837" s="2" t="n">
        <v>1408</v>
      </c>
      <c r="E837" s="2" t="inlineStr">
        <is>
          <t>browser tor145</t>
        </is>
      </c>
      <c r="F837" s="2" t="b">
        <v>0</v>
      </c>
      <c r="G837" s="2" t="n">
        <v>1</v>
      </c>
      <c r="H837" s="2" t="n">
        <v>549</v>
      </c>
      <c r="I837" s="2" t="n">
        <v>549</v>
      </c>
      <c r="J837" s="2" t="n">
        <v>549</v>
      </c>
      <c r="K837" s="2">
        <f>H837+5&gt;D837</f>
        <v/>
      </c>
      <c r="L837" s="2">
        <f>J837&lt;I837</f>
        <v/>
      </c>
      <c r="M837" s="2" t="b">
        <v>1</v>
      </c>
      <c r="N837" s="2" t="b">
        <v>1</v>
      </c>
      <c r="O837" s="2" t="inlineStr">
        <is>
          <t>allow</t>
        </is>
      </c>
      <c r="P837" s="2">
        <f>O837&lt;&gt;"unknown"</f>
        <v/>
      </c>
    </row>
    <row r="838">
      <c r="A838" s="2" t="inlineStr">
        <is>
          <t>1460-on</t>
        </is>
      </c>
      <c r="B838" s="2" t="n">
        <v>1460</v>
      </c>
      <c r="C838" s="2" t="inlineStr">
        <is>
          <t>on</t>
        </is>
      </c>
      <c r="D838" s="2" t="n">
        <v>1408</v>
      </c>
      <c r="E838" s="2" t="inlineStr">
        <is>
          <t>browser tor145</t>
        </is>
      </c>
      <c r="F838" s="2" t="b">
        <v>0</v>
      </c>
      <c r="G838" s="2" t="n">
        <v>2</v>
      </c>
      <c r="H838" s="2" t="n">
        <v>645</v>
      </c>
      <c r="I838" s="2" t="n">
        <v>645</v>
      </c>
      <c r="J838" s="2" t="n">
        <v>645</v>
      </c>
      <c r="K838" s="2">
        <f>H838+5&gt;D838</f>
        <v/>
      </c>
      <c r="L838" s="2">
        <f>J838&lt;I838</f>
        <v/>
      </c>
      <c r="M838" s="2" t="b">
        <v>1</v>
      </c>
      <c r="N838" s="2" t="b">
        <v>1</v>
      </c>
      <c r="O838" s="2" t="inlineStr">
        <is>
          <t>allow</t>
        </is>
      </c>
      <c r="P838" s="2">
        <f>O838&lt;&gt;"unknown"</f>
        <v/>
      </c>
    </row>
    <row r="839">
      <c r="A839" s="2" t="inlineStr">
        <is>
          <t>1460-on</t>
        </is>
      </c>
      <c r="B839" s="2" t="n">
        <v>1460</v>
      </c>
      <c r="C839" s="2" t="inlineStr">
        <is>
          <t>on</t>
        </is>
      </c>
      <c r="D839" s="2" t="n">
        <v>1408</v>
      </c>
      <c r="E839" s="2" t="inlineStr">
        <is>
          <t>browser tor145</t>
        </is>
      </c>
      <c r="F839" s="2" t="b">
        <v>0</v>
      </c>
      <c r="G839" s="2" t="n">
        <v>3</v>
      </c>
      <c r="H839" s="2" t="n">
        <v>549</v>
      </c>
      <c r="I839" s="2" t="n">
        <v>549</v>
      </c>
      <c r="J839" s="2" t="n">
        <v>549</v>
      </c>
      <c r="K839" s="2">
        <f>H839+5&gt;D839</f>
        <v/>
      </c>
      <c r="L839" s="2">
        <f>J839&lt;I839</f>
        <v/>
      </c>
      <c r="M839" s="2" t="b">
        <v>1</v>
      </c>
      <c r="N839" s="2" t="b">
        <v>1</v>
      </c>
      <c r="O839" s="2" t="inlineStr">
        <is>
          <t>allow</t>
        </is>
      </c>
      <c r="P839" s="2">
        <f>O839&lt;&gt;"unknown"</f>
        <v/>
      </c>
    </row>
    <row r="840">
      <c r="A840" s="2" t="inlineStr">
        <is>
          <t>1460-on</t>
        </is>
      </c>
      <c r="B840" s="2" t="n">
        <v>1460</v>
      </c>
      <c r="C840" s="2" t="inlineStr">
        <is>
          <t>on</t>
        </is>
      </c>
      <c r="D840" s="2" t="n">
        <v>1408</v>
      </c>
      <c r="E840" s="2" t="inlineStr">
        <is>
          <t>browser tor145</t>
        </is>
      </c>
      <c r="F840" s="2" t="b">
        <v>0</v>
      </c>
      <c r="G840" s="2" t="n">
        <v>4</v>
      </c>
      <c r="H840" s="2" t="n">
        <v>645</v>
      </c>
      <c r="I840" s="2" t="n">
        <v>645</v>
      </c>
      <c r="J840" s="2" t="n">
        <v>645</v>
      </c>
      <c r="K840" s="2">
        <f>H840+5&gt;D840</f>
        <v/>
      </c>
      <c r="L840" s="2">
        <f>J840&lt;I840</f>
        <v/>
      </c>
      <c r="M840" s="2" t="b">
        <v>1</v>
      </c>
      <c r="N840" s="2" t="b">
        <v>1</v>
      </c>
      <c r="O840" s="2" t="inlineStr">
        <is>
          <t>allow</t>
        </is>
      </c>
      <c r="P840" s="2">
        <f>O840&lt;&gt;"unknown"</f>
        <v/>
      </c>
    </row>
    <row r="841">
      <c r="A841" s="2" t="inlineStr">
        <is>
          <t>1460-on</t>
        </is>
      </c>
      <c r="B841" s="2" t="n">
        <v>1460</v>
      </c>
      <c r="C841" s="2" t="inlineStr">
        <is>
          <t>on</t>
        </is>
      </c>
      <c r="D841" s="2" t="n">
        <v>1408</v>
      </c>
      <c r="E841" s="2" t="inlineStr">
        <is>
          <t>browser tor145</t>
        </is>
      </c>
      <c r="F841" s="2" t="b">
        <v>0</v>
      </c>
      <c r="G841" s="2" t="n">
        <v>5</v>
      </c>
      <c r="H841" s="2" t="n">
        <v>613</v>
      </c>
      <c r="I841" s="2" t="n">
        <v>613</v>
      </c>
      <c r="J841" s="2" t="n">
        <v>613</v>
      </c>
      <c r="K841" s="2">
        <f>H841+5&gt;D841</f>
        <v/>
      </c>
      <c r="L841" s="2">
        <f>J841&lt;I841</f>
        <v/>
      </c>
      <c r="M841" s="2" t="b">
        <v>1</v>
      </c>
      <c r="N841" s="2" t="b">
        <v>1</v>
      </c>
      <c r="O841" s="2" t="inlineStr">
        <is>
          <t>allow</t>
        </is>
      </c>
      <c r="P841" s="2">
        <f>O841&lt;&gt;"unknown"</f>
        <v/>
      </c>
    </row>
    <row r="842">
      <c r="A842" s="2" t="inlineStr">
        <is>
          <t>1500-off</t>
        </is>
      </c>
      <c r="B842" s="2" t="n">
        <v>1500</v>
      </c>
      <c r="C842" s="2" t="inlineStr">
        <is>
          <t>off</t>
        </is>
      </c>
      <c r="D842" s="2" t="n">
        <v>1460</v>
      </c>
      <c r="E842" s="2" t="inlineStr">
        <is>
          <t>openssl 3.5.8 default</t>
        </is>
      </c>
      <c r="F842" s="2" t="b">
        <v>1</v>
      </c>
      <c r="G842" s="2" t="n">
        <v>1</v>
      </c>
      <c r="H842" s="2" t="n">
        <v>1543</v>
      </c>
      <c r="I842" s="2" t="n">
        <v>1543</v>
      </c>
      <c r="J842" s="2" t="n">
        <v>1455</v>
      </c>
      <c r="K842" s="2">
        <f>H842+5&gt;D842</f>
        <v/>
      </c>
      <c r="L842" s="2">
        <f>J842&lt;I842</f>
        <v/>
      </c>
      <c r="M842" s="2" t="b">
        <v>1</v>
      </c>
      <c r="N842" s="2" t="b">
        <v>1</v>
      </c>
      <c r="O842" s="2" t="inlineStr">
        <is>
          <t>allow</t>
        </is>
      </c>
      <c r="P842" s="2">
        <f>O842&lt;&gt;"unknown"</f>
        <v/>
      </c>
    </row>
    <row r="843">
      <c r="A843" s="2" t="inlineStr">
        <is>
          <t>1500-off</t>
        </is>
      </c>
      <c r="B843" s="2" t="n">
        <v>1500</v>
      </c>
      <c r="C843" s="2" t="inlineStr">
        <is>
          <t>off</t>
        </is>
      </c>
      <c r="D843" s="2" t="n">
        <v>1460</v>
      </c>
      <c r="E843" s="2" t="inlineStr">
        <is>
          <t>openssl 3.5.8 default</t>
        </is>
      </c>
      <c r="F843" s="2" t="b">
        <v>1</v>
      </c>
      <c r="G843" s="2" t="n">
        <v>2</v>
      </c>
      <c r="H843" s="2" t="n">
        <v>1543</v>
      </c>
      <c r="I843" s="2" t="n">
        <v>1543</v>
      </c>
      <c r="J843" s="2" t="n">
        <v>1455</v>
      </c>
      <c r="K843" s="2">
        <f>H843+5&gt;D843</f>
        <v/>
      </c>
      <c r="L843" s="2">
        <f>J843&lt;I843</f>
        <v/>
      </c>
      <c r="M843" s="2" t="b">
        <v>1</v>
      </c>
      <c r="N843" s="2" t="b">
        <v>1</v>
      </c>
      <c r="O843" s="2" t="inlineStr">
        <is>
          <t>allow</t>
        </is>
      </c>
      <c r="P843" s="2">
        <f>O843&lt;&gt;"unknown"</f>
        <v/>
      </c>
    </row>
    <row r="844">
      <c r="A844" s="2" t="inlineStr">
        <is>
          <t>1500-off</t>
        </is>
      </c>
      <c r="B844" s="2" t="n">
        <v>1500</v>
      </c>
      <c r="C844" s="2" t="inlineStr">
        <is>
          <t>off</t>
        </is>
      </c>
      <c r="D844" s="2" t="n">
        <v>1460</v>
      </c>
      <c r="E844" s="2" t="inlineStr">
        <is>
          <t>openssl 3.5.8 default</t>
        </is>
      </c>
      <c r="F844" s="2" t="b">
        <v>1</v>
      </c>
      <c r="G844" s="2" t="n">
        <v>3</v>
      </c>
      <c r="H844" s="2" t="n">
        <v>1543</v>
      </c>
      <c r="I844" s="2" t="n">
        <v>1543</v>
      </c>
      <c r="J844" s="2" t="n">
        <v>1455</v>
      </c>
      <c r="K844" s="2">
        <f>H844+5&gt;D844</f>
        <v/>
      </c>
      <c r="L844" s="2">
        <f>J844&lt;I844</f>
        <v/>
      </c>
      <c r="M844" s="2" t="b">
        <v>1</v>
      </c>
      <c r="N844" s="2" t="b">
        <v>1</v>
      </c>
      <c r="O844" s="2" t="inlineStr">
        <is>
          <t>allow</t>
        </is>
      </c>
      <c r="P844" s="2">
        <f>O844&lt;&gt;"unknown"</f>
        <v/>
      </c>
    </row>
    <row r="845">
      <c r="A845" s="2" t="inlineStr">
        <is>
          <t>1500-off</t>
        </is>
      </c>
      <c r="B845" s="2" t="n">
        <v>1500</v>
      </c>
      <c r="C845" s="2" t="inlineStr">
        <is>
          <t>off</t>
        </is>
      </c>
      <c r="D845" s="2" t="n">
        <v>1460</v>
      </c>
      <c r="E845" s="2" t="inlineStr">
        <is>
          <t>openssl 3.5.8 default</t>
        </is>
      </c>
      <c r="F845" s="2" t="b">
        <v>1</v>
      </c>
      <c r="G845" s="2" t="n">
        <v>4</v>
      </c>
      <c r="H845" s="2" t="n">
        <v>1543</v>
      </c>
      <c r="I845" s="2" t="n">
        <v>1543</v>
      </c>
      <c r="J845" s="2" t="n">
        <v>1455</v>
      </c>
      <c r="K845" s="2">
        <f>H845+5&gt;D845</f>
        <v/>
      </c>
      <c r="L845" s="2">
        <f>J845&lt;I845</f>
        <v/>
      </c>
      <c r="M845" s="2" t="b">
        <v>1</v>
      </c>
      <c r="N845" s="2" t="b">
        <v>1</v>
      </c>
      <c r="O845" s="2" t="inlineStr">
        <is>
          <t>allow</t>
        </is>
      </c>
      <c r="P845" s="2">
        <f>O845&lt;&gt;"unknown"</f>
        <v/>
      </c>
    </row>
    <row r="846">
      <c r="A846" s="2" t="inlineStr">
        <is>
          <t>1500-off</t>
        </is>
      </c>
      <c r="B846" s="2" t="n">
        <v>1500</v>
      </c>
      <c r="C846" s="2" t="inlineStr">
        <is>
          <t>off</t>
        </is>
      </c>
      <c r="D846" s="2" t="n">
        <v>1460</v>
      </c>
      <c r="E846" s="2" t="inlineStr">
        <is>
          <t>openssl 3.5.8 default</t>
        </is>
      </c>
      <c r="F846" s="2" t="b">
        <v>1</v>
      </c>
      <c r="G846" s="2" t="n">
        <v>5</v>
      </c>
      <c r="H846" s="2" t="n">
        <v>1543</v>
      </c>
      <c r="I846" s="2" t="n">
        <v>1543</v>
      </c>
      <c r="J846" s="2" t="n">
        <v>1455</v>
      </c>
      <c r="K846" s="2">
        <f>H846+5&gt;D846</f>
        <v/>
      </c>
      <c r="L846" s="2">
        <f>J846&lt;I846</f>
        <v/>
      </c>
      <c r="M846" s="2" t="b">
        <v>1</v>
      </c>
      <c r="N846" s="2" t="b">
        <v>1</v>
      </c>
      <c r="O846" s="2" t="inlineStr">
        <is>
          <t>allow</t>
        </is>
      </c>
      <c r="P846" s="2">
        <f>O846&lt;&gt;"unknown"</f>
        <v/>
      </c>
    </row>
    <row r="847">
      <c r="A847" s="2" t="inlineStr">
        <is>
          <t>1500-off</t>
        </is>
      </c>
      <c r="B847" s="2" t="n">
        <v>1500</v>
      </c>
      <c r="C847" s="2" t="inlineStr">
        <is>
          <t>off</t>
        </is>
      </c>
      <c r="D847" s="2" t="n">
        <v>1460</v>
      </c>
      <c r="E847" s="2" t="inlineStr">
        <is>
          <t>openssl X25519 only (classical)</t>
        </is>
      </c>
      <c r="F847" s="2" t="b">
        <v>0</v>
      </c>
      <c r="G847" s="2" t="n">
        <v>1</v>
      </c>
      <c r="H847" s="2" t="n">
        <v>309</v>
      </c>
      <c r="I847" s="2" t="n">
        <v>309</v>
      </c>
      <c r="J847" s="2" t="n">
        <v>309</v>
      </c>
      <c r="K847" s="2">
        <f>H847+5&gt;D847</f>
        <v/>
      </c>
      <c r="L847" s="2">
        <f>J847&lt;I847</f>
        <v/>
      </c>
      <c r="M847" s="2" t="b">
        <v>1</v>
      </c>
      <c r="N847" s="2" t="b">
        <v>1</v>
      </c>
      <c r="O847" s="2" t="inlineStr">
        <is>
          <t>allow</t>
        </is>
      </c>
      <c r="P847" s="2">
        <f>O847&lt;&gt;"unknown"</f>
        <v/>
      </c>
    </row>
    <row r="848">
      <c r="A848" s="2" t="inlineStr">
        <is>
          <t>1500-off</t>
        </is>
      </c>
      <c r="B848" s="2" t="n">
        <v>1500</v>
      </c>
      <c r="C848" s="2" t="inlineStr">
        <is>
          <t>off</t>
        </is>
      </c>
      <c r="D848" s="2" t="n">
        <v>1460</v>
      </c>
      <c r="E848" s="2" t="inlineStr">
        <is>
          <t>openssl X25519 only (classical)</t>
        </is>
      </c>
      <c r="F848" s="2" t="b">
        <v>0</v>
      </c>
      <c r="G848" s="2" t="n">
        <v>2</v>
      </c>
      <c r="H848" s="2" t="n">
        <v>309</v>
      </c>
      <c r="I848" s="2" t="n">
        <v>309</v>
      </c>
      <c r="J848" s="2" t="n">
        <v>309</v>
      </c>
      <c r="K848" s="2">
        <f>H848+5&gt;D848</f>
        <v/>
      </c>
      <c r="L848" s="2">
        <f>J848&lt;I848</f>
        <v/>
      </c>
      <c r="M848" s="2" t="b">
        <v>1</v>
      </c>
      <c r="N848" s="2" t="b">
        <v>1</v>
      </c>
      <c r="O848" s="2" t="inlineStr">
        <is>
          <t>allow</t>
        </is>
      </c>
      <c r="P848" s="2">
        <f>O848&lt;&gt;"unknown"</f>
        <v/>
      </c>
    </row>
    <row r="849">
      <c r="A849" s="2" t="inlineStr">
        <is>
          <t>1500-off</t>
        </is>
      </c>
      <c r="B849" s="2" t="n">
        <v>1500</v>
      </c>
      <c r="C849" s="2" t="inlineStr">
        <is>
          <t>off</t>
        </is>
      </c>
      <c r="D849" s="2" t="n">
        <v>1460</v>
      </c>
      <c r="E849" s="2" t="inlineStr">
        <is>
          <t>openssl X25519 only (classical)</t>
        </is>
      </c>
      <c r="F849" s="2" t="b">
        <v>0</v>
      </c>
      <c r="G849" s="2" t="n">
        <v>3</v>
      </c>
      <c r="H849" s="2" t="n">
        <v>309</v>
      </c>
      <c r="I849" s="2" t="n">
        <v>309</v>
      </c>
      <c r="J849" s="2" t="n">
        <v>309</v>
      </c>
      <c r="K849" s="2">
        <f>H849+5&gt;D849</f>
        <v/>
      </c>
      <c r="L849" s="2">
        <f>J849&lt;I849</f>
        <v/>
      </c>
      <c r="M849" s="2" t="b">
        <v>1</v>
      </c>
      <c r="N849" s="2" t="b">
        <v>1</v>
      </c>
      <c r="O849" s="2" t="inlineStr">
        <is>
          <t>allow</t>
        </is>
      </c>
      <c r="P849" s="2">
        <f>O849&lt;&gt;"unknown"</f>
        <v/>
      </c>
    </row>
    <row r="850">
      <c r="A850" s="2" t="inlineStr">
        <is>
          <t>1500-off</t>
        </is>
      </c>
      <c r="B850" s="2" t="n">
        <v>1500</v>
      </c>
      <c r="C850" s="2" t="inlineStr">
        <is>
          <t>off</t>
        </is>
      </c>
      <c r="D850" s="2" t="n">
        <v>1460</v>
      </c>
      <c r="E850" s="2" t="inlineStr">
        <is>
          <t>openssl X25519 only (classical)</t>
        </is>
      </c>
      <c r="F850" s="2" t="b">
        <v>0</v>
      </c>
      <c r="G850" s="2" t="n">
        <v>4</v>
      </c>
      <c r="H850" s="2" t="n">
        <v>309</v>
      </c>
      <c r="I850" s="2" t="n">
        <v>309</v>
      </c>
      <c r="J850" s="2" t="n">
        <v>309</v>
      </c>
      <c r="K850" s="2">
        <f>H850+5&gt;D850</f>
        <v/>
      </c>
      <c r="L850" s="2">
        <f>J850&lt;I850</f>
        <v/>
      </c>
      <c r="M850" s="2" t="b">
        <v>1</v>
      </c>
      <c r="N850" s="2" t="b">
        <v>1</v>
      </c>
      <c r="O850" s="2" t="inlineStr">
        <is>
          <t>allow</t>
        </is>
      </c>
      <c r="P850" s="2">
        <f>O850&lt;&gt;"unknown"</f>
        <v/>
      </c>
    </row>
    <row r="851">
      <c r="A851" s="2" t="inlineStr">
        <is>
          <t>1500-off</t>
        </is>
      </c>
      <c r="B851" s="2" t="n">
        <v>1500</v>
      </c>
      <c r="C851" s="2" t="inlineStr">
        <is>
          <t>off</t>
        </is>
      </c>
      <c r="D851" s="2" t="n">
        <v>1460</v>
      </c>
      <c r="E851" s="2" t="inlineStr">
        <is>
          <t>openssl X25519 only (classical)</t>
        </is>
      </c>
      <c r="F851" s="2" t="b">
        <v>0</v>
      </c>
      <c r="G851" s="2" t="n">
        <v>5</v>
      </c>
      <c r="H851" s="2" t="n">
        <v>309</v>
      </c>
      <c r="I851" s="2" t="n">
        <v>309</v>
      </c>
      <c r="J851" s="2" t="n">
        <v>309</v>
      </c>
      <c r="K851" s="2">
        <f>H851+5&gt;D851</f>
        <v/>
      </c>
      <c r="L851" s="2">
        <f>J851&lt;I851</f>
        <v/>
      </c>
      <c r="M851" s="2" t="b">
        <v>1</v>
      </c>
      <c r="N851" s="2" t="b">
        <v>1</v>
      </c>
      <c r="O851" s="2" t="inlineStr">
        <is>
          <t>allow</t>
        </is>
      </c>
      <c r="P851" s="2">
        <f>O851&lt;&gt;"unknown"</f>
        <v/>
      </c>
    </row>
    <row r="852">
      <c r="A852" s="2" t="inlineStr">
        <is>
          <t>1500-off</t>
        </is>
      </c>
      <c r="B852" s="2" t="n">
        <v>1500</v>
      </c>
      <c r="C852" s="2" t="inlineStr">
        <is>
          <t>off</t>
        </is>
      </c>
      <c r="D852" s="2" t="n">
        <v>1460</v>
      </c>
      <c r="E852" s="2" t="inlineStr">
        <is>
          <t>openssl secp256r1 only (classical)</t>
        </is>
      </c>
      <c r="F852" s="2" t="b">
        <v>0</v>
      </c>
      <c r="G852" s="2" t="n">
        <v>1</v>
      </c>
      <c r="H852" s="2" t="n">
        <v>342</v>
      </c>
      <c r="I852" s="2" t="n">
        <v>342</v>
      </c>
      <c r="J852" s="2" t="n">
        <v>342</v>
      </c>
      <c r="K852" s="2">
        <f>H852+5&gt;D852</f>
        <v/>
      </c>
      <c r="L852" s="2">
        <f>J852&lt;I852</f>
        <v/>
      </c>
      <c r="M852" s="2" t="b">
        <v>1</v>
      </c>
      <c r="N852" s="2" t="b">
        <v>1</v>
      </c>
      <c r="O852" s="2" t="inlineStr">
        <is>
          <t>allow</t>
        </is>
      </c>
      <c r="P852" s="2">
        <f>O852&lt;&gt;"unknown"</f>
        <v/>
      </c>
    </row>
    <row r="853">
      <c r="A853" s="2" t="inlineStr">
        <is>
          <t>1500-off</t>
        </is>
      </c>
      <c r="B853" s="2" t="n">
        <v>1500</v>
      </c>
      <c r="C853" s="2" t="inlineStr">
        <is>
          <t>off</t>
        </is>
      </c>
      <c r="D853" s="2" t="n">
        <v>1460</v>
      </c>
      <c r="E853" s="2" t="inlineStr">
        <is>
          <t>openssl secp256r1 only (classical)</t>
        </is>
      </c>
      <c r="F853" s="2" t="b">
        <v>0</v>
      </c>
      <c r="G853" s="2" t="n">
        <v>2</v>
      </c>
      <c r="H853" s="2" t="n">
        <v>342</v>
      </c>
      <c r="I853" s="2" t="n">
        <v>342</v>
      </c>
      <c r="J853" s="2" t="n">
        <v>342</v>
      </c>
      <c r="K853" s="2">
        <f>H853+5&gt;D853</f>
        <v/>
      </c>
      <c r="L853" s="2">
        <f>J853&lt;I853</f>
        <v/>
      </c>
      <c r="M853" s="2" t="b">
        <v>1</v>
      </c>
      <c r="N853" s="2" t="b">
        <v>1</v>
      </c>
      <c r="O853" s="2" t="inlineStr">
        <is>
          <t>allow</t>
        </is>
      </c>
      <c r="P853" s="2">
        <f>O853&lt;&gt;"unknown"</f>
        <v/>
      </c>
    </row>
    <row r="854">
      <c r="A854" s="2" t="inlineStr">
        <is>
          <t>1500-off</t>
        </is>
      </c>
      <c r="B854" s="2" t="n">
        <v>1500</v>
      </c>
      <c r="C854" s="2" t="inlineStr">
        <is>
          <t>off</t>
        </is>
      </c>
      <c r="D854" s="2" t="n">
        <v>1460</v>
      </c>
      <c r="E854" s="2" t="inlineStr">
        <is>
          <t>openssl secp256r1 only (classical)</t>
        </is>
      </c>
      <c r="F854" s="2" t="b">
        <v>0</v>
      </c>
      <c r="G854" s="2" t="n">
        <v>3</v>
      </c>
      <c r="H854" s="2" t="n">
        <v>342</v>
      </c>
      <c r="I854" s="2" t="n">
        <v>342</v>
      </c>
      <c r="J854" s="2" t="n">
        <v>342</v>
      </c>
      <c r="K854" s="2">
        <f>H854+5&gt;D854</f>
        <v/>
      </c>
      <c r="L854" s="2">
        <f>J854&lt;I854</f>
        <v/>
      </c>
      <c r="M854" s="2" t="b">
        <v>1</v>
      </c>
      <c r="N854" s="2" t="b">
        <v>1</v>
      </c>
      <c r="O854" s="2" t="inlineStr">
        <is>
          <t>allow</t>
        </is>
      </c>
      <c r="P854" s="2">
        <f>O854&lt;&gt;"unknown"</f>
        <v/>
      </c>
    </row>
    <row r="855">
      <c r="A855" s="2" t="inlineStr">
        <is>
          <t>1500-off</t>
        </is>
      </c>
      <c r="B855" s="2" t="n">
        <v>1500</v>
      </c>
      <c r="C855" s="2" t="inlineStr">
        <is>
          <t>off</t>
        </is>
      </c>
      <c r="D855" s="2" t="n">
        <v>1460</v>
      </c>
      <c r="E855" s="2" t="inlineStr">
        <is>
          <t>openssl secp256r1 only (classical)</t>
        </is>
      </c>
      <c r="F855" s="2" t="b">
        <v>0</v>
      </c>
      <c r="G855" s="2" t="n">
        <v>4</v>
      </c>
      <c r="H855" s="2" t="n">
        <v>342</v>
      </c>
      <c r="I855" s="2" t="n">
        <v>342</v>
      </c>
      <c r="J855" s="2" t="n">
        <v>342</v>
      </c>
      <c r="K855" s="2">
        <f>H855+5&gt;D855</f>
        <v/>
      </c>
      <c r="L855" s="2">
        <f>J855&lt;I855</f>
        <v/>
      </c>
      <c r="M855" s="2" t="b">
        <v>1</v>
      </c>
      <c r="N855" s="2" t="b">
        <v>1</v>
      </c>
      <c r="O855" s="2" t="inlineStr">
        <is>
          <t>allow</t>
        </is>
      </c>
      <c r="P855" s="2">
        <f>O855&lt;&gt;"unknown"</f>
        <v/>
      </c>
    </row>
    <row r="856">
      <c r="A856" s="2" t="inlineStr">
        <is>
          <t>1500-off</t>
        </is>
      </c>
      <c r="B856" s="2" t="n">
        <v>1500</v>
      </c>
      <c r="C856" s="2" t="inlineStr">
        <is>
          <t>off</t>
        </is>
      </c>
      <c r="D856" s="2" t="n">
        <v>1460</v>
      </c>
      <c r="E856" s="2" t="inlineStr">
        <is>
          <t>openssl secp256r1 only (classical)</t>
        </is>
      </c>
      <c r="F856" s="2" t="b">
        <v>0</v>
      </c>
      <c r="G856" s="2" t="n">
        <v>5</v>
      </c>
      <c r="H856" s="2" t="n">
        <v>342</v>
      </c>
      <c r="I856" s="2" t="n">
        <v>342</v>
      </c>
      <c r="J856" s="2" t="n">
        <v>342</v>
      </c>
      <c r="K856" s="2">
        <f>H856+5&gt;D856</f>
        <v/>
      </c>
      <c r="L856" s="2">
        <f>J856&lt;I856</f>
        <v/>
      </c>
      <c r="M856" s="2" t="b">
        <v>1</v>
      </c>
      <c r="N856" s="2" t="b">
        <v>1</v>
      </c>
      <c r="O856" s="2" t="inlineStr">
        <is>
          <t>allow</t>
        </is>
      </c>
      <c r="P856" s="2">
        <f>O856&lt;&gt;"unknown"</f>
        <v/>
      </c>
    </row>
    <row r="857">
      <c r="A857" s="2" t="inlineStr">
        <is>
          <t>1500-off</t>
        </is>
      </c>
      <c r="B857" s="2" t="n">
        <v>1500</v>
      </c>
      <c r="C857" s="2" t="inlineStr">
        <is>
          <t>off</t>
        </is>
      </c>
      <c r="D857" s="2" t="n">
        <v>1460</v>
      </c>
      <c r="E857" s="2" t="inlineStr">
        <is>
          <t>openssl X25519MLKEM768 only</t>
        </is>
      </c>
      <c r="F857" s="2" t="b">
        <v>1</v>
      </c>
      <c r="G857" s="2" t="n">
        <v>1</v>
      </c>
      <c r="H857" s="2" t="n">
        <v>1485</v>
      </c>
      <c r="I857" s="2" t="n">
        <v>1485</v>
      </c>
      <c r="J857" s="2" t="n">
        <v>1455</v>
      </c>
      <c r="K857" s="2">
        <f>H857+5&gt;D857</f>
        <v/>
      </c>
      <c r="L857" s="2">
        <f>J857&lt;I857</f>
        <v/>
      </c>
      <c r="M857" s="2" t="b">
        <v>1</v>
      </c>
      <c r="N857" s="2" t="b">
        <v>1</v>
      </c>
      <c r="O857" s="2" t="inlineStr">
        <is>
          <t>allow</t>
        </is>
      </c>
      <c r="P857" s="2">
        <f>O857&lt;&gt;"unknown"</f>
        <v/>
      </c>
    </row>
    <row r="858">
      <c r="A858" s="2" t="inlineStr">
        <is>
          <t>1500-off</t>
        </is>
      </c>
      <c r="B858" s="2" t="n">
        <v>1500</v>
      </c>
      <c r="C858" s="2" t="inlineStr">
        <is>
          <t>off</t>
        </is>
      </c>
      <c r="D858" s="2" t="n">
        <v>1460</v>
      </c>
      <c r="E858" s="2" t="inlineStr">
        <is>
          <t>openssl X25519MLKEM768 only</t>
        </is>
      </c>
      <c r="F858" s="2" t="b">
        <v>1</v>
      </c>
      <c r="G858" s="2" t="n">
        <v>2</v>
      </c>
      <c r="H858" s="2" t="n">
        <v>1485</v>
      </c>
      <c r="I858" s="2" t="n">
        <v>1485</v>
      </c>
      <c r="J858" s="2" t="n">
        <v>1455</v>
      </c>
      <c r="K858" s="2">
        <f>H858+5&gt;D858</f>
        <v/>
      </c>
      <c r="L858" s="2">
        <f>J858&lt;I858</f>
        <v/>
      </c>
      <c r="M858" s="2" t="b">
        <v>1</v>
      </c>
      <c r="N858" s="2" t="b">
        <v>1</v>
      </c>
      <c r="O858" s="2" t="inlineStr">
        <is>
          <t>allow</t>
        </is>
      </c>
      <c r="P858" s="2">
        <f>O858&lt;&gt;"unknown"</f>
        <v/>
      </c>
    </row>
    <row r="859">
      <c r="A859" s="2" t="inlineStr">
        <is>
          <t>1500-off</t>
        </is>
      </c>
      <c r="B859" s="2" t="n">
        <v>1500</v>
      </c>
      <c r="C859" s="2" t="inlineStr">
        <is>
          <t>off</t>
        </is>
      </c>
      <c r="D859" s="2" t="n">
        <v>1460</v>
      </c>
      <c r="E859" s="2" t="inlineStr">
        <is>
          <t>openssl X25519MLKEM768 only</t>
        </is>
      </c>
      <c r="F859" s="2" t="b">
        <v>1</v>
      </c>
      <c r="G859" s="2" t="n">
        <v>3</v>
      </c>
      <c r="H859" s="2" t="n">
        <v>1485</v>
      </c>
      <c r="I859" s="2" t="n">
        <v>1485</v>
      </c>
      <c r="J859" s="2" t="n">
        <v>1455</v>
      </c>
      <c r="K859" s="2">
        <f>H859+5&gt;D859</f>
        <v/>
      </c>
      <c r="L859" s="2">
        <f>J859&lt;I859</f>
        <v/>
      </c>
      <c r="M859" s="2" t="b">
        <v>1</v>
      </c>
      <c r="N859" s="2" t="b">
        <v>1</v>
      </c>
      <c r="O859" s="2" t="inlineStr">
        <is>
          <t>allow</t>
        </is>
      </c>
      <c r="P859" s="2">
        <f>O859&lt;&gt;"unknown"</f>
        <v/>
      </c>
    </row>
    <row r="860">
      <c r="A860" s="2" t="inlineStr">
        <is>
          <t>1500-off</t>
        </is>
      </c>
      <c r="B860" s="2" t="n">
        <v>1500</v>
      </c>
      <c r="C860" s="2" t="inlineStr">
        <is>
          <t>off</t>
        </is>
      </c>
      <c r="D860" s="2" t="n">
        <v>1460</v>
      </c>
      <c r="E860" s="2" t="inlineStr">
        <is>
          <t>openssl X25519MLKEM768 only</t>
        </is>
      </c>
      <c r="F860" s="2" t="b">
        <v>1</v>
      </c>
      <c r="G860" s="2" t="n">
        <v>4</v>
      </c>
      <c r="H860" s="2" t="n">
        <v>1485</v>
      </c>
      <c r="I860" s="2" t="n">
        <v>1485</v>
      </c>
      <c r="J860" s="2" t="n">
        <v>1455</v>
      </c>
      <c r="K860" s="2">
        <f>H860+5&gt;D860</f>
        <v/>
      </c>
      <c r="L860" s="2">
        <f>J860&lt;I860</f>
        <v/>
      </c>
      <c r="M860" s="2" t="b">
        <v>1</v>
      </c>
      <c r="N860" s="2" t="b">
        <v>1</v>
      </c>
      <c r="O860" s="2" t="inlineStr">
        <is>
          <t>allow</t>
        </is>
      </c>
      <c r="P860" s="2">
        <f>O860&lt;&gt;"unknown"</f>
        <v/>
      </c>
    </row>
    <row r="861">
      <c r="A861" s="2" t="inlineStr">
        <is>
          <t>1500-off</t>
        </is>
      </c>
      <c r="B861" s="2" t="n">
        <v>1500</v>
      </c>
      <c r="C861" s="2" t="inlineStr">
        <is>
          <t>off</t>
        </is>
      </c>
      <c r="D861" s="2" t="n">
        <v>1460</v>
      </c>
      <c r="E861" s="2" t="inlineStr">
        <is>
          <t>openssl X25519MLKEM768 only</t>
        </is>
      </c>
      <c r="F861" s="2" t="b">
        <v>1</v>
      </c>
      <c r="G861" s="2" t="n">
        <v>5</v>
      </c>
      <c r="H861" s="2" t="n">
        <v>1485</v>
      </c>
      <c r="I861" s="2" t="n">
        <v>1485</v>
      </c>
      <c r="J861" s="2" t="n">
        <v>1455</v>
      </c>
      <c r="K861" s="2">
        <f>H861+5&gt;D861</f>
        <v/>
      </c>
      <c r="L861" s="2">
        <f>J861&lt;I861</f>
        <v/>
      </c>
      <c r="M861" s="2" t="b">
        <v>1</v>
      </c>
      <c r="N861" s="2" t="b">
        <v>1</v>
      </c>
      <c r="O861" s="2" t="inlineStr">
        <is>
          <t>allow</t>
        </is>
      </c>
      <c r="P861" s="2">
        <f>O861&lt;&gt;"unknown"</f>
        <v/>
      </c>
    </row>
    <row r="862">
      <c r="A862" s="2" t="inlineStr">
        <is>
          <t>1500-off</t>
        </is>
      </c>
      <c r="B862" s="2" t="n">
        <v>1500</v>
      </c>
      <c r="C862" s="2" t="inlineStr">
        <is>
          <t>off</t>
        </is>
      </c>
      <c r="D862" s="2" t="n">
        <v>1460</v>
      </c>
      <c r="E862" s="2" t="inlineStr">
        <is>
          <t>openssl SecP256r1MLKEM768</t>
        </is>
      </c>
      <c r="F862" s="2" t="b">
        <v>1</v>
      </c>
      <c r="G862" s="2" t="n">
        <v>1</v>
      </c>
      <c r="H862" s="2" t="n">
        <v>1518</v>
      </c>
      <c r="I862" s="2" t="n">
        <v>1518</v>
      </c>
      <c r="J862" s="2" t="n">
        <v>1455</v>
      </c>
      <c r="K862" s="2">
        <f>H862+5&gt;D862</f>
        <v/>
      </c>
      <c r="L862" s="2">
        <f>J862&lt;I862</f>
        <v/>
      </c>
      <c r="M862" s="2" t="b">
        <v>1</v>
      </c>
      <c r="N862" s="2" t="b">
        <v>1</v>
      </c>
      <c r="O862" s="2" t="inlineStr">
        <is>
          <t>allow</t>
        </is>
      </c>
      <c r="P862" s="2">
        <f>O862&lt;&gt;"unknown"</f>
        <v/>
      </c>
    </row>
    <row r="863">
      <c r="A863" s="2" t="inlineStr">
        <is>
          <t>1500-off</t>
        </is>
      </c>
      <c r="B863" s="2" t="n">
        <v>1500</v>
      </c>
      <c r="C863" s="2" t="inlineStr">
        <is>
          <t>off</t>
        </is>
      </c>
      <c r="D863" s="2" t="n">
        <v>1460</v>
      </c>
      <c r="E863" s="2" t="inlineStr">
        <is>
          <t>openssl SecP256r1MLKEM768</t>
        </is>
      </c>
      <c r="F863" s="2" t="b">
        <v>1</v>
      </c>
      <c r="G863" s="2" t="n">
        <v>2</v>
      </c>
      <c r="H863" s="2" t="n">
        <v>1518</v>
      </c>
      <c r="I863" s="2" t="n">
        <v>1518</v>
      </c>
      <c r="J863" s="2" t="n">
        <v>1455</v>
      </c>
      <c r="K863" s="2">
        <f>H863+5&gt;D863</f>
        <v/>
      </c>
      <c r="L863" s="2">
        <f>J863&lt;I863</f>
        <v/>
      </c>
      <c r="M863" s="2" t="b">
        <v>1</v>
      </c>
      <c r="N863" s="2" t="b">
        <v>1</v>
      </c>
      <c r="O863" s="2" t="inlineStr">
        <is>
          <t>allow</t>
        </is>
      </c>
      <c r="P863" s="2">
        <f>O863&lt;&gt;"unknown"</f>
        <v/>
      </c>
    </row>
    <row r="864">
      <c r="A864" s="2" t="inlineStr">
        <is>
          <t>1500-off</t>
        </is>
      </c>
      <c r="B864" s="2" t="n">
        <v>1500</v>
      </c>
      <c r="C864" s="2" t="inlineStr">
        <is>
          <t>off</t>
        </is>
      </c>
      <c r="D864" s="2" t="n">
        <v>1460</v>
      </c>
      <c r="E864" s="2" t="inlineStr">
        <is>
          <t>openssl SecP256r1MLKEM768</t>
        </is>
      </c>
      <c r="F864" s="2" t="b">
        <v>1</v>
      </c>
      <c r="G864" s="2" t="n">
        <v>3</v>
      </c>
      <c r="H864" s="2" t="n">
        <v>1518</v>
      </c>
      <c r="I864" s="2" t="n">
        <v>1518</v>
      </c>
      <c r="J864" s="2" t="n">
        <v>1455</v>
      </c>
      <c r="K864" s="2">
        <f>H864+5&gt;D864</f>
        <v/>
      </c>
      <c r="L864" s="2">
        <f>J864&lt;I864</f>
        <v/>
      </c>
      <c r="M864" s="2" t="b">
        <v>1</v>
      </c>
      <c r="N864" s="2" t="b">
        <v>1</v>
      </c>
      <c r="O864" s="2" t="inlineStr">
        <is>
          <t>allow</t>
        </is>
      </c>
      <c r="P864" s="2">
        <f>O864&lt;&gt;"unknown"</f>
        <v/>
      </c>
    </row>
    <row r="865">
      <c r="A865" s="2" t="inlineStr">
        <is>
          <t>1500-off</t>
        </is>
      </c>
      <c r="B865" s="2" t="n">
        <v>1500</v>
      </c>
      <c r="C865" s="2" t="inlineStr">
        <is>
          <t>off</t>
        </is>
      </c>
      <c r="D865" s="2" t="n">
        <v>1460</v>
      </c>
      <c r="E865" s="2" t="inlineStr">
        <is>
          <t>openssl SecP256r1MLKEM768</t>
        </is>
      </c>
      <c r="F865" s="2" t="b">
        <v>1</v>
      </c>
      <c r="G865" s="2" t="n">
        <v>4</v>
      </c>
      <c r="H865" s="2" t="n">
        <v>1518</v>
      </c>
      <c r="I865" s="2" t="n">
        <v>1518</v>
      </c>
      <c r="J865" s="2" t="n">
        <v>1455</v>
      </c>
      <c r="K865" s="2">
        <f>H865+5&gt;D865</f>
        <v/>
      </c>
      <c r="L865" s="2">
        <f>J865&lt;I865</f>
        <v/>
      </c>
      <c r="M865" s="2" t="b">
        <v>1</v>
      </c>
      <c r="N865" s="2" t="b">
        <v>1</v>
      </c>
      <c r="O865" s="2" t="inlineStr">
        <is>
          <t>allow</t>
        </is>
      </c>
      <c r="P865" s="2">
        <f>O865&lt;&gt;"unknown"</f>
        <v/>
      </c>
    </row>
    <row r="866">
      <c r="A866" s="2" t="inlineStr">
        <is>
          <t>1500-off</t>
        </is>
      </c>
      <c r="B866" s="2" t="n">
        <v>1500</v>
      </c>
      <c r="C866" s="2" t="inlineStr">
        <is>
          <t>off</t>
        </is>
      </c>
      <c r="D866" s="2" t="n">
        <v>1460</v>
      </c>
      <c r="E866" s="2" t="inlineStr">
        <is>
          <t>openssl SecP256r1MLKEM768</t>
        </is>
      </c>
      <c r="F866" s="2" t="b">
        <v>1</v>
      </c>
      <c r="G866" s="2" t="n">
        <v>5</v>
      </c>
      <c r="H866" s="2" t="n">
        <v>1518</v>
      </c>
      <c r="I866" s="2" t="n">
        <v>1518</v>
      </c>
      <c r="J866" s="2" t="n">
        <v>1455</v>
      </c>
      <c r="K866" s="2">
        <f>H866+5&gt;D866</f>
        <v/>
      </c>
      <c r="L866" s="2">
        <f>J866&lt;I866</f>
        <v/>
      </c>
      <c r="M866" s="2" t="b">
        <v>1</v>
      </c>
      <c r="N866" s="2" t="b">
        <v>1</v>
      </c>
      <c r="O866" s="2" t="inlineStr">
        <is>
          <t>allow</t>
        </is>
      </c>
      <c r="P866" s="2">
        <f>O866&lt;&gt;"unknown"</f>
        <v/>
      </c>
    </row>
    <row r="867">
      <c r="A867" s="2" t="inlineStr">
        <is>
          <t>1500-off</t>
        </is>
      </c>
      <c r="B867" s="2" t="n">
        <v>1500</v>
      </c>
      <c r="C867" s="2" t="inlineStr">
        <is>
          <t>off</t>
        </is>
      </c>
      <c r="D867" s="2" t="n">
        <v>1460</v>
      </c>
      <c r="E867" s="2" t="inlineStr">
        <is>
          <t>openssl SecP384r1MLKEM1024</t>
        </is>
      </c>
      <c r="F867" s="2" t="b">
        <v>1</v>
      </c>
      <c r="G867" s="2" t="n">
        <v>1</v>
      </c>
      <c r="H867" s="2" t="n">
        <v>1934</v>
      </c>
      <c r="I867" s="2" t="n">
        <v>1934</v>
      </c>
      <c r="J867" s="2" t="n">
        <v>1455</v>
      </c>
      <c r="K867" s="2">
        <f>H867+5&gt;D867</f>
        <v/>
      </c>
      <c r="L867" s="2">
        <f>J867&lt;I867</f>
        <v/>
      </c>
      <c r="M867" s="2" t="b">
        <v>1</v>
      </c>
      <c r="N867" s="2" t="b">
        <v>1</v>
      </c>
      <c r="O867" s="2" t="inlineStr">
        <is>
          <t>allow</t>
        </is>
      </c>
      <c r="P867" s="2">
        <f>O867&lt;&gt;"unknown"</f>
        <v/>
      </c>
    </row>
    <row r="868">
      <c r="A868" s="2" t="inlineStr">
        <is>
          <t>1500-off</t>
        </is>
      </c>
      <c r="B868" s="2" t="n">
        <v>1500</v>
      </c>
      <c r="C868" s="2" t="inlineStr">
        <is>
          <t>off</t>
        </is>
      </c>
      <c r="D868" s="2" t="n">
        <v>1460</v>
      </c>
      <c r="E868" s="2" t="inlineStr">
        <is>
          <t>openssl SecP384r1MLKEM1024</t>
        </is>
      </c>
      <c r="F868" s="2" t="b">
        <v>1</v>
      </c>
      <c r="G868" s="2" t="n">
        <v>2</v>
      </c>
      <c r="H868" s="2" t="n">
        <v>1934</v>
      </c>
      <c r="I868" s="2" t="n">
        <v>1934</v>
      </c>
      <c r="J868" s="2" t="n">
        <v>1455</v>
      </c>
      <c r="K868" s="2">
        <f>H868+5&gt;D868</f>
        <v/>
      </c>
      <c r="L868" s="2">
        <f>J868&lt;I868</f>
        <v/>
      </c>
      <c r="M868" s="2" t="b">
        <v>1</v>
      </c>
      <c r="N868" s="2" t="b">
        <v>1</v>
      </c>
      <c r="O868" s="2" t="inlineStr">
        <is>
          <t>allow</t>
        </is>
      </c>
      <c r="P868" s="2">
        <f>O868&lt;&gt;"unknown"</f>
        <v/>
      </c>
    </row>
    <row r="869">
      <c r="A869" s="2" t="inlineStr">
        <is>
          <t>1500-off</t>
        </is>
      </c>
      <c r="B869" s="2" t="n">
        <v>1500</v>
      </c>
      <c r="C869" s="2" t="inlineStr">
        <is>
          <t>off</t>
        </is>
      </c>
      <c r="D869" s="2" t="n">
        <v>1460</v>
      </c>
      <c r="E869" s="2" t="inlineStr">
        <is>
          <t>openssl SecP384r1MLKEM1024</t>
        </is>
      </c>
      <c r="F869" s="2" t="b">
        <v>1</v>
      </c>
      <c r="G869" s="2" t="n">
        <v>3</v>
      </c>
      <c r="H869" s="2" t="n">
        <v>1934</v>
      </c>
      <c r="I869" s="2" t="n">
        <v>1934</v>
      </c>
      <c r="J869" s="2" t="n">
        <v>1455</v>
      </c>
      <c r="K869" s="2">
        <f>H869+5&gt;D869</f>
        <v/>
      </c>
      <c r="L869" s="2">
        <f>J869&lt;I869</f>
        <v/>
      </c>
      <c r="M869" s="2" t="b">
        <v>1</v>
      </c>
      <c r="N869" s="2" t="b">
        <v>1</v>
      </c>
      <c r="O869" s="2" t="inlineStr">
        <is>
          <t>allow</t>
        </is>
      </c>
      <c r="P869" s="2">
        <f>O869&lt;&gt;"unknown"</f>
        <v/>
      </c>
    </row>
    <row r="870">
      <c r="A870" s="2" t="inlineStr">
        <is>
          <t>1500-off</t>
        </is>
      </c>
      <c r="B870" s="2" t="n">
        <v>1500</v>
      </c>
      <c r="C870" s="2" t="inlineStr">
        <is>
          <t>off</t>
        </is>
      </c>
      <c r="D870" s="2" t="n">
        <v>1460</v>
      </c>
      <c r="E870" s="2" t="inlineStr">
        <is>
          <t>openssl SecP384r1MLKEM1024</t>
        </is>
      </c>
      <c r="F870" s="2" t="b">
        <v>1</v>
      </c>
      <c r="G870" s="2" t="n">
        <v>4</v>
      </c>
      <c r="H870" s="2" t="n">
        <v>1934</v>
      </c>
      <c r="I870" s="2" t="n">
        <v>1934</v>
      </c>
      <c r="J870" s="2" t="n">
        <v>1455</v>
      </c>
      <c r="K870" s="2">
        <f>H870+5&gt;D870</f>
        <v/>
      </c>
      <c r="L870" s="2">
        <f>J870&lt;I870</f>
        <v/>
      </c>
      <c r="M870" s="2" t="b">
        <v>1</v>
      </c>
      <c r="N870" s="2" t="b">
        <v>1</v>
      </c>
      <c r="O870" s="2" t="inlineStr">
        <is>
          <t>allow</t>
        </is>
      </c>
      <c r="P870" s="2">
        <f>O870&lt;&gt;"unknown"</f>
        <v/>
      </c>
    </row>
    <row r="871">
      <c r="A871" s="2" t="inlineStr">
        <is>
          <t>1500-off</t>
        </is>
      </c>
      <c r="B871" s="2" t="n">
        <v>1500</v>
      </c>
      <c r="C871" s="2" t="inlineStr">
        <is>
          <t>off</t>
        </is>
      </c>
      <c r="D871" s="2" t="n">
        <v>1460</v>
      </c>
      <c r="E871" s="2" t="inlineStr">
        <is>
          <t>openssl SecP384r1MLKEM1024</t>
        </is>
      </c>
      <c r="F871" s="2" t="b">
        <v>1</v>
      </c>
      <c r="G871" s="2" t="n">
        <v>5</v>
      </c>
      <c r="H871" s="2" t="n">
        <v>1934</v>
      </c>
      <c r="I871" s="2" t="n">
        <v>1934</v>
      </c>
      <c r="J871" s="2" t="n">
        <v>1455</v>
      </c>
      <c r="K871" s="2">
        <f>H871+5&gt;D871</f>
        <v/>
      </c>
      <c r="L871" s="2">
        <f>J871&lt;I871</f>
        <v/>
      </c>
      <c r="M871" s="2" t="b">
        <v>1</v>
      </c>
      <c r="N871" s="2" t="b">
        <v>1</v>
      </c>
      <c r="O871" s="2" t="inlineStr">
        <is>
          <t>allow</t>
        </is>
      </c>
      <c r="P871" s="2">
        <f>O871&lt;&gt;"unknown"</f>
        <v/>
      </c>
    </row>
    <row r="872">
      <c r="A872" s="2" t="inlineStr">
        <is>
          <t>1500-off</t>
        </is>
      </c>
      <c r="B872" s="2" t="n">
        <v>1500</v>
      </c>
      <c r="C872" s="2" t="inlineStr">
        <is>
          <t>off</t>
        </is>
      </c>
      <c r="D872" s="2" t="n">
        <v>1460</v>
      </c>
      <c r="E872" s="2" t="inlineStr">
        <is>
          <t>openssl MLKEM768 (pure PQ)</t>
        </is>
      </c>
      <c r="F872" s="2" t="b">
        <v>1</v>
      </c>
      <c r="G872" s="2" t="n">
        <v>1</v>
      </c>
      <c r="H872" s="2" t="n">
        <v>1453</v>
      </c>
      <c r="I872" s="2" t="n">
        <v>1453</v>
      </c>
      <c r="J872" s="2" t="n">
        <v>1453</v>
      </c>
      <c r="K872" s="2">
        <f>H872+5&gt;D872</f>
        <v/>
      </c>
      <c r="L872" s="2">
        <f>J872&lt;I872</f>
        <v/>
      </c>
      <c r="M872" s="2" t="b">
        <v>1</v>
      </c>
      <c r="N872" s="2" t="b">
        <v>1</v>
      </c>
      <c r="O872" s="2" t="inlineStr">
        <is>
          <t>allow</t>
        </is>
      </c>
      <c r="P872" s="2">
        <f>O872&lt;&gt;"unknown"</f>
        <v/>
      </c>
    </row>
    <row r="873">
      <c r="A873" s="2" t="inlineStr">
        <is>
          <t>1500-off</t>
        </is>
      </c>
      <c r="B873" s="2" t="n">
        <v>1500</v>
      </c>
      <c r="C873" s="2" t="inlineStr">
        <is>
          <t>off</t>
        </is>
      </c>
      <c r="D873" s="2" t="n">
        <v>1460</v>
      </c>
      <c r="E873" s="2" t="inlineStr">
        <is>
          <t>openssl MLKEM768 (pure PQ)</t>
        </is>
      </c>
      <c r="F873" s="2" t="b">
        <v>1</v>
      </c>
      <c r="G873" s="2" t="n">
        <v>2</v>
      </c>
      <c r="H873" s="2" t="n">
        <v>1453</v>
      </c>
      <c r="I873" s="2" t="n">
        <v>1453</v>
      </c>
      <c r="J873" s="2" t="n">
        <v>1453</v>
      </c>
      <c r="K873" s="2">
        <f>H873+5&gt;D873</f>
        <v/>
      </c>
      <c r="L873" s="2">
        <f>J873&lt;I873</f>
        <v/>
      </c>
      <c r="M873" s="2" t="b">
        <v>1</v>
      </c>
      <c r="N873" s="2" t="b">
        <v>1</v>
      </c>
      <c r="O873" s="2" t="inlineStr">
        <is>
          <t>allow</t>
        </is>
      </c>
      <c r="P873" s="2">
        <f>O873&lt;&gt;"unknown"</f>
        <v/>
      </c>
    </row>
    <row r="874">
      <c r="A874" s="2" t="inlineStr">
        <is>
          <t>1500-off</t>
        </is>
      </c>
      <c r="B874" s="2" t="n">
        <v>1500</v>
      </c>
      <c r="C874" s="2" t="inlineStr">
        <is>
          <t>off</t>
        </is>
      </c>
      <c r="D874" s="2" t="n">
        <v>1460</v>
      </c>
      <c r="E874" s="2" t="inlineStr">
        <is>
          <t>openssl MLKEM768 (pure PQ)</t>
        </is>
      </c>
      <c r="F874" s="2" t="b">
        <v>1</v>
      </c>
      <c r="G874" s="2" t="n">
        <v>3</v>
      </c>
      <c r="H874" s="2" t="n">
        <v>1453</v>
      </c>
      <c r="I874" s="2" t="n">
        <v>1453</v>
      </c>
      <c r="J874" s="2" t="n">
        <v>1453</v>
      </c>
      <c r="K874" s="2">
        <f>H874+5&gt;D874</f>
        <v/>
      </c>
      <c r="L874" s="2">
        <f>J874&lt;I874</f>
        <v/>
      </c>
      <c r="M874" s="2" t="b">
        <v>1</v>
      </c>
      <c r="N874" s="2" t="b">
        <v>1</v>
      </c>
      <c r="O874" s="2" t="inlineStr">
        <is>
          <t>allow</t>
        </is>
      </c>
      <c r="P874" s="2">
        <f>O874&lt;&gt;"unknown"</f>
        <v/>
      </c>
    </row>
    <row r="875">
      <c r="A875" s="2" t="inlineStr">
        <is>
          <t>1500-off</t>
        </is>
      </c>
      <c r="B875" s="2" t="n">
        <v>1500</v>
      </c>
      <c r="C875" s="2" t="inlineStr">
        <is>
          <t>off</t>
        </is>
      </c>
      <c r="D875" s="2" t="n">
        <v>1460</v>
      </c>
      <c r="E875" s="2" t="inlineStr">
        <is>
          <t>openssl MLKEM768 (pure PQ)</t>
        </is>
      </c>
      <c r="F875" s="2" t="b">
        <v>1</v>
      </c>
      <c r="G875" s="2" t="n">
        <v>4</v>
      </c>
      <c r="H875" s="2" t="n">
        <v>1453</v>
      </c>
      <c r="I875" s="2" t="n">
        <v>1453</v>
      </c>
      <c r="J875" s="2" t="n">
        <v>1453</v>
      </c>
      <c r="K875" s="2">
        <f>H875+5&gt;D875</f>
        <v/>
      </c>
      <c r="L875" s="2">
        <f>J875&lt;I875</f>
        <v/>
      </c>
      <c r="M875" s="2" t="b">
        <v>1</v>
      </c>
      <c r="N875" s="2" t="b">
        <v>1</v>
      </c>
      <c r="O875" s="2" t="inlineStr">
        <is>
          <t>allow</t>
        </is>
      </c>
      <c r="P875" s="2">
        <f>O875&lt;&gt;"unknown"</f>
        <v/>
      </c>
    </row>
    <row r="876">
      <c r="A876" s="2" t="inlineStr">
        <is>
          <t>1500-off</t>
        </is>
      </c>
      <c r="B876" s="2" t="n">
        <v>1500</v>
      </c>
      <c r="C876" s="2" t="inlineStr">
        <is>
          <t>off</t>
        </is>
      </c>
      <c r="D876" s="2" t="n">
        <v>1460</v>
      </c>
      <c r="E876" s="2" t="inlineStr">
        <is>
          <t>openssl MLKEM768 (pure PQ)</t>
        </is>
      </c>
      <c r="F876" s="2" t="b">
        <v>1</v>
      </c>
      <c r="G876" s="2" t="n">
        <v>5</v>
      </c>
      <c r="H876" s="2" t="n">
        <v>1453</v>
      </c>
      <c r="I876" s="2" t="n">
        <v>1453</v>
      </c>
      <c r="J876" s="2" t="n">
        <v>1453</v>
      </c>
      <c r="K876" s="2">
        <f>H876+5&gt;D876</f>
        <v/>
      </c>
      <c r="L876" s="2">
        <f>J876&lt;I876</f>
        <v/>
      </c>
      <c r="M876" s="2" t="b">
        <v>1</v>
      </c>
      <c r="N876" s="2" t="b">
        <v>1</v>
      </c>
      <c r="O876" s="2" t="inlineStr">
        <is>
          <t>allow</t>
        </is>
      </c>
      <c r="P876" s="2">
        <f>O876&lt;&gt;"unknown"</f>
        <v/>
      </c>
    </row>
    <row r="877">
      <c r="A877" s="2" t="inlineStr">
        <is>
          <t>1500-off</t>
        </is>
      </c>
      <c r="B877" s="2" t="n">
        <v>1500</v>
      </c>
      <c r="C877" s="2" t="inlineStr">
        <is>
          <t>off</t>
        </is>
      </c>
      <c r="D877" s="2" t="n">
        <v>1460</v>
      </c>
      <c r="E877" s="2" t="inlineStr">
        <is>
          <t>openssl MLKEM1024 (pure PQ)</t>
        </is>
      </c>
      <c r="F877" s="2" t="b">
        <v>1</v>
      </c>
      <c r="G877" s="2" t="n">
        <v>1</v>
      </c>
      <c r="H877" s="2" t="n">
        <v>1837</v>
      </c>
      <c r="I877" s="2" t="n">
        <v>1837</v>
      </c>
      <c r="J877" s="2" t="n">
        <v>1455</v>
      </c>
      <c r="K877" s="2">
        <f>H877+5&gt;D877</f>
        <v/>
      </c>
      <c r="L877" s="2">
        <f>J877&lt;I877</f>
        <v/>
      </c>
      <c r="M877" s="2" t="b">
        <v>1</v>
      </c>
      <c r="N877" s="2" t="b">
        <v>1</v>
      </c>
      <c r="O877" s="2" t="inlineStr">
        <is>
          <t>allow</t>
        </is>
      </c>
      <c r="P877" s="2">
        <f>O877&lt;&gt;"unknown"</f>
        <v/>
      </c>
    </row>
    <row r="878">
      <c r="A878" s="2" t="inlineStr">
        <is>
          <t>1500-off</t>
        </is>
      </c>
      <c r="B878" s="2" t="n">
        <v>1500</v>
      </c>
      <c r="C878" s="2" t="inlineStr">
        <is>
          <t>off</t>
        </is>
      </c>
      <c r="D878" s="2" t="n">
        <v>1460</v>
      </c>
      <c r="E878" s="2" t="inlineStr">
        <is>
          <t>openssl MLKEM1024 (pure PQ)</t>
        </is>
      </c>
      <c r="F878" s="2" t="b">
        <v>1</v>
      </c>
      <c r="G878" s="2" t="n">
        <v>2</v>
      </c>
      <c r="H878" s="2" t="n">
        <v>1837</v>
      </c>
      <c r="I878" s="2" t="n">
        <v>1837</v>
      </c>
      <c r="J878" s="2" t="n">
        <v>1455</v>
      </c>
      <c r="K878" s="2">
        <f>H878+5&gt;D878</f>
        <v/>
      </c>
      <c r="L878" s="2">
        <f>J878&lt;I878</f>
        <v/>
      </c>
      <c r="M878" s="2" t="b">
        <v>1</v>
      </c>
      <c r="N878" s="2" t="b">
        <v>1</v>
      </c>
      <c r="O878" s="2" t="inlineStr">
        <is>
          <t>allow</t>
        </is>
      </c>
      <c r="P878" s="2">
        <f>O878&lt;&gt;"unknown"</f>
        <v/>
      </c>
    </row>
    <row r="879">
      <c r="A879" s="2" t="inlineStr">
        <is>
          <t>1500-off</t>
        </is>
      </c>
      <c r="B879" s="2" t="n">
        <v>1500</v>
      </c>
      <c r="C879" s="2" t="inlineStr">
        <is>
          <t>off</t>
        </is>
      </c>
      <c r="D879" s="2" t="n">
        <v>1460</v>
      </c>
      <c r="E879" s="2" t="inlineStr">
        <is>
          <t>openssl MLKEM1024 (pure PQ)</t>
        </is>
      </c>
      <c r="F879" s="2" t="b">
        <v>1</v>
      </c>
      <c r="G879" s="2" t="n">
        <v>3</v>
      </c>
      <c r="H879" s="2" t="n">
        <v>1837</v>
      </c>
      <c r="I879" s="2" t="n">
        <v>1837</v>
      </c>
      <c r="J879" s="2" t="n">
        <v>1455</v>
      </c>
      <c r="K879" s="2">
        <f>H879+5&gt;D879</f>
        <v/>
      </c>
      <c r="L879" s="2">
        <f>J879&lt;I879</f>
        <v/>
      </c>
      <c r="M879" s="2" t="b">
        <v>1</v>
      </c>
      <c r="N879" s="2" t="b">
        <v>1</v>
      </c>
      <c r="O879" s="2" t="inlineStr">
        <is>
          <t>allow</t>
        </is>
      </c>
      <c r="P879" s="2">
        <f>O879&lt;&gt;"unknown"</f>
        <v/>
      </c>
    </row>
    <row r="880">
      <c r="A880" s="2" t="inlineStr">
        <is>
          <t>1500-off</t>
        </is>
      </c>
      <c r="B880" s="2" t="n">
        <v>1500</v>
      </c>
      <c r="C880" s="2" t="inlineStr">
        <is>
          <t>off</t>
        </is>
      </c>
      <c r="D880" s="2" t="n">
        <v>1460</v>
      </c>
      <c r="E880" s="2" t="inlineStr">
        <is>
          <t>openssl MLKEM1024 (pure PQ)</t>
        </is>
      </c>
      <c r="F880" s="2" t="b">
        <v>1</v>
      </c>
      <c r="G880" s="2" t="n">
        <v>4</v>
      </c>
      <c r="H880" s="2" t="n">
        <v>1837</v>
      </c>
      <c r="I880" s="2" t="n">
        <v>1837</v>
      </c>
      <c r="J880" s="2" t="n">
        <v>1455</v>
      </c>
      <c r="K880" s="2">
        <f>H880+5&gt;D880</f>
        <v/>
      </c>
      <c r="L880" s="2">
        <f>J880&lt;I880</f>
        <v/>
      </c>
      <c r="M880" s="2" t="b">
        <v>1</v>
      </c>
      <c r="N880" s="2" t="b">
        <v>1</v>
      </c>
      <c r="O880" s="2" t="inlineStr">
        <is>
          <t>allow</t>
        </is>
      </c>
      <c r="P880" s="2">
        <f>O880&lt;&gt;"unknown"</f>
        <v/>
      </c>
    </row>
    <row r="881">
      <c r="A881" s="2" t="inlineStr">
        <is>
          <t>1500-off</t>
        </is>
      </c>
      <c r="B881" s="2" t="n">
        <v>1500</v>
      </c>
      <c r="C881" s="2" t="inlineStr">
        <is>
          <t>off</t>
        </is>
      </c>
      <c r="D881" s="2" t="n">
        <v>1460</v>
      </c>
      <c r="E881" s="2" t="inlineStr">
        <is>
          <t>openssl MLKEM1024 (pure PQ)</t>
        </is>
      </c>
      <c r="F881" s="2" t="b">
        <v>1</v>
      </c>
      <c r="G881" s="2" t="n">
        <v>5</v>
      </c>
      <c r="H881" s="2" t="n">
        <v>1837</v>
      </c>
      <c r="I881" s="2" t="n">
        <v>1837</v>
      </c>
      <c r="J881" s="2" t="n">
        <v>1455</v>
      </c>
      <c r="K881" s="2">
        <f>H881+5&gt;D881</f>
        <v/>
      </c>
      <c r="L881" s="2">
        <f>J881&lt;I881</f>
        <v/>
      </c>
      <c r="M881" s="2" t="b">
        <v>1</v>
      </c>
      <c r="N881" s="2" t="b">
        <v>1</v>
      </c>
      <c r="O881" s="2" t="inlineStr">
        <is>
          <t>allow</t>
        </is>
      </c>
      <c r="P881" s="2">
        <f>O881&lt;&gt;"unknown"</f>
        <v/>
      </c>
    </row>
    <row r="882">
      <c r="A882" s="2" t="inlineStr">
        <is>
          <t>1500-off</t>
        </is>
      </c>
      <c r="B882" s="2" t="n">
        <v>1500</v>
      </c>
      <c r="C882" s="2" t="inlineStr">
        <is>
          <t>off</t>
        </is>
      </c>
      <c r="D882" s="2" t="n">
        <v>1460</v>
      </c>
      <c r="E882" s="2" t="inlineStr">
        <is>
          <t>openssl TLS 1.2 only</t>
        </is>
      </c>
      <c r="F882" s="2" t="b">
        <v>0</v>
      </c>
      <c r="G882" s="2" t="n">
        <v>1</v>
      </c>
      <c r="H882" s="2" t="n">
        <v>210</v>
      </c>
      <c r="I882" s="2" t="n">
        <v>210</v>
      </c>
      <c r="J882" s="2" t="n">
        <v>210</v>
      </c>
      <c r="K882" s="2">
        <f>H882+5&gt;D882</f>
        <v/>
      </c>
      <c r="L882" s="2">
        <f>J882&lt;I882</f>
        <v/>
      </c>
      <c r="M882" s="2" t="b">
        <v>1</v>
      </c>
      <c r="N882" s="2" t="b">
        <v>1</v>
      </c>
      <c r="O882" s="2" t="inlineStr">
        <is>
          <t>allow</t>
        </is>
      </c>
      <c r="P882" s="2">
        <f>O882&lt;&gt;"unknown"</f>
        <v/>
      </c>
    </row>
    <row r="883">
      <c r="A883" s="2" t="inlineStr">
        <is>
          <t>1500-off</t>
        </is>
      </c>
      <c r="B883" s="2" t="n">
        <v>1500</v>
      </c>
      <c r="C883" s="2" t="inlineStr">
        <is>
          <t>off</t>
        </is>
      </c>
      <c r="D883" s="2" t="n">
        <v>1460</v>
      </c>
      <c r="E883" s="2" t="inlineStr">
        <is>
          <t>openssl TLS 1.2 only</t>
        </is>
      </c>
      <c r="F883" s="2" t="b">
        <v>0</v>
      </c>
      <c r="G883" s="2" t="n">
        <v>2</v>
      </c>
      <c r="H883" s="2" t="n">
        <v>210</v>
      </c>
      <c r="I883" s="2" t="n">
        <v>210</v>
      </c>
      <c r="J883" s="2" t="n">
        <v>210</v>
      </c>
      <c r="K883" s="2">
        <f>H883+5&gt;D883</f>
        <v/>
      </c>
      <c r="L883" s="2">
        <f>J883&lt;I883</f>
        <v/>
      </c>
      <c r="M883" s="2" t="b">
        <v>1</v>
      </c>
      <c r="N883" s="2" t="b">
        <v>1</v>
      </c>
      <c r="O883" s="2" t="inlineStr">
        <is>
          <t>allow</t>
        </is>
      </c>
      <c r="P883" s="2">
        <f>O883&lt;&gt;"unknown"</f>
        <v/>
      </c>
    </row>
    <row r="884">
      <c r="A884" s="2" t="inlineStr">
        <is>
          <t>1500-off</t>
        </is>
      </c>
      <c r="B884" s="2" t="n">
        <v>1500</v>
      </c>
      <c r="C884" s="2" t="inlineStr">
        <is>
          <t>off</t>
        </is>
      </c>
      <c r="D884" s="2" t="n">
        <v>1460</v>
      </c>
      <c r="E884" s="2" t="inlineStr">
        <is>
          <t>openssl TLS 1.2 only</t>
        </is>
      </c>
      <c r="F884" s="2" t="b">
        <v>0</v>
      </c>
      <c r="G884" s="2" t="n">
        <v>3</v>
      </c>
      <c r="H884" s="2" t="n">
        <v>210</v>
      </c>
      <c r="I884" s="2" t="n">
        <v>210</v>
      </c>
      <c r="J884" s="2" t="n">
        <v>210</v>
      </c>
      <c r="K884" s="2">
        <f>H884+5&gt;D884</f>
        <v/>
      </c>
      <c r="L884" s="2">
        <f>J884&lt;I884</f>
        <v/>
      </c>
      <c r="M884" s="2" t="b">
        <v>1</v>
      </c>
      <c r="N884" s="2" t="b">
        <v>1</v>
      </c>
      <c r="O884" s="2" t="inlineStr">
        <is>
          <t>allow</t>
        </is>
      </c>
      <c r="P884" s="2">
        <f>O884&lt;&gt;"unknown"</f>
        <v/>
      </c>
    </row>
    <row r="885">
      <c r="A885" s="2" t="inlineStr">
        <is>
          <t>1500-off</t>
        </is>
      </c>
      <c r="B885" s="2" t="n">
        <v>1500</v>
      </c>
      <c r="C885" s="2" t="inlineStr">
        <is>
          <t>off</t>
        </is>
      </c>
      <c r="D885" s="2" t="n">
        <v>1460</v>
      </c>
      <c r="E885" s="2" t="inlineStr">
        <is>
          <t>openssl TLS 1.2 only</t>
        </is>
      </c>
      <c r="F885" s="2" t="b">
        <v>0</v>
      </c>
      <c r="G885" s="2" t="n">
        <v>4</v>
      </c>
      <c r="H885" s="2" t="n">
        <v>210</v>
      </c>
      <c r="I885" s="2" t="n">
        <v>210</v>
      </c>
      <c r="J885" s="2" t="n">
        <v>210</v>
      </c>
      <c r="K885" s="2">
        <f>H885+5&gt;D885</f>
        <v/>
      </c>
      <c r="L885" s="2">
        <f>J885&lt;I885</f>
        <v/>
      </c>
      <c r="M885" s="2" t="b">
        <v>1</v>
      </c>
      <c r="N885" s="2" t="b">
        <v>1</v>
      </c>
      <c r="O885" s="2" t="inlineStr">
        <is>
          <t>allow</t>
        </is>
      </c>
      <c r="P885" s="2">
        <f>O885&lt;&gt;"unknown"</f>
        <v/>
      </c>
    </row>
    <row r="886">
      <c r="A886" s="2" t="inlineStr">
        <is>
          <t>1500-off</t>
        </is>
      </c>
      <c r="B886" s="2" t="n">
        <v>1500</v>
      </c>
      <c r="C886" s="2" t="inlineStr">
        <is>
          <t>off</t>
        </is>
      </c>
      <c r="D886" s="2" t="n">
        <v>1460</v>
      </c>
      <c r="E886" s="2" t="inlineStr">
        <is>
          <t>openssl TLS 1.2 only</t>
        </is>
      </c>
      <c r="F886" s="2" t="b">
        <v>0</v>
      </c>
      <c r="G886" s="2" t="n">
        <v>5</v>
      </c>
      <c r="H886" s="2" t="n">
        <v>210</v>
      </c>
      <c r="I886" s="2" t="n">
        <v>210</v>
      </c>
      <c r="J886" s="2" t="n">
        <v>210</v>
      </c>
      <c r="K886" s="2">
        <f>H886+5&gt;D886</f>
        <v/>
      </c>
      <c r="L886" s="2">
        <f>J886&lt;I886</f>
        <v/>
      </c>
      <c r="M886" s="2" t="b">
        <v>1</v>
      </c>
      <c r="N886" s="2" t="b">
        <v>1</v>
      </c>
      <c r="O886" s="2" t="inlineStr">
        <is>
          <t>allow</t>
        </is>
      </c>
      <c r="P886" s="2">
        <f>O886&lt;&gt;"unknown"</f>
        <v/>
      </c>
    </row>
    <row r="887">
      <c r="A887" s="2" t="inlineStr">
        <is>
          <t>1500-off</t>
        </is>
      </c>
      <c r="B887" s="2" t="n">
        <v>1500</v>
      </c>
      <c r="C887" s="2" t="inlineStr">
        <is>
          <t>off</t>
        </is>
      </c>
      <c r="D887" s="2" t="n">
        <v>1460</v>
      </c>
      <c r="E887" s="2" t="inlineStr">
        <is>
          <t>curl 8.22 (OpenSSL 3.5.8)</t>
        </is>
      </c>
      <c r="F887" s="2" t="b">
        <v>1</v>
      </c>
      <c r="G887" s="2" t="n">
        <v>1</v>
      </c>
      <c r="H887" s="2" t="n">
        <v>1561</v>
      </c>
      <c r="I887" s="2" t="n">
        <v>1561</v>
      </c>
      <c r="J887" s="2" t="n">
        <v>1455</v>
      </c>
      <c r="K887" s="2">
        <f>H887+5&gt;D887</f>
        <v/>
      </c>
      <c r="L887" s="2">
        <f>J887&lt;I887</f>
        <v/>
      </c>
      <c r="M887" s="2" t="b">
        <v>1</v>
      </c>
      <c r="N887" s="2" t="b">
        <v>1</v>
      </c>
      <c r="O887" s="2" t="inlineStr">
        <is>
          <t>allow</t>
        </is>
      </c>
      <c r="P887" s="2">
        <f>O887&lt;&gt;"unknown"</f>
        <v/>
      </c>
    </row>
    <row r="888">
      <c r="A888" s="2" t="inlineStr">
        <is>
          <t>1500-off</t>
        </is>
      </c>
      <c r="B888" s="2" t="n">
        <v>1500</v>
      </c>
      <c r="C888" s="2" t="inlineStr">
        <is>
          <t>off</t>
        </is>
      </c>
      <c r="D888" s="2" t="n">
        <v>1460</v>
      </c>
      <c r="E888" s="2" t="inlineStr">
        <is>
          <t>curl 8.22 (OpenSSL 3.5.8)</t>
        </is>
      </c>
      <c r="F888" s="2" t="b">
        <v>1</v>
      </c>
      <c r="G888" s="2" t="n">
        <v>2</v>
      </c>
      <c r="H888" s="2" t="n">
        <v>1561</v>
      </c>
      <c r="I888" s="2" t="n">
        <v>1561</v>
      </c>
      <c r="J888" s="2" t="n">
        <v>1455</v>
      </c>
      <c r="K888" s="2">
        <f>H888+5&gt;D888</f>
        <v/>
      </c>
      <c r="L888" s="2">
        <f>J888&lt;I888</f>
        <v/>
      </c>
      <c r="M888" s="2" t="b">
        <v>1</v>
      </c>
      <c r="N888" s="2" t="b">
        <v>1</v>
      </c>
      <c r="O888" s="2" t="inlineStr">
        <is>
          <t>allow</t>
        </is>
      </c>
      <c r="P888" s="2">
        <f>O888&lt;&gt;"unknown"</f>
        <v/>
      </c>
    </row>
    <row r="889">
      <c r="A889" s="2" t="inlineStr">
        <is>
          <t>1500-off</t>
        </is>
      </c>
      <c r="B889" s="2" t="n">
        <v>1500</v>
      </c>
      <c r="C889" s="2" t="inlineStr">
        <is>
          <t>off</t>
        </is>
      </c>
      <c r="D889" s="2" t="n">
        <v>1460</v>
      </c>
      <c r="E889" s="2" t="inlineStr">
        <is>
          <t>curl 8.22 (OpenSSL 3.5.8)</t>
        </is>
      </c>
      <c r="F889" s="2" t="b">
        <v>1</v>
      </c>
      <c r="G889" s="2" t="n">
        <v>3</v>
      </c>
      <c r="H889" s="2" t="n">
        <v>1561</v>
      </c>
      <c r="I889" s="2" t="n">
        <v>1561</v>
      </c>
      <c r="J889" s="2" t="n">
        <v>1455</v>
      </c>
      <c r="K889" s="2">
        <f>H889+5&gt;D889</f>
        <v/>
      </c>
      <c r="L889" s="2">
        <f>J889&lt;I889</f>
        <v/>
      </c>
      <c r="M889" s="2" t="b">
        <v>1</v>
      </c>
      <c r="N889" s="2" t="b">
        <v>1</v>
      </c>
      <c r="O889" s="2" t="inlineStr">
        <is>
          <t>allow</t>
        </is>
      </c>
      <c r="P889" s="2">
        <f>O889&lt;&gt;"unknown"</f>
        <v/>
      </c>
    </row>
    <row r="890">
      <c r="A890" s="2" t="inlineStr">
        <is>
          <t>1500-off</t>
        </is>
      </c>
      <c r="B890" s="2" t="n">
        <v>1500</v>
      </c>
      <c r="C890" s="2" t="inlineStr">
        <is>
          <t>off</t>
        </is>
      </c>
      <c r="D890" s="2" t="n">
        <v>1460</v>
      </c>
      <c r="E890" s="2" t="inlineStr">
        <is>
          <t>curl 8.22 (OpenSSL 3.5.8)</t>
        </is>
      </c>
      <c r="F890" s="2" t="b">
        <v>1</v>
      </c>
      <c r="G890" s="2" t="n">
        <v>4</v>
      </c>
      <c r="H890" s="2" t="n">
        <v>1561</v>
      </c>
      <c r="I890" s="2" t="n">
        <v>1561</v>
      </c>
      <c r="J890" s="2" t="n">
        <v>1455</v>
      </c>
      <c r="K890" s="2">
        <f>H890+5&gt;D890</f>
        <v/>
      </c>
      <c r="L890" s="2">
        <f>J890&lt;I890</f>
        <v/>
      </c>
      <c r="M890" s="2" t="b">
        <v>1</v>
      </c>
      <c r="N890" s="2" t="b">
        <v>1</v>
      </c>
      <c r="O890" s="2" t="inlineStr">
        <is>
          <t>allow</t>
        </is>
      </c>
      <c r="P890" s="2">
        <f>O890&lt;&gt;"unknown"</f>
        <v/>
      </c>
    </row>
    <row r="891">
      <c r="A891" s="2" t="inlineStr">
        <is>
          <t>1500-off</t>
        </is>
      </c>
      <c r="B891" s="2" t="n">
        <v>1500</v>
      </c>
      <c r="C891" s="2" t="inlineStr">
        <is>
          <t>off</t>
        </is>
      </c>
      <c r="D891" s="2" t="n">
        <v>1460</v>
      </c>
      <c r="E891" s="2" t="inlineStr">
        <is>
          <t>curl 8.22 (OpenSSL 3.5.8)</t>
        </is>
      </c>
      <c r="F891" s="2" t="b">
        <v>1</v>
      </c>
      <c r="G891" s="2" t="n">
        <v>5</v>
      </c>
      <c r="H891" s="2" t="n">
        <v>1561</v>
      </c>
      <c r="I891" s="2" t="n">
        <v>1561</v>
      </c>
      <c r="J891" s="2" t="n">
        <v>1455</v>
      </c>
      <c r="K891" s="2">
        <f>H891+5&gt;D891</f>
        <v/>
      </c>
      <c r="L891" s="2">
        <f>J891&lt;I891</f>
        <v/>
      </c>
      <c r="M891" s="2" t="b">
        <v>1</v>
      </c>
      <c r="N891" s="2" t="b">
        <v>1</v>
      </c>
      <c r="O891" s="2" t="inlineStr">
        <is>
          <t>allow</t>
        </is>
      </c>
      <c r="P891" s="2">
        <f>O891&lt;&gt;"unknown"</f>
        <v/>
      </c>
    </row>
    <row r="892">
      <c r="A892" s="2" t="inlineStr">
        <is>
          <t>1500-off</t>
        </is>
      </c>
      <c r="B892" s="2" t="n">
        <v>1500</v>
      </c>
      <c r="C892" s="2" t="inlineStr">
        <is>
          <t>off</t>
        </is>
      </c>
      <c r="D892" s="2" t="n">
        <v>1460</v>
      </c>
      <c r="E892" s="2" t="inlineStr">
        <is>
          <t>python 3.14 urllib (OpenSSL 3.5.8)</t>
        </is>
      </c>
      <c r="F892" s="2" t="b">
        <v>1</v>
      </c>
      <c r="G892" s="2" t="n">
        <v>1</v>
      </c>
      <c r="H892" s="2" t="n">
        <v>1517</v>
      </c>
      <c r="I892" s="2" t="n">
        <v>1517</v>
      </c>
      <c r="J892" s="2" t="n">
        <v>1455</v>
      </c>
      <c r="K892" s="2">
        <f>H892+5&gt;D892</f>
        <v/>
      </c>
      <c r="L892" s="2">
        <f>J892&lt;I892</f>
        <v/>
      </c>
      <c r="M892" s="2" t="b">
        <v>1</v>
      </c>
      <c r="N892" s="2" t="b">
        <v>1</v>
      </c>
      <c r="O892" s="2" t="inlineStr">
        <is>
          <t>allow</t>
        </is>
      </c>
      <c r="P892" s="2">
        <f>O892&lt;&gt;"unknown"</f>
        <v/>
      </c>
    </row>
    <row r="893">
      <c r="A893" s="2" t="inlineStr">
        <is>
          <t>1500-off</t>
        </is>
      </c>
      <c r="B893" s="2" t="n">
        <v>1500</v>
      </c>
      <c r="C893" s="2" t="inlineStr">
        <is>
          <t>off</t>
        </is>
      </c>
      <c r="D893" s="2" t="n">
        <v>1460</v>
      </c>
      <c r="E893" s="2" t="inlineStr">
        <is>
          <t>python 3.14 urllib (OpenSSL 3.5.8)</t>
        </is>
      </c>
      <c r="F893" s="2" t="b">
        <v>1</v>
      </c>
      <c r="G893" s="2" t="n">
        <v>2</v>
      </c>
      <c r="H893" s="2" t="n">
        <v>1517</v>
      </c>
      <c r="I893" s="2" t="n">
        <v>1517</v>
      </c>
      <c r="J893" s="2" t="n">
        <v>1455</v>
      </c>
      <c r="K893" s="2">
        <f>H893+5&gt;D893</f>
        <v/>
      </c>
      <c r="L893" s="2">
        <f>J893&lt;I893</f>
        <v/>
      </c>
      <c r="M893" s="2" t="b">
        <v>1</v>
      </c>
      <c r="N893" s="2" t="b">
        <v>1</v>
      </c>
      <c r="O893" s="2" t="inlineStr">
        <is>
          <t>allow</t>
        </is>
      </c>
      <c r="P893" s="2">
        <f>O893&lt;&gt;"unknown"</f>
        <v/>
      </c>
    </row>
    <row r="894">
      <c r="A894" s="2" t="inlineStr">
        <is>
          <t>1500-off</t>
        </is>
      </c>
      <c r="B894" s="2" t="n">
        <v>1500</v>
      </c>
      <c r="C894" s="2" t="inlineStr">
        <is>
          <t>off</t>
        </is>
      </c>
      <c r="D894" s="2" t="n">
        <v>1460</v>
      </c>
      <c r="E894" s="2" t="inlineStr">
        <is>
          <t>python 3.14 urllib (OpenSSL 3.5.8)</t>
        </is>
      </c>
      <c r="F894" s="2" t="b">
        <v>1</v>
      </c>
      <c r="G894" s="2" t="n">
        <v>3</v>
      </c>
      <c r="H894" s="2" t="n">
        <v>1517</v>
      </c>
      <c r="I894" s="2" t="n">
        <v>1517</v>
      </c>
      <c r="J894" s="2" t="n">
        <v>1455</v>
      </c>
      <c r="K894" s="2">
        <f>H894+5&gt;D894</f>
        <v/>
      </c>
      <c r="L894" s="2">
        <f>J894&lt;I894</f>
        <v/>
      </c>
      <c r="M894" s="2" t="b">
        <v>1</v>
      </c>
      <c r="N894" s="2" t="b">
        <v>1</v>
      </c>
      <c r="O894" s="2" t="inlineStr">
        <is>
          <t>allow</t>
        </is>
      </c>
      <c r="P894" s="2">
        <f>O894&lt;&gt;"unknown"</f>
        <v/>
      </c>
    </row>
    <row r="895">
      <c r="A895" s="2" t="inlineStr">
        <is>
          <t>1500-off</t>
        </is>
      </c>
      <c r="B895" s="2" t="n">
        <v>1500</v>
      </c>
      <c r="C895" s="2" t="inlineStr">
        <is>
          <t>off</t>
        </is>
      </c>
      <c r="D895" s="2" t="n">
        <v>1460</v>
      </c>
      <c r="E895" s="2" t="inlineStr">
        <is>
          <t>python 3.14 urllib (OpenSSL 3.5.8)</t>
        </is>
      </c>
      <c r="F895" s="2" t="b">
        <v>1</v>
      </c>
      <c r="G895" s="2" t="n">
        <v>4</v>
      </c>
      <c r="H895" s="2" t="n">
        <v>1517</v>
      </c>
      <c r="I895" s="2" t="n">
        <v>1517</v>
      </c>
      <c r="J895" s="2" t="n">
        <v>1455</v>
      </c>
      <c r="K895" s="2">
        <f>H895+5&gt;D895</f>
        <v/>
      </c>
      <c r="L895" s="2">
        <f>J895&lt;I895</f>
        <v/>
      </c>
      <c r="M895" s="2" t="b">
        <v>1</v>
      </c>
      <c r="N895" s="2" t="b">
        <v>1</v>
      </c>
      <c r="O895" s="2" t="inlineStr">
        <is>
          <t>allow</t>
        </is>
      </c>
      <c r="P895" s="2">
        <f>O895&lt;&gt;"unknown"</f>
        <v/>
      </c>
    </row>
    <row r="896">
      <c r="A896" s="2" t="inlineStr">
        <is>
          <t>1500-off</t>
        </is>
      </c>
      <c r="B896" s="2" t="n">
        <v>1500</v>
      </c>
      <c r="C896" s="2" t="inlineStr">
        <is>
          <t>off</t>
        </is>
      </c>
      <c r="D896" s="2" t="n">
        <v>1460</v>
      </c>
      <c r="E896" s="2" t="inlineStr">
        <is>
          <t>python 3.14 urllib (OpenSSL 3.5.8)</t>
        </is>
      </c>
      <c r="F896" s="2" t="b">
        <v>1</v>
      </c>
      <c r="G896" s="2" t="n">
        <v>5</v>
      </c>
      <c r="H896" s="2" t="n">
        <v>1517</v>
      </c>
      <c r="I896" s="2" t="n">
        <v>1517</v>
      </c>
      <c r="J896" s="2" t="n">
        <v>1455</v>
      </c>
      <c r="K896" s="2">
        <f>H896+5&gt;D896</f>
        <v/>
      </c>
      <c r="L896" s="2">
        <f>J896&lt;I896</f>
        <v/>
      </c>
      <c r="M896" s="2" t="b">
        <v>1</v>
      </c>
      <c r="N896" s="2" t="b">
        <v>1</v>
      </c>
      <c r="O896" s="2" t="inlineStr">
        <is>
          <t>allow</t>
        </is>
      </c>
      <c r="P896" s="2">
        <f>O896&lt;&gt;"unknown"</f>
        <v/>
      </c>
    </row>
    <row r="897">
      <c r="A897" s="2" t="inlineStr">
        <is>
          <t>1500-off</t>
        </is>
      </c>
      <c r="B897" s="2" t="n">
        <v>1500</v>
      </c>
      <c r="C897" s="2" t="inlineStr">
        <is>
          <t>off</t>
        </is>
      </c>
      <c r="D897" s="2" t="n">
        <v>1460</v>
      </c>
      <c r="E897" s="2" t="inlineStr">
        <is>
          <t>node 26 https (OpenSSL 3.5.8)</t>
        </is>
      </c>
      <c r="F897" s="2" t="b">
        <v>1</v>
      </c>
      <c r="G897" s="2" t="n">
        <v>1</v>
      </c>
      <c r="H897" s="2" t="n">
        <v>1587</v>
      </c>
      <c r="I897" s="2" t="n">
        <v>1587</v>
      </c>
      <c r="J897" s="2" t="n">
        <v>1455</v>
      </c>
      <c r="K897" s="2">
        <f>H897+5&gt;D897</f>
        <v/>
      </c>
      <c r="L897" s="2">
        <f>J897&lt;I897</f>
        <v/>
      </c>
      <c r="M897" s="2" t="b">
        <v>1</v>
      </c>
      <c r="N897" s="2" t="b">
        <v>1</v>
      </c>
      <c r="O897" s="2" t="inlineStr">
        <is>
          <t>allow</t>
        </is>
      </c>
      <c r="P897" s="2">
        <f>O897&lt;&gt;"unknown"</f>
        <v/>
      </c>
    </row>
    <row r="898">
      <c r="A898" s="2" t="inlineStr">
        <is>
          <t>1500-off</t>
        </is>
      </c>
      <c r="B898" s="2" t="n">
        <v>1500</v>
      </c>
      <c r="C898" s="2" t="inlineStr">
        <is>
          <t>off</t>
        </is>
      </c>
      <c r="D898" s="2" t="n">
        <v>1460</v>
      </c>
      <c r="E898" s="2" t="inlineStr">
        <is>
          <t>node 26 https (OpenSSL 3.5.8)</t>
        </is>
      </c>
      <c r="F898" s="2" t="b">
        <v>1</v>
      </c>
      <c r="G898" s="2" t="n">
        <v>2</v>
      </c>
      <c r="H898" s="2" t="n">
        <v>1587</v>
      </c>
      <c r="I898" s="2" t="n">
        <v>1587</v>
      </c>
      <c r="J898" s="2" t="n">
        <v>1455</v>
      </c>
      <c r="K898" s="2">
        <f>H898+5&gt;D898</f>
        <v/>
      </c>
      <c r="L898" s="2">
        <f>J898&lt;I898</f>
        <v/>
      </c>
      <c r="M898" s="2" t="b">
        <v>1</v>
      </c>
      <c r="N898" s="2" t="b">
        <v>1</v>
      </c>
      <c r="O898" s="2" t="inlineStr">
        <is>
          <t>allow</t>
        </is>
      </c>
      <c r="P898" s="2">
        <f>O898&lt;&gt;"unknown"</f>
        <v/>
      </c>
    </row>
    <row r="899">
      <c r="A899" s="2" t="inlineStr">
        <is>
          <t>1500-off</t>
        </is>
      </c>
      <c r="B899" s="2" t="n">
        <v>1500</v>
      </c>
      <c r="C899" s="2" t="inlineStr">
        <is>
          <t>off</t>
        </is>
      </c>
      <c r="D899" s="2" t="n">
        <v>1460</v>
      </c>
      <c r="E899" s="2" t="inlineStr">
        <is>
          <t>node 26 https (OpenSSL 3.5.8)</t>
        </is>
      </c>
      <c r="F899" s="2" t="b">
        <v>1</v>
      </c>
      <c r="G899" s="2" t="n">
        <v>3</v>
      </c>
      <c r="H899" s="2" t="n">
        <v>1587</v>
      </c>
      <c r="I899" s="2" t="n">
        <v>1587</v>
      </c>
      <c r="J899" s="2" t="n">
        <v>1455</v>
      </c>
      <c r="K899" s="2">
        <f>H899+5&gt;D899</f>
        <v/>
      </c>
      <c r="L899" s="2">
        <f>J899&lt;I899</f>
        <v/>
      </c>
      <c r="M899" s="2" t="b">
        <v>1</v>
      </c>
      <c r="N899" s="2" t="b">
        <v>1</v>
      </c>
      <c r="O899" s="2" t="inlineStr">
        <is>
          <t>allow</t>
        </is>
      </c>
      <c r="P899" s="2">
        <f>O899&lt;&gt;"unknown"</f>
        <v/>
      </c>
    </row>
    <row r="900">
      <c r="A900" s="2" t="inlineStr">
        <is>
          <t>1500-off</t>
        </is>
      </c>
      <c r="B900" s="2" t="n">
        <v>1500</v>
      </c>
      <c r="C900" s="2" t="inlineStr">
        <is>
          <t>off</t>
        </is>
      </c>
      <c r="D900" s="2" t="n">
        <v>1460</v>
      </c>
      <c r="E900" s="2" t="inlineStr">
        <is>
          <t>node 26 https (OpenSSL 3.5.8)</t>
        </is>
      </c>
      <c r="F900" s="2" t="b">
        <v>1</v>
      </c>
      <c r="G900" s="2" t="n">
        <v>4</v>
      </c>
      <c r="H900" s="2" t="n">
        <v>1587</v>
      </c>
      <c r="I900" s="2" t="n">
        <v>1587</v>
      </c>
      <c r="J900" s="2" t="n">
        <v>1455</v>
      </c>
      <c r="K900" s="2">
        <f>H900+5&gt;D900</f>
        <v/>
      </c>
      <c r="L900" s="2">
        <f>J900&lt;I900</f>
        <v/>
      </c>
      <c r="M900" s="2" t="b">
        <v>1</v>
      </c>
      <c r="N900" s="2" t="b">
        <v>1</v>
      </c>
      <c r="O900" s="2" t="inlineStr">
        <is>
          <t>allow</t>
        </is>
      </c>
      <c r="P900" s="2">
        <f>O900&lt;&gt;"unknown"</f>
        <v/>
      </c>
    </row>
    <row r="901">
      <c r="A901" s="2" t="inlineStr">
        <is>
          <t>1500-off</t>
        </is>
      </c>
      <c r="B901" s="2" t="n">
        <v>1500</v>
      </c>
      <c r="C901" s="2" t="inlineStr">
        <is>
          <t>off</t>
        </is>
      </c>
      <c r="D901" s="2" t="n">
        <v>1460</v>
      </c>
      <c r="E901" s="2" t="inlineStr">
        <is>
          <t>node 26 https (OpenSSL 3.5.8)</t>
        </is>
      </c>
      <c r="F901" s="2" t="b">
        <v>1</v>
      </c>
      <c r="G901" s="2" t="n">
        <v>5</v>
      </c>
      <c r="H901" s="2" t="n">
        <v>1587</v>
      </c>
      <c r="I901" s="2" t="n">
        <v>1587</v>
      </c>
      <c r="J901" s="2" t="n">
        <v>1455</v>
      </c>
      <c r="K901" s="2">
        <f>H901+5&gt;D901</f>
        <v/>
      </c>
      <c r="L901" s="2">
        <f>J901&lt;I901</f>
        <v/>
      </c>
      <c r="M901" s="2" t="b">
        <v>1</v>
      </c>
      <c r="N901" s="2" t="b">
        <v>1</v>
      </c>
      <c r="O901" s="2" t="inlineStr">
        <is>
          <t>allow</t>
        </is>
      </c>
      <c r="P901" s="2">
        <f>O901&lt;&gt;"unknown"</f>
        <v/>
      </c>
    </row>
    <row r="902">
      <c r="A902" s="2" t="inlineStr">
        <is>
          <t>1500-off</t>
        </is>
      </c>
      <c r="B902" s="2" t="n">
        <v>1500</v>
      </c>
      <c r="C902" s="2" t="inlineStr">
        <is>
          <t>off</t>
        </is>
      </c>
      <c r="D902" s="2" t="n">
        <v>1460</v>
      </c>
      <c r="E902" s="2" t="inlineStr">
        <is>
          <t>go 1.27 net/http (crypto/tls)</t>
        </is>
      </c>
      <c r="F902" s="2" t="b">
        <v>1</v>
      </c>
      <c r="G902" s="2" t="n">
        <v>1</v>
      </c>
      <c r="H902" s="2" t="n">
        <v>1532</v>
      </c>
      <c r="I902" s="2" t="n">
        <v>1532</v>
      </c>
      <c r="J902" s="2" t="n">
        <v>1455</v>
      </c>
      <c r="K902" s="2">
        <f>H902+5&gt;D902</f>
        <v/>
      </c>
      <c r="L902" s="2">
        <f>J902&lt;I902</f>
        <v/>
      </c>
      <c r="M902" s="2" t="b">
        <v>1</v>
      </c>
      <c r="N902" s="2" t="b">
        <v>1</v>
      </c>
      <c r="O902" s="2" t="inlineStr">
        <is>
          <t>allow</t>
        </is>
      </c>
      <c r="P902" s="2">
        <f>O902&lt;&gt;"unknown"</f>
        <v/>
      </c>
    </row>
    <row r="903">
      <c r="A903" s="2" t="inlineStr">
        <is>
          <t>1500-off</t>
        </is>
      </c>
      <c r="B903" s="2" t="n">
        <v>1500</v>
      </c>
      <c r="C903" s="2" t="inlineStr">
        <is>
          <t>off</t>
        </is>
      </c>
      <c r="D903" s="2" t="n">
        <v>1460</v>
      </c>
      <c r="E903" s="2" t="inlineStr">
        <is>
          <t>go 1.27 net/http (crypto/tls)</t>
        </is>
      </c>
      <c r="F903" s="2" t="b">
        <v>1</v>
      </c>
      <c r="G903" s="2" t="n">
        <v>2</v>
      </c>
      <c r="H903" s="2" t="n">
        <v>1532</v>
      </c>
      <c r="I903" s="2" t="n">
        <v>1532</v>
      </c>
      <c r="J903" s="2" t="n">
        <v>1455</v>
      </c>
      <c r="K903" s="2">
        <f>H903+5&gt;D903</f>
        <v/>
      </c>
      <c r="L903" s="2">
        <f>J903&lt;I903</f>
        <v/>
      </c>
      <c r="M903" s="2" t="b">
        <v>1</v>
      </c>
      <c r="N903" s="2" t="b">
        <v>1</v>
      </c>
      <c r="O903" s="2" t="inlineStr">
        <is>
          <t>allow</t>
        </is>
      </c>
      <c r="P903" s="2">
        <f>O903&lt;&gt;"unknown"</f>
        <v/>
      </c>
    </row>
    <row r="904">
      <c r="A904" s="2" t="inlineStr">
        <is>
          <t>1500-off</t>
        </is>
      </c>
      <c r="B904" s="2" t="n">
        <v>1500</v>
      </c>
      <c r="C904" s="2" t="inlineStr">
        <is>
          <t>off</t>
        </is>
      </c>
      <c r="D904" s="2" t="n">
        <v>1460</v>
      </c>
      <c r="E904" s="2" t="inlineStr">
        <is>
          <t>go 1.27 net/http (crypto/tls)</t>
        </is>
      </c>
      <c r="F904" s="2" t="b">
        <v>1</v>
      </c>
      <c r="G904" s="2" t="n">
        <v>3</v>
      </c>
      <c r="H904" s="2" t="n">
        <v>1532</v>
      </c>
      <c r="I904" s="2" t="n">
        <v>1532</v>
      </c>
      <c r="J904" s="2" t="n">
        <v>1455</v>
      </c>
      <c r="K904" s="2">
        <f>H904+5&gt;D904</f>
        <v/>
      </c>
      <c r="L904" s="2">
        <f>J904&lt;I904</f>
        <v/>
      </c>
      <c r="M904" s="2" t="b">
        <v>1</v>
      </c>
      <c r="N904" s="2" t="b">
        <v>1</v>
      </c>
      <c r="O904" s="2" t="inlineStr">
        <is>
          <t>allow</t>
        </is>
      </c>
      <c r="P904" s="2">
        <f>O904&lt;&gt;"unknown"</f>
        <v/>
      </c>
    </row>
    <row r="905">
      <c r="A905" s="2" t="inlineStr">
        <is>
          <t>1500-off</t>
        </is>
      </c>
      <c r="B905" s="2" t="n">
        <v>1500</v>
      </c>
      <c r="C905" s="2" t="inlineStr">
        <is>
          <t>off</t>
        </is>
      </c>
      <c r="D905" s="2" t="n">
        <v>1460</v>
      </c>
      <c r="E905" s="2" t="inlineStr">
        <is>
          <t>go 1.27 net/http (crypto/tls)</t>
        </is>
      </c>
      <c r="F905" s="2" t="b">
        <v>1</v>
      </c>
      <c r="G905" s="2" t="n">
        <v>4</v>
      </c>
      <c r="H905" s="2" t="n">
        <v>1532</v>
      </c>
      <c r="I905" s="2" t="n">
        <v>1532</v>
      </c>
      <c r="J905" s="2" t="n">
        <v>1455</v>
      </c>
      <c r="K905" s="2">
        <f>H905+5&gt;D905</f>
        <v/>
      </c>
      <c r="L905" s="2">
        <f>J905&lt;I905</f>
        <v/>
      </c>
      <c r="M905" s="2" t="b">
        <v>1</v>
      </c>
      <c r="N905" s="2" t="b">
        <v>1</v>
      </c>
      <c r="O905" s="2" t="inlineStr">
        <is>
          <t>allow</t>
        </is>
      </c>
      <c r="P905" s="2">
        <f>O905&lt;&gt;"unknown"</f>
        <v/>
      </c>
    </row>
    <row r="906">
      <c r="A906" s="2" t="inlineStr">
        <is>
          <t>1500-off</t>
        </is>
      </c>
      <c r="B906" s="2" t="n">
        <v>1500</v>
      </c>
      <c r="C906" s="2" t="inlineStr">
        <is>
          <t>off</t>
        </is>
      </c>
      <c r="D906" s="2" t="n">
        <v>1460</v>
      </c>
      <c r="E906" s="2" t="inlineStr">
        <is>
          <t>go 1.27 net/http (crypto/tls)</t>
        </is>
      </c>
      <c r="F906" s="2" t="b">
        <v>1</v>
      </c>
      <c r="G906" s="2" t="n">
        <v>5</v>
      </c>
      <c r="H906" s="2" t="n">
        <v>1532</v>
      </c>
      <c r="I906" s="2" t="n">
        <v>1532</v>
      </c>
      <c r="J906" s="2" t="n">
        <v>1455</v>
      </c>
      <c r="K906" s="2">
        <f>H906+5&gt;D906</f>
        <v/>
      </c>
      <c r="L906" s="2">
        <f>J906&lt;I906</f>
        <v/>
      </c>
      <c r="M906" s="2" t="b">
        <v>1</v>
      </c>
      <c r="N906" s="2" t="b">
        <v>1</v>
      </c>
      <c r="O906" s="2" t="inlineStr">
        <is>
          <t>allow</t>
        </is>
      </c>
      <c r="P906" s="2">
        <f>O906&lt;&gt;"unknown"</f>
        <v/>
      </c>
    </row>
    <row r="907">
      <c r="A907" s="2" t="inlineStr">
        <is>
          <t>1500-off</t>
        </is>
      </c>
      <c r="B907" s="2" t="n">
        <v>1500</v>
      </c>
      <c r="C907" s="2" t="inlineStr">
        <is>
          <t>off</t>
        </is>
      </c>
      <c r="D907" s="2" t="n">
        <v>1460</v>
      </c>
      <c r="E907" s="2" t="inlineStr">
        <is>
          <t>browser chrome116</t>
        </is>
      </c>
      <c r="F907" s="2" t="b">
        <v>0</v>
      </c>
      <c r="G907" s="2" t="n">
        <v>1</v>
      </c>
      <c r="H907" s="2" t="n">
        <v>512</v>
      </c>
      <c r="I907" s="2" t="n">
        <v>512</v>
      </c>
      <c r="J907" s="2" t="n">
        <v>512</v>
      </c>
      <c r="K907" s="2">
        <f>H907+5&gt;D907</f>
        <v/>
      </c>
      <c r="L907" s="2">
        <f>J907&lt;I907</f>
        <v/>
      </c>
      <c r="M907" s="2" t="b">
        <v>1</v>
      </c>
      <c r="N907" s="2" t="b">
        <v>1</v>
      </c>
      <c r="O907" s="2" t="inlineStr">
        <is>
          <t>allow</t>
        </is>
      </c>
      <c r="P907" s="2">
        <f>O907&lt;&gt;"unknown"</f>
        <v/>
      </c>
    </row>
    <row r="908">
      <c r="A908" s="2" t="inlineStr">
        <is>
          <t>1500-off</t>
        </is>
      </c>
      <c r="B908" s="2" t="n">
        <v>1500</v>
      </c>
      <c r="C908" s="2" t="inlineStr">
        <is>
          <t>off</t>
        </is>
      </c>
      <c r="D908" s="2" t="n">
        <v>1460</v>
      </c>
      <c r="E908" s="2" t="inlineStr">
        <is>
          <t>browser chrome116</t>
        </is>
      </c>
      <c r="F908" s="2" t="b">
        <v>0</v>
      </c>
      <c r="G908" s="2" t="n">
        <v>2</v>
      </c>
      <c r="H908" s="2" t="n">
        <v>512</v>
      </c>
      <c r="I908" s="2" t="n">
        <v>512</v>
      </c>
      <c r="J908" s="2" t="n">
        <v>512</v>
      </c>
      <c r="K908" s="2">
        <f>H908+5&gt;D908</f>
        <v/>
      </c>
      <c r="L908" s="2">
        <f>J908&lt;I908</f>
        <v/>
      </c>
      <c r="M908" s="2" t="b">
        <v>1</v>
      </c>
      <c r="N908" s="2" t="b">
        <v>1</v>
      </c>
      <c r="O908" s="2" t="inlineStr">
        <is>
          <t>allow</t>
        </is>
      </c>
      <c r="P908" s="2">
        <f>O908&lt;&gt;"unknown"</f>
        <v/>
      </c>
    </row>
    <row r="909">
      <c r="A909" s="2" t="inlineStr">
        <is>
          <t>1500-off</t>
        </is>
      </c>
      <c r="B909" s="2" t="n">
        <v>1500</v>
      </c>
      <c r="C909" s="2" t="inlineStr">
        <is>
          <t>off</t>
        </is>
      </c>
      <c r="D909" s="2" t="n">
        <v>1460</v>
      </c>
      <c r="E909" s="2" t="inlineStr">
        <is>
          <t>browser chrome116</t>
        </is>
      </c>
      <c r="F909" s="2" t="b">
        <v>0</v>
      </c>
      <c r="G909" s="2" t="n">
        <v>3</v>
      </c>
      <c r="H909" s="2" t="n">
        <v>512</v>
      </c>
      <c r="I909" s="2" t="n">
        <v>512</v>
      </c>
      <c r="J909" s="2" t="n">
        <v>512</v>
      </c>
      <c r="K909" s="2">
        <f>H909+5&gt;D909</f>
        <v/>
      </c>
      <c r="L909" s="2">
        <f>J909&lt;I909</f>
        <v/>
      </c>
      <c r="M909" s="2" t="b">
        <v>1</v>
      </c>
      <c r="N909" s="2" t="b">
        <v>1</v>
      </c>
      <c r="O909" s="2" t="inlineStr">
        <is>
          <t>allow</t>
        </is>
      </c>
      <c r="P909" s="2">
        <f>O909&lt;&gt;"unknown"</f>
        <v/>
      </c>
    </row>
    <row r="910">
      <c r="A910" s="2" t="inlineStr">
        <is>
          <t>1500-off</t>
        </is>
      </c>
      <c r="B910" s="2" t="n">
        <v>1500</v>
      </c>
      <c r="C910" s="2" t="inlineStr">
        <is>
          <t>off</t>
        </is>
      </c>
      <c r="D910" s="2" t="n">
        <v>1460</v>
      </c>
      <c r="E910" s="2" t="inlineStr">
        <is>
          <t>browser chrome116</t>
        </is>
      </c>
      <c r="F910" s="2" t="b">
        <v>0</v>
      </c>
      <c r="G910" s="2" t="n">
        <v>4</v>
      </c>
      <c r="H910" s="2" t="n">
        <v>512</v>
      </c>
      <c r="I910" s="2" t="n">
        <v>512</v>
      </c>
      <c r="J910" s="2" t="n">
        <v>512</v>
      </c>
      <c r="K910" s="2">
        <f>H910+5&gt;D910</f>
        <v/>
      </c>
      <c r="L910" s="2">
        <f>J910&lt;I910</f>
        <v/>
      </c>
      <c r="M910" s="2" t="b">
        <v>1</v>
      </c>
      <c r="N910" s="2" t="b">
        <v>1</v>
      </c>
      <c r="O910" s="2" t="inlineStr">
        <is>
          <t>allow</t>
        </is>
      </c>
      <c r="P910" s="2">
        <f>O910&lt;&gt;"unknown"</f>
        <v/>
      </c>
    </row>
    <row r="911">
      <c r="A911" s="2" t="inlineStr">
        <is>
          <t>1500-off</t>
        </is>
      </c>
      <c r="B911" s="2" t="n">
        <v>1500</v>
      </c>
      <c r="C911" s="2" t="inlineStr">
        <is>
          <t>off</t>
        </is>
      </c>
      <c r="D911" s="2" t="n">
        <v>1460</v>
      </c>
      <c r="E911" s="2" t="inlineStr">
        <is>
          <t>browser chrome116</t>
        </is>
      </c>
      <c r="F911" s="2" t="b">
        <v>0</v>
      </c>
      <c r="G911" s="2" t="n">
        <v>5</v>
      </c>
      <c r="H911" s="2" t="n">
        <v>512</v>
      </c>
      <c r="I911" s="2" t="n">
        <v>512</v>
      </c>
      <c r="J911" s="2" t="n">
        <v>512</v>
      </c>
      <c r="K911" s="2">
        <f>H911+5&gt;D911</f>
        <v/>
      </c>
      <c r="L911" s="2">
        <f>J911&lt;I911</f>
        <v/>
      </c>
      <c r="M911" s="2" t="b">
        <v>1</v>
      </c>
      <c r="N911" s="2" t="b">
        <v>1</v>
      </c>
      <c r="O911" s="2" t="inlineStr">
        <is>
          <t>allow</t>
        </is>
      </c>
      <c r="P911" s="2">
        <f>O911&lt;&gt;"unknown"</f>
        <v/>
      </c>
    </row>
    <row r="912">
      <c r="A912" s="2" t="inlineStr">
        <is>
          <t>1500-off</t>
        </is>
      </c>
      <c r="B912" s="2" t="n">
        <v>1500</v>
      </c>
      <c r="C912" s="2" t="inlineStr">
        <is>
          <t>off</t>
        </is>
      </c>
      <c r="D912" s="2" t="n">
        <v>1460</v>
      </c>
      <c r="E912" s="2" t="inlineStr">
        <is>
          <t>browser chrome124</t>
        </is>
      </c>
      <c r="F912" s="2" t="b">
        <v>1</v>
      </c>
      <c r="G912" s="2" t="n">
        <v>1</v>
      </c>
      <c r="H912" s="2" t="n">
        <v>1784</v>
      </c>
      <c r="I912" s="2" t="n">
        <v>1784</v>
      </c>
      <c r="J912" s="2" t="n">
        <v>1455</v>
      </c>
      <c r="K912" s="2">
        <f>H912+5&gt;D912</f>
        <v/>
      </c>
      <c r="L912" s="2">
        <f>J912&lt;I912</f>
        <v/>
      </c>
      <c r="M912" s="2" t="b">
        <v>1</v>
      </c>
      <c r="N912" s="2" t="b">
        <v>0</v>
      </c>
      <c r="O912" s="2" t="inlineStr">
        <is>
          <t>unknown</t>
        </is>
      </c>
      <c r="P912" s="2">
        <f>O912&lt;&gt;"unknown"</f>
        <v/>
      </c>
    </row>
    <row r="913">
      <c r="A913" s="2" t="inlineStr">
        <is>
          <t>1500-off</t>
        </is>
      </c>
      <c r="B913" s="2" t="n">
        <v>1500</v>
      </c>
      <c r="C913" s="2" t="inlineStr">
        <is>
          <t>off</t>
        </is>
      </c>
      <c r="D913" s="2" t="n">
        <v>1460</v>
      </c>
      <c r="E913" s="2" t="inlineStr">
        <is>
          <t>browser chrome124</t>
        </is>
      </c>
      <c r="F913" s="2" t="b">
        <v>1</v>
      </c>
      <c r="G913" s="2" t="n">
        <v>2</v>
      </c>
      <c r="H913" s="2" t="n">
        <v>1784</v>
      </c>
      <c r="I913" s="2" t="n">
        <v>1784</v>
      </c>
      <c r="J913" s="2" t="n">
        <v>1455</v>
      </c>
      <c r="K913" s="2">
        <f>H913+5&gt;D913</f>
        <v/>
      </c>
      <c r="L913" s="2">
        <f>J913&lt;I913</f>
        <v/>
      </c>
      <c r="M913" s="2" t="b">
        <v>1</v>
      </c>
      <c r="N913" s="2" t="b">
        <v>0</v>
      </c>
      <c r="O913" s="2" t="inlineStr">
        <is>
          <t>unknown</t>
        </is>
      </c>
      <c r="P913" s="2">
        <f>O913&lt;&gt;"unknown"</f>
        <v/>
      </c>
    </row>
    <row r="914">
      <c r="A914" s="2" t="inlineStr">
        <is>
          <t>1500-off</t>
        </is>
      </c>
      <c r="B914" s="2" t="n">
        <v>1500</v>
      </c>
      <c r="C914" s="2" t="inlineStr">
        <is>
          <t>off</t>
        </is>
      </c>
      <c r="D914" s="2" t="n">
        <v>1460</v>
      </c>
      <c r="E914" s="2" t="inlineStr">
        <is>
          <t>browser chrome124</t>
        </is>
      </c>
      <c r="F914" s="2" t="b">
        <v>1</v>
      </c>
      <c r="G914" s="2" t="n">
        <v>3</v>
      </c>
      <c r="H914" s="2" t="n">
        <v>1752</v>
      </c>
      <c r="I914" s="2" t="n">
        <v>1752</v>
      </c>
      <c r="J914" s="2" t="n">
        <v>1455</v>
      </c>
      <c r="K914" s="2">
        <f>H914+5&gt;D914</f>
        <v/>
      </c>
      <c r="L914" s="2">
        <f>J914&lt;I914</f>
        <v/>
      </c>
      <c r="M914" s="2" t="b">
        <v>1</v>
      </c>
      <c r="N914" s="2" t="b">
        <v>1</v>
      </c>
      <c r="O914" s="2" t="inlineStr">
        <is>
          <t>allow</t>
        </is>
      </c>
      <c r="P914" s="2">
        <f>O914&lt;&gt;"unknown"</f>
        <v/>
      </c>
    </row>
    <row r="915">
      <c r="A915" s="2" t="inlineStr">
        <is>
          <t>1500-off</t>
        </is>
      </c>
      <c r="B915" s="2" t="n">
        <v>1500</v>
      </c>
      <c r="C915" s="2" t="inlineStr">
        <is>
          <t>off</t>
        </is>
      </c>
      <c r="D915" s="2" t="n">
        <v>1460</v>
      </c>
      <c r="E915" s="2" t="inlineStr">
        <is>
          <t>browser chrome124</t>
        </is>
      </c>
      <c r="F915" s="2" t="b">
        <v>1</v>
      </c>
      <c r="G915" s="2" t="n">
        <v>4</v>
      </c>
      <c r="H915" s="2" t="n">
        <v>1752</v>
      </c>
      <c r="I915" s="2" t="n">
        <v>1752</v>
      </c>
      <c r="J915" s="2" t="n">
        <v>1455</v>
      </c>
      <c r="K915" s="2">
        <f>H915+5&gt;D915</f>
        <v/>
      </c>
      <c r="L915" s="2">
        <f>J915&lt;I915</f>
        <v/>
      </c>
      <c r="M915" s="2" t="b">
        <v>1</v>
      </c>
      <c r="N915" s="2" t="b">
        <v>1</v>
      </c>
      <c r="O915" s="2" t="inlineStr">
        <is>
          <t>allow</t>
        </is>
      </c>
      <c r="P915" s="2">
        <f>O915&lt;&gt;"unknown"</f>
        <v/>
      </c>
    </row>
    <row r="916">
      <c r="A916" s="2" t="inlineStr">
        <is>
          <t>1500-off</t>
        </is>
      </c>
      <c r="B916" s="2" t="n">
        <v>1500</v>
      </c>
      <c r="C916" s="2" t="inlineStr">
        <is>
          <t>off</t>
        </is>
      </c>
      <c r="D916" s="2" t="n">
        <v>1460</v>
      </c>
      <c r="E916" s="2" t="inlineStr">
        <is>
          <t>browser chrome124</t>
        </is>
      </c>
      <c r="F916" s="2" t="b">
        <v>1</v>
      </c>
      <c r="G916" s="2" t="n">
        <v>5</v>
      </c>
      <c r="H916" s="2" t="n">
        <v>1784</v>
      </c>
      <c r="I916" s="2" t="n">
        <v>1784</v>
      </c>
      <c r="J916" s="2" t="n">
        <v>1455</v>
      </c>
      <c r="K916" s="2">
        <f>H916+5&gt;D916</f>
        <v/>
      </c>
      <c r="L916" s="2">
        <f>J916&lt;I916</f>
        <v/>
      </c>
      <c r="M916" s="2" t="b">
        <v>1</v>
      </c>
      <c r="N916" s="2" t="b">
        <v>0</v>
      </c>
      <c r="O916" s="2" t="inlineStr">
        <is>
          <t>unknown</t>
        </is>
      </c>
      <c r="P916" s="2">
        <f>O916&lt;&gt;"unknown"</f>
        <v/>
      </c>
    </row>
    <row r="917">
      <c r="A917" s="2" t="inlineStr">
        <is>
          <t>1500-off</t>
        </is>
      </c>
      <c r="B917" s="2" t="n">
        <v>1500</v>
      </c>
      <c r="C917" s="2" t="inlineStr">
        <is>
          <t>off</t>
        </is>
      </c>
      <c r="D917" s="2" t="n">
        <v>1460</v>
      </c>
      <c r="E917" s="2" t="inlineStr">
        <is>
          <t>browser chrome131</t>
        </is>
      </c>
      <c r="F917" s="2" t="b">
        <v>1</v>
      </c>
      <c r="G917" s="2" t="n">
        <v>1</v>
      </c>
      <c r="H917" s="2" t="n">
        <v>1784</v>
      </c>
      <c r="I917" s="2" t="n">
        <v>1784</v>
      </c>
      <c r="J917" s="2" t="n">
        <v>1455</v>
      </c>
      <c r="K917" s="2">
        <f>H917+5&gt;D917</f>
        <v/>
      </c>
      <c r="L917" s="2">
        <f>J917&lt;I917</f>
        <v/>
      </c>
      <c r="M917" s="2" t="b">
        <v>1</v>
      </c>
      <c r="N917" s="2" t="b">
        <v>0</v>
      </c>
      <c r="O917" s="2" t="inlineStr">
        <is>
          <t>unknown</t>
        </is>
      </c>
      <c r="P917" s="2">
        <f>O917&lt;&gt;"unknown"</f>
        <v/>
      </c>
    </row>
    <row r="918">
      <c r="A918" s="2" t="inlineStr">
        <is>
          <t>1500-off</t>
        </is>
      </c>
      <c r="B918" s="2" t="n">
        <v>1500</v>
      </c>
      <c r="C918" s="2" t="inlineStr">
        <is>
          <t>off</t>
        </is>
      </c>
      <c r="D918" s="2" t="n">
        <v>1460</v>
      </c>
      <c r="E918" s="2" t="inlineStr">
        <is>
          <t>browser chrome131</t>
        </is>
      </c>
      <c r="F918" s="2" t="b">
        <v>1</v>
      </c>
      <c r="G918" s="2" t="n">
        <v>2</v>
      </c>
      <c r="H918" s="2" t="n">
        <v>1720</v>
      </c>
      <c r="I918" s="2" t="n">
        <v>1720</v>
      </c>
      <c r="J918" s="2" t="n">
        <v>1455</v>
      </c>
      <c r="K918" s="2">
        <f>H918+5&gt;D918</f>
        <v/>
      </c>
      <c r="L918" s="2">
        <f>J918&lt;I918</f>
        <v/>
      </c>
      <c r="M918" s="2" t="b">
        <v>1</v>
      </c>
      <c r="N918" s="2" t="b">
        <v>1</v>
      </c>
      <c r="O918" s="2" t="inlineStr">
        <is>
          <t>allow</t>
        </is>
      </c>
      <c r="P918" s="2">
        <f>O918&lt;&gt;"unknown"</f>
        <v/>
      </c>
    </row>
    <row r="919">
      <c r="A919" s="2" t="inlineStr">
        <is>
          <t>1500-off</t>
        </is>
      </c>
      <c r="B919" s="2" t="n">
        <v>1500</v>
      </c>
      <c r="C919" s="2" t="inlineStr">
        <is>
          <t>off</t>
        </is>
      </c>
      <c r="D919" s="2" t="n">
        <v>1460</v>
      </c>
      <c r="E919" s="2" t="inlineStr">
        <is>
          <t>browser chrome131</t>
        </is>
      </c>
      <c r="F919" s="2" t="b">
        <v>1</v>
      </c>
      <c r="G919" s="2" t="n">
        <v>3</v>
      </c>
      <c r="H919" s="2" t="n">
        <v>1752</v>
      </c>
      <c r="I919" s="2" t="n">
        <v>1752</v>
      </c>
      <c r="J919" s="2" t="n">
        <v>1455</v>
      </c>
      <c r="K919" s="2">
        <f>H919+5&gt;D919</f>
        <v/>
      </c>
      <c r="L919" s="2">
        <f>J919&lt;I919</f>
        <v/>
      </c>
      <c r="M919" s="2" t="b">
        <v>1</v>
      </c>
      <c r="N919" s="2" t="b">
        <v>1</v>
      </c>
      <c r="O919" s="2" t="inlineStr">
        <is>
          <t>allow</t>
        </is>
      </c>
      <c r="P919" s="2">
        <f>O919&lt;&gt;"unknown"</f>
        <v/>
      </c>
    </row>
    <row r="920">
      <c r="A920" s="2" t="inlineStr">
        <is>
          <t>1500-off</t>
        </is>
      </c>
      <c r="B920" s="2" t="n">
        <v>1500</v>
      </c>
      <c r="C920" s="2" t="inlineStr">
        <is>
          <t>off</t>
        </is>
      </c>
      <c r="D920" s="2" t="n">
        <v>1460</v>
      </c>
      <c r="E920" s="2" t="inlineStr">
        <is>
          <t>browser chrome131</t>
        </is>
      </c>
      <c r="F920" s="2" t="b">
        <v>1</v>
      </c>
      <c r="G920" s="2" t="n">
        <v>4</v>
      </c>
      <c r="H920" s="2" t="n">
        <v>1816</v>
      </c>
      <c r="I920" s="2" t="n">
        <v>1816</v>
      </c>
      <c r="J920" s="2" t="n">
        <v>1455</v>
      </c>
      <c r="K920" s="2">
        <f>H920+5&gt;D920</f>
        <v/>
      </c>
      <c r="L920" s="2">
        <f>J920&lt;I920</f>
        <v/>
      </c>
      <c r="M920" s="2" t="b">
        <v>1</v>
      </c>
      <c r="N920" s="2" t="b">
        <v>0</v>
      </c>
      <c r="O920" s="2" t="inlineStr">
        <is>
          <t>unknown</t>
        </is>
      </c>
      <c r="P920" s="2">
        <f>O920&lt;&gt;"unknown"</f>
        <v/>
      </c>
    </row>
    <row r="921">
      <c r="A921" s="2" t="inlineStr">
        <is>
          <t>1500-off</t>
        </is>
      </c>
      <c r="B921" s="2" t="n">
        <v>1500</v>
      </c>
      <c r="C921" s="2" t="inlineStr">
        <is>
          <t>off</t>
        </is>
      </c>
      <c r="D921" s="2" t="n">
        <v>1460</v>
      </c>
      <c r="E921" s="2" t="inlineStr">
        <is>
          <t>browser chrome131</t>
        </is>
      </c>
      <c r="F921" s="2" t="b">
        <v>1</v>
      </c>
      <c r="G921" s="2" t="n">
        <v>5</v>
      </c>
      <c r="H921" s="2" t="n">
        <v>1720</v>
      </c>
      <c r="I921" s="2" t="n">
        <v>1720</v>
      </c>
      <c r="J921" s="2" t="n">
        <v>1455</v>
      </c>
      <c r="K921" s="2">
        <f>H921+5&gt;D921</f>
        <v/>
      </c>
      <c r="L921" s="2">
        <f>J921&lt;I921</f>
        <v/>
      </c>
      <c r="M921" s="2" t="b">
        <v>1</v>
      </c>
      <c r="N921" s="2" t="b">
        <v>0</v>
      </c>
      <c r="O921" s="2" t="inlineStr">
        <is>
          <t>unknown</t>
        </is>
      </c>
      <c r="P921" s="2">
        <f>O921&lt;&gt;"unknown"</f>
        <v/>
      </c>
    </row>
    <row r="922">
      <c r="A922" s="2" t="inlineStr">
        <is>
          <t>1500-off</t>
        </is>
      </c>
      <c r="B922" s="2" t="n">
        <v>1500</v>
      </c>
      <c r="C922" s="2" t="inlineStr">
        <is>
          <t>off</t>
        </is>
      </c>
      <c r="D922" s="2" t="n">
        <v>1460</v>
      </c>
      <c r="E922" s="2" t="inlineStr">
        <is>
          <t>browser chrome150</t>
        </is>
      </c>
      <c r="F922" s="2" t="b">
        <v>1</v>
      </c>
      <c r="G922" s="2" t="n">
        <v>1</v>
      </c>
      <c r="H922" s="2" t="n">
        <v>1790</v>
      </c>
      <c r="I922" s="2" t="n">
        <v>1790</v>
      </c>
      <c r="J922" s="2" t="n">
        <v>1455</v>
      </c>
      <c r="K922" s="2">
        <f>H922+5&gt;D922</f>
        <v/>
      </c>
      <c r="L922" s="2">
        <f>J922&lt;I922</f>
        <v/>
      </c>
      <c r="M922" s="2" t="b">
        <v>1</v>
      </c>
      <c r="N922" s="2" t="b">
        <v>1</v>
      </c>
      <c r="O922" s="2" t="inlineStr">
        <is>
          <t>allow</t>
        </is>
      </c>
      <c r="P922" s="2">
        <f>O922&lt;&gt;"unknown"</f>
        <v/>
      </c>
    </row>
    <row r="923">
      <c r="A923" s="2" t="inlineStr">
        <is>
          <t>1500-off</t>
        </is>
      </c>
      <c r="B923" s="2" t="n">
        <v>1500</v>
      </c>
      <c r="C923" s="2" t="inlineStr">
        <is>
          <t>off</t>
        </is>
      </c>
      <c r="D923" s="2" t="n">
        <v>1460</v>
      </c>
      <c r="E923" s="2" t="inlineStr">
        <is>
          <t>browser chrome150</t>
        </is>
      </c>
      <c r="F923" s="2" t="b">
        <v>1</v>
      </c>
      <c r="G923" s="2" t="n">
        <v>2</v>
      </c>
      <c r="H923" s="2" t="n">
        <v>1822</v>
      </c>
      <c r="I923" s="2" t="n">
        <v>1822</v>
      </c>
      <c r="J923" s="2" t="n">
        <v>1455</v>
      </c>
      <c r="K923" s="2">
        <f>H923+5&gt;D923</f>
        <v/>
      </c>
      <c r="L923" s="2">
        <f>J923&lt;I923</f>
        <v/>
      </c>
      <c r="M923" s="2" t="b">
        <v>1</v>
      </c>
      <c r="N923" s="2" t="b">
        <v>1</v>
      </c>
      <c r="O923" s="2" t="inlineStr">
        <is>
          <t>allow</t>
        </is>
      </c>
      <c r="P923" s="2">
        <f>O923&lt;&gt;"unknown"</f>
        <v/>
      </c>
    </row>
    <row r="924">
      <c r="A924" s="2" t="inlineStr">
        <is>
          <t>1500-off</t>
        </is>
      </c>
      <c r="B924" s="2" t="n">
        <v>1500</v>
      </c>
      <c r="C924" s="2" t="inlineStr">
        <is>
          <t>off</t>
        </is>
      </c>
      <c r="D924" s="2" t="n">
        <v>1460</v>
      </c>
      <c r="E924" s="2" t="inlineStr">
        <is>
          <t>browser chrome150</t>
        </is>
      </c>
      <c r="F924" s="2" t="b">
        <v>1</v>
      </c>
      <c r="G924" s="2" t="n">
        <v>3</v>
      </c>
      <c r="H924" s="2" t="n">
        <v>1790</v>
      </c>
      <c r="I924" s="2" t="n">
        <v>1790</v>
      </c>
      <c r="J924" s="2" t="n">
        <v>1455</v>
      </c>
      <c r="K924" s="2">
        <f>H924+5&gt;D924</f>
        <v/>
      </c>
      <c r="L924" s="2">
        <f>J924&lt;I924</f>
        <v/>
      </c>
      <c r="M924" s="2" t="b">
        <v>1</v>
      </c>
      <c r="N924" s="2" t="b">
        <v>1</v>
      </c>
      <c r="O924" s="2" t="inlineStr">
        <is>
          <t>allow</t>
        </is>
      </c>
      <c r="P924" s="2">
        <f>O924&lt;&gt;"unknown"</f>
        <v/>
      </c>
    </row>
    <row r="925">
      <c r="A925" s="2" t="inlineStr">
        <is>
          <t>1500-off</t>
        </is>
      </c>
      <c r="B925" s="2" t="n">
        <v>1500</v>
      </c>
      <c r="C925" s="2" t="inlineStr">
        <is>
          <t>off</t>
        </is>
      </c>
      <c r="D925" s="2" t="n">
        <v>1460</v>
      </c>
      <c r="E925" s="2" t="inlineStr">
        <is>
          <t>browser chrome150</t>
        </is>
      </c>
      <c r="F925" s="2" t="b">
        <v>1</v>
      </c>
      <c r="G925" s="2" t="n">
        <v>4</v>
      </c>
      <c r="H925" s="2" t="n">
        <v>1726</v>
      </c>
      <c r="I925" s="2" t="n">
        <v>1726</v>
      </c>
      <c r="J925" s="2" t="n">
        <v>1455</v>
      </c>
      <c r="K925" s="2">
        <f>H925+5&gt;D925</f>
        <v/>
      </c>
      <c r="L925" s="2">
        <f>J925&lt;I925</f>
        <v/>
      </c>
      <c r="M925" s="2" t="b">
        <v>1</v>
      </c>
      <c r="N925" s="2" t="b">
        <v>1</v>
      </c>
      <c r="O925" s="2" t="inlineStr">
        <is>
          <t>allow</t>
        </is>
      </c>
      <c r="P925" s="2">
        <f>O925&lt;&gt;"unknown"</f>
        <v/>
      </c>
    </row>
    <row r="926">
      <c r="A926" s="2" t="inlineStr">
        <is>
          <t>1500-off</t>
        </is>
      </c>
      <c r="B926" s="2" t="n">
        <v>1500</v>
      </c>
      <c r="C926" s="2" t="inlineStr">
        <is>
          <t>off</t>
        </is>
      </c>
      <c r="D926" s="2" t="n">
        <v>1460</v>
      </c>
      <c r="E926" s="2" t="inlineStr">
        <is>
          <t>browser chrome150</t>
        </is>
      </c>
      <c r="F926" s="2" t="b">
        <v>1</v>
      </c>
      <c r="G926" s="2" t="n">
        <v>5</v>
      </c>
      <c r="H926" s="2" t="n">
        <v>1790</v>
      </c>
      <c r="I926" s="2" t="n">
        <v>1790</v>
      </c>
      <c r="J926" s="2" t="n">
        <v>1455</v>
      </c>
      <c r="K926" s="2">
        <f>H926+5&gt;D926</f>
        <v/>
      </c>
      <c r="L926" s="2">
        <f>J926&lt;I926</f>
        <v/>
      </c>
      <c r="M926" s="2" t="b">
        <v>1</v>
      </c>
      <c r="N926" s="2" t="b">
        <v>1</v>
      </c>
      <c r="O926" s="2" t="inlineStr">
        <is>
          <t>allow</t>
        </is>
      </c>
      <c r="P926" s="2">
        <f>O926&lt;&gt;"unknown"</f>
        <v/>
      </c>
    </row>
    <row r="927">
      <c r="A927" s="2" t="inlineStr">
        <is>
          <t>1500-off</t>
        </is>
      </c>
      <c r="B927" s="2" t="n">
        <v>1500</v>
      </c>
      <c r="C927" s="2" t="inlineStr">
        <is>
          <t>off</t>
        </is>
      </c>
      <c r="D927" s="2" t="n">
        <v>1460</v>
      </c>
      <c r="E927" s="2" t="inlineStr">
        <is>
          <t>browser edge101</t>
        </is>
      </c>
      <c r="F927" s="2" t="b">
        <v>0</v>
      </c>
      <c r="G927" s="2" t="n">
        <v>1</v>
      </c>
      <c r="H927" s="2" t="n">
        <v>512</v>
      </c>
      <c r="I927" s="2" t="n">
        <v>512</v>
      </c>
      <c r="J927" s="2" t="n">
        <v>512</v>
      </c>
      <c r="K927" s="2">
        <f>H927+5&gt;D927</f>
        <v/>
      </c>
      <c r="L927" s="2">
        <f>J927&lt;I927</f>
        <v/>
      </c>
      <c r="M927" s="2" t="b">
        <v>1</v>
      </c>
      <c r="N927" s="2" t="b">
        <v>1</v>
      </c>
      <c r="O927" s="2" t="inlineStr">
        <is>
          <t>allow</t>
        </is>
      </c>
      <c r="P927" s="2">
        <f>O927&lt;&gt;"unknown"</f>
        <v/>
      </c>
    </row>
    <row r="928">
      <c r="A928" s="2" t="inlineStr">
        <is>
          <t>1500-off</t>
        </is>
      </c>
      <c r="B928" s="2" t="n">
        <v>1500</v>
      </c>
      <c r="C928" s="2" t="inlineStr">
        <is>
          <t>off</t>
        </is>
      </c>
      <c r="D928" s="2" t="n">
        <v>1460</v>
      </c>
      <c r="E928" s="2" t="inlineStr">
        <is>
          <t>browser edge101</t>
        </is>
      </c>
      <c r="F928" s="2" t="b">
        <v>0</v>
      </c>
      <c r="G928" s="2" t="n">
        <v>2</v>
      </c>
      <c r="H928" s="2" t="n">
        <v>512</v>
      </c>
      <c r="I928" s="2" t="n">
        <v>512</v>
      </c>
      <c r="J928" s="2" t="n">
        <v>512</v>
      </c>
      <c r="K928" s="2">
        <f>H928+5&gt;D928</f>
        <v/>
      </c>
      <c r="L928" s="2">
        <f>J928&lt;I928</f>
        <v/>
      </c>
      <c r="M928" s="2" t="b">
        <v>1</v>
      </c>
      <c r="N928" s="2" t="b">
        <v>1</v>
      </c>
      <c r="O928" s="2" t="inlineStr">
        <is>
          <t>allow</t>
        </is>
      </c>
      <c r="P928" s="2">
        <f>O928&lt;&gt;"unknown"</f>
        <v/>
      </c>
    </row>
    <row r="929">
      <c r="A929" s="2" t="inlineStr">
        <is>
          <t>1500-off</t>
        </is>
      </c>
      <c r="B929" s="2" t="n">
        <v>1500</v>
      </c>
      <c r="C929" s="2" t="inlineStr">
        <is>
          <t>off</t>
        </is>
      </c>
      <c r="D929" s="2" t="n">
        <v>1460</v>
      </c>
      <c r="E929" s="2" t="inlineStr">
        <is>
          <t>browser edge101</t>
        </is>
      </c>
      <c r="F929" s="2" t="b">
        <v>0</v>
      </c>
      <c r="G929" s="2" t="n">
        <v>3</v>
      </c>
      <c r="H929" s="2" t="n">
        <v>512</v>
      </c>
      <c r="I929" s="2" t="n">
        <v>512</v>
      </c>
      <c r="J929" s="2" t="n">
        <v>512</v>
      </c>
      <c r="K929" s="2">
        <f>H929+5&gt;D929</f>
        <v/>
      </c>
      <c r="L929" s="2">
        <f>J929&lt;I929</f>
        <v/>
      </c>
      <c r="M929" s="2" t="b">
        <v>1</v>
      </c>
      <c r="N929" s="2" t="b">
        <v>1</v>
      </c>
      <c r="O929" s="2" t="inlineStr">
        <is>
          <t>allow</t>
        </is>
      </c>
      <c r="P929" s="2">
        <f>O929&lt;&gt;"unknown"</f>
        <v/>
      </c>
    </row>
    <row r="930">
      <c r="A930" s="2" t="inlineStr">
        <is>
          <t>1500-off</t>
        </is>
      </c>
      <c r="B930" s="2" t="n">
        <v>1500</v>
      </c>
      <c r="C930" s="2" t="inlineStr">
        <is>
          <t>off</t>
        </is>
      </c>
      <c r="D930" s="2" t="n">
        <v>1460</v>
      </c>
      <c r="E930" s="2" t="inlineStr">
        <is>
          <t>browser edge101</t>
        </is>
      </c>
      <c r="F930" s="2" t="b">
        <v>0</v>
      </c>
      <c r="G930" s="2" t="n">
        <v>4</v>
      </c>
      <c r="H930" s="2" t="n">
        <v>512</v>
      </c>
      <c r="I930" s="2" t="n">
        <v>512</v>
      </c>
      <c r="J930" s="2" t="n">
        <v>512</v>
      </c>
      <c r="K930" s="2">
        <f>H930+5&gt;D930</f>
        <v/>
      </c>
      <c r="L930" s="2">
        <f>J930&lt;I930</f>
        <v/>
      </c>
      <c r="M930" s="2" t="b">
        <v>1</v>
      </c>
      <c r="N930" s="2" t="b">
        <v>1</v>
      </c>
      <c r="O930" s="2" t="inlineStr">
        <is>
          <t>allow</t>
        </is>
      </c>
      <c r="P930" s="2">
        <f>O930&lt;&gt;"unknown"</f>
        <v/>
      </c>
    </row>
    <row r="931">
      <c r="A931" s="2" t="inlineStr">
        <is>
          <t>1500-off</t>
        </is>
      </c>
      <c r="B931" s="2" t="n">
        <v>1500</v>
      </c>
      <c r="C931" s="2" t="inlineStr">
        <is>
          <t>off</t>
        </is>
      </c>
      <c r="D931" s="2" t="n">
        <v>1460</v>
      </c>
      <c r="E931" s="2" t="inlineStr">
        <is>
          <t>browser edge101</t>
        </is>
      </c>
      <c r="F931" s="2" t="b">
        <v>0</v>
      </c>
      <c r="G931" s="2" t="n">
        <v>5</v>
      </c>
      <c r="H931" s="2" t="n">
        <v>512</v>
      </c>
      <c r="I931" s="2" t="n">
        <v>512</v>
      </c>
      <c r="J931" s="2" t="n">
        <v>512</v>
      </c>
      <c r="K931" s="2">
        <f>H931+5&gt;D931</f>
        <v/>
      </c>
      <c r="L931" s="2">
        <f>J931&lt;I931</f>
        <v/>
      </c>
      <c r="M931" s="2" t="b">
        <v>1</v>
      </c>
      <c r="N931" s="2" t="b">
        <v>1</v>
      </c>
      <c r="O931" s="2" t="inlineStr">
        <is>
          <t>allow</t>
        </is>
      </c>
      <c r="P931" s="2">
        <f>O931&lt;&gt;"unknown"</f>
        <v/>
      </c>
    </row>
    <row r="932">
      <c r="A932" s="2" t="inlineStr">
        <is>
          <t>1500-off</t>
        </is>
      </c>
      <c r="B932" s="2" t="n">
        <v>1500</v>
      </c>
      <c r="C932" s="2" t="inlineStr">
        <is>
          <t>off</t>
        </is>
      </c>
      <c r="D932" s="2" t="n">
        <v>1460</v>
      </c>
      <c r="E932" s="2" t="inlineStr">
        <is>
          <t>browser firefox133</t>
        </is>
      </c>
      <c r="F932" s="2" t="b">
        <v>1</v>
      </c>
      <c r="G932" s="2" t="n">
        <v>1</v>
      </c>
      <c r="H932" s="2" t="n">
        <v>1860</v>
      </c>
      <c r="I932" s="2" t="n">
        <v>1860</v>
      </c>
      <c r="J932" s="2" t="n">
        <v>1455</v>
      </c>
      <c r="K932" s="2">
        <f>H932+5&gt;D932</f>
        <v/>
      </c>
      <c r="L932" s="2">
        <f>J932&lt;I932</f>
        <v/>
      </c>
      <c r="M932" s="2" t="b">
        <v>1</v>
      </c>
      <c r="N932" s="2" t="b">
        <v>0</v>
      </c>
      <c r="O932" s="2" t="inlineStr">
        <is>
          <t>unknown</t>
        </is>
      </c>
      <c r="P932" s="2">
        <f>O932&lt;&gt;"unknown"</f>
        <v/>
      </c>
    </row>
    <row r="933">
      <c r="A933" s="2" t="inlineStr">
        <is>
          <t>1500-off</t>
        </is>
      </c>
      <c r="B933" s="2" t="n">
        <v>1500</v>
      </c>
      <c r="C933" s="2" t="inlineStr">
        <is>
          <t>off</t>
        </is>
      </c>
      <c r="D933" s="2" t="n">
        <v>1460</v>
      </c>
      <c r="E933" s="2" t="inlineStr">
        <is>
          <t>browser firefox133</t>
        </is>
      </c>
      <c r="F933" s="2" t="b">
        <v>1</v>
      </c>
      <c r="G933" s="2" t="n">
        <v>2</v>
      </c>
      <c r="H933" s="2" t="n">
        <v>1828</v>
      </c>
      <c r="I933" s="2" t="n">
        <v>1828</v>
      </c>
      <c r="J933" s="2" t="n">
        <v>1455</v>
      </c>
      <c r="K933" s="2">
        <f>H933+5&gt;D933</f>
        <v/>
      </c>
      <c r="L933" s="2">
        <f>J933&lt;I933</f>
        <v/>
      </c>
      <c r="M933" s="2" t="b">
        <v>1</v>
      </c>
      <c r="N933" s="2" t="b">
        <v>0</v>
      </c>
      <c r="O933" s="2" t="inlineStr">
        <is>
          <t>unknown</t>
        </is>
      </c>
      <c r="P933" s="2">
        <f>O933&lt;&gt;"unknown"</f>
        <v/>
      </c>
    </row>
    <row r="934">
      <c r="A934" s="2" t="inlineStr">
        <is>
          <t>1500-off</t>
        </is>
      </c>
      <c r="B934" s="2" t="n">
        <v>1500</v>
      </c>
      <c r="C934" s="2" t="inlineStr">
        <is>
          <t>off</t>
        </is>
      </c>
      <c r="D934" s="2" t="n">
        <v>1460</v>
      </c>
      <c r="E934" s="2" t="inlineStr">
        <is>
          <t>browser firefox133</t>
        </is>
      </c>
      <c r="F934" s="2" t="b">
        <v>1</v>
      </c>
      <c r="G934" s="2" t="n">
        <v>3</v>
      </c>
      <c r="H934" s="2" t="n">
        <v>1828</v>
      </c>
      <c r="I934" s="2" t="n">
        <v>1828</v>
      </c>
      <c r="J934" s="2" t="n">
        <v>1455</v>
      </c>
      <c r="K934" s="2">
        <f>H934+5&gt;D934</f>
        <v/>
      </c>
      <c r="L934" s="2">
        <f>J934&lt;I934</f>
        <v/>
      </c>
      <c r="M934" s="2" t="b">
        <v>1</v>
      </c>
      <c r="N934" s="2" t="b">
        <v>0</v>
      </c>
      <c r="O934" s="2" t="inlineStr">
        <is>
          <t>unknown</t>
        </is>
      </c>
      <c r="P934" s="2">
        <f>O934&lt;&gt;"unknown"</f>
        <v/>
      </c>
    </row>
    <row r="935">
      <c r="A935" s="2" t="inlineStr">
        <is>
          <t>1500-off</t>
        </is>
      </c>
      <c r="B935" s="2" t="n">
        <v>1500</v>
      </c>
      <c r="C935" s="2" t="inlineStr">
        <is>
          <t>off</t>
        </is>
      </c>
      <c r="D935" s="2" t="n">
        <v>1460</v>
      </c>
      <c r="E935" s="2" t="inlineStr">
        <is>
          <t>browser firefox133</t>
        </is>
      </c>
      <c r="F935" s="2" t="b">
        <v>1</v>
      </c>
      <c r="G935" s="2" t="n">
        <v>4</v>
      </c>
      <c r="H935" s="2" t="n">
        <v>1828</v>
      </c>
      <c r="I935" s="2" t="n">
        <v>1828</v>
      </c>
      <c r="J935" s="2" t="n">
        <v>1455</v>
      </c>
      <c r="K935" s="2">
        <f>H935+5&gt;D935</f>
        <v/>
      </c>
      <c r="L935" s="2">
        <f>J935&lt;I935</f>
        <v/>
      </c>
      <c r="M935" s="2" t="b">
        <v>1</v>
      </c>
      <c r="N935" s="2" t="b">
        <v>0</v>
      </c>
      <c r="O935" s="2" t="inlineStr">
        <is>
          <t>unknown</t>
        </is>
      </c>
      <c r="P935" s="2">
        <f>O935&lt;&gt;"unknown"</f>
        <v/>
      </c>
    </row>
    <row r="936">
      <c r="A936" s="2" t="inlineStr">
        <is>
          <t>1500-off</t>
        </is>
      </c>
      <c r="B936" s="2" t="n">
        <v>1500</v>
      </c>
      <c r="C936" s="2" t="inlineStr">
        <is>
          <t>off</t>
        </is>
      </c>
      <c r="D936" s="2" t="n">
        <v>1460</v>
      </c>
      <c r="E936" s="2" t="inlineStr">
        <is>
          <t>browser firefox133</t>
        </is>
      </c>
      <c r="F936" s="2" t="b">
        <v>1</v>
      </c>
      <c r="G936" s="2" t="n">
        <v>5</v>
      </c>
      <c r="H936" s="2" t="n">
        <v>1892</v>
      </c>
      <c r="I936" s="2" t="n">
        <v>1892</v>
      </c>
      <c r="J936" s="2" t="n">
        <v>1455</v>
      </c>
      <c r="K936" s="2">
        <f>H936+5&gt;D936</f>
        <v/>
      </c>
      <c r="L936" s="2">
        <f>J936&lt;I936</f>
        <v/>
      </c>
      <c r="M936" s="2" t="b">
        <v>1</v>
      </c>
      <c r="N936" s="2" t="b">
        <v>0</v>
      </c>
      <c r="O936" s="2" t="inlineStr">
        <is>
          <t>unknown</t>
        </is>
      </c>
      <c r="P936" s="2">
        <f>O936&lt;&gt;"unknown"</f>
        <v/>
      </c>
    </row>
    <row r="937">
      <c r="A937" s="2" t="inlineStr">
        <is>
          <t>1500-off</t>
        </is>
      </c>
      <c r="B937" s="2" t="n">
        <v>1500</v>
      </c>
      <c r="C937" s="2" t="inlineStr">
        <is>
          <t>off</t>
        </is>
      </c>
      <c r="D937" s="2" t="n">
        <v>1460</v>
      </c>
      <c r="E937" s="2" t="inlineStr">
        <is>
          <t>browser firefox147</t>
        </is>
      </c>
      <c r="F937" s="2" t="b">
        <v>1</v>
      </c>
      <c r="G937" s="2" t="n">
        <v>1</v>
      </c>
      <c r="H937" s="2" t="n">
        <v>1800</v>
      </c>
      <c r="I937" s="2" t="n">
        <v>1800</v>
      </c>
      <c r="J937" s="2" t="n">
        <v>1455</v>
      </c>
      <c r="K937" s="2">
        <f>H937+5&gt;D937</f>
        <v/>
      </c>
      <c r="L937" s="2">
        <f>J937&lt;I937</f>
        <v/>
      </c>
      <c r="M937" s="2" t="b">
        <v>1</v>
      </c>
      <c r="N937" s="2" t="b">
        <v>0</v>
      </c>
      <c r="O937" s="2" t="inlineStr">
        <is>
          <t>unknown</t>
        </is>
      </c>
      <c r="P937" s="2">
        <f>O937&lt;&gt;"unknown"</f>
        <v/>
      </c>
    </row>
    <row r="938">
      <c r="A938" s="2" t="inlineStr">
        <is>
          <t>1500-off</t>
        </is>
      </c>
      <c r="B938" s="2" t="n">
        <v>1500</v>
      </c>
      <c r="C938" s="2" t="inlineStr">
        <is>
          <t>off</t>
        </is>
      </c>
      <c r="D938" s="2" t="n">
        <v>1460</v>
      </c>
      <c r="E938" s="2" t="inlineStr">
        <is>
          <t>browser firefox147</t>
        </is>
      </c>
      <c r="F938" s="2" t="b">
        <v>1</v>
      </c>
      <c r="G938" s="2" t="n">
        <v>2</v>
      </c>
      <c r="H938" s="2" t="n">
        <v>1800</v>
      </c>
      <c r="I938" s="2" t="n">
        <v>1800</v>
      </c>
      <c r="J938" s="2" t="n">
        <v>1455</v>
      </c>
      <c r="K938" s="2">
        <f>H938+5&gt;D938</f>
        <v/>
      </c>
      <c r="L938" s="2">
        <f>J938&lt;I938</f>
        <v/>
      </c>
      <c r="M938" s="2" t="b">
        <v>1</v>
      </c>
      <c r="N938" s="2" t="b">
        <v>0</v>
      </c>
      <c r="O938" s="2" t="inlineStr">
        <is>
          <t>unknown</t>
        </is>
      </c>
      <c r="P938" s="2">
        <f>O938&lt;&gt;"unknown"</f>
        <v/>
      </c>
    </row>
    <row r="939">
      <c r="A939" s="2" t="inlineStr">
        <is>
          <t>1500-off</t>
        </is>
      </c>
      <c r="B939" s="2" t="n">
        <v>1500</v>
      </c>
      <c r="C939" s="2" t="inlineStr">
        <is>
          <t>off</t>
        </is>
      </c>
      <c r="D939" s="2" t="n">
        <v>1460</v>
      </c>
      <c r="E939" s="2" t="inlineStr">
        <is>
          <t>browser firefox147</t>
        </is>
      </c>
      <c r="F939" s="2" t="b">
        <v>1</v>
      </c>
      <c r="G939" s="2" t="n">
        <v>3</v>
      </c>
      <c r="H939" s="2" t="n">
        <v>1832</v>
      </c>
      <c r="I939" s="2" t="n">
        <v>1832</v>
      </c>
      <c r="J939" s="2" t="n">
        <v>1455</v>
      </c>
      <c r="K939" s="2">
        <f>H939+5&gt;D939</f>
        <v/>
      </c>
      <c r="L939" s="2">
        <f>J939&lt;I939</f>
        <v/>
      </c>
      <c r="M939" s="2" t="b">
        <v>1</v>
      </c>
      <c r="N939" s="2" t="b">
        <v>0</v>
      </c>
      <c r="O939" s="2" t="inlineStr">
        <is>
          <t>unknown</t>
        </is>
      </c>
      <c r="P939" s="2">
        <f>O939&lt;&gt;"unknown"</f>
        <v/>
      </c>
    </row>
    <row r="940">
      <c r="A940" s="2" t="inlineStr">
        <is>
          <t>1500-off</t>
        </is>
      </c>
      <c r="B940" s="2" t="n">
        <v>1500</v>
      </c>
      <c r="C940" s="2" t="inlineStr">
        <is>
          <t>off</t>
        </is>
      </c>
      <c r="D940" s="2" t="n">
        <v>1460</v>
      </c>
      <c r="E940" s="2" t="inlineStr">
        <is>
          <t>browser firefox147</t>
        </is>
      </c>
      <c r="F940" s="2" t="b">
        <v>1</v>
      </c>
      <c r="G940" s="2" t="n">
        <v>4</v>
      </c>
      <c r="H940" s="2" t="n">
        <v>1896</v>
      </c>
      <c r="I940" s="2" t="n">
        <v>1896</v>
      </c>
      <c r="J940" s="2" t="n">
        <v>1455</v>
      </c>
      <c r="K940" s="2">
        <f>H940+5&gt;D940</f>
        <v/>
      </c>
      <c r="L940" s="2">
        <f>J940&lt;I940</f>
        <v/>
      </c>
      <c r="M940" s="2" t="b">
        <v>1</v>
      </c>
      <c r="N940" s="2" t="b">
        <v>0</v>
      </c>
      <c r="O940" s="2" t="inlineStr">
        <is>
          <t>unknown</t>
        </is>
      </c>
      <c r="P940" s="2">
        <f>O940&lt;&gt;"unknown"</f>
        <v/>
      </c>
    </row>
    <row r="941">
      <c r="A941" s="2" t="inlineStr">
        <is>
          <t>1500-off</t>
        </is>
      </c>
      <c r="B941" s="2" t="n">
        <v>1500</v>
      </c>
      <c r="C941" s="2" t="inlineStr">
        <is>
          <t>off</t>
        </is>
      </c>
      <c r="D941" s="2" t="n">
        <v>1460</v>
      </c>
      <c r="E941" s="2" t="inlineStr">
        <is>
          <t>browser firefox147</t>
        </is>
      </c>
      <c r="F941" s="2" t="b">
        <v>1</v>
      </c>
      <c r="G941" s="2" t="n">
        <v>5</v>
      </c>
      <c r="H941" s="2" t="n">
        <v>1896</v>
      </c>
      <c r="I941" s="2" t="n">
        <v>1896</v>
      </c>
      <c r="J941" s="2" t="n">
        <v>1455</v>
      </c>
      <c r="K941" s="2">
        <f>H941+5&gt;D941</f>
        <v/>
      </c>
      <c r="L941" s="2">
        <f>J941&lt;I941</f>
        <v/>
      </c>
      <c r="M941" s="2" t="b">
        <v>1</v>
      </c>
      <c r="N941" s="2" t="b">
        <v>0</v>
      </c>
      <c r="O941" s="2" t="inlineStr">
        <is>
          <t>unknown</t>
        </is>
      </c>
      <c r="P941" s="2">
        <f>O941&lt;&gt;"unknown"</f>
        <v/>
      </c>
    </row>
    <row r="942">
      <c r="A942" s="2" t="inlineStr">
        <is>
          <t>1500-off</t>
        </is>
      </c>
      <c r="B942" s="2" t="n">
        <v>1500</v>
      </c>
      <c r="C942" s="2" t="inlineStr">
        <is>
          <t>off</t>
        </is>
      </c>
      <c r="D942" s="2" t="n">
        <v>1460</v>
      </c>
      <c r="E942" s="2" t="inlineStr">
        <is>
          <t>browser safari184</t>
        </is>
      </c>
      <c r="F942" s="2" t="b">
        <v>0</v>
      </c>
      <c r="G942" s="2" t="n">
        <v>1</v>
      </c>
      <c r="H942" s="2" t="n">
        <v>512</v>
      </c>
      <c r="I942" s="2" t="n">
        <v>512</v>
      </c>
      <c r="J942" s="2" t="n">
        <v>512</v>
      </c>
      <c r="K942" s="2">
        <f>H942+5&gt;D942</f>
        <v/>
      </c>
      <c r="L942" s="2">
        <f>J942&lt;I942</f>
        <v/>
      </c>
      <c r="M942" s="2" t="b">
        <v>1</v>
      </c>
      <c r="N942" s="2" t="b">
        <v>1</v>
      </c>
      <c r="O942" s="2" t="inlineStr">
        <is>
          <t>violation</t>
        </is>
      </c>
      <c r="P942" s="2">
        <f>O942&lt;&gt;"unknown"</f>
        <v/>
      </c>
    </row>
    <row r="943">
      <c r="A943" s="2" t="inlineStr">
        <is>
          <t>1500-off</t>
        </is>
      </c>
      <c r="B943" s="2" t="n">
        <v>1500</v>
      </c>
      <c r="C943" s="2" t="inlineStr">
        <is>
          <t>off</t>
        </is>
      </c>
      <c r="D943" s="2" t="n">
        <v>1460</v>
      </c>
      <c r="E943" s="2" t="inlineStr">
        <is>
          <t>browser safari184</t>
        </is>
      </c>
      <c r="F943" s="2" t="b">
        <v>0</v>
      </c>
      <c r="G943" s="2" t="n">
        <v>2</v>
      </c>
      <c r="H943" s="2" t="n">
        <v>512</v>
      </c>
      <c r="I943" s="2" t="n">
        <v>512</v>
      </c>
      <c r="J943" s="2" t="n">
        <v>512</v>
      </c>
      <c r="K943" s="2">
        <f>H943+5&gt;D943</f>
        <v/>
      </c>
      <c r="L943" s="2">
        <f>J943&lt;I943</f>
        <v/>
      </c>
      <c r="M943" s="2" t="b">
        <v>1</v>
      </c>
      <c r="N943" s="2" t="b">
        <v>1</v>
      </c>
      <c r="O943" s="2" t="inlineStr">
        <is>
          <t>violation</t>
        </is>
      </c>
      <c r="P943" s="2">
        <f>O943&lt;&gt;"unknown"</f>
        <v/>
      </c>
    </row>
    <row r="944">
      <c r="A944" s="2" t="inlineStr">
        <is>
          <t>1500-off</t>
        </is>
      </c>
      <c r="B944" s="2" t="n">
        <v>1500</v>
      </c>
      <c r="C944" s="2" t="inlineStr">
        <is>
          <t>off</t>
        </is>
      </c>
      <c r="D944" s="2" t="n">
        <v>1460</v>
      </c>
      <c r="E944" s="2" t="inlineStr">
        <is>
          <t>browser safari184</t>
        </is>
      </c>
      <c r="F944" s="2" t="b">
        <v>0</v>
      </c>
      <c r="G944" s="2" t="n">
        <v>3</v>
      </c>
      <c r="H944" s="2" t="n">
        <v>512</v>
      </c>
      <c r="I944" s="2" t="n">
        <v>512</v>
      </c>
      <c r="J944" s="2" t="n">
        <v>512</v>
      </c>
      <c r="K944" s="2">
        <f>H944+5&gt;D944</f>
        <v/>
      </c>
      <c r="L944" s="2">
        <f>J944&lt;I944</f>
        <v/>
      </c>
      <c r="M944" s="2" t="b">
        <v>1</v>
      </c>
      <c r="N944" s="2" t="b">
        <v>1</v>
      </c>
      <c r="O944" s="2" t="inlineStr">
        <is>
          <t>violation</t>
        </is>
      </c>
      <c r="P944" s="2">
        <f>O944&lt;&gt;"unknown"</f>
        <v/>
      </c>
    </row>
    <row r="945">
      <c r="A945" s="2" t="inlineStr">
        <is>
          <t>1500-off</t>
        </is>
      </c>
      <c r="B945" s="2" t="n">
        <v>1500</v>
      </c>
      <c r="C945" s="2" t="inlineStr">
        <is>
          <t>off</t>
        </is>
      </c>
      <c r="D945" s="2" t="n">
        <v>1460</v>
      </c>
      <c r="E945" s="2" t="inlineStr">
        <is>
          <t>browser safari184</t>
        </is>
      </c>
      <c r="F945" s="2" t="b">
        <v>0</v>
      </c>
      <c r="G945" s="2" t="n">
        <v>4</v>
      </c>
      <c r="H945" s="2" t="n">
        <v>512</v>
      </c>
      <c r="I945" s="2" t="n">
        <v>512</v>
      </c>
      <c r="J945" s="2" t="n">
        <v>512</v>
      </c>
      <c r="K945" s="2">
        <f>H945+5&gt;D945</f>
        <v/>
      </c>
      <c r="L945" s="2">
        <f>J945&lt;I945</f>
        <v/>
      </c>
      <c r="M945" s="2" t="b">
        <v>1</v>
      </c>
      <c r="N945" s="2" t="b">
        <v>1</v>
      </c>
      <c r="O945" s="2" t="inlineStr">
        <is>
          <t>violation</t>
        </is>
      </c>
      <c r="P945" s="2">
        <f>O945&lt;&gt;"unknown"</f>
        <v/>
      </c>
    </row>
    <row r="946">
      <c r="A946" s="2" t="inlineStr">
        <is>
          <t>1500-off</t>
        </is>
      </c>
      <c r="B946" s="2" t="n">
        <v>1500</v>
      </c>
      <c r="C946" s="2" t="inlineStr">
        <is>
          <t>off</t>
        </is>
      </c>
      <c r="D946" s="2" t="n">
        <v>1460</v>
      </c>
      <c r="E946" s="2" t="inlineStr">
        <is>
          <t>browser safari184</t>
        </is>
      </c>
      <c r="F946" s="2" t="b">
        <v>0</v>
      </c>
      <c r="G946" s="2" t="n">
        <v>5</v>
      </c>
      <c r="H946" s="2" t="n">
        <v>512</v>
      </c>
      <c r="I946" s="2" t="n">
        <v>512</v>
      </c>
      <c r="J946" s="2" t="n">
        <v>512</v>
      </c>
      <c r="K946" s="2">
        <f>H946+5&gt;D946</f>
        <v/>
      </c>
      <c r="L946" s="2">
        <f>J946&lt;I946</f>
        <v/>
      </c>
      <c r="M946" s="2" t="b">
        <v>1</v>
      </c>
      <c r="N946" s="2" t="b">
        <v>1</v>
      </c>
      <c r="O946" s="2" t="inlineStr">
        <is>
          <t>violation</t>
        </is>
      </c>
      <c r="P946" s="2">
        <f>O946&lt;&gt;"unknown"</f>
        <v/>
      </c>
    </row>
    <row r="947">
      <c r="A947" s="2" t="inlineStr">
        <is>
          <t>1500-off</t>
        </is>
      </c>
      <c r="B947" s="2" t="n">
        <v>1500</v>
      </c>
      <c r="C947" s="2" t="inlineStr">
        <is>
          <t>off</t>
        </is>
      </c>
      <c r="D947" s="2" t="n">
        <v>1460</v>
      </c>
      <c r="E947" s="2" t="inlineStr">
        <is>
          <t>browser safari260</t>
        </is>
      </c>
      <c r="F947" s="2" t="b">
        <v>1</v>
      </c>
      <c r="G947" s="2" t="n">
        <v>1</v>
      </c>
      <c r="H947" s="2" t="n">
        <v>1537</v>
      </c>
      <c r="I947" s="2" t="n">
        <v>1537</v>
      </c>
      <c r="J947" s="2" t="n">
        <v>1455</v>
      </c>
      <c r="K947" s="2">
        <f>H947+5&gt;D947</f>
        <v/>
      </c>
      <c r="L947" s="2">
        <f>J947&lt;I947</f>
        <v/>
      </c>
      <c r="M947" s="2" t="b">
        <v>1</v>
      </c>
      <c r="N947" s="2" t="b">
        <v>0</v>
      </c>
      <c r="O947" s="2" t="inlineStr">
        <is>
          <t>unknown</t>
        </is>
      </c>
      <c r="P947" s="2">
        <f>O947&lt;&gt;"unknown"</f>
        <v/>
      </c>
    </row>
    <row r="948">
      <c r="A948" s="2" t="inlineStr">
        <is>
          <t>1500-off</t>
        </is>
      </c>
      <c r="B948" s="2" t="n">
        <v>1500</v>
      </c>
      <c r="C948" s="2" t="inlineStr">
        <is>
          <t>off</t>
        </is>
      </c>
      <c r="D948" s="2" t="n">
        <v>1460</v>
      </c>
      <c r="E948" s="2" t="inlineStr">
        <is>
          <t>browser safari260</t>
        </is>
      </c>
      <c r="F948" s="2" t="b">
        <v>1</v>
      </c>
      <c r="G948" s="2" t="n">
        <v>2</v>
      </c>
      <c r="H948" s="2" t="n">
        <v>1537</v>
      </c>
      <c r="I948" s="2" t="n">
        <v>1537</v>
      </c>
      <c r="J948" s="2" t="n">
        <v>1455</v>
      </c>
      <c r="K948" s="2">
        <f>H948+5&gt;D948</f>
        <v/>
      </c>
      <c r="L948" s="2">
        <f>J948&lt;I948</f>
        <v/>
      </c>
      <c r="M948" s="2" t="b">
        <v>1</v>
      </c>
      <c r="N948" s="2" t="b">
        <v>0</v>
      </c>
      <c r="O948" s="2" t="inlineStr">
        <is>
          <t>unknown</t>
        </is>
      </c>
      <c r="P948" s="2">
        <f>O948&lt;&gt;"unknown"</f>
        <v/>
      </c>
    </row>
    <row r="949">
      <c r="A949" s="2" t="inlineStr">
        <is>
          <t>1500-off</t>
        </is>
      </c>
      <c r="B949" s="2" t="n">
        <v>1500</v>
      </c>
      <c r="C949" s="2" t="inlineStr">
        <is>
          <t>off</t>
        </is>
      </c>
      <c r="D949" s="2" t="n">
        <v>1460</v>
      </c>
      <c r="E949" s="2" t="inlineStr">
        <is>
          <t>browser safari260</t>
        </is>
      </c>
      <c r="F949" s="2" t="b">
        <v>1</v>
      </c>
      <c r="G949" s="2" t="n">
        <v>3</v>
      </c>
      <c r="H949" s="2" t="n">
        <v>1537</v>
      </c>
      <c r="I949" s="2" t="n">
        <v>1537</v>
      </c>
      <c r="J949" s="2" t="n">
        <v>1455</v>
      </c>
      <c r="K949" s="2">
        <f>H949+5&gt;D949</f>
        <v/>
      </c>
      <c r="L949" s="2">
        <f>J949&lt;I949</f>
        <v/>
      </c>
      <c r="M949" s="2" t="b">
        <v>1</v>
      </c>
      <c r="N949" s="2" t="b">
        <v>0</v>
      </c>
      <c r="O949" s="2" t="inlineStr">
        <is>
          <t>unknown</t>
        </is>
      </c>
      <c r="P949" s="2">
        <f>O949&lt;&gt;"unknown"</f>
        <v/>
      </c>
    </row>
    <row r="950">
      <c r="A950" s="2" t="inlineStr">
        <is>
          <t>1500-off</t>
        </is>
      </c>
      <c r="B950" s="2" t="n">
        <v>1500</v>
      </c>
      <c r="C950" s="2" t="inlineStr">
        <is>
          <t>off</t>
        </is>
      </c>
      <c r="D950" s="2" t="n">
        <v>1460</v>
      </c>
      <c r="E950" s="2" t="inlineStr">
        <is>
          <t>browser safari260</t>
        </is>
      </c>
      <c r="F950" s="2" t="b">
        <v>1</v>
      </c>
      <c r="G950" s="2" t="n">
        <v>4</v>
      </c>
      <c r="H950" s="2" t="n">
        <v>1537</v>
      </c>
      <c r="I950" s="2" t="n">
        <v>1537</v>
      </c>
      <c r="J950" s="2" t="n">
        <v>1455</v>
      </c>
      <c r="K950" s="2">
        <f>H950+5&gt;D950</f>
        <v/>
      </c>
      <c r="L950" s="2">
        <f>J950&lt;I950</f>
        <v/>
      </c>
      <c r="M950" s="2" t="b">
        <v>1</v>
      </c>
      <c r="N950" s="2" t="b">
        <v>0</v>
      </c>
      <c r="O950" s="2" t="inlineStr">
        <is>
          <t>unknown</t>
        </is>
      </c>
      <c r="P950" s="2">
        <f>O950&lt;&gt;"unknown"</f>
        <v/>
      </c>
    </row>
    <row r="951">
      <c r="A951" s="2" t="inlineStr">
        <is>
          <t>1500-off</t>
        </is>
      </c>
      <c r="B951" s="2" t="n">
        <v>1500</v>
      </c>
      <c r="C951" s="2" t="inlineStr">
        <is>
          <t>off</t>
        </is>
      </c>
      <c r="D951" s="2" t="n">
        <v>1460</v>
      </c>
      <c r="E951" s="2" t="inlineStr">
        <is>
          <t>browser safari260</t>
        </is>
      </c>
      <c r="F951" s="2" t="b">
        <v>1</v>
      </c>
      <c r="G951" s="2" t="n">
        <v>5</v>
      </c>
      <c r="H951" s="2" t="n">
        <v>1537</v>
      </c>
      <c r="I951" s="2" t="n">
        <v>1537</v>
      </c>
      <c r="J951" s="2" t="n">
        <v>1455</v>
      </c>
      <c r="K951" s="2">
        <f>H951+5&gt;D951</f>
        <v/>
      </c>
      <c r="L951" s="2">
        <f>J951&lt;I951</f>
        <v/>
      </c>
      <c r="M951" s="2" t="b">
        <v>1</v>
      </c>
      <c r="N951" s="2" t="b">
        <v>0</v>
      </c>
      <c r="O951" s="2" t="inlineStr">
        <is>
          <t>unknown</t>
        </is>
      </c>
      <c r="P951" s="2">
        <f>O951&lt;&gt;"unknown"</f>
        <v/>
      </c>
    </row>
    <row r="952">
      <c r="A952" s="2" t="inlineStr">
        <is>
          <t>1500-off</t>
        </is>
      </c>
      <c r="B952" s="2" t="n">
        <v>1500</v>
      </c>
      <c r="C952" s="2" t="inlineStr">
        <is>
          <t>off</t>
        </is>
      </c>
      <c r="D952" s="2" t="n">
        <v>1460</v>
      </c>
      <c r="E952" s="2" t="inlineStr">
        <is>
          <t>browser safari260_ios</t>
        </is>
      </c>
      <c r="F952" s="2" t="b">
        <v>0</v>
      </c>
      <c r="G952" s="2" t="n">
        <v>1</v>
      </c>
      <c r="H952" s="2" t="n">
        <v>512</v>
      </c>
      <c r="I952" s="2" t="n">
        <v>512</v>
      </c>
      <c r="J952" s="2" t="n">
        <v>512</v>
      </c>
      <c r="K952" s="2">
        <f>H952+5&gt;D952</f>
        <v/>
      </c>
      <c r="L952" s="2">
        <f>J952&lt;I952</f>
        <v/>
      </c>
      <c r="M952" s="2" t="b">
        <v>1</v>
      </c>
      <c r="N952" s="2" t="b">
        <v>1</v>
      </c>
      <c r="O952" s="2" t="inlineStr">
        <is>
          <t>allow</t>
        </is>
      </c>
      <c r="P952" s="2">
        <f>O952&lt;&gt;"unknown"</f>
        <v/>
      </c>
    </row>
    <row r="953">
      <c r="A953" s="2" t="inlineStr">
        <is>
          <t>1500-off</t>
        </is>
      </c>
      <c r="B953" s="2" t="n">
        <v>1500</v>
      </c>
      <c r="C953" s="2" t="inlineStr">
        <is>
          <t>off</t>
        </is>
      </c>
      <c r="D953" s="2" t="n">
        <v>1460</v>
      </c>
      <c r="E953" s="2" t="inlineStr">
        <is>
          <t>browser safari260_ios</t>
        </is>
      </c>
      <c r="F953" s="2" t="b">
        <v>0</v>
      </c>
      <c r="G953" s="2" t="n">
        <v>2</v>
      </c>
      <c r="H953" s="2" t="n">
        <v>512</v>
      </c>
      <c r="I953" s="2" t="n">
        <v>512</v>
      </c>
      <c r="J953" s="2" t="n">
        <v>512</v>
      </c>
      <c r="K953" s="2">
        <f>H953+5&gt;D953</f>
        <v/>
      </c>
      <c r="L953" s="2">
        <f>J953&lt;I953</f>
        <v/>
      </c>
      <c r="M953" s="2" t="b">
        <v>1</v>
      </c>
      <c r="N953" s="2" t="b">
        <v>1</v>
      </c>
      <c r="O953" s="2" t="inlineStr">
        <is>
          <t>allow</t>
        </is>
      </c>
      <c r="P953" s="2">
        <f>O953&lt;&gt;"unknown"</f>
        <v/>
      </c>
    </row>
    <row r="954">
      <c r="A954" s="2" t="inlineStr">
        <is>
          <t>1500-off</t>
        </is>
      </c>
      <c r="B954" s="2" t="n">
        <v>1500</v>
      </c>
      <c r="C954" s="2" t="inlineStr">
        <is>
          <t>off</t>
        </is>
      </c>
      <c r="D954" s="2" t="n">
        <v>1460</v>
      </c>
      <c r="E954" s="2" t="inlineStr">
        <is>
          <t>browser safari260_ios</t>
        </is>
      </c>
      <c r="F954" s="2" t="b">
        <v>0</v>
      </c>
      <c r="G954" s="2" t="n">
        <v>3</v>
      </c>
      <c r="H954" s="2" t="n">
        <v>512</v>
      </c>
      <c r="I954" s="2" t="n">
        <v>512</v>
      </c>
      <c r="J954" s="2" t="n">
        <v>512</v>
      </c>
      <c r="K954" s="2">
        <f>H954+5&gt;D954</f>
        <v/>
      </c>
      <c r="L954" s="2">
        <f>J954&lt;I954</f>
        <v/>
      </c>
      <c r="M954" s="2" t="b">
        <v>1</v>
      </c>
      <c r="N954" s="2" t="b">
        <v>1</v>
      </c>
      <c r="O954" s="2" t="inlineStr">
        <is>
          <t>allow</t>
        </is>
      </c>
      <c r="P954" s="2">
        <f>O954&lt;&gt;"unknown"</f>
        <v/>
      </c>
    </row>
    <row r="955">
      <c r="A955" s="2" t="inlineStr">
        <is>
          <t>1500-off</t>
        </is>
      </c>
      <c r="B955" s="2" t="n">
        <v>1500</v>
      </c>
      <c r="C955" s="2" t="inlineStr">
        <is>
          <t>off</t>
        </is>
      </c>
      <c r="D955" s="2" t="n">
        <v>1460</v>
      </c>
      <c r="E955" s="2" t="inlineStr">
        <is>
          <t>browser safari260_ios</t>
        </is>
      </c>
      <c r="F955" s="2" t="b">
        <v>0</v>
      </c>
      <c r="G955" s="2" t="n">
        <v>4</v>
      </c>
      <c r="H955" s="2" t="n">
        <v>512</v>
      </c>
      <c r="I955" s="2" t="n">
        <v>512</v>
      </c>
      <c r="J955" s="2" t="n">
        <v>512</v>
      </c>
      <c r="K955" s="2">
        <f>H955+5&gt;D955</f>
        <v/>
      </c>
      <c r="L955" s="2">
        <f>J955&lt;I955</f>
        <v/>
      </c>
      <c r="M955" s="2" t="b">
        <v>1</v>
      </c>
      <c r="N955" s="2" t="b">
        <v>1</v>
      </c>
      <c r="O955" s="2" t="inlineStr">
        <is>
          <t>allow</t>
        </is>
      </c>
      <c r="P955" s="2">
        <f>O955&lt;&gt;"unknown"</f>
        <v/>
      </c>
    </row>
    <row r="956">
      <c r="A956" s="2" t="inlineStr">
        <is>
          <t>1500-off</t>
        </is>
      </c>
      <c r="B956" s="2" t="n">
        <v>1500</v>
      </c>
      <c r="C956" s="2" t="inlineStr">
        <is>
          <t>off</t>
        </is>
      </c>
      <c r="D956" s="2" t="n">
        <v>1460</v>
      </c>
      <c r="E956" s="2" t="inlineStr">
        <is>
          <t>browser safari260_ios</t>
        </is>
      </c>
      <c r="F956" s="2" t="b">
        <v>0</v>
      </c>
      <c r="G956" s="2" t="n">
        <v>5</v>
      </c>
      <c r="H956" s="2" t="n">
        <v>512</v>
      </c>
      <c r="I956" s="2" t="n">
        <v>512</v>
      </c>
      <c r="J956" s="2" t="n">
        <v>512</v>
      </c>
      <c r="K956" s="2">
        <f>H956+5&gt;D956</f>
        <v/>
      </c>
      <c r="L956" s="2">
        <f>J956&lt;I956</f>
        <v/>
      </c>
      <c r="M956" s="2" t="b">
        <v>1</v>
      </c>
      <c r="N956" s="2" t="b">
        <v>1</v>
      </c>
      <c r="O956" s="2" t="inlineStr">
        <is>
          <t>allow</t>
        </is>
      </c>
      <c r="P956" s="2">
        <f>O956&lt;&gt;"unknown"</f>
        <v/>
      </c>
    </row>
    <row r="957">
      <c r="A957" s="2" t="inlineStr">
        <is>
          <t>1500-off</t>
        </is>
      </c>
      <c r="B957" s="2" t="n">
        <v>1500</v>
      </c>
      <c r="C957" s="2" t="inlineStr">
        <is>
          <t>off</t>
        </is>
      </c>
      <c r="D957" s="2" t="n">
        <v>1460</v>
      </c>
      <c r="E957" s="2" t="inlineStr">
        <is>
          <t>browser tor145</t>
        </is>
      </c>
      <c r="F957" s="2" t="b">
        <v>0</v>
      </c>
      <c r="G957" s="2" t="n">
        <v>1</v>
      </c>
      <c r="H957" s="2" t="n">
        <v>613</v>
      </c>
      <c r="I957" s="2" t="n">
        <v>613</v>
      </c>
      <c r="J957" s="2" t="n">
        <v>613</v>
      </c>
      <c r="K957" s="2">
        <f>H957+5&gt;D957</f>
        <v/>
      </c>
      <c r="L957" s="2">
        <f>J957&lt;I957</f>
        <v/>
      </c>
      <c r="M957" s="2" t="b">
        <v>1</v>
      </c>
      <c r="N957" s="2" t="b">
        <v>1</v>
      </c>
      <c r="O957" s="2" t="inlineStr">
        <is>
          <t>allow</t>
        </is>
      </c>
      <c r="P957" s="2">
        <f>O957&lt;&gt;"unknown"</f>
        <v/>
      </c>
    </row>
    <row r="958">
      <c r="A958" s="2" t="inlineStr">
        <is>
          <t>1500-off</t>
        </is>
      </c>
      <c r="B958" s="2" t="n">
        <v>1500</v>
      </c>
      <c r="C958" s="2" t="inlineStr">
        <is>
          <t>off</t>
        </is>
      </c>
      <c r="D958" s="2" t="n">
        <v>1460</v>
      </c>
      <c r="E958" s="2" t="inlineStr">
        <is>
          <t>browser tor145</t>
        </is>
      </c>
      <c r="F958" s="2" t="b">
        <v>0</v>
      </c>
      <c r="G958" s="2" t="n">
        <v>2</v>
      </c>
      <c r="H958" s="2" t="n">
        <v>613</v>
      </c>
      <c r="I958" s="2" t="n">
        <v>613</v>
      </c>
      <c r="J958" s="2" t="n">
        <v>613</v>
      </c>
      <c r="K958" s="2">
        <f>H958+5&gt;D958</f>
        <v/>
      </c>
      <c r="L958" s="2">
        <f>J958&lt;I958</f>
        <v/>
      </c>
      <c r="M958" s="2" t="b">
        <v>1</v>
      </c>
      <c r="N958" s="2" t="b">
        <v>1</v>
      </c>
      <c r="O958" s="2" t="inlineStr">
        <is>
          <t>allow</t>
        </is>
      </c>
      <c r="P958" s="2">
        <f>O958&lt;&gt;"unknown"</f>
        <v/>
      </c>
    </row>
    <row r="959">
      <c r="A959" s="2" t="inlineStr">
        <is>
          <t>1500-off</t>
        </is>
      </c>
      <c r="B959" s="2" t="n">
        <v>1500</v>
      </c>
      <c r="C959" s="2" t="inlineStr">
        <is>
          <t>off</t>
        </is>
      </c>
      <c r="D959" s="2" t="n">
        <v>1460</v>
      </c>
      <c r="E959" s="2" t="inlineStr">
        <is>
          <t>browser tor145</t>
        </is>
      </c>
      <c r="F959" s="2" t="b">
        <v>0</v>
      </c>
      <c r="G959" s="2" t="n">
        <v>3</v>
      </c>
      <c r="H959" s="2" t="n">
        <v>549</v>
      </c>
      <c r="I959" s="2" t="n">
        <v>549</v>
      </c>
      <c r="J959" s="2" t="n">
        <v>549</v>
      </c>
      <c r="K959" s="2">
        <f>H959+5&gt;D959</f>
        <v/>
      </c>
      <c r="L959" s="2">
        <f>J959&lt;I959</f>
        <v/>
      </c>
      <c r="M959" s="2" t="b">
        <v>1</v>
      </c>
      <c r="N959" s="2" t="b">
        <v>1</v>
      </c>
      <c r="O959" s="2" t="inlineStr">
        <is>
          <t>allow</t>
        </is>
      </c>
      <c r="P959" s="2">
        <f>O959&lt;&gt;"unknown"</f>
        <v/>
      </c>
    </row>
    <row r="960">
      <c r="A960" s="2" t="inlineStr">
        <is>
          <t>1500-off</t>
        </is>
      </c>
      <c r="B960" s="2" t="n">
        <v>1500</v>
      </c>
      <c r="C960" s="2" t="inlineStr">
        <is>
          <t>off</t>
        </is>
      </c>
      <c r="D960" s="2" t="n">
        <v>1460</v>
      </c>
      <c r="E960" s="2" t="inlineStr">
        <is>
          <t>browser tor145</t>
        </is>
      </c>
      <c r="F960" s="2" t="b">
        <v>0</v>
      </c>
      <c r="G960" s="2" t="n">
        <v>4</v>
      </c>
      <c r="H960" s="2" t="n">
        <v>549</v>
      </c>
      <c r="I960" s="2" t="n">
        <v>549</v>
      </c>
      <c r="J960" s="2" t="n">
        <v>549</v>
      </c>
      <c r="K960" s="2">
        <f>H960+5&gt;D960</f>
        <v/>
      </c>
      <c r="L960" s="2">
        <f>J960&lt;I960</f>
        <v/>
      </c>
      <c r="M960" s="2" t="b">
        <v>1</v>
      </c>
      <c r="N960" s="2" t="b">
        <v>1</v>
      </c>
      <c r="O960" s="2" t="inlineStr">
        <is>
          <t>allow</t>
        </is>
      </c>
      <c r="P960" s="2">
        <f>O960&lt;&gt;"unknown"</f>
        <v/>
      </c>
    </row>
    <row r="961">
      <c r="A961" s="2" t="inlineStr">
        <is>
          <t>1500-off</t>
        </is>
      </c>
      <c r="B961" s="2" t="n">
        <v>1500</v>
      </c>
      <c r="C961" s="2" t="inlineStr">
        <is>
          <t>off</t>
        </is>
      </c>
      <c r="D961" s="2" t="n">
        <v>1460</v>
      </c>
      <c r="E961" s="2" t="inlineStr">
        <is>
          <t>browser tor145</t>
        </is>
      </c>
      <c r="F961" s="2" t="b">
        <v>0</v>
      </c>
      <c r="G961" s="2" t="n">
        <v>5</v>
      </c>
      <c r="H961" s="2" t="n">
        <v>613</v>
      </c>
      <c r="I961" s="2" t="n">
        <v>613</v>
      </c>
      <c r="J961" s="2" t="n">
        <v>613</v>
      </c>
      <c r="K961" s="2">
        <f>H961+5&gt;D961</f>
        <v/>
      </c>
      <c r="L961" s="2">
        <f>J961&lt;I961</f>
        <v/>
      </c>
      <c r="M961" s="2" t="b">
        <v>1</v>
      </c>
      <c r="N961" s="2" t="b">
        <v>1</v>
      </c>
      <c r="O961" s="2" t="inlineStr">
        <is>
          <t>allow</t>
        </is>
      </c>
      <c r="P961" s="2">
        <f>O961&lt;&gt;"unknown"</f>
        <v/>
      </c>
    </row>
    <row r="962">
      <c r="A962" s="2" t="inlineStr">
        <is>
          <t>1500-on</t>
        </is>
      </c>
      <c r="B962" s="2" t="n">
        <v>1500</v>
      </c>
      <c r="C962" s="2" t="inlineStr">
        <is>
          <t>on</t>
        </is>
      </c>
      <c r="D962" s="2" t="n">
        <v>1448</v>
      </c>
      <c r="E962" s="2" t="inlineStr">
        <is>
          <t>openssl 3.5.8 default</t>
        </is>
      </c>
      <c r="F962" s="2" t="b">
        <v>1</v>
      </c>
      <c r="G962" s="2" t="n">
        <v>1</v>
      </c>
      <c r="H962" s="2" t="n">
        <v>1543</v>
      </c>
      <c r="I962" s="2" t="n">
        <v>1543</v>
      </c>
      <c r="J962" s="2" t="n">
        <v>1443</v>
      </c>
      <c r="K962" s="2">
        <f>H962+5&gt;D962</f>
        <v/>
      </c>
      <c r="L962" s="2">
        <f>J962&lt;I962</f>
        <v/>
      </c>
      <c r="M962" s="2" t="b">
        <v>1</v>
      </c>
      <c r="N962" s="2" t="b">
        <v>1</v>
      </c>
      <c r="O962" s="2" t="inlineStr">
        <is>
          <t>allow</t>
        </is>
      </c>
      <c r="P962" s="2">
        <f>O962&lt;&gt;"unknown"</f>
        <v/>
      </c>
    </row>
    <row r="963">
      <c r="A963" s="2" t="inlineStr">
        <is>
          <t>1500-on</t>
        </is>
      </c>
      <c r="B963" s="2" t="n">
        <v>1500</v>
      </c>
      <c r="C963" s="2" t="inlineStr">
        <is>
          <t>on</t>
        </is>
      </c>
      <c r="D963" s="2" t="n">
        <v>1448</v>
      </c>
      <c r="E963" s="2" t="inlineStr">
        <is>
          <t>openssl 3.5.8 default</t>
        </is>
      </c>
      <c r="F963" s="2" t="b">
        <v>1</v>
      </c>
      <c r="G963" s="2" t="n">
        <v>2</v>
      </c>
      <c r="H963" s="2" t="n">
        <v>1543</v>
      </c>
      <c r="I963" s="2" t="n">
        <v>1543</v>
      </c>
      <c r="J963" s="2" t="n">
        <v>1443</v>
      </c>
      <c r="K963" s="2">
        <f>H963+5&gt;D963</f>
        <v/>
      </c>
      <c r="L963" s="2">
        <f>J963&lt;I963</f>
        <v/>
      </c>
      <c r="M963" s="2" t="b">
        <v>1</v>
      </c>
      <c r="N963" s="2" t="b">
        <v>1</v>
      </c>
      <c r="O963" s="2" t="inlineStr">
        <is>
          <t>allow</t>
        </is>
      </c>
      <c r="P963" s="2">
        <f>O963&lt;&gt;"unknown"</f>
        <v/>
      </c>
    </row>
    <row r="964">
      <c r="A964" s="2" t="inlineStr">
        <is>
          <t>1500-on</t>
        </is>
      </c>
      <c r="B964" s="2" t="n">
        <v>1500</v>
      </c>
      <c r="C964" s="2" t="inlineStr">
        <is>
          <t>on</t>
        </is>
      </c>
      <c r="D964" s="2" t="n">
        <v>1448</v>
      </c>
      <c r="E964" s="2" t="inlineStr">
        <is>
          <t>openssl 3.5.8 default</t>
        </is>
      </c>
      <c r="F964" s="2" t="b">
        <v>1</v>
      </c>
      <c r="G964" s="2" t="n">
        <v>3</v>
      </c>
      <c r="H964" s="2" t="n">
        <v>1543</v>
      </c>
      <c r="I964" s="2" t="n">
        <v>1543</v>
      </c>
      <c r="J964" s="2" t="n">
        <v>1443</v>
      </c>
      <c r="K964" s="2">
        <f>H964+5&gt;D964</f>
        <v/>
      </c>
      <c r="L964" s="2">
        <f>J964&lt;I964</f>
        <v/>
      </c>
      <c r="M964" s="2" t="b">
        <v>1</v>
      </c>
      <c r="N964" s="2" t="b">
        <v>1</v>
      </c>
      <c r="O964" s="2" t="inlineStr">
        <is>
          <t>allow</t>
        </is>
      </c>
      <c r="P964" s="2">
        <f>O964&lt;&gt;"unknown"</f>
        <v/>
      </c>
    </row>
    <row r="965">
      <c r="A965" s="2" t="inlineStr">
        <is>
          <t>1500-on</t>
        </is>
      </c>
      <c r="B965" s="2" t="n">
        <v>1500</v>
      </c>
      <c r="C965" s="2" t="inlineStr">
        <is>
          <t>on</t>
        </is>
      </c>
      <c r="D965" s="2" t="n">
        <v>1448</v>
      </c>
      <c r="E965" s="2" t="inlineStr">
        <is>
          <t>openssl 3.5.8 default</t>
        </is>
      </c>
      <c r="F965" s="2" t="b">
        <v>1</v>
      </c>
      <c r="G965" s="2" t="n">
        <v>4</v>
      </c>
      <c r="H965" s="2" t="n">
        <v>1543</v>
      </c>
      <c r="I965" s="2" t="n">
        <v>1543</v>
      </c>
      <c r="J965" s="2" t="n">
        <v>1443</v>
      </c>
      <c r="K965" s="2">
        <f>H965+5&gt;D965</f>
        <v/>
      </c>
      <c r="L965" s="2">
        <f>J965&lt;I965</f>
        <v/>
      </c>
      <c r="M965" s="2" t="b">
        <v>1</v>
      </c>
      <c r="N965" s="2" t="b">
        <v>1</v>
      </c>
      <c r="O965" s="2" t="inlineStr">
        <is>
          <t>allow</t>
        </is>
      </c>
      <c r="P965" s="2">
        <f>O965&lt;&gt;"unknown"</f>
        <v/>
      </c>
    </row>
    <row r="966">
      <c r="A966" s="2" t="inlineStr">
        <is>
          <t>1500-on</t>
        </is>
      </c>
      <c r="B966" s="2" t="n">
        <v>1500</v>
      </c>
      <c r="C966" s="2" t="inlineStr">
        <is>
          <t>on</t>
        </is>
      </c>
      <c r="D966" s="2" t="n">
        <v>1448</v>
      </c>
      <c r="E966" s="2" t="inlineStr">
        <is>
          <t>openssl 3.5.8 default</t>
        </is>
      </c>
      <c r="F966" s="2" t="b">
        <v>1</v>
      </c>
      <c r="G966" s="2" t="n">
        <v>5</v>
      </c>
      <c r="H966" s="2" t="n">
        <v>1543</v>
      </c>
      <c r="I966" s="2" t="n">
        <v>1543</v>
      </c>
      <c r="J966" s="2" t="n">
        <v>1443</v>
      </c>
      <c r="K966" s="2">
        <f>H966+5&gt;D966</f>
        <v/>
      </c>
      <c r="L966" s="2">
        <f>J966&lt;I966</f>
        <v/>
      </c>
      <c r="M966" s="2" t="b">
        <v>1</v>
      </c>
      <c r="N966" s="2" t="b">
        <v>1</v>
      </c>
      <c r="O966" s="2" t="inlineStr">
        <is>
          <t>allow</t>
        </is>
      </c>
      <c r="P966" s="2">
        <f>O966&lt;&gt;"unknown"</f>
        <v/>
      </c>
    </row>
    <row r="967">
      <c r="A967" s="2" t="inlineStr">
        <is>
          <t>1500-on</t>
        </is>
      </c>
      <c r="B967" s="2" t="n">
        <v>1500</v>
      </c>
      <c r="C967" s="2" t="inlineStr">
        <is>
          <t>on</t>
        </is>
      </c>
      <c r="D967" s="2" t="n">
        <v>1448</v>
      </c>
      <c r="E967" s="2" t="inlineStr">
        <is>
          <t>openssl 3.5.8 default</t>
        </is>
      </c>
      <c r="F967" s="2" t="b">
        <v>1</v>
      </c>
      <c r="G967" s="2" t="n">
        <v>6</v>
      </c>
      <c r="H967" s="2" t="n">
        <v>1543</v>
      </c>
      <c r="I967" s="2" t="n">
        <v>1543</v>
      </c>
      <c r="J967" s="2" t="n">
        <v>1443</v>
      </c>
      <c r="K967" s="2">
        <f>H967+5&gt;D967</f>
        <v/>
      </c>
      <c r="L967" s="2">
        <f>J967&lt;I967</f>
        <v/>
      </c>
      <c r="M967" s="2" t="b">
        <v>1</v>
      </c>
      <c r="N967" s="2" t="b">
        <v>1</v>
      </c>
      <c r="O967" s="2" t="inlineStr">
        <is>
          <t>allow</t>
        </is>
      </c>
      <c r="P967" s="2">
        <f>O967&lt;&gt;"unknown"</f>
        <v/>
      </c>
    </row>
    <row r="968">
      <c r="A968" s="2" t="inlineStr">
        <is>
          <t>1500-on</t>
        </is>
      </c>
      <c r="B968" s="2" t="n">
        <v>1500</v>
      </c>
      <c r="C968" s="2" t="inlineStr">
        <is>
          <t>on</t>
        </is>
      </c>
      <c r="D968" s="2" t="n">
        <v>1448</v>
      </c>
      <c r="E968" s="2" t="inlineStr">
        <is>
          <t>openssl 3.5.8 default</t>
        </is>
      </c>
      <c r="F968" s="2" t="b">
        <v>1</v>
      </c>
      <c r="G968" s="2" t="n">
        <v>7</v>
      </c>
      <c r="H968" s="2" t="n">
        <v>1543</v>
      </c>
      <c r="I968" s="2" t="n">
        <v>1543</v>
      </c>
      <c r="J968" s="2" t="n">
        <v>1443</v>
      </c>
      <c r="K968" s="2">
        <f>H968+5&gt;D968</f>
        <v/>
      </c>
      <c r="L968" s="2">
        <f>J968&lt;I968</f>
        <v/>
      </c>
      <c r="M968" s="2" t="b">
        <v>1</v>
      </c>
      <c r="N968" s="2" t="b">
        <v>1</v>
      </c>
      <c r="O968" s="2" t="inlineStr">
        <is>
          <t>allow</t>
        </is>
      </c>
      <c r="P968" s="2">
        <f>O968&lt;&gt;"unknown"</f>
        <v/>
      </c>
    </row>
    <row r="969">
      <c r="A969" s="2" t="inlineStr">
        <is>
          <t>1500-on</t>
        </is>
      </c>
      <c r="B969" s="2" t="n">
        <v>1500</v>
      </c>
      <c r="C969" s="2" t="inlineStr">
        <is>
          <t>on</t>
        </is>
      </c>
      <c r="D969" s="2" t="n">
        <v>1448</v>
      </c>
      <c r="E969" s="2" t="inlineStr">
        <is>
          <t>openssl 3.5.8 default</t>
        </is>
      </c>
      <c r="F969" s="2" t="b">
        <v>1</v>
      </c>
      <c r="G969" s="2" t="n">
        <v>8</v>
      </c>
      <c r="H969" s="2" t="n">
        <v>1543</v>
      </c>
      <c r="I969" s="2" t="n">
        <v>1543</v>
      </c>
      <c r="J969" s="2" t="n">
        <v>1443</v>
      </c>
      <c r="K969" s="2">
        <f>H969+5&gt;D969</f>
        <v/>
      </c>
      <c r="L969" s="2">
        <f>J969&lt;I969</f>
        <v/>
      </c>
      <c r="M969" s="2" t="b">
        <v>1</v>
      </c>
      <c r="N969" s="2" t="b">
        <v>1</v>
      </c>
      <c r="O969" s="2" t="inlineStr">
        <is>
          <t>allow</t>
        </is>
      </c>
      <c r="P969" s="2">
        <f>O969&lt;&gt;"unknown"</f>
        <v/>
      </c>
    </row>
    <row r="970">
      <c r="A970" s="2" t="inlineStr">
        <is>
          <t>1500-on</t>
        </is>
      </c>
      <c r="B970" s="2" t="n">
        <v>1500</v>
      </c>
      <c r="C970" s="2" t="inlineStr">
        <is>
          <t>on</t>
        </is>
      </c>
      <c r="D970" s="2" t="n">
        <v>1448</v>
      </c>
      <c r="E970" s="2" t="inlineStr">
        <is>
          <t>openssl 3.5.8 default</t>
        </is>
      </c>
      <c r="F970" s="2" t="b">
        <v>1</v>
      </c>
      <c r="G970" s="2" t="n">
        <v>9</v>
      </c>
      <c r="H970" s="2" t="n">
        <v>1543</v>
      </c>
      <c r="I970" s="2" t="n">
        <v>1543</v>
      </c>
      <c r="J970" s="2" t="n">
        <v>1443</v>
      </c>
      <c r="K970" s="2">
        <f>H970+5&gt;D970</f>
        <v/>
      </c>
      <c r="L970" s="2">
        <f>J970&lt;I970</f>
        <v/>
      </c>
      <c r="M970" s="2" t="b">
        <v>1</v>
      </c>
      <c r="N970" s="2" t="b">
        <v>1</v>
      </c>
      <c r="O970" s="2" t="inlineStr">
        <is>
          <t>allow</t>
        </is>
      </c>
      <c r="P970" s="2">
        <f>O970&lt;&gt;"unknown"</f>
        <v/>
      </c>
    </row>
    <row r="971">
      <c r="A971" s="2" t="inlineStr">
        <is>
          <t>1500-on</t>
        </is>
      </c>
      <c r="B971" s="2" t="n">
        <v>1500</v>
      </c>
      <c r="C971" s="2" t="inlineStr">
        <is>
          <t>on</t>
        </is>
      </c>
      <c r="D971" s="2" t="n">
        <v>1448</v>
      </c>
      <c r="E971" s="2" t="inlineStr">
        <is>
          <t>openssl 3.5.8 default</t>
        </is>
      </c>
      <c r="F971" s="2" t="b">
        <v>1</v>
      </c>
      <c r="G971" s="2" t="n">
        <v>10</v>
      </c>
      <c r="H971" s="2" t="n">
        <v>1543</v>
      </c>
      <c r="I971" s="2" t="n">
        <v>1543</v>
      </c>
      <c r="J971" s="2" t="n">
        <v>1443</v>
      </c>
      <c r="K971" s="2">
        <f>H971+5&gt;D971</f>
        <v/>
      </c>
      <c r="L971" s="2">
        <f>J971&lt;I971</f>
        <v/>
      </c>
      <c r="M971" s="2" t="b">
        <v>1</v>
      </c>
      <c r="N971" s="2" t="b">
        <v>1</v>
      </c>
      <c r="O971" s="2" t="inlineStr">
        <is>
          <t>allow</t>
        </is>
      </c>
      <c r="P971" s="2">
        <f>O971&lt;&gt;"unknown"</f>
        <v/>
      </c>
    </row>
    <row r="972">
      <c r="A972" s="2" t="inlineStr">
        <is>
          <t>1500-on</t>
        </is>
      </c>
      <c r="B972" s="2" t="n">
        <v>1500</v>
      </c>
      <c r="C972" s="2" t="inlineStr">
        <is>
          <t>on</t>
        </is>
      </c>
      <c r="D972" s="2" t="n">
        <v>1448</v>
      </c>
      <c r="E972" s="2" t="inlineStr">
        <is>
          <t>openssl 3.5.8 default</t>
        </is>
      </c>
      <c r="F972" s="2" t="b">
        <v>1</v>
      </c>
      <c r="G972" s="2" t="n">
        <v>11</v>
      </c>
      <c r="H972" s="2" t="n">
        <v>1543</v>
      </c>
      <c r="I972" s="2" t="n">
        <v>1543</v>
      </c>
      <c r="J972" s="2" t="n">
        <v>1443</v>
      </c>
      <c r="K972" s="2">
        <f>H972+5&gt;D972</f>
        <v/>
      </c>
      <c r="L972" s="2">
        <f>J972&lt;I972</f>
        <v/>
      </c>
      <c r="M972" s="2" t="b">
        <v>1</v>
      </c>
      <c r="N972" s="2" t="b">
        <v>1</v>
      </c>
      <c r="O972" s="2" t="inlineStr">
        <is>
          <t>allow</t>
        </is>
      </c>
      <c r="P972" s="2">
        <f>O972&lt;&gt;"unknown"</f>
        <v/>
      </c>
    </row>
    <row r="973">
      <c r="A973" s="2" t="inlineStr">
        <is>
          <t>1500-on</t>
        </is>
      </c>
      <c r="B973" s="2" t="n">
        <v>1500</v>
      </c>
      <c r="C973" s="2" t="inlineStr">
        <is>
          <t>on</t>
        </is>
      </c>
      <c r="D973" s="2" t="n">
        <v>1448</v>
      </c>
      <c r="E973" s="2" t="inlineStr">
        <is>
          <t>openssl 3.5.8 default</t>
        </is>
      </c>
      <c r="F973" s="2" t="b">
        <v>1</v>
      </c>
      <c r="G973" s="2" t="n">
        <v>12</v>
      </c>
      <c r="H973" s="2" t="n">
        <v>1543</v>
      </c>
      <c r="I973" s="2" t="n">
        <v>1543</v>
      </c>
      <c r="J973" s="2" t="n">
        <v>1443</v>
      </c>
      <c r="K973" s="2">
        <f>H973+5&gt;D973</f>
        <v/>
      </c>
      <c r="L973" s="2">
        <f>J973&lt;I973</f>
        <v/>
      </c>
      <c r="M973" s="2" t="b">
        <v>1</v>
      </c>
      <c r="N973" s="2" t="b">
        <v>1</v>
      </c>
      <c r="O973" s="2" t="inlineStr">
        <is>
          <t>allow</t>
        </is>
      </c>
      <c r="P973" s="2">
        <f>O973&lt;&gt;"unknown"</f>
        <v/>
      </c>
    </row>
    <row r="974">
      <c r="A974" s="2" t="inlineStr">
        <is>
          <t>1500-on</t>
        </is>
      </c>
      <c r="B974" s="2" t="n">
        <v>1500</v>
      </c>
      <c r="C974" s="2" t="inlineStr">
        <is>
          <t>on</t>
        </is>
      </c>
      <c r="D974" s="2" t="n">
        <v>1448</v>
      </c>
      <c r="E974" s="2" t="inlineStr">
        <is>
          <t>openssl 3.5.8 default</t>
        </is>
      </c>
      <c r="F974" s="2" t="b">
        <v>1</v>
      </c>
      <c r="G974" s="2" t="n">
        <v>13</v>
      </c>
      <c r="H974" s="2" t="n">
        <v>1543</v>
      </c>
      <c r="I974" s="2" t="n">
        <v>1543</v>
      </c>
      <c r="J974" s="2" t="n">
        <v>1443</v>
      </c>
      <c r="K974" s="2">
        <f>H974+5&gt;D974</f>
        <v/>
      </c>
      <c r="L974" s="2">
        <f>J974&lt;I974</f>
        <v/>
      </c>
      <c r="M974" s="2" t="b">
        <v>1</v>
      </c>
      <c r="N974" s="2" t="b">
        <v>1</v>
      </c>
      <c r="O974" s="2" t="inlineStr">
        <is>
          <t>allow</t>
        </is>
      </c>
      <c r="P974" s="2">
        <f>O974&lt;&gt;"unknown"</f>
        <v/>
      </c>
    </row>
    <row r="975">
      <c r="A975" s="2" t="inlineStr">
        <is>
          <t>1500-on</t>
        </is>
      </c>
      <c r="B975" s="2" t="n">
        <v>1500</v>
      </c>
      <c r="C975" s="2" t="inlineStr">
        <is>
          <t>on</t>
        </is>
      </c>
      <c r="D975" s="2" t="n">
        <v>1448</v>
      </c>
      <c r="E975" s="2" t="inlineStr">
        <is>
          <t>openssl 3.5.8 default</t>
        </is>
      </c>
      <c r="F975" s="2" t="b">
        <v>1</v>
      </c>
      <c r="G975" s="2" t="n">
        <v>14</v>
      </c>
      <c r="H975" s="2" t="n">
        <v>1543</v>
      </c>
      <c r="I975" s="2" t="n">
        <v>1543</v>
      </c>
      <c r="J975" s="2" t="n">
        <v>1443</v>
      </c>
      <c r="K975" s="2">
        <f>H975+5&gt;D975</f>
        <v/>
      </c>
      <c r="L975" s="2">
        <f>J975&lt;I975</f>
        <v/>
      </c>
      <c r="M975" s="2" t="b">
        <v>1</v>
      </c>
      <c r="N975" s="2" t="b">
        <v>1</v>
      </c>
      <c r="O975" s="2" t="inlineStr">
        <is>
          <t>allow</t>
        </is>
      </c>
      <c r="P975" s="2">
        <f>O975&lt;&gt;"unknown"</f>
        <v/>
      </c>
    </row>
    <row r="976">
      <c r="A976" s="2" t="inlineStr">
        <is>
          <t>1500-on</t>
        </is>
      </c>
      <c r="B976" s="2" t="n">
        <v>1500</v>
      </c>
      <c r="C976" s="2" t="inlineStr">
        <is>
          <t>on</t>
        </is>
      </c>
      <c r="D976" s="2" t="n">
        <v>1448</v>
      </c>
      <c r="E976" s="2" t="inlineStr">
        <is>
          <t>openssl 3.5.8 default</t>
        </is>
      </c>
      <c r="F976" s="2" t="b">
        <v>1</v>
      </c>
      <c r="G976" s="2" t="n">
        <v>15</v>
      </c>
      <c r="H976" s="2" t="n">
        <v>1543</v>
      </c>
      <c r="I976" s="2" t="n">
        <v>1543</v>
      </c>
      <c r="J976" s="2" t="n">
        <v>1443</v>
      </c>
      <c r="K976" s="2">
        <f>H976+5&gt;D976</f>
        <v/>
      </c>
      <c r="L976" s="2">
        <f>J976&lt;I976</f>
        <v/>
      </c>
      <c r="M976" s="2" t="b">
        <v>1</v>
      </c>
      <c r="N976" s="2" t="b">
        <v>1</v>
      </c>
      <c r="O976" s="2" t="inlineStr">
        <is>
          <t>allow</t>
        </is>
      </c>
      <c r="P976" s="2">
        <f>O976&lt;&gt;"unknown"</f>
        <v/>
      </c>
    </row>
    <row r="977">
      <c r="A977" s="2" t="inlineStr">
        <is>
          <t>1500-on</t>
        </is>
      </c>
      <c r="B977" s="2" t="n">
        <v>1500</v>
      </c>
      <c r="C977" s="2" t="inlineStr">
        <is>
          <t>on</t>
        </is>
      </c>
      <c r="D977" s="2" t="n">
        <v>1448</v>
      </c>
      <c r="E977" s="2" t="inlineStr">
        <is>
          <t>openssl 3.5.8 default</t>
        </is>
      </c>
      <c r="F977" s="2" t="b">
        <v>1</v>
      </c>
      <c r="G977" s="2" t="n">
        <v>16</v>
      </c>
      <c r="H977" s="2" t="n">
        <v>1543</v>
      </c>
      <c r="I977" s="2" t="n">
        <v>1543</v>
      </c>
      <c r="J977" s="2" t="n">
        <v>1443</v>
      </c>
      <c r="K977" s="2">
        <f>H977+5&gt;D977</f>
        <v/>
      </c>
      <c r="L977" s="2">
        <f>J977&lt;I977</f>
        <v/>
      </c>
      <c r="M977" s="2" t="b">
        <v>1</v>
      </c>
      <c r="N977" s="2" t="b">
        <v>1</v>
      </c>
      <c r="O977" s="2" t="inlineStr">
        <is>
          <t>allow</t>
        </is>
      </c>
      <c r="P977" s="2">
        <f>O977&lt;&gt;"unknown"</f>
        <v/>
      </c>
    </row>
    <row r="978">
      <c r="A978" s="2" t="inlineStr">
        <is>
          <t>1500-on</t>
        </is>
      </c>
      <c r="B978" s="2" t="n">
        <v>1500</v>
      </c>
      <c r="C978" s="2" t="inlineStr">
        <is>
          <t>on</t>
        </is>
      </c>
      <c r="D978" s="2" t="n">
        <v>1448</v>
      </c>
      <c r="E978" s="2" t="inlineStr">
        <is>
          <t>openssl 3.5.8 default</t>
        </is>
      </c>
      <c r="F978" s="2" t="b">
        <v>1</v>
      </c>
      <c r="G978" s="2" t="n">
        <v>17</v>
      </c>
      <c r="H978" s="2" t="n">
        <v>1543</v>
      </c>
      <c r="I978" s="2" t="n">
        <v>1543</v>
      </c>
      <c r="J978" s="2" t="n">
        <v>1443</v>
      </c>
      <c r="K978" s="2">
        <f>H978+5&gt;D978</f>
        <v/>
      </c>
      <c r="L978" s="2">
        <f>J978&lt;I978</f>
        <v/>
      </c>
      <c r="M978" s="2" t="b">
        <v>1</v>
      </c>
      <c r="N978" s="2" t="b">
        <v>1</v>
      </c>
      <c r="O978" s="2" t="inlineStr">
        <is>
          <t>allow</t>
        </is>
      </c>
      <c r="P978" s="2">
        <f>O978&lt;&gt;"unknown"</f>
        <v/>
      </c>
    </row>
    <row r="979">
      <c r="A979" s="2" t="inlineStr">
        <is>
          <t>1500-on</t>
        </is>
      </c>
      <c r="B979" s="2" t="n">
        <v>1500</v>
      </c>
      <c r="C979" s="2" t="inlineStr">
        <is>
          <t>on</t>
        </is>
      </c>
      <c r="D979" s="2" t="n">
        <v>1448</v>
      </c>
      <c r="E979" s="2" t="inlineStr">
        <is>
          <t>openssl 3.5.8 default</t>
        </is>
      </c>
      <c r="F979" s="2" t="b">
        <v>1</v>
      </c>
      <c r="G979" s="2" t="n">
        <v>18</v>
      </c>
      <c r="H979" s="2" t="n">
        <v>1543</v>
      </c>
      <c r="I979" s="2" t="n">
        <v>1543</v>
      </c>
      <c r="J979" s="2" t="n">
        <v>1443</v>
      </c>
      <c r="K979" s="2">
        <f>H979+5&gt;D979</f>
        <v/>
      </c>
      <c r="L979" s="2">
        <f>J979&lt;I979</f>
        <v/>
      </c>
      <c r="M979" s="2" t="b">
        <v>1</v>
      </c>
      <c r="N979" s="2" t="b">
        <v>1</v>
      </c>
      <c r="O979" s="2" t="inlineStr">
        <is>
          <t>allow</t>
        </is>
      </c>
      <c r="P979" s="2">
        <f>O979&lt;&gt;"unknown"</f>
        <v/>
      </c>
    </row>
    <row r="980">
      <c r="A980" s="2" t="inlineStr">
        <is>
          <t>1500-on</t>
        </is>
      </c>
      <c r="B980" s="2" t="n">
        <v>1500</v>
      </c>
      <c r="C980" s="2" t="inlineStr">
        <is>
          <t>on</t>
        </is>
      </c>
      <c r="D980" s="2" t="n">
        <v>1448</v>
      </c>
      <c r="E980" s="2" t="inlineStr">
        <is>
          <t>openssl 3.5.8 default</t>
        </is>
      </c>
      <c r="F980" s="2" t="b">
        <v>1</v>
      </c>
      <c r="G980" s="2" t="n">
        <v>19</v>
      </c>
      <c r="H980" s="2" t="n">
        <v>1543</v>
      </c>
      <c r="I980" s="2" t="n">
        <v>1543</v>
      </c>
      <c r="J980" s="2" t="n">
        <v>1443</v>
      </c>
      <c r="K980" s="2">
        <f>H980+5&gt;D980</f>
        <v/>
      </c>
      <c r="L980" s="2">
        <f>J980&lt;I980</f>
        <v/>
      </c>
      <c r="M980" s="2" t="b">
        <v>1</v>
      </c>
      <c r="N980" s="2" t="b">
        <v>1</v>
      </c>
      <c r="O980" s="2" t="inlineStr">
        <is>
          <t>allow</t>
        </is>
      </c>
      <c r="P980" s="2">
        <f>O980&lt;&gt;"unknown"</f>
        <v/>
      </c>
    </row>
    <row r="981">
      <c r="A981" s="2" t="inlineStr">
        <is>
          <t>1500-on</t>
        </is>
      </c>
      <c r="B981" s="2" t="n">
        <v>1500</v>
      </c>
      <c r="C981" s="2" t="inlineStr">
        <is>
          <t>on</t>
        </is>
      </c>
      <c r="D981" s="2" t="n">
        <v>1448</v>
      </c>
      <c r="E981" s="2" t="inlineStr">
        <is>
          <t>openssl 3.5.8 default</t>
        </is>
      </c>
      <c r="F981" s="2" t="b">
        <v>1</v>
      </c>
      <c r="G981" s="2" t="n">
        <v>20</v>
      </c>
      <c r="H981" s="2" t="n">
        <v>1543</v>
      </c>
      <c r="I981" s="2" t="n">
        <v>1543</v>
      </c>
      <c r="J981" s="2" t="n">
        <v>1443</v>
      </c>
      <c r="K981" s="2">
        <f>H981+5&gt;D981</f>
        <v/>
      </c>
      <c r="L981" s="2">
        <f>J981&lt;I981</f>
        <v/>
      </c>
      <c r="M981" s="2" t="b">
        <v>1</v>
      </c>
      <c r="N981" s="2" t="b">
        <v>1</v>
      </c>
      <c r="O981" s="2" t="inlineStr">
        <is>
          <t>allow</t>
        </is>
      </c>
      <c r="P981" s="2">
        <f>O981&lt;&gt;"unknown"</f>
        <v/>
      </c>
    </row>
    <row r="982">
      <c r="A982" s="2" t="inlineStr">
        <is>
          <t>1500-on</t>
        </is>
      </c>
      <c r="B982" s="2" t="n">
        <v>1500</v>
      </c>
      <c r="C982" s="2" t="inlineStr">
        <is>
          <t>on</t>
        </is>
      </c>
      <c r="D982" s="2" t="n">
        <v>1448</v>
      </c>
      <c r="E982" s="2" t="inlineStr">
        <is>
          <t>openssl X25519 only (classical)</t>
        </is>
      </c>
      <c r="F982" s="2" t="b">
        <v>0</v>
      </c>
      <c r="G982" s="2" t="n">
        <v>1</v>
      </c>
      <c r="H982" s="2" t="n">
        <v>309</v>
      </c>
      <c r="I982" s="2" t="n">
        <v>309</v>
      </c>
      <c r="J982" s="2" t="n">
        <v>309</v>
      </c>
      <c r="K982" s="2">
        <f>H982+5&gt;D982</f>
        <v/>
      </c>
      <c r="L982" s="2">
        <f>J982&lt;I982</f>
        <v/>
      </c>
      <c r="M982" s="2" t="b">
        <v>1</v>
      </c>
      <c r="N982" s="2" t="b">
        <v>1</v>
      </c>
      <c r="O982" s="2" t="inlineStr">
        <is>
          <t>allow</t>
        </is>
      </c>
      <c r="P982" s="2">
        <f>O982&lt;&gt;"unknown"</f>
        <v/>
      </c>
    </row>
    <row r="983">
      <c r="A983" s="2" t="inlineStr">
        <is>
          <t>1500-on</t>
        </is>
      </c>
      <c r="B983" s="2" t="n">
        <v>1500</v>
      </c>
      <c r="C983" s="2" t="inlineStr">
        <is>
          <t>on</t>
        </is>
      </c>
      <c r="D983" s="2" t="n">
        <v>1448</v>
      </c>
      <c r="E983" s="2" t="inlineStr">
        <is>
          <t>openssl X25519 only (classical)</t>
        </is>
      </c>
      <c r="F983" s="2" t="b">
        <v>0</v>
      </c>
      <c r="G983" s="2" t="n">
        <v>2</v>
      </c>
      <c r="H983" s="2" t="n">
        <v>309</v>
      </c>
      <c r="I983" s="2" t="n">
        <v>309</v>
      </c>
      <c r="J983" s="2" t="n">
        <v>309</v>
      </c>
      <c r="K983" s="2">
        <f>H983+5&gt;D983</f>
        <v/>
      </c>
      <c r="L983" s="2">
        <f>J983&lt;I983</f>
        <v/>
      </c>
      <c r="M983" s="2" t="b">
        <v>1</v>
      </c>
      <c r="N983" s="2" t="b">
        <v>1</v>
      </c>
      <c r="O983" s="2" t="inlineStr">
        <is>
          <t>allow</t>
        </is>
      </c>
      <c r="P983" s="2">
        <f>O983&lt;&gt;"unknown"</f>
        <v/>
      </c>
    </row>
    <row r="984">
      <c r="A984" s="2" t="inlineStr">
        <is>
          <t>1500-on</t>
        </is>
      </c>
      <c r="B984" s="2" t="n">
        <v>1500</v>
      </c>
      <c r="C984" s="2" t="inlineStr">
        <is>
          <t>on</t>
        </is>
      </c>
      <c r="D984" s="2" t="n">
        <v>1448</v>
      </c>
      <c r="E984" s="2" t="inlineStr">
        <is>
          <t>openssl X25519 only (classical)</t>
        </is>
      </c>
      <c r="F984" s="2" t="b">
        <v>0</v>
      </c>
      <c r="G984" s="2" t="n">
        <v>3</v>
      </c>
      <c r="H984" s="2" t="n">
        <v>309</v>
      </c>
      <c r="I984" s="2" t="n">
        <v>309</v>
      </c>
      <c r="J984" s="2" t="n">
        <v>309</v>
      </c>
      <c r="K984" s="2">
        <f>H984+5&gt;D984</f>
        <v/>
      </c>
      <c r="L984" s="2">
        <f>J984&lt;I984</f>
        <v/>
      </c>
      <c r="M984" s="2" t="b">
        <v>1</v>
      </c>
      <c r="N984" s="2" t="b">
        <v>1</v>
      </c>
      <c r="O984" s="2" t="inlineStr">
        <is>
          <t>allow</t>
        </is>
      </c>
      <c r="P984" s="2">
        <f>O984&lt;&gt;"unknown"</f>
        <v/>
      </c>
    </row>
    <row r="985">
      <c r="A985" s="2" t="inlineStr">
        <is>
          <t>1500-on</t>
        </is>
      </c>
      <c r="B985" s="2" t="n">
        <v>1500</v>
      </c>
      <c r="C985" s="2" t="inlineStr">
        <is>
          <t>on</t>
        </is>
      </c>
      <c r="D985" s="2" t="n">
        <v>1448</v>
      </c>
      <c r="E985" s="2" t="inlineStr">
        <is>
          <t>openssl X25519 only (classical)</t>
        </is>
      </c>
      <c r="F985" s="2" t="b">
        <v>0</v>
      </c>
      <c r="G985" s="2" t="n">
        <v>4</v>
      </c>
      <c r="H985" s="2" t="n">
        <v>309</v>
      </c>
      <c r="I985" s="2" t="n">
        <v>309</v>
      </c>
      <c r="J985" s="2" t="n">
        <v>309</v>
      </c>
      <c r="K985" s="2">
        <f>H985+5&gt;D985</f>
        <v/>
      </c>
      <c r="L985" s="2">
        <f>J985&lt;I985</f>
        <v/>
      </c>
      <c r="M985" s="2" t="b">
        <v>1</v>
      </c>
      <c r="N985" s="2" t="b">
        <v>1</v>
      </c>
      <c r="O985" s="2" t="inlineStr">
        <is>
          <t>allow</t>
        </is>
      </c>
      <c r="P985" s="2">
        <f>O985&lt;&gt;"unknown"</f>
        <v/>
      </c>
    </row>
    <row r="986">
      <c r="A986" s="2" t="inlineStr">
        <is>
          <t>1500-on</t>
        </is>
      </c>
      <c r="B986" s="2" t="n">
        <v>1500</v>
      </c>
      <c r="C986" s="2" t="inlineStr">
        <is>
          <t>on</t>
        </is>
      </c>
      <c r="D986" s="2" t="n">
        <v>1448</v>
      </c>
      <c r="E986" s="2" t="inlineStr">
        <is>
          <t>openssl X25519 only (classical)</t>
        </is>
      </c>
      <c r="F986" s="2" t="b">
        <v>0</v>
      </c>
      <c r="G986" s="2" t="n">
        <v>5</v>
      </c>
      <c r="H986" s="2" t="n">
        <v>309</v>
      </c>
      <c r="I986" s="2" t="n">
        <v>309</v>
      </c>
      <c r="J986" s="2" t="n">
        <v>309</v>
      </c>
      <c r="K986" s="2">
        <f>H986+5&gt;D986</f>
        <v/>
      </c>
      <c r="L986" s="2">
        <f>J986&lt;I986</f>
        <v/>
      </c>
      <c r="M986" s="2" t="b">
        <v>1</v>
      </c>
      <c r="N986" s="2" t="b">
        <v>1</v>
      </c>
      <c r="O986" s="2" t="inlineStr">
        <is>
          <t>allow</t>
        </is>
      </c>
      <c r="P986" s="2">
        <f>O986&lt;&gt;"unknown"</f>
        <v/>
      </c>
    </row>
    <row r="987">
      <c r="A987" s="2" t="inlineStr">
        <is>
          <t>1500-on</t>
        </is>
      </c>
      <c r="B987" s="2" t="n">
        <v>1500</v>
      </c>
      <c r="C987" s="2" t="inlineStr">
        <is>
          <t>on</t>
        </is>
      </c>
      <c r="D987" s="2" t="n">
        <v>1448</v>
      </c>
      <c r="E987" s="2" t="inlineStr">
        <is>
          <t>openssl X25519 only (classical)</t>
        </is>
      </c>
      <c r="F987" s="2" t="b">
        <v>0</v>
      </c>
      <c r="G987" s="2" t="n">
        <v>6</v>
      </c>
      <c r="H987" s="2" t="n">
        <v>309</v>
      </c>
      <c r="I987" s="2" t="n">
        <v>309</v>
      </c>
      <c r="J987" s="2" t="n">
        <v>309</v>
      </c>
      <c r="K987" s="2">
        <f>H987+5&gt;D987</f>
        <v/>
      </c>
      <c r="L987" s="2">
        <f>J987&lt;I987</f>
        <v/>
      </c>
      <c r="M987" s="2" t="b">
        <v>1</v>
      </c>
      <c r="N987" s="2" t="b">
        <v>1</v>
      </c>
      <c r="O987" s="2" t="inlineStr">
        <is>
          <t>allow</t>
        </is>
      </c>
      <c r="P987" s="2">
        <f>O987&lt;&gt;"unknown"</f>
        <v/>
      </c>
    </row>
    <row r="988">
      <c r="A988" s="2" t="inlineStr">
        <is>
          <t>1500-on</t>
        </is>
      </c>
      <c r="B988" s="2" t="n">
        <v>1500</v>
      </c>
      <c r="C988" s="2" t="inlineStr">
        <is>
          <t>on</t>
        </is>
      </c>
      <c r="D988" s="2" t="n">
        <v>1448</v>
      </c>
      <c r="E988" s="2" t="inlineStr">
        <is>
          <t>openssl X25519 only (classical)</t>
        </is>
      </c>
      <c r="F988" s="2" t="b">
        <v>0</v>
      </c>
      <c r="G988" s="2" t="n">
        <v>7</v>
      </c>
      <c r="H988" s="2" t="n">
        <v>309</v>
      </c>
      <c r="I988" s="2" t="n">
        <v>309</v>
      </c>
      <c r="J988" s="2" t="n">
        <v>309</v>
      </c>
      <c r="K988" s="2">
        <f>H988+5&gt;D988</f>
        <v/>
      </c>
      <c r="L988" s="2">
        <f>J988&lt;I988</f>
        <v/>
      </c>
      <c r="M988" s="2" t="b">
        <v>1</v>
      </c>
      <c r="N988" s="2" t="b">
        <v>1</v>
      </c>
      <c r="O988" s="2" t="inlineStr">
        <is>
          <t>allow</t>
        </is>
      </c>
      <c r="P988" s="2">
        <f>O988&lt;&gt;"unknown"</f>
        <v/>
      </c>
    </row>
    <row r="989">
      <c r="A989" s="2" t="inlineStr">
        <is>
          <t>1500-on</t>
        </is>
      </c>
      <c r="B989" s="2" t="n">
        <v>1500</v>
      </c>
      <c r="C989" s="2" t="inlineStr">
        <is>
          <t>on</t>
        </is>
      </c>
      <c r="D989" s="2" t="n">
        <v>1448</v>
      </c>
      <c r="E989" s="2" t="inlineStr">
        <is>
          <t>openssl X25519 only (classical)</t>
        </is>
      </c>
      <c r="F989" s="2" t="b">
        <v>0</v>
      </c>
      <c r="G989" s="2" t="n">
        <v>8</v>
      </c>
      <c r="H989" s="2" t="n">
        <v>309</v>
      </c>
      <c r="I989" s="2" t="n">
        <v>309</v>
      </c>
      <c r="J989" s="2" t="n">
        <v>309</v>
      </c>
      <c r="K989" s="2">
        <f>H989+5&gt;D989</f>
        <v/>
      </c>
      <c r="L989" s="2">
        <f>J989&lt;I989</f>
        <v/>
      </c>
      <c r="M989" s="2" t="b">
        <v>1</v>
      </c>
      <c r="N989" s="2" t="b">
        <v>1</v>
      </c>
      <c r="O989" s="2" t="inlineStr">
        <is>
          <t>allow</t>
        </is>
      </c>
      <c r="P989" s="2">
        <f>O989&lt;&gt;"unknown"</f>
        <v/>
      </c>
    </row>
    <row r="990">
      <c r="A990" s="2" t="inlineStr">
        <is>
          <t>1500-on</t>
        </is>
      </c>
      <c r="B990" s="2" t="n">
        <v>1500</v>
      </c>
      <c r="C990" s="2" t="inlineStr">
        <is>
          <t>on</t>
        </is>
      </c>
      <c r="D990" s="2" t="n">
        <v>1448</v>
      </c>
      <c r="E990" s="2" t="inlineStr">
        <is>
          <t>openssl X25519 only (classical)</t>
        </is>
      </c>
      <c r="F990" s="2" t="b">
        <v>0</v>
      </c>
      <c r="G990" s="2" t="n">
        <v>9</v>
      </c>
      <c r="H990" s="2" t="n">
        <v>309</v>
      </c>
      <c r="I990" s="2" t="n">
        <v>309</v>
      </c>
      <c r="J990" s="2" t="n">
        <v>309</v>
      </c>
      <c r="K990" s="2">
        <f>H990+5&gt;D990</f>
        <v/>
      </c>
      <c r="L990" s="2">
        <f>J990&lt;I990</f>
        <v/>
      </c>
      <c r="M990" s="2" t="b">
        <v>1</v>
      </c>
      <c r="N990" s="2" t="b">
        <v>1</v>
      </c>
      <c r="O990" s="2" t="inlineStr">
        <is>
          <t>allow</t>
        </is>
      </c>
      <c r="P990" s="2">
        <f>O990&lt;&gt;"unknown"</f>
        <v/>
      </c>
    </row>
    <row r="991">
      <c r="A991" s="2" t="inlineStr">
        <is>
          <t>1500-on</t>
        </is>
      </c>
      <c r="B991" s="2" t="n">
        <v>1500</v>
      </c>
      <c r="C991" s="2" t="inlineStr">
        <is>
          <t>on</t>
        </is>
      </c>
      <c r="D991" s="2" t="n">
        <v>1448</v>
      </c>
      <c r="E991" s="2" t="inlineStr">
        <is>
          <t>openssl X25519 only (classical)</t>
        </is>
      </c>
      <c r="F991" s="2" t="b">
        <v>0</v>
      </c>
      <c r="G991" s="2" t="n">
        <v>10</v>
      </c>
      <c r="H991" s="2" t="n">
        <v>309</v>
      </c>
      <c r="I991" s="2" t="n">
        <v>309</v>
      </c>
      <c r="J991" s="2" t="n">
        <v>309</v>
      </c>
      <c r="K991" s="2">
        <f>H991+5&gt;D991</f>
        <v/>
      </c>
      <c r="L991" s="2">
        <f>J991&lt;I991</f>
        <v/>
      </c>
      <c r="M991" s="2" t="b">
        <v>1</v>
      </c>
      <c r="N991" s="2" t="b">
        <v>1</v>
      </c>
      <c r="O991" s="2" t="inlineStr">
        <is>
          <t>allow</t>
        </is>
      </c>
      <c r="P991" s="2">
        <f>O991&lt;&gt;"unknown"</f>
        <v/>
      </c>
    </row>
    <row r="992">
      <c r="A992" s="2" t="inlineStr">
        <is>
          <t>1500-on</t>
        </is>
      </c>
      <c r="B992" s="2" t="n">
        <v>1500</v>
      </c>
      <c r="C992" s="2" t="inlineStr">
        <is>
          <t>on</t>
        </is>
      </c>
      <c r="D992" s="2" t="n">
        <v>1448</v>
      </c>
      <c r="E992" s="2" t="inlineStr">
        <is>
          <t>openssl X25519 only (classical)</t>
        </is>
      </c>
      <c r="F992" s="2" t="b">
        <v>0</v>
      </c>
      <c r="G992" s="2" t="n">
        <v>11</v>
      </c>
      <c r="H992" s="2" t="n">
        <v>309</v>
      </c>
      <c r="I992" s="2" t="n">
        <v>309</v>
      </c>
      <c r="J992" s="2" t="n">
        <v>309</v>
      </c>
      <c r="K992" s="2">
        <f>H992+5&gt;D992</f>
        <v/>
      </c>
      <c r="L992" s="2">
        <f>J992&lt;I992</f>
        <v/>
      </c>
      <c r="M992" s="2" t="b">
        <v>1</v>
      </c>
      <c r="N992" s="2" t="b">
        <v>1</v>
      </c>
      <c r="O992" s="2" t="inlineStr">
        <is>
          <t>allow</t>
        </is>
      </c>
      <c r="P992" s="2">
        <f>O992&lt;&gt;"unknown"</f>
        <v/>
      </c>
    </row>
    <row r="993">
      <c r="A993" s="2" t="inlineStr">
        <is>
          <t>1500-on</t>
        </is>
      </c>
      <c r="B993" s="2" t="n">
        <v>1500</v>
      </c>
      <c r="C993" s="2" t="inlineStr">
        <is>
          <t>on</t>
        </is>
      </c>
      <c r="D993" s="2" t="n">
        <v>1448</v>
      </c>
      <c r="E993" s="2" t="inlineStr">
        <is>
          <t>openssl X25519 only (classical)</t>
        </is>
      </c>
      <c r="F993" s="2" t="b">
        <v>0</v>
      </c>
      <c r="G993" s="2" t="n">
        <v>12</v>
      </c>
      <c r="H993" s="2" t="n">
        <v>309</v>
      </c>
      <c r="I993" s="2" t="n">
        <v>309</v>
      </c>
      <c r="J993" s="2" t="n">
        <v>309</v>
      </c>
      <c r="K993" s="2">
        <f>H993+5&gt;D993</f>
        <v/>
      </c>
      <c r="L993" s="2">
        <f>J993&lt;I993</f>
        <v/>
      </c>
      <c r="M993" s="2" t="b">
        <v>1</v>
      </c>
      <c r="N993" s="2" t="b">
        <v>1</v>
      </c>
      <c r="O993" s="2" t="inlineStr">
        <is>
          <t>allow</t>
        </is>
      </c>
      <c r="P993" s="2">
        <f>O993&lt;&gt;"unknown"</f>
        <v/>
      </c>
    </row>
    <row r="994">
      <c r="A994" s="2" t="inlineStr">
        <is>
          <t>1500-on</t>
        </is>
      </c>
      <c r="B994" s="2" t="n">
        <v>1500</v>
      </c>
      <c r="C994" s="2" t="inlineStr">
        <is>
          <t>on</t>
        </is>
      </c>
      <c r="D994" s="2" t="n">
        <v>1448</v>
      </c>
      <c r="E994" s="2" t="inlineStr">
        <is>
          <t>openssl X25519 only (classical)</t>
        </is>
      </c>
      <c r="F994" s="2" t="b">
        <v>0</v>
      </c>
      <c r="G994" s="2" t="n">
        <v>13</v>
      </c>
      <c r="H994" s="2" t="n">
        <v>309</v>
      </c>
      <c r="I994" s="2" t="n">
        <v>309</v>
      </c>
      <c r="J994" s="2" t="n">
        <v>309</v>
      </c>
      <c r="K994" s="2">
        <f>H994+5&gt;D994</f>
        <v/>
      </c>
      <c r="L994" s="2">
        <f>J994&lt;I994</f>
        <v/>
      </c>
      <c r="M994" s="2" t="b">
        <v>1</v>
      </c>
      <c r="N994" s="2" t="b">
        <v>1</v>
      </c>
      <c r="O994" s="2" t="inlineStr">
        <is>
          <t>allow</t>
        </is>
      </c>
      <c r="P994" s="2">
        <f>O994&lt;&gt;"unknown"</f>
        <v/>
      </c>
    </row>
    <row r="995">
      <c r="A995" s="2" t="inlineStr">
        <is>
          <t>1500-on</t>
        </is>
      </c>
      <c r="B995" s="2" t="n">
        <v>1500</v>
      </c>
      <c r="C995" s="2" t="inlineStr">
        <is>
          <t>on</t>
        </is>
      </c>
      <c r="D995" s="2" t="n">
        <v>1448</v>
      </c>
      <c r="E995" s="2" t="inlineStr">
        <is>
          <t>openssl X25519 only (classical)</t>
        </is>
      </c>
      <c r="F995" s="2" t="b">
        <v>0</v>
      </c>
      <c r="G995" s="2" t="n">
        <v>14</v>
      </c>
      <c r="H995" s="2" t="n">
        <v>309</v>
      </c>
      <c r="I995" s="2" t="n">
        <v>309</v>
      </c>
      <c r="J995" s="2" t="n">
        <v>309</v>
      </c>
      <c r="K995" s="2">
        <f>H995+5&gt;D995</f>
        <v/>
      </c>
      <c r="L995" s="2">
        <f>J995&lt;I995</f>
        <v/>
      </c>
      <c r="M995" s="2" t="b">
        <v>1</v>
      </c>
      <c r="N995" s="2" t="b">
        <v>1</v>
      </c>
      <c r="O995" s="2" t="inlineStr">
        <is>
          <t>allow</t>
        </is>
      </c>
      <c r="P995" s="2">
        <f>O995&lt;&gt;"unknown"</f>
        <v/>
      </c>
    </row>
    <row r="996">
      <c r="A996" s="2" t="inlineStr">
        <is>
          <t>1500-on</t>
        </is>
      </c>
      <c r="B996" s="2" t="n">
        <v>1500</v>
      </c>
      <c r="C996" s="2" t="inlineStr">
        <is>
          <t>on</t>
        </is>
      </c>
      <c r="D996" s="2" t="n">
        <v>1448</v>
      </c>
      <c r="E996" s="2" t="inlineStr">
        <is>
          <t>openssl X25519 only (classical)</t>
        </is>
      </c>
      <c r="F996" s="2" t="b">
        <v>0</v>
      </c>
      <c r="G996" s="2" t="n">
        <v>15</v>
      </c>
      <c r="H996" s="2" t="n">
        <v>309</v>
      </c>
      <c r="I996" s="2" t="n">
        <v>309</v>
      </c>
      <c r="J996" s="2" t="n">
        <v>309</v>
      </c>
      <c r="K996" s="2">
        <f>H996+5&gt;D996</f>
        <v/>
      </c>
      <c r="L996" s="2">
        <f>J996&lt;I996</f>
        <v/>
      </c>
      <c r="M996" s="2" t="b">
        <v>1</v>
      </c>
      <c r="N996" s="2" t="b">
        <v>1</v>
      </c>
      <c r="O996" s="2" t="inlineStr">
        <is>
          <t>allow</t>
        </is>
      </c>
      <c r="P996" s="2">
        <f>O996&lt;&gt;"unknown"</f>
        <v/>
      </c>
    </row>
    <row r="997">
      <c r="A997" s="2" t="inlineStr">
        <is>
          <t>1500-on</t>
        </is>
      </c>
      <c r="B997" s="2" t="n">
        <v>1500</v>
      </c>
      <c r="C997" s="2" t="inlineStr">
        <is>
          <t>on</t>
        </is>
      </c>
      <c r="D997" s="2" t="n">
        <v>1448</v>
      </c>
      <c r="E997" s="2" t="inlineStr">
        <is>
          <t>openssl X25519 only (classical)</t>
        </is>
      </c>
      <c r="F997" s="2" t="b">
        <v>0</v>
      </c>
      <c r="G997" s="2" t="n">
        <v>16</v>
      </c>
      <c r="H997" s="2" t="n">
        <v>309</v>
      </c>
      <c r="I997" s="2" t="n">
        <v>309</v>
      </c>
      <c r="J997" s="2" t="n">
        <v>309</v>
      </c>
      <c r="K997" s="2">
        <f>H997+5&gt;D997</f>
        <v/>
      </c>
      <c r="L997" s="2">
        <f>J997&lt;I997</f>
        <v/>
      </c>
      <c r="M997" s="2" t="b">
        <v>1</v>
      </c>
      <c r="N997" s="2" t="b">
        <v>1</v>
      </c>
      <c r="O997" s="2" t="inlineStr">
        <is>
          <t>allow</t>
        </is>
      </c>
      <c r="P997" s="2">
        <f>O997&lt;&gt;"unknown"</f>
        <v/>
      </c>
    </row>
    <row r="998">
      <c r="A998" s="2" t="inlineStr">
        <is>
          <t>1500-on</t>
        </is>
      </c>
      <c r="B998" s="2" t="n">
        <v>1500</v>
      </c>
      <c r="C998" s="2" t="inlineStr">
        <is>
          <t>on</t>
        </is>
      </c>
      <c r="D998" s="2" t="n">
        <v>1448</v>
      </c>
      <c r="E998" s="2" t="inlineStr">
        <is>
          <t>openssl X25519 only (classical)</t>
        </is>
      </c>
      <c r="F998" s="2" t="b">
        <v>0</v>
      </c>
      <c r="G998" s="2" t="n">
        <v>17</v>
      </c>
      <c r="H998" s="2" t="n">
        <v>309</v>
      </c>
      <c r="I998" s="2" t="n">
        <v>309</v>
      </c>
      <c r="J998" s="2" t="n">
        <v>309</v>
      </c>
      <c r="K998" s="2">
        <f>H998+5&gt;D998</f>
        <v/>
      </c>
      <c r="L998" s="2">
        <f>J998&lt;I998</f>
        <v/>
      </c>
      <c r="M998" s="2" t="b">
        <v>1</v>
      </c>
      <c r="N998" s="2" t="b">
        <v>1</v>
      </c>
      <c r="O998" s="2" t="inlineStr">
        <is>
          <t>allow</t>
        </is>
      </c>
      <c r="P998" s="2">
        <f>O998&lt;&gt;"unknown"</f>
        <v/>
      </c>
    </row>
    <row r="999">
      <c r="A999" s="2" t="inlineStr">
        <is>
          <t>1500-on</t>
        </is>
      </c>
      <c r="B999" s="2" t="n">
        <v>1500</v>
      </c>
      <c r="C999" s="2" t="inlineStr">
        <is>
          <t>on</t>
        </is>
      </c>
      <c r="D999" s="2" t="n">
        <v>1448</v>
      </c>
      <c r="E999" s="2" t="inlineStr">
        <is>
          <t>openssl X25519 only (classical)</t>
        </is>
      </c>
      <c r="F999" s="2" t="b">
        <v>0</v>
      </c>
      <c r="G999" s="2" t="n">
        <v>18</v>
      </c>
      <c r="H999" s="2" t="n">
        <v>309</v>
      </c>
      <c r="I999" s="2" t="n">
        <v>309</v>
      </c>
      <c r="J999" s="2" t="n">
        <v>309</v>
      </c>
      <c r="K999" s="2">
        <f>H999+5&gt;D999</f>
        <v/>
      </c>
      <c r="L999" s="2">
        <f>J999&lt;I999</f>
        <v/>
      </c>
      <c r="M999" s="2" t="b">
        <v>1</v>
      </c>
      <c r="N999" s="2" t="b">
        <v>1</v>
      </c>
      <c r="O999" s="2" t="inlineStr">
        <is>
          <t>allow</t>
        </is>
      </c>
      <c r="P999" s="2">
        <f>O999&lt;&gt;"unknown"</f>
        <v/>
      </c>
    </row>
    <row r="1000">
      <c r="A1000" s="2" t="inlineStr">
        <is>
          <t>1500-on</t>
        </is>
      </c>
      <c r="B1000" s="2" t="n">
        <v>1500</v>
      </c>
      <c r="C1000" s="2" t="inlineStr">
        <is>
          <t>on</t>
        </is>
      </c>
      <c r="D1000" s="2" t="n">
        <v>1448</v>
      </c>
      <c r="E1000" s="2" t="inlineStr">
        <is>
          <t>openssl X25519 only (classical)</t>
        </is>
      </c>
      <c r="F1000" s="2" t="b">
        <v>0</v>
      </c>
      <c r="G1000" s="2" t="n">
        <v>19</v>
      </c>
      <c r="H1000" s="2" t="n">
        <v>309</v>
      </c>
      <c r="I1000" s="2" t="n">
        <v>309</v>
      </c>
      <c r="J1000" s="2" t="n">
        <v>309</v>
      </c>
      <c r="K1000" s="2">
        <f>H1000+5&gt;D1000</f>
        <v/>
      </c>
      <c r="L1000" s="2">
        <f>J1000&lt;I1000</f>
        <v/>
      </c>
      <c r="M1000" s="2" t="b">
        <v>1</v>
      </c>
      <c r="N1000" s="2" t="b">
        <v>1</v>
      </c>
      <c r="O1000" s="2" t="inlineStr">
        <is>
          <t>allow</t>
        </is>
      </c>
      <c r="P1000" s="2">
        <f>O1000&lt;&gt;"unknown"</f>
        <v/>
      </c>
    </row>
    <row r="1001">
      <c r="A1001" s="2" t="inlineStr">
        <is>
          <t>1500-on</t>
        </is>
      </c>
      <c r="B1001" s="2" t="n">
        <v>1500</v>
      </c>
      <c r="C1001" s="2" t="inlineStr">
        <is>
          <t>on</t>
        </is>
      </c>
      <c r="D1001" s="2" t="n">
        <v>1448</v>
      </c>
      <c r="E1001" s="2" t="inlineStr">
        <is>
          <t>openssl X25519 only (classical)</t>
        </is>
      </c>
      <c r="F1001" s="2" t="b">
        <v>0</v>
      </c>
      <c r="G1001" s="2" t="n">
        <v>20</v>
      </c>
      <c r="H1001" s="2" t="n">
        <v>309</v>
      </c>
      <c r="I1001" s="2" t="n">
        <v>309</v>
      </c>
      <c r="J1001" s="2" t="n">
        <v>309</v>
      </c>
      <c r="K1001" s="2">
        <f>H1001+5&gt;D1001</f>
        <v/>
      </c>
      <c r="L1001" s="2">
        <f>J1001&lt;I1001</f>
        <v/>
      </c>
      <c r="M1001" s="2" t="b">
        <v>1</v>
      </c>
      <c r="N1001" s="2" t="b">
        <v>1</v>
      </c>
      <c r="O1001" s="2" t="inlineStr">
        <is>
          <t>allow</t>
        </is>
      </c>
      <c r="P1001" s="2">
        <f>O1001&lt;&gt;"unknown"</f>
        <v/>
      </c>
    </row>
    <row r="1002">
      <c r="A1002" s="2" t="inlineStr">
        <is>
          <t>1500-on</t>
        </is>
      </c>
      <c r="B1002" s="2" t="n">
        <v>1500</v>
      </c>
      <c r="C1002" s="2" t="inlineStr">
        <is>
          <t>on</t>
        </is>
      </c>
      <c r="D1002" s="2" t="n">
        <v>1448</v>
      </c>
      <c r="E1002" s="2" t="inlineStr">
        <is>
          <t>openssl secp256r1 only (classical)</t>
        </is>
      </c>
      <c r="F1002" s="2" t="b">
        <v>0</v>
      </c>
      <c r="G1002" s="2" t="n">
        <v>1</v>
      </c>
      <c r="H1002" s="2" t="n">
        <v>342</v>
      </c>
      <c r="I1002" s="2" t="n">
        <v>342</v>
      </c>
      <c r="J1002" s="2" t="n">
        <v>342</v>
      </c>
      <c r="K1002" s="2">
        <f>H1002+5&gt;D1002</f>
        <v/>
      </c>
      <c r="L1002" s="2">
        <f>J1002&lt;I1002</f>
        <v/>
      </c>
      <c r="M1002" s="2" t="b">
        <v>1</v>
      </c>
      <c r="N1002" s="2" t="b">
        <v>1</v>
      </c>
      <c r="O1002" s="2" t="inlineStr">
        <is>
          <t>allow</t>
        </is>
      </c>
      <c r="P1002" s="2">
        <f>O1002&lt;&gt;"unknown"</f>
        <v/>
      </c>
    </row>
    <row r="1003">
      <c r="A1003" s="2" t="inlineStr">
        <is>
          <t>1500-on</t>
        </is>
      </c>
      <c r="B1003" s="2" t="n">
        <v>1500</v>
      </c>
      <c r="C1003" s="2" t="inlineStr">
        <is>
          <t>on</t>
        </is>
      </c>
      <c r="D1003" s="2" t="n">
        <v>1448</v>
      </c>
      <c r="E1003" s="2" t="inlineStr">
        <is>
          <t>openssl secp256r1 only (classical)</t>
        </is>
      </c>
      <c r="F1003" s="2" t="b">
        <v>0</v>
      </c>
      <c r="G1003" s="2" t="n">
        <v>2</v>
      </c>
      <c r="H1003" s="2" t="n">
        <v>342</v>
      </c>
      <c r="I1003" s="2" t="n">
        <v>342</v>
      </c>
      <c r="J1003" s="2" t="n">
        <v>342</v>
      </c>
      <c r="K1003" s="2">
        <f>H1003+5&gt;D1003</f>
        <v/>
      </c>
      <c r="L1003" s="2">
        <f>J1003&lt;I1003</f>
        <v/>
      </c>
      <c r="M1003" s="2" t="b">
        <v>1</v>
      </c>
      <c r="N1003" s="2" t="b">
        <v>1</v>
      </c>
      <c r="O1003" s="2" t="inlineStr">
        <is>
          <t>allow</t>
        </is>
      </c>
      <c r="P1003" s="2">
        <f>O1003&lt;&gt;"unknown"</f>
        <v/>
      </c>
    </row>
    <row r="1004">
      <c r="A1004" s="2" t="inlineStr">
        <is>
          <t>1500-on</t>
        </is>
      </c>
      <c r="B1004" s="2" t="n">
        <v>1500</v>
      </c>
      <c r="C1004" s="2" t="inlineStr">
        <is>
          <t>on</t>
        </is>
      </c>
      <c r="D1004" s="2" t="n">
        <v>1448</v>
      </c>
      <c r="E1004" s="2" t="inlineStr">
        <is>
          <t>openssl secp256r1 only (classical)</t>
        </is>
      </c>
      <c r="F1004" s="2" t="b">
        <v>0</v>
      </c>
      <c r="G1004" s="2" t="n">
        <v>3</v>
      </c>
      <c r="H1004" s="2" t="n">
        <v>342</v>
      </c>
      <c r="I1004" s="2" t="n">
        <v>342</v>
      </c>
      <c r="J1004" s="2" t="n">
        <v>342</v>
      </c>
      <c r="K1004" s="2">
        <f>H1004+5&gt;D1004</f>
        <v/>
      </c>
      <c r="L1004" s="2">
        <f>J1004&lt;I1004</f>
        <v/>
      </c>
      <c r="M1004" s="2" t="b">
        <v>1</v>
      </c>
      <c r="N1004" s="2" t="b">
        <v>1</v>
      </c>
      <c r="O1004" s="2" t="inlineStr">
        <is>
          <t>allow</t>
        </is>
      </c>
      <c r="P1004" s="2">
        <f>O1004&lt;&gt;"unknown"</f>
        <v/>
      </c>
    </row>
    <row r="1005">
      <c r="A1005" s="2" t="inlineStr">
        <is>
          <t>1500-on</t>
        </is>
      </c>
      <c r="B1005" s="2" t="n">
        <v>1500</v>
      </c>
      <c r="C1005" s="2" t="inlineStr">
        <is>
          <t>on</t>
        </is>
      </c>
      <c r="D1005" s="2" t="n">
        <v>1448</v>
      </c>
      <c r="E1005" s="2" t="inlineStr">
        <is>
          <t>openssl secp256r1 only (classical)</t>
        </is>
      </c>
      <c r="F1005" s="2" t="b">
        <v>0</v>
      </c>
      <c r="G1005" s="2" t="n">
        <v>4</v>
      </c>
      <c r="H1005" s="2" t="n">
        <v>342</v>
      </c>
      <c r="I1005" s="2" t="n">
        <v>342</v>
      </c>
      <c r="J1005" s="2" t="n">
        <v>342</v>
      </c>
      <c r="K1005" s="2">
        <f>H1005+5&gt;D1005</f>
        <v/>
      </c>
      <c r="L1005" s="2">
        <f>J1005&lt;I1005</f>
        <v/>
      </c>
      <c r="M1005" s="2" t="b">
        <v>1</v>
      </c>
      <c r="N1005" s="2" t="b">
        <v>1</v>
      </c>
      <c r="O1005" s="2" t="inlineStr">
        <is>
          <t>allow</t>
        </is>
      </c>
      <c r="P1005" s="2">
        <f>O1005&lt;&gt;"unknown"</f>
        <v/>
      </c>
    </row>
    <row r="1006">
      <c r="A1006" s="2" t="inlineStr">
        <is>
          <t>1500-on</t>
        </is>
      </c>
      <c r="B1006" s="2" t="n">
        <v>1500</v>
      </c>
      <c r="C1006" s="2" t="inlineStr">
        <is>
          <t>on</t>
        </is>
      </c>
      <c r="D1006" s="2" t="n">
        <v>1448</v>
      </c>
      <c r="E1006" s="2" t="inlineStr">
        <is>
          <t>openssl secp256r1 only (classical)</t>
        </is>
      </c>
      <c r="F1006" s="2" t="b">
        <v>0</v>
      </c>
      <c r="G1006" s="2" t="n">
        <v>5</v>
      </c>
      <c r="H1006" s="2" t="n">
        <v>342</v>
      </c>
      <c r="I1006" s="2" t="n">
        <v>342</v>
      </c>
      <c r="J1006" s="2" t="n">
        <v>342</v>
      </c>
      <c r="K1006" s="2">
        <f>H1006+5&gt;D1006</f>
        <v/>
      </c>
      <c r="L1006" s="2">
        <f>J1006&lt;I1006</f>
        <v/>
      </c>
      <c r="M1006" s="2" t="b">
        <v>1</v>
      </c>
      <c r="N1006" s="2" t="b">
        <v>1</v>
      </c>
      <c r="O1006" s="2" t="inlineStr">
        <is>
          <t>allow</t>
        </is>
      </c>
      <c r="P1006" s="2">
        <f>O1006&lt;&gt;"unknown"</f>
        <v/>
      </c>
    </row>
    <row r="1007">
      <c r="A1007" s="2" t="inlineStr">
        <is>
          <t>1500-on</t>
        </is>
      </c>
      <c r="B1007" s="2" t="n">
        <v>1500</v>
      </c>
      <c r="C1007" s="2" t="inlineStr">
        <is>
          <t>on</t>
        </is>
      </c>
      <c r="D1007" s="2" t="n">
        <v>1448</v>
      </c>
      <c r="E1007" s="2" t="inlineStr">
        <is>
          <t>openssl secp256r1 only (classical)</t>
        </is>
      </c>
      <c r="F1007" s="2" t="b">
        <v>0</v>
      </c>
      <c r="G1007" s="2" t="n">
        <v>6</v>
      </c>
      <c r="H1007" s="2" t="n">
        <v>342</v>
      </c>
      <c r="I1007" s="2" t="n">
        <v>342</v>
      </c>
      <c r="J1007" s="2" t="n">
        <v>342</v>
      </c>
      <c r="K1007" s="2">
        <f>H1007+5&gt;D1007</f>
        <v/>
      </c>
      <c r="L1007" s="2">
        <f>J1007&lt;I1007</f>
        <v/>
      </c>
      <c r="M1007" s="2" t="b">
        <v>1</v>
      </c>
      <c r="N1007" s="2" t="b">
        <v>1</v>
      </c>
      <c r="O1007" s="2" t="inlineStr">
        <is>
          <t>allow</t>
        </is>
      </c>
      <c r="P1007" s="2">
        <f>O1007&lt;&gt;"unknown"</f>
        <v/>
      </c>
    </row>
    <row r="1008">
      <c r="A1008" s="2" t="inlineStr">
        <is>
          <t>1500-on</t>
        </is>
      </c>
      <c r="B1008" s="2" t="n">
        <v>1500</v>
      </c>
      <c r="C1008" s="2" t="inlineStr">
        <is>
          <t>on</t>
        </is>
      </c>
      <c r="D1008" s="2" t="n">
        <v>1448</v>
      </c>
      <c r="E1008" s="2" t="inlineStr">
        <is>
          <t>openssl secp256r1 only (classical)</t>
        </is>
      </c>
      <c r="F1008" s="2" t="b">
        <v>0</v>
      </c>
      <c r="G1008" s="2" t="n">
        <v>7</v>
      </c>
      <c r="H1008" s="2" t="n">
        <v>342</v>
      </c>
      <c r="I1008" s="2" t="n">
        <v>342</v>
      </c>
      <c r="J1008" s="2" t="n">
        <v>342</v>
      </c>
      <c r="K1008" s="2">
        <f>H1008+5&gt;D1008</f>
        <v/>
      </c>
      <c r="L1008" s="2">
        <f>J1008&lt;I1008</f>
        <v/>
      </c>
      <c r="M1008" s="2" t="b">
        <v>1</v>
      </c>
      <c r="N1008" s="2" t="b">
        <v>1</v>
      </c>
      <c r="O1008" s="2" t="inlineStr">
        <is>
          <t>allow</t>
        </is>
      </c>
      <c r="P1008" s="2">
        <f>O1008&lt;&gt;"unknown"</f>
        <v/>
      </c>
    </row>
    <row r="1009">
      <c r="A1009" s="2" t="inlineStr">
        <is>
          <t>1500-on</t>
        </is>
      </c>
      <c r="B1009" s="2" t="n">
        <v>1500</v>
      </c>
      <c r="C1009" s="2" t="inlineStr">
        <is>
          <t>on</t>
        </is>
      </c>
      <c r="D1009" s="2" t="n">
        <v>1448</v>
      </c>
      <c r="E1009" s="2" t="inlineStr">
        <is>
          <t>openssl secp256r1 only (classical)</t>
        </is>
      </c>
      <c r="F1009" s="2" t="b">
        <v>0</v>
      </c>
      <c r="G1009" s="2" t="n">
        <v>8</v>
      </c>
      <c r="H1009" s="2" t="n">
        <v>342</v>
      </c>
      <c r="I1009" s="2" t="n">
        <v>342</v>
      </c>
      <c r="J1009" s="2" t="n">
        <v>342</v>
      </c>
      <c r="K1009" s="2">
        <f>H1009+5&gt;D1009</f>
        <v/>
      </c>
      <c r="L1009" s="2">
        <f>J1009&lt;I1009</f>
        <v/>
      </c>
      <c r="M1009" s="2" t="b">
        <v>1</v>
      </c>
      <c r="N1009" s="2" t="b">
        <v>1</v>
      </c>
      <c r="O1009" s="2" t="inlineStr">
        <is>
          <t>allow</t>
        </is>
      </c>
      <c r="P1009" s="2">
        <f>O1009&lt;&gt;"unknown"</f>
        <v/>
      </c>
    </row>
    <row r="1010">
      <c r="A1010" s="2" t="inlineStr">
        <is>
          <t>1500-on</t>
        </is>
      </c>
      <c r="B1010" s="2" t="n">
        <v>1500</v>
      </c>
      <c r="C1010" s="2" t="inlineStr">
        <is>
          <t>on</t>
        </is>
      </c>
      <c r="D1010" s="2" t="n">
        <v>1448</v>
      </c>
      <c r="E1010" s="2" t="inlineStr">
        <is>
          <t>openssl secp256r1 only (classical)</t>
        </is>
      </c>
      <c r="F1010" s="2" t="b">
        <v>0</v>
      </c>
      <c r="G1010" s="2" t="n">
        <v>9</v>
      </c>
      <c r="H1010" s="2" t="n">
        <v>342</v>
      </c>
      <c r="I1010" s="2" t="n">
        <v>342</v>
      </c>
      <c r="J1010" s="2" t="n">
        <v>342</v>
      </c>
      <c r="K1010" s="2">
        <f>H1010+5&gt;D1010</f>
        <v/>
      </c>
      <c r="L1010" s="2">
        <f>J1010&lt;I1010</f>
        <v/>
      </c>
      <c r="M1010" s="2" t="b">
        <v>1</v>
      </c>
      <c r="N1010" s="2" t="b">
        <v>1</v>
      </c>
      <c r="O1010" s="2" t="inlineStr">
        <is>
          <t>allow</t>
        </is>
      </c>
      <c r="P1010" s="2">
        <f>O1010&lt;&gt;"unknown"</f>
        <v/>
      </c>
    </row>
    <row r="1011">
      <c r="A1011" s="2" t="inlineStr">
        <is>
          <t>1500-on</t>
        </is>
      </c>
      <c r="B1011" s="2" t="n">
        <v>1500</v>
      </c>
      <c r="C1011" s="2" t="inlineStr">
        <is>
          <t>on</t>
        </is>
      </c>
      <c r="D1011" s="2" t="n">
        <v>1448</v>
      </c>
      <c r="E1011" s="2" t="inlineStr">
        <is>
          <t>openssl secp256r1 only (classical)</t>
        </is>
      </c>
      <c r="F1011" s="2" t="b">
        <v>0</v>
      </c>
      <c r="G1011" s="2" t="n">
        <v>10</v>
      </c>
      <c r="H1011" s="2" t="n">
        <v>342</v>
      </c>
      <c r="I1011" s="2" t="n">
        <v>342</v>
      </c>
      <c r="J1011" s="2" t="n">
        <v>342</v>
      </c>
      <c r="K1011" s="2">
        <f>H1011+5&gt;D1011</f>
        <v/>
      </c>
      <c r="L1011" s="2">
        <f>J1011&lt;I1011</f>
        <v/>
      </c>
      <c r="M1011" s="2" t="b">
        <v>1</v>
      </c>
      <c r="N1011" s="2" t="b">
        <v>1</v>
      </c>
      <c r="O1011" s="2" t="inlineStr">
        <is>
          <t>allow</t>
        </is>
      </c>
      <c r="P1011" s="2">
        <f>O1011&lt;&gt;"unknown"</f>
        <v/>
      </c>
    </row>
    <row r="1012">
      <c r="A1012" s="2" t="inlineStr">
        <is>
          <t>1500-on</t>
        </is>
      </c>
      <c r="B1012" s="2" t="n">
        <v>1500</v>
      </c>
      <c r="C1012" s="2" t="inlineStr">
        <is>
          <t>on</t>
        </is>
      </c>
      <c r="D1012" s="2" t="n">
        <v>1448</v>
      </c>
      <c r="E1012" s="2" t="inlineStr">
        <is>
          <t>openssl secp256r1 only (classical)</t>
        </is>
      </c>
      <c r="F1012" s="2" t="b">
        <v>0</v>
      </c>
      <c r="G1012" s="2" t="n">
        <v>11</v>
      </c>
      <c r="H1012" s="2" t="n">
        <v>342</v>
      </c>
      <c r="I1012" s="2" t="n">
        <v>342</v>
      </c>
      <c r="J1012" s="2" t="n">
        <v>342</v>
      </c>
      <c r="K1012" s="2">
        <f>H1012+5&gt;D1012</f>
        <v/>
      </c>
      <c r="L1012" s="2">
        <f>J1012&lt;I1012</f>
        <v/>
      </c>
      <c r="M1012" s="2" t="b">
        <v>1</v>
      </c>
      <c r="N1012" s="2" t="b">
        <v>1</v>
      </c>
      <c r="O1012" s="2" t="inlineStr">
        <is>
          <t>allow</t>
        </is>
      </c>
      <c r="P1012" s="2">
        <f>O1012&lt;&gt;"unknown"</f>
        <v/>
      </c>
    </row>
    <row r="1013">
      <c r="A1013" s="2" t="inlineStr">
        <is>
          <t>1500-on</t>
        </is>
      </c>
      <c r="B1013" s="2" t="n">
        <v>1500</v>
      </c>
      <c r="C1013" s="2" t="inlineStr">
        <is>
          <t>on</t>
        </is>
      </c>
      <c r="D1013" s="2" t="n">
        <v>1448</v>
      </c>
      <c r="E1013" s="2" t="inlineStr">
        <is>
          <t>openssl secp256r1 only (classical)</t>
        </is>
      </c>
      <c r="F1013" s="2" t="b">
        <v>0</v>
      </c>
      <c r="G1013" s="2" t="n">
        <v>12</v>
      </c>
      <c r="H1013" s="2" t="n">
        <v>342</v>
      </c>
      <c r="I1013" s="2" t="n">
        <v>342</v>
      </c>
      <c r="J1013" s="2" t="n">
        <v>342</v>
      </c>
      <c r="K1013" s="2">
        <f>H1013+5&gt;D1013</f>
        <v/>
      </c>
      <c r="L1013" s="2">
        <f>J1013&lt;I1013</f>
        <v/>
      </c>
      <c r="M1013" s="2" t="b">
        <v>1</v>
      </c>
      <c r="N1013" s="2" t="b">
        <v>1</v>
      </c>
      <c r="O1013" s="2" t="inlineStr">
        <is>
          <t>allow</t>
        </is>
      </c>
      <c r="P1013" s="2">
        <f>O1013&lt;&gt;"unknown"</f>
        <v/>
      </c>
    </row>
    <row r="1014">
      <c r="A1014" s="2" t="inlineStr">
        <is>
          <t>1500-on</t>
        </is>
      </c>
      <c r="B1014" s="2" t="n">
        <v>1500</v>
      </c>
      <c r="C1014" s="2" t="inlineStr">
        <is>
          <t>on</t>
        </is>
      </c>
      <c r="D1014" s="2" t="n">
        <v>1448</v>
      </c>
      <c r="E1014" s="2" t="inlineStr">
        <is>
          <t>openssl secp256r1 only (classical)</t>
        </is>
      </c>
      <c r="F1014" s="2" t="b">
        <v>0</v>
      </c>
      <c r="G1014" s="2" t="n">
        <v>13</v>
      </c>
      <c r="H1014" s="2" t="n">
        <v>342</v>
      </c>
      <c r="I1014" s="2" t="n">
        <v>342</v>
      </c>
      <c r="J1014" s="2" t="n">
        <v>342</v>
      </c>
      <c r="K1014" s="2">
        <f>H1014+5&gt;D1014</f>
        <v/>
      </c>
      <c r="L1014" s="2">
        <f>J1014&lt;I1014</f>
        <v/>
      </c>
      <c r="M1014" s="2" t="b">
        <v>1</v>
      </c>
      <c r="N1014" s="2" t="b">
        <v>1</v>
      </c>
      <c r="O1014" s="2" t="inlineStr">
        <is>
          <t>allow</t>
        </is>
      </c>
      <c r="P1014" s="2">
        <f>O1014&lt;&gt;"unknown"</f>
        <v/>
      </c>
    </row>
    <row r="1015">
      <c r="A1015" s="2" t="inlineStr">
        <is>
          <t>1500-on</t>
        </is>
      </c>
      <c r="B1015" s="2" t="n">
        <v>1500</v>
      </c>
      <c r="C1015" s="2" t="inlineStr">
        <is>
          <t>on</t>
        </is>
      </c>
      <c r="D1015" s="2" t="n">
        <v>1448</v>
      </c>
      <c r="E1015" s="2" t="inlineStr">
        <is>
          <t>openssl secp256r1 only (classical)</t>
        </is>
      </c>
      <c r="F1015" s="2" t="b">
        <v>0</v>
      </c>
      <c r="G1015" s="2" t="n">
        <v>14</v>
      </c>
      <c r="H1015" s="2" t="n">
        <v>342</v>
      </c>
      <c r="I1015" s="2" t="n">
        <v>342</v>
      </c>
      <c r="J1015" s="2" t="n">
        <v>342</v>
      </c>
      <c r="K1015" s="2">
        <f>H1015+5&gt;D1015</f>
        <v/>
      </c>
      <c r="L1015" s="2">
        <f>J1015&lt;I1015</f>
        <v/>
      </c>
      <c r="M1015" s="2" t="b">
        <v>1</v>
      </c>
      <c r="N1015" s="2" t="b">
        <v>1</v>
      </c>
      <c r="O1015" s="2" t="inlineStr">
        <is>
          <t>allow</t>
        </is>
      </c>
      <c r="P1015" s="2">
        <f>O1015&lt;&gt;"unknown"</f>
        <v/>
      </c>
    </row>
    <row r="1016">
      <c r="A1016" s="2" t="inlineStr">
        <is>
          <t>1500-on</t>
        </is>
      </c>
      <c r="B1016" s="2" t="n">
        <v>1500</v>
      </c>
      <c r="C1016" s="2" t="inlineStr">
        <is>
          <t>on</t>
        </is>
      </c>
      <c r="D1016" s="2" t="n">
        <v>1448</v>
      </c>
      <c r="E1016" s="2" t="inlineStr">
        <is>
          <t>openssl secp256r1 only (classical)</t>
        </is>
      </c>
      <c r="F1016" s="2" t="b">
        <v>0</v>
      </c>
      <c r="G1016" s="2" t="n">
        <v>15</v>
      </c>
      <c r="H1016" s="2" t="n">
        <v>342</v>
      </c>
      <c r="I1016" s="2" t="n">
        <v>342</v>
      </c>
      <c r="J1016" s="2" t="n">
        <v>342</v>
      </c>
      <c r="K1016" s="2">
        <f>H1016+5&gt;D1016</f>
        <v/>
      </c>
      <c r="L1016" s="2">
        <f>J1016&lt;I1016</f>
        <v/>
      </c>
      <c r="M1016" s="2" t="b">
        <v>1</v>
      </c>
      <c r="N1016" s="2" t="b">
        <v>1</v>
      </c>
      <c r="O1016" s="2" t="inlineStr">
        <is>
          <t>allow</t>
        </is>
      </c>
      <c r="P1016" s="2">
        <f>O1016&lt;&gt;"unknown"</f>
        <v/>
      </c>
    </row>
    <row r="1017">
      <c r="A1017" s="2" t="inlineStr">
        <is>
          <t>1500-on</t>
        </is>
      </c>
      <c r="B1017" s="2" t="n">
        <v>1500</v>
      </c>
      <c r="C1017" s="2" t="inlineStr">
        <is>
          <t>on</t>
        </is>
      </c>
      <c r="D1017" s="2" t="n">
        <v>1448</v>
      </c>
      <c r="E1017" s="2" t="inlineStr">
        <is>
          <t>openssl secp256r1 only (classical)</t>
        </is>
      </c>
      <c r="F1017" s="2" t="b">
        <v>0</v>
      </c>
      <c r="G1017" s="2" t="n">
        <v>16</v>
      </c>
      <c r="H1017" s="2" t="n">
        <v>342</v>
      </c>
      <c r="I1017" s="2" t="n">
        <v>342</v>
      </c>
      <c r="J1017" s="2" t="n">
        <v>342</v>
      </c>
      <c r="K1017" s="2">
        <f>H1017+5&gt;D1017</f>
        <v/>
      </c>
      <c r="L1017" s="2">
        <f>J1017&lt;I1017</f>
        <v/>
      </c>
      <c r="M1017" s="2" t="b">
        <v>1</v>
      </c>
      <c r="N1017" s="2" t="b">
        <v>1</v>
      </c>
      <c r="O1017" s="2" t="inlineStr">
        <is>
          <t>allow</t>
        </is>
      </c>
      <c r="P1017" s="2">
        <f>O1017&lt;&gt;"unknown"</f>
        <v/>
      </c>
    </row>
    <row r="1018">
      <c r="A1018" s="2" t="inlineStr">
        <is>
          <t>1500-on</t>
        </is>
      </c>
      <c r="B1018" s="2" t="n">
        <v>1500</v>
      </c>
      <c r="C1018" s="2" t="inlineStr">
        <is>
          <t>on</t>
        </is>
      </c>
      <c r="D1018" s="2" t="n">
        <v>1448</v>
      </c>
      <c r="E1018" s="2" t="inlineStr">
        <is>
          <t>openssl secp256r1 only (classical)</t>
        </is>
      </c>
      <c r="F1018" s="2" t="b">
        <v>0</v>
      </c>
      <c r="G1018" s="2" t="n">
        <v>17</v>
      </c>
      <c r="H1018" s="2" t="n">
        <v>342</v>
      </c>
      <c r="I1018" s="2" t="n">
        <v>342</v>
      </c>
      <c r="J1018" s="2" t="n">
        <v>342</v>
      </c>
      <c r="K1018" s="2">
        <f>H1018+5&gt;D1018</f>
        <v/>
      </c>
      <c r="L1018" s="2">
        <f>J1018&lt;I1018</f>
        <v/>
      </c>
      <c r="M1018" s="2" t="b">
        <v>1</v>
      </c>
      <c r="N1018" s="2" t="b">
        <v>1</v>
      </c>
      <c r="O1018" s="2" t="inlineStr">
        <is>
          <t>allow</t>
        </is>
      </c>
      <c r="P1018" s="2">
        <f>O1018&lt;&gt;"unknown"</f>
        <v/>
      </c>
    </row>
    <row r="1019">
      <c r="A1019" s="2" t="inlineStr">
        <is>
          <t>1500-on</t>
        </is>
      </c>
      <c r="B1019" s="2" t="n">
        <v>1500</v>
      </c>
      <c r="C1019" s="2" t="inlineStr">
        <is>
          <t>on</t>
        </is>
      </c>
      <c r="D1019" s="2" t="n">
        <v>1448</v>
      </c>
      <c r="E1019" s="2" t="inlineStr">
        <is>
          <t>openssl secp256r1 only (classical)</t>
        </is>
      </c>
      <c r="F1019" s="2" t="b">
        <v>0</v>
      </c>
      <c r="G1019" s="2" t="n">
        <v>18</v>
      </c>
      <c r="H1019" s="2" t="n">
        <v>342</v>
      </c>
      <c r="I1019" s="2" t="n">
        <v>342</v>
      </c>
      <c r="J1019" s="2" t="n">
        <v>342</v>
      </c>
      <c r="K1019" s="2">
        <f>H1019+5&gt;D1019</f>
        <v/>
      </c>
      <c r="L1019" s="2">
        <f>J1019&lt;I1019</f>
        <v/>
      </c>
      <c r="M1019" s="2" t="b">
        <v>1</v>
      </c>
      <c r="N1019" s="2" t="b">
        <v>1</v>
      </c>
      <c r="O1019" s="2" t="inlineStr">
        <is>
          <t>allow</t>
        </is>
      </c>
      <c r="P1019" s="2">
        <f>O1019&lt;&gt;"unknown"</f>
        <v/>
      </c>
    </row>
    <row r="1020">
      <c r="A1020" s="2" t="inlineStr">
        <is>
          <t>1500-on</t>
        </is>
      </c>
      <c r="B1020" s="2" t="n">
        <v>1500</v>
      </c>
      <c r="C1020" s="2" t="inlineStr">
        <is>
          <t>on</t>
        </is>
      </c>
      <c r="D1020" s="2" t="n">
        <v>1448</v>
      </c>
      <c r="E1020" s="2" t="inlineStr">
        <is>
          <t>openssl secp256r1 only (classical)</t>
        </is>
      </c>
      <c r="F1020" s="2" t="b">
        <v>0</v>
      </c>
      <c r="G1020" s="2" t="n">
        <v>19</v>
      </c>
      <c r="H1020" s="2" t="n">
        <v>342</v>
      </c>
      <c r="I1020" s="2" t="n">
        <v>342</v>
      </c>
      <c r="J1020" s="2" t="n">
        <v>342</v>
      </c>
      <c r="K1020" s="2">
        <f>H1020+5&gt;D1020</f>
        <v/>
      </c>
      <c r="L1020" s="2">
        <f>J1020&lt;I1020</f>
        <v/>
      </c>
      <c r="M1020" s="2" t="b">
        <v>1</v>
      </c>
      <c r="N1020" s="2" t="b">
        <v>1</v>
      </c>
      <c r="O1020" s="2" t="inlineStr">
        <is>
          <t>allow</t>
        </is>
      </c>
      <c r="P1020" s="2">
        <f>O1020&lt;&gt;"unknown"</f>
        <v/>
      </c>
    </row>
    <row r="1021">
      <c r="A1021" s="2" t="inlineStr">
        <is>
          <t>1500-on</t>
        </is>
      </c>
      <c r="B1021" s="2" t="n">
        <v>1500</v>
      </c>
      <c r="C1021" s="2" t="inlineStr">
        <is>
          <t>on</t>
        </is>
      </c>
      <c r="D1021" s="2" t="n">
        <v>1448</v>
      </c>
      <c r="E1021" s="2" t="inlineStr">
        <is>
          <t>openssl secp256r1 only (classical)</t>
        </is>
      </c>
      <c r="F1021" s="2" t="b">
        <v>0</v>
      </c>
      <c r="G1021" s="2" t="n">
        <v>20</v>
      </c>
      <c r="H1021" s="2" t="n">
        <v>342</v>
      </c>
      <c r="I1021" s="2" t="n">
        <v>342</v>
      </c>
      <c r="J1021" s="2" t="n">
        <v>342</v>
      </c>
      <c r="K1021" s="2">
        <f>H1021+5&gt;D1021</f>
        <v/>
      </c>
      <c r="L1021" s="2">
        <f>J1021&lt;I1021</f>
        <v/>
      </c>
      <c r="M1021" s="2" t="b">
        <v>1</v>
      </c>
      <c r="N1021" s="2" t="b">
        <v>1</v>
      </c>
      <c r="O1021" s="2" t="inlineStr">
        <is>
          <t>allow</t>
        </is>
      </c>
      <c r="P1021" s="2">
        <f>O1021&lt;&gt;"unknown"</f>
        <v/>
      </c>
    </row>
    <row r="1022">
      <c r="A1022" s="2" t="inlineStr">
        <is>
          <t>1500-on</t>
        </is>
      </c>
      <c r="B1022" s="2" t="n">
        <v>1500</v>
      </c>
      <c r="C1022" s="2" t="inlineStr">
        <is>
          <t>on</t>
        </is>
      </c>
      <c r="D1022" s="2" t="n">
        <v>1448</v>
      </c>
      <c r="E1022" s="2" t="inlineStr">
        <is>
          <t>openssl X25519MLKEM768 only</t>
        </is>
      </c>
      <c r="F1022" s="2" t="b">
        <v>1</v>
      </c>
      <c r="G1022" s="2" t="n">
        <v>1</v>
      </c>
      <c r="H1022" s="2" t="n">
        <v>1485</v>
      </c>
      <c r="I1022" s="2" t="n">
        <v>1485</v>
      </c>
      <c r="J1022" s="2" t="n">
        <v>1443</v>
      </c>
      <c r="K1022" s="2">
        <f>H1022+5&gt;D1022</f>
        <v/>
      </c>
      <c r="L1022" s="2">
        <f>J1022&lt;I1022</f>
        <v/>
      </c>
      <c r="M1022" s="2" t="b">
        <v>1</v>
      </c>
      <c r="N1022" s="2" t="b">
        <v>1</v>
      </c>
      <c r="O1022" s="2" t="inlineStr">
        <is>
          <t>allow</t>
        </is>
      </c>
      <c r="P1022" s="2">
        <f>O1022&lt;&gt;"unknown"</f>
        <v/>
      </c>
    </row>
    <row r="1023">
      <c r="A1023" s="2" t="inlineStr">
        <is>
          <t>1500-on</t>
        </is>
      </c>
      <c r="B1023" s="2" t="n">
        <v>1500</v>
      </c>
      <c r="C1023" s="2" t="inlineStr">
        <is>
          <t>on</t>
        </is>
      </c>
      <c r="D1023" s="2" t="n">
        <v>1448</v>
      </c>
      <c r="E1023" s="2" t="inlineStr">
        <is>
          <t>openssl X25519MLKEM768 only</t>
        </is>
      </c>
      <c r="F1023" s="2" t="b">
        <v>1</v>
      </c>
      <c r="G1023" s="2" t="n">
        <v>2</v>
      </c>
      <c r="H1023" s="2" t="n">
        <v>1485</v>
      </c>
      <c r="I1023" s="2" t="n">
        <v>1485</v>
      </c>
      <c r="J1023" s="2" t="n">
        <v>1443</v>
      </c>
      <c r="K1023" s="2">
        <f>H1023+5&gt;D1023</f>
        <v/>
      </c>
      <c r="L1023" s="2">
        <f>J1023&lt;I1023</f>
        <v/>
      </c>
      <c r="M1023" s="2" t="b">
        <v>1</v>
      </c>
      <c r="N1023" s="2" t="b">
        <v>1</v>
      </c>
      <c r="O1023" s="2" t="inlineStr">
        <is>
          <t>allow</t>
        </is>
      </c>
      <c r="P1023" s="2">
        <f>O1023&lt;&gt;"unknown"</f>
        <v/>
      </c>
    </row>
    <row r="1024">
      <c r="A1024" s="2" t="inlineStr">
        <is>
          <t>1500-on</t>
        </is>
      </c>
      <c r="B1024" s="2" t="n">
        <v>1500</v>
      </c>
      <c r="C1024" s="2" t="inlineStr">
        <is>
          <t>on</t>
        </is>
      </c>
      <c r="D1024" s="2" t="n">
        <v>1448</v>
      </c>
      <c r="E1024" s="2" t="inlineStr">
        <is>
          <t>openssl X25519MLKEM768 only</t>
        </is>
      </c>
      <c r="F1024" s="2" t="b">
        <v>1</v>
      </c>
      <c r="G1024" s="2" t="n">
        <v>3</v>
      </c>
      <c r="H1024" s="2" t="n">
        <v>1485</v>
      </c>
      <c r="I1024" s="2" t="n">
        <v>1485</v>
      </c>
      <c r="J1024" s="2" t="n">
        <v>1443</v>
      </c>
      <c r="K1024" s="2">
        <f>H1024+5&gt;D1024</f>
        <v/>
      </c>
      <c r="L1024" s="2">
        <f>J1024&lt;I1024</f>
        <v/>
      </c>
      <c r="M1024" s="2" t="b">
        <v>1</v>
      </c>
      <c r="N1024" s="2" t="b">
        <v>1</v>
      </c>
      <c r="O1024" s="2" t="inlineStr">
        <is>
          <t>allow</t>
        </is>
      </c>
      <c r="P1024" s="2">
        <f>O1024&lt;&gt;"unknown"</f>
        <v/>
      </c>
    </row>
    <row r="1025">
      <c r="A1025" s="2" t="inlineStr">
        <is>
          <t>1500-on</t>
        </is>
      </c>
      <c r="B1025" s="2" t="n">
        <v>1500</v>
      </c>
      <c r="C1025" s="2" t="inlineStr">
        <is>
          <t>on</t>
        </is>
      </c>
      <c r="D1025" s="2" t="n">
        <v>1448</v>
      </c>
      <c r="E1025" s="2" t="inlineStr">
        <is>
          <t>openssl X25519MLKEM768 only</t>
        </is>
      </c>
      <c r="F1025" s="2" t="b">
        <v>1</v>
      </c>
      <c r="G1025" s="2" t="n">
        <v>4</v>
      </c>
      <c r="H1025" s="2" t="n">
        <v>1485</v>
      </c>
      <c r="I1025" s="2" t="n">
        <v>1485</v>
      </c>
      <c r="J1025" s="2" t="n">
        <v>1443</v>
      </c>
      <c r="K1025" s="2">
        <f>H1025+5&gt;D1025</f>
        <v/>
      </c>
      <c r="L1025" s="2">
        <f>J1025&lt;I1025</f>
        <v/>
      </c>
      <c r="M1025" s="2" t="b">
        <v>1</v>
      </c>
      <c r="N1025" s="2" t="b">
        <v>1</v>
      </c>
      <c r="O1025" s="2" t="inlineStr">
        <is>
          <t>allow</t>
        </is>
      </c>
      <c r="P1025" s="2">
        <f>O1025&lt;&gt;"unknown"</f>
        <v/>
      </c>
    </row>
    <row r="1026">
      <c r="A1026" s="2" t="inlineStr">
        <is>
          <t>1500-on</t>
        </is>
      </c>
      <c r="B1026" s="2" t="n">
        <v>1500</v>
      </c>
      <c r="C1026" s="2" t="inlineStr">
        <is>
          <t>on</t>
        </is>
      </c>
      <c r="D1026" s="2" t="n">
        <v>1448</v>
      </c>
      <c r="E1026" s="2" t="inlineStr">
        <is>
          <t>openssl X25519MLKEM768 only</t>
        </is>
      </c>
      <c r="F1026" s="2" t="b">
        <v>1</v>
      </c>
      <c r="G1026" s="2" t="n">
        <v>5</v>
      </c>
      <c r="H1026" s="2" t="n">
        <v>1485</v>
      </c>
      <c r="I1026" s="2" t="n">
        <v>1485</v>
      </c>
      <c r="J1026" s="2" t="n">
        <v>1443</v>
      </c>
      <c r="K1026" s="2">
        <f>H1026+5&gt;D1026</f>
        <v/>
      </c>
      <c r="L1026" s="2">
        <f>J1026&lt;I1026</f>
        <v/>
      </c>
      <c r="M1026" s="2" t="b">
        <v>1</v>
      </c>
      <c r="N1026" s="2" t="b">
        <v>1</v>
      </c>
      <c r="O1026" s="2" t="inlineStr">
        <is>
          <t>allow</t>
        </is>
      </c>
      <c r="P1026" s="2">
        <f>O1026&lt;&gt;"unknown"</f>
        <v/>
      </c>
    </row>
    <row r="1027">
      <c r="A1027" s="2" t="inlineStr">
        <is>
          <t>1500-on</t>
        </is>
      </c>
      <c r="B1027" s="2" t="n">
        <v>1500</v>
      </c>
      <c r="C1027" s="2" t="inlineStr">
        <is>
          <t>on</t>
        </is>
      </c>
      <c r="D1027" s="2" t="n">
        <v>1448</v>
      </c>
      <c r="E1027" s="2" t="inlineStr">
        <is>
          <t>openssl X25519MLKEM768 only</t>
        </is>
      </c>
      <c r="F1027" s="2" t="b">
        <v>1</v>
      </c>
      <c r="G1027" s="2" t="n">
        <v>6</v>
      </c>
      <c r="H1027" s="2" t="n">
        <v>1485</v>
      </c>
      <c r="I1027" s="2" t="n">
        <v>1485</v>
      </c>
      <c r="J1027" s="2" t="n">
        <v>1443</v>
      </c>
      <c r="K1027" s="2">
        <f>H1027+5&gt;D1027</f>
        <v/>
      </c>
      <c r="L1027" s="2">
        <f>J1027&lt;I1027</f>
        <v/>
      </c>
      <c r="M1027" s="2" t="b">
        <v>1</v>
      </c>
      <c r="N1027" s="2" t="b">
        <v>1</v>
      </c>
      <c r="O1027" s="2" t="inlineStr">
        <is>
          <t>allow</t>
        </is>
      </c>
      <c r="P1027" s="2">
        <f>O1027&lt;&gt;"unknown"</f>
        <v/>
      </c>
    </row>
    <row r="1028">
      <c r="A1028" s="2" t="inlineStr">
        <is>
          <t>1500-on</t>
        </is>
      </c>
      <c r="B1028" s="2" t="n">
        <v>1500</v>
      </c>
      <c r="C1028" s="2" t="inlineStr">
        <is>
          <t>on</t>
        </is>
      </c>
      <c r="D1028" s="2" t="n">
        <v>1448</v>
      </c>
      <c r="E1028" s="2" t="inlineStr">
        <is>
          <t>openssl X25519MLKEM768 only</t>
        </is>
      </c>
      <c r="F1028" s="2" t="b">
        <v>1</v>
      </c>
      <c r="G1028" s="2" t="n">
        <v>7</v>
      </c>
      <c r="H1028" s="2" t="n">
        <v>1485</v>
      </c>
      <c r="I1028" s="2" t="n">
        <v>1485</v>
      </c>
      <c r="J1028" s="2" t="n">
        <v>1443</v>
      </c>
      <c r="K1028" s="2">
        <f>H1028+5&gt;D1028</f>
        <v/>
      </c>
      <c r="L1028" s="2">
        <f>J1028&lt;I1028</f>
        <v/>
      </c>
      <c r="M1028" s="2" t="b">
        <v>1</v>
      </c>
      <c r="N1028" s="2" t="b">
        <v>1</v>
      </c>
      <c r="O1028" s="2" t="inlineStr">
        <is>
          <t>allow</t>
        </is>
      </c>
      <c r="P1028" s="2">
        <f>O1028&lt;&gt;"unknown"</f>
        <v/>
      </c>
    </row>
    <row r="1029">
      <c r="A1029" s="2" t="inlineStr">
        <is>
          <t>1500-on</t>
        </is>
      </c>
      <c r="B1029" s="2" t="n">
        <v>1500</v>
      </c>
      <c r="C1029" s="2" t="inlineStr">
        <is>
          <t>on</t>
        </is>
      </c>
      <c r="D1029" s="2" t="n">
        <v>1448</v>
      </c>
      <c r="E1029" s="2" t="inlineStr">
        <is>
          <t>openssl X25519MLKEM768 only</t>
        </is>
      </c>
      <c r="F1029" s="2" t="b">
        <v>1</v>
      </c>
      <c r="G1029" s="2" t="n">
        <v>8</v>
      </c>
      <c r="H1029" s="2" t="n">
        <v>1485</v>
      </c>
      <c r="I1029" s="2" t="n">
        <v>1485</v>
      </c>
      <c r="J1029" s="2" t="n">
        <v>1443</v>
      </c>
      <c r="K1029" s="2">
        <f>H1029+5&gt;D1029</f>
        <v/>
      </c>
      <c r="L1029" s="2">
        <f>J1029&lt;I1029</f>
        <v/>
      </c>
      <c r="M1029" s="2" t="b">
        <v>1</v>
      </c>
      <c r="N1029" s="2" t="b">
        <v>1</v>
      </c>
      <c r="O1029" s="2" t="inlineStr">
        <is>
          <t>allow</t>
        </is>
      </c>
      <c r="P1029" s="2">
        <f>O1029&lt;&gt;"unknown"</f>
        <v/>
      </c>
    </row>
    <row r="1030">
      <c r="A1030" s="2" t="inlineStr">
        <is>
          <t>1500-on</t>
        </is>
      </c>
      <c r="B1030" s="2" t="n">
        <v>1500</v>
      </c>
      <c r="C1030" s="2" t="inlineStr">
        <is>
          <t>on</t>
        </is>
      </c>
      <c r="D1030" s="2" t="n">
        <v>1448</v>
      </c>
      <c r="E1030" s="2" t="inlineStr">
        <is>
          <t>openssl X25519MLKEM768 only</t>
        </is>
      </c>
      <c r="F1030" s="2" t="b">
        <v>1</v>
      </c>
      <c r="G1030" s="2" t="n">
        <v>9</v>
      </c>
      <c r="H1030" s="2" t="n">
        <v>1485</v>
      </c>
      <c r="I1030" s="2" t="n">
        <v>1485</v>
      </c>
      <c r="J1030" s="2" t="n">
        <v>1443</v>
      </c>
      <c r="K1030" s="2">
        <f>H1030+5&gt;D1030</f>
        <v/>
      </c>
      <c r="L1030" s="2">
        <f>J1030&lt;I1030</f>
        <v/>
      </c>
      <c r="M1030" s="2" t="b">
        <v>1</v>
      </c>
      <c r="N1030" s="2" t="b">
        <v>1</v>
      </c>
      <c r="O1030" s="2" t="inlineStr">
        <is>
          <t>allow</t>
        </is>
      </c>
      <c r="P1030" s="2">
        <f>O1030&lt;&gt;"unknown"</f>
        <v/>
      </c>
    </row>
    <row r="1031">
      <c r="A1031" s="2" t="inlineStr">
        <is>
          <t>1500-on</t>
        </is>
      </c>
      <c r="B1031" s="2" t="n">
        <v>1500</v>
      </c>
      <c r="C1031" s="2" t="inlineStr">
        <is>
          <t>on</t>
        </is>
      </c>
      <c r="D1031" s="2" t="n">
        <v>1448</v>
      </c>
      <c r="E1031" s="2" t="inlineStr">
        <is>
          <t>openssl X25519MLKEM768 only</t>
        </is>
      </c>
      <c r="F1031" s="2" t="b">
        <v>1</v>
      </c>
      <c r="G1031" s="2" t="n">
        <v>10</v>
      </c>
      <c r="H1031" s="2" t="n">
        <v>1485</v>
      </c>
      <c r="I1031" s="2" t="n">
        <v>1485</v>
      </c>
      <c r="J1031" s="2" t="n">
        <v>1443</v>
      </c>
      <c r="K1031" s="2">
        <f>H1031+5&gt;D1031</f>
        <v/>
      </c>
      <c r="L1031" s="2">
        <f>J1031&lt;I1031</f>
        <v/>
      </c>
      <c r="M1031" s="2" t="b">
        <v>1</v>
      </c>
      <c r="N1031" s="2" t="b">
        <v>1</v>
      </c>
      <c r="O1031" s="2" t="inlineStr">
        <is>
          <t>allow</t>
        </is>
      </c>
      <c r="P1031" s="2">
        <f>O1031&lt;&gt;"unknown"</f>
        <v/>
      </c>
    </row>
    <row r="1032">
      <c r="A1032" s="2" t="inlineStr">
        <is>
          <t>1500-on</t>
        </is>
      </c>
      <c r="B1032" s="2" t="n">
        <v>1500</v>
      </c>
      <c r="C1032" s="2" t="inlineStr">
        <is>
          <t>on</t>
        </is>
      </c>
      <c r="D1032" s="2" t="n">
        <v>1448</v>
      </c>
      <c r="E1032" s="2" t="inlineStr">
        <is>
          <t>openssl X25519MLKEM768 only</t>
        </is>
      </c>
      <c r="F1032" s="2" t="b">
        <v>1</v>
      </c>
      <c r="G1032" s="2" t="n">
        <v>11</v>
      </c>
      <c r="H1032" s="2" t="n">
        <v>1485</v>
      </c>
      <c r="I1032" s="2" t="n">
        <v>1485</v>
      </c>
      <c r="J1032" s="2" t="n">
        <v>1443</v>
      </c>
      <c r="K1032" s="2">
        <f>H1032+5&gt;D1032</f>
        <v/>
      </c>
      <c r="L1032" s="2">
        <f>J1032&lt;I1032</f>
        <v/>
      </c>
      <c r="M1032" s="2" t="b">
        <v>1</v>
      </c>
      <c r="N1032" s="2" t="b">
        <v>1</v>
      </c>
      <c r="O1032" s="2" t="inlineStr">
        <is>
          <t>allow</t>
        </is>
      </c>
      <c r="P1032" s="2">
        <f>O1032&lt;&gt;"unknown"</f>
        <v/>
      </c>
    </row>
    <row r="1033">
      <c r="A1033" s="2" t="inlineStr">
        <is>
          <t>1500-on</t>
        </is>
      </c>
      <c r="B1033" s="2" t="n">
        <v>1500</v>
      </c>
      <c r="C1033" s="2" t="inlineStr">
        <is>
          <t>on</t>
        </is>
      </c>
      <c r="D1033" s="2" t="n">
        <v>1448</v>
      </c>
      <c r="E1033" s="2" t="inlineStr">
        <is>
          <t>openssl X25519MLKEM768 only</t>
        </is>
      </c>
      <c r="F1033" s="2" t="b">
        <v>1</v>
      </c>
      <c r="G1033" s="2" t="n">
        <v>12</v>
      </c>
      <c r="H1033" s="2" t="n">
        <v>1485</v>
      </c>
      <c r="I1033" s="2" t="n">
        <v>1485</v>
      </c>
      <c r="J1033" s="2" t="n">
        <v>1443</v>
      </c>
      <c r="K1033" s="2">
        <f>H1033+5&gt;D1033</f>
        <v/>
      </c>
      <c r="L1033" s="2">
        <f>J1033&lt;I1033</f>
        <v/>
      </c>
      <c r="M1033" s="2" t="b">
        <v>1</v>
      </c>
      <c r="N1033" s="2" t="b">
        <v>1</v>
      </c>
      <c r="O1033" s="2" t="inlineStr">
        <is>
          <t>allow</t>
        </is>
      </c>
      <c r="P1033" s="2">
        <f>O1033&lt;&gt;"unknown"</f>
        <v/>
      </c>
    </row>
    <row r="1034">
      <c r="A1034" s="2" t="inlineStr">
        <is>
          <t>1500-on</t>
        </is>
      </c>
      <c r="B1034" s="2" t="n">
        <v>1500</v>
      </c>
      <c r="C1034" s="2" t="inlineStr">
        <is>
          <t>on</t>
        </is>
      </c>
      <c r="D1034" s="2" t="n">
        <v>1448</v>
      </c>
      <c r="E1034" s="2" t="inlineStr">
        <is>
          <t>openssl X25519MLKEM768 only</t>
        </is>
      </c>
      <c r="F1034" s="2" t="b">
        <v>1</v>
      </c>
      <c r="G1034" s="2" t="n">
        <v>13</v>
      </c>
      <c r="H1034" s="2" t="n">
        <v>1485</v>
      </c>
      <c r="I1034" s="2" t="n">
        <v>1485</v>
      </c>
      <c r="J1034" s="2" t="n">
        <v>1443</v>
      </c>
      <c r="K1034" s="2">
        <f>H1034+5&gt;D1034</f>
        <v/>
      </c>
      <c r="L1034" s="2">
        <f>J1034&lt;I1034</f>
        <v/>
      </c>
      <c r="M1034" s="2" t="b">
        <v>1</v>
      </c>
      <c r="N1034" s="2" t="b">
        <v>1</v>
      </c>
      <c r="O1034" s="2" t="inlineStr">
        <is>
          <t>allow</t>
        </is>
      </c>
      <c r="P1034" s="2">
        <f>O1034&lt;&gt;"unknown"</f>
        <v/>
      </c>
    </row>
    <row r="1035">
      <c r="A1035" s="2" t="inlineStr">
        <is>
          <t>1500-on</t>
        </is>
      </c>
      <c r="B1035" s="2" t="n">
        <v>1500</v>
      </c>
      <c r="C1035" s="2" t="inlineStr">
        <is>
          <t>on</t>
        </is>
      </c>
      <c r="D1035" s="2" t="n">
        <v>1448</v>
      </c>
      <c r="E1035" s="2" t="inlineStr">
        <is>
          <t>openssl X25519MLKEM768 only</t>
        </is>
      </c>
      <c r="F1035" s="2" t="b">
        <v>1</v>
      </c>
      <c r="G1035" s="2" t="n">
        <v>14</v>
      </c>
      <c r="H1035" s="2" t="n">
        <v>1485</v>
      </c>
      <c r="I1035" s="2" t="n">
        <v>1485</v>
      </c>
      <c r="J1035" s="2" t="n">
        <v>1443</v>
      </c>
      <c r="K1035" s="2">
        <f>H1035+5&gt;D1035</f>
        <v/>
      </c>
      <c r="L1035" s="2">
        <f>J1035&lt;I1035</f>
        <v/>
      </c>
      <c r="M1035" s="2" t="b">
        <v>1</v>
      </c>
      <c r="N1035" s="2" t="b">
        <v>1</v>
      </c>
      <c r="O1035" s="2" t="inlineStr">
        <is>
          <t>allow</t>
        </is>
      </c>
      <c r="P1035" s="2">
        <f>O1035&lt;&gt;"unknown"</f>
        <v/>
      </c>
    </row>
    <row r="1036">
      <c r="A1036" s="2" t="inlineStr">
        <is>
          <t>1500-on</t>
        </is>
      </c>
      <c r="B1036" s="2" t="n">
        <v>1500</v>
      </c>
      <c r="C1036" s="2" t="inlineStr">
        <is>
          <t>on</t>
        </is>
      </c>
      <c r="D1036" s="2" t="n">
        <v>1448</v>
      </c>
      <c r="E1036" s="2" t="inlineStr">
        <is>
          <t>openssl X25519MLKEM768 only</t>
        </is>
      </c>
      <c r="F1036" s="2" t="b">
        <v>1</v>
      </c>
      <c r="G1036" s="2" t="n">
        <v>15</v>
      </c>
      <c r="H1036" s="2" t="n">
        <v>1485</v>
      </c>
      <c r="I1036" s="2" t="n">
        <v>1485</v>
      </c>
      <c r="J1036" s="2" t="n">
        <v>1443</v>
      </c>
      <c r="K1036" s="2">
        <f>H1036+5&gt;D1036</f>
        <v/>
      </c>
      <c r="L1036" s="2">
        <f>J1036&lt;I1036</f>
        <v/>
      </c>
      <c r="M1036" s="2" t="b">
        <v>1</v>
      </c>
      <c r="N1036" s="2" t="b">
        <v>1</v>
      </c>
      <c r="O1036" s="2" t="inlineStr">
        <is>
          <t>allow</t>
        </is>
      </c>
      <c r="P1036" s="2">
        <f>O1036&lt;&gt;"unknown"</f>
        <v/>
      </c>
    </row>
    <row r="1037">
      <c r="A1037" s="2" t="inlineStr">
        <is>
          <t>1500-on</t>
        </is>
      </c>
      <c r="B1037" s="2" t="n">
        <v>1500</v>
      </c>
      <c r="C1037" s="2" t="inlineStr">
        <is>
          <t>on</t>
        </is>
      </c>
      <c r="D1037" s="2" t="n">
        <v>1448</v>
      </c>
      <c r="E1037" s="2" t="inlineStr">
        <is>
          <t>openssl X25519MLKEM768 only</t>
        </is>
      </c>
      <c r="F1037" s="2" t="b">
        <v>1</v>
      </c>
      <c r="G1037" s="2" t="n">
        <v>16</v>
      </c>
      <c r="H1037" s="2" t="n">
        <v>1485</v>
      </c>
      <c r="I1037" s="2" t="n">
        <v>1485</v>
      </c>
      <c r="J1037" s="2" t="n">
        <v>1443</v>
      </c>
      <c r="K1037" s="2">
        <f>H1037+5&gt;D1037</f>
        <v/>
      </c>
      <c r="L1037" s="2">
        <f>J1037&lt;I1037</f>
        <v/>
      </c>
      <c r="M1037" s="2" t="b">
        <v>1</v>
      </c>
      <c r="N1037" s="2" t="b">
        <v>1</v>
      </c>
      <c r="O1037" s="2" t="inlineStr">
        <is>
          <t>allow</t>
        </is>
      </c>
      <c r="P1037" s="2">
        <f>O1037&lt;&gt;"unknown"</f>
        <v/>
      </c>
    </row>
    <row r="1038">
      <c r="A1038" s="2" t="inlineStr">
        <is>
          <t>1500-on</t>
        </is>
      </c>
      <c r="B1038" s="2" t="n">
        <v>1500</v>
      </c>
      <c r="C1038" s="2" t="inlineStr">
        <is>
          <t>on</t>
        </is>
      </c>
      <c r="D1038" s="2" t="n">
        <v>1448</v>
      </c>
      <c r="E1038" s="2" t="inlineStr">
        <is>
          <t>openssl X25519MLKEM768 only</t>
        </is>
      </c>
      <c r="F1038" s="2" t="b">
        <v>1</v>
      </c>
      <c r="G1038" s="2" t="n">
        <v>17</v>
      </c>
      <c r="H1038" s="2" t="n">
        <v>1485</v>
      </c>
      <c r="I1038" s="2" t="n">
        <v>1485</v>
      </c>
      <c r="J1038" s="2" t="n">
        <v>1443</v>
      </c>
      <c r="K1038" s="2">
        <f>H1038+5&gt;D1038</f>
        <v/>
      </c>
      <c r="L1038" s="2">
        <f>J1038&lt;I1038</f>
        <v/>
      </c>
      <c r="M1038" s="2" t="b">
        <v>1</v>
      </c>
      <c r="N1038" s="2" t="b">
        <v>1</v>
      </c>
      <c r="O1038" s="2" t="inlineStr">
        <is>
          <t>allow</t>
        </is>
      </c>
      <c r="P1038" s="2">
        <f>O1038&lt;&gt;"unknown"</f>
        <v/>
      </c>
    </row>
    <row r="1039">
      <c r="A1039" s="2" t="inlineStr">
        <is>
          <t>1500-on</t>
        </is>
      </c>
      <c r="B1039" s="2" t="n">
        <v>1500</v>
      </c>
      <c r="C1039" s="2" t="inlineStr">
        <is>
          <t>on</t>
        </is>
      </c>
      <c r="D1039" s="2" t="n">
        <v>1448</v>
      </c>
      <c r="E1039" s="2" t="inlineStr">
        <is>
          <t>openssl X25519MLKEM768 only</t>
        </is>
      </c>
      <c r="F1039" s="2" t="b">
        <v>1</v>
      </c>
      <c r="G1039" s="2" t="n">
        <v>18</v>
      </c>
      <c r="H1039" s="2" t="n">
        <v>1485</v>
      </c>
      <c r="I1039" s="2" t="n">
        <v>1485</v>
      </c>
      <c r="J1039" s="2" t="n">
        <v>1443</v>
      </c>
      <c r="K1039" s="2">
        <f>H1039+5&gt;D1039</f>
        <v/>
      </c>
      <c r="L1039" s="2">
        <f>J1039&lt;I1039</f>
        <v/>
      </c>
      <c r="M1039" s="2" t="b">
        <v>1</v>
      </c>
      <c r="N1039" s="2" t="b">
        <v>1</v>
      </c>
      <c r="O1039" s="2" t="inlineStr">
        <is>
          <t>allow</t>
        </is>
      </c>
      <c r="P1039" s="2">
        <f>O1039&lt;&gt;"unknown"</f>
        <v/>
      </c>
    </row>
    <row r="1040">
      <c r="A1040" s="2" t="inlineStr">
        <is>
          <t>1500-on</t>
        </is>
      </c>
      <c r="B1040" s="2" t="n">
        <v>1500</v>
      </c>
      <c r="C1040" s="2" t="inlineStr">
        <is>
          <t>on</t>
        </is>
      </c>
      <c r="D1040" s="2" t="n">
        <v>1448</v>
      </c>
      <c r="E1040" s="2" t="inlineStr">
        <is>
          <t>openssl X25519MLKEM768 only</t>
        </is>
      </c>
      <c r="F1040" s="2" t="b">
        <v>1</v>
      </c>
      <c r="G1040" s="2" t="n">
        <v>19</v>
      </c>
      <c r="H1040" s="2" t="n">
        <v>1485</v>
      </c>
      <c r="I1040" s="2" t="n">
        <v>1485</v>
      </c>
      <c r="J1040" s="2" t="n">
        <v>1443</v>
      </c>
      <c r="K1040" s="2">
        <f>H1040+5&gt;D1040</f>
        <v/>
      </c>
      <c r="L1040" s="2">
        <f>J1040&lt;I1040</f>
        <v/>
      </c>
      <c r="M1040" s="2" t="b">
        <v>1</v>
      </c>
      <c r="N1040" s="2" t="b">
        <v>1</v>
      </c>
      <c r="O1040" s="2" t="inlineStr">
        <is>
          <t>allow</t>
        </is>
      </c>
      <c r="P1040" s="2">
        <f>O1040&lt;&gt;"unknown"</f>
        <v/>
      </c>
    </row>
    <row r="1041">
      <c r="A1041" s="2" t="inlineStr">
        <is>
          <t>1500-on</t>
        </is>
      </c>
      <c r="B1041" s="2" t="n">
        <v>1500</v>
      </c>
      <c r="C1041" s="2" t="inlineStr">
        <is>
          <t>on</t>
        </is>
      </c>
      <c r="D1041" s="2" t="n">
        <v>1448</v>
      </c>
      <c r="E1041" s="2" t="inlineStr">
        <is>
          <t>openssl X25519MLKEM768 only</t>
        </is>
      </c>
      <c r="F1041" s="2" t="b">
        <v>1</v>
      </c>
      <c r="G1041" s="2" t="n">
        <v>20</v>
      </c>
      <c r="H1041" s="2" t="n">
        <v>1485</v>
      </c>
      <c r="I1041" s="2" t="n">
        <v>1485</v>
      </c>
      <c r="J1041" s="2" t="n">
        <v>1443</v>
      </c>
      <c r="K1041" s="2">
        <f>H1041+5&gt;D1041</f>
        <v/>
      </c>
      <c r="L1041" s="2">
        <f>J1041&lt;I1041</f>
        <v/>
      </c>
      <c r="M1041" s="2" t="b">
        <v>1</v>
      </c>
      <c r="N1041" s="2" t="b">
        <v>1</v>
      </c>
      <c r="O1041" s="2" t="inlineStr">
        <is>
          <t>allow</t>
        </is>
      </c>
      <c r="P1041" s="2">
        <f>O1041&lt;&gt;"unknown"</f>
        <v/>
      </c>
    </row>
    <row r="1042">
      <c r="A1042" s="2" t="inlineStr">
        <is>
          <t>1500-on</t>
        </is>
      </c>
      <c r="B1042" s="2" t="n">
        <v>1500</v>
      </c>
      <c r="C1042" s="2" t="inlineStr">
        <is>
          <t>on</t>
        </is>
      </c>
      <c r="D1042" s="2" t="n">
        <v>1448</v>
      </c>
      <c r="E1042" s="2" t="inlineStr">
        <is>
          <t>openssl SecP256r1MLKEM768</t>
        </is>
      </c>
      <c r="F1042" s="2" t="b">
        <v>1</v>
      </c>
      <c r="G1042" s="2" t="n">
        <v>1</v>
      </c>
      <c r="H1042" s="2" t="n">
        <v>1518</v>
      </c>
      <c r="I1042" s="2" t="n">
        <v>1518</v>
      </c>
      <c r="J1042" s="2" t="n">
        <v>1443</v>
      </c>
      <c r="K1042" s="2">
        <f>H1042+5&gt;D1042</f>
        <v/>
      </c>
      <c r="L1042" s="2">
        <f>J1042&lt;I1042</f>
        <v/>
      </c>
      <c r="M1042" s="2" t="b">
        <v>1</v>
      </c>
      <c r="N1042" s="2" t="b">
        <v>1</v>
      </c>
      <c r="O1042" s="2" t="inlineStr">
        <is>
          <t>allow</t>
        </is>
      </c>
      <c r="P1042" s="2">
        <f>O1042&lt;&gt;"unknown"</f>
        <v/>
      </c>
    </row>
    <row r="1043">
      <c r="A1043" s="2" t="inlineStr">
        <is>
          <t>1500-on</t>
        </is>
      </c>
      <c r="B1043" s="2" t="n">
        <v>1500</v>
      </c>
      <c r="C1043" s="2" t="inlineStr">
        <is>
          <t>on</t>
        </is>
      </c>
      <c r="D1043" s="2" t="n">
        <v>1448</v>
      </c>
      <c r="E1043" s="2" t="inlineStr">
        <is>
          <t>openssl SecP256r1MLKEM768</t>
        </is>
      </c>
      <c r="F1043" s="2" t="b">
        <v>1</v>
      </c>
      <c r="G1043" s="2" t="n">
        <v>2</v>
      </c>
      <c r="H1043" s="2" t="n">
        <v>1518</v>
      </c>
      <c r="I1043" s="2" t="n">
        <v>1518</v>
      </c>
      <c r="J1043" s="2" t="n">
        <v>1443</v>
      </c>
      <c r="K1043" s="2">
        <f>H1043+5&gt;D1043</f>
        <v/>
      </c>
      <c r="L1043" s="2">
        <f>J1043&lt;I1043</f>
        <v/>
      </c>
      <c r="M1043" s="2" t="b">
        <v>1</v>
      </c>
      <c r="N1043" s="2" t="b">
        <v>1</v>
      </c>
      <c r="O1043" s="2" t="inlineStr">
        <is>
          <t>allow</t>
        </is>
      </c>
      <c r="P1043" s="2">
        <f>O1043&lt;&gt;"unknown"</f>
        <v/>
      </c>
    </row>
    <row r="1044">
      <c r="A1044" s="2" t="inlineStr">
        <is>
          <t>1500-on</t>
        </is>
      </c>
      <c r="B1044" s="2" t="n">
        <v>1500</v>
      </c>
      <c r="C1044" s="2" t="inlineStr">
        <is>
          <t>on</t>
        </is>
      </c>
      <c r="D1044" s="2" t="n">
        <v>1448</v>
      </c>
      <c r="E1044" s="2" t="inlineStr">
        <is>
          <t>openssl SecP256r1MLKEM768</t>
        </is>
      </c>
      <c r="F1044" s="2" t="b">
        <v>1</v>
      </c>
      <c r="G1044" s="2" t="n">
        <v>3</v>
      </c>
      <c r="H1044" s="2" t="n">
        <v>1518</v>
      </c>
      <c r="I1044" s="2" t="n">
        <v>1518</v>
      </c>
      <c r="J1044" s="2" t="n">
        <v>1443</v>
      </c>
      <c r="K1044" s="2">
        <f>H1044+5&gt;D1044</f>
        <v/>
      </c>
      <c r="L1044" s="2">
        <f>J1044&lt;I1044</f>
        <v/>
      </c>
      <c r="M1044" s="2" t="b">
        <v>1</v>
      </c>
      <c r="N1044" s="2" t="b">
        <v>1</v>
      </c>
      <c r="O1044" s="2" t="inlineStr">
        <is>
          <t>allow</t>
        </is>
      </c>
      <c r="P1044" s="2">
        <f>O1044&lt;&gt;"unknown"</f>
        <v/>
      </c>
    </row>
    <row r="1045">
      <c r="A1045" s="2" t="inlineStr">
        <is>
          <t>1500-on</t>
        </is>
      </c>
      <c r="B1045" s="2" t="n">
        <v>1500</v>
      </c>
      <c r="C1045" s="2" t="inlineStr">
        <is>
          <t>on</t>
        </is>
      </c>
      <c r="D1045" s="2" t="n">
        <v>1448</v>
      </c>
      <c r="E1045" s="2" t="inlineStr">
        <is>
          <t>openssl SecP256r1MLKEM768</t>
        </is>
      </c>
      <c r="F1045" s="2" t="b">
        <v>1</v>
      </c>
      <c r="G1045" s="2" t="n">
        <v>4</v>
      </c>
      <c r="H1045" s="2" t="n">
        <v>1518</v>
      </c>
      <c r="I1045" s="2" t="n">
        <v>1518</v>
      </c>
      <c r="J1045" s="2" t="n">
        <v>1443</v>
      </c>
      <c r="K1045" s="2">
        <f>H1045+5&gt;D1045</f>
        <v/>
      </c>
      <c r="L1045" s="2">
        <f>J1045&lt;I1045</f>
        <v/>
      </c>
      <c r="M1045" s="2" t="b">
        <v>1</v>
      </c>
      <c r="N1045" s="2" t="b">
        <v>1</v>
      </c>
      <c r="O1045" s="2" t="inlineStr">
        <is>
          <t>allow</t>
        </is>
      </c>
      <c r="P1045" s="2">
        <f>O1045&lt;&gt;"unknown"</f>
        <v/>
      </c>
    </row>
    <row r="1046">
      <c r="A1046" s="2" t="inlineStr">
        <is>
          <t>1500-on</t>
        </is>
      </c>
      <c r="B1046" s="2" t="n">
        <v>1500</v>
      </c>
      <c r="C1046" s="2" t="inlineStr">
        <is>
          <t>on</t>
        </is>
      </c>
      <c r="D1046" s="2" t="n">
        <v>1448</v>
      </c>
      <c r="E1046" s="2" t="inlineStr">
        <is>
          <t>openssl SecP256r1MLKEM768</t>
        </is>
      </c>
      <c r="F1046" s="2" t="b">
        <v>1</v>
      </c>
      <c r="G1046" s="2" t="n">
        <v>5</v>
      </c>
      <c r="H1046" s="2" t="n">
        <v>1518</v>
      </c>
      <c r="I1046" s="2" t="n">
        <v>1518</v>
      </c>
      <c r="J1046" s="2" t="n">
        <v>1443</v>
      </c>
      <c r="K1046" s="2">
        <f>H1046+5&gt;D1046</f>
        <v/>
      </c>
      <c r="L1046" s="2">
        <f>J1046&lt;I1046</f>
        <v/>
      </c>
      <c r="M1046" s="2" t="b">
        <v>1</v>
      </c>
      <c r="N1046" s="2" t="b">
        <v>1</v>
      </c>
      <c r="O1046" s="2" t="inlineStr">
        <is>
          <t>allow</t>
        </is>
      </c>
      <c r="P1046" s="2">
        <f>O1046&lt;&gt;"unknown"</f>
        <v/>
      </c>
    </row>
    <row r="1047">
      <c r="A1047" s="2" t="inlineStr">
        <is>
          <t>1500-on</t>
        </is>
      </c>
      <c r="B1047" s="2" t="n">
        <v>1500</v>
      </c>
      <c r="C1047" s="2" t="inlineStr">
        <is>
          <t>on</t>
        </is>
      </c>
      <c r="D1047" s="2" t="n">
        <v>1448</v>
      </c>
      <c r="E1047" s="2" t="inlineStr">
        <is>
          <t>openssl SecP256r1MLKEM768</t>
        </is>
      </c>
      <c r="F1047" s="2" t="b">
        <v>1</v>
      </c>
      <c r="G1047" s="2" t="n">
        <v>6</v>
      </c>
      <c r="H1047" s="2" t="n">
        <v>1518</v>
      </c>
      <c r="I1047" s="2" t="n">
        <v>1518</v>
      </c>
      <c r="J1047" s="2" t="n">
        <v>1443</v>
      </c>
      <c r="K1047" s="2">
        <f>H1047+5&gt;D1047</f>
        <v/>
      </c>
      <c r="L1047" s="2">
        <f>J1047&lt;I1047</f>
        <v/>
      </c>
      <c r="M1047" s="2" t="b">
        <v>1</v>
      </c>
      <c r="N1047" s="2" t="b">
        <v>1</v>
      </c>
      <c r="O1047" s="2" t="inlineStr">
        <is>
          <t>allow</t>
        </is>
      </c>
      <c r="P1047" s="2">
        <f>O1047&lt;&gt;"unknown"</f>
        <v/>
      </c>
    </row>
    <row r="1048">
      <c r="A1048" s="2" t="inlineStr">
        <is>
          <t>1500-on</t>
        </is>
      </c>
      <c r="B1048" s="2" t="n">
        <v>1500</v>
      </c>
      <c r="C1048" s="2" t="inlineStr">
        <is>
          <t>on</t>
        </is>
      </c>
      <c r="D1048" s="2" t="n">
        <v>1448</v>
      </c>
      <c r="E1048" s="2" t="inlineStr">
        <is>
          <t>openssl SecP256r1MLKEM768</t>
        </is>
      </c>
      <c r="F1048" s="2" t="b">
        <v>1</v>
      </c>
      <c r="G1048" s="2" t="n">
        <v>7</v>
      </c>
      <c r="H1048" s="2" t="n">
        <v>1518</v>
      </c>
      <c r="I1048" s="2" t="n">
        <v>1518</v>
      </c>
      <c r="J1048" s="2" t="n">
        <v>1443</v>
      </c>
      <c r="K1048" s="2">
        <f>H1048+5&gt;D1048</f>
        <v/>
      </c>
      <c r="L1048" s="2">
        <f>J1048&lt;I1048</f>
        <v/>
      </c>
      <c r="M1048" s="2" t="b">
        <v>1</v>
      </c>
      <c r="N1048" s="2" t="b">
        <v>1</v>
      </c>
      <c r="O1048" s="2" t="inlineStr">
        <is>
          <t>allow</t>
        </is>
      </c>
      <c r="P1048" s="2">
        <f>O1048&lt;&gt;"unknown"</f>
        <v/>
      </c>
    </row>
    <row r="1049">
      <c r="A1049" s="2" t="inlineStr">
        <is>
          <t>1500-on</t>
        </is>
      </c>
      <c r="B1049" s="2" t="n">
        <v>1500</v>
      </c>
      <c r="C1049" s="2" t="inlineStr">
        <is>
          <t>on</t>
        </is>
      </c>
      <c r="D1049" s="2" t="n">
        <v>1448</v>
      </c>
      <c r="E1049" s="2" t="inlineStr">
        <is>
          <t>openssl SecP256r1MLKEM768</t>
        </is>
      </c>
      <c r="F1049" s="2" t="b">
        <v>1</v>
      </c>
      <c r="G1049" s="2" t="n">
        <v>8</v>
      </c>
      <c r="H1049" s="2" t="n">
        <v>1518</v>
      </c>
      <c r="I1049" s="2" t="n">
        <v>1518</v>
      </c>
      <c r="J1049" s="2" t="n">
        <v>1443</v>
      </c>
      <c r="K1049" s="2">
        <f>H1049+5&gt;D1049</f>
        <v/>
      </c>
      <c r="L1049" s="2">
        <f>J1049&lt;I1049</f>
        <v/>
      </c>
      <c r="M1049" s="2" t="b">
        <v>1</v>
      </c>
      <c r="N1049" s="2" t="b">
        <v>1</v>
      </c>
      <c r="O1049" s="2" t="inlineStr">
        <is>
          <t>allow</t>
        </is>
      </c>
      <c r="P1049" s="2">
        <f>O1049&lt;&gt;"unknown"</f>
        <v/>
      </c>
    </row>
    <row r="1050">
      <c r="A1050" s="2" t="inlineStr">
        <is>
          <t>1500-on</t>
        </is>
      </c>
      <c r="B1050" s="2" t="n">
        <v>1500</v>
      </c>
      <c r="C1050" s="2" t="inlineStr">
        <is>
          <t>on</t>
        </is>
      </c>
      <c r="D1050" s="2" t="n">
        <v>1448</v>
      </c>
      <c r="E1050" s="2" t="inlineStr">
        <is>
          <t>openssl SecP256r1MLKEM768</t>
        </is>
      </c>
      <c r="F1050" s="2" t="b">
        <v>1</v>
      </c>
      <c r="G1050" s="2" t="n">
        <v>9</v>
      </c>
      <c r="H1050" s="2" t="n">
        <v>1518</v>
      </c>
      <c r="I1050" s="2" t="n">
        <v>1518</v>
      </c>
      <c r="J1050" s="2" t="n">
        <v>1443</v>
      </c>
      <c r="K1050" s="2">
        <f>H1050+5&gt;D1050</f>
        <v/>
      </c>
      <c r="L1050" s="2">
        <f>J1050&lt;I1050</f>
        <v/>
      </c>
      <c r="M1050" s="2" t="b">
        <v>1</v>
      </c>
      <c r="N1050" s="2" t="b">
        <v>1</v>
      </c>
      <c r="O1050" s="2" t="inlineStr">
        <is>
          <t>allow</t>
        </is>
      </c>
      <c r="P1050" s="2">
        <f>O1050&lt;&gt;"unknown"</f>
        <v/>
      </c>
    </row>
    <row r="1051">
      <c r="A1051" s="2" t="inlineStr">
        <is>
          <t>1500-on</t>
        </is>
      </c>
      <c r="B1051" s="2" t="n">
        <v>1500</v>
      </c>
      <c r="C1051" s="2" t="inlineStr">
        <is>
          <t>on</t>
        </is>
      </c>
      <c r="D1051" s="2" t="n">
        <v>1448</v>
      </c>
      <c r="E1051" s="2" t="inlineStr">
        <is>
          <t>openssl SecP256r1MLKEM768</t>
        </is>
      </c>
      <c r="F1051" s="2" t="b">
        <v>1</v>
      </c>
      <c r="G1051" s="2" t="n">
        <v>10</v>
      </c>
      <c r="H1051" s="2" t="n">
        <v>1518</v>
      </c>
      <c r="I1051" s="2" t="n">
        <v>1518</v>
      </c>
      <c r="J1051" s="2" t="n">
        <v>1443</v>
      </c>
      <c r="K1051" s="2">
        <f>H1051+5&gt;D1051</f>
        <v/>
      </c>
      <c r="L1051" s="2">
        <f>J1051&lt;I1051</f>
        <v/>
      </c>
      <c r="M1051" s="2" t="b">
        <v>1</v>
      </c>
      <c r="N1051" s="2" t="b">
        <v>1</v>
      </c>
      <c r="O1051" s="2" t="inlineStr">
        <is>
          <t>allow</t>
        </is>
      </c>
      <c r="P1051" s="2">
        <f>O1051&lt;&gt;"unknown"</f>
        <v/>
      </c>
    </row>
    <row r="1052">
      <c r="A1052" s="2" t="inlineStr">
        <is>
          <t>1500-on</t>
        </is>
      </c>
      <c r="B1052" s="2" t="n">
        <v>1500</v>
      </c>
      <c r="C1052" s="2" t="inlineStr">
        <is>
          <t>on</t>
        </is>
      </c>
      <c r="D1052" s="2" t="n">
        <v>1448</v>
      </c>
      <c r="E1052" s="2" t="inlineStr">
        <is>
          <t>openssl SecP256r1MLKEM768</t>
        </is>
      </c>
      <c r="F1052" s="2" t="b">
        <v>1</v>
      </c>
      <c r="G1052" s="2" t="n">
        <v>11</v>
      </c>
      <c r="H1052" s="2" t="n">
        <v>1518</v>
      </c>
      <c r="I1052" s="2" t="n">
        <v>1518</v>
      </c>
      <c r="J1052" s="2" t="n">
        <v>1443</v>
      </c>
      <c r="K1052" s="2">
        <f>H1052+5&gt;D1052</f>
        <v/>
      </c>
      <c r="L1052" s="2">
        <f>J1052&lt;I1052</f>
        <v/>
      </c>
      <c r="M1052" s="2" t="b">
        <v>1</v>
      </c>
      <c r="N1052" s="2" t="b">
        <v>1</v>
      </c>
      <c r="O1052" s="2" t="inlineStr">
        <is>
          <t>allow</t>
        </is>
      </c>
      <c r="P1052" s="2">
        <f>O1052&lt;&gt;"unknown"</f>
        <v/>
      </c>
    </row>
    <row r="1053">
      <c r="A1053" s="2" t="inlineStr">
        <is>
          <t>1500-on</t>
        </is>
      </c>
      <c r="B1053" s="2" t="n">
        <v>1500</v>
      </c>
      <c r="C1053" s="2" t="inlineStr">
        <is>
          <t>on</t>
        </is>
      </c>
      <c r="D1053" s="2" t="n">
        <v>1448</v>
      </c>
      <c r="E1053" s="2" t="inlineStr">
        <is>
          <t>openssl SecP256r1MLKEM768</t>
        </is>
      </c>
      <c r="F1053" s="2" t="b">
        <v>1</v>
      </c>
      <c r="G1053" s="2" t="n">
        <v>12</v>
      </c>
      <c r="H1053" s="2" t="n">
        <v>1518</v>
      </c>
      <c r="I1053" s="2" t="n">
        <v>1518</v>
      </c>
      <c r="J1053" s="2" t="n">
        <v>1443</v>
      </c>
      <c r="K1053" s="2">
        <f>H1053+5&gt;D1053</f>
        <v/>
      </c>
      <c r="L1053" s="2">
        <f>J1053&lt;I1053</f>
        <v/>
      </c>
      <c r="M1053" s="2" t="b">
        <v>1</v>
      </c>
      <c r="N1053" s="2" t="b">
        <v>1</v>
      </c>
      <c r="O1053" s="2" t="inlineStr">
        <is>
          <t>allow</t>
        </is>
      </c>
      <c r="P1053" s="2">
        <f>O1053&lt;&gt;"unknown"</f>
        <v/>
      </c>
    </row>
    <row r="1054">
      <c r="A1054" s="2" t="inlineStr">
        <is>
          <t>1500-on</t>
        </is>
      </c>
      <c r="B1054" s="2" t="n">
        <v>1500</v>
      </c>
      <c r="C1054" s="2" t="inlineStr">
        <is>
          <t>on</t>
        </is>
      </c>
      <c r="D1054" s="2" t="n">
        <v>1448</v>
      </c>
      <c r="E1054" s="2" t="inlineStr">
        <is>
          <t>openssl SecP256r1MLKEM768</t>
        </is>
      </c>
      <c r="F1054" s="2" t="b">
        <v>1</v>
      </c>
      <c r="G1054" s="2" t="n">
        <v>13</v>
      </c>
      <c r="H1054" s="2" t="n">
        <v>1518</v>
      </c>
      <c r="I1054" s="2" t="n">
        <v>1518</v>
      </c>
      <c r="J1054" s="2" t="n">
        <v>1443</v>
      </c>
      <c r="K1054" s="2">
        <f>H1054+5&gt;D1054</f>
        <v/>
      </c>
      <c r="L1054" s="2">
        <f>J1054&lt;I1054</f>
        <v/>
      </c>
      <c r="M1054" s="2" t="b">
        <v>1</v>
      </c>
      <c r="N1054" s="2" t="b">
        <v>1</v>
      </c>
      <c r="O1054" s="2" t="inlineStr">
        <is>
          <t>allow</t>
        </is>
      </c>
      <c r="P1054" s="2">
        <f>O1054&lt;&gt;"unknown"</f>
        <v/>
      </c>
    </row>
    <row r="1055">
      <c r="A1055" s="2" t="inlineStr">
        <is>
          <t>1500-on</t>
        </is>
      </c>
      <c r="B1055" s="2" t="n">
        <v>1500</v>
      </c>
      <c r="C1055" s="2" t="inlineStr">
        <is>
          <t>on</t>
        </is>
      </c>
      <c r="D1055" s="2" t="n">
        <v>1448</v>
      </c>
      <c r="E1055" s="2" t="inlineStr">
        <is>
          <t>openssl SecP256r1MLKEM768</t>
        </is>
      </c>
      <c r="F1055" s="2" t="b">
        <v>1</v>
      </c>
      <c r="G1055" s="2" t="n">
        <v>14</v>
      </c>
      <c r="H1055" s="2" t="n">
        <v>1518</v>
      </c>
      <c r="I1055" s="2" t="n">
        <v>1518</v>
      </c>
      <c r="J1055" s="2" t="n">
        <v>1443</v>
      </c>
      <c r="K1055" s="2">
        <f>H1055+5&gt;D1055</f>
        <v/>
      </c>
      <c r="L1055" s="2">
        <f>J1055&lt;I1055</f>
        <v/>
      </c>
      <c r="M1055" s="2" t="b">
        <v>1</v>
      </c>
      <c r="N1055" s="2" t="b">
        <v>1</v>
      </c>
      <c r="O1055" s="2" t="inlineStr">
        <is>
          <t>allow</t>
        </is>
      </c>
      <c r="P1055" s="2">
        <f>O1055&lt;&gt;"unknown"</f>
        <v/>
      </c>
    </row>
    <row r="1056">
      <c r="A1056" s="2" t="inlineStr">
        <is>
          <t>1500-on</t>
        </is>
      </c>
      <c r="B1056" s="2" t="n">
        <v>1500</v>
      </c>
      <c r="C1056" s="2" t="inlineStr">
        <is>
          <t>on</t>
        </is>
      </c>
      <c r="D1056" s="2" t="n">
        <v>1448</v>
      </c>
      <c r="E1056" s="2" t="inlineStr">
        <is>
          <t>openssl SecP256r1MLKEM768</t>
        </is>
      </c>
      <c r="F1056" s="2" t="b">
        <v>1</v>
      </c>
      <c r="G1056" s="2" t="n">
        <v>15</v>
      </c>
      <c r="H1056" s="2" t="n">
        <v>1518</v>
      </c>
      <c r="I1056" s="2" t="n">
        <v>1518</v>
      </c>
      <c r="J1056" s="2" t="n">
        <v>1443</v>
      </c>
      <c r="K1056" s="2">
        <f>H1056+5&gt;D1056</f>
        <v/>
      </c>
      <c r="L1056" s="2">
        <f>J1056&lt;I1056</f>
        <v/>
      </c>
      <c r="M1056" s="2" t="b">
        <v>1</v>
      </c>
      <c r="N1056" s="2" t="b">
        <v>1</v>
      </c>
      <c r="O1056" s="2" t="inlineStr">
        <is>
          <t>allow</t>
        </is>
      </c>
      <c r="P1056" s="2">
        <f>O1056&lt;&gt;"unknown"</f>
        <v/>
      </c>
    </row>
    <row r="1057">
      <c r="A1057" s="2" t="inlineStr">
        <is>
          <t>1500-on</t>
        </is>
      </c>
      <c r="B1057" s="2" t="n">
        <v>1500</v>
      </c>
      <c r="C1057" s="2" t="inlineStr">
        <is>
          <t>on</t>
        </is>
      </c>
      <c r="D1057" s="2" t="n">
        <v>1448</v>
      </c>
      <c r="E1057" s="2" t="inlineStr">
        <is>
          <t>openssl SecP256r1MLKEM768</t>
        </is>
      </c>
      <c r="F1057" s="2" t="b">
        <v>1</v>
      </c>
      <c r="G1057" s="2" t="n">
        <v>16</v>
      </c>
      <c r="H1057" s="2" t="n">
        <v>1518</v>
      </c>
      <c r="I1057" s="2" t="n">
        <v>1518</v>
      </c>
      <c r="J1057" s="2" t="n">
        <v>1443</v>
      </c>
      <c r="K1057" s="2">
        <f>H1057+5&gt;D1057</f>
        <v/>
      </c>
      <c r="L1057" s="2">
        <f>J1057&lt;I1057</f>
        <v/>
      </c>
      <c r="M1057" s="2" t="b">
        <v>1</v>
      </c>
      <c r="N1057" s="2" t="b">
        <v>1</v>
      </c>
      <c r="O1057" s="2" t="inlineStr">
        <is>
          <t>allow</t>
        </is>
      </c>
      <c r="P1057" s="2">
        <f>O1057&lt;&gt;"unknown"</f>
        <v/>
      </c>
    </row>
    <row r="1058">
      <c r="A1058" s="2" t="inlineStr">
        <is>
          <t>1500-on</t>
        </is>
      </c>
      <c r="B1058" s="2" t="n">
        <v>1500</v>
      </c>
      <c r="C1058" s="2" t="inlineStr">
        <is>
          <t>on</t>
        </is>
      </c>
      <c r="D1058" s="2" t="n">
        <v>1448</v>
      </c>
      <c r="E1058" s="2" t="inlineStr">
        <is>
          <t>openssl SecP256r1MLKEM768</t>
        </is>
      </c>
      <c r="F1058" s="2" t="b">
        <v>1</v>
      </c>
      <c r="G1058" s="2" t="n">
        <v>17</v>
      </c>
      <c r="H1058" s="2" t="n">
        <v>1518</v>
      </c>
      <c r="I1058" s="2" t="n">
        <v>1518</v>
      </c>
      <c r="J1058" s="2" t="n">
        <v>1443</v>
      </c>
      <c r="K1058" s="2">
        <f>H1058+5&gt;D1058</f>
        <v/>
      </c>
      <c r="L1058" s="2">
        <f>J1058&lt;I1058</f>
        <v/>
      </c>
      <c r="M1058" s="2" t="b">
        <v>1</v>
      </c>
      <c r="N1058" s="2" t="b">
        <v>1</v>
      </c>
      <c r="O1058" s="2" t="inlineStr">
        <is>
          <t>allow</t>
        </is>
      </c>
      <c r="P1058" s="2">
        <f>O1058&lt;&gt;"unknown"</f>
        <v/>
      </c>
    </row>
    <row r="1059">
      <c r="A1059" s="2" t="inlineStr">
        <is>
          <t>1500-on</t>
        </is>
      </c>
      <c r="B1059" s="2" t="n">
        <v>1500</v>
      </c>
      <c r="C1059" s="2" t="inlineStr">
        <is>
          <t>on</t>
        </is>
      </c>
      <c r="D1059" s="2" t="n">
        <v>1448</v>
      </c>
      <c r="E1059" s="2" t="inlineStr">
        <is>
          <t>openssl SecP256r1MLKEM768</t>
        </is>
      </c>
      <c r="F1059" s="2" t="b">
        <v>1</v>
      </c>
      <c r="G1059" s="2" t="n">
        <v>18</v>
      </c>
      <c r="H1059" s="2" t="n">
        <v>1518</v>
      </c>
      <c r="I1059" s="2" t="n">
        <v>1518</v>
      </c>
      <c r="J1059" s="2" t="n">
        <v>1443</v>
      </c>
      <c r="K1059" s="2">
        <f>H1059+5&gt;D1059</f>
        <v/>
      </c>
      <c r="L1059" s="2">
        <f>J1059&lt;I1059</f>
        <v/>
      </c>
      <c r="M1059" s="2" t="b">
        <v>1</v>
      </c>
      <c r="N1059" s="2" t="b">
        <v>1</v>
      </c>
      <c r="O1059" s="2" t="inlineStr">
        <is>
          <t>allow</t>
        </is>
      </c>
      <c r="P1059" s="2">
        <f>O1059&lt;&gt;"unknown"</f>
        <v/>
      </c>
    </row>
    <row r="1060">
      <c r="A1060" s="2" t="inlineStr">
        <is>
          <t>1500-on</t>
        </is>
      </c>
      <c r="B1060" s="2" t="n">
        <v>1500</v>
      </c>
      <c r="C1060" s="2" t="inlineStr">
        <is>
          <t>on</t>
        </is>
      </c>
      <c r="D1060" s="2" t="n">
        <v>1448</v>
      </c>
      <c r="E1060" s="2" t="inlineStr">
        <is>
          <t>openssl SecP256r1MLKEM768</t>
        </is>
      </c>
      <c r="F1060" s="2" t="b">
        <v>1</v>
      </c>
      <c r="G1060" s="2" t="n">
        <v>19</v>
      </c>
      <c r="H1060" s="2" t="n">
        <v>1518</v>
      </c>
      <c r="I1060" s="2" t="n">
        <v>1518</v>
      </c>
      <c r="J1060" s="2" t="n">
        <v>1443</v>
      </c>
      <c r="K1060" s="2">
        <f>H1060+5&gt;D1060</f>
        <v/>
      </c>
      <c r="L1060" s="2">
        <f>J1060&lt;I1060</f>
        <v/>
      </c>
      <c r="M1060" s="2" t="b">
        <v>1</v>
      </c>
      <c r="N1060" s="2" t="b">
        <v>1</v>
      </c>
      <c r="O1060" s="2" t="inlineStr">
        <is>
          <t>allow</t>
        </is>
      </c>
      <c r="P1060" s="2">
        <f>O1060&lt;&gt;"unknown"</f>
        <v/>
      </c>
    </row>
    <row r="1061">
      <c r="A1061" s="2" t="inlineStr">
        <is>
          <t>1500-on</t>
        </is>
      </c>
      <c r="B1061" s="2" t="n">
        <v>1500</v>
      </c>
      <c r="C1061" s="2" t="inlineStr">
        <is>
          <t>on</t>
        </is>
      </c>
      <c r="D1061" s="2" t="n">
        <v>1448</v>
      </c>
      <c r="E1061" s="2" t="inlineStr">
        <is>
          <t>openssl SecP256r1MLKEM768</t>
        </is>
      </c>
      <c r="F1061" s="2" t="b">
        <v>1</v>
      </c>
      <c r="G1061" s="2" t="n">
        <v>20</v>
      </c>
      <c r="H1061" s="2" t="n">
        <v>1518</v>
      </c>
      <c r="I1061" s="2" t="n">
        <v>1518</v>
      </c>
      <c r="J1061" s="2" t="n">
        <v>1443</v>
      </c>
      <c r="K1061" s="2">
        <f>H1061+5&gt;D1061</f>
        <v/>
      </c>
      <c r="L1061" s="2">
        <f>J1061&lt;I1061</f>
        <v/>
      </c>
      <c r="M1061" s="2" t="b">
        <v>1</v>
      </c>
      <c r="N1061" s="2" t="b">
        <v>1</v>
      </c>
      <c r="O1061" s="2" t="inlineStr">
        <is>
          <t>allow</t>
        </is>
      </c>
      <c r="P1061" s="2">
        <f>O1061&lt;&gt;"unknown"</f>
        <v/>
      </c>
    </row>
    <row r="1062">
      <c r="A1062" s="2" t="inlineStr">
        <is>
          <t>1500-on</t>
        </is>
      </c>
      <c r="B1062" s="2" t="n">
        <v>1500</v>
      </c>
      <c r="C1062" s="2" t="inlineStr">
        <is>
          <t>on</t>
        </is>
      </c>
      <c r="D1062" s="2" t="n">
        <v>1448</v>
      </c>
      <c r="E1062" s="2" t="inlineStr">
        <is>
          <t>openssl SecP384r1MLKEM1024</t>
        </is>
      </c>
      <c r="F1062" s="2" t="b">
        <v>1</v>
      </c>
      <c r="G1062" s="2" t="n">
        <v>1</v>
      </c>
      <c r="H1062" s="2" t="n">
        <v>1934</v>
      </c>
      <c r="I1062" s="2" t="n">
        <v>1934</v>
      </c>
      <c r="J1062" s="2" t="n">
        <v>1443</v>
      </c>
      <c r="K1062" s="2">
        <f>H1062+5&gt;D1062</f>
        <v/>
      </c>
      <c r="L1062" s="2">
        <f>J1062&lt;I1062</f>
        <v/>
      </c>
      <c r="M1062" s="2" t="b">
        <v>1</v>
      </c>
      <c r="N1062" s="2" t="b">
        <v>1</v>
      </c>
      <c r="O1062" s="2" t="inlineStr">
        <is>
          <t>allow</t>
        </is>
      </c>
      <c r="P1062" s="2">
        <f>O1062&lt;&gt;"unknown"</f>
        <v/>
      </c>
    </row>
    <row r="1063">
      <c r="A1063" s="2" t="inlineStr">
        <is>
          <t>1500-on</t>
        </is>
      </c>
      <c r="B1063" s="2" t="n">
        <v>1500</v>
      </c>
      <c r="C1063" s="2" t="inlineStr">
        <is>
          <t>on</t>
        </is>
      </c>
      <c r="D1063" s="2" t="n">
        <v>1448</v>
      </c>
      <c r="E1063" s="2" t="inlineStr">
        <is>
          <t>openssl SecP384r1MLKEM1024</t>
        </is>
      </c>
      <c r="F1063" s="2" t="b">
        <v>1</v>
      </c>
      <c r="G1063" s="2" t="n">
        <v>2</v>
      </c>
      <c r="H1063" s="2" t="n">
        <v>1934</v>
      </c>
      <c r="I1063" s="2" t="n">
        <v>1934</v>
      </c>
      <c r="J1063" s="2" t="n">
        <v>1443</v>
      </c>
      <c r="K1063" s="2">
        <f>H1063+5&gt;D1063</f>
        <v/>
      </c>
      <c r="L1063" s="2">
        <f>J1063&lt;I1063</f>
        <v/>
      </c>
      <c r="M1063" s="2" t="b">
        <v>1</v>
      </c>
      <c r="N1063" s="2" t="b">
        <v>1</v>
      </c>
      <c r="O1063" s="2" t="inlineStr">
        <is>
          <t>allow</t>
        </is>
      </c>
      <c r="P1063" s="2">
        <f>O1063&lt;&gt;"unknown"</f>
        <v/>
      </c>
    </row>
    <row r="1064">
      <c r="A1064" s="2" t="inlineStr">
        <is>
          <t>1500-on</t>
        </is>
      </c>
      <c r="B1064" s="2" t="n">
        <v>1500</v>
      </c>
      <c r="C1064" s="2" t="inlineStr">
        <is>
          <t>on</t>
        </is>
      </c>
      <c r="D1064" s="2" t="n">
        <v>1448</v>
      </c>
      <c r="E1064" s="2" t="inlineStr">
        <is>
          <t>openssl SecP384r1MLKEM1024</t>
        </is>
      </c>
      <c r="F1064" s="2" t="b">
        <v>1</v>
      </c>
      <c r="G1064" s="2" t="n">
        <v>3</v>
      </c>
      <c r="H1064" s="2" t="n">
        <v>1934</v>
      </c>
      <c r="I1064" s="2" t="n">
        <v>1934</v>
      </c>
      <c r="J1064" s="2" t="n">
        <v>1443</v>
      </c>
      <c r="K1064" s="2">
        <f>H1064+5&gt;D1064</f>
        <v/>
      </c>
      <c r="L1064" s="2">
        <f>J1064&lt;I1064</f>
        <v/>
      </c>
      <c r="M1064" s="2" t="b">
        <v>1</v>
      </c>
      <c r="N1064" s="2" t="b">
        <v>1</v>
      </c>
      <c r="O1064" s="2" t="inlineStr">
        <is>
          <t>allow</t>
        </is>
      </c>
      <c r="P1064" s="2">
        <f>O1064&lt;&gt;"unknown"</f>
        <v/>
      </c>
    </row>
    <row r="1065">
      <c r="A1065" s="2" t="inlineStr">
        <is>
          <t>1500-on</t>
        </is>
      </c>
      <c r="B1065" s="2" t="n">
        <v>1500</v>
      </c>
      <c r="C1065" s="2" t="inlineStr">
        <is>
          <t>on</t>
        </is>
      </c>
      <c r="D1065" s="2" t="n">
        <v>1448</v>
      </c>
      <c r="E1065" s="2" t="inlineStr">
        <is>
          <t>openssl SecP384r1MLKEM1024</t>
        </is>
      </c>
      <c r="F1065" s="2" t="b">
        <v>1</v>
      </c>
      <c r="G1065" s="2" t="n">
        <v>4</v>
      </c>
      <c r="H1065" s="2" t="n">
        <v>1934</v>
      </c>
      <c r="I1065" s="2" t="n">
        <v>1934</v>
      </c>
      <c r="J1065" s="2" t="n">
        <v>1443</v>
      </c>
      <c r="K1065" s="2">
        <f>H1065+5&gt;D1065</f>
        <v/>
      </c>
      <c r="L1065" s="2">
        <f>J1065&lt;I1065</f>
        <v/>
      </c>
      <c r="M1065" s="2" t="b">
        <v>1</v>
      </c>
      <c r="N1065" s="2" t="b">
        <v>1</v>
      </c>
      <c r="O1065" s="2" t="inlineStr">
        <is>
          <t>allow</t>
        </is>
      </c>
      <c r="P1065" s="2">
        <f>O1065&lt;&gt;"unknown"</f>
        <v/>
      </c>
    </row>
    <row r="1066">
      <c r="A1066" s="2" t="inlineStr">
        <is>
          <t>1500-on</t>
        </is>
      </c>
      <c r="B1066" s="2" t="n">
        <v>1500</v>
      </c>
      <c r="C1066" s="2" t="inlineStr">
        <is>
          <t>on</t>
        </is>
      </c>
      <c r="D1066" s="2" t="n">
        <v>1448</v>
      </c>
      <c r="E1066" s="2" t="inlineStr">
        <is>
          <t>openssl SecP384r1MLKEM1024</t>
        </is>
      </c>
      <c r="F1066" s="2" t="b">
        <v>1</v>
      </c>
      <c r="G1066" s="2" t="n">
        <v>5</v>
      </c>
      <c r="H1066" s="2" t="n">
        <v>1934</v>
      </c>
      <c r="I1066" s="2" t="n">
        <v>1934</v>
      </c>
      <c r="J1066" s="2" t="n">
        <v>1443</v>
      </c>
      <c r="K1066" s="2">
        <f>H1066+5&gt;D1066</f>
        <v/>
      </c>
      <c r="L1066" s="2">
        <f>J1066&lt;I1066</f>
        <v/>
      </c>
      <c r="M1066" s="2" t="b">
        <v>1</v>
      </c>
      <c r="N1066" s="2" t="b">
        <v>1</v>
      </c>
      <c r="O1066" s="2" t="inlineStr">
        <is>
          <t>allow</t>
        </is>
      </c>
      <c r="P1066" s="2">
        <f>O1066&lt;&gt;"unknown"</f>
        <v/>
      </c>
    </row>
    <row r="1067">
      <c r="A1067" s="2" t="inlineStr">
        <is>
          <t>1500-on</t>
        </is>
      </c>
      <c r="B1067" s="2" t="n">
        <v>1500</v>
      </c>
      <c r="C1067" s="2" t="inlineStr">
        <is>
          <t>on</t>
        </is>
      </c>
      <c r="D1067" s="2" t="n">
        <v>1448</v>
      </c>
      <c r="E1067" s="2" t="inlineStr">
        <is>
          <t>openssl SecP384r1MLKEM1024</t>
        </is>
      </c>
      <c r="F1067" s="2" t="b">
        <v>1</v>
      </c>
      <c r="G1067" s="2" t="n">
        <v>6</v>
      </c>
      <c r="H1067" s="2" t="n">
        <v>1934</v>
      </c>
      <c r="I1067" s="2" t="n">
        <v>1934</v>
      </c>
      <c r="J1067" s="2" t="n">
        <v>1443</v>
      </c>
      <c r="K1067" s="2">
        <f>H1067+5&gt;D1067</f>
        <v/>
      </c>
      <c r="L1067" s="2">
        <f>J1067&lt;I1067</f>
        <v/>
      </c>
      <c r="M1067" s="2" t="b">
        <v>1</v>
      </c>
      <c r="N1067" s="2" t="b">
        <v>1</v>
      </c>
      <c r="O1067" s="2" t="inlineStr">
        <is>
          <t>allow</t>
        </is>
      </c>
      <c r="P1067" s="2">
        <f>O1067&lt;&gt;"unknown"</f>
        <v/>
      </c>
    </row>
    <row r="1068">
      <c r="A1068" s="2" t="inlineStr">
        <is>
          <t>1500-on</t>
        </is>
      </c>
      <c r="B1068" s="2" t="n">
        <v>1500</v>
      </c>
      <c r="C1068" s="2" t="inlineStr">
        <is>
          <t>on</t>
        </is>
      </c>
      <c r="D1068" s="2" t="n">
        <v>1448</v>
      </c>
      <c r="E1068" s="2" t="inlineStr">
        <is>
          <t>openssl SecP384r1MLKEM1024</t>
        </is>
      </c>
      <c r="F1068" s="2" t="b">
        <v>1</v>
      </c>
      <c r="G1068" s="2" t="n">
        <v>7</v>
      </c>
      <c r="H1068" s="2" t="n">
        <v>1934</v>
      </c>
      <c r="I1068" s="2" t="n">
        <v>1934</v>
      </c>
      <c r="J1068" s="2" t="n">
        <v>1443</v>
      </c>
      <c r="K1068" s="2">
        <f>H1068+5&gt;D1068</f>
        <v/>
      </c>
      <c r="L1068" s="2">
        <f>J1068&lt;I1068</f>
        <v/>
      </c>
      <c r="M1068" s="2" t="b">
        <v>1</v>
      </c>
      <c r="N1068" s="2" t="b">
        <v>1</v>
      </c>
      <c r="O1068" s="2" t="inlineStr">
        <is>
          <t>allow</t>
        </is>
      </c>
      <c r="P1068" s="2">
        <f>O1068&lt;&gt;"unknown"</f>
        <v/>
      </c>
    </row>
    <row r="1069">
      <c r="A1069" s="2" t="inlineStr">
        <is>
          <t>1500-on</t>
        </is>
      </c>
      <c r="B1069" s="2" t="n">
        <v>1500</v>
      </c>
      <c r="C1069" s="2" t="inlineStr">
        <is>
          <t>on</t>
        </is>
      </c>
      <c r="D1069" s="2" t="n">
        <v>1448</v>
      </c>
      <c r="E1069" s="2" t="inlineStr">
        <is>
          <t>openssl SecP384r1MLKEM1024</t>
        </is>
      </c>
      <c r="F1069" s="2" t="b">
        <v>1</v>
      </c>
      <c r="G1069" s="2" t="n">
        <v>8</v>
      </c>
      <c r="H1069" s="2" t="n">
        <v>1934</v>
      </c>
      <c r="I1069" s="2" t="n">
        <v>1934</v>
      </c>
      <c r="J1069" s="2" t="n">
        <v>1443</v>
      </c>
      <c r="K1069" s="2">
        <f>H1069+5&gt;D1069</f>
        <v/>
      </c>
      <c r="L1069" s="2">
        <f>J1069&lt;I1069</f>
        <v/>
      </c>
      <c r="M1069" s="2" t="b">
        <v>1</v>
      </c>
      <c r="N1069" s="2" t="b">
        <v>1</v>
      </c>
      <c r="O1069" s="2" t="inlineStr">
        <is>
          <t>allow</t>
        </is>
      </c>
      <c r="P1069" s="2">
        <f>O1069&lt;&gt;"unknown"</f>
        <v/>
      </c>
    </row>
    <row r="1070">
      <c r="A1070" s="2" t="inlineStr">
        <is>
          <t>1500-on</t>
        </is>
      </c>
      <c r="B1070" s="2" t="n">
        <v>1500</v>
      </c>
      <c r="C1070" s="2" t="inlineStr">
        <is>
          <t>on</t>
        </is>
      </c>
      <c r="D1070" s="2" t="n">
        <v>1448</v>
      </c>
      <c r="E1070" s="2" t="inlineStr">
        <is>
          <t>openssl SecP384r1MLKEM1024</t>
        </is>
      </c>
      <c r="F1070" s="2" t="b">
        <v>1</v>
      </c>
      <c r="G1070" s="2" t="n">
        <v>9</v>
      </c>
      <c r="H1070" s="2" t="n">
        <v>1934</v>
      </c>
      <c r="I1070" s="2" t="n">
        <v>1934</v>
      </c>
      <c r="J1070" s="2" t="n">
        <v>1443</v>
      </c>
      <c r="K1070" s="2">
        <f>H1070+5&gt;D1070</f>
        <v/>
      </c>
      <c r="L1070" s="2">
        <f>J1070&lt;I1070</f>
        <v/>
      </c>
      <c r="M1070" s="2" t="b">
        <v>1</v>
      </c>
      <c r="N1070" s="2" t="b">
        <v>1</v>
      </c>
      <c r="O1070" s="2" t="inlineStr">
        <is>
          <t>allow</t>
        </is>
      </c>
      <c r="P1070" s="2">
        <f>O1070&lt;&gt;"unknown"</f>
        <v/>
      </c>
    </row>
    <row r="1071">
      <c r="A1071" s="2" t="inlineStr">
        <is>
          <t>1500-on</t>
        </is>
      </c>
      <c r="B1071" s="2" t="n">
        <v>1500</v>
      </c>
      <c r="C1071" s="2" t="inlineStr">
        <is>
          <t>on</t>
        </is>
      </c>
      <c r="D1071" s="2" t="n">
        <v>1448</v>
      </c>
      <c r="E1071" s="2" t="inlineStr">
        <is>
          <t>openssl SecP384r1MLKEM1024</t>
        </is>
      </c>
      <c r="F1071" s="2" t="b">
        <v>1</v>
      </c>
      <c r="G1071" s="2" t="n">
        <v>10</v>
      </c>
      <c r="H1071" s="2" t="n">
        <v>1934</v>
      </c>
      <c r="I1071" s="2" t="n">
        <v>1934</v>
      </c>
      <c r="J1071" s="2" t="n">
        <v>1443</v>
      </c>
      <c r="K1071" s="2">
        <f>H1071+5&gt;D1071</f>
        <v/>
      </c>
      <c r="L1071" s="2">
        <f>J1071&lt;I1071</f>
        <v/>
      </c>
      <c r="M1071" s="2" t="b">
        <v>1</v>
      </c>
      <c r="N1071" s="2" t="b">
        <v>1</v>
      </c>
      <c r="O1071" s="2" t="inlineStr">
        <is>
          <t>allow</t>
        </is>
      </c>
      <c r="P1071" s="2">
        <f>O1071&lt;&gt;"unknown"</f>
        <v/>
      </c>
    </row>
    <row r="1072">
      <c r="A1072" s="2" t="inlineStr">
        <is>
          <t>1500-on</t>
        </is>
      </c>
      <c r="B1072" s="2" t="n">
        <v>1500</v>
      </c>
      <c r="C1072" s="2" t="inlineStr">
        <is>
          <t>on</t>
        </is>
      </c>
      <c r="D1072" s="2" t="n">
        <v>1448</v>
      </c>
      <c r="E1072" s="2" t="inlineStr">
        <is>
          <t>openssl SecP384r1MLKEM1024</t>
        </is>
      </c>
      <c r="F1072" s="2" t="b">
        <v>1</v>
      </c>
      <c r="G1072" s="2" t="n">
        <v>11</v>
      </c>
      <c r="H1072" s="2" t="n">
        <v>1934</v>
      </c>
      <c r="I1072" s="2" t="n">
        <v>1934</v>
      </c>
      <c r="J1072" s="2" t="n">
        <v>1443</v>
      </c>
      <c r="K1072" s="2">
        <f>H1072+5&gt;D1072</f>
        <v/>
      </c>
      <c r="L1072" s="2">
        <f>J1072&lt;I1072</f>
        <v/>
      </c>
      <c r="M1072" s="2" t="b">
        <v>1</v>
      </c>
      <c r="N1072" s="2" t="b">
        <v>1</v>
      </c>
      <c r="O1072" s="2" t="inlineStr">
        <is>
          <t>allow</t>
        </is>
      </c>
      <c r="P1072" s="2">
        <f>O1072&lt;&gt;"unknown"</f>
        <v/>
      </c>
    </row>
    <row r="1073">
      <c r="A1073" s="2" t="inlineStr">
        <is>
          <t>1500-on</t>
        </is>
      </c>
      <c r="B1073" s="2" t="n">
        <v>1500</v>
      </c>
      <c r="C1073" s="2" t="inlineStr">
        <is>
          <t>on</t>
        </is>
      </c>
      <c r="D1073" s="2" t="n">
        <v>1448</v>
      </c>
      <c r="E1073" s="2" t="inlineStr">
        <is>
          <t>openssl SecP384r1MLKEM1024</t>
        </is>
      </c>
      <c r="F1073" s="2" t="b">
        <v>1</v>
      </c>
      <c r="G1073" s="2" t="n">
        <v>12</v>
      </c>
      <c r="H1073" s="2" t="n">
        <v>1934</v>
      </c>
      <c r="I1073" s="2" t="n">
        <v>1934</v>
      </c>
      <c r="J1073" s="2" t="n">
        <v>1443</v>
      </c>
      <c r="K1073" s="2">
        <f>H1073+5&gt;D1073</f>
        <v/>
      </c>
      <c r="L1073" s="2">
        <f>J1073&lt;I1073</f>
        <v/>
      </c>
      <c r="M1073" s="2" t="b">
        <v>1</v>
      </c>
      <c r="N1073" s="2" t="b">
        <v>1</v>
      </c>
      <c r="O1073" s="2" t="inlineStr">
        <is>
          <t>allow</t>
        </is>
      </c>
      <c r="P1073" s="2">
        <f>O1073&lt;&gt;"unknown"</f>
        <v/>
      </c>
    </row>
    <row r="1074">
      <c r="A1074" s="2" t="inlineStr">
        <is>
          <t>1500-on</t>
        </is>
      </c>
      <c r="B1074" s="2" t="n">
        <v>1500</v>
      </c>
      <c r="C1074" s="2" t="inlineStr">
        <is>
          <t>on</t>
        </is>
      </c>
      <c r="D1074" s="2" t="n">
        <v>1448</v>
      </c>
      <c r="E1074" s="2" t="inlineStr">
        <is>
          <t>openssl SecP384r1MLKEM1024</t>
        </is>
      </c>
      <c r="F1074" s="2" t="b">
        <v>1</v>
      </c>
      <c r="G1074" s="2" t="n">
        <v>13</v>
      </c>
      <c r="H1074" s="2" t="n">
        <v>1934</v>
      </c>
      <c r="I1074" s="2" t="n">
        <v>1934</v>
      </c>
      <c r="J1074" s="2" t="n">
        <v>1443</v>
      </c>
      <c r="K1074" s="2">
        <f>H1074+5&gt;D1074</f>
        <v/>
      </c>
      <c r="L1074" s="2">
        <f>J1074&lt;I1074</f>
        <v/>
      </c>
      <c r="M1074" s="2" t="b">
        <v>1</v>
      </c>
      <c r="N1074" s="2" t="b">
        <v>1</v>
      </c>
      <c r="O1074" s="2" t="inlineStr">
        <is>
          <t>allow</t>
        </is>
      </c>
      <c r="P1074" s="2">
        <f>O1074&lt;&gt;"unknown"</f>
        <v/>
      </c>
    </row>
    <row r="1075">
      <c r="A1075" s="2" t="inlineStr">
        <is>
          <t>1500-on</t>
        </is>
      </c>
      <c r="B1075" s="2" t="n">
        <v>1500</v>
      </c>
      <c r="C1075" s="2" t="inlineStr">
        <is>
          <t>on</t>
        </is>
      </c>
      <c r="D1075" s="2" t="n">
        <v>1448</v>
      </c>
      <c r="E1075" s="2" t="inlineStr">
        <is>
          <t>openssl SecP384r1MLKEM1024</t>
        </is>
      </c>
      <c r="F1075" s="2" t="b">
        <v>1</v>
      </c>
      <c r="G1075" s="2" t="n">
        <v>14</v>
      </c>
      <c r="H1075" s="2" t="n">
        <v>1934</v>
      </c>
      <c r="I1075" s="2" t="n">
        <v>1934</v>
      </c>
      <c r="J1075" s="2" t="n">
        <v>1443</v>
      </c>
      <c r="K1075" s="2">
        <f>H1075+5&gt;D1075</f>
        <v/>
      </c>
      <c r="L1075" s="2">
        <f>J1075&lt;I1075</f>
        <v/>
      </c>
      <c r="M1075" s="2" t="b">
        <v>1</v>
      </c>
      <c r="N1075" s="2" t="b">
        <v>1</v>
      </c>
      <c r="O1075" s="2" t="inlineStr">
        <is>
          <t>allow</t>
        </is>
      </c>
      <c r="P1075" s="2">
        <f>O1075&lt;&gt;"unknown"</f>
        <v/>
      </c>
    </row>
    <row r="1076">
      <c r="A1076" s="2" t="inlineStr">
        <is>
          <t>1500-on</t>
        </is>
      </c>
      <c r="B1076" s="2" t="n">
        <v>1500</v>
      </c>
      <c r="C1076" s="2" t="inlineStr">
        <is>
          <t>on</t>
        </is>
      </c>
      <c r="D1076" s="2" t="n">
        <v>1448</v>
      </c>
      <c r="E1076" s="2" t="inlineStr">
        <is>
          <t>openssl SecP384r1MLKEM1024</t>
        </is>
      </c>
      <c r="F1076" s="2" t="b">
        <v>1</v>
      </c>
      <c r="G1076" s="2" t="n">
        <v>15</v>
      </c>
      <c r="H1076" s="2" t="n">
        <v>1934</v>
      </c>
      <c r="I1076" s="2" t="n">
        <v>1934</v>
      </c>
      <c r="J1076" s="2" t="n">
        <v>1443</v>
      </c>
      <c r="K1076" s="2">
        <f>H1076+5&gt;D1076</f>
        <v/>
      </c>
      <c r="L1076" s="2">
        <f>J1076&lt;I1076</f>
        <v/>
      </c>
      <c r="M1076" s="2" t="b">
        <v>1</v>
      </c>
      <c r="N1076" s="2" t="b">
        <v>1</v>
      </c>
      <c r="O1076" s="2" t="inlineStr">
        <is>
          <t>allow</t>
        </is>
      </c>
      <c r="P1076" s="2">
        <f>O1076&lt;&gt;"unknown"</f>
        <v/>
      </c>
    </row>
    <row r="1077">
      <c r="A1077" s="2" t="inlineStr">
        <is>
          <t>1500-on</t>
        </is>
      </c>
      <c r="B1077" s="2" t="n">
        <v>1500</v>
      </c>
      <c r="C1077" s="2" t="inlineStr">
        <is>
          <t>on</t>
        </is>
      </c>
      <c r="D1077" s="2" t="n">
        <v>1448</v>
      </c>
      <c r="E1077" s="2" t="inlineStr">
        <is>
          <t>openssl SecP384r1MLKEM1024</t>
        </is>
      </c>
      <c r="F1077" s="2" t="b">
        <v>1</v>
      </c>
      <c r="G1077" s="2" t="n">
        <v>16</v>
      </c>
      <c r="H1077" s="2" t="n">
        <v>1934</v>
      </c>
      <c r="I1077" s="2" t="n">
        <v>1934</v>
      </c>
      <c r="J1077" s="2" t="n">
        <v>1443</v>
      </c>
      <c r="K1077" s="2">
        <f>H1077+5&gt;D1077</f>
        <v/>
      </c>
      <c r="L1077" s="2">
        <f>J1077&lt;I1077</f>
        <v/>
      </c>
      <c r="M1077" s="2" t="b">
        <v>1</v>
      </c>
      <c r="N1077" s="2" t="b">
        <v>1</v>
      </c>
      <c r="O1077" s="2" t="inlineStr">
        <is>
          <t>allow</t>
        </is>
      </c>
      <c r="P1077" s="2">
        <f>O1077&lt;&gt;"unknown"</f>
        <v/>
      </c>
    </row>
    <row r="1078">
      <c r="A1078" s="2" t="inlineStr">
        <is>
          <t>1500-on</t>
        </is>
      </c>
      <c r="B1078" s="2" t="n">
        <v>1500</v>
      </c>
      <c r="C1078" s="2" t="inlineStr">
        <is>
          <t>on</t>
        </is>
      </c>
      <c r="D1078" s="2" t="n">
        <v>1448</v>
      </c>
      <c r="E1078" s="2" t="inlineStr">
        <is>
          <t>openssl SecP384r1MLKEM1024</t>
        </is>
      </c>
      <c r="F1078" s="2" t="b">
        <v>1</v>
      </c>
      <c r="G1078" s="2" t="n">
        <v>17</v>
      </c>
      <c r="H1078" s="2" t="n">
        <v>1934</v>
      </c>
      <c r="I1078" s="2" t="n">
        <v>1934</v>
      </c>
      <c r="J1078" s="2" t="n">
        <v>1443</v>
      </c>
      <c r="K1078" s="2">
        <f>H1078+5&gt;D1078</f>
        <v/>
      </c>
      <c r="L1078" s="2">
        <f>J1078&lt;I1078</f>
        <v/>
      </c>
      <c r="M1078" s="2" t="b">
        <v>1</v>
      </c>
      <c r="N1078" s="2" t="b">
        <v>1</v>
      </c>
      <c r="O1078" s="2" t="inlineStr">
        <is>
          <t>allow</t>
        </is>
      </c>
      <c r="P1078" s="2">
        <f>O1078&lt;&gt;"unknown"</f>
        <v/>
      </c>
    </row>
    <row r="1079">
      <c r="A1079" s="2" t="inlineStr">
        <is>
          <t>1500-on</t>
        </is>
      </c>
      <c r="B1079" s="2" t="n">
        <v>1500</v>
      </c>
      <c r="C1079" s="2" t="inlineStr">
        <is>
          <t>on</t>
        </is>
      </c>
      <c r="D1079" s="2" t="n">
        <v>1448</v>
      </c>
      <c r="E1079" s="2" t="inlineStr">
        <is>
          <t>openssl SecP384r1MLKEM1024</t>
        </is>
      </c>
      <c r="F1079" s="2" t="b">
        <v>1</v>
      </c>
      <c r="G1079" s="2" t="n">
        <v>18</v>
      </c>
      <c r="H1079" s="2" t="n">
        <v>1934</v>
      </c>
      <c r="I1079" s="2" t="n">
        <v>1934</v>
      </c>
      <c r="J1079" s="2" t="n">
        <v>1443</v>
      </c>
      <c r="K1079" s="2">
        <f>H1079+5&gt;D1079</f>
        <v/>
      </c>
      <c r="L1079" s="2">
        <f>J1079&lt;I1079</f>
        <v/>
      </c>
      <c r="M1079" s="2" t="b">
        <v>1</v>
      </c>
      <c r="N1079" s="2" t="b">
        <v>1</v>
      </c>
      <c r="O1079" s="2" t="inlineStr">
        <is>
          <t>allow</t>
        </is>
      </c>
      <c r="P1079" s="2">
        <f>O1079&lt;&gt;"unknown"</f>
        <v/>
      </c>
    </row>
    <row r="1080">
      <c r="A1080" s="2" t="inlineStr">
        <is>
          <t>1500-on</t>
        </is>
      </c>
      <c r="B1080" s="2" t="n">
        <v>1500</v>
      </c>
      <c r="C1080" s="2" t="inlineStr">
        <is>
          <t>on</t>
        </is>
      </c>
      <c r="D1080" s="2" t="n">
        <v>1448</v>
      </c>
      <c r="E1080" s="2" t="inlineStr">
        <is>
          <t>openssl SecP384r1MLKEM1024</t>
        </is>
      </c>
      <c r="F1080" s="2" t="b">
        <v>1</v>
      </c>
      <c r="G1080" s="2" t="n">
        <v>19</v>
      </c>
      <c r="H1080" s="2" t="n">
        <v>1934</v>
      </c>
      <c r="I1080" s="2" t="n">
        <v>1934</v>
      </c>
      <c r="J1080" s="2" t="n">
        <v>1443</v>
      </c>
      <c r="K1080" s="2">
        <f>H1080+5&gt;D1080</f>
        <v/>
      </c>
      <c r="L1080" s="2">
        <f>J1080&lt;I1080</f>
        <v/>
      </c>
      <c r="M1080" s="2" t="b">
        <v>1</v>
      </c>
      <c r="N1080" s="2" t="b">
        <v>1</v>
      </c>
      <c r="O1080" s="2" t="inlineStr">
        <is>
          <t>allow</t>
        </is>
      </c>
      <c r="P1080" s="2">
        <f>O1080&lt;&gt;"unknown"</f>
        <v/>
      </c>
    </row>
    <row r="1081">
      <c r="A1081" s="2" t="inlineStr">
        <is>
          <t>1500-on</t>
        </is>
      </c>
      <c r="B1081" s="2" t="n">
        <v>1500</v>
      </c>
      <c r="C1081" s="2" t="inlineStr">
        <is>
          <t>on</t>
        </is>
      </c>
      <c r="D1081" s="2" t="n">
        <v>1448</v>
      </c>
      <c r="E1081" s="2" t="inlineStr">
        <is>
          <t>openssl SecP384r1MLKEM1024</t>
        </is>
      </c>
      <c r="F1081" s="2" t="b">
        <v>1</v>
      </c>
      <c r="G1081" s="2" t="n">
        <v>20</v>
      </c>
      <c r="H1081" s="2" t="n">
        <v>1934</v>
      </c>
      <c r="I1081" s="2" t="n">
        <v>1934</v>
      </c>
      <c r="J1081" s="2" t="n">
        <v>1443</v>
      </c>
      <c r="K1081" s="2">
        <f>H1081+5&gt;D1081</f>
        <v/>
      </c>
      <c r="L1081" s="2">
        <f>J1081&lt;I1081</f>
        <v/>
      </c>
      <c r="M1081" s="2" t="b">
        <v>1</v>
      </c>
      <c r="N1081" s="2" t="b">
        <v>1</v>
      </c>
      <c r="O1081" s="2" t="inlineStr">
        <is>
          <t>allow</t>
        </is>
      </c>
      <c r="P1081" s="2">
        <f>O1081&lt;&gt;"unknown"</f>
        <v/>
      </c>
    </row>
    <row r="1082">
      <c r="A1082" s="2" t="inlineStr">
        <is>
          <t>1500-on</t>
        </is>
      </c>
      <c r="B1082" s="2" t="n">
        <v>1500</v>
      </c>
      <c r="C1082" s="2" t="inlineStr">
        <is>
          <t>on</t>
        </is>
      </c>
      <c r="D1082" s="2" t="n">
        <v>1448</v>
      </c>
      <c r="E1082" s="2" t="inlineStr">
        <is>
          <t>openssl MLKEM768 (pure PQ)</t>
        </is>
      </c>
      <c r="F1082" s="2" t="b">
        <v>1</v>
      </c>
      <c r="G1082" s="2" t="n">
        <v>1</v>
      </c>
      <c r="H1082" s="2" t="n">
        <v>1453</v>
      </c>
      <c r="I1082" s="2" t="n">
        <v>1453</v>
      </c>
      <c r="J1082" s="2" t="n">
        <v>1443</v>
      </c>
      <c r="K1082" s="2">
        <f>H1082+5&gt;D1082</f>
        <v/>
      </c>
      <c r="L1082" s="2">
        <f>J1082&lt;I1082</f>
        <v/>
      </c>
      <c r="M1082" s="2" t="b">
        <v>1</v>
      </c>
      <c r="N1082" s="2" t="b">
        <v>1</v>
      </c>
      <c r="O1082" s="2" t="inlineStr">
        <is>
          <t>allow</t>
        </is>
      </c>
      <c r="P1082" s="2">
        <f>O1082&lt;&gt;"unknown"</f>
        <v/>
      </c>
    </row>
    <row r="1083">
      <c r="A1083" s="2" t="inlineStr">
        <is>
          <t>1500-on</t>
        </is>
      </c>
      <c r="B1083" s="2" t="n">
        <v>1500</v>
      </c>
      <c r="C1083" s="2" t="inlineStr">
        <is>
          <t>on</t>
        </is>
      </c>
      <c r="D1083" s="2" t="n">
        <v>1448</v>
      </c>
      <c r="E1083" s="2" t="inlineStr">
        <is>
          <t>openssl MLKEM768 (pure PQ)</t>
        </is>
      </c>
      <c r="F1083" s="2" t="b">
        <v>1</v>
      </c>
      <c r="G1083" s="2" t="n">
        <v>2</v>
      </c>
      <c r="H1083" s="2" t="n">
        <v>1453</v>
      </c>
      <c r="I1083" s="2" t="n">
        <v>1453</v>
      </c>
      <c r="J1083" s="2" t="n">
        <v>1443</v>
      </c>
      <c r="K1083" s="2">
        <f>H1083+5&gt;D1083</f>
        <v/>
      </c>
      <c r="L1083" s="2">
        <f>J1083&lt;I1083</f>
        <v/>
      </c>
      <c r="M1083" s="2" t="b">
        <v>1</v>
      </c>
      <c r="N1083" s="2" t="b">
        <v>1</v>
      </c>
      <c r="O1083" s="2" t="inlineStr">
        <is>
          <t>allow</t>
        </is>
      </c>
      <c r="P1083" s="2">
        <f>O1083&lt;&gt;"unknown"</f>
        <v/>
      </c>
    </row>
    <row r="1084">
      <c r="A1084" s="2" t="inlineStr">
        <is>
          <t>1500-on</t>
        </is>
      </c>
      <c r="B1084" s="2" t="n">
        <v>1500</v>
      </c>
      <c r="C1084" s="2" t="inlineStr">
        <is>
          <t>on</t>
        </is>
      </c>
      <c r="D1084" s="2" t="n">
        <v>1448</v>
      </c>
      <c r="E1084" s="2" t="inlineStr">
        <is>
          <t>openssl MLKEM768 (pure PQ)</t>
        </is>
      </c>
      <c r="F1084" s="2" t="b">
        <v>1</v>
      </c>
      <c r="G1084" s="2" t="n">
        <v>3</v>
      </c>
      <c r="H1084" s="2" t="n">
        <v>1453</v>
      </c>
      <c r="I1084" s="2" t="n">
        <v>1453</v>
      </c>
      <c r="J1084" s="2" t="n">
        <v>1443</v>
      </c>
      <c r="K1084" s="2">
        <f>H1084+5&gt;D1084</f>
        <v/>
      </c>
      <c r="L1084" s="2">
        <f>J1084&lt;I1084</f>
        <v/>
      </c>
      <c r="M1084" s="2" t="b">
        <v>1</v>
      </c>
      <c r="N1084" s="2" t="b">
        <v>1</v>
      </c>
      <c r="O1084" s="2" t="inlineStr">
        <is>
          <t>allow</t>
        </is>
      </c>
      <c r="P1084" s="2">
        <f>O1084&lt;&gt;"unknown"</f>
        <v/>
      </c>
    </row>
    <row r="1085">
      <c r="A1085" s="2" t="inlineStr">
        <is>
          <t>1500-on</t>
        </is>
      </c>
      <c r="B1085" s="2" t="n">
        <v>1500</v>
      </c>
      <c r="C1085" s="2" t="inlineStr">
        <is>
          <t>on</t>
        </is>
      </c>
      <c r="D1085" s="2" t="n">
        <v>1448</v>
      </c>
      <c r="E1085" s="2" t="inlineStr">
        <is>
          <t>openssl MLKEM768 (pure PQ)</t>
        </is>
      </c>
      <c r="F1085" s="2" t="b">
        <v>1</v>
      </c>
      <c r="G1085" s="2" t="n">
        <v>4</v>
      </c>
      <c r="H1085" s="2" t="n">
        <v>1453</v>
      </c>
      <c r="I1085" s="2" t="n">
        <v>1453</v>
      </c>
      <c r="J1085" s="2" t="n">
        <v>1443</v>
      </c>
      <c r="K1085" s="2">
        <f>H1085+5&gt;D1085</f>
        <v/>
      </c>
      <c r="L1085" s="2">
        <f>J1085&lt;I1085</f>
        <v/>
      </c>
      <c r="M1085" s="2" t="b">
        <v>1</v>
      </c>
      <c r="N1085" s="2" t="b">
        <v>1</v>
      </c>
      <c r="O1085" s="2" t="inlineStr">
        <is>
          <t>allow</t>
        </is>
      </c>
      <c r="P1085" s="2">
        <f>O1085&lt;&gt;"unknown"</f>
        <v/>
      </c>
    </row>
    <row r="1086">
      <c r="A1086" s="2" t="inlineStr">
        <is>
          <t>1500-on</t>
        </is>
      </c>
      <c r="B1086" s="2" t="n">
        <v>1500</v>
      </c>
      <c r="C1086" s="2" t="inlineStr">
        <is>
          <t>on</t>
        </is>
      </c>
      <c r="D1086" s="2" t="n">
        <v>1448</v>
      </c>
      <c r="E1086" s="2" t="inlineStr">
        <is>
          <t>openssl MLKEM768 (pure PQ)</t>
        </is>
      </c>
      <c r="F1086" s="2" t="b">
        <v>1</v>
      </c>
      <c r="G1086" s="2" t="n">
        <v>5</v>
      </c>
      <c r="H1086" s="2" t="n">
        <v>1453</v>
      </c>
      <c r="I1086" s="2" t="n">
        <v>1453</v>
      </c>
      <c r="J1086" s="2" t="n">
        <v>1443</v>
      </c>
      <c r="K1086" s="2">
        <f>H1086+5&gt;D1086</f>
        <v/>
      </c>
      <c r="L1086" s="2">
        <f>J1086&lt;I1086</f>
        <v/>
      </c>
      <c r="M1086" s="2" t="b">
        <v>1</v>
      </c>
      <c r="N1086" s="2" t="b">
        <v>1</v>
      </c>
      <c r="O1086" s="2" t="inlineStr">
        <is>
          <t>allow</t>
        </is>
      </c>
      <c r="P1086" s="2">
        <f>O1086&lt;&gt;"unknown"</f>
        <v/>
      </c>
    </row>
    <row r="1087">
      <c r="A1087" s="2" t="inlineStr">
        <is>
          <t>1500-on</t>
        </is>
      </c>
      <c r="B1087" s="2" t="n">
        <v>1500</v>
      </c>
      <c r="C1087" s="2" t="inlineStr">
        <is>
          <t>on</t>
        </is>
      </c>
      <c r="D1087" s="2" t="n">
        <v>1448</v>
      </c>
      <c r="E1087" s="2" t="inlineStr">
        <is>
          <t>openssl MLKEM768 (pure PQ)</t>
        </is>
      </c>
      <c r="F1087" s="2" t="b">
        <v>1</v>
      </c>
      <c r="G1087" s="2" t="n">
        <v>6</v>
      </c>
      <c r="H1087" s="2" t="n">
        <v>1453</v>
      </c>
      <c r="I1087" s="2" t="n">
        <v>1453</v>
      </c>
      <c r="J1087" s="2" t="n">
        <v>1443</v>
      </c>
      <c r="K1087" s="2">
        <f>H1087+5&gt;D1087</f>
        <v/>
      </c>
      <c r="L1087" s="2">
        <f>J1087&lt;I1087</f>
        <v/>
      </c>
      <c r="M1087" s="2" t="b">
        <v>1</v>
      </c>
      <c r="N1087" s="2" t="b">
        <v>1</v>
      </c>
      <c r="O1087" s="2" t="inlineStr">
        <is>
          <t>allow</t>
        </is>
      </c>
      <c r="P1087" s="2">
        <f>O1087&lt;&gt;"unknown"</f>
        <v/>
      </c>
    </row>
    <row r="1088">
      <c r="A1088" s="2" t="inlineStr">
        <is>
          <t>1500-on</t>
        </is>
      </c>
      <c r="B1088" s="2" t="n">
        <v>1500</v>
      </c>
      <c r="C1088" s="2" t="inlineStr">
        <is>
          <t>on</t>
        </is>
      </c>
      <c r="D1088" s="2" t="n">
        <v>1448</v>
      </c>
      <c r="E1088" s="2" t="inlineStr">
        <is>
          <t>openssl MLKEM768 (pure PQ)</t>
        </is>
      </c>
      <c r="F1088" s="2" t="b">
        <v>1</v>
      </c>
      <c r="G1088" s="2" t="n">
        <v>7</v>
      </c>
      <c r="H1088" s="2" t="n">
        <v>1453</v>
      </c>
      <c r="I1088" s="2" t="n">
        <v>1453</v>
      </c>
      <c r="J1088" s="2" t="n">
        <v>1443</v>
      </c>
      <c r="K1088" s="2">
        <f>H1088+5&gt;D1088</f>
        <v/>
      </c>
      <c r="L1088" s="2">
        <f>J1088&lt;I1088</f>
        <v/>
      </c>
      <c r="M1088" s="2" t="b">
        <v>1</v>
      </c>
      <c r="N1088" s="2" t="b">
        <v>1</v>
      </c>
      <c r="O1088" s="2" t="inlineStr">
        <is>
          <t>allow</t>
        </is>
      </c>
      <c r="P1088" s="2">
        <f>O1088&lt;&gt;"unknown"</f>
        <v/>
      </c>
    </row>
    <row r="1089">
      <c r="A1089" s="2" t="inlineStr">
        <is>
          <t>1500-on</t>
        </is>
      </c>
      <c r="B1089" s="2" t="n">
        <v>1500</v>
      </c>
      <c r="C1089" s="2" t="inlineStr">
        <is>
          <t>on</t>
        </is>
      </c>
      <c r="D1089" s="2" t="n">
        <v>1448</v>
      </c>
      <c r="E1089" s="2" t="inlineStr">
        <is>
          <t>openssl MLKEM768 (pure PQ)</t>
        </is>
      </c>
      <c r="F1089" s="2" t="b">
        <v>1</v>
      </c>
      <c r="G1089" s="2" t="n">
        <v>8</v>
      </c>
      <c r="H1089" s="2" t="n">
        <v>1453</v>
      </c>
      <c r="I1089" s="2" t="n">
        <v>1453</v>
      </c>
      <c r="J1089" s="2" t="n">
        <v>1443</v>
      </c>
      <c r="K1089" s="2">
        <f>H1089+5&gt;D1089</f>
        <v/>
      </c>
      <c r="L1089" s="2">
        <f>J1089&lt;I1089</f>
        <v/>
      </c>
      <c r="M1089" s="2" t="b">
        <v>1</v>
      </c>
      <c r="N1089" s="2" t="b">
        <v>1</v>
      </c>
      <c r="O1089" s="2" t="inlineStr">
        <is>
          <t>allow</t>
        </is>
      </c>
      <c r="P1089" s="2">
        <f>O1089&lt;&gt;"unknown"</f>
        <v/>
      </c>
    </row>
    <row r="1090">
      <c r="A1090" s="2" t="inlineStr">
        <is>
          <t>1500-on</t>
        </is>
      </c>
      <c r="B1090" s="2" t="n">
        <v>1500</v>
      </c>
      <c r="C1090" s="2" t="inlineStr">
        <is>
          <t>on</t>
        </is>
      </c>
      <c r="D1090" s="2" t="n">
        <v>1448</v>
      </c>
      <c r="E1090" s="2" t="inlineStr">
        <is>
          <t>openssl MLKEM768 (pure PQ)</t>
        </is>
      </c>
      <c r="F1090" s="2" t="b">
        <v>1</v>
      </c>
      <c r="G1090" s="2" t="n">
        <v>9</v>
      </c>
      <c r="H1090" s="2" t="n">
        <v>1453</v>
      </c>
      <c r="I1090" s="2" t="n">
        <v>1453</v>
      </c>
      <c r="J1090" s="2" t="n">
        <v>1443</v>
      </c>
      <c r="K1090" s="2">
        <f>H1090+5&gt;D1090</f>
        <v/>
      </c>
      <c r="L1090" s="2">
        <f>J1090&lt;I1090</f>
        <v/>
      </c>
      <c r="M1090" s="2" t="b">
        <v>1</v>
      </c>
      <c r="N1090" s="2" t="b">
        <v>1</v>
      </c>
      <c r="O1090" s="2" t="inlineStr">
        <is>
          <t>allow</t>
        </is>
      </c>
      <c r="P1090" s="2">
        <f>O1090&lt;&gt;"unknown"</f>
        <v/>
      </c>
    </row>
    <row r="1091">
      <c r="A1091" s="2" t="inlineStr">
        <is>
          <t>1500-on</t>
        </is>
      </c>
      <c r="B1091" s="2" t="n">
        <v>1500</v>
      </c>
      <c r="C1091" s="2" t="inlineStr">
        <is>
          <t>on</t>
        </is>
      </c>
      <c r="D1091" s="2" t="n">
        <v>1448</v>
      </c>
      <c r="E1091" s="2" t="inlineStr">
        <is>
          <t>openssl MLKEM768 (pure PQ)</t>
        </is>
      </c>
      <c r="F1091" s="2" t="b">
        <v>1</v>
      </c>
      <c r="G1091" s="2" t="n">
        <v>10</v>
      </c>
      <c r="H1091" s="2" t="n">
        <v>1453</v>
      </c>
      <c r="I1091" s="2" t="n">
        <v>1453</v>
      </c>
      <c r="J1091" s="2" t="n">
        <v>1443</v>
      </c>
      <c r="K1091" s="2">
        <f>H1091+5&gt;D1091</f>
        <v/>
      </c>
      <c r="L1091" s="2">
        <f>J1091&lt;I1091</f>
        <v/>
      </c>
      <c r="M1091" s="2" t="b">
        <v>1</v>
      </c>
      <c r="N1091" s="2" t="b">
        <v>1</v>
      </c>
      <c r="O1091" s="2" t="inlineStr">
        <is>
          <t>allow</t>
        </is>
      </c>
      <c r="P1091" s="2">
        <f>O1091&lt;&gt;"unknown"</f>
        <v/>
      </c>
    </row>
    <row r="1092">
      <c r="A1092" s="2" t="inlineStr">
        <is>
          <t>1500-on</t>
        </is>
      </c>
      <c r="B1092" s="2" t="n">
        <v>1500</v>
      </c>
      <c r="C1092" s="2" t="inlineStr">
        <is>
          <t>on</t>
        </is>
      </c>
      <c r="D1092" s="2" t="n">
        <v>1448</v>
      </c>
      <c r="E1092" s="2" t="inlineStr">
        <is>
          <t>openssl MLKEM768 (pure PQ)</t>
        </is>
      </c>
      <c r="F1092" s="2" t="b">
        <v>1</v>
      </c>
      <c r="G1092" s="2" t="n">
        <v>11</v>
      </c>
      <c r="H1092" s="2" t="n">
        <v>1453</v>
      </c>
      <c r="I1092" s="2" t="n">
        <v>1453</v>
      </c>
      <c r="J1092" s="2" t="n">
        <v>1443</v>
      </c>
      <c r="K1092" s="2">
        <f>H1092+5&gt;D1092</f>
        <v/>
      </c>
      <c r="L1092" s="2">
        <f>J1092&lt;I1092</f>
        <v/>
      </c>
      <c r="M1092" s="2" t="b">
        <v>1</v>
      </c>
      <c r="N1092" s="2" t="b">
        <v>1</v>
      </c>
      <c r="O1092" s="2" t="inlineStr">
        <is>
          <t>allow</t>
        </is>
      </c>
      <c r="P1092" s="2">
        <f>O1092&lt;&gt;"unknown"</f>
        <v/>
      </c>
    </row>
    <row r="1093">
      <c r="A1093" s="2" t="inlineStr">
        <is>
          <t>1500-on</t>
        </is>
      </c>
      <c r="B1093" s="2" t="n">
        <v>1500</v>
      </c>
      <c r="C1093" s="2" t="inlineStr">
        <is>
          <t>on</t>
        </is>
      </c>
      <c r="D1093" s="2" t="n">
        <v>1448</v>
      </c>
      <c r="E1093" s="2" t="inlineStr">
        <is>
          <t>openssl MLKEM768 (pure PQ)</t>
        </is>
      </c>
      <c r="F1093" s="2" t="b">
        <v>1</v>
      </c>
      <c r="G1093" s="2" t="n">
        <v>12</v>
      </c>
      <c r="H1093" s="2" t="n">
        <v>1453</v>
      </c>
      <c r="I1093" s="2" t="n">
        <v>1453</v>
      </c>
      <c r="J1093" s="2" t="n">
        <v>1443</v>
      </c>
      <c r="K1093" s="2">
        <f>H1093+5&gt;D1093</f>
        <v/>
      </c>
      <c r="L1093" s="2">
        <f>J1093&lt;I1093</f>
        <v/>
      </c>
      <c r="M1093" s="2" t="b">
        <v>1</v>
      </c>
      <c r="N1093" s="2" t="b">
        <v>1</v>
      </c>
      <c r="O1093" s="2" t="inlineStr">
        <is>
          <t>allow</t>
        </is>
      </c>
      <c r="P1093" s="2">
        <f>O1093&lt;&gt;"unknown"</f>
        <v/>
      </c>
    </row>
    <row r="1094">
      <c r="A1094" s="2" t="inlineStr">
        <is>
          <t>1500-on</t>
        </is>
      </c>
      <c r="B1094" s="2" t="n">
        <v>1500</v>
      </c>
      <c r="C1094" s="2" t="inlineStr">
        <is>
          <t>on</t>
        </is>
      </c>
      <c r="D1094" s="2" t="n">
        <v>1448</v>
      </c>
      <c r="E1094" s="2" t="inlineStr">
        <is>
          <t>openssl MLKEM768 (pure PQ)</t>
        </is>
      </c>
      <c r="F1094" s="2" t="b">
        <v>1</v>
      </c>
      <c r="G1094" s="2" t="n">
        <v>13</v>
      </c>
      <c r="H1094" s="2" t="n">
        <v>1453</v>
      </c>
      <c r="I1094" s="2" t="n">
        <v>1453</v>
      </c>
      <c r="J1094" s="2" t="n">
        <v>1443</v>
      </c>
      <c r="K1094" s="2">
        <f>H1094+5&gt;D1094</f>
        <v/>
      </c>
      <c r="L1094" s="2">
        <f>J1094&lt;I1094</f>
        <v/>
      </c>
      <c r="M1094" s="2" t="b">
        <v>1</v>
      </c>
      <c r="N1094" s="2" t="b">
        <v>1</v>
      </c>
      <c r="O1094" s="2" t="inlineStr">
        <is>
          <t>allow</t>
        </is>
      </c>
      <c r="P1094" s="2">
        <f>O1094&lt;&gt;"unknown"</f>
        <v/>
      </c>
    </row>
    <row r="1095">
      <c r="A1095" s="2" t="inlineStr">
        <is>
          <t>1500-on</t>
        </is>
      </c>
      <c r="B1095" s="2" t="n">
        <v>1500</v>
      </c>
      <c r="C1095" s="2" t="inlineStr">
        <is>
          <t>on</t>
        </is>
      </c>
      <c r="D1095" s="2" t="n">
        <v>1448</v>
      </c>
      <c r="E1095" s="2" t="inlineStr">
        <is>
          <t>openssl MLKEM768 (pure PQ)</t>
        </is>
      </c>
      <c r="F1095" s="2" t="b">
        <v>1</v>
      </c>
      <c r="G1095" s="2" t="n">
        <v>14</v>
      </c>
      <c r="H1095" s="2" t="n">
        <v>1453</v>
      </c>
      <c r="I1095" s="2" t="n">
        <v>1453</v>
      </c>
      <c r="J1095" s="2" t="n">
        <v>1443</v>
      </c>
      <c r="K1095" s="2">
        <f>H1095+5&gt;D1095</f>
        <v/>
      </c>
      <c r="L1095" s="2">
        <f>J1095&lt;I1095</f>
        <v/>
      </c>
      <c r="M1095" s="2" t="b">
        <v>1</v>
      </c>
      <c r="N1095" s="2" t="b">
        <v>1</v>
      </c>
      <c r="O1095" s="2" t="inlineStr">
        <is>
          <t>allow</t>
        </is>
      </c>
      <c r="P1095" s="2">
        <f>O1095&lt;&gt;"unknown"</f>
        <v/>
      </c>
    </row>
    <row r="1096">
      <c r="A1096" s="2" t="inlineStr">
        <is>
          <t>1500-on</t>
        </is>
      </c>
      <c r="B1096" s="2" t="n">
        <v>1500</v>
      </c>
      <c r="C1096" s="2" t="inlineStr">
        <is>
          <t>on</t>
        </is>
      </c>
      <c r="D1096" s="2" t="n">
        <v>1448</v>
      </c>
      <c r="E1096" s="2" t="inlineStr">
        <is>
          <t>openssl MLKEM768 (pure PQ)</t>
        </is>
      </c>
      <c r="F1096" s="2" t="b">
        <v>1</v>
      </c>
      <c r="G1096" s="2" t="n">
        <v>15</v>
      </c>
      <c r="H1096" s="2" t="n">
        <v>1453</v>
      </c>
      <c r="I1096" s="2" t="n">
        <v>1453</v>
      </c>
      <c r="J1096" s="2" t="n">
        <v>1443</v>
      </c>
      <c r="K1096" s="2">
        <f>H1096+5&gt;D1096</f>
        <v/>
      </c>
      <c r="L1096" s="2">
        <f>J1096&lt;I1096</f>
        <v/>
      </c>
      <c r="M1096" s="2" t="b">
        <v>1</v>
      </c>
      <c r="N1096" s="2" t="b">
        <v>1</v>
      </c>
      <c r="O1096" s="2" t="inlineStr">
        <is>
          <t>allow</t>
        </is>
      </c>
      <c r="P1096" s="2">
        <f>O1096&lt;&gt;"unknown"</f>
        <v/>
      </c>
    </row>
    <row r="1097">
      <c r="A1097" s="2" t="inlineStr">
        <is>
          <t>1500-on</t>
        </is>
      </c>
      <c r="B1097" s="2" t="n">
        <v>1500</v>
      </c>
      <c r="C1097" s="2" t="inlineStr">
        <is>
          <t>on</t>
        </is>
      </c>
      <c r="D1097" s="2" t="n">
        <v>1448</v>
      </c>
      <c r="E1097" s="2" t="inlineStr">
        <is>
          <t>openssl MLKEM768 (pure PQ)</t>
        </is>
      </c>
      <c r="F1097" s="2" t="b">
        <v>1</v>
      </c>
      <c r="G1097" s="2" t="n">
        <v>16</v>
      </c>
      <c r="H1097" s="2" t="n">
        <v>1453</v>
      </c>
      <c r="I1097" s="2" t="n">
        <v>1453</v>
      </c>
      <c r="J1097" s="2" t="n">
        <v>1443</v>
      </c>
      <c r="K1097" s="2">
        <f>H1097+5&gt;D1097</f>
        <v/>
      </c>
      <c r="L1097" s="2">
        <f>J1097&lt;I1097</f>
        <v/>
      </c>
      <c r="M1097" s="2" t="b">
        <v>1</v>
      </c>
      <c r="N1097" s="2" t="b">
        <v>1</v>
      </c>
      <c r="O1097" s="2" t="inlineStr">
        <is>
          <t>allow</t>
        </is>
      </c>
      <c r="P1097" s="2">
        <f>O1097&lt;&gt;"unknown"</f>
        <v/>
      </c>
    </row>
    <row r="1098">
      <c r="A1098" s="2" t="inlineStr">
        <is>
          <t>1500-on</t>
        </is>
      </c>
      <c r="B1098" s="2" t="n">
        <v>1500</v>
      </c>
      <c r="C1098" s="2" t="inlineStr">
        <is>
          <t>on</t>
        </is>
      </c>
      <c r="D1098" s="2" t="n">
        <v>1448</v>
      </c>
      <c r="E1098" s="2" t="inlineStr">
        <is>
          <t>openssl MLKEM768 (pure PQ)</t>
        </is>
      </c>
      <c r="F1098" s="2" t="b">
        <v>1</v>
      </c>
      <c r="G1098" s="2" t="n">
        <v>17</v>
      </c>
      <c r="H1098" s="2" t="n">
        <v>1453</v>
      </c>
      <c r="I1098" s="2" t="n">
        <v>1453</v>
      </c>
      <c r="J1098" s="2" t="n">
        <v>1443</v>
      </c>
      <c r="K1098" s="2">
        <f>H1098+5&gt;D1098</f>
        <v/>
      </c>
      <c r="L1098" s="2">
        <f>J1098&lt;I1098</f>
        <v/>
      </c>
      <c r="M1098" s="2" t="b">
        <v>1</v>
      </c>
      <c r="N1098" s="2" t="b">
        <v>1</v>
      </c>
      <c r="O1098" s="2" t="inlineStr">
        <is>
          <t>allow</t>
        </is>
      </c>
      <c r="P1098" s="2">
        <f>O1098&lt;&gt;"unknown"</f>
        <v/>
      </c>
    </row>
    <row r="1099">
      <c r="A1099" s="2" t="inlineStr">
        <is>
          <t>1500-on</t>
        </is>
      </c>
      <c r="B1099" s="2" t="n">
        <v>1500</v>
      </c>
      <c r="C1099" s="2" t="inlineStr">
        <is>
          <t>on</t>
        </is>
      </c>
      <c r="D1099" s="2" t="n">
        <v>1448</v>
      </c>
      <c r="E1099" s="2" t="inlineStr">
        <is>
          <t>openssl MLKEM768 (pure PQ)</t>
        </is>
      </c>
      <c r="F1099" s="2" t="b">
        <v>1</v>
      </c>
      <c r="G1099" s="2" t="n">
        <v>18</v>
      </c>
      <c r="H1099" s="2" t="n">
        <v>1453</v>
      </c>
      <c r="I1099" s="2" t="n">
        <v>1453</v>
      </c>
      <c r="J1099" s="2" t="n">
        <v>1443</v>
      </c>
      <c r="K1099" s="2">
        <f>H1099+5&gt;D1099</f>
        <v/>
      </c>
      <c r="L1099" s="2">
        <f>J1099&lt;I1099</f>
        <v/>
      </c>
      <c r="M1099" s="2" t="b">
        <v>1</v>
      </c>
      <c r="N1099" s="2" t="b">
        <v>1</v>
      </c>
      <c r="O1099" s="2" t="inlineStr">
        <is>
          <t>allow</t>
        </is>
      </c>
      <c r="P1099" s="2">
        <f>O1099&lt;&gt;"unknown"</f>
        <v/>
      </c>
    </row>
    <row r="1100">
      <c r="A1100" s="2" t="inlineStr">
        <is>
          <t>1500-on</t>
        </is>
      </c>
      <c r="B1100" s="2" t="n">
        <v>1500</v>
      </c>
      <c r="C1100" s="2" t="inlineStr">
        <is>
          <t>on</t>
        </is>
      </c>
      <c r="D1100" s="2" t="n">
        <v>1448</v>
      </c>
      <c r="E1100" s="2" t="inlineStr">
        <is>
          <t>openssl MLKEM768 (pure PQ)</t>
        </is>
      </c>
      <c r="F1100" s="2" t="b">
        <v>1</v>
      </c>
      <c r="G1100" s="2" t="n">
        <v>19</v>
      </c>
      <c r="H1100" s="2" t="n">
        <v>1453</v>
      </c>
      <c r="I1100" s="2" t="n">
        <v>1453</v>
      </c>
      <c r="J1100" s="2" t="n">
        <v>1443</v>
      </c>
      <c r="K1100" s="2">
        <f>H1100+5&gt;D1100</f>
        <v/>
      </c>
      <c r="L1100" s="2">
        <f>J1100&lt;I1100</f>
        <v/>
      </c>
      <c r="M1100" s="2" t="b">
        <v>1</v>
      </c>
      <c r="N1100" s="2" t="b">
        <v>1</v>
      </c>
      <c r="O1100" s="2" t="inlineStr">
        <is>
          <t>allow</t>
        </is>
      </c>
      <c r="P1100" s="2">
        <f>O1100&lt;&gt;"unknown"</f>
        <v/>
      </c>
    </row>
    <row r="1101">
      <c r="A1101" s="2" t="inlineStr">
        <is>
          <t>1500-on</t>
        </is>
      </c>
      <c r="B1101" s="2" t="n">
        <v>1500</v>
      </c>
      <c r="C1101" s="2" t="inlineStr">
        <is>
          <t>on</t>
        </is>
      </c>
      <c r="D1101" s="2" t="n">
        <v>1448</v>
      </c>
      <c r="E1101" s="2" t="inlineStr">
        <is>
          <t>openssl MLKEM768 (pure PQ)</t>
        </is>
      </c>
      <c r="F1101" s="2" t="b">
        <v>1</v>
      </c>
      <c r="G1101" s="2" t="n">
        <v>20</v>
      </c>
      <c r="H1101" s="2" t="n">
        <v>1453</v>
      </c>
      <c r="I1101" s="2" t="n">
        <v>1453</v>
      </c>
      <c r="J1101" s="2" t="n">
        <v>1443</v>
      </c>
      <c r="K1101" s="2">
        <f>H1101+5&gt;D1101</f>
        <v/>
      </c>
      <c r="L1101" s="2">
        <f>J1101&lt;I1101</f>
        <v/>
      </c>
      <c r="M1101" s="2" t="b">
        <v>1</v>
      </c>
      <c r="N1101" s="2" t="b">
        <v>1</v>
      </c>
      <c r="O1101" s="2" t="inlineStr">
        <is>
          <t>allow</t>
        </is>
      </c>
      <c r="P1101" s="2">
        <f>O1101&lt;&gt;"unknown"</f>
        <v/>
      </c>
    </row>
    <row r="1102">
      <c r="A1102" s="2" t="inlineStr">
        <is>
          <t>1500-on</t>
        </is>
      </c>
      <c r="B1102" s="2" t="n">
        <v>1500</v>
      </c>
      <c r="C1102" s="2" t="inlineStr">
        <is>
          <t>on</t>
        </is>
      </c>
      <c r="D1102" s="2" t="n">
        <v>1448</v>
      </c>
      <c r="E1102" s="2" t="inlineStr">
        <is>
          <t>openssl MLKEM1024 (pure PQ)</t>
        </is>
      </c>
      <c r="F1102" s="2" t="b">
        <v>1</v>
      </c>
      <c r="G1102" s="2" t="n">
        <v>1</v>
      </c>
      <c r="H1102" s="2" t="n">
        <v>1837</v>
      </c>
      <c r="I1102" s="2" t="n">
        <v>1837</v>
      </c>
      <c r="J1102" s="2" t="n">
        <v>1443</v>
      </c>
      <c r="K1102" s="2">
        <f>H1102+5&gt;D1102</f>
        <v/>
      </c>
      <c r="L1102" s="2">
        <f>J1102&lt;I1102</f>
        <v/>
      </c>
      <c r="M1102" s="2" t="b">
        <v>1</v>
      </c>
      <c r="N1102" s="2" t="b">
        <v>1</v>
      </c>
      <c r="O1102" s="2" t="inlineStr">
        <is>
          <t>allow</t>
        </is>
      </c>
      <c r="P1102" s="2">
        <f>O1102&lt;&gt;"unknown"</f>
        <v/>
      </c>
    </row>
    <row r="1103">
      <c r="A1103" s="2" t="inlineStr">
        <is>
          <t>1500-on</t>
        </is>
      </c>
      <c r="B1103" s="2" t="n">
        <v>1500</v>
      </c>
      <c r="C1103" s="2" t="inlineStr">
        <is>
          <t>on</t>
        </is>
      </c>
      <c r="D1103" s="2" t="n">
        <v>1448</v>
      </c>
      <c r="E1103" s="2" t="inlineStr">
        <is>
          <t>openssl MLKEM1024 (pure PQ)</t>
        </is>
      </c>
      <c r="F1103" s="2" t="b">
        <v>1</v>
      </c>
      <c r="G1103" s="2" t="n">
        <v>2</v>
      </c>
      <c r="H1103" s="2" t="n">
        <v>1837</v>
      </c>
      <c r="I1103" s="2" t="n">
        <v>1837</v>
      </c>
      <c r="J1103" s="2" t="n">
        <v>1443</v>
      </c>
      <c r="K1103" s="2">
        <f>H1103+5&gt;D1103</f>
        <v/>
      </c>
      <c r="L1103" s="2">
        <f>J1103&lt;I1103</f>
        <v/>
      </c>
      <c r="M1103" s="2" t="b">
        <v>1</v>
      </c>
      <c r="N1103" s="2" t="b">
        <v>1</v>
      </c>
      <c r="O1103" s="2" t="inlineStr">
        <is>
          <t>allow</t>
        </is>
      </c>
      <c r="P1103" s="2">
        <f>O1103&lt;&gt;"unknown"</f>
        <v/>
      </c>
    </row>
    <row r="1104">
      <c r="A1104" s="2" t="inlineStr">
        <is>
          <t>1500-on</t>
        </is>
      </c>
      <c r="B1104" s="2" t="n">
        <v>1500</v>
      </c>
      <c r="C1104" s="2" t="inlineStr">
        <is>
          <t>on</t>
        </is>
      </c>
      <c r="D1104" s="2" t="n">
        <v>1448</v>
      </c>
      <c r="E1104" s="2" t="inlineStr">
        <is>
          <t>openssl MLKEM1024 (pure PQ)</t>
        </is>
      </c>
      <c r="F1104" s="2" t="b">
        <v>1</v>
      </c>
      <c r="G1104" s="2" t="n">
        <v>3</v>
      </c>
      <c r="H1104" s="2" t="n">
        <v>1837</v>
      </c>
      <c r="I1104" s="2" t="n">
        <v>1837</v>
      </c>
      <c r="J1104" s="2" t="n">
        <v>1443</v>
      </c>
      <c r="K1104" s="2">
        <f>H1104+5&gt;D1104</f>
        <v/>
      </c>
      <c r="L1104" s="2">
        <f>J1104&lt;I1104</f>
        <v/>
      </c>
      <c r="M1104" s="2" t="b">
        <v>1</v>
      </c>
      <c r="N1104" s="2" t="b">
        <v>1</v>
      </c>
      <c r="O1104" s="2" t="inlineStr">
        <is>
          <t>allow</t>
        </is>
      </c>
      <c r="P1104" s="2">
        <f>O1104&lt;&gt;"unknown"</f>
        <v/>
      </c>
    </row>
    <row r="1105">
      <c r="A1105" s="2" t="inlineStr">
        <is>
          <t>1500-on</t>
        </is>
      </c>
      <c r="B1105" s="2" t="n">
        <v>1500</v>
      </c>
      <c r="C1105" s="2" t="inlineStr">
        <is>
          <t>on</t>
        </is>
      </c>
      <c r="D1105" s="2" t="n">
        <v>1448</v>
      </c>
      <c r="E1105" s="2" t="inlineStr">
        <is>
          <t>openssl MLKEM1024 (pure PQ)</t>
        </is>
      </c>
      <c r="F1105" s="2" t="b">
        <v>1</v>
      </c>
      <c r="G1105" s="2" t="n">
        <v>4</v>
      </c>
      <c r="H1105" s="2" t="n">
        <v>1837</v>
      </c>
      <c r="I1105" s="2" t="n">
        <v>1837</v>
      </c>
      <c r="J1105" s="2" t="n">
        <v>1443</v>
      </c>
      <c r="K1105" s="2">
        <f>H1105+5&gt;D1105</f>
        <v/>
      </c>
      <c r="L1105" s="2">
        <f>J1105&lt;I1105</f>
        <v/>
      </c>
      <c r="M1105" s="2" t="b">
        <v>1</v>
      </c>
      <c r="N1105" s="2" t="b">
        <v>1</v>
      </c>
      <c r="O1105" s="2" t="inlineStr">
        <is>
          <t>allow</t>
        </is>
      </c>
      <c r="P1105" s="2">
        <f>O1105&lt;&gt;"unknown"</f>
        <v/>
      </c>
    </row>
    <row r="1106">
      <c r="A1106" s="2" t="inlineStr">
        <is>
          <t>1500-on</t>
        </is>
      </c>
      <c r="B1106" s="2" t="n">
        <v>1500</v>
      </c>
      <c r="C1106" s="2" t="inlineStr">
        <is>
          <t>on</t>
        </is>
      </c>
      <c r="D1106" s="2" t="n">
        <v>1448</v>
      </c>
      <c r="E1106" s="2" t="inlineStr">
        <is>
          <t>openssl MLKEM1024 (pure PQ)</t>
        </is>
      </c>
      <c r="F1106" s="2" t="b">
        <v>1</v>
      </c>
      <c r="G1106" s="2" t="n">
        <v>5</v>
      </c>
      <c r="H1106" s="2" t="n">
        <v>1837</v>
      </c>
      <c r="I1106" s="2" t="n">
        <v>1837</v>
      </c>
      <c r="J1106" s="2" t="n">
        <v>1443</v>
      </c>
      <c r="K1106" s="2">
        <f>H1106+5&gt;D1106</f>
        <v/>
      </c>
      <c r="L1106" s="2">
        <f>J1106&lt;I1106</f>
        <v/>
      </c>
      <c r="M1106" s="2" t="b">
        <v>1</v>
      </c>
      <c r="N1106" s="2" t="b">
        <v>1</v>
      </c>
      <c r="O1106" s="2" t="inlineStr">
        <is>
          <t>allow</t>
        </is>
      </c>
      <c r="P1106" s="2">
        <f>O1106&lt;&gt;"unknown"</f>
        <v/>
      </c>
    </row>
    <row r="1107">
      <c r="A1107" s="2" t="inlineStr">
        <is>
          <t>1500-on</t>
        </is>
      </c>
      <c r="B1107" s="2" t="n">
        <v>1500</v>
      </c>
      <c r="C1107" s="2" t="inlineStr">
        <is>
          <t>on</t>
        </is>
      </c>
      <c r="D1107" s="2" t="n">
        <v>1448</v>
      </c>
      <c r="E1107" s="2" t="inlineStr">
        <is>
          <t>openssl MLKEM1024 (pure PQ)</t>
        </is>
      </c>
      <c r="F1107" s="2" t="b">
        <v>1</v>
      </c>
      <c r="G1107" s="2" t="n">
        <v>6</v>
      </c>
      <c r="H1107" s="2" t="n">
        <v>1837</v>
      </c>
      <c r="I1107" s="2" t="n">
        <v>1837</v>
      </c>
      <c r="J1107" s="2" t="n">
        <v>1443</v>
      </c>
      <c r="K1107" s="2">
        <f>H1107+5&gt;D1107</f>
        <v/>
      </c>
      <c r="L1107" s="2">
        <f>J1107&lt;I1107</f>
        <v/>
      </c>
      <c r="M1107" s="2" t="b">
        <v>1</v>
      </c>
      <c r="N1107" s="2" t="b">
        <v>1</v>
      </c>
      <c r="O1107" s="2" t="inlineStr">
        <is>
          <t>allow</t>
        </is>
      </c>
      <c r="P1107" s="2">
        <f>O1107&lt;&gt;"unknown"</f>
        <v/>
      </c>
    </row>
    <row r="1108">
      <c r="A1108" s="2" t="inlineStr">
        <is>
          <t>1500-on</t>
        </is>
      </c>
      <c r="B1108" s="2" t="n">
        <v>1500</v>
      </c>
      <c r="C1108" s="2" t="inlineStr">
        <is>
          <t>on</t>
        </is>
      </c>
      <c r="D1108" s="2" t="n">
        <v>1448</v>
      </c>
      <c r="E1108" s="2" t="inlineStr">
        <is>
          <t>openssl MLKEM1024 (pure PQ)</t>
        </is>
      </c>
      <c r="F1108" s="2" t="b">
        <v>1</v>
      </c>
      <c r="G1108" s="2" t="n">
        <v>7</v>
      </c>
      <c r="H1108" s="2" t="n">
        <v>1837</v>
      </c>
      <c r="I1108" s="2" t="n">
        <v>1837</v>
      </c>
      <c r="J1108" s="2" t="n">
        <v>1443</v>
      </c>
      <c r="K1108" s="2">
        <f>H1108+5&gt;D1108</f>
        <v/>
      </c>
      <c r="L1108" s="2">
        <f>J1108&lt;I1108</f>
        <v/>
      </c>
      <c r="M1108" s="2" t="b">
        <v>1</v>
      </c>
      <c r="N1108" s="2" t="b">
        <v>1</v>
      </c>
      <c r="O1108" s="2" t="inlineStr">
        <is>
          <t>allow</t>
        </is>
      </c>
      <c r="P1108" s="2">
        <f>O1108&lt;&gt;"unknown"</f>
        <v/>
      </c>
    </row>
    <row r="1109">
      <c r="A1109" s="2" t="inlineStr">
        <is>
          <t>1500-on</t>
        </is>
      </c>
      <c r="B1109" s="2" t="n">
        <v>1500</v>
      </c>
      <c r="C1109" s="2" t="inlineStr">
        <is>
          <t>on</t>
        </is>
      </c>
      <c r="D1109" s="2" t="n">
        <v>1448</v>
      </c>
      <c r="E1109" s="2" t="inlineStr">
        <is>
          <t>openssl MLKEM1024 (pure PQ)</t>
        </is>
      </c>
      <c r="F1109" s="2" t="b">
        <v>1</v>
      </c>
      <c r="G1109" s="2" t="n">
        <v>8</v>
      </c>
      <c r="H1109" s="2" t="n">
        <v>1837</v>
      </c>
      <c r="I1109" s="2" t="n">
        <v>1837</v>
      </c>
      <c r="J1109" s="2" t="n">
        <v>1443</v>
      </c>
      <c r="K1109" s="2">
        <f>H1109+5&gt;D1109</f>
        <v/>
      </c>
      <c r="L1109" s="2">
        <f>J1109&lt;I1109</f>
        <v/>
      </c>
      <c r="M1109" s="2" t="b">
        <v>1</v>
      </c>
      <c r="N1109" s="2" t="b">
        <v>1</v>
      </c>
      <c r="O1109" s="2" t="inlineStr">
        <is>
          <t>allow</t>
        </is>
      </c>
      <c r="P1109" s="2">
        <f>O1109&lt;&gt;"unknown"</f>
        <v/>
      </c>
    </row>
    <row r="1110">
      <c r="A1110" s="2" t="inlineStr">
        <is>
          <t>1500-on</t>
        </is>
      </c>
      <c r="B1110" s="2" t="n">
        <v>1500</v>
      </c>
      <c r="C1110" s="2" t="inlineStr">
        <is>
          <t>on</t>
        </is>
      </c>
      <c r="D1110" s="2" t="n">
        <v>1448</v>
      </c>
      <c r="E1110" s="2" t="inlineStr">
        <is>
          <t>openssl MLKEM1024 (pure PQ)</t>
        </is>
      </c>
      <c r="F1110" s="2" t="b">
        <v>1</v>
      </c>
      <c r="G1110" s="2" t="n">
        <v>9</v>
      </c>
      <c r="H1110" s="2" t="n">
        <v>1837</v>
      </c>
      <c r="I1110" s="2" t="n">
        <v>1837</v>
      </c>
      <c r="J1110" s="2" t="n">
        <v>1443</v>
      </c>
      <c r="K1110" s="2">
        <f>H1110+5&gt;D1110</f>
        <v/>
      </c>
      <c r="L1110" s="2">
        <f>J1110&lt;I1110</f>
        <v/>
      </c>
      <c r="M1110" s="2" t="b">
        <v>1</v>
      </c>
      <c r="N1110" s="2" t="b">
        <v>1</v>
      </c>
      <c r="O1110" s="2" t="inlineStr">
        <is>
          <t>allow</t>
        </is>
      </c>
      <c r="P1110" s="2">
        <f>O1110&lt;&gt;"unknown"</f>
        <v/>
      </c>
    </row>
    <row r="1111">
      <c r="A1111" s="2" t="inlineStr">
        <is>
          <t>1500-on</t>
        </is>
      </c>
      <c r="B1111" s="2" t="n">
        <v>1500</v>
      </c>
      <c r="C1111" s="2" t="inlineStr">
        <is>
          <t>on</t>
        </is>
      </c>
      <c r="D1111" s="2" t="n">
        <v>1448</v>
      </c>
      <c r="E1111" s="2" t="inlineStr">
        <is>
          <t>openssl MLKEM1024 (pure PQ)</t>
        </is>
      </c>
      <c r="F1111" s="2" t="b">
        <v>1</v>
      </c>
      <c r="G1111" s="2" t="n">
        <v>10</v>
      </c>
      <c r="H1111" s="2" t="n">
        <v>1837</v>
      </c>
      <c r="I1111" s="2" t="n">
        <v>1837</v>
      </c>
      <c r="J1111" s="2" t="n">
        <v>1443</v>
      </c>
      <c r="K1111" s="2">
        <f>H1111+5&gt;D1111</f>
        <v/>
      </c>
      <c r="L1111" s="2">
        <f>J1111&lt;I1111</f>
        <v/>
      </c>
      <c r="M1111" s="2" t="b">
        <v>1</v>
      </c>
      <c r="N1111" s="2" t="b">
        <v>1</v>
      </c>
      <c r="O1111" s="2" t="inlineStr">
        <is>
          <t>allow</t>
        </is>
      </c>
      <c r="P1111" s="2">
        <f>O1111&lt;&gt;"unknown"</f>
        <v/>
      </c>
    </row>
    <row r="1112">
      <c r="A1112" s="2" t="inlineStr">
        <is>
          <t>1500-on</t>
        </is>
      </c>
      <c r="B1112" s="2" t="n">
        <v>1500</v>
      </c>
      <c r="C1112" s="2" t="inlineStr">
        <is>
          <t>on</t>
        </is>
      </c>
      <c r="D1112" s="2" t="n">
        <v>1448</v>
      </c>
      <c r="E1112" s="2" t="inlineStr">
        <is>
          <t>openssl MLKEM1024 (pure PQ)</t>
        </is>
      </c>
      <c r="F1112" s="2" t="b">
        <v>1</v>
      </c>
      <c r="G1112" s="2" t="n">
        <v>11</v>
      </c>
      <c r="H1112" s="2" t="n">
        <v>1837</v>
      </c>
      <c r="I1112" s="2" t="n">
        <v>1837</v>
      </c>
      <c r="J1112" s="2" t="n">
        <v>1443</v>
      </c>
      <c r="K1112" s="2">
        <f>H1112+5&gt;D1112</f>
        <v/>
      </c>
      <c r="L1112" s="2">
        <f>J1112&lt;I1112</f>
        <v/>
      </c>
      <c r="M1112" s="2" t="b">
        <v>1</v>
      </c>
      <c r="N1112" s="2" t="b">
        <v>1</v>
      </c>
      <c r="O1112" s="2" t="inlineStr">
        <is>
          <t>allow</t>
        </is>
      </c>
      <c r="P1112" s="2">
        <f>O1112&lt;&gt;"unknown"</f>
        <v/>
      </c>
    </row>
    <row r="1113">
      <c r="A1113" s="2" t="inlineStr">
        <is>
          <t>1500-on</t>
        </is>
      </c>
      <c r="B1113" s="2" t="n">
        <v>1500</v>
      </c>
      <c r="C1113" s="2" t="inlineStr">
        <is>
          <t>on</t>
        </is>
      </c>
      <c r="D1113" s="2" t="n">
        <v>1448</v>
      </c>
      <c r="E1113" s="2" t="inlineStr">
        <is>
          <t>openssl MLKEM1024 (pure PQ)</t>
        </is>
      </c>
      <c r="F1113" s="2" t="b">
        <v>1</v>
      </c>
      <c r="G1113" s="2" t="n">
        <v>12</v>
      </c>
      <c r="H1113" s="2" t="n">
        <v>1837</v>
      </c>
      <c r="I1113" s="2" t="n">
        <v>1837</v>
      </c>
      <c r="J1113" s="2" t="n">
        <v>1443</v>
      </c>
      <c r="K1113" s="2">
        <f>H1113+5&gt;D1113</f>
        <v/>
      </c>
      <c r="L1113" s="2">
        <f>J1113&lt;I1113</f>
        <v/>
      </c>
      <c r="M1113" s="2" t="b">
        <v>1</v>
      </c>
      <c r="N1113" s="2" t="b">
        <v>1</v>
      </c>
      <c r="O1113" s="2" t="inlineStr">
        <is>
          <t>allow</t>
        </is>
      </c>
      <c r="P1113" s="2">
        <f>O1113&lt;&gt;"unknown"</f>
        <v/>
      </c>
    </row>
    <row r="1114">
      <c r="A1114" s="2" t="inlineStr">
        <is>
          <t>1500-on</t>
        </is>
      </c>
      <c r="B1114" s="2" t="n">
        <v>1500</v>
      </c>
      <c r="C1114" s="2" t="inlineStr">
        <is>
          <t>on</t>
        </is>
      </c>
      <c r="D1114" s="2" t="n">
        <v>1448</v>
      </c>
      <c r="E1114" s="2" t="inlineStr">
        <is>
          <t>openssl MLKEM1024 (pure PQ)</t>
        </is>
      </c>
      <c r="F1114" s="2" t="b">
        <v>1</v>
      </c>
      <c r="G1114" s="2" t="n">
        <v>13</v>
      </c>
      <c r="H1114" s="2" t="n">
        <v>1837</v>
      </c>
      <c r="I1114" s="2" t="n">
        <v>1837</v>
      </c>
      <c r="J1114" s="2" t="n">
        <v>1443</v>
      </c>
      <c r="K1114" s="2">
        <f>H1114+5&gt;D1114</f>
        <v/>
      </c>
      <c r="L1114" s="2">
        <f>J1114&lt;I1114</f>
        <v/>
      </c>
      <c r="M1114" s="2" t="b">
        <v>1</v>
      </c>
      <c r="N1114" s="2" t="b">
        <v>1</v>
      </c>
      <c r="O1114" s="2" t="inlineStr">
        <is>
          <t>allow</t>
        </is>
      </c>
      <c r="P1114" s="2">
        <f>O1114&lt;&gt;"unknown"</f>
        <v/>
      </c>
    </row>
    <row r="1115">
      <c r="A1115" s="2" t="inlineStr">
        <is>
          <t>1500-on</t>
        </is>
      </c>
      <c r="B1115" s="2" t="n">
        <v>1500</v>
      </c>
      <c r="C1115" s="2" t="inlineStr">
        <is>
          <t>on</t>
        </is>
      </c>
      <c r="D1115" s="2" t="n">
        <v>1448</v>
      </c>
      <c r="E1115" s="2" t="inlineStr">
        <is>
          <t>openssl MLKEM1024 (pure PQ)</t>
        </is>
      </c>
      <c r="F1115" s="2" t="b">
        <v>1</v>
      </c>
      <c r="G1115" s="2" t="n">
        <v>14</v>
      </c>
      <c r="H1115" s="2" t="n">
        <v>1837</v>
      </c>
      <c r="I1115" s="2" t="n">
        <v>1837</v>
      </c>
      <c r="J1115" s="2" t="n">
        <v>1443</v>
      </c>
      <c r="K1115" s="2">
        <f>H1115+5&gt;D1115</f>
        <v/>
      </c>
      <c r="L1115" s="2">
        <f>J1115&lt;I1115</f>
        <v/>
      </c>
      <c r="M1115" s="2" t="b">
        <v>1</v>
      </c>
      <c r="N1115" s="2" t="b">
        <v>1</v>
      </c>
      <c r="O1115" s="2" t="inlineStr">
        <is>
          <t>allow</t>
        </is>
      </c>
      <c r="P1115" s="2">
        <f>O1115&lt;&gt;"unknown"</f>
        <v/>
      </c>
    </row>
    <row r="1116">
      <c r="A1116" s="2" t="inlineStr">
        <is>
          <t>1500-on</t>
        </is>
      </c>
      <c r="B1116" s="2" t="n">
        <v>1500</v>
      </c>
      <c r="C1116" s="2" t="inlineStr">
        <is>
          <t>on</t>
        </is>
      </c>
      <c r="D1116" s="2" t="n">
        <v>1448</v>
      </c>
      <c r="E1116" s="2" t="inlineStr">
        <is>
          <t>openssl MLKEM1024 (pure PQ)</t>
        </is>
      </c>
      <c r="F1116" s="2" t="b">
        <v>1</v>
      </c>
      <c r="G1116" s="2" t="n">
        <v>15</v>
      </c>
      <c r="H1116" s="2" t="n">
        <v>1837</v>
      </c>
      <c r="I1116" s="2" t="n">
        <v>1837</v>
      </c>
      <c r="J1116" s="2" t="n">
        <v>1443</v>
      </c>
      <c r="K1116" s="2">
        <f>H1116+5&gt;D1116</f>
        <v/>
      </c>
      <c r="L1116" s="2">
        <f>J1116&lt;I1116</f>
        <v/>
      </c>
      <c r="M1116" s="2" t="b">
        <v>1</v>
      </c>
      <c r="N1116" s="2" t="b">
        <v>1</v>
      </c>
      <c r="O1116" s="2" t="inlineStr">
        <is>
          <t>allow</t>
        </is>
      </c>
      <c r="P1116" s="2">
        <f>O1116&lt;&gt;"unknown"</f>
        <v/>
      </c>
    </row>
    <row r="1117">
      <c r="A1117" s="2" t="inlineStr">
        <is>
          <t>1500-on</t>
        </is>
      </c>
      <c r="B1117" s="2" t="n">
        <v>1500</v>
      </c>
      <c r="C1117" s="2" t="inlineStr">
        <is>
          <t>on</t>
        </is>
      </c>
      <c r="D1117" s="2" t="n">
        <v>1448</v>
      </c>
      <c r="E1117" s="2" t="inlineStr">
        <is>
          <t>openssl MLKEM1024 (pure PQ)</t>
        </is>
      </c>
      <c r="F1117" s="2" t="b">
        <v>1</v>
      </c>
      <c r="G1117" s="2" t="n">
        <v>16</v>
      </c>
      <c r="H1117" s="2" t="n">
        <v>1837</v>
      </c>
      <c r="I1117" s="2" t="n">
        <v>1837</v>
      </c>
      <c r="J1117" s="2" t="n">
        <v>1443</v>
      </c>
      <c r="K1117" s="2">
        <f>H1117+5&gt;D1117</f>
        <v/>
      </c>
      <c r="L1117" s="2">
        <f>J1117&lt;I1117</f>
        <v/>
      </c>
      <c r="M1117" s="2" t="b">
        <v>1</v>
      </c>
      <c r="N1117" s="2" t="b">
        <v>1</v>
      </c>
      <c r="O1117" s="2" t="inlineStr">
        <is>
          <t>allow</t>
        </is>
      </c>
      <c r="P1117" s="2">
        <f>O1117&lt;&gt;"unknown"</f>
        <v/>
      </c>
    </row>
    <row r="1118">
      <c r="A1118" s="2" t="inlineStr">
        <is>
          <t>1500-on</t>
        </is>
      </c>
      <c r="B1118" s="2" t="n">
        <v>1500</v>
      </c>
      <c r="C1118" s="2" t="inlineStr">
        <is>
          <t>on</t>
        </is>
      </c>
      <c r="D1118" s="2" t="n">
        <v>1448</v>
      </c>
      <c r="E1118" s="2" t="inlineStr">
        <is>
          <t>openssl MLKEM1024 (pure PQ)</t>
        </is>
      </c>
      <c r="F1118" s="2" t="b">
        <v>1</v>
      </c>
      <c r="G1118" s="2" t="n">
        <v>17</v>
      </c>
      <c r="H1118" s="2" t="n">
        <v>1837</v>
      </c>
      <c r="I1118" s="2" t="n">
        <v>1837</v>
      </c>
      <c r="J1118" s="2" t="n">
        <v>1443</v>
      </c>
      <c r="K1118" s="2">
        <f>H1118+5&gt;D1118</f>
        <v/>
      </c>
      <c r="L1118" s="2">
        <f>J1118&lt;I1118</f>
        <v/>
      </c>
      <c r="M1118" s="2" t="b">
        <v>1</v>
      </c>
      <c r="N1118" s="2" t="b">
        <v>1</v>
      </c>
      <c r="O1118" s="2" t="inlineStr">
        <is>
          <t>allow</t>
        </is>
      </c>
      <c r="P1118" s="2">
        <f>O1118&lt;&gt;"unknown"</f>
        <v/>
      </c>
    </row>
    <row r="1119">
      <c r="A1119" s="2" t="inlineStr">
        <is>
          <t>1500-on</t>
        </is>
      </c>
      <c r="B1119" s="2" t="n">
        <v>1500</v>
      </c>
      <c r="C1119" s="2" t="inlineStr">
        <is>
          <t>on</t>
        </is>
      </c>
      <c r="D1119" s="2" t="n">
        <v>1448</v>
      </c>
      <c r="E1119" s="2" t="inlineStr">
        <is>
          <t>openssl MLKEM1024 (pure PQ)</t>
        </is>
      </c>
      <c r="F1119" s="2" t="b">
        <v>1</v>
      </c>
      <c r="G1119" s="2" t="n">
        <v>18</v>
      </c>
      <c r="H1119" s="2" t="n">
        <v>1837</v>
      </c>
      <c r="I1119" s="2" t="n">
        <v>1837</v>
      </c>
      <c r="J1119" s="2" t="n">
        <v>1443</v>
      </c>
      <c r="K1119" s="2">
        <f>H1119+5&gt;D1119</f>
        <v/>
      </c>
      <c r="L1119" s="2">
        <f>J1119&lt;I1119</f>
        <v/>
      </c>
      <c r="M1119" s="2" t="b">
        <v>1</v>
      </c>
      <c r="N1119" s="2" t="b">
        <v>1</v>
      </c>
      <c r="O1119" s="2" t="inlineStr">
        <is>
          <t>allow</t>
        </is>
      </c>
      <c r="P1119" s="2">
        <f>O1119&lt;&gt;"unknown"</f>
        <v/>
      </c>
    </row>
    <row r="1120">
      <c r="A1120" s="2" t="inlineStr">
        <is>
          <t>1500-on</t>
        </is>
      </c>
      <c r="B1120" s="2" t="n">
        <v>1500</v>
      </c>
      <c r="C1120" s="2" t="inlineStr">
        <is>
          <t>on</t>
        </is>
      </c>
      <c r="D1120" s="2" t="n">
        <v>1448</v>
      </c>
      <c r="E1120" s="2" t="inlineStr">
        <is>
          <t>openssl MLKEM1024 (pure PQ)</t>
        </is>
      </c>
      <c r="F1120" s="2" t="b">
        <v>1</v>
      </c>
      <c r="G1120" s="2" t="n">
        <v>19</v>
      </c>
      <c r="H1120" s="2" t="n">
        <v>1837</v>
      </c>
      <c r="I1120" s="2" t="n">
        <v>1837</v>
      </c>
      <c r="J1120" s="2" t="n">
        <v>1443</v>
      </c>
      <c r="K1120" s="2">
        <f>H1120+5&gt;D1120</f>
        <v/>
      </c>
      <c r="L1120" s="2">
        <f>J1120&lt;I1120</f>
        <v/>
      </c>
      <c r="M1120" s="2" t="b">
        <v>1</v>
      </c>
      <c r="N1120" s="2" t="b">
        <v>1</v>
      </c>
      <c r="O1120" s="2" t="inlineStr">
        <is>
          <t>allow</t>
        </is>
      </c>
      <c r="P1120" s="2">
        <f>O1120&lt;&gt;"unknown"</f>
        <v/>
      </c>
    </row>
    <row r="1121">
      <c r="A1121" s="2" t="inlineStr">
        <is>
          <t>1500-on</t>
        </is>
      </c>
      <c r="B1121" s="2" t="n">
        <v>1500</v>
      </c>
      <c r="C1121" s="2" t="inlineStr">
        <is>
          <t>on</t>
        </is>
      </c>
      <c r="D1121" s="2" t="n">
        <v>1448</v>
      </c>
      <c r="E1121" s="2" t="inlineStr">
        <is>
          <t>openssl MLKEM1024 (pure PQ)</t>
        </is>
      </c>
      <c r="F1121" s="2" t="b">
        <v>1</v>
      </c>
      <c r="G1121" s="2" t="n">
        <v>20</v>
      </c>
      <c r="H1121" s="2" t="n">
        <v>1837</v>
      </c>
      <c r="I1121" s="2" t="n">
        <v>1837</v>
      </c>
      <c r="J1121" s="2" t="n">
        <v>1443</v>
      </c>
      <c r="K1121" s="2">
        <f>H1121+5&gt;D1121</f>
        <v/>
      </c>
      <c r="L1121" s="2">
        <f>J1121&lt;I1121</f>
        <v/>
      </c>
      <c r="M1121" s="2" t="b">
        <v>1</v>
      </c>
      <c r="N1121" s="2" t="b">
        <v>1</v>
      </c>
      <c r="O1121" s="2" t="inlineStr">
        <is>
          <t>allow</t>
        </is>
      </c>
      <c r="P1121" s="2">
        <f>O1121&lt;&gt;"unknown"</f>
        <v/>
      </c>
    </row>
    <row r="1122">
      <c r="A1122" s="2" t="inlineStr">
        <is>
          <t>1500-on</t>
        </is>
      </c>
      <c r="B1122" s="2" t="n">
        <v>1500</v>
      </c>
      <c r="C1122" s="2" t="inlineStr">
        <is>
          <t>on</t>
        </is>
      </c>
      <c r="D1122" s="2" t="n">
        <v>1448</v>
      </c>
      <c r="E1122" s="2" t="inlineStr">
        <is>
          <t>openssl TLS 1.2 only</t>
        </is>
      </c>
      <c r="F1122" s="2" t="b">
        <v>0</v>
      </c>
      <c r="G1122" s="2" t="n">
        <v>1</v>
      </c>
      <c r="H1122" s="2" t="n">
        <v>210</v>
      </c>
      <c r="I1122" s="2" t="n">
        <v>210</v>
      </c>
      <c r="J1122" s="2" t="n">
        <v>210</v>
      </c>
      <c r="K1122" s="2">
        <f>H1122+5&gt;D1122</f>
        <v/>
      </c>
      <c r="L1122" s="2">
        <f>J1122&lt;I1122</f>
        <v/>
      </c>
      <c r="M1122" s="2" t="b">
        <v>1</v>
      </c>
      <c r="N1122" s="2" t="b">
        <v>1</v>
      </c>
      <c r="O1122" s="2" t="inlineStr">
        <is>
          <t>allow</t>
        </is>
      </c>
      <c r="P1122" s="2">
        <f>O1122&lt;&gt;"unknown"</f>
        <v/>
      </c>
    </row>
    <row r="1123">
      <c r="A1123" s="2" t="inlineStr">
        <is>
          <t>1500-on</t>
        </is>
      </c>
      <c r="B1123" s="2" t="n">
        <v>1500</v>
      </c>
      <c r="C1123" s="2" t="inlineStr">
        <is>
          <t>on</t>
        </is>
      </c>
      <c r="D1123" s="2" t="n">
        <v>1448</v>
      </c>
      <c r="E1123" s="2" t="inlineStr">
        <is>
          <t>openssl TLS 1.2 only</t>
        </is>
      </c>
      <c r="F1123" s="2" t="b">
        <v>0</v>
      </c>
      <c r="G1123" s="2" t="n">
        <v>2</v>
      </c>
      <c r="H1123" s="2" t="n">
        <v>210</v>
      </c>
      <c r="I1123" s="2" t="n">
        <v>210</v>
      </c>
      <c r="J1123" s="2" t="n">
        <v>210</v>
      </c>
      <c r="K1123" s="2">
        <f>H1123+5&gt;D1123</f>
        <v/>
      </c>
      <c r="L1123" s="2">
        <f>J1123&lt;I1123</f>
        <v/>
      </c>
      <c r="M1123" s="2" t="b">
        <v>1</v>
      </c>
      <c r="N1123" s="2" t="b">
        <v>1</v>
      </c>
      <c r="O1123" s="2" t="inlineStr">
        <is>
          <t>allow</t>
        </is>
      </c>
      <c r="P1123" s="2">
        <f>O1123&lt;&gt;"unknown"</f>
        <v/>
      </c>
    </row>
    <row r="1124">
      <c r="A1124" s="2" t="inlineStr">
        <is>
          <t>1500-on</t>
        </is>
      </c>
      <c r="B1124" s="2" t="n">
        <v>1500</v>
      </c>
      <c r="C1124" s="2" t="inlineStr">
        <is>
          <t>on</t>
        </is>
      </c>
      <c r="D1124" s="2" t="n">
        <v>1448</v>
      </c>
      <c r="E1124" s="2" t="inlineStr">
        <is>
          <t>openssl TLS 1.2 only</t>
        </is>
      </c>
      <c r="F1124" s="2" t="b">
        <v>0</v>
      </c>
      <c r="G1124" s="2" t="n">
        <v>3</v>
      </c>
      <c r="H1124" s="2" t="n">
        <v>210</v>
      </c>
      <c r="I1124" s="2" t="n">
        <v>210</v>
      </c>
      <c r="J1124" s="2" t="n">
        <v>210</v>
      </c>
      <c r="K1124" s="2">
        <f>H1124+5&gt;D1124</f>
        <v/>
      </c>
      <c r="L1124" s="2">
        <f>J1124&lt;I1124</f>
        <v/>
      </c>
      <c r="M1124" s="2" t="b">
        <v>1</v>
      </c>
      <c r="N1124" s="2" t="b">
        <v>1</v>
      </c>
      <c r="O1124" s="2" t="inlineStr">
        <is>
          <t>allow</t>
        </is>
      </c>
      <c r="P1124" s="2">
        <f>O1124&lt;&gt;"unknown"</f>
        <v/>
      </c>
    </row>
    <row r="1125">
      <c r="A1125" s="2" t="inlineStr">
        <is>
          <t>1500-on</t>
        </is>
      </c>
      <c r="B1125" s="2" t="n">
        <v>1500</v>
      </c>
      <c r="C1125" s="2" t="inlineStr">
        <is>
          <t>on</t>
        </is>
      </c>
      <c r="D1125" s="2" t="n">
        <v>1448</v>
      </c>
      <c r="E1125" s="2" t="inlineStr">
        <is>
          <t>openssl TLS 1.2 only</t>
        </is>
      </c>
      <c r="F1125" s="2" t="b">
        <v>0</v>
      </c>
      <c r="G1125" s="2" t="n">
        <v>4</v>
      </c>
      <c r="H1125" s="2" t="n">
        <v>210</v>
      </c>
      <c r="I1125" s="2" t="n">
        <v>210</v>
      </c>
      <c r="J1125" s="2" t="n">
        <v>210</v>
      </c>
      <c r="K1125" s="2">
        <f>H1125+5&gt;D1125</f>
        <v/>
      </c>
      <c r="L1125" s="2">
        <f>J1125&lt;I1125</f>
        <v/>
      </c>
      <c r="M1125" s="2" t="b">
        <v>1</v>
      </c>
      <c r="N1125" s="2" t="b">
        <v>1</v>
      </c>
      <c r="O1125" s="2" t="inlineStr">
        <is>
          <t>allow</t>
        </is>
      </c>
      <c r="P1125" s="2">
        <f>O1125&lt;&gt;"unknown"</f>
        <v/>
      </c>
    </row>
    <row r="1126">
      <c r="A1126" s="2" t="inlineStr">
        <is>
          <t>1500-on</t>
        </is>
      </c>
      <c r="B1126" s="2" t="n">
        <v>1500</v>
      </c>
      <c r="C1126" s="2" t="inlineStr">
        <is>
          <t>on</t>
        </is>
      </c>
      <c r="D1126" s="2" t="n">
        <v>1448</v>
      </c>
      <c r="E1126" s="2" t="inlineStr">
        <is>
          <t>openssl TLS 1.2 only</t>
        </is>
      </c>
      <c r="F1126" s="2" t="b">
        <v>0</v>
      </c>
      <c r="G1126" s="2" t="n">
        <v>5</v>
      </c>
      <c r="H1126" s="2" t="n">
        <v>210</v>
      </c>
      <c r="I1126" s="2" t="n">
        <v>210</v>
      </c>
      <c r="J1126" s="2" t="n">
        <v>210</v>
      </c>
      <c r="K1126" s="2">
        <f>H1126+5&gt;D1126</f>
        <v/>
      </c>
      <c r="L1126" s="2">
        <f>J1126&lt;I1126</f>
        <v/>
      </c>
      <c r="M1126" s="2" t="b">
        <v>1</v>
      </c>
      <c r="N1126" s="2" t="b">
        <v>1</v>
      </c>
      <c r="O1126" s="2" t="inlineStr">
        <is>
          <t>allow</t>
        </is>
      </c>
      <c r="P1126" s="2">
        <f>O1126&lt;&gt;"unknown"</f>
        <v/>
      </c>
    </row>
    <row r="1127">
      <c r="A1127" s="2" t="inlineStr">
        <is>
          <t>1500-on</t>
        </is>
      </c>
      <c r="B1127" s="2" t="n">
        <v>1500</v>
      </c>
      <c r="C1127" s="2" t="inlineStr">
        <is>
          <t>on</t>
        </is>
      </c>
      <c r="D1127" s="2" t="n">
        <v>1448</v>
      </c>
      <c r="E1127" s="2" t="inlineStr">
        <is>
          <t>openssl TLS 1.2 only</t>
        </is>
      </c>
      <c r="F1127" s="2" t="b">
        <v>0</v>
      </c>
      <c r="G1127" s="2" t="n">
        <v>6</v>
      </c>
      <c r="H1127" s="2" t="n">
        <v>210</v>
      </c>
      <c r="I1127" s="2" t="n">
        <v>210</v>
      </c>
      <c r="J1127" s="2" t="n">
        <v>210</v>
      </c>
      <c r="K1127" s="2">
        <f>H1127+5&gt;D1127</f>
        <v/>
      </c>
      <c r="L1127" s="2">
        <f>J1127&lt;I1127</f>
        <v/>
      </c>
      <c r="M1127" s="2" t="b">
        <v>1</v>
      </c>
      <c r="N1127" s="2" t="b">
        <v>1</v>
      </c>
      <c r="O1127" s="2" t="inlineStr">
        <is>
          <t>allow</t>
        </is>
      </c>
      <c r="P1127" s="2">
        <f>O1127&lt;&gt;"unknown"</f>
        <v/>
      </c>
    </row>
    <row r="1128">
      <c r="A1128" s="2" t="inlineStr">
        <is>
          <t>1500-on</t>
        </is>
      </c>
      <c r="B1128" s="2" t="n">
        <v>1500</v>
      </c>
      <c r="C1128" s="2" t="inlineStr">
        <is>
          <t>on</t>
        </is>
      </c>
      <c r="D1128" s="2" t="n">
        <v>1448</v>
      </c>
      <c r="E1128" s="2" t="inlineStr">
        <is>
          <t>openssl TLS 1.2 only</t>
        </is>
      </c>
      <c r="F1128" s="2" t="b">
        <v>0</v>
      </c>
      <c r="G1128" s="2" t="n">
        <v>7</v>
      </c>
      <c r="H1128" s="2" t="n">
        <v>210</v>
      </c>
      <c r="I1128" s="2" t="n">
        <v>210</v>
      </c>
      <c r="J1128" s="2" t="n">
        <v>210</v>
      </c>
      <c r="K1128" s="2">
        <f>H1128+5&gt;D1128</f>
        <v/>
      </c>
      <c r="L1128" s="2">
        <f>J1128&lt;I1128</f>
        <v/>
      </c>
      <c r="M1128" s="2" t="b">
        <v>1</v>
      </c>
      <c r="N1128" s="2" t="b">
        <v>1</v>
      </c>
      <c r="O1128" s="2" t="inlineStr">
        <is>
          <t>allow</t>
        </is>
      </c>
      <c r="P1128" s="2">
        <f>O1128&lt;&gt;"unknown"</f>
        <v/>
      </c>
    </row>
    <row r="1129">
      <c r="A1129" s="2" t="inlineStr">
        <is>
          <t>1500-on</t>
        </is>
      </c>
      <c r="B1129" s="2" t="n">
        <v>1500</v>
      </c>
      <c r="C1129" s="2" t="inlineStr">
        <is>
          <t>on</t>
        </is>
      </c>
      <c r="D1129" s="2" t="n">
        <v>1448</v>
      </c>
      <c r="E1129" s="2" t="inlineStr">
        <is>
          <t>openssl TLS 1.2 only</t>
        </is>
      </c>
      <c r="F1129" s="2" t="b">
        <v>0</v>
      </c>
      <c r="G1129" s="2" t="n">
        <v>8</v>
      </c>
      <c r="H1129" s="2" t="n">
        <v>210</v>
      </c>
      <c r="I1129" s="2" t="n">
        <v>210</v>
      </c>
      <c r="J1129" s="2" t="n">
        <v>210</v>
      </c>
      <c r="K1129" s="2">
        <f>H1129+5&gt;D1129</f>
        <v/>
      </c>
      <c r="L1129" s="2">
        <f>J1129&lt;I1129</f>
        <v/>
      </c>
      <c r="M1129" s="2" t="b">
        <v>1</v>
      </c>
      <c r="N1129" s="2" t="b">
        <v>1</v>
      </c>
      <c r="O1129" s="2" t="inlineStr">
        <is>
          <t>allow</t>
        </is>
      </c>
      <c r="P1129" s="2">
        <f>O1129&lt;&gt;"unknown"</f>
        <v/>
      </c>
    </row>
    <row r="1130">
      <c r="A1130" s="2" t="inlineStr">
        <is>
          <t>1500-on</t>
        </is>
      </c>
      <c r="B1130" s="2" t="n">
        <v>1500</v>
      </c>
      <c r="C1130" s="2" t="inlineStr">
        <is>
          <t>on</t>
        </is>
      </c>
      <c r="D1130" s="2" t="n">
        <v>1448</v>
      </c>
      <c r="E1130" s="2" t="inlineStr">
        <is>
          <t>openssl TLS 1.2 only</t>
        </is>
      </c>
      <c r="F1130" s="2" t="b">
        <v>0</v>
      </c>
      <c r="G1130" s="2" t="n">
        <v>9</v>
      </c>
      <c r="H1130" s="2" t="n">
        <v>210</v>
      </c>
      <c r="I1130" s="2" t="n">
        <v>210</v>
      </c>
      <c r="J1130" s="2" t="n">
        <v>210</v>
      </c>
      <c r="K1130" s="2">
        <f>H1130+5&gt;D1130</f>
        <v/>
      </c>
      <c r="L1130" s="2">
        <f>J1130&lt;I1130</f>
        <v/>
      </c>
      <c r="M1130" s="2" t="b">
        <v>1</v>
      </c>
      <c r="N1130" s="2" t="b">
        <v>1</v>
      </c>
      <c r="O1130" s="2" t="inlineStr">
        <is>
          <t>allow</t>
        </is>
      </c>
      <c r="P1130" s="2">
        <f>O1130&lt;&gt;"unknown"</f>
        <v/>
      </c>
    </row>
    <row r="1131">
      <c r="A1131" s="2" t="inlineStr">
        <is>
          <t>1500-on</t>
        </is>
      </c>
      <c r="B1131" s="2" t="n">
        <v>1500</v>
      </c>
      <c r="C1131" s="2" t="inlineStr">
        <is>
          <t>on</t>
        </is>
      </c>
      <c r="D1131" s="2" t="n">
        <v>1448</v>
      </c>
      <c r="E1131" s="2" t="inlineStr">
        <is>
          <t>openssl TLS 1.2 only</t>
        </is>
      </c>
      <c r="F1131" s="2" t="b">
        <v>0</v>
      </c>
      <c r="G1131" s="2" t="n">
        <v>10</v>
      </c>
      <c r="H1131" s="2" t="n">
        <v>210</v>
      </c>
      <c r="I1131" s="2" t="n">
        <v>210</v>
      </c>
      <c r="J1131" s="2" t="n">
        <v>210</v>
      </c>
      <c r="K1131" s="2">
        <f>H1131+5&gt;D1131</f>
        <v/>
      </c>
      <c r="L1131" s="2">
        <f>J1131&lt;I1131</f>
        <v/>
      </c>
      <c r="M1131" s="2" t="b">
        <v>1</v>
      </c>
      <c r="N1131" s="2" t="b">
        <v>1</v>
      </c>
      <c r="O1131" s="2" t="inlineStr">
        <is>
          <t>allow</t>
        </is>
      </c>
      <c r="P1131" s="2">
        <f>O1131&lt;&gt;"unknown"</f>
        <v/>
      </c>
    </row>
    <row r="1132">
      <c r="A1132" s="2" t="inlineStr">
        <is>
          <t>1500-on</t>
        </is>
      </c>
      <c r="B1132" s="2" t="n">
        <v>1500</v>
      </c>
      <c r="C1132" s="2" t="inlineStr">
        <is>
          <t>on</t>
        </is>
      </c>
      <c r="D1132" s="2" t="n">
        <v>1448</v>
      </c>
      <c r="E1132" s="2" t="inlineStr">
        <is>
          <t>openssl TLS 1.2 only</t>
        </is>
      </c>
      <c r="F1132" s="2" t="b">
        <v>0</v>
      </c>
      <c r="G1132" s="2" t="n">
        <v>11</v>
      </c>
      <c r="H1132" s="2" t="n">
        <v>210</v>
      </c>
      <c r="I1132" s="2" t="n">
        <v>210</v>
      </c>
      <c r="J1132" s="2" t="n">
        <v>210</v>
      </c>
      <c r="K1132" s="2">
        <f>H1132+5&gt;D1132</f>
        <v/>
      </c>
      <c r="L1132" s="2">
        <f>J1132&lt;I1132</f>
        <v/>
      </c>
      <c r="M1132" s="2" t="b">
        <v>1</v>
      </c>
      <c r="N1132" s="2" t="b">
        <v>1</v>
      </c>
      <c r="O1132" s="2" t="inlineStr">
        <is>
          <t>allow</t>
        </is>
      </c>
      <c r="P1132" s="2">
        <f>O1132&lt;&gt;"unknown"</f>
        <v/>
      </c>
    </row>
    <row r="1133">
      <c r="A1133" s="2" t="inlineStr">
        <is>
          <t>1500-on</t>
        </is>
      </c>
      <c r="B1133" s="2" t="n">
        <v>1500</v>
      </c>
      <c r="C1133" s="2" t="inlineStr">
        <is>
          <t>on</t>
        </is>
      </c>
      <c r="D1133" s="2" t="n">
        <v>1448</v>
      </c>
      <c r="E1133" s="2" t="inlineStr">
        <is>
          <t>openssl TLS 1.2 only</t>
        </is>
      </c>
      <c r="F1133" s="2" t="b">
        <v>0</v>
      </c>
      <c r="G1133" s="2" t="n">
        <v>12</v>
      </c>
      <c r="H1133" s="2" t="n">
        <v>210</v>
      </c>
      <c r="I1133" s="2" t="n">
        <v>210</v>
      </c>
      <c r="J1133" s="2" t="n">
        <v>210</v>
      </c>
      <c r="K1133" s="2">
        <f>H1133+5&gt;D1133</f>
        <v/>
      </c>
      <c r="L1133" s="2">
        <f>J1133&lt;I1133</f>
        <v/>
      </c>
      <c r="M1133" s="2" t="b">
        <v>1</v>
      </c>
      <c r="N1133" s="2" t="b">
        <v>1</v>
      </c>
      <c r="O1133" s="2" t="inlineStr">
        <is>
          <t>allow</t>
        </is>
      </c>
      <c r="P1133" s="2">
        <f>O1133&lt;&gt;"unknown"</f>
        <v/>
      </c>
    </row>
    <row r="1134">
      <c r="A1134" s="2" t="inlineStr">
        <is>
          <t>1500-on</t>
        </is>
      </c>
      <c r="B1134" s="2" t="n">
        <v>1500</v>
      </c>
      <c r="C1134" s="2" t="inlineStr">
        <is>
          <t>on</t>
        </is>
      </c>
      <c r="D1134" s="2" t="n">
        <v>1448</v>
      </c>
      <c r="E1134" s="2" t="inlineStr">
        <is>
          <t>openssl TLS 1.2 only</t>
        </is>
      </c>
      <c r="F1134" s="2" t="b">
        <v>0</v>
      </c>
      <c r="G1134" s="2" t="n">
        <v>13</v>
      </c>
      <c r="H1134" s="2" t="n">
        <v>210</v>
      </c>
      <c r="I1134" s="2" t="n">
        <v>210</v>
      </c>
      <c r="J1134" s="2" t="n">
        <v>210</v>
      </c>
      <c r="K1134" s="2">
        <f>H1134+5&gt;D1134</f>
        <v/>
      </c>
      <c r="L1134" s="2">
        <f>J1134&lt;I1134</f>
        <v/>
      </c>
      <c r="M1134" s="2" t="b">
        <v>1</v>
      </c>
      <c r="N1134" s="2" t="b">
        <v>1</v>
      </c>
      <c r="O1134" s="2" t="inlineStr">
        <is>
          <t>allow</t>
        </is>
      </c>
      <c r="P1134" s="2">
        <f>O1134&lt;&gt;"unknown"</f>
        <v/>
      </c>
    </row>
    <row r="1135">
      <c r="A1135" s="2" t="inlineStr">
        <is>
          <t>1500-on</t>
        </is>
      </c>
      <c r="B1135" s="2" t="n">
        <v>1500</v>
      </c>
      <c r="C1135" s="2" t="inlineStr">
        <is>
          <t>on</t>
        </is>
      </c>
      <c r="D1135" s="2" t="n">
        <v>1448</v>
      </c>
      <c r="E1135" s="2" t="inlineStr">
        <is>
          <t>openssl TLS 1.2 only</t>
        </is>
      </c>
      <c r="F1135" s="2" t="b">
        <v>0</v>
      </c>
      <c r="G1135" s="2" t="n">
        <v>14</v>
      </c>
      <c r="H1135" s="2" t="n">
        <v>210</v>
      </c>
      <c r="I1135" s="2" t="n">
        <v>210</v>
      </c>
      <c r="J1135" s="2" t="n">
        <v>210</v>
      </c>
      <c r="K1135" s="2">
        <f>H1135+5&gt;D1135</f>
        <v/>
      </c>
      <c r="L1135" s="2">
        <f>J1135&lt;I1135</f>
        <v/>
      </c>
      <c r="M1135" s="2" t="b">
        <v>1</v>
      </c>
      <c r="N1135" s="2" t="b">
        <v>1</v>
      </c>
      <c r="O1135" s="2" t="inlineStr">
        <is>
          <t>allow</t>
        </is>
      </c>
      <c r="P1135" s="2">
        <f>O1135&lt;&gt;"unknown"</f>
        <v/>
      </c>
    </row>
    <row r="1136">
      <c r="A1136" s="2" t="inlineStr">
        <is>
          <t>1500-on</t>
        </is>
      </c>
      <c r="B1136" s="2" t="n">
        <v>1500</v>
      </c>
      <c r="C1136" s="2" t="inlineStr">
        <is>
          <t>on</t>
        </is>
      </c>
      <c r="D1136" s="2" t="n">
        <v>1448</v>
      </c>
      <c r="E1136" s="2" t="inlineStr">
        <is>
          <t>openssl TLS 1.2 only</t>
        </is>
      </c>
      <c r="F1136" s="2" t="b">
        <v>0</v>
      </c>
      <c r="G1136" s="2" t="n">
        <v>15</v>
      </c>
      <c r="H1136" s="2" t="n">
        <v>210</v>
      </c>
      <c r="I1136" s="2" t="n">
        <v>210</v>
      </c>
      <c r="J1136" s="2" t="n">
        <v>210</v>
      </c>
      <c r="K1136" s="2">
        <f>H1136+5&gt;D1136</f>
        <v/>
      </c>
      <c r="L1136" s="2">
        <f>J1136&lt;I1136</f>
        <v/>
      </c>
      <c r="M1136" s="2" t="b">
        <v>1</v>
      </c>
      <c r="N1136" s="2" t="b">
        <v>1</v>
      </c>
      <c r="O1136" s="2" t="inlineStr">
        <is>
          <t>allow</t>
        </is>
      </c>
      <c r="P1136" s="2">
        <f>O1136&lt;&gt;"unknown"</f>
        <v/>
      </c>
    </row>
    <row r="1137">
      <c r="A1137" s="2" t="inlineStr">
        <is>
          <t>1500-on</t>
        </is>
      </c>
      <c r="B1137" s="2" t="n">
        <v>1500</v>
      </c>
      <c r="C1137" s="2" t="inlineStr">
        <is>
          <t>on</t>
        </is>
      </c>
      <c r="D1137" s="2" t="n">
        <v>1448</v>
      </c>
      <c r="E1137" s="2" t="inlineStr">
        <is>
          <t>openssl TLS 1.2 only</t>
        </is>
      </c>
      <c r="F1137" s="2" t="b">
        <v>0</v>
      </c>
      <c r="G1137" s="2" t="n">
        <v>16</v>
      </c>
      <c r="H1137" s="2" t="n">
        <v>210</v>
      </c>
      <c r="I1137" s="2" t="n">
        <v>210</v>
      </c>
      <c r="J1137" s="2" t="n">
        <v>210</v>
      </c>
      <c r="K1137" s="2">
        <f>H1137+5&gt;D1137</f>
        <v/>
      </c>
      <c r="L1137" s="2">
        <f>J1137&lt;I1137</f>
        <v/>
      </c>
      <c r="M1137" s="2" t="b">
        <v>1</v>
      </c>
      <c r="N1137" s="2" t="b">
        <v>1</v>
      </c>
      <c r="O1137" s="2" t="inlineStr">
        <is>
          <t>allow</t>
        </is>
      </c>
      <c r="P1137" s="2">
        <f>O1137&lt;&gt;"unknown"</f>
        <v/>
      </c>
    </row>
    <row r="1138">
      <c r="A1138" s="2" t="inlineStr">
        <is>
          <t>1500-on</t>
        </is>
      </c>
      <c r="B1138" s="2" t="n">
        <v>1500</v>
      </c>
      <c r="C1138" s="2" t="inlineStr">
        <is>
          <t>on</t>
        </is>
      </c>
      <c r="D1138" s="2" t="n">
        <v>1448</v>
      </c>
      <c r="E1138" s="2" t="inlineStr">
        <is>
          <t>openssl TLS 1.2 only</t>
        </is>
      </c>
      <c r="F1138" s="2" t="b">
        <v>0</v>
      </c>
      <c r="G1138" s="2" t="n">
        <v>17</v>
      </c>
      <c r="H1138" s="2" t="n">
        <v>210</v>
      </c>
      <c r="I1138" s="2" t="n">
        <v>210</v>
      </c>
      <c r="J1138" s="2" t="n">
        <v>210</v>
      </c>
      <c r="K1138" s="2">
        <f>H1138+5&gt;D1138</f>
        <v/>
      </c>
      <c r="L1138" s="2">
        <f>J1138&lt;I1138</f>
        <v/>
      </c>
      <c r="M1138" s="2" t="b">
        <v>1</v>
      </c>
      <c r="N1138" s="2" t="b">
        <v>1</v>
      </c>
      <c r="O1138" s="2" t="inlineStr">
        <is>
          <t>allow</t>
        </is>
      </c>
      <c r="P1138" s="2">
        <f>O1138&lt;&gt;"unknown"</f>
        <v/>
      </c>
    </row>
    <row r="1139">
      <c r="A1139" s="2" t="inlineStr">
        <is>
          <t>1500-on</t>
        </is>
      </c>
      <c r="B1139" s="2" t="n">
        <v>1500</v>
      </c>
      <c r="C1139" s="2" t="inlineStr">
        <is>
          <t>on</t>
        </is>
      </c>
      <c r="D1139" s="2" t="n">
        <v>1448</v>
      </c>
      <c r="E1139" s="2" t="inlineStr">
        <is>
          <t>openssl TLS 1.2 only</t>
        </is>
      </c>
      <c r="F1139" s="2" t="b">
        <v>0</v>
      </c>
      <c r="G1139" s="2" t="n">
        <v>18</v>
      </c>
      <c r="H1139" s="2" t="n">
        <v>210</v>
      </c>
      <c r="I1139" s="2" t="n">
        <v>210</v>
      </c>
      <c r="J1139" s="2" t="n">
        <v>210</v>
      </c>
      <c r="K1139" s="2">
        <f>H1139+5&gt;D1139</f>
        <v/>
      </c>
      <c r="L1139" s="2">
        <f>J1139&lt;I1139</f>
        <v/>
      </c>
      <c r="M1139" s="2" t="b">
        <v>1</v>
      </c>
      <c r="N1139" s="2" t="b">
        <v>1</v>
      </c>
      <c r="O1139" s="2" t="inlineStr">
        <is>
          <t>allow</t>
        </is>
      </c>
      <c r="P1139" s="2">
        <f>O1139&lt;&gt;"unknown"</f>
        <v/>
      </c>
    </row>
    <row r="1140">
      <c r="A1140" s="2" t="inlineStr">
        <is>
          <t>1500-on</t>
        </is>
      </c>
      <c r="B1140" s="2" t="n">
        <v>1500</v>
      </c>
      <c r="C1140" s="2" t="inlineStr">
        <is>
          <t>on</t>
        </is>
      </c>
      <c r="D1140" s="2" t="n">
        <v>1448</v>
      </c>
      <c r="E1140" s="2" t="inlineStr">
        <is>
          <t>openssl TLS 1.2 only</t>
        </is>
      </c>
      <c r="F1140" s="2" t="b">
        <v>0</v>
      </c>
      <c r="G1140" s="2" t="n">
        <v>19</v>
      </c>
      <c r="H1140" s="2" t="n">
        <v>210</v>
      </c>
      <c r="I1140" s="2" t="n">
        <v>210</v>
      </c>
      <c r="J1140" s="2" t="n">
        <v>210</v>
      </c>
      <c r="K1140" s="2">
        <f>H1140+5&gt;D1140</f>
        <v/>
      </c>
      <c r="L1140" s="2">
        <f>J1140&lt;I1140</f>
        <v/>
      </c>
      <c r="M1140" s="2" t="b">
        <v>1</v>
      </c>
      <c r="N1140" s="2" t="b">
        <v>1</v>
      </c>
      <c r="O1140" s="2" t="inlineStr">
        <is>
          <t>allow</t>
        </is>
      </c>
      <c r="P1140" s="2">
        <f>O1140&lt;&gt;"unknown"</f>
        <v/>
      </c>
    </row>
    <row r="1141">
      <c r="A1141" s="2" t="inlineStr">
        <is>
          <t>1500-on</t>
        </is>
      </c>
      <c r="B1141" s="2" t="n">
        <v>1500</v>
      </c>
      <c r="C1141" s="2" t="inlineStr">
        <is>
          <t>on</t>
        </is>
      </c>
      <c r="D1141" s="2" t="n">
        <v>1448</v>
      </c>
      <c r="E1141" s="2" t="inlineStr">
        <is>
          <t>openssl TLS 1.2 only</t>
        </is>
      </c>
      <c r="F1141" s="2" t="b">
        <v>0</v>
      </c>
      <c r="G1141" s="2" t="n">
        <v>20</v>
      </c>
      <c r="H1141" s="2" t="n">
        <v>210</v>
      </c>
      <c r="I1141" s="2" t="n">
        <v>210</v>
      </c>
      <c r="J1141" s="2" t="n">
        <v>210</v>
      </c>
      <c r="K1141" s="2">
        <f>H1141+5&gt;D1141</f>
        <v/>
      </c>
      <c r="L1141" s="2">
        <f>J1141&lt;I1141</f>
        <v/>
      </c>
      <c r="M1141" s="2" t="b">
        <v>1</v>
      </c>
      <c r="N1141" s="2" t="b">
        <v>1</v>
      </c>
      <c r="O1141" s="2" t="inlineStr">
        <is>
          <t>allow</t>
        </is>
      </c>
      <c r="P1141" s="2">
        <f>O1141&lt;&gt;"unknown"</f>
        <v/>
      </c>
    </row>
    <row r="1142">
      <c r="A1142" s="2" t="inlineStr">
        <is>
          <t>1500-on</t>
        </is>
      </c>
      <c r="B1142" s="2" t="n">
        <v>1500</v>
      </c>
      <c r="C1142" s="2" t="inlineStr">
        <is>
          <t>on</t>
        </is>
      </c>
      <c r="D1142" s="2" t="n">
        <v>1448</v>
      </c>
      <c r="E1142" s="2" t="inlineStr">
        <is>
          <t>curl 8.22 (OpenSSL 3.5.8)</t>
        </is>
      </c>
      <c r="F1142" s="2" t="b">
        <v>1</v>
      </c>
      <c r="G1142" s="2" t="n">
        <v>1</v>
      </c>
      <c r="H1142" s="2" t="n">
        <v>1561</v>
      </c>
      <c r="I1142" s="2" t="n">
        <v>1561</v>
      </c>
      <c r="J1142" s="2" t="n">
        <v>1443</v>
      </c>
      <c r="K1142" s="2">
        <f>H1142+5&gt;D1142</f>
        <v/>
      </c>
      <c r="L1142" s="2">
        <f>J1142&lt;I1142</f>
        <v/>
      </c>
      <c r="M1142" s="2" t="b">
        <v>1</v>
      </c>
      <c r="N1142" s="2" t="b">
        <v>1</v>
      </c>
      <c r="O1142" s="2" t="inlineStr">
        <is>
          <t>allow</t>
        </is>
      </c>
      <c r="P1142" s="2">
        <f>O1142&lt;&gt;"unknown"</f>
        <v/>
      </c>
    </row>
    <row r="1143">
      <c r="A1143" s="2" t="inlineStr">
        <is>
          <t>1500-on</t>
        </is>
      </c>
      <c r="B1143" s="2" t="n">
        <v>1500</v>
      </c>
      <c r="C1143" s="2" t="inlineStr">
        <is>
          <t>on</t>
        </is>
      </c>
      <c r="D1143" s="2" t="n">
        <v>1448</v>
      </c>
      <c r="E1143" s="2" t="inlineStr">
        <is>
          <t>curl 8.22 (OpenSSL 3.5.8)</t>
        </is>
      </c>
      <c r="F1143" s="2" t="b">
        <v>1</v>
      </c>
      <c r="G1143" s="2" t="n">
        <v>2</v>
      </c>
      <c r="H1143" s="2" t="n">
        <v>1561</v>
      </c>
      <c r="I1143" s="2" t="n">
        <v>1561</v>
      </c>
      <c r="J1143" s="2" t="n">
        <v>1443</v>
      </c>
      <c r="K1143" s="2">
        <f>H1143+5&gt;D1143</f>
        <v/>
      </c>
      <c r="L1143" s="2">
        <f>J1143&lt;I1143</f>
        <v/>
      </c>
      <c r="M1143" s="2" t="b">
        <v>1</v>
      </c>
      <c r="N1143" s="2" t="b">
        <v>1</v>
      </c>
      <c r="O1143" s="2" t="inlineStr">
        <is>
          <t>allow</t>
        </is>
      </c>
      <c r="P1143" s="2">
        <f>O1143&lt;&gt;"unknown"</f>
        <v/>
      </c>
    </row>
    <row r="1144">
      <c r="A1144" s="2" t="inlineStr">
        <is>
          <t>1500-on</t>
        </is>
      </c>
      <c r="B1144" s="2" t="n">
        <v>1500</v>
      </c>
      <c r="C1144" s="2" t="inlineStr">
        <is>
          <t>on</t>
        </is>
      </c>
      <c r="D1144" s="2" t="n">
        <v>1448</v>
      </c>
      <c r="E1144" s="2" t="inlineStr">
        <is>
          <t>curl 8.22 (OpenSSL 3.5.8)</t>
        </is>
      </c>
      <c r="F1144" s="2" t="b">
        <v>1</v>
      </c>
      <c r="G1144" s="2" t="n">
        <v>3</v>
      </c>
      <c r="H1144" s="2" t="n">
        <v>1561</v>
      </c>
      <c r="I1144" s="2" t="n">
        <v>1561</v>
      </c>
      <c r="J1144" s="2" t="n">
        <v>1443</v>
      </c>
      <c r="K1144" s="2">
        <f>H1144+5&gt;D1144</f>
        <v/>
      </c>
      <c r="L1144" s="2">
        <f>J1144&lt;I1144</f>
        <v/>
      </c>
      <c r="M1144" s="2" t="b">
        <v>1</v>
      </c>
      <c r="N1144" s="2" t="b">
        <v>1</v>
      </c>
      <c r="O1144" s="2" t="inlineStr">
        <is>
          <t>allow</t>
        </is>
      </c>
      <c r="P1144" s="2">
        <f>O1144&lt;&gt;"unknown"</f>
        <v/>
      </c>
    </row>
    <row r="1145">
      <c r="A1145" s="2" t="inlineStr">
        <is>
          <t>1500-on</t>
        </is>
      </c>
      <c r="B1145" s="2" t="n">
        <v>1500</v>
      </c>
      <c r="C1145" s="2" t="inlineStr">
        <is>
          <t>on</t>
        </is>
      </c>
      <c r="D1145" s="2" t="n">
        <v>1448</v>
      </c>
      <c r="E1145" s="2" t="inlineStr">
        <is>
          <t>curl 8.22 (OpenSSL 3.5.8)</t>
        </is>
      </c>
      <c r="F1145" s="2" t="b">
        <v>1</v>
      </c>
      <c r="G1145" s="2" t="n">
        <v>4</v>
      </c>
      <c r="H1145" s="2" t="n">
        <v>1561</v>
      </c>
      <c r="I1145" s="2" t="n">
        <v>1561</v>
      </c>
      <c r="J1145" s="2" t="n">
        <v>1443</v>
      </c>
      <c r="K1145" s="2">
        <f>H1145+5&gt;D1145</f>
        <v/>
      </c>
      <c r="L1145" s="2">
        <f>J1145&lt;I1145</f>
        <v/>
      </c>
      <c r="M1145" s="2" t="b">
        <v>1</v>
      </c>
      <c r="N1145" s="2" t="b">
        <v>1</v>
      </c>
      <c r="O1145" s="2" t="inlineStr">
        <is>
          <t>allow</t>
        </is>
      </c>
      <c r="P1145" s="2">
        <f>O1145&lt;&gt;"unknown"</f>
        <v/>
      </c>
    </row>
    <row r="1146">
      <c r="A1146" s="2" t="inlineStr">
        <is>
          <t>1500-on</t>
        </is>
      </c>
      <c r="B1146" s="2" t="n">
        <v>1500</v>
      </c>
      <c r="C1146" s="2" t="inlineStr">
        <is>
          <t>on</t>
        </is>
      </c>
      <c r="D1146" s="2" t="n">
        <v>1448</v>
      </c>
      <c r="E1146" s="2" t="inlineStr">
        <is>
          <t>curl 8.22 (OpenSSL 3.5.8)</t>
        </is>
      </c>
      <c r="F1146" s="2" t="b">
        <v>1</v>
      </c>
      <c r="G1146" s="2" t="n">
        <v>5</v>
      </c>
      <c r="H1146" s="2" t="n">
        <v>1561</v>
      </c>
      <c r="I1146" s="2" t="n">
        <v>1561</v>
      </c>
      <c r="J1146" s="2" t="n">
        <v>1443</v>
      </c>
      <c r="K1146" s="2">
        <f>H1146+5&gt;D1146</f>
        <v/>
      </c>
      <c r="L1146" s="2">
        <f>J1146&lt;I1146</f>
        <v/>
      </c>
      <c r="M1146" s="2" t="b">
        <v>1</v>
      </c>
      <c r="N1146" s="2" t="b">
        <v>1</v>
      </c>
      <c r="O1146" s="2" t="inlineStr">
        <is>
          <t>allow</t>
        </is>
      </c>
      <c r="P1146" s="2">
        <f>O1146&lt;&gt;"unknown"</f>
        <v/>
      </c>
    </row>
    <row r="1147">
      <c r="A1147" s="2" t="inlineStr">
        <is>
          <t>1500-on</t>
        </is>
      </c>
      <c r="B1147" s="2" t="n">
        <v>1500</v>
      </c>
      <c r="C1147" s="2" t="inlineStr">
        <is>
          <t>on</t>
        </is>
      </c>
      <c r="D1147" s="2" t="n">
        <v>1448</v>
      </c>
      <c r="E1147" s="2" t="inlineStr">
        <is>
          <t>curl 8.22 (OpenSSL 3.5.8)</t>
        </is>
      </c>
      <c r="F1147" s="2" t="b">
        <v>1</v>
      </c>
      <c r="G1147" s="2" t="n">
        <v>6</v>
      </c>
      <c r="H1147" s="2" t="n">
        <v>1561</v>
      </c>
      <c r="I1147" s="2" t="n">
        <v>1561</v>
      </c>
      <c r="J1147" s="2" t="n">
        <v>1443</v>
      </c>
      <c r="K1147" s="2">
        <f>H1147+5&gt;D1147</f>
        <v/>
      </c>
      <c r="L1147" s="2">
        <f>J1147&lt;I1147</f>
        <v/>
      </c>
      <c r="M1147" s="2" t="b">
        <v>1</v>
      </c>
      <c r="N1147" s="2" t="b">
        <v>1</v>
      </c>
      <c r="O1147" s="2" t="inlineStr">
        <is>
          <t>allow</t>
        </is>
      </c>
      <c r="P1147" s="2">
        <f>O1147&lt;&gt;"unknown"</f>
        <v/>
      </c>
    </row>
    <row r="1148">
      <c r="A1148" s="2" t="inlineStr">
        <is>
          <t>1500-on</t>
        </is>
      </c>
      <c r="B1148" s="2" t="n">
        <v>1500</v>
      </c>
      <c r="C1148" s="2" t="inlineStr">
        <is>
          <t>on</t>
        </is>
      </c>
      <c r="D1148" s="2" t="n">
        <v>1448</v>
      </c>
      <c r="E1148" s="2" t="inlineStr">
        <is>
          <t>curl 8.22 (OpenSSL 3.5.8)</t>
        </is>
      </c>
      <c r="F1148" s="2" t="b">
        <v>1</v>
      </c>
      <c r="G1148" s="2" t="n">
        <v>7</v>
      </c>
      <c r="H1148" s="2" t="n">
        <v>1561</v>
      </c>
      <c r="I1148" s="2" t="n">
        <v>1561</v>
      </c>
      <c r="J1148" s="2" t="n">
        <v>1443</v>
      </c>
      <c r="K1148" s="2">
        <f>H1148+5&gt;D1148</f>
        <v/>
      </c>
      <c r="L1148" s="2">
        <f>J1148&lt;I1148</f>
        <v/>
      </c>
      <c r="M1148" s="2" t="b">
        <v>1</v>
      </c>
      <c r="N1148" s="2" t="b">
        <v>1</v>
      </c>
      <c r="O1148" s="2" t="inlineStr">
        <is>
          <t>allow</t>
        </is>
      </c>
      <c r="P1148" s="2">
        <f>O1148&lt;&gt;"unknown"</f>
        <v/>
      </c>
    </row>
    <row r="1149">
      <c r="A1149" s="2" t="inlineStr">
        <is>
          <t>1500-on</t>
        </is>
      </c>
      <c r="B1149" s="2" t="n">
        <v>1500</v>
      </c>
      <c r="C1149" s="2" t="inlineStr">
        <is>
          <t>on</t>
        </is>
      </c>
      <c r="D1149" s="2" t="n">
        <v>1448</v>
      </c>
      <c r="E1149" s="2" t="inlineStr">
        <is>
          <t>curl 8.22 (OpenSSL 3.5.8)</t>
        </is>
      </c>
      <c r="F1149" s="2" t="b">
        <v>1</v>
      </c>
      <c r="G1149" s="2" t="n">
        <v>8</v>
      </c>
      <c r="H1149" s="2" t="n">
        <v>1561</v>
      </c>
      <c r="I1149" s="2" t="n">
        <v>1561</v>
      </c>
      <c r="J1149" s="2" t="n">
        <v>1443</v>
      </c>
      <c r="K1149" s="2">
        <f>H1149+5&gt;D1149</f>
        <v/>
      </c>
      <c r="L1149" s="2">
        <f>J1149&lt;I1149</f>
        <v/>
      </c>
      <c r="M1149" s="2" t="b">
        <v>1</v>
      </c>
      <c r="N1149" s="2" t="b">
        <v>1</v>
      </c>
      <c r="O1149" s="2" t="inlineStr">
        <is>
          <t>allow</t>
        </is>
      </c>
      <c r="P1149" s="2">
        <f>O1149&lt;&gt;"unknown"</f>
        <v/>
      </c>
    </row>
    <row r="1150">
      <c r="A1150" s="2" t="inlineStr">
        <is>
          <t>1500-on</t>
        </is>
      </c>
      <c r="B1150" s="2" t="n">
        <v>1500</v>
      </c>
      <c r="C1150" s="2" t="inlineStr">
        <is>
          <t>on</t>
        </is>
      </c>
      <c r="D1150" s="2" t="n">
        <v>1448</v>
      </c>
      <c r="E1150" s="2" t="inlineStr">
        <is>
          <t>curl 8.22 (OpenSSL 3.5.8)</t>
        </is>
      </c>
      <c r="F1150" s="2" t="b">
        <v>1</v>
      </c>
      <c r="G1150" s="2" t="n">
        <v>9</v>
      </c>
      <c r="H1150" s="2" t="n">
        <v>1561</v>
      </c>
      <c r="I1150" s="2" t="n">
        <v>1561</v>
      </c>
      <c r="J1150" s="2" t="n">
        <v>1443</v>
      </c>
      <c r="K1150" s="2">
        <f>H1150+5&gt;D1150</f>
        <v/>
      </c>
      <c r="L1150" s="2">
        <f>J1150&lt;I1150</f>
        <v/>
      </c>
      <c r="M1150" s="2" t="b">
        <v>1</v>
      </c>
      <c r="N1150" s="2" t="b">
        <v>1</v>
      </c>
      <c r="O1150" s="2" t="inlineStr">
        <is>
          <t>allow</t>
        </is>
      </c>
      <c r="P1150" s="2">
        <f>O1150&lt;&gt;"unknown"</f>
        <v/>
      </c>
    </row>
    <row r="1151">
      <c r="A1151" s="2" t="inlineStr">
        <is>
          <t>1500-on</t>
        </is>
      </c>
      <c r="B1151" s="2" t="n">
        <v>1500</v>
      </c>
      <c r="C1151" s="2" t="inlineStr">
        <is>
          <t>on</t>
        </is>
      </c>
      <c r="D1151" s="2" t="n">
        <v>1448</v>
      </c>
      <c r="E1151" s="2" t="inlineStr">
        <is>
          <t>curl 8.22 (OpenSSL 3.5.8)</t>
        </is>
      </c>
      <c r="F1151" s="2" t="b">
        <v>1</v>
      </c>
      <c r="G1151" s="2" t="n">
        <v>10</v>
      </c>
      <c r="H1151" s="2" t="n">
        <v>1561</v>
      </c>
      <c r="I1151" s="2" t="n">
        <v>1561</v>
      </c>
      <c r="J1151" s="2" t="n">
        <v>1443</v>
      </c>
      <c r="K1151" s="2">
        <f>H1151+5&gt;D1151</f>
        <v/>
      </c>
      <c r="L1151" s="2">
        <f>J1151&lt;I1151</f>
        <v/>
      </c>
      <c r="M1151" s="2" t="b">
        <v>1</v>
      </c>
      <c r="N1151" s="2" t="b">
        <v>1</v>
      </c>
      <c r="O1151" s="2" t="inlineStr">
        <is>
          <t>allow</t>
        </is>
      </c>
      <c r="P1151" s="2">
        <f>O1151&lt;&gt;"unknown"</f>
        <v/>
      </c>
    </row>
    <row r="1152">
      <c r="A1152" s="2" t="inlineStr">
        <is>
          <t>1500-on</t>
        </is>
      </c>
      <c r="B1152" s="2" t="n">
        <v>1500</v>
      </c>
      <c r="C1152" s="2" t="inlineStr">
        <is>
          <t>on</t>
        </is>
      </c>
      <c r="D1152" s="2" t="n">
        <v>1448</v>
      </c>
      <c r="E1152" s="2" t="inlineStr">
        <is>
          <t>curl 8.22 (OpenSSL 3.5.8)</t>
        </is>
      </c>
      <c r="F1152" s="2" t="b">
        <v>1</v>
      </c>
      <c r="G1152" s="2" t="n">
        <v>11</v>
      </c>
      <c r="H1152" s="2" t="n">
        <v>1561</v>
      </c>
      <c r="I1152" s="2" t="n">
        <v>1561</v>
      </c>
      <c r="J1152" s="2" t="n">
        <v>1443</v>
      </c>
      <c r="K1152" s="2">
        <f>H1152+5&gt;D1152</f>
        <v/>
      </c>
      <c r="L1152" s="2">
        <f>J1152&lt;I1152</f>
        <v/>
      </c>
      <c r="M1152" s="2" t="b">
        <v>1</v>
      </c>
      <c r="N1152" s="2" t="b">
        <v>1</v>
      </c>
      <c r="O1152" s="2" t="inlineStr">
        <is>
          <t>allow</t>
        </is>
      </c>
      <c r="P1152" s="2">
        <f>O1152&lt;&gt;"unknown"</f>
        <v/>
      </c>
    </row>
    <row r="1153">
      <c r="A1153" s="2" t="inlineStr">
        <is>
          <t>1500-on</t>
        </is>
      </c>
      <c r="B1153" s="2" t="n">
        <v>1500</v>
      </c>
      <c r="C1153" s="2" t="inlineStr">
        <is>
          <t>on</t>
        </is>
      </c>
      <c r="D1153" s="2" t="n">
        <v>1448</v>
      </c>
      <c r="E1153" s="2" t="inlineStr">
        <is>
          <t>curl 8.22 (OpenSSL 3.5.8)</t>
        </is>
      </c>
      <c r="F1153" s="2" t="b">
        <v>1</v>
      </c>
      <c r="G1153" s="2" t="n">
        <v>12</v>
      </c>
      <c r="H1153" s="2" t="n">
        <v>1561</v>
      </c>
      <c r="I1153" s="2" t="n">
        <v>1561</v>
      </c>
      <c r="J1153" s="2" t="n">
        <v>1443</v>
      </c>
      <c r="K1153" s="2">
        <f>H1153+5&gt;D1153</f>
        <v/>
      </c>
      <c r="L1153" s="2">
        <f>J1153&lt;I1153</f>
        <v/>
      </c>
      <c r="M1153" s="2" t="b">
        <v>1</v>
      </c>
      <c r="N1153" s="2" t="b">
        <v>1</v>
      </c>
      <c r="O1153" s="2" t="inlineStr">
        <is>
          <t>allow</t>
        </is>
      </c>
      <c r="P1153" s="2">
        <f>O1153&lt;&gt;"unknown"</f>
        <v/>
      </c>
    </row>
    <row r="1154">
      <c r="A1154" s="2" t="inlineStr">
        <is>
          <t>1500-on</t>
        </is>
      </c>
      <c r="B1154" s="2" t="n">
        <v>1500</v>
      </c>
      <c r="C1154" s="2" t="inlineStr">
        <is>
          <t>on</t>
        </is>
      </c>
      <c r="D1154" s="2" t="n">
        <v>1448</v>
      </c>
      <c r="E1154" s="2" t="inlineStr">
        <is>
          <t>curl 8.22 (OpenSSL 3.5.8)</t>
        </is>
      </c>
      <c r="F1154" s="2" t="b">
        <v>1</v>
      </c>
      <c r="G1154" s="2" t="n">
        <v>13</v>
      </c>
      <c r="H1154" s="2" t="n">
        <v>1561</v>
      </c>
      <c r="I1154" s="2" t="n">
        <v>1561</v>
      </c>
      <c r="J1154" s="2" t="n">
        <v>1443</v>
      </c>
      <c r="K1154" s="2">
        <f>H1154+5&gt;D1154</f>
        <v/>
      </c>
      <c r="L1154" s="2">
        <f>J1154&lt;I1154</f>
        <v/>
      </c>
      <c r="M1154" s="2" t="b">
        <v>1</v>
      </c>
      <c r="N1154" s="2" t="b">
        <v>1</v>
      </c>
      <c r="O1154" s="2" t="inlineStr">
        <is>
          <t>allow</t>
        </is>
      </c>
      <c r="P1154" s="2">
        <f>O1154&lt;&gt;"unknown"</f>
        <v/>
      </c>
    </row>
    <row r="1155">
      <c r="A1155" s="2" t="inlineStr">
        <is>
          <t>1500-on</t>
        </is>
      </c>
      <c r="B1155" s="2" t="n">
        <v>1500</v>
      </c>
      <c r="C1155" s="2" t="inlineStr">
        <is>
          <t>on</t>
        </is>
      </c>
      <c r="D1155" s="2" t="n">
        <v>1448</v>
      </c>
      <c r="E1155" s="2" t="inlineStr">
        <is>
          <t>curl 8.22 (OpenSSL 3.5.8)</t>
        </is>
      </c>
      <c r="F1155" s="2" t="b">
        <v>1</v>
      </c>
      <c r="G1155" s="2" t="n">
        <v>14</v>
      </c>
      <c r="H1155" s="2" t="n">
        <v>1561</v>
      </c>
      <c r="I1155" s="2" t="n">
        <v>1561</v>
      </c>
      <c r="J1155" s="2" t="n">
        <v>1443</v>
      </c>
      <c r="K1155" s="2">
        <f>H1155+5&gt;D1155</f>
        <v/>
      </c>
      <c r="L1155" s="2">
        <f>J1155&lt;I1155</f>
        <v/>
      </c>
      <c r="M1155" s="2" t="b">
        <v>1</v>
      </c>
      <c r="N1155" s="2" t="b">
        <v>1</v>
      </c>
      <c r="O1155" s="2" t="inlineStr">
        <is>
          <t>allow</t>
        </is>
      </c>
      <c r="P1155" s="2">
        <f>O1155&lt;&gt;"unknown"</f>
        <v/>
      </c>
    </row>
    <row r="1156">
      <c r="A1156" s="2" t="inlineStr">
        <is>
          <t>1500-on</t>
        </is>
      </c>
      <c r="B1156" s="2" t="n">
        <v>1500</v>
      </c>
      <c r="C1156" s="2" t="inlineStr">
        <is>
          <t>on</t>
        </is>
      </c>
      <c r="D1156" s="2" t="n">
        <v>1448</v>
      </c>
      <c r="E1156" s="2" t="inlineStr">
        <is>
          <t>curl 8.22 (OpenSSL 3.5.8)</t>
        </is>
      </c>
      <c r="F1156" s="2" t="b">
        <v>1</v>
      </c>
      <c r="G1156" s="2" t="n">
        <v>15</v>
      </c>
      <c r="H1156" s="2" t="n">
        <v>1561</v>
      </c>
      <c r="I1156" s="2" t="n">
        <v>1561</v>
      </c>
      <c r="J1156" s="2" t="n">
        <v>1443</v>
      </c>
      <c r="K1156" s="2">
        <f>H1156+5&gt;D1156</f>
        <v/>
      </c>
      <c r="L1156" s="2">
        <f>J1156&lt;I1156</f>
        <v/>
      </c>
      <c r="M1156" s="2" t="b">
        <v>1</v>
      </c>
      <c r="N1156" s="2" t="b">
        <v>1</v>
      </c>
      <c r="O1156" s="2" t="inlineStr">
        <is>
          <t>allow</t>
        </is>
      </c>
      <c r="P1156" s="2">
        <f>O1156&lt;&gt;"unknown"</f>
        <v/>
      </c>
    </row>
    <row r="1157">
      <c r="A1157" s="2" t="inlineStr">
        <is>
          <t>1500-on</t>
        </is>
      </c>
      <c r="B1157" s="2" t="n">
        <v>1500</v>
      </c>
      <c r="C1157" s="2" t="inlineStr">
        <is>
          <t>on</t>
        </is>
      </c>
      <c r="D1157" s="2" t="n">
        <v>1448</v>
      </c>
      <c r="E1157" s="2" t="inlineStr">
        <is>
          <t>curl 8.22 (OpenSSL 3.5.8)</t>
        </is>
      </c>
      <c r="F1157" s="2" t="b">
        <v>1</v>
      </c>
      <c r="G1157" s="2" t="n">
        <v>16</v>
      </c>
      <c r="H1157" s="2" t="n">
        <v>1561</v>
      </c>
      <c r="I1157" s="2" t="n">
        <v>1561</v>
      </c>
      <c r="J1157" s="2" t="n">
        <v>1443</v>
      </c>
      <c r="K1157" s="2">
        <f>H1157+5&gt;D1157</f>
        <v/>
      </c>
      <c r="L1157" s="2">
        <f>J1157&lt;I1157</f>
        <v/>
      </c>
      <c r="M1157" s="2" t="b">
        <v>1</v>
      </c>
      <c r="N1157" s="2" t="b">
        <v>1</v>
      </c>
      <c r="O1157" s="2" t="inlineStr">
        <is>
          <t>allow</t>
        </is>
      </c>
      <c r="P1157" s="2">
        <f>O1157&lt;&gt;"unknown"</f>
        <v/>
      </c>
    </row>
    <row r="1158">
      <c r="A1158" s="2" t="inlineStr">
        <is>
          <t>1500-on</t>
        </is>
      </c>
      <c r="B1158" s="2" t="n">
        <v>1500</v>
      </c>
      <c r="C1158" s="2" t="inlineStr">
        <is>
          <t>on</t>
        </is>
      </c>
      <c r="D1158" s="2" t="n">
        <v>1448</v>
      </c>
      <c r="E1158" s="2" t="inlineStr">
        <is>
          <t>curl 8.22 (OpenSSL 3.5.8)</t>
        </is>
      </c>
      <c r="F1158" s="2" t="b">
        <v>1</v>
      </c>
      <c r="G1158" s="2" t="n">
        <v>17</v>
      </c>
      <c r="H1158" s="2" t="n">
        <v>1561</v>
      </c>
      <c r="I1158" s="2" t="n">
        <v>1561</v>
      </c>
      <c r="J1158" s="2" t="n">
        <v>1443</v>
      </c>
      <c r="K1158" s="2">
        <f>H1158+5&gt;D1158</f>
        <v/>
      </c>
      <c r="L1158" s="2">
        <f>J1158&lt;I1158</f>
        <v/>
      </c>
      <c r="M1158" s="2" t="b">
        <v>1</v>
      </c>
      <c r="N1158" s="2" t="b">
        <v>1</v>
      </c>
      <c r="O1158" s="2" t="inlineStr">
        <is>
          <t>allow</t>
        </is>
      </c>
      <c r="P1158" s="2">
        <f>O1158&lt;&gt;"unknown"</f>
        <v/>
      </c>
    </row>
    <row r="1159">
      <c r="A1159" s="2" t="inlineStr">
        <is>
          <t>1500-on</t>
        </is>
      </c>
      <c r="B1159" s="2" t="n">
        <v>1500</v>
      </c>
      <c r="C1159" s="2" t="inlineStr">
        <is>
          <t>on</t>
        </is>
      </c>
      <c r="D1159" s="2" t="n">
        <v>1448</v>
      </c>
      <c r="E1159" s="2" t="inlineStr">
        <is>
          <t>curl 8.22 (OpenSSL 3.5.8)</t>
        </is>
      </c>
      <c r="F1159" s="2" t="b">
        <v>1</v>
      </c>
      <c r="G1159" s="2" t="n">
        <v>18</v>
      </c>
      <c r="H1159" s="2" t="n">
        <v>1561</v>
      </c>
      <c r="I1159" s="2" t="n">
        <v>1561</v>
      </c>
      <c r="J1159" s="2" t="n">
        <v>1443</v>
      </c>
      <c r="K1159" s="2">
        <f>H1159+5&gt;D1159</f>
        <v/>
      </c>
      <c r="L1159" s="2">
        <f>J1159&lt;I1159</f>
        <v/>
      </c>
      <c r="M1159" s="2" t="b">
        <v>1</v>
      </c>
      <c r="N1159" s="2" t="b">
        <v>1</v>
      </c>
      <c r="O1159" s="2" t="inlineStr">
        <is>
          <t>allow</t>
        </is>
      </c>
      <c r="P1159" s="2">
        <f>O1159&lt;&gt;"unknown"</f>
        <v/>
      </c>
    </row>
    <row r="1160">
      <c r="A1160" s="2" t="inlineStr">
        <is>
          <t>1500-on</t>
        </is>
      </c>
      <c r="B1160" s="2" t="n">
        <v>1500</v>
      </c>
      <c r="C1160" s="2" t="inlineStr">
        <is>
          <t>on</t>
        </is>
      </c>
      <c r="D1160" s="2" t="n">
        <v>1448</v>
      </c>
      <c r="E1160" s="2" t="inlineStr">
        <is>
          <t>curl 8.22 (OpenSSL 3.5.8)</t>
        </is>
      </c>
      <c r="F1160" s="2" t="b">
        <v>1</v>
      </c>
      <c r="G1160" s="2" t="n">
        <v>19</v>
      </c>
      <c r="H1160" s="2" t="n">
        <v>1561</v>
      </c>
      <c r="I1160" s="2" t="n">
        <v>1561</v>
      </c>
      <c r="J1160" s="2" t="n">
        <v>1443</v>
      </c>
      <c r="K1160" s="2">
        <f>H1160+5&gt;D1160</f>
        <v/>
      </c>
      <c r="L1160" s="2">
        <f>J1160&lt;I1160</f>
        <v/>
      </c>
      <c r="M1160" s="2" t="b">
        <v>1</v>
      </c>
      <c r="N1160" s="2" t="b">
        <v>1</v>
      </c>
      <c r="O1160" s="2" t="inlineStr">
        <is>
          <t>allow</t>
        </is>
      </c>
      <c r="P1160" s="2">
        <f>O1160&lt;&gt;"unknown"</f>
        <v/>
      </c>
    </row>
    <row r="1161">
      <c r="A1161" s="2" t="inlineStr">
        <is>
          <t>1500-on</t>
        </is>
      </c>
      <c r="B1161" s="2" t="n">
        <v>1500</v>
      </c>
      <c r="C1161" s="2" t="inlineStr">
        <is>
          <t>on</t>
        </is>
      </c>
      <c r="D1161" s="2" t="n">
        <v>1448</v>
      </c>
      <c r="E1161" s="2" t="inlineStr">
        <is>
          <t>curl 8.22 (OpenSSL 3.5.8)</t>
        </is>
      </c>
      <c r="F1161" s="2" t="b">
        <v>1</v>
      </c>
      <c r="G1161" s="2" t="n">
        <v>20</v>
      </c>
      <c r="H1161" s="2" t="n">
        <v>1561</v>
      </c>
      <c r="I1161" s="2" t="n">
        <v>1561</v>
      </c>
      <c r="J1161" s="2" t="n">
        <v>1443</v>
      </c>
      <c r="K1161" s="2">
        <f>H1161+5&gt;D1161</f>
        <v/>
      </c>
      <c r="L1161" s="2">
        <f>J1161&lt;I1161</f>
        <v/>
      </c>
      <c r="M1161" s="2" t="b">
        <v>1</v>
      </c>
      <c r="N1161" s="2" t="b">
        <v>1</v>
      </c>
      <c r="O1161" s="2" t="inlineStr">
        <is>
          <t>allow</t>
        </is>
      </c>
      <c r="P1161" s="2">
        <f>O1161&lt;&gt;"unknown"</f>
        <v/>
      </c>
    </row>
    <row r="1162">
      <c r="A1162" s="2" t="inlineStr">
        <is>
          <t>1500-on</t>
        </is>
      </c>
      <c r="B1162" s="2" t="n">
        <v>1500</v>
      </c>
      <c r="C1162" s="2" t="inlineStr">
        <is>
          <t>on</t>
        </is>
      </c>
      <c r="D1162" s="2" t="n">
        <v>1448</v>
      </c>
      <c r="E1162" s="2" t="inlineStr">
        <is>
          <t>python 3.14 urllib (OpenSSL 3.5.8)</t>
        </is>
      </c>
      <c r="F1162" s="2" t="b">
        <v>1</v>
      </c>
      <c r="G1162" s="2" t="n">
        <v>1</v>
      </c>
      <c r="H1162" s="2" t="n">
        <v>1517</v>
      </c>
      <c r="I1162" s="2" t="n">
        <v>1517</v>
      </c>
      <c r="J1162" s="2" t="n">
        <v>1443</v>
      </c>
      <c r="K1162" s="2">
        <f>H1162+5&gt;D1162</f>
        <v/>
      </c>
      <c r="L1162" s="2">
        <f>J1162&lt;I1162</f>
        <v/>
      </c>
      <c r="M1162" s="2" t="b">
        <v>1</v>
      </c>
      <c r="N1162" s="2" t="b">
        <v>1</v>
      </c>
      <c r="O1162" s="2" t="inlineStr">
        <is>
          <t>allow</t>
        </is>
      </c>
      <c r="P1162" s="2">
        <f>O1162&lt;&gt;"unknown"</f>
        <v/>
      </c>
    </row>
    <row r="1163">
      <c r="A1163" s="2" t="inlineStr">
        <is>
          <t>1500-on</t>
        </is>
      </c>
      <c r="B1163" s="2" t="n">
        <v>1500</v>
      </c>
      <c r="C1163" s="2" t="inlineStr">
        <is>
          <t>on</t>
        </is>
      </c>
      <c r="D1163" s="2" t="n">
        <v>1448</v>
      </c>
      <c r="E1163" s="2" t="inlineStr">
        <is>
          <t>python 3.14 urllib (OpenSSL 3.5.8)</t>
        </is>
      </c>
      <c r="F1163" s="2" t="b">
        <v>1</v>
      </c>
      <c r="G1163" s="2" t="n">
        <v>2</v>
      </c>
      <c r="H1163" s="2" t="n">
        <v>1517</v>
      </c>
      <c r="I1163" s="2" t="n">
        <v>1517</v>
      </c>
      <c r="J1163" s="2" t="n">
        <v>1443</v>
      </c>
      <c r="K1163" s="2">
        <f>H1163+5&gt;D1163</f>
        <v/>
      </c>
      <c r="L1163" s="2">
        <f>J1163&lt;I1163</f>
        <v/>
      </c>
      <c r="M1163" s="2" t="b">
        <v>1</v>
      </c>
      <c r="N1163" s="2" t="b">
        <v>1</v>
      </c>
      <c r="O1163" s="2" t="inlineStr">
        <is>
          <t>allow</t>
        </is>
      </c>
      <c r="P1163" s="2">
        <f>O1163&lt;&gt;"unknown"</f>
        <v/>
      </c>
    </row>
    <row r="1164">
      <c r="A1164" s="2" t="inlineStr">
        <is>
          <t>1500-on</t>
        </is>
      </c>
      <c r="B1164" s="2" t="n">
        <v>1500</v>
      </c>
      <c r="C1164" s="2" t="inlineStr">
        <is>
          <t>on</t>
        </is>
      </c>
      <c r="D1164" s="2" t="n">
        <v>1448</v>
      </c>
      <c r="E1164" s="2" t="inlineStr">
        <is>
          <t>python 3.14 urllib (OpenSSL 3.5.8)</t>
        </is>
      </c>
      <c r="F1164" s="2" t="b">
        <v>1</v>
      </c>
      <c r="G1164" s="2" t="n">
        <v>3</v>
      </c>
      <c r="H1164" s="2" t="n">
        <v>1517</v>
      </c>
      <c r="I1164" s="2" t="n">
        <v>1517</v>
      </c>
      <c r="J1164" s="2" t="n">
        <v>1443</v>
      </c>
      <c r="K1164" s="2">
        <f>H1164+5&gt;D1164</f>
        <v/>
      </c>
      <c r="L1164" s="2">
        <f>J1164&lt;I1164</f>
        <v/>
      </c>
      <c r="M1164" s="2" t="b">
        <v>1</v>
      </c>
      <c r="N1164" s="2" t="b">
        <v>1</v>
      </c>
      <c r="O1164" s="2" t="inlineStr">
        <is>
          <t>allow</t>
        </is>
      </c>
      <c r="P1164" s="2">
        <f>O1164&lt;&gt;"unknown"</f>
        <v/>
      </c>
    </row>
    <row r="1165">
      <c r="A1165" s="2" t="inlineStr">
        <is>
          <t>1500-on</t>
        </is>
      </c>
      <c r="B1165" s="2" t="n">
        <v>1500</v>
      </c>
      <c r="C1165" s="2" t="inlineStr">
        <is>
          <t>on</t>
        </is>
      </c>
      <c r="D1165" s="2" t="n">
        <v>1448</v>
      </c>
      <c r="E1165" s="2" t="inlineStr">
        <is>
          <t>python 3.14 urllib (OpenSSL 3.5.8)</t>
        </is>
      </c>
      <c r="F1165" s="2" t="b">
        <v>1</v>
      </c>
      <c r="G1165" s="2" t="n">
        <v>4</v>
      </c>
      <c r="H1165" s="2" t="n">
        <v>1517</v>
      </c>
      <c r="I1165" s="2" t="n">
        <v>1517</v>
      </c>
      <c r="J1165" s="2" t="n">
        <v>1443</v>
      </c>
      <c r="K1165" s="2">
        <f>H1165+5&gt;D1165</f>
        <v/>
      </c>
      <c r="L1165" s="2">
        <f>J1165&lt;I1165</f>
        <v/>
      </c>
      <c r="M1165" s="2" t="b">
        <v>1</v>
      </c>
      <c r="N1165" s="2" t="b">
        <v>1</v>
      </c>
      <c r="O1165" s="2" t="inlineStr">
        <is>
          <t>allow</t>
        </is>
      </c>
      <c r="P1165" s="2">
        <f>O1165&lt;&gt;"unknown"</f>
        <v/>
      </c>
    </row>
    <row r="1166">
      <c r="A1166" s="2" t="inlineStr">
        <is>
          <t>1500-on</t>
        </is>
      </c>
      <c r="B1166" s="2" t="n">
        <v>1500</v>
      </c>
      <c r="C1166" s="2" t="inlineStr">
        <is>
          <t>on</t>
        </is>
      </c>
      <c r="D1166" s="2" t="n">
        <v>1448</v>
      </c>
      <c r="E1166" s="2" t="inlineStr">
        <is>
          <t>python 3.14 urllib (OpenSSL 3.5.8)</t>
        </is>
      </c>
      <c r="F1166" s="2" t="b">
        <v>1</v>
      </c>
      <c r="G1166" s="2" t="n">
        <v>5</v>
      </c>
      <c r="H1166" s="2" t="n">
        <v>1517</v>
      </c>
      <c r="I1166" s="2" t="n">
        <v>1517</v>
      </c>
      <c r="J1166" s="2" t="n">
        <v>1443</v>
      </c>
      <c r="K1166" s="2">
        <f>H1166+5&gt;D1166</f>
        <v/>
      </c>
      <c r="L1166" s="2">
        <f>J1166&lt;I1166</f>
        <v/>
      </c>
      <c r="M1166" s="2" t="b">
        <v>1</v>
      </c>
      <c r="N1166" s="2" t="b">
        <v>1</v>
      </c>
      <c r="O1166" s="2" t="inlineStr">
        <is>
          <t>allow</t>
        </is>
      </c>
      <c r="P1166" s="2">
        <f>O1166&lt;&gt;"unknown"</f>
        <v/>
      </c>
    </row>
    <row r="1167">
      <c r="A1167" s="2" t="inlineStr">
        <is>
          <t>1500-on</t>
        </is>
      </c>
      <c r="B1167" s="2" t="n">
        <v>1500</v>
      </c>
      <c r="C1167" s="2" t="inlineStr">
        <is>
          <t>on</t>
        </is>
      </c>
      <c r="D1167" s="2" t="n">
        <v>1448</v>
      </c>
      <c r="E1167" s="2" t="inlineStr">
        <is>
          <t>python 3.14 urllib (OpenSSL 3.5.8)</t>
        </is>
      </c>
      <c r="F1167" s="2" t="b">
        <v>1</v>
      </c>
      <c r="G1167" s="2" t="n">
        <v>6</v>
      </c>
      <c r="H1167" s="2" t="n">
        <v>1517</v>
      </c>
      <c r="I1167" s="2" t="n">
        <v>1517</v>
      </c>
      <c r="J1167" s="2" t="n">
        <v>1443</v>
      </c>
      <c r="K1167" s="2">
        <f>H1167+5&gt;D1167</f>
        <v/>
      </c>
      <c r="L1167" s="2">
        <f>J1167&lt;I1167</f>
        <v/>
      </c>
      <c r="M1167" s="2" t="b">
        <v>1</v>
      </c>
      <c r="N1167" s="2" t="b">
        <v>1</v>
      </c>
      <c r="O1167" s="2" t="inlineStr">
        <is>
          <t>allow</t>
        </is>
      </c>
      <c r="P1167" s="2">
        <f>O1167&lt;&gt;"unknown"</f>
        <v/>
      </c>
    </row>
    <row r="1168">
      <c r="A1168" s="2" t="inlineStr">
        <is>
          <t>1500-on</t>
        </is>
      </c>
      <c r="B1168" s="2" t="n">
        <v>1500</v>
      </c>
      <c r="C1168" s="2" t="inlineStr">
        <is>
          <t>on</t>
        </is>
      </c>
      <c r="D1168" s="2" t="n">
        <v>1448</v>
      </c>
      <c r="E1168" s="2" t="inlineStr">
        <is>
          <t>python 3.14 urllib (OpenSSL 3.5.8)</t>
        </is>
      </c>
      <c r="F1168" s="2" t="b">
        <v>1</v>
      </c>
      <c r="G1168" s="2" t="n">
        <v>7</v>
      </c>
      <c r="H1168" s="2" t="n">
        <v>1517</v>
      </c>
      <c r="I1168" s="2" t="n">
        <v>1517</v>
      </c>
      <c r="J1168" s="2" t="n">
        <v>1443</v>
      </c>
      <c r="K1168" s="2">
        <f>H1168+5&gt;D1168</f>
        <v/>
      </c>
      <c r="L1168" s="2">
        <f>J1168&lt;I1168</f>
        <v/>
      </c>
      <c r="M1168" s="2" t="b">
        <v>1</v>
      </c>
      <c r="N1168" s="2" t="b">
        <v>1</v>
      </c>
      <c r="O1168" s="2" t="inlineStr">
        <is>
          <t>allow</t>
        </is>
      </c>
      <c r="P1168" s="2">
        <f>O1168&lt;&gt;"unknown"</f>
        <v/>
      </c>
    </row>
    <row r="1169">
      <c r="A1169" s="2" t="inlineStr">
        <is>
          <t>1500-on</t>
        </is>
      </c>
      <c r="B1169" s="2" t="n">
        <v>1500</v>
      </c>
      <c r="C1169" s="2" t="inlineStr">
        <is>
          <t>on</t>
        </is>
      </c>
      <c r="D1169" s="2" t="n">
        <v>1448</v>
      </c>
      <c r="E1169" s="2" t="inlineStr">
        <is>
          <t>python 3.14 urllib (OpenSSL 3.5.8)</t>
        </is>
      </c>
      <c r="F1169" s="2" t="b">
        <v>1</v>
      </c>
      <c r="G1169" s="2" t="n">
        <v>8</v>
      </c>
      <c r="H1169" s="2" t="n">
        <v>1517</v>
      </c>
      <c r="I1169" s="2" t="n">
        <v>1517</v>
      </c>
      <c r="J1169" s="2" t="n">
        <v>1443</v>
      </c>
      <c r="K1169" s="2">
        <f>H1169+5&gt;D1169</f>
        <v/>
      </c>
      <c r="L1169" s="2">
        <f>J1169&lt;I1169</f>
        <v/>
      </c>
      <c r="M1169" s="2" t="b">
        <v>1</v>
      </c>
      <c r="N1169" s="2" t="b">
        <v>1</v>
      </c>
      <c r="O1169" s="2" t="inlineStr">
        <is>
          <t>allow</t>
        </is>
      </c>
      <c r="P1169" s="2">
        <f>O1169&lt;&gt;"unknown"</f>
        <v/>
      </c>
    </row>
    <row r="1170">
      <c r="A1170" s="2" t="inlineStr">
        <is>
          <t>1500-on</t>
        </is>
      </c>
      <c r="B1170" s="2" t="n">
        <v>1500</v>
      </c>
      <c r="C1170" s="2" t="inlineStr">
        <is>
          <t>on</t>
        </is>
      </c>
      <c r="D1170" s="2" t="n">
        <v>1448</v>
      </c>
      <c r="E1170" s="2" t="inlineStr">
        <is>
          <t>python 3.14 urllib (OpenSSL 3.5.8)</t>
        </is>
      </c>
      <c r="F1170" s="2" t="b">
        <v>1</v>
      </c>
      <c r="G1170" s="2" t="n">
        <v>9</v>
      </c>
      <c r="H1170" s="2" t="n">
        <v>1517</v>
      </c>
      <c r="I1170" s="2" t="n">
        <v>1517</v>
      </c>
      <c r="J1170" s="2" t="n">
        <v>1443</v>
      </c>
      <c r="K1170" s="2">
        <f>H1170+5&gt;D1170</f>
        <v/>
      </c>
      <c r="L1170" s="2">
        <f>J1170&lt;I1170</f>
        <v/>
      </c>
      <c r="M1170" s="2" t="b">
        <v>1</v>
      </c>
      <c r="N1170" s="2" t="b">
        <v>1</v>
      </c>
      <c r="O1170" s="2" t="inlineStr">
        <is>
          <t>allow</t>
        </is>
      </c>
      <c r="P1170" s="2">
        <f>O1170&lt;&gt;"unknown"</f>
        <v/>
      </c>
    </row>
    <row r="1171">
      <c r="A1171" s="2" t="inlineStr">
        <is>
          <t>1500-on</t>
        </is>
      </c>
      <c r="B1171" s="2" t="n">
        <v>1500</v>
      </c>
      <c r="C1171" s="2" t="inlineStr">
        <is>
          <t>on</t>
        </is>
      </c>
      <c r="D1171" s="2" t="n">
        <v>1448</v>
      </c>
      <c r="E1171" s="2" t="inlineStr">
        <is>
          <t>python 3.14 urllib (OpenSSL 3.5.8)</t>
        </is>
      </c>
      <c r="F1171" s="2" t="b">
        <v>1</v>
      </c>
      <c r="G1171" s="2" t="n">
        <v>10</v>
      </c>
      <c r="H1171" s="2" t="n">
        <v>1517</v>
      </c>
      <c r="I1171" s="2" t="n">
        <v>1517</v>
      </c>
      <c r="J1171" s="2" t="n">
        <v>1443</v>
      </c>
      <c r="K1171" s="2">
        <f>H1171+5&gt;D1171</f>
        <v/>
      </c>
      <c r="L1171" s="2">
        <f>J1171&lt;I1171</f>
        <v/>
      </c>
      <c r="M1171" s="2" t="b">
        <v>1</v>
      </c>
      <c r="N1171" s="2" t="b">
        <v>1</v>
      </c>
      <c r="O1171" s="2" t="inlineStr">
        <is>
          <t>allow</t>
        </is>
      </c>
      <c r="P1171" s="2">
        <f>O1171&lt;&gt;"unknown"</f>
        <v/>
      </c>
    </row>
    <row r="1172">
      <c r="A1172" s="2" t="inlineStr">
        <is>
          <t>1500-on</t>
        </is>
      </c>
      <c r="B1172" s="2" t="n">
        <v>1500</v>
      </c>
      <c r="C1172" s="2" t="inlineStr">
        <is>
          <t>on</t>
        </is>
      </c>
      <c r="D1172" s="2" t="n">
        <v>1448</v>
      </c>
      <c r="E1172" s="2" t="inlineStr">
        <is>
          <t>python 3.14 urllib (OpenSSL 3.5.8)</t>
        </is>
      </c>
      <c r="F1172" s="2" t="b">
        <v>1</v>
      </c>
      <c r="G1172" s="2" t="n">
        <v>11</v>
      </c>
      <c r="H1172" s="2" t="n">
        <v>1517</v>
      </c>
      <c r="I1172" s="2" t="n">
        <v>1517</v>
      </c>
      <c r="J1172" s="2" t="n">
        <v>1443</v>
      </c>
      <c r="K1172" s="2">
        <f>H1172+5&gt;D1172</f>
        <v/>
      </c>
      <c r="L1172" s="2">
        <f>J1172&lt;I1172</f>
        <v/>
      </c>
      <c r="M1172" s="2" t="b">
        <v>1</v>
      </c>
      <c r="N1172" s="2" t="b">
        <v>1</v>
      </c>
      <c r="O1172" s="2" t="inlineStr">
        <is>
          <t>allow</t>
        </is>
      </c>
      <c r="P1172" s="2">
        <f>O1172&lt;&gt;"unknown"</f>
        <v/>
      </c>
    </row>
    <row r="1173">
      <c r="A1173" s="2" t="inlineStr">
        <is>
          <t>1500-on</t>
        </is>
      </c>
      <c r="B1173" s="2" t="n">
        <v>1500</v>
      </c>
      <c r="C1173" s="2" t="inlineStr">
        <is>
          <t>on</t>
        </is>
      </c>
      <c r="D1173" s="2" t="n">
        <v>1448</v>
      </c>
      <c r="E1173" s="2" t="inlineStr">
        <is>
          <t>python 3.14 urllib (OpenSSL 3.5.8)</t>
        </is>
      </c>
      <c r="F1173" s="2" t="b">
        <v>1</v>
      </c>
      <c r="G1173" s="2" t="n">
        <v>12</v>
      </c>
      <c r="H1173" s="2" t="n">
        <v>1517</v>
      </c>
      <c r="I1173" s="2" t="n">
        <v>1517</v>
      </c>
      <c r="J1173" s="2" t="n">
        <v>1443</v>
      </c>
      <c r="K1173" s="2">
        <f>H1173+5&gt;D1173</f>
        <v/>
      </c>
      <c r="L1173" s="2">
        <f>J1173&lt;I1173</f>
        <v/>
      </c>
      <c r="M1173" s="2" t="b">
        <v>1</v>
      </c>
      <c r="N1173" s="2" t="b">
        <v>1</v>
      </c>
      <c r="O1173" s="2" t="inlineStr">
        <is>
          <t>allow</t>
        </is>
      </c>
      <c r="P1173" s="2">
        <f>O1173&lt;&gt;"unknown"</f>
        <v/>
      </c>
    </row>
    <row r="1174">
      <c r="A1174" s="2" t="inlineStr">
        <is>
          <t>1500-on</t>
        </is>
      </c>
      <c r="B1174" s="2" t="n">
        <v>1500</v>
      </c>
      <c r="C1174" s="2" t="inlineStr">
        <is>
          <t>on</t>
        </is>
      </c>
      <c r="D1174" s="2" t="n">
        <v>1448</v>
      </c>
      <c r="E1174" s="2" t="inlineStr">
        <is>
          <t>python 3.14 urllib (OpenSSL 3.5.8)</t>
        </is>
      </c>
      <c r="F1174" s="2" t="b">
        <v>1</v>
      </c>
      <c r="G1174" s="2" t="n">
        <v>13</v>
      </c>
      <c r="H1174" s="2" t="n">
        <v>1517</v>
      </c>
      <c r="I1174" s="2" t="n">
        <v>1517</v>
      </c>
      <c r="J1174" s="2" t="n">
        <v>1443</v>
      </c>
      <c r="K1174" s="2">
        <f>H1174+5&gt;D1174</f>
        <v/>
      </c>
      <c r="L1174" s="2">
        <f>J1174&lt;I1174</f>
        <v/>
      </c>
      <c r="M1174" s="2" t="b">
        <v>1</v>
      </c>
      <c r="N1174" s="2" t="b">
        <v>1</v>
      </c>
      <c r="O1174" s="2" t="inlineStr">
        <is>
          <t>allow</t>
        </is>
      </c>
      <c r="P1174" s="2">
        <f>O1174&lt;&gt;"unknown"</f>
        <v/>
      </c>
    </row>
    <row r="1175">
      <c r="A1175" s="2" t="inlineStr">
        <is>
          <t>1500-on</t>
        </is>
      </c>
      <c r="B1175" s="2" t="n">
        <v>1500</v>
      </c>
      <c r="C1175" s="2" t="inlineStr">
        <is>
          <t>on</t>
        </is>
      </c>
      <c r="D1175" s="2" t="n">
        <v>1448</v>
      </c>
      <c r="E1175" s="2" t="inlineStr">
        <is>
          <t>python 3.14 urllib (OpenSSL 3.5.8)</t>
        </is>
      </c>
      <c r="F1175" s="2" t="b">
        <v>1</v>
      </c>
      <c r="G1175" s="2" t="n">
        <v>14</v>
      </c>
      <c r="H1175" s="2" t="n">
        <v>1517</v>
      </c>
      <c r="I1175" s="2" t="n">
        <v>1517</v>
      </c>
      <c r="J1175" s="2" t="n">
        <v>1443</v>
      </c>
      <c r="K1175" s="2">
        <f>H1175+5&gt;D1175</f>
        <v/>
      </c>
      <c r="L1175" s="2">
        <f>J1175&lt;I1175</f>
        <v/>
      </c>
      <c r="M1175" s="2" t="b">
        <v>1</v>
      </c>
      <c r="N1175" s="2" t="b">
        <v>1</v>
      </c>
      <c r="O1175" s="2" t="inlineStr">
        <is>
          <t>allow</t>
        </is>
      </c>
      <c r="P1175" s="2">
        <f>O1175&lt;&gt;"unknown"</f>
        <v/>
      </c>
    </row>
    <row r="1176">
      <c r="A1176" s="2" t="inlineStr">
        <is>
          <t>1500-on</t>
        </is>
      </c>
      <c r="B1176" s="2" t="n">
        <v>1500</v>
      </c>
      <c r="C1176" s="2" t="inlineStr">
        <is>
          <t>on</t>
        </is>
      </c>
      <c r="D1176" s="2" t="n">
        <v>1448</v>
      </c>
      <c r="E1176" s="2" t="inlineStr">
        <is>
          <t>python 3.14 urllib (OpenSSL 3.5.8)</t>
        </is>
      </c>
      <c r="F1176" s="2" t="b">
        <v>1</v>
      </c>
      <c r="G1176" s="2" t="n">
        <v>15</v>
      </c>
      <c r="H1176" s="2" t="n">
        <v>1517</v>
      </c>
      <c r="I1176" s="2" t="n">
        <v>1517</v>
      </c>
      <c r="J1176" s="2" t="n">
        <v>1443</v>
      </c>
      <c r="K1176" s="2">
        <f>H1176+5&gt;D1176</f>
        <v/>
      </c>
      <c r="L1176" s="2">
        <f>J1176&lt;I1176</f>
        <v/>
      </c>
      <c r="M1176" s="2" t="b">
        <v>1</v>
      </c>
      <c r="N1176" s="2" t="b">
        <v>1</v>
      </c>
      <c r="O1176" s="2" t="inlineStr">
        <is>
          <t>allow</t>
        </is>
      </c>
      <c r="P1176" s="2">
        <f>O1176&lt;&gt;"unknown"</f>
        <v/>
      </c>
    </row>
    <row r="1177">
      <c r="A1177" s="2" t="inlineStr">
        <is>
          <t>1500-on</t>
        </is>
      </c>
      <c r="B1177" s="2" t="n">
        <v>1500</v>
      </c>
      <c r="C1177" s="2" t="inlineStr">
        <is>
          <t>on</t>
        </is>
      </c>
      <c r="D1177" s="2" t="n">
        <v>1448</v>
      </c>
      <c r="E1177" s="2" t="inlineStr">
        <is>
          <t>python 3.14 urllib (OpenSSL 3.5.8)</t>
        </is>
      </c>
      <c r="F1177" s="2" t="b">
        <v>1</v>
      </c>
      <c r="G1177" s="2" t="n">
        <v>16</v>
      </c>
      <c r="H1177" s="2" t="n">
        <v>1517</v>
      </c>
      <c r="I1177" s="2" t="n">
        <v>1517</v>
      </c>
      <c r="J1177" s="2" t="n">
        <v>1443</v>
      </c>
      <c r="K1177" s="2">
        <f>H1177+5&gt;D1177</f>
        <v/>
      </c>
      <c r="L1177" s="2">
        <f>J1177&lt;I1177</f>
        <v/>
      </c>
      <c r="M1177" s="2" t="b">
        <v>1</v>
      </c>
      <c r="N1177" s="2" t="b">
        <v>1</v>
      </c>
      <c r="O1177" s="2" t="inlineStr">
        <is>
          <t>allow</t>
        </is>
      </c>
      <c r="P1177" s="2">
        <f>O1177&lt;&gt;"unknown"</f>
        <v/>
      </c>
    </row>
    <row r="1178">
      <c r="A1178" s="2" t="inlineStr">
        <is>
          <t>1500-on</t>
        </is>
      </c>
      <c r="B1178" s="2" t="n">
        <v>1500</v>
      </c>
      <c r="C1178" s="2" t="inlineStr">
        <is>
          <t>on</t>
        </is>
      </c>
      <c r="D1178" s="2" t="n">
        <v>1448</v>
      </c>
      <c r="E1178" s="2" t="inlineStr">
        <is>
          <t>python 3.14 urllib (OpenSSL 3.5.8)</t>
        </is>
      </c>
      <c r="F1178" s="2" t="b">
        <v>1</v>
      </c>
      <c r="G1178" s="2" t="n">
        <v>17</v>
      </c>
      <c r="H1178" s="2" t="n">
        <v>1517</v>
      </c>
      <c r="I1178" s="2" t="n">
        <v>1517</v>
      </c>
      <c r="J1178" s="2" t="n">
        <v>1443</v>
      </c>
      <c r="K1178" s="2">
        <f>H1178+5&gt;D1178</f>
        <v/>
      </c>
      <c r="L1178" s="2">
        <f>J1178&lt;I1178</f>
        <v/>
      </c>
      <c r="M1178" s="2" t="b">
        <v>1</v>
      </c>
      <c r="N1178" s="2" t="b">
        <v>1</v>
      </c>
      <c r="O1178" s="2" t="inlineStr">
        <is>
          <t>allow</t>
        </is>
      </c>
      <c r="P1178" s="2">
        <f>O1178&lt;&gt;"unknown"</f>
        <v/>
      </c>
    </row>
    <row r="1179">
      <c r="A1179" s="2" t="inlineStr">
        <is>
          <t>1500-on</t>
        </is>
      </c>
      <c r="B1179" s="2" t="n">
        <v>1500</v>
      </c>
      <c r="C1179" s="2" t="inlineStr">
        <is>
          <t>on</t>
        </is>
      </c>
      <c r="D1179" s="2" t="n">
        <v>1448</v>
      </c>
      <c r="E1179" s="2" t="inlineStr">
        <is>
          <t>python 3.14 urllib (OpenSSL 3.5.8)</t>
        </is>
      </c>
      <c r="F1179" s="2" t="b">
        <v>1</v>
      </c>
      <c r="G1179" s="2" t="n">
        <v>18</v>
      </c>
      <c r="H1179" s="2" t="n">
        <v>1517</v>
      </c>
      <c r="I1179" s="2" t="n">
        <v>1517</v>
      </c>
      <c r="J1179" s="2" t="n">
        <v>1443</v>
      </c>
      <c r="K1179" s="2">
        <f>H1179+5&gt;D1179</f>
        <v/>
      </c>
      <c r="L1179" s="2">
        <f>J1179&lt;I1179</f>
        <v/>
      </c>
      <c r="M1179" s="2" t="b">
        <v>1</v>
      </c>
      <c r="N1179" s="2" t="b">
        <v>1</v>
      </c>
      <c r="O1179" s="2" t="inlineStr">
        <is>
          <t>allow</t>
        </is>
      </c>
      <c r="P1179" s="2">
        <f>O1179&lt;&gt;"unknown"</f>
        <v/>
      </c>
    </row>
    <row r="1180">
      <c r="A1180" s="2" t="inlineStr">
        <is>
          <t>1500-on</t>
        </is>
      </c>
      <c r="B1180" s="2" t="n">
        <v>1500</v>
      </c>
      <c r="C1180" s="2" t="inlineStr">
        <is>
          <t>on</t>
        </is>
      </c>
      <c r="D1180" s="2" t="n">
        <v>1448</v>
      </c>
      <c r="E1180" s="2" t="inlineStr">
        <is>
          <t>python 3.14 urllib (OpenSSL 3.5.8)</t>
        </is>
      </c>
      <c r="F1180" s="2" t="b">
        <v>1</v>
      </c>
      <c r="G1180" s="2" t="n">
        <v>19</v>
      </c>
      <c r="H1180" s="2" t="n">
        <v>1517</v>
      </c>
      <c r="I1180" s="2" t="n">
        <v>1517</v>
      </c>
      <c r="J1180" s="2" t="n">
        <v>1443</v>
      </c>
      <c r="K1180" s="2">
        <f>H1180+5&gt;D1180</f>
        <v/>
      </c>
      <c r="L1180" s="2">
        <f>J1180&lt;I1180</f>
        <v/>
      </c>
      <c r="M1180" s="2" t="b">
        <v>1</v>
      </c>
      <c r="N1180" s="2" t="b">
        <v>1</v>
      </c>
      <c r="O1180" s="2" t="inlineStr">
        <is>
          <t>allow</t>
        </is>
      </c>
      <c r="P1180" s="2">
        <f>O1180&lt;&gt;"unknown"</f>
        <v/>
      </c>
    </row>
    <row r="1181">
      <c r="A1181" s="2" t="inlineStr">
        <is>
          <t>1500-on</t>
        </is>
      </c>
      <c r="B1181" s="2" t="n">
        <v>1500</v>
      </c>
      <c r="C1181" s="2" t="inlineStr">
        <is>
          <t>on</t>
        </is>
      </c>
      <c r="D1181" s="2" t="n">
        <v>1448</v>
      </c>
      <c r="E1181" s="2" t="inlineStr">
        <is>
          <t>python 3.14 urllib (OpenSSL 3.5.8)</t>
        </is>
      </c>
      <c r="F1181" s="2" t="b">
        <v>1</v>
      </c>
      <c r="G1181" s="2" t="n">
        <v>20</v>
      </c>
      <c r="H1181" s="2" t="n">
        <v>1517</v>
      </c>
      <c r="I1181" s="2" t="n">
        <v>1517</v>
      </c>
      <c r="J1181" s="2" t="n">
        <v>1443</v>
      </c>
      <c r="K1181" s="2">
        <f>H1181+5&gt;D1181</f>
        <v/>
      </c>
      <c r="L1181" s="2">
        <f>J1181&lt;I1181</f>
        <v/>
      </c>
      <c r="M1181" s="2" t="b">
        <v>1</v>
      </c>
      <c r="N1181" s="2" t="b">
        <v>1</v>
      </c>
      <c r="O1181" s="2" t="inlineStr">
        <is>
          <t>allow</t>
        </is>
      </c>
      <c r="P1181" s="2">
        <f>O1181&lt;&gt;"unknown"</f>
        <v/>
      </c>
    </row>
    <row r="1182">
      <c r="A1182" s="2" t="inlineStr">
        <is>
          <t>1500-on</t>
        </is>
      </c>
      <c r="B1182" s="2" t="n">
        <v>1500</v>
      </c>
      <c r="C1182" s="2" t="inlineStr">
        <is>
          <t>on</t>
        </is>
      </c>
      <c r="D1182" s="2" t="n">
        <v>1448</v>
      </c>
      <c r="E1182" s="2" t="inlineStr">
        <is>
          <t>node 26 https (OpenSSL 3.5.8)</t>
        </is>
      </c>
      <c r="F1182" s="2" t="b">
        <v>1</v>
      </c>
      <c r="G1182" s="2" t="n">
        <v>1</v>
      </c>
      <c r="H1182" s="2" t="n">
        <v>1587</v>
      </c>
      <c r="I1182" s="2" t="n">
        <v>1587</v>
      </c>
      <c r="J1182" s="2" t="n">
        <v>1443</v>
      </c>
      <c r="K1182" s="2">
        <f>H1182+5&gt;D1182</f>
        <v/>
      </c>
      <c r="L1182" s="2">
        <f>J1182&lt;I1182</f>
        <v/>
      </c>
      <c r="M1182" s="2" t="b">
        <v>1</v>
      </c>
      <c r="N1182" s="2" t="b">
        <v>1</v>
      </c>
      <c r="O1182" s="2" t="inlineStr">
        <is>
          <t>allow</t>
        </is>
      </c>
      <c r="P1182" s="2">
        <f>O1182&lt;&gt;"unknown"</f>
        <v/>
      </c>
    </row>
    <row r="1183">
      <c r="A1183" s="2" t="inlineStr">
        <is>
          <t>1500-on</t>
        </is>
      </c>
      <c r="B1183" s="2" t="n">
        <v>1500</v>
      </c>
      <c r="C1183" s="2" t="inlineStr">
        <is>
          <t>on</t>
        </is>
      </c>
      <c r="D1183" s="2" t="n">
        <v>1448</v>
      </c>
      <c r="E1183" s="2" t="inlineStr">
        <is>
          <t>node 26 https (OpenSSL 3.5.8)</t>
        </is>
      </c>
      <c r="F1183" s="2" t="b">
        <v>1</v>
      </c>
      <c r="G1183" s="2" t="n">
        <v>2</v>
      </c>
      <c r="H1183" s="2" t="n">
        <v>1587</v>
      </c>
      <c r="I1183" s="2" t="n">
        <v>1587</v>
      </c>
      <c r="J1183" s="2" t="n">
        <v>1443</v>
      </c>
      <c r="K1183" s="2">
        <f>H1183+5&gt;D1183</f>
        <v/>
      </c>
      <c r="L1183" s="2">
        <f>J1183&lt;I1183</f>
        <v/>
      </c>
      <c r="M1183" s="2" t="b">
        <v>1</v>
      </c>
      <c r="N1183" s="2" t="b">
        <v>1</v>
      </c>
      <c r="O1183" s="2" t="inlineStr">
        <is>
          <t>allow</t>
        </is>
      </c>
      <c r="P1183" s="2">
        <f>O1183&lt;&gt;"unknown"</f>
        <v/>
      </c>
    </row>
    <row r="1184">
      <c r="A1184" s="2" t="inlineStr">
        <is>
          <t>1500-on</t>
        </is>
      </c>
      <c r="B1184" s="2" t="n">
        <v>1500</v>
      </c>
      <c r="C1184" s="2" t="inlineStr">
        <is>
          <t>on</t>
        </is>
      </c>
      <c r="D1184" s="2" t="n">
        <v>1448</v>
      </c>
      <c r="E1184" s="2" t="inlineStr">
        <is>
          <t>node 26 https (OpenSSL 3.5.8)</t>
        </is>
      </c>
      <c r="F1184" s="2" t="b">
        <v>1</v>
      </c>
      <c r="G1184" s="2" t="n">
        <v>3</v>
      </c>
      <c r="H1184" s="2" t="n">
        <v>1587</v>
      </c>
      <c r="I1184" s="2" t="n">
        <v>1587</v>
      </c>
      <c r="J1184" s="2" t="n">
        <v>1443</v>
      </c>
      <c r="K1184" s="2">
        <f>H1184+5&gt;D1184</f>
        <v/>
      </c>
      <c r="L1184" s="2">
        <f>J1184&lt;I1184</f>
        <v/>
      </c>
      <c r="M1184" s="2" t="b">
        <v>1</v>
      </c>
      <c r="N1184" s="2" t="b">
        <v>1</v>
      </c>
      <c r="O1184" s="2" t="inlineStr">
        <is>
          <t>allow</t>
        </is>
      </c>
      <c r="P1184" s="2">
        <f>O1184&lt;&gt;"unknown"</f>
        <v/>
      </c>
    </row>
    <row r="1185">
      <c r="A1185" s="2" t="inlineStr">
        <is>
          <t>1500-on</t>
        </is>
      </c>
      <c r="B1185" s="2" t="n">
        <v>1500</v>
      </c>
      <c r="C1185" s="2" t="inlineStr">
        <is>
          <t>on</t>
        </is>
      </c>
      <c r="D1185" s="2" t="n">
        <v>1448</v>
      </c>
      <c r="E1185" s="2" t="inlineStr">
        <is>
          <t>node 26 https (OpenSSL 3.5.8)</t>
        </is>
      </c>
      <c r="F1185" s="2" t="b">
        <v>1</v>
      </c>
      <c r="G1185" s="2" t="n">
        <v>4</v>
      </c>
      <c r="H1185" s="2" t="n">
        <v>1587</v>
      </c>
      <c r="I1185" s="2" t="n">
        <v>1587</v>
      </c>
      <c r="J1185" s="2" t="n">
        <v>1443</v>
      </c>
      <c r="K1185" s="2">
        <f>H1185+5&gt;D1185</f>
        <v/>
      </c>
      <c r="L1185" s="2">
        <f>J1185&lt;I1185</f>
        <v/>
      </c>
      <c r="M1185" s="2" t="b">
        <v>1</v>
      </c>
      <c r="N1185" s="2" t="b">
        <v>1</v>
      </c>
      <c r="O1185" s="2" t="inlineStr">
        <is>
          <t>allow</t>
        </is>
      </c>
      <c r="P1185" s="2">
        <f>O1185&lt;&gt;"unknown"</f>
        <v/>
      </c>
    </row>
    <row r="1186">
      <c r="A1186" s="2" t="inlineStr">
        <is>
          <t>1500-on</t>
        </is>
      </c>
      <c r="B1186" s="2" t="n">
        <v>1500</v>
      </c>
      <c r="C1186" s="2" t="inlineStr">
        <is>
          <t>on</t>
        </is>
      </c>
      <c r="D1186" s="2" t="n">
        <v>1448</v>
      </c>
      <c r="E1186" s="2" t="inlineStr">
        <is>
          <t>node 26 https (OpenSSL 3.5.8)</t>
        </is>
      </c>
      <c r="F1186" s="2" t="b">
        <v>1</v>
      </c>
      <c r="G1186" s="2" t="n">
        <v>5</v>
      </c>
      <c r="H1186" s="2" t="n">
        <v>1587</v>
      </c>
      <c r="I1186" s="2" t="n">
        <v>1587</v>
      </c>
      <c r="J1186" s="2" t="n">
        <v>1443</v>
      </c>
      <c r="K1186" s="2">
        <f>H1186+5&gt;D1186</f>
        <v/>
      </c>
      <c r="L1186" s="2">
        <f>J1186&lt;I1186</f>
        <v/>
      </c>
      <c r="M1186" s="2" t="b">
        <v>1</v>
      </c>
      <c r="N1186" s="2" t="b">
        <v>1</v>
      </c>
      <c r="O1186" s="2" t="inlineStr">
        <is>
          <t>allow</t>
        </is>
      </c>
      <c r="P1186" s="2">
        <f>O1186&lt;&gt;"unknown"</f>
        <v/>
      </c>
    </row>
    <row r="1187">
      <c r="A1187" s="2" t="inlineStr">
        <is>
          <t>1500-on</t>
        </is>
      </c>
      <c r="B1187" s="2" t="n">
        <v>1500</v>
      </c>
      <c r="C1187" s="2" t="inlineStr">
        <is>
          <t>on</t>
        </is>
      </c>
      <c r="D1187" s="2" t="n">
        <v>1448</v>
      </c>
      <c r="E1187" s="2" t="inlineStr">
        <is>
          <t>node 26 https (OpenSSL 3.5.8)</t>
        </is>
      </c>
      <c r="F1187" s="2" t="b">
        <v>1</v>
      </c>
      <c r="G1187" s="2" t="n">
        <v>6</v>
      </c>
      <c r="H1187" s="2" t="n">
        <v>1587</v>
      </c>
      <c r="I1187" s="2" t="n">
        <v>1587</v>
      </c>
      <c r="J1187" s="2" t="n">
        <v>1443</v>
      </c>
      <c r="K1187" s="2">
        <f>H1187+5&gt;D1187</f>
        <v/>
      </c>
      <c r="L1187" s="2">
        <f>J1187&lt;I1187</f>
        <v/>
      </c>
      <c r="M1187" s="2" t="b">
        <v>1</v>
      </c>
      <c r="N1187" s="2" t="b">
        <v>1</v>
      </c>
      <c r="O1187" s="2" t="inlineStr">
        <is>
          <t>allow</t>
        </is>
      </c>
      <c r="P1187" s="2">
        <f>O1187&lt;&gt;"unknown"</f>
        <v/>
      </c>
    </row>
    <row r="1188">
      <c r="A1188" s="2" t="inlineStr">
        <is>
          <t>1500-on</t>
        </is>
      </c>
      <c r="B1188" s="2" t="n">
        <v>1500</v>
      </c>
      <c r="C1188" s="2" t="inlineStr">
        <is>
          <t>on</t>
        </is>
      </c>
      <c r="D1188" s="2" t="n">
        <v>1448</v>
      </c>
      <c r="E1188" s="2" t="inlineStr">
        <is>
          <t>node 26 https (OpenSSL 3.5.8)</t>
        </is>
      </c>
      <c r="F1188" s="2" t="b">
        <v>1</v>
      </c>
      <c r="G1188" s="2" t="n">
        <v>7</v>
      </c>
      <c r="H1188" s="2" t="n">
        <v>1587</v>
      </c>
      <c r="I1188" s="2" t="n">
        <v>1587</v>
      </c>
      <c r="J1188" s="2" t="n">
        <v>1443</v>
      </c>
      <c r="K1188" s="2">
        <f>H1188+5&gt;D1188</f>
        <v/>
      </c>
      <c r="L1188" s="2">
        <f>J1188&lt;I1188</f>
        <v/>
      </c>
      <c r="M1188" s="2" t="b">
        <v>1</v>
      </c>
      <c r="N1188" s="2" t="b">
        <v>1</v>
      </c>
      <c r="O1188" s="2" t="inlineStr">
        <is>
          <t>allow</t>
        </is>
      </c>
      <c r="P1188" s="2">
        <f>O1188&lt;&gt;"unknown"</f>
        <v/>
      </c>
    </row>
    <row r="1189">
      <c r="A1189" s="2" t="inlineStr">
        <is>
          <t>1500-on</t>
        </is>
      </c>
      <c r="B1189" s="2" t="n">
        <v>1500</v>
      </c>
      <c r="C1189" s="2" t="inlineStr">
        <is>
          <t>on</t>
        </is>
      </c>
      <c r="D1189" s="2" t="n">
        <v>1448</v>
      </c>
      <c r="E1189" s="2" t="inlineStr">
        <is>
          <t>node 26 https (OpenSSL 3.5.8)</t>
        </is>
      </c>
      <c r="F1189" s="2" t="b">
        <v>1</v>
      </c>
      <c r="G1189" s="2" t="n">
        <v>8</v>
      </c>
      <c r="H1189" s="2" t="n">
        <v>1587</v>
      </c>
      <c r="I1189" s="2" t="n">
        <v>1587</v>
      </c>
      <c r="J1189" s="2" t="n">
        <v>1443</v>
      </c>
      <c r="K1189" s="2">
        <f>H1189+5&gt;D1189</f>
        <v/>
      </c>
      <c r="L1189" s="2">
        <f>J1189&lt;I1189</f>
        <v/>
      </c>
      <c r="M1189" s="2" t="b">
        <v>1</v>
      </c>
      <c r="N1189" s="2" t="b">
        <v>1</v>
      </c>
      <c r="O1189" s="2" t="inlineStr">
        <is>
          <t>allow</t>
        </is>
      </c>
      <c r="P1189" s="2">
        <f>O1189&lt;&gt;"unknown"</f>
        <v/>
      </c>
    </row>
    <row r="1190">
      <c r="A1190" s="2" t="inlineStr">
        <is>
          <t>1500-on</t>
        </is>
      </c>
      <c r="B1190" s="2" t="n">
        <v>1500</v>
      </c>
      <c r="C1190" s="2" t="inlineStr">
        <is>
          <t>on</t>
        </is>
      </c>
      <c r="D1190" s="2" t="n">
        <v>1448</v>
      </c>
      <c r="E1190" s="2" t="inlineStr">
        <is>
          <t>node 26 https (OpenSSL 3.5.8)</t>
        </is>
      </c>
      <c r="F1190" s="2" t="b">
        <v>1</v>
      </c>
      <c r="G1190" s="2" t="n">
        <v>9</v>
      </c>
      <c r="H1190" s="2" t="n">
        <v>1587</v>
      </c>
      <c r="I1190" s="2" t="n">
        <v>1587</v>
      </c>
      <c r="J1190" s="2" t="n">
        <v>1443</v>
      </c>
      <c r="K1190" s="2">
        <f>H1190+5&gt;D1190</f>
        <v/>
      </c>
      <c r="L1190" s="2">
        <f>J1190&lt;I1190</f>
        <v/>
      </c>
      <c r="M1190" s="2" t="b">
        <v>1</v>
      </c>
      <c r="N1190" s="2" t="b">
        <v>1</v>
      </c>
      <c r="O1190" s="2" t="inlineStr">
        <is>
          <t>allow</t>
        </is>
      </c>
      <c r="P1190" s="2">
        <f>O1190&lt;&gt;"unknown"</f>
        <v/>
      </c>
    </row>
    <row r="1191">
      <c r="A1191" s="2" t="inlineStr">
        <is>
          <t>1500-on</t>
        </is>
      </c>
      <c r="B1191" s="2" t="n">
        <v>1500</v>
      </c>
      <c r="C1191" s="2" t="inlineStr">
        <is>
          <t>on</t>
        </is>
      </c>
      <c r="D1191" s="2" t="n">
        <v>1448</v>
      </c>
      <c r="E1191" s="2" t="inlineStr">
        <is>
          <t>node 26 https (OpenSSL 3.5.8)</t>
        </is>
      </c>
      <c r="F1191" s="2" t="b">
        <v>1</v>
      </c>
      <c r="G1191" s="2" t="n">
        <v>10</v>
      </c>
      <c r="H1191" s="2" t="n">
        <v>1587</v>
      </c>
      <c r="I1191" s="2" t="n">
        <v>1587</v>
      </c>
      <c r="J1191" s="2" t="n">
        <v>1443</v>
      </c>
      <c r="K1191" s="2">
        <f>H1191+5&gt;D1191</f>
        <v/>
      </c>
      <c r="L1191" s="2">
        <f>J1191&lt;I1191</f>
        <v/>
      </c>
      <c r="M1191" s="2" t="b">
        <v>1</v>
      </c>
      <c r="N1191" s="2" t="b">
        <v>1</v>
      </c>
      <c r="O1191" s="2" t="inlineStr">
        <is>
          <t>allow</t>
        </is>
      </c>
      <c r="P1191" s="2">
        <f>O1191&lt;&gt;"unknown"</f>
        <v/>
      </c>
    </row>
    <row r="1192">
      <c r="A1192" s="2" t="inlineStr">
        <is>
          <t>1500-on</t>
        </is>
      </c>
      <c r="B1192" s="2" t="n">
        <v>1500</v>
      </c>
      <c r="C1192" s="2" t="inlineStr">
        <is>
          <t>on</t>
        </is>
      </c>
      <c r="D1192" s="2" t="n">
        <v>1448</v>
      </c>
      <c r="E1192" s="2" t="inlineStr">
        <is>
          <t>node 26 https (OpenSSL 3.5.8)</t>
        </is>
      </c>
      <c r="F1192" s="2" t="b">
        <v>1</v>
      </c>
      <c r="G1192" s="2" t="n">
        <v>11</v>
      </c>
      <c r="H1192" s="2" t="n">
        <v>1587</v>
      </c>
      <c r="I1192" s="2" t="n">
        <v>1587</v>
      </c>
      <c r="J1192" s="2" t="n">
        <v>1443</v>
      </c>
      <c r="K1192" s="2">
        <f>H1192+5&gt;D1192</f>
        <v/>
      </c>
      <c r="L1192" s="2">
        <f>J1192&lt;I1192</f>
        <v/>
      </c>
      <c r="M1192" s="2" t="b">
        <v>1</v>
      </c>
      <c r="N1192" s="2" t="b">
        <v>1</v>
      </c>
      <c r="O1192" s="2" t="inlineStr">
        <is>
          <t>allow</t>
        </is>
      </c>
      <c r="P1192" s="2">
        <f>O1192&lt;&gt;"unknown"</f>
        <v/>
      </c>
    </row>
    <row r="1193">
      <c r="A1193" s="2" t="inlineStr">
        <is>
          <t>1500-on</t>
        </is>
      </c>
      <c r="B1193" s="2" t="n">
        <v>1500</v>
      </c>
      <c r="C1193" s="2" t="inlineStr">
        <is>
          <t>on</t>
        </is>
      </c>
      <c r="D1193" s="2" t="n">
        <v>1448</v>
      </c>
      <c r="E1193" s="2" t="inlineStr">
        <is>
          <t>node 26 https (OpenSSL 3.5.8)</t>
        </is>
      </c>
      <c r="F1193" s="2" t="b">
        <v>1</v>
      </c>
      <c r="G1193" s="2" t="n">
        <v>12</v>
      </c>
      <c r="H1193" s="2" t="n">
        <v>1587</v>
      </c>
      <c r="I1193" s="2" t="n">
        <v>1587</v>
      </c>
      <c r="J1193" s="2" t="n">
        <v>1443</v>
      </c>
      <c r="K1193" s="2">
        <f>H1193+5&gt;D1193</f>
        <v/>
      </c>
      <c r="L1193" s="2">
        <f>J1193&lt;I1193</f>
        <v/>
      </c>
      <c r="M1193" s="2" t="b">
        <v>1</v>
      </c>
      <c r="N1193" s="2" t="b">
        <v>1</v>
      </c>
      <c r="O1193" s="2" t="inlineStr">
        <is>
          <t>allow</t>
        </is>
      </c>
      <c r="P1193" s="2">
        <f>O1193&lt;&gt;"unknown"</f>
        <v/>
      </c>
    </row>
    <row r="1194">
      <c r="A1194" s="2" t="inlineStr">
        <is>
          <t>1500-on</t>
        </is>
      </c>
      <c r="B1194" s="2" t="n">
        <v>1500</v>
      </c>
      <c r="C1194" s="2" t="inlineStr">
        <is>
          <t>on</t>
        </is>
      </c>
      <c r="D1194" s="2" t="n">
        <v>1448</v>
      </c>
      <c r="E1194" s="2" t="inlineStr">
        <is>
          <t>node 26 https (OpenSSL 3.5.8)</t>
        </is>
      </c>
      <c r="F1194" s="2" t="b">
        <v>1</v>
      </c>
      <c r="G1194" s="2" t="n">
        <v>13</v>
      </c>
      <c r="H1194" s="2" t="n">
        <v>1587</v>
      </c>
      <c r="I1194" s="2" t="n">
        <v>1587</v>
      </c>
      <c r="J1194" s="2" t="n">
        <v>1443</v>
      </c>
      <c r="K1194" s="2">
        <f>H1194+5&gt;D1194</f>
        <v/>
      </c>
      <c r="L1194" s="2">
        <f>J1194&lt;I1194</f>
        <v/>
      </c>
      <c r="M1194" s="2" t="b">
        <v>1</v>
      </c>
      <c r="N1194" s="2" t="b">
        <v>1</v>
      </c>
      <c r="O1194" s="2" t="inlineStr">
        <is>
          <t>allow</t>
        </is>
      </c>
      <c r="P1194" s="2">
        <f>O1194&lt;&gt;"unknown"</f>
        <v/>
      </c>
    </row>
    <row r="1195">
      <c r="A1195" s="2" t="inlineStr">
        <is>
          <t>1500-on</t>
        </is>
      </c>
      <c r="B1195" s="2" t="n">
        <v>1500</v>
      </c>
      <c r="C1195" s="2" t="inlineStr">
        <is>
          <t>on</t>
        </is>
      </c>
      <c r="D1195" s="2" t="n">
        <v>1448</v>
      </c>
      <c r="E1195" s="2" t="inlineStr">
        <is>
          <t>node 26 https (OpenSSL 3.5.8)</t>
        </is>
      </c>
      <c r="F1195" s="2" t="b">
        <v>1</v>
      </c>
      <c r="G1195" s="2" t="n">
        <v>14</v>
      </c>
      <c r="H1195" s="2" t="n">
        <v>1587</v>
      </c>
      <c r="I1195" s="2" t="n">
        <v>1587</v>
      </c>
      <c r="J1195" s="2" t="n">
        <v>1443</v>
      </c>
      <c r="K1195" s="2">
        <f>H1195+5&gt;D1195</f>
        <v/>
      </c>
      <c r="L1195" s="2">
        <f>J1195&lt;I1195</f>
        <v/>
      </c>
      <c r="M1195" s="2" t="b">
        <v>1</v>
      </c>
      <c r="N1195" s="2" t="b">
        <v>1</v>
      </c>
      <c r="O1195" s="2" t="inlineStr">
        <is>
          <t>allow</t>
        </is>
      </c>
      <c r="P1195" s="2">
        <f>O1195&lt;&gt;"unknown"</f>
        <v/>
      </c>
    </row>
    <row r="1196">
      <c r="A1196" s="2" t="inlineStr">
        <is>
          <t>1500-on</t>
        </is>
      </c>
      <c r="B1196" s="2" t="n">
        <v>1500</v>
      </c>
      <c r="C1196" s="2" t="inlineStr">
        <is>
          <t>on</t>
        </is>
      </c>
      <c r="D1196" s="2" t="n">
        <v>1448</v>
      </c>
      <c r="E1196" s="2" t="inlineStr">
        <is>
          <t>node 26 https (OpenSSL 3.5.8)</t>
        </is>
      </c>
      <c r="F1196" s="2" t="b">
        <v>1</v>
      </c>
      <c r="G1196" s="2" t="n">
        <v>15</v>
      </c>
      <c r="H1196" s="2" t="n">
        <v>1587</v>
      </c>
      <c r="I1196" s="2" t="n">
        <v>1587</v>
      </c>
      <c r="J1196" s="2" t="n">
        <v>1443</v>
      </c>
      <c r="K1196" s="2">
        <f>H1196+5&gt;D1196</f>
        <v/>
      </c>
      <c r="L1196" s="2">
        <f>J1196&lt;I1196</f>
        <v/>
      </c>
      <c r="M1196" s="2" t="b">
        <v>1</v>
      </c>
      <c r="N1196" s="2" t="b">
        <v>1</v>
      </c>
      <c r="O1196" s="2" t="inlineStr">
        <is>
          <t>allow</t>
        </is>
      </c>
      <c r="P1196" s="2">
        <f>O1196&lt;&gt;"unknown"</f>
        <v/>
      </c>
    </row>
    <row r="1197">
      <c r="A1197" s="2" t="inlineStr">
        <is>
          <t>1500-on</t>
        </is>
      </c>
      <c r="B1197" s="2" t="n">
        <v>1500</v>
      </c>
      <c r="C1197" s="2" t="inlineStr">
        <is>
          <t>on</t>
        </is>
      </c>
      <c r="D1197" s="2" t="n">
        <v>1448</v>
      </c>
      <c r="E1197" s="2" t="inlineStr">
        <is>
          <t>node 26 https (OpenSSL 3.5.8)</t>
        </is>
      </c>
      <c r="F1197" s="2" t="b">
        <v>1</v>
      </c>
      <c r="G1197" s="2" t="n">
        <v>16</v>
      </c>
      <c r="H1197" s="2" t="n">
        <v>1587</v>
      </c>
      <c r="I1197" s="2" t="n">
        <v>1587</v>
      </c>
      <c r="J1197" s="2" t="n">
        <v>1443</v>
      </c>
      <c r="K1197" s="2">
        <f>H1197+5&gt;D1197</f>
        <v/>
      </c>
      <c r="L1197" s="2">
        <f>J1197&lt;I1197</f>
        <v/>
      </c>
      <c r="M1197" s="2" t="b">
        <v>1</v>
      </c>
      <c r="N1197" s="2" t="b">
        <v>1</v>
      </c>
      <c r="O1197" s="2" t="inlineStr">
        <is>
          <t>allow</t>
        </is>
      </c>
      <c r="P1197" s="2">
        <f>O1197&lt;&gt;"unknown"</f>
        <v/>
      </c>
    </row>
    <row r="1198">
      <c r="A1198" s="2" t="inlineStr">
        <is>
          <t>1500-on</t>
        </is>
      </c>
      <c r="B1198" s="2" t="n">
        <v>1500</v>
      </c>
      <c r="C1198" s="2" t="inlineStr">
        <is>
          <t>on</t>
        </is>
      </c>
      <c r="D1198" s="2" t="n">
        <v>1448</v>
      </c>
      <c r="E1198" s="2" t="inlineStr">
        <is>
          <t>node 26 https (OpenSSL 3.5.8)</t>
        </is>
      </c>
      <c r="F1198" s="2" t="b">
        <v>1</v>
      </c>
      <c r="G1198" s="2" t="n">
        <v>17</v>
      </c>
      <c r="H1198" s="2" t="n">
        <v>1587</v>
      </c>
      <c r="I1198" s="2" t="n">
        <v>1587</v>
      </c>
      <c r="J1198" s="2" t="n">
        <v>1443</v>
      </c>
      <c r="K1198" s="2">
        <f>H1198+5&gt;D1198</f>
        <v/>
      </c>
      <c r="L1198" s="2">
        <f>J1198&lt;I1198</f>
        <v/>
      </c>
      <c r="M1198" s="2" t="b">
        <v>1</v>
      </c>
      <c r="N1198" s="2" t="b">
        <v>1</v>
      </c>
      <c r="O1198" s="2" t="inlineStr">
        <is>
          <t>allow</t>
        </is>
      </c>
      <c r="P1198" s="2">
        <f>O1198&lt;&gt;"unknown"</f>
        <v/>
      </c>
    </row>
    <row r="1199">
      <c r="A1199" s="2" t="inlineStr">
        <is>
          <t>1500-on</t>
        </is>
      </c>
      <c r="B1199" s="2" t="n">
        <v>1500</v>
      </c>
      <c r="C1199" s="2" t="inlineStr">
        <is>
          <t>on</t>
        </is>
      </c>
      <c r="D1199" s="2" t="n">
        <v>1448</v>
      </c>
      <c r="E1199" s="2" t="inlineStr">
        <is>
          <t>node 26 https (OpenSSL 3.5.8)</t>
        </is>
      </c>
      <c r="F1199" s="2" t="b">
        <v>1</v>
      </c>
      <c r="G1199" s="2" t="n">
        <v>18</v>
      </c>
      <c r="H1199" s="2" t="n">
        <v>1587</v>
      </c>
      <c r="I1199" s="2" t="n">
        <v>1587</v>
      </c>
      <c r="J1199" s="2" t="n">
        <v>1443</v>
      </c>
      <c r="K1199" s="2">
        <f>H1199+5&gt;D1199</f>
        <v/>
      </c>
      <c r="L1199" s="2">
        <f>J1199&lt;I1199</f>
        <v/>
      </c>
      <c r="M1199" s="2" t="b">
        <v>1</v>
      </c>
      <c r="N1199" s="2" t="b">
        <v>1</v>
      </c>
      <c r="O1199" s="2" t="inlineStr">
        <is>
          <t>allow</t>
        </is>
      </c>
      <c r="P1199" s="2">
        <f>O1199&lt;&gt;"unknown"</f>
        <v/>
      </c>
    </row>
    <row r="1200">
      <c r="A1200" s="2" t="inlineStr">
        <is>
          <t>1500-on</t>
        </is>
      </c>
      <c r="B1200" s="2" t="n">
        <v>1500</v>
      </c>
      <c r="C1200" s="2" t="inlineStr">
        <is>
          <t>on</t>
        </is>
      </c>
      <c r="D1200" s="2" t="n">
        <v>1448</v>
      </c>
      <c r="E1200" s="2" t="inlineStr">
        <is>
          <t>node 26 https (OpenSSL 3.5.8)</t>
        </is>
      </c>
      <c r="F1200" s="2" t="b">
        <v>1</v>
      </c>
      <c r="G1200" s="2" t="n">
        <v>19</v>
      </c>
      <c r="H1200" s="2" t="n">
        <v>1587</v>
      </c>
      <c r="I1200" s="2" t="n">
        <v>1587</v>
      </c>
      <c r="J1200" s="2" t="n">
        <v>1443</v>
      </c>
      <c r="K1200" s="2">
        <f>H1200+5&gt;D1200</f>
        <v/>
      </c>
      <c r="L1200" s="2">
        <f>J1200&lt;I1200</f>
        <v/>
      </c>
      <c r="M1200" s="2" t="b">
        <v>1</v>
      </c>
      <c r="N1200" s="2" t="b">
        <v>1</v>
      </c>
      <c r="O1200" s="2" t="inlineStr">
        <is>
          <t>allow</t>
        </is>
      </c>
      <c r="P1200" s="2">
        <f>O1200&lt;&gt;"unknown"</f>
        <v/>
      </c>
    </row>
    <row r="1201">
      <c r="A1201" s="2" t="inlineStr">
        <is>
          <t>1500-on</t>
        </is>
      </c>
      <c r="B1201" s="2" t="n">
        <v>1500</v>
      </c>
      <c r="C1201" s="2" t="inlineStr">
        <is>
          <t>on</t>
        </is>
      </c>
      <c r="D1201" s="2" t="n">
        <v>1448</v>
      </c>
      <c r="E1201" s="2" t="inlineStr">
        <is>
          <t>node 26 https (OpenSSL 3.5.8)</t>
        </is>
      </c>
      <c r="F1201" s="2" t="b">
        <v>1</v>
      </c>
      <c r="G1201" s="2" t="n">
        <v>20</v>
      </c>
      <c r="H1201" s="2" t="n">
        <v>1587</v>
      </c>
      <c r="I1201" s="2" t="n">
        <v>1587</v>
      </c>
      <c r="J1201" s="2" t="n">
        <v>1443</v>
      </c>
      <c r="K1201" s="2">
        <f>H1201+5&gt;D1201</f>
        <v/>
      </c>
      <c r="L1201" s="2">
        <f>J1201&lt;I1201</f>
        <v/>
      </c>
      <c r="M1201" s="2" t="b">
        <v>1</v>
      </c>
      <c r="N1201" s="2" t="b">
        <v>1</v>
      </c>
      <c r="O1201" s="2" t="inlineStr">
        <is>
          <t>allow</t>
        </is>
      </c>
      <c r="P1201" s="2">
        <f>O1201&lt;&gt;"unknown"</f>
        <v/>
      </c>
    </row>
    <row r="1202">
      <c r="A1202" s="2" t="inlineStr">
        <is>
          <t>1500-on</t>
        </is>
      </c>
      <c r="B1202" s="2" t="n">
        <v>1500</v>
      </c>
      <c r="C1202" s="2" t="inlineStr">
        <is>
          <t>on</t>
        </is>
      </c>
      <c r="D1202" s="2" t="n">
        <v>1448</v>
      </c>
      <c r="E1202" s="2" t="inlineStr">
        <is>
          <t>go 1.27 net/http (crypto/tls)</t>
        </is>
      </c>
      <c r="F1202" s="2" t="b">
        <v>1</v>
      </c>
      <c r="G1202" s="2" t="n">
        <v>1</v>
      </c>
      <c r="H1202" s="2" t="n">
        <v>1532</v>
      </c>
      <c r="I1202" s="2" t="n">
        <v>1532</v>
      </c>
      <c r="J1202" s="2" t="n">
        <v>1443</v>
      </c>
      <c r="K1202" s="2">
        <f>H1202+5&gt;D1202</f>
        <v/>
      </c>
      <c r="L1202" s="2">
        <f>J1202&lt;I1202</f>
        <v/>
      </c>
      <c r="M1202" s="2" t="b">
        <v>1</v>
      </c>
      <c r="N1202" s="2" t="b">
        <v>1</v>
      </c>
      <c r="O1202" s="2" t="inlineStr">
        <is>
          <t>allow</t>
        </is>
      </c>
      <c r="P1202" s="2">
        <f>O1202&lt;&gt;"unknown"</f>
        <v/>
      </c>
    </row>
    <row r="1203">
      <c r="A1203" s="2" t="inlineStr">
        <is>
          <t>1500-on</t>
        </is>
      </c>
      <c r="B1203" s="2" t="n">
        <v>1500</v>
      </c>
      <c r="C1203" s="2" t="inlineStr">
        <is>
          <t>on</t>
        </is>
      </c>
      <c r="D1203" s="2" t="n">
        <v>1448</v>
      </c>
      <c r="E1203" s="2" t="inlineStr">
        <is>
          <t>go 1.27 net/http (crypto/tls)</t>
        </is>
      </c>
      <c r="F1203" s="2" t="b">
        <v>1</v>
      </c>
      <c r="G1203" s="2" t="n">
        <v>2</v>
      </c>
      <c r="H1203" s="2" t="n">
        <v>1532</v>
      </c>
      <c r="I1203" s="2" t="n">
        <v>1532</v>
      </c>
      <c r="J1203" s="2" t="n">
        <v>1443</v>
      </c>
      <c r="K1203" s="2">
        <f>H1203+5&gt;D1203</f>
        <v/>
      </c>
      <c r="L1203" s="2">
        <f>J1203&lt;I1203</f>
        <v/>
      </c>
      <c r="M1203" s="2" t="b">
        <v>1</v>
      </c>
      <c r="N1203" s="2" t="b">
        <v>1</v>
      </c>
      <c r="O1203" s="2" t="inlineStr">
        <is>
          <t>allow</t>
        </is>
      </c>
      <c r="P1203" s="2">
        <f>O1203&lt;&gt;"unknown"</f>
        <v/>
      </c>
    </row>
    <row r="1204">
      <c r="A1204" s="2" t="inlineStr">
        <is>
          <t>1500-on</t>
        </is>
      </c>
      <c r="B1204" s="2" t="n">
        <v>1500</v>
      </c>
      <c r="C1204" s="2" t="inlineStr">
        <is>
          <t>on</t>
        </is>
      </c>
      <c r="D1204" s="2" t="n">
        <v>1448</v>
      </c>
      <c r="E1204" s="2" t="inlineStr">
        <is>
          <t>go 1.27 net/http (crypto/tls)</t>
        </is>
      </c>
      <c r="F1204" s="2" t="b">
        <v>1</v>
      </c>
      <c r="G1204" s="2" t="n">
        <v>3</v>
      </c>
      <c r="H1204" s="2" t="n">
        <v>1532</v>
      </c>
      <c r="I1204" s="2" t="n">
        <v>1532</v>
      </c>
      <c r="J1204" s="2" t="n">
        <v>1443</v>
      </c>
      <c r="K1204" s="2">
        <f>H1204+5&gt;D1204</f>
        <v/>
      </c>
      <c r="L1204" s="2">
        <f>J1204&lt;I1204</f>
        <v/>
      </c>
      <c r="M1204" s="2" t="b">
        <v>1</v>
      </c>
      <c r="N1204" s="2" t="b">
        <v>1</v>
      </c>
      <c r="O1204" s="2" t="inlineStr">
        <is>
          <t>allow</t>
        </is>
      </c>
      <c r="P1204" s="2">
        <f>O1204&lt;&gt;"unknown"</f>
        <v/>
      </c>
    </row>
    <row r="1205">
      <c r="A1205" s="2" t="inlineStr">
        <is>
          <t>1500-on</t>
        </is>
      </c>
      <c r="B1205" s="2" t="n">
        <v>1500</v>
      </c>
      <c r="C1205" s="2" t="inlineStr">
        <is>
          <t>on</t>
        </is>
      </c>
      <c r="D1205" s="2" t="n">
        <v>1448</v>
      </c>
      <c r="E1205" s="2" t="inlineStr">
        <is>
          <t>go 1.27 net/http (crypto/tls)</t>
        </is>
      </c>
      <c r="F1205" s="2" t="b">
        <v>1</v>
      </c>
      <c r="G1205" s="2" t="n">
        <v>4</v>
      </c>
      <c r="H1205" s="2" t="n">
        <v>1532</v>
      </c>
      <c r="I1205" s="2" t="n">
        <v>1532</v>
      </c>
      <c r="J1205" s="2" t="n">
        <v>1443</v>
      </c>
      <c r="K1205" s="2">
        <f>H1205+5&gt;D1205</f>
        <v/>
      </c>
      <c r="L1205" s="2">
        <f>J1205&lt;I1205</f>
        <v/>
      </c>
      <c r="M1205" s="2" t="b">
        <v>1</v>
      </c>
      <c r="N1205" s="2" t="b">
        <v>1</v>
      </c>
      <c r="O1205" s="2" t="inlineStr">
        <is>
          <t>allow</t>
        </is>
      </c>
      <c r="P1205" s="2">
        <f>O1205&lt;&gt;"unknown"</f>
        <v/>
      </c>
    </row>
    <row r="1206">
      <c r="A1206" s="2" t="inlineStr">
        <is>
          <t>1500-on</t>
        </is>
      </c>
      <c r="B1206" s="2" t="n">
        <v>1500</v>
      </c>
      <c r="C1206" s="2" t="inlineStr">
        <is>
          <t>on</t>
        </is>
      </c>
      <c r="D1206" s="2" t="n">
        <v>1448</v>
      </c>
      <c r="E1206" s="2" t="inlineStr">
        <is>
          <t>go 1.27 net/http (crypto/tls)</t>
        </is>
      </c>
      <c r="F1206" s="2" t="b">
        <v>1</v>
      </c>
      <c r="G1206" s="2" t="n">
        <v>5</v>
      </c>
      <c r="H1206" s="2" t="n">
        <v>1532</v>
      </c>
      <c r="I1206" s="2" t="n">
        <v>1532</v>
      </c>
      <c r="J1206" s="2" t="n">
        <v>1443</v>
      </c>
      <c r="K1206" s="2">
        <f>H1206+5&gt;D1206</f>
        <v/>
      </c>
      <c r="L1206" s="2">
        <f>J1206&lt;I1206</f>
        <v/>
      </c>
      <c r="M1206" s="2" t="b">
        <v>1</v>
      </c>
      <c r="N1206" s="2" t="b">
        <v>1</v>
      </c>
      <c r="O1206" s="2" t="inlineStr">
        <is>
          <t>allow</t>
        </is>
      </c>
      <c r="P1206" s="2">
        <f>O1206&lt;&gt;"unknown"</f>
        <v/>
      </c>
    </row>
    <row r="1207">
      <c r="A1207" s="2" t="inlineStr">
        <is>
          <t>1500-on</t>
        </is>
      </c>
      <c r="B1207" s="2" t="n">
        <v>1500</v>
      </c>
      <c r="C1207" s="2" t="inlineStr">
        <is>
          <t>on</t>
        </is>
      </c>
      <c r="D1207" s="2" t="n">
        <v>1448</v>
      </c>
      <c r="E1207" s="2" t="inlineStr">
        <is>
          <t>go 1.27 net/http (crypto/tls)</t>
        </is>
      </c>
      <c r="F1207" s="2" t="b">
        <v>1</v>
      </c>
      <c r="G1207" s="2" t="n">
        <v>6</v>
      </c>
      <c r="H1207" s="2" t="n">
        <v>1532</v>
      </c>
      <c r="I1207" s="2" t="n">
        <v>1532</v>
      </c>
      <c r="J1207" s="2" t="n">
        <v>1443</v>
      </c>
      <c r="K1207" s="2">
        <f>H1207+5&gt;D1207</f>
        <v/>
      </c>
      <c r="L1207" s="2">
        <f>J1207&lt;I1207</f>
        <v/>
      </c>
      <c r="M1207" s="2" t="b">
        <v>1</v>
      </c>
      <c r="N1207" s="2" t="b">
        <v>1</v>
      </c>
      <c r="O1207" s="2" t="inlineStr">
        <is>
          <t>allow</t>
        </is>
      </c>
      <c r="P1207" s="2">
        <f>O1207&lt;&gt;"unknown"</f>
        <v/>
      </c>
    </row>
    <row r="1208">
      <c r="A1208" s="2" t="inlineStr">
        <is>
          <t>1500-on</t>
        </is>
      </c>
      <c r="B1208" s="2" t="n">
        <v>1500</v>
      </c>
      <c r="C1208" s="2" t="inlineStr">
        <is>
          <t>on</t>
        </is>
      </c>
      <c r="D1208" s="2" t="n">
        <v>1448</v>
      </c>
      <c r="E1208" s="2" t="inlineStr">
        <is>
          <t>go 1.27 net/http (crypto/tls)</t>
        </is>
      </c>
      <c r="F1208" s="2" t="b">
        <v>1</v>
      </c>
      <c r="G1208" s="2" t="n">
        <v>7</v>
      </c>
      <c r="H1208" s="2" t="n">
        <v>1532</v>
      </c>
      <c r="I1208" s="2" t="n">
        <v>1532</v>
      </c>
      <c r="J1208" s="2" t="n">
        <v>1443</v>
      </c>
      <c r="K1208" s="2">
        <f>H1208+5&gt;D1208</f>
        <v/>
      </c>
      <c r="L1208" s="2">
        <f>J1208&lt;I1208</f>
        <v/>
      </c>
      <c r="M1208" s="2" t="b">
        <v>1</v>
      </c>
      <c r="N1208" s="2" t="b">
        <v>1</v>
      </c>
      <c r="O1208" s="2" t="inlineStr">
        <is>
          <t>allow</t>
        </is>
      </c>
      <c r="P1208" s="2">
        <f>O1208&lt;&gt;"unknown"</f>
        <v/>
      </c>
    </row>
    <row r="1209">
      <c r="A1209" s="2" t="inlineStr">
        <is>
          <t>1500-on</t>
        </is>
      </c>
      <c r="B1209" s="2" t="n">
        <v>1500</v>
      </c>
      <c r="C1209" s="2" t="inlineStr">
        <is>
          <t>on</t>
        </is>
      </c>
      <c r="D1209" s="2" t="n">
        <v>1448</v>
      </c>
      <c r="E1209" s="2" t="inlineStr">
        <is>
          <t>go 1.27 net/http (crypto/tls)</t>
        </is>
      </c>
      <c r="F1209" s="2" t="b">
        <v>1</v>
      </c>
      <c r="G1209" s="2" t="n">
        <v>8</v>
      </c>
      <c r="H1209" s="2" t="n">
        <v>1532</v>
      </c>
      <c r="I1209" s="2" t="n">
        <v>1532</v>
      </c>
      <c r="J1209" s="2" t="n">
        <v>1443</v>
      </c>
      <c r="K1209" s="2">
        <f>H1209+5&gt;D1209</f>
        <v/>
      </c>
      <c r="L1209" s="2">
        <f>J1209&lt;I1209</f>
        <v/>
      </c>
      <c r="M1209" s="2" t="b">
        <v>1</v>
      </c>
      <c r="N1209" s="2" t="b">
        <v>1</v>
      </c>
      <c r="O1209" s="2" t="inlineStr">
        <is>
          <t>allow</t>
        </is>
      </c>
      <c r="P1209" s="2">
        <f>O1209&lt;&gt;"unknown"</f>
        <v/>
      </c>
    </row>
    <row r="1210">
      <c r="A1210" s="2" t="inlineStr">
        <is>
          <t>1500-on</t>
        </is>
      </c>
      <c r="B1210" s="2" t="n">
        <v>1500</v>
      </c>
      <c r="C1210" s="2" t="inlineStr">
        <is>
          <t>on</t>
        </is>
      </c>
      <c r="D1210" s="2" t="n">
        <v>1448</v>
      </c>
      <c r="E1210" s="2" t="inlineStr">
        <is>
          <t>go 1.27 net/http (crypto/tls)</t>
        </is>
      </c>
      <c r="F1210" s="2" t="b">
        <v>1</v>
      </c>
      <c r="G1210" s="2" t="n">
        <v>9</v>
      </c>
      <c r="H1210" s="2" t="n">
        <v>1532</v>
      </c>
      <c r="I1210" s="2" t="n">
        <v>1532</v>
      </c>
      <c r="J1210" s="2" t="n">
        <v>1443</v>
      </c>
      <c r="K1210" s="2">
        <f>H1210+5&gt;D1210</f>
        <v/>
      </c>
      <c r="L1210" s="2">
        <f>J1210&lt;I1210</f>
        <v/>
      </c>
      <c r="M1210" s="2" t="b">
        <v>1</v>
      </c>
      <c r="N1210" s="2" t="b">
        <v>1</v>
      </c>
      <c r="O1210" s="2" t="inlineStr">
        <is>
          <t>allow</t>
        </is>
      </c>
      <c r="P1210" s="2">
        <f>O1210&lt;&gt;"unknown"</f>
        <v/>
      </c>
    </row>
    <row r="1211">
      <c r="A1211" s="2" t="inlineStr">
        <is>
          <t>1500-on</t>
        </is>
      </c>
      <c r="B1211" s="2" t="n">
        <v>1500</v>
      </c>
      <c r="C1211" s="2" t="inlineStr">
        <is>
          <t>on</t>
        </is>
      </c>
      <c r="D1211" s="2" t="n">
        <v>1448</v>
      </c>
      <c r="E1211" s="2" t="inlineStr">
        <is>
          <t>go 1.27 net/http (crypto/tls)</t>
        </is>
      </c>
      <c r="F1211" s="2" t="b">
        <v>1</v>
      </c>
      <c r="G1211" s="2" t="n">
        <v>10</v>
      </c>
      <c r="H1211" s="2" t="n">
        <v>1532</v>
      </c>
      <c r="I1211" s="2" t="n">
        <v>1532</v>
      </c>
      <c r="J1211" s="2" t="n">
        <v>1443</v>
      </c>
      <c r="K1211" s="2">
        <f>H1211+5&gt;D1211</f>
        <v/>
      </c>
      <c r="L1211" s="2">
        <f>J1211&lt;I1211</f>
        <v/>
      </c>
      <c r="M1211" s="2" t="b">
        <v>1</v>
      </c>
      <c r="N1211" s="2" t="b">
        <v>1</v>
      </c>
      <c r="O1211" s="2" t="inlineStr">
        <is>
          <t>allow</t>
        </is>
      </c>
      <c r="P1211" s="2">
        <f>O1211&lt;&gt;"unknown"</f>
        <v/>
      </c>
    </row>
    <row r="1212">
      <c r="A1212" s="2" t="inlineStr">
        <is>
          <t>1500-on</t>
        </is>
      </c>
      <c r="B1212" s="2" t="n">
        <v>1500</v>
      </c>
      <c r="C1212" s="2" t="inlineStr">
        <is>
          <t>on</t>
        </is>
      </c>
      <c r="D1212" s="2" t="n">
        <v>1448</v>
      </c>
      <c r="E1212" s="2" t="inlineStr">
        <is>
          <t>go 1.27 net/http (crypto/tls)</t>
        </is>
      </c>
      <c r="F1212" s="2" t="b">
        <v>1</v>
      </c>
      <c r="G1212" s="2" t="n">
        <v>11</v>
      </c>
      <c r="H1212" s="2" t="n">
        <v>1532</v>
      </c>
      <c r="I1212" s="2" t="n">
        <v>1532</v>
      </c>
      <c r="J1212" s="2" t="n">
        <v>1443</v>
      </c>
      <c r="K1212" s="2">
        <f>H1212+5&gt;D1212</f>
        <v/>
      </c>
      <c r="L1212" s="2">
        <f>J1212&lt;I1212</f>
        <v/>
      </c>
      <c r="M1212" s="2" t="b">
        <v>1</v>
      </c>
      <c r="N1212" s="2" t="b">
        <v>1</v>
      </c>
      <c r="O1212" s="2" t="inlineStr">
        <is>
          <t>allow</t>
        </is>
      </c>
      <c r="P1212" s="2">
        <f>O1212&lt;&gt;"unknown"</f>
        <v/>
      </c>
    </row>
    <row r="1213">
      <c r="A1213" s="2" t="inlineStr">
        <is>
          <t>1500-on</t>
        </is>
      </c>
      <c r="B1213" s="2" t="n">
        <v>1500</v>
      </c>
      <c r="C1213" s="2" t="inlineStr">
        <is>
          <t>on</t>
        </is>
      </c>
      <c r="D1213" s="2" t="n">
        <v>1448</v>
      </c>
      <c r="E1213" s="2" t="inlineStr">
        <is>
          <t>go 1.27 net/http (crypto/tls)</t>
        </is>
      </c>
      <c r="F1213" s="2" t="b">
        <v>1</v>
      </c>
      <c r="G1213" s="2" t="n">
        <v>12</v>
      </c>
      <c r="H1213" s="2" t="n">
        <v>1532</v>
      </c>
      <c r="I1213" s="2" t="n">
        <v>1532</v>
      </c>
      <c r="J1213" s="2" t="n">
        <v>1443</v>
      </c>
      <c r="K1213" s="2">
        <f>H1213+5&gt;D1213</f>
        <v/>
      </c>
      <c r="L1213" s="2">
        <f>J1213&lt;I1213</f>
        <v/>
      </c>
      <c r="M1213" s="2" t="b">
        <v>1</v>
      </c>
      <c r="N1213" s="2" t="b">
        <v>1</v>
      </c>
      <c r="O1213" s="2" t="inlineStr">
        <is>
          <t>allow</t>
        </is>
      </c>
      <c r="P1213" s="2">
        <f>O1213&lt;&gt;"unknown"</f>
        <v/>
      </c>
    </row>
    <row r="1214">
      <c r="A1214" s="2" t="inlineStr">
        <is>
          <t>1500-on</t>
        </is>
      </c>
      <c r="B1214" s="2" t="n">
        <v>1500</v>
      </c>
      <c r="C1214" s="2" t="inlineStr">
        <is>
          <t>on</t>
        </is>
      </c>
      <c r="D1214" s="2" t="n">
        <v>1448</v>
      </c>
      <c r="E1214" s="2" t="inlineStr">
        <is>
          <t>go 1.27 net/http (crypto/tls)</t>
        </is>
      </c>
      <c r="F1214" s="2" t="b">
        <v>1</v>
      </c>
      <c r="G1214" s="2" t="n">
        <v>13</v>
      </c>
      <c r="H1214" s="2" t="n">
        <v>1532</v>
      </c>
      <c r="I1214" s="2" t="n">
        <v>1532</v>
      </c>
      <c r="J1214" s="2" t="n">
        <v>1443</v>
      </c>
      <c r="K1214" s="2">
        <f>H1214+5&gt;D1214</f>
        <v/>
      </c>
      <c r="L1214" s="2">
        <f>J1214&lt;I1214</f>
        <v/>
      </c>
      <c r="M1214" s="2" t="b">
        <v>1</v>
      </c>
      <c r="N1214" s="2" t="b">
        <v>1</v>
      </c>
      <c r="O1214" s="2" t="inlineStr">
        <is>
          <t>allow</t>
        </is>
      </c>
      <c r="P1214" s="2">
        <f>O1214&lt;&gt;"unknown"</f>
        <v/>
      </c>
    </row>
    <row r="1215">
      <c r="A1215" s="2" t="inlineStr">
        <is>
          <t>1500-on</t>
        </is>
      </c>
      <c r="B1215" s="2" t="n">
        <v>1500</v>
      </c>
      <c r="C1215" s="2" t="inlineStr">
        <is>
          <t>on</t>
        </is>
      </c>
      <c r="D1215" s="2" t="n">
        <v>1448</v>
      </c>
      <c r="E1215" s="2" t="inlineStr">
        <is>
          <t>go 1.27 net/http (crypto/tls)</t>
        </is>
      </c>
      <c r="F1215" s="2" t="b">
        <v>1</v>
      </c>
      <c r="G1215" s="2" t="n">
        <v>14</v>
      </c>
      <c r="H1215" s="2" t="n">
        <v>1532</v>
      </c>
      <c r="I1215" s="2" t="n">
        <v>1532</v>
      </c>
      <c r="J1215" s="2" t="n">
        <v>1443</v>
      </c>
      <c r="K1215" s="2">
        <f>H1215+5&gt;D1215</f>
        <v/>
      </c>
      <c r="L1215" s="2">
        <f>J1215&lt;I1215</f>
        <v/>
      </c>
      <c r="M1215" s="2" t="b">
        <v>1</v>
      </c>
      <c r="N1215" s="2" t="b">
        <v>1</v>
      </c>
      <c r="O1215" s="2" t="inlineStr">
        <is>
          <t>allow</t>
        </is>
      </c>
      <c r="P1215" s="2">
        <f>O1215&lt;&gt;"unknown"</f>
        <v/>
      </c>
    </row>
    <row r="1216">
      <c r="A1216" s="2" t="inlineStr">
        <is>
          <t>1500-on</t>
        </is>
      </c>
      <c r="B1216" s="2" t="n">
        <v>1500</v>
      </c>
      <c r="C1216" s="2" t="inlineStr">
        <is>
          <t>on</t>
        </is>
      </c>
      <c r="D1216" s="2" t="n">
        <v>1448</v>
      </c>
      <c r="E1216" s="2" t="inlineStr">
        <is>
          <t>go 1.27 net/http (crypto/tls)</t>
        </is>
      </c>
      <c r="F1216" s="2" t="b">
        <v>1</v>
      </c>
      <c r="G1216" s="2" t="n">
        <v>15</v>
      </c>
      <c r="H1216" s="2" t="n">
        <v>1532</v>
      </c>
      <c r="I1216" s="2" t="n">
        <v>1532</v>
      </c>
      <c r="J1216" s="2" t="n">
        <v>1443</v>
      </c>
      <c r="K1216" s="2">
        <f>H1216+5&gt;D1216</f>
        <v/>
      </c>
      <c r="L1216" s="2">
        <f>J1216&lt;I1216</f>
        <v/>
      </c>
      <c r="M1216" s="2" t="b">
        <v>1</v>
      </c>
      <c r="N1216" s="2" t="b">
        <v>1</v>
      </c>
      <c r="O1216" s="2" t="inlineStr">
        <is>
          <t>allow</t>
        </is>
      </c>
      <c r="P1216" s="2">
        <f>O1216&lt;&gt;"unknown"</f>
        <v/>
      </c>
    </row>
    <row r="1217">
      <c r="A1217" s="2" t="inlineStr">
        <is>
          <t>1500-on</t>
        </is>
      </c>
      <c r="B1217" s="2" t="n">
        <v>1500</v>
      </c>
      <c r="C1217" s="2" t="inlineStr">
        <is>
          <t>on</t>
        </is>
      </c>
      <c r="D1217" s="2" t="n">
        <v>1448</v>
      </c>
      <c r="E1217" s="2" t="inlineStr">
        <is>
          <t>go 1.27 net/http (crypto/tls)</t>
        </is>
      </c>
      <c r="F1217" s="2" t="b">
        <v>1</v>
      </c>
      <c r="G1217" s="2" t="n">
        <v>16</v>
      </c>
      <c r="H1217" s="2" t="n">
        <v>1532</v>
      </c>
      <c r="I1217" s="2" t="n">
        <v>1532</v>
      </c>
      <c r="J1217" s="2" t="n">
        <v>1443</v>
      </c>
      <c r="K1217" s="2">
        <f>H1217+5&gt;D1217</f>
        <v/>
      </c>
      <c r="L1217" s="2">
        <f>J1217&lt;I1217</f>
        <v/>
      </c>
      <c r="M1217" s="2" t="b">
        <v>1</v>
      </c>
      <c r="N1217" s="2" t="b">
        <v>1</v>
      </c>
      <c r="O1217" s="2" t="inlineStr">
        <is>
          <t>allow</t>
        </is>
      </c>
      <c r="P1217" s="2">
        <f>O1217&lt;&gt;"unknown"</f>
        <v/>
      </c>
    </row>
    <row r="1218">
      <c r="A1218" s="2" t="inlineStr">
        <is>
          <t>1500-on</t>
        </is>
      </c>
      <c r="B1218" s="2" t="n">
        <v>1500</v>
      </c>
      <c r="C1218" s="2" t="inlineStr">
        <is>
          <t>on</t>
        </is>
      </c>
      <c r="D1218" s="2" t="n">
        <v>1448</v>
      </c>
      <c r="E1218" s="2" t="inlineStr">
        <is>
          <t>go 1.27 net/http (crypto/tls)</t>
        </is>
      </c>
      <c r="F1218" s="2" t="b">
        <v>1</v>
      </c>
      <c r="G1218" s="2" t="n">
        <v>17</v>
      </c>
      <c r="H1218" s="2" t="n">
        <v>1532</v>
      </c>
      <c r="I1218" s="2" t="n">
        <v>1532</v>
      </c>
      <c r="J1218" s="2" t="n">
        <v>1443</v>
      </c>
      <c r="K1218" s="2">
        <f>H1218+5&gt;D1218</f>
        <v/>
      </c>
      <c r="L1218" s="2">
        <f>J1218&lt;I1218</f>
        <v/>
      </c>
      <c r="M1218" s="2" t="b">
        <v>1</v>
      </c>
      <c r="N1218" s="2" t="b">
        <v>1</v>
      </c>
      <c r="O1218" s="2" t="inlineStr">
        <is>
          <t>allow</t>
        </is>
      </c>
      <c r="P1218" s="2">
        <f>O1218&lt;&gt;"unknown"</f>
        <v/>
      </c>
    </row>
    <row r="1219">
      <c r="A1219" s="2" t="inlineStr">
        <is>
          <t>1500-on</t>
        </is>
      </c>
      <c r="B1219" s="2" t="n">
        <v>1500</v>
      </c>
      <c r="C1219" s="2" t="inlineStr">
        <is>
          <t>on</t>
        </is>
      </c>
      <c r="D1219" s="2" t="n">
        <v>1448</v>
      </c>
      <c r="E1219" s="2" t="inlineStr">
        <is>
          <t>go 1.27 net/http (crypto/tls)</t>
        </is>
      </c>
      <c r="F1219" s="2" t="b">
        <v>1</v>
      </c>
      <c r="G1219" s="2" t="n">
        <v>18</v>
      </c>
      <c r="H1219" s="2" t="n">
        <v>1532</v>
      </c>
      <c r="I1219" s="2" t="n">
        <v>1532</v>
      </c>
      <c r="J1219" s="2" t="n">
        <v>1443</v>
      </c>
      <c r="K1219" s="2">
        <f>H1219+5&gt;D1219</f>
        <v/>
      </c>
      <c r="L1219" s="2">
        <f>J1219&lt;I1219</f>
        <v/>
      </c>
      <c r="M1219" s="2" t="b">
        <v>1</v>
      </c>
      <c r="N1219" s="2" t="b">
        <v>1</v>
      </c>
      <c r="O1219" s="2" t="inlineStr">
        <is>
          <t>allow</t>
        </is>
      </c>
      <c r="P1219" s="2">
        <f>O1219&lt;&gt;"unknown"</f>
        <v/>
      </c>
    </row>
    <row r="1220">
      <c r="A1220" s="2" t="inlineStr">
        <is>
          <t>1500-on</t>
        </is>
      </c>
      <c r="B1220" s="2" t="n">
        <v>1500</v>
      </c>
      <c r="C1220" s="2" t="inlineStr">
        <is>
          <t>on</t>
        </is>
      </c>
      <c r="D1220" s="2" t="n">
        <v>1448</v>
      </c>
      <c r="E1220" s="2" t="inlineStr">
        <is>
          <t>go 1.27 net/http (crypto/tls)</t>
        </is>
      </c>
      <c r="F1220" s="2" t="b">
        <v>1</v>
      </c>
      <c r="G1220" s="2" t="n">
        <v>19</v>
      </c>
      <c r="H1220" s="2" t="n">
        <v>1532</v>
      </c>
      <c r="I1220" s="2" t="n">
        <v>1532</v>
      </c>
      <c r="J1220" s="2" t="n">
        <v>1443</v>
      </c>
      <c r="K1220" s="2">
        <f>H1220+5&gt;D1220</f>
        <v/>
      </c>
      <c r="L1220" s="2">
        <f>J1220&lt;I1220</f>
        <v/>
      </c>
      <c r="M1220" s="2" t="b">
        <v>1</v>
      </c>
      <c r="N1220" s="2" t="b">
        <v>1</v>
      </c>
      <c r="O1220" s="2" t="inlineStr">
        <is>
          <t>allow</t>
        </is>
      </c>
      <c r="P1220" s="2">
        <f>O1220&lt;&gt;"unknown"</f>
        <v/>
      </c>
    </row>
    <row r="1221">
      <c r="A1221" s="2" t="inlineStr">
        <is>
          <t>1500-on</t>
        </is>
      </c>
      <c r="B1221" s="2" t="n">
        <v>1500</v>
      </c>
      <c r="C1221" s="2" t="inlineStr">
        <is>
          <t>on</t>
        </is>
      </c>
      <c r="D1221" s="2" t="n">
        <v>1448</v>
      </c>
      <c r="E1221" s="2" t="inlineStr">
        <is>
          <t>go 1.27 net/http (crypto/tls)</t>
        </is>
      </c>
      <c r="F1221" s="2" t="b">
        <v>1</v>
      </c>
      <c r="G1221" s="2" t="n">
        <v>20</v>
      </c>
      <c r="H1221" s="2" t="n">
        <v>1532</v>
      </c>
      <c r="I1221" s="2" t="n">
        <v>1532</v>
      </c>
      <c r="J1221" s="2" t="n">
        <v>1443</v>
      </c>
      <c r="K1221" s="2">
        <f>H1221+5&gt;D1221</f>
        <v/>
      </c>
      <c r="L1221" s="2">
        <f>J1221&lt;I1221</f>
        <v/>
      </c>
      <c r="M1221" s="2" t="b">
        <v>1</v>
      </c>
      <c r="N1221" s="2" t="b">
        <v>1</v>
      </c>
      <c r="O1221" s="2" t="inlineStr">
        <is>
          <t>allow</t>
        </is>
      </c>
      <c r="P1221" s="2">
        <f>O1221&lt;&gt;"unknown"</f>
        <v/>
      </c>
    </row>
    <row r="1222">
      <c r="A1222" s="2" t="inlineStr">
        <is>
          <t>1500-on</t>
        </is>
      </c>
      <c r="B1222" s="2" t="n">
        <v>1500</v>
      </c>
      <c r="C1222" s="2" t="inlineStr">
        <is>
          <t>on</t>
        </is>
      </c>
      <c r="D1222" s="2" t="n">
        <v>1448</v>
      </c>
      <c r="E1222" s="2" t="inlineStr">
        <is>
          <t>browser chrome116</t>
        </is>
      </c>
      <c r="F1222" s="2" t="b">
        <v>0</v>
      </c>
      <c r="G1222" s="2" t="n">
        <v>1</v>
      </c>
      <c r="H1222" s="2" t="n">
        <v>512</v>
      </c>
      <c r="I1222" s="2" t="n">
        <v>512</v>
      </c>
      <c r="J1222" s="2" t="n">
        <v>512</v>
      </c>
      <c r="K1222" s="2">
        <f>H1222+5&gt;D1222</f>
        <v/>
      </c>
      <c r="L1222" s="2">
        <f>J1222&lt;I1222</f>
        <v/>
      </c>
      <c r="M1222" s="2" t="b">
        <v>1</v>
      </c>
      <c r="N1222" s="2" t="b">
        <v>1</v>
      </c>
      <c r="O1222" s="2" t="inlineStr">
        <is>
          <t>allow</t>
        </is>
      </c>
      <c r="P1222" s="2">
        <f>O1222&lt;&gt;"unknown"</f>
        <v/>
      </c>
    </row>
    <row r="1223">
      <c r="A1223" s="2" t="inlineStr">
        <is>
          <t>1500-on</t>
        </is>
      </c>
      <c r="B1223" s="2" t="n">
        <v>1500</v>
      </c>
      <c r="C1223" s="2" t="inlineStr">
        <is>
          <t>on</t>
        </is>
      </c>
      <c r="D1223" s="2" t="n">
        <v>1448</v>
      </c>
      <c r="E1223" s="2" t="inlineStr">
        <is>
          <t>browser chrome116</t>
        </is>
      </c>
      <c r="F1223" s="2" t="b">
        <v>0</v>
      </c>
      <c r="G1223" s="2" t="n">
        <v>2</v>
      </c>
      <c r="H1223" s="2" t="n">
        <v>512</v>
      </c>
      <c r="I1223" s="2" t="n">
        <v>512</v>
      </c>
      <c r="J1223" s="2" t="n">
        <v>512</v>
      </c>
      <c r="K1223" s="2">
        <f>H1223+5&gt;D1223</f>
        <v/>
      </c>
      <c r="L1223" s="2">
        <f>J1223&lt;I1223</f>
        <v/>
      </c>
      <c r="M1223" s="2" t="b">
        <v>1</v>
      </c>
      <c r="N1223" s="2" t="b">
        <v>1</v>
      </c>
      <c r="O1223" s="2" t="inlineStr">
        <is>
          <t>allow</t>
        </is>
      </c>
      <c r="P1223" s="2">
        <f>O1223&lt;&gt;"unknown"</f>
        <v/>
      </c>
    </row>
    <row r="1224">
      <c r="A1224" s="2" t="inlineStr">
        <is>
          <t>1500-on</t>
        </is>
      </c>
      <c r="B1224" s="2" t="n">
        <v>1500</v>
      </c>
      <c r="C1224" s="2" t="inlineStr">
        <is>
          <t>on</t>
        </is>
      </c>
      <c r="D1224" s="2" t="n">
        <v>1448</v>
      </c>
      <c r="E1224" s="2" t="inlineStr">
        <is>
          <t>browser chrome116</t>
        </is>
      </c>
      <c r="F1224" s="2" t="b">
        <v>0</v>
      </c>
      <c r="G1224" s="2" t="n">
        <v>3</v>
      </c>
      <c r="H1224" s="2" t="n">
        <v>512</v>
      </c>
      <c r="I1224" s="2" t="n">
        <v>512</v>
      </c>
      <c r="J1224" s="2" t="n">
        <v>512</v>
      </c>
      <c r="K1224" s="2">
        <f>H1224+5&gt;D1224</f>
        <v/>
      </c>
      <c r="L1224" s="2">
        <f>J1224&lt;I1224</f>
        <v/>
      </c>
      <c r="M1224" s="2" t="b">
        <v>1</v>
      </c>
      <c r="N1224" s="2" t="b">
        <v>1</v>
      </c>
      <c r="O1224" s="2" t="inlineStr">
        <is>
          <t>allow</t>
        </is>
      </c>
      <c r="P1224" s="2">
        <f>O1224&lt;&gt;"unknown"</f>
        <v/>
      </c>
    </row>
    <row r="1225">
      <c r="A1225" s="2" t="inlineStr">
        <is>
          <t>1500-on</t>
        </is>
      </c>
      <c r="B1225" s="2" t="n">
        <v>1500</v>
      </c>
      <c r="C1225" s="2" t="inlineStr">
        <is>
          <t>on</t>
        </is>
      </c>
      <c r="D1225" s="2" t="n">
        <v>1448</v>
      </c>
      <c r="E1225" s="2" t="inlineStr">
        <is>
          <t>browser chrome116</t>
        </is>
      </c>
      <c r="F1225" s="2" t="b">
        <v>0</v>
      </c>
      <c r="G1225" s="2" t="n">
        <v>4</v>
      </c>
      <c r="H1225" s="2" t="n">
        <v>512</v>
      </c>
      <c r="I1225" s="2" t="n">
        <v>512</v>
      </c>
      <c r="J1225" s="2" t="n">
        <v>512</v>
      </c>
      <c r="K1225" s="2">
        <f>H1225+5&gt;D1225</f>
        <v/>
      </c>
      <c r="L1225" s="2">
        <f>J1225&lt;I1225</f>
        <v/>
      </c>
      <c r="M1225" s="2" t="b">
        <v>1</v>
      </c>
      <c r="N1225" s="2" t="b">
        <v>1</v>
      </c>
      <c r="O1225" s="2" t="inlineStr">
        <is>
          <t>allow</t>
        </is>
      </c>
      <c r="P1225" s="2">
        <f>O1225&lt;&gt;"unknown"</f>
        <v/>
      </c>
    </row>
    <row r="1226">
      <c r="A1226" s="2" t="inlineStr">
        <is>
          <t>1500-on</t>
        </is>
      </c>
      <c r="B1226" s="2" t="n">
        <v>1500</v>
      </c>
      <c r="C1226" s="2" t="inlineStr">
        <is>
          <t>on</t>
        </is>
      </c>
      <c r="D1226" s="2" t="n">
        <v>1448</v>
      </c>
      <c r="E1226" s="2" t="inlineStr">
        <is>
          <t>browser chrome116</t>
        </is>
      </c>
      <c r="F1226" s="2" t="b">
        <v>0</v>
      </c>
      <c r="G1226" s="2" t="n">
        <v>5</v>
      </c>
      <c r="H1226" s="2" t="n">
        <v>512</v>
      </c>
      <c r="I1226" s="2" t="n">
        <v>512</v>
      </c>
      <c r="J1226" s="2" t="n">
        <v>512</v>
      </c>
      <c r="K1226" s="2">
        <f>H1226+5&gt;D1226</f>
        <v/>
      </c>
      <c r="L1226" s="2">
        <f>J1226&lt;I1226</f>
        <v/>
      </c>
      <c r="M1226" s="2" t="b">
        <v>1</v>
      </c>
      <c r="N1226" s="2" t="b">
        <v>1</v>
      </c>
      <c r="O1226" s="2" t="inlineStr">
        <is>
          <t>allow</t>
        </is>
      </c>
      <c r="P1226" s="2">
        <f>O1226&lt;&gt;"unknown"</f>
        <v/>
      </c>
    </row>
    <row r="1227">
      <c r="A1227" s="2" t="inlineStr">
        <is>
          <t>1500-on</t>
        </is>
      </c>
      <c r="B1227" s="2" t="n">
        <v>1500</v>
      </c>
      <c r="C1227" s="2" t="inlineStr">
        <is>
          <t>on</t>
        </is>
      </c>
      <c r="D1227" s="2" t="n">
        <v>1448</v>
      </c>
      <c r="E1227" s="2" t="inlineStr">
        <is>
          <t>browser chrome116</t>
        </is>
      </c>
      <c r="F1227" s="2" t="b">
        <v>0</v>
      </c>
      <c r="G1227" s="2" t="n">
        <v>6</v>
      </c>
      <c r="H1227" s="2" t="n">
        <v>512</v>
      </c>
      <c r="I1227" s="2" t="n">
        <v>512</v>
      </c>
      <c r="J1227" s="2" t="n">
        <v>512</v>
      </c>
      <c r="K1227" s="2">
        <f>H1227+5&gt;D1227</f>
        <v/>
      </c>
      <c r="L1227" s="2">
        <f>J1227&lt;I1227</f>
        <v/>
      </c>
      <c r="M1227" s="2" t="b">
        <v>1</v>
      </c>
      <c r="N1227" s="2" t="b">
        <v>1</v>
      </c>
      <c r="O1227" s="2" t="inlineStr">
        <is>
          <t>allow</t>
        </is>
      </c>
      <c r="P1227" s="2">
        <f>O1227&lt;&gt;"unknown"</f>
        <v/>
      </c>
    </row>
    <row r="1228">
      <c r="A1228" s="2" t="inlineStr">
        <is>
          <t>1500-on</t>
        </is>
      </c>
      <c r="B1228" s="2" t="n">
        <v>1500</v>
      </c>
      <c r="C1228" s="2" t="inlineStr">
        <is>
          <t>on</t>
        </is>
      </c>
      <c r="D1228" s="2" t="n">
        <v>1448</v>
      </c>
      <c r="E1228" s="2" t="inlineStr">
        <is>
          <t>browser chrome116</t>
        </is>
      </c>
      <c r="F1228" s="2" t="b">
        <v>0</v>
      </c>
      <c r="G1228" s="2" t="n">
        <v>7</v>
      </c>
      <c r="H1228" s="2" t="n">
        <v>512</v>
      </c>
      <c r="I1228" s="2" t="n">
        <v>512</v>
      </c>
      <c r="J1228" s="2" t="n">
        <v>512</v>
      </c>
      <c r="K1228" s="2">
        <f>H1228+5&gt;D1228</f>
        <v/>
      </c>
      <c r="L1228" s="2">
        <f>J1228&lt;I1228</f>
        <v/>
      </c>
      <c r="M1228" s="2" t="b">
        <v>1</v>
      </c>
      <c r="N1228" s="2" t="b">
        <v>1</v>
      </c>
      <c r="O1228" s="2" t="inlineStr">
        <is>
          <t>allow</t>
        </is>
      </c>
      <c r="P1228" s="2">
        <f>O1228&lt;&gt;"unknown"</f>
        <v/>
      </c>
    </row>
    <row r="1229">
      <c r="A1229" s="2" t="inlineStr">
        <is>
          <t>1500-on</t>
        </is>
      </c>
      <c r="B1229" s="2" t="n">
        <v>1500</v>
      </c>
      <c r="C1229" s="2" t="inlineStr">
        <is>
          <t>on</t>
        </is>
      </c>
      <c r="D1229" s="2" t="n">
        <v>1448</v>
      </c>
      <c r="E1229" s="2" t="inlineStr">
        <is>
          <t>browser chrome116</t>
        </is>
      </c>
      <c r="F1229" s="2" t="b">
        <v>0</v>
      </c>
      <c r="G1229" s="2" t="n">
        <v>8</v>
      </c>
      <c r="H1229" s="2" t="n">
        <v>512</v>
      </c>
      <c r="I1229" s="2" t="n">
        <v>512</v>
      </c>
      <c r="J1229" s="2" t="n">
        <v>512</v>
      </c>
      <c r="K1229" s="2">
        <f>H1229+5&gt;D1229</f>
        <v/>
      </c>
      <c r="L1229" s="2">
        <f>J1229&lt;I1229</f>
        <v/>
      </c>
      <c r="M1229" s="2" t="b">
        <v>1</v>
      </c>
      <c r="N1229" s="2" t="b">
        <v>1</v>
      </c>
      <c r="O1229" s="2" t="inlineStr">
        <is>
          <t>allow</t>
        </is>
      </c>
      <c r="P1229" s="2">
        <f>O1229&lt;&gt;"unknown"</f>
        <v/>
      </c>
    </row>
    <row r="1230">
      <c r="A1230" s="2" t="inlineStr">
        <is>
          <t>1500-on</t>
        </is>
      </c>
      <c r="B1230" s="2" t="n">
        <v>1500</v>
      </c>
      <c r="C1230" s="2" t="inlineStr">
        <is>
          <t>on</t>
        </is>
      </c>
      <c r="D1230" s="2" t="n">
        <v>1448</v>
      </c>
      <c r="E1230" s="2" t="inlineStr">
        <is>
          <t>browser chrome116</t>
        </is>
      </c>
      <c r="F1230" s="2" t="b">
        <v>0</v>
      </c>
      <c r="G1230" s="2" t="n">
        <v>9</v>
      </c>
      <c r="H1230" s="2" t="n">
        <v>512</v>
      </c>
      <c r="I1230" s="2" t="n">
        <v>512</v>
      </c>
      <c r="J1230" s="2" t="n">
        <v>512</v>
      </c>
      <c r="K1230" s="2">
        <f>H1230+5&gt;D1230</f>
        <v/>
      </c>
      <c r="L1230" s="2">
        <f>J1230&lt;I1230</f>
        <v/>
      </c>
      <c r="M1230" s="2" t="b">
        <v>1</v>
      </c>
      <c r="N1230" s="2" t="b">
        <v>1</v>
      </c>
      <c r="O1230" s="2" t="inlineStr">
        <is>
          <t>allow</t>
        </is>
      </c>
      <c r="P1230" s="2">
        <f>O1230&lt;&gt;"unknown"</f>
        <v/>
      </c>
    </row>
    <row r="1231">
      <c r="A1231" s="2" t="inlineStr">
        <is>
          <t>1500-on</t>
        </is>
      </c>
      <c r="B1231" s="2" t="n">
        <v>1500</v>
      </c>
      <c r="C1231" s="2" t="inlineStr">
        <is>
          <t>on</t>
        </is>
      </c>
      <c r="D1231" s="2" t="n">
        <v>1448</v>
      </c>
      <c r="E1231" s="2" t="inlineStr">
        <is>
          <t>browser chrome116</t>
        </is>
      </c>
      <c r="F1231" s="2" t="b">
        <v>0</v>
      </c>
      <c r="G1231" s="2" t="n">
        <v>10</v>
      </c>
      <c r="H1231" s="2" t="n">
        <v>512</v>
      </c>
      <c r="I1231" s="2" t="n">
        <v>512</v>
      </c>
      <c r="J1231" s="2" t="n">
        <v>512</v>
      </c>
      <c r="K1231" s="2">
        <f>H1231+5&gt;D1231</f>
        <v/>
      </c>
      <c r="L1231" s="2">
        <f>J1231&lt;I1231</f>
        <v/>
      </c>
      <c r="M1231" s="2" t="b">
        <v>1</v>
      </c>
      <c r="N1231" s="2" t="b">
        <v>1</v>
      </c>
      <c r="O1231" s="2" t="inlineStr">
        <is>
          <t>allow</t>
        </is>
      </c>
      <c r="P1231" s="2">
        <f>O1231&lt;&gt;"unknown"</f>
        <v/>
      </c>
    </row>
    <row r="1232">
      <c r="A1232" s="2" t="inlineStr">
        <is>
          <t>1500-on</t>
        </is>
      </c>
      <c r="B1232" s="2" t="n">
        <v>1500</v>
      </c>
      <c r="C1232" s="2" t="inlineStr">
        <is>
          <t>on</t>
        </is>
      </c>
      <c r="D1232" s="2" t="n">
        <v>1448</v>
      </c>
      <c r="E1232" s="2" t="inlineStr">
        <is>
          <t>browser chrome116</t>
        </is>
      </c>
      <c r="F1232" s="2" t="b">
        <v>0</v>
      </c>
      <c r="G1232" s="2" t="n">
        <v>11</v>
      </c>
      <c r="H1232" s="2" t="n">
        <v>512</v>
      </c>
      <c r="I1232" s="2" t="n">
        <v>512</v>
      </c>
      <c r="J1232" s="2" t="n">
        <v>512</v>
      </c>
      <c r="K1232" s="2">
        <f>H1232+5&gt;D1232</f>
        <v/>
      </c>
      <c r="L1232" s="2">
        <f>J1232&lt;I1232</f>
        <v/>
      </c>
      <c r="M1232" s="2" t="b">
        <v>1</v>
      </c>
      <c r="N1232" s="2" t="b">
        <v>1</v>
      </c>
      <c r="O1232" s="2" t="inlineStr">
        <is>
          <t>allow</t>
        </is>
      </c>
      <c r="P1232" s="2">
        <f>O1232&lt;&gt;"unknown"</f>
        <v/>
      </c>
    </row>
    <row r="1233">
      <c r="A1233" s="2" t="inlineStr">
        <is>
          <t>1500-on</t>
        </is>
      </c>
      <c r="B1233" s="2" t="n">
        <v>1500</v>
      </c>
      <c r="C1233" s="2" t="inlineStr">
        <is>
          <t>on</t>
        </is>
      </c>
      <c r="D1233" s="2" t="n">
        <v>1448</v>
      </c>
      <c r="E1233" s="2" t="inlineStr">
        <is>
          <t>browser chrome116</t>
        </is>
      </c>
      <c r="F1233" s="2" t="b">
        <v>0</v>
      </c>
      <c r="G1233" s="2" t="n">
        <v>12</v>
      </c>
      <c r="H1233" s="2" t="n">
        <v>512</v>
      </c>
      <c r="I1233" s="2" t="n">
        <v>512</v>
      </c>
      <c r="J1233" s="2" t="n">
        <v>512</v>
      </c>
      <c r="K1233" s="2">
        <f>H1233+5&gt;D1233</f>
        <v/>
      </c>
      <c r="L1233" s="2">
        <f>J1233&lt;I1233</f>
        <v/>
      </c>
      <c r="M1233" s="2" t="b">
        <v>1</v>
      </c>
      <c r="N1233" s="2" t="b">
        <v>1</v>
      </c>
      <c r="O1233" s="2" t="inlineStr">
        <is>
          <t>allow</t>
        </is>
      </c>
      <c r="P1233" s="2">
        <f>O1233&lt;&gt;"unknown"</f>
        <v/>
      </c>
    </row>
    <row r="1234">
      <c r="A1234" s="2" t="inlineStr">
        <is>
          <t>1500-on</t>
        </is>
      </c>
      <c r="B1234" s="2" t="n">
        <v>1500</v>
      </c>
      <c r="C1234" s="2" t="inlineStr">
        <is>
          <t>on</t>
        </is>
      </c>
      <c r="D1234" s="2" t="n">
        <v>1448</v>
      </c>
      <c r="E1234" s="2" t="inlineStr">
        <is>
          <t>browser chrome116</t>
        </is>
      </c>
      <c r="F1234" s="2" t="b">
        <v>0</v>
      </c>
      <c r="G1234" s="2" t="n">
        <v>13</v>
      </c>
      <c r="H1234" s="2" t="n">
        <v>512</v>
      </c>
      <c r="I1234" s="2" t="n">
        <v>512</v>
      </c>
      <c r="J1234" s="2" t="n">
        <v>512</v>
      </c>
      <c r="K1234" s="2">
        <f>H1234+5&gt;D1234</f>
        <v/>
      </c>
      <c r="L1234" s="2">
        <f>J1234&lt;I1234</f>
        <v/>
      </c>
      <c r="M1234" s="2" t="b">
        <v>1</v>
      </c>
      <c r="N1234" s="2" t="b">
        <v>1</v>
      </c>
      <c r="O1234" s="2" t="inlineStr">
        <is>
          <t>allow</t>
        </is>
      </c>
      <c r="P1234" s="2">
        <f>O1234&lt;&gt;"unknown"</f>
        <v/>
      </c>
    </row>
    <row r="1235">
      <c r="A1235" s="2" t="inlineStr">
        <is>
          <t>1500-on</t>
        </is>
      </c>
      <c r="B1235" s="2" t="n">
        <v>1500</v>
      </c>
      <c r="C1235" s="2" t="inlineStr">
        <is>
          <t>on</t>
        </is>
      </c>
      <c r="D1235" s="2" t="n">
        <v>1448</v>
      </c>
      <c r="E1235" s="2" t="inlineStr">
        <is>
          <t>browser chrome116</t>
        </is>
      </c>
      <c r="F1235" s="2" t="b">
        <v>0</v>
      </c>
      <c r="G1235" s="2" t="n">
        <v>14</v>
      </c>
      <c r="H1235" s="2" t="n">
        <v>512</v>
      </c>
      <c r="I1235" s="2" t="n">
        <v>512</v>
      </c>
      <c r="J1235" s="2" t="n">
        <v>512</v>
      </c>
      <c r="K1235" s="2">
        <f>H1235+5&gt;D1235</f>
        <v/>
      </c>
      <c r="L1235" s="2">
        <f>J1235&lt;I1235</f>
        <v/>
      </c>
      <c r="M1235" s="2" t="b">
        <v>1</v>
      </c>
      <c r="N1235" s="2" t="b">
        <v>1</v>
      </c>
      <c r="O1235" s="2" t="inlineStr">
        <is>
          <t>allow</t>
        </is>
      </c>
      <c r="P1235" s="2">
        <f>O1235&lt;&gt;"unknown"</f>
        <v/>
      </c>
    </row>
    <row r="1236">
      <c r="A1236" s="2" t="inlineStr">
        <is>
          <t>1500-on</t>
        </is>
      </c>
      <c r="B1236" s="2" t="n">
        <v>1500</v>
      </c>
      <c r="C1236" s="2" t="inlineStr">
        <is>
          <t>on</t>
        </is>
      </c>
      <c r="D1236" s="2" t="n">
        <v>1448</v>
      </c>
      <c r="E1236" s="2" t="inlineStr">
        <is>
          <t>browser chrome116</t>
        </is>
      </c>
      <c r="F1236" s="2" t="b">
        <v>0</v>
      </c>
      <c r="G1236" s="2" t="n">
        <v>15</v>
      </c>
      <c r="H1236" s="2" t="n">
        <v>512</v>
      </c>
      <c r="I1236" s="2" t="n">
        <v>512</v>
      </c>
      <c r="J1236" s="2" t="n">
        <v>512</v>
      </c>
      <c r="K1236" s="2">
        <f>H1236+5&gt;D1236</f>
        <v/>
      </c>
      <c r="L1236" s="2">
        <f>J1236&lt;I1236</f>
        <v/>
      </c>
      <c r="M1236" s="2" t="b">
        <v>1</v>
      </c>
      <c r="N1236" s="2" t="b">
        <v>1</v>
      </c>
      <c r="O1236" s="2" t="inlineStr">
        <is>
          <t>allow</t>
        </is>
      </c>
      <c r="P1236" s="2">
        <f>O1236&lt;&gt;"unknown"</f>
        <v/>
      </c>
    </row>
    <row r="1237">
      <c r="A1237" s="2" t="inlineStr">
        <is>
          <t>1500-on</t>
        </is>
      </c>
      <c r="B1237" s="2" t="n">
        <v>1500</v>
      </c>
      <c r="C1237" s="2" t="inlineStr">
        <is>
          <t>on</t>
        </is>
      </c>
      <c r="D1237" s="2" t="n">
        <v>1448</v>
      </c>
      <c r="E1237" s="2" t="inlineStr">
        <is>
          <t>browser chrome116</t>
        </is>
      </c>
      <c r="F1237" s="2" t="b">
        <v>0</v>
      </c>
      <c r="G1237" s="2" t="n">
        <v>16</v>
      </c>
      <c r="H1237" s="2" t="n">
        <v>512</v>
      </c>
      <c r="I1237" s="2" t="n">
        <v>512</v>
      </c>
      <c r="J1237" s="2" t="n">
        <v>512</v>
      </c>
      <c r="K1237" s="2">
        <f>H1237+5&gt;D1237</f>
        <v/>
      </c>
      <c r="L1237" s="2">
        <f>J1237&lt;I1237</f>
        <v/>
      </c>
      <c r="M1237" s="2" t="b">
        <v>1</v>
      </c>
      <c r="N1237" s="2" t="b">
        <v>1</v>
      </c>
      <c r="O1237" s="2" t="inlineStr">
        <is>
          <t>allow</t>
        </is>
      </c>
      <c r="P1237" s="2">
        <f>O1237&lt;&gt;"unknown"</f>
        <v/>
      </c>
    </row>
    <row r="1238">
      <c r="A1238" s="2" t="inlineStr">
        <is>
          <t>1500-on</t>
        </is>
      </c>
      <c r="B1238" s="2" t="n">
        <v>1500</v>
      </c>
      <c r="C1238" s="2" t="inlineStr">
        <is>
          <t>on</t>
        </is>
      </c>
      <c r="D1238" s="2" t="n">
        <v>1448</v>
      </c>
      <c r="E1238" s="2" t="inlineStr">
        <is>
          <t>browser chrome116</t>
        </is>
      </c>
      <c r="F1238" s="2" t="b">
        <v>0</v>
      </c>
      <c r="G1238" s="2" t="n">
        <v>17</v>
      </c>
      <c r="H1238" s="2" t="n">
        <v>512</v>
      </c>
      <c r="I1238" s="2" t="n">
        <v>512</v>
      </c>
      <c r="J1238" s="2" t="n">
        <v>512</v>
      </c>
      <c r="K1238" s="2">
        <f>H1238+5&gt;D1238</f>
        <v/>
      </c>
      <c r="L1238" s="2">
        <f>J1238&lt;I1238</f>
        <v/>
      </c>
      <c r="M1238" s="2" t="b">
        <v>1</v>
      </c>
      <c r="N1238" s="2" t="b">
        <v>1</v>
      </c>
      <c r="O1238" s="2" t="inlineStr">
        <is>
          <t>allow</t>
        </is>
      </c>
      <c r="P1238" s="2">
        <f>O1238&lt;&gt;"unknown"</f>
        <v/>
      </c>
    </row>
    <row r="1239">
      <c r="A1239" s="2" t="inlineStr">
        <is>
          <t>1500-on</t>
        </is>
      </c>
      <c r="B1239" s="2" t="n">
        <v>1500</v>
      </c>
      <c r="C1239" s="2" t="inlineStr">
        <is>
          <t>on</t>
        </is>
      </c>
      <c r="D1239" s="2" t="n">
        <v>1448</v>
      </c>
      <c r="E1239" s="2" t="inlineStr">
        <is>
          <t>browser chrome116</t>
        </is>
      </c>
      <c r="F1239" s="2" t="b">
        <v>0</v>
      </c>
      <c r="G1239" s="2" t="n">
        <v>18</v>
      </c>
      <c r="H1239" s="2" t="n">
        <v>512</v>
      </c>
      <c r="I1239" s="2" t="n">
        <v>512</v>
      </c>
      <c r="J1239" s="2" t="n">
        <v>512</v>
      </c>
      <c r="K1239" s="2">
        <f>H1239+5&gt;D1239</f>
        <v/>
      </c>
      <c r="L1239" s="2">
        <f>J1239&lt;I1239</f>
        <v/>
      </c>
      <c r="M1239" s="2" t="b">
        <v>1</v>
      </c>
      <c r="N1239" s="2" t="b">
        <v>1</v>
      </c>
      <c r="O1239" s="2" t="inlineStr">
        <is>
          <t>allow</t>
        </is>
      </c>
      <c r="P1239" s="2">
        <f>O1239&lt;&gt;"unknown"</f>
        <v/>
      </c>
    </row>
    <row r="1240">
      <c r="A1240" s="2" t="inlineStr">
        <is>
          <t>1500-on</t>
        </is>
      </c>
      <c r="B1240" s="2" t="n">
        <v>1500</v>
      </c>
      <c r="C1240" s="2" t="inlineStr">
        <is>
          <t>on</t>
        </is>
      </c>
      <c r="D1240" s="2" t="n">
        <v>1448</v>
      </c>
      <c r="E1240" s="2" t="inlineStr">
        <is>
          <t>browser chrome116</t>
        </is>
      </c>
      <c r="F1240" s="2" t="b">
        <v>0</v>
      </c>
      <c r="G1240" s="2" t="n">
        <v>19</v>
      </c>
      <c r="H1240" s="2" t="n">
        <v>512</v>
      </c>
      <c r="I1240" s="2" t="n">
        <v>512</v>
      </c>
      <c r="J1240" s="2" t="n">
        <v>512</v>
      </c>
      <c r="K1240" s="2">
        <f>H1240+5&gt;D1240</f>
        <v/>
      </c>
      <c r="L1240" s="2">
        <f>J1240&lt;I1240</f>
        <v/>
      </c>
      <c r="M1240" s="2" t="b">
        <v>1</v>
      </c>
      <c r="N1240" s="2" t="b">
        <v>1</v>
      </c>
      <c r="O1240" s="2" t="inlineStr">
        <is>
          <t>allow</t>
        </is>
      </c>
      <c r="P1240" s="2">
        <f>O1240&lt;&gt;"unknown"</f>
        <v/>
      </c>
    </row>
    <row r="1241">
      <c r="A1241" s="2" t="inlineStr">
        <is>
          <t>1500-on</t>
        </is>
      </c>
      <c r="B1241" s="2" t="n">
        <v>1500</v>
      </c>
      <c r="C1241" s="2" t="inlineStr">
        <is>
          <t>on</t>
        </is>
      </c>
      <c r="D1241" s="2" t="n">
        <v>1448</v>
      </c>
      <c r="E1241" s="2" t="inlineStr">
        <is>
          <t>browser chrome116</t>
        </is>
      </c>
      <c r="F1241" s="2" t="b">
        <v>0</v>
      </c>
      <c r="G1241" s="2" t="n">
        <v>20</v>
      </c>
      <c r="H1241" s="2" t="n">
        <v>512</v>
      </c>
      <c r="I1241" s="2" t="n">
        <v>512</v>
      </c>
      <c r="J1241" s="2" t="n">
        <v>512</v>
      </c>
      <c r="K1241" s="2">
        <f>H1241+5&gt;D1241</f>
        <v/>
      </c>
      <c r="L1241" s="2">
        <f>J1241&lt;I1241</f>
        <v/>
      </c>
      <c r="M1241" s="2" t="b">
        <v>1</v>
      </c>
      <c r="N1241" s="2" t="b">
        <v>1</v>
      </c>
      <c r="O1241" s="2" t="inlineStr">
        <is>
          <t>allow</t>
        </is>
      </c>
      <c r="P1241" s="2">
        <f>O1241&lt;&gt;"unknown"</f>
        <v/>
      </c>
    </row>
    <row r="1242">
      <c r="A1242" s="2" t="inlineStr">
        <is>
          <t>1500-on</t>
        </is>
      </c>
      <c r="B1242" s="2" t="n">
        <v>1500</v>
      </c>
      <c r="C1242" s="2" t="inlineStr">
        <is>
          <t>on</t>
        </is>
      </c>
      <c r="D1242" s="2" t="n">
        <v>1448</v>
      </c>
      <c r="E1242" s="2" t="inlineStr">
        <is>
          <t>browser chrome124</t>
        </is>
      </c>
      <c r="F1242" s="2" t="b">
        <v>1</v>
      </c>
      <c r="G1242" s="2" t="n">
        <v>1</v>
      </c>
      <c r="H1242" s="2" t="n">
        <v>1720</v>
      </c>
      <c r="I1242" s="2" t="n">
        <v>1720</v>
      </c>
      <c r="J1242" s="2" t="n">
        <v>1443</v>
      </c>
      <c r="K1242" s="2">
        <f>H1242+5&gt;D1242</f>
        <v/>
      </c>
      <c r="L1242" s="2">
        <f>J1242&lt;I1242</f>
        <v/>
      </c>
      <c r="M1242" s="2" t="b">
        <v>1</v>
      </c>
      <c r="N1242" s="2" t="b">
        <v>1</v>
      </c>
      <c r="O1242" s="2" t="inlineStr">
        <is>
          <t>allow</t>
        </is>
      </c>
      <c r="P1242" s="2">
        <f>O1242&lt;&gt;"unknown"</f>
        <v/>
      </c>
    </row>
    <row r="1243">
      <c r="A1243" s="2" t="inlineStr">
        <is>
          <t>1500-on</t>
        </is>
      </c>
      <c r="B1243" s="2" t="n">
        <v>1500</v>
      </c>
      <c r="C1243" s="2" t="inlineStr">
        <is>
          <t>on</t>
        </is>
      </c>
      <c r="D1243" s="2" t="n">
        <v>1448</v>
      </c>
      <c r="E1243" s="2" t="inlineStr">
        <is>
          <t>browser chrome124</t>
        </is>
      </c>
      <c r="F1243" s="2" t="b">
        <v>1</v>
      </c>
      <c r="G1243" s="2" t="n">
        <v>2</v>
      </c>
      <c r="H1243" s="2" t="n">
        <v>1752</v>
      </c>
      <c r="I1243" s="2" t="n">
        <v>1752</v>
      </c>
      <c r="J1243" s="2" t="n">
        <v>1443</v>
      </c>
      <c r="K1243" s="2">
        <f>H1243+5&gt;D1243</f>
        <v/>
      </c>
      <c r="L1243" s="2">
        <f>J1243&lt;I1243</f>
        <v/>
      </c>
      <c r="M1243" s="2" t="b">
        <v>1</v>
      </c>
      <c r="N1243" s="2" t="b">
        <v>1</v>
      </c>
      <c r="O1243" s="2" t="inlineStr">
        <is>
          <t>allow</t>
        </is>
      </c>
      <c r="P1243" s="2">
        <f>O1243&lt;&gt;"unknown"</f>
        <v/>
      </c>
    </row>
    <row r="1244">
      <c r="A1244" s="2" t="inlineStr">
        <is>
          <t>1500-on</t>
        </is>
      </c>
      <c r="B1244" s="2" t="n">
        <v>1500</v>
      </c>
      <c r="C1244" s="2" t="inlineStr">
        <is>
          <t>on</t>
        </is>
      </c>
      <c r="D1244" s="2" t="n">
        <v>1448</v>
      </c>
      <c r="E1244" s="2" t="inlineStr">
        <is>
          <t>browser chrome124</t>
        </is>
      </c>
      <c r="F1244" s="2" t="b">
        <v>1</v>
      </c>
      <c r="G1244" s="2" t="n">
        <v>3</v>
      </c>
      <c r="H1244" s="2" t="n">
        <v>1720</v>
      </c>
      <c r="I1244" s="2" t="n">
        <v>1720</v>
      </c>
      <c r="J1244" s="2" t="n">
        <v>1443</v>
      </c>
      <c r="K1244" s="2">
        <f>H1244+5&gt;D1244</f>
        <v/>
      </c>
      <c r="L1244" s="2">
        <f>J1244&lt;I1244</f>
        <v/>
      </c>
      <c r="M1244" s="2" t="b">
        <v>1</v>
      </c>
      <c r="N1244" s="2" t="b">
        <v>1</v>
      </c>
      <c r="O1244" s="2" t="inlineStr">
        <is>
          <t>allow</t>
        </is>
      </c>
      <c r="P1244" s="2">
        <f>O1244&lt;&gt;"unknown"</f>
        <v/>
      </c>
    </row>
    <row r="1245">
      <c r="A1245" s="2" t="inlineStr">
        <is>
          <t>1500-on</t>
        </is>
      </c>
      <c r="B1245" s="2" t="n">
        <v>1500</v>
      </c>
      <c r="C1245" s="2" t="inlineStr">
        <is>
          <t>on</t>
        </is>
      </c>
      <c r="D1245" s="2" t="n">
        <v>1448</v>
      </c>
      <c r="E1245" s="2" t="inlineStr">
        <is>
          <t>browser chrome124</t>
        </is>
      </c>
      <c r="F1245" s="2" t="b">
        <v>1</v>
      </c>
      <c r="G1245" s="2" t="n">
        <v>4</v>
      </c>
      <c r="H1245" s="2" t="n">
        <v>1816</v>
      </c>
      <c r="I1245" s="2" t="n">
        <v>1816</v>
      </c>
      <c r="J1245" s="2" t="n">
        <v>1443</v>
      </c>
      <c r="K1245" s="2">
        <f>H1245+5&gt;D1245</f>
        <v/>
      </c>
      <c r="L1245" s="2">
        <f>J1245&lt;I1245</f>
        <v/>
      </c>
      <c r="M1245" s="2" t="b">
        <v>1</v>
      </c>
      <c r="N1245" s="2" t="b">
        <v>0</v>
      </c>
      <c r="O1245" s="2" t="inlineStr">
        <is>
          <t>unknown</t>
        </is>
      </c>
      <c r="P1245" s="2">
        <f>O1245&lt;&gt;"unknown"</f>
        <v/>
      </c>
    </row>
    <row r="1246">
      <c r="A1246" s="2" t="inlineStr">
        <is>
          <t>1500-on</t>
        </is>
      </c>
      <c r="B1246" s="2" t="n">
        <v>1500</v>
      </c>
      <c r="C1246" s="2" t="inlineStr">
        <is>
          <t>on</t>
        </is>
      </c>
      <c r="D1246" s="2" t="n">
        <v>1448</v>
      </c>
      <c r="E1246" s="2" t="inlineStr">
        <is>
          <t>browser chrome124</t>
        </is>
      </c>
      <c r="F1246" s="2" t="b">
        <v>1</v>
      </c>
      <c r="G1246" s="2" t="n">
        <v>5</v>
      </c>
      <c r="H1246" s="2" t="n">
        <v>1752</v>
      </c>
      <c r="I1246" s="2" t="n">
        <v>1752</v>
      </c>
      <c r="J1246" s="2" t="n">
        <v>1443</v>
      </c>
      <c r="K1246" s="2">
        <f>H1246+5&gt;D1246</f>
        <v/>
      </c>
      <c r="L1246" s="2">
        <f>J1246&lt;I1246</f>
        <v/>
      </c>
      <c r="M1246" s="2" t="b">
        <v>1</v>
      </c>
      <c r="N1246" s="2" t="b">
        <v>1</v>
      </c>
      <c r="O1246" s="2" t="inlineStr">
        <is>
          <t>allow</t>
        </is>
      </c>
      <c r="P1246" s="2">
        <f>O1246&lt;&gt;"unknown"</f>
        <v/>
      </c>
    </row>
    <row r="1247">
      <c r="A1247" s="2" t="inlineStr">
        <is>
          <t>1500-on</t>
        </is>
      </c>
      <c r="B1247" s="2" t="n">
        <v>1500</v>
      </c>
      <c r="C1247" s="2" t="inlineStr">
        <is>
          <t>on</t>
        </is>
      </c>
      <c r="D1247" s="2" t="n">
        <v>1448</v>
      </c>
      <c r="E1247" s="2" t="inlineStr">
        <is>
          <t>browser chrome124</t>
        </is>
      </c>
      <c r="F1247" s="2" t="b">
        <v>1</v>
      </c>
      <c r="G1247" s="2" t="n">
        <v>6</v>
      </c>
      <c r="H1247" s="2" t="n">
        <v>1752</v>
      </c>
      <c r="I1247" s="2" t="n">
        <v>1752</v>
      </c>
      <c r="J1247" s="2" t="n">
        <v>1443</v>
      </c>
      <c r="K1247" s="2">
        <f>H1247+5&gt;D1247</f>
        <v/>
      </c>
      <c r="L1247" s="2">
        <f>J1247&lt;I1247</f>
        <v/>
      </c>
      <c r="M1247" s="2" t="b">
        <v>1</v>
      </c>
      <c r="N1247" s="2" t="b">
        <v>1</v>
      </c>
      <c r="O1247" s="2" t="inlineStr">
        <is>
          <t>allow</t>
        </is>
      </c>
      <c r="P1247" s="2">
        <f>O1247&lt;&gt;"unknown"</f>
        <v/>
      </c>
    </row>
    <row r="1248">
      <c r="A1248" s="2" t="inlineStr">
        <is>
          <t>1500-on</t>
        </is>
      </c>
      <c r="B1248" s="2" t="n">
        <v>1500</v>
      </c>
      <c r="C1248" s="2" t="inlineStr">
        <is>
          <t>on</t>
        </is>
      </c>
      <c r="D1248" s="2" t="n">
        <v>1448</v>
      </c>
      <c r="E1248" s="2" t="inlineStr">
        <is>
          <t>browser chrome124</t>
        </is>
      </c>
      <c r="F1248" s="2" t="b">
        <v>1</v>
      </c>
      <c r="G1248" s="2" t="n">
        <v>7</v>
      </c>
      <c r="H1248" s="2" t="n">
        <v>1784</v>
      </c>
      <c r="I1248" s="2" t="n">
        <v>1784</v>
      </c>
      <c r="J1248" s="2" t="n">
        <v>1443</v>
      </c>
      <c r="K1248" s="2">
        <f>H1248+5&gt;D1248</f>
        <v/>
      </c>
      <c r="L1248" s="2">
        <f>J1248&lt;I1248</f>
        <v/>
      </c>
      <c r="M1248" s="2" t="b">
        <v>1</v>
      </c>
      <c r="N1248" s="2" t="b">
        <v>0</v>
      </c>
      <c r="O1248" s="2" t="inlineStr">
        <is>
          <t>unknown</t>
        </is>
      </c>
      <c r="P1248" s="2">
        <f>O1248&lt;&gt;"unknown"</f>
        <v/>
      </c>
    </row>
    <row r="1249">
      <c r="A1249" s="2" t="inlineStr">
        <is>
          <t>1500-on</t>
        </is>
      </c>
      <c r="B1249" s="2" t="n">
        <v>1500</v>
      </c>
      <c r="C1249" s="2" t="inlineStr">
        <is>
          <t>on</t>
        </is>
      </c>
      <c r="D1249" s="2" t="n">
        <v>1448</v>
      </c>
      <c r="E1249" s="2" t="inlineStr">
        <is>
          <t>browser chrome124</t>
        </is>
      </c>
      <c r="F1249" s="2" t="b">
        <v>1</v>
      </c>
      <c r="G1249" s="2" t="n">
        <v>8</v>
      </c>
      <c r="H1249" s="2" t="n">
        <v>1720</v>
      </c>
      <c r="I1249" s="2" t="n">
        <v>1720</v>
      </c>
      <c r="J1249" s="2" t="n">
        <v>1443</v>
      </c>
      <c r="K1249" s="2">
        <f>H1249+5&gt;D1249</f>
        <v/>
      </c>
      <c r="L1249" s="2">
        <f>J1249&lt;I1249</f>
        <v/>
      </c>
      <c r="M1249" s="2" t="b">
        <v>1</v>
      </c>
      <c r="N1249" s="2" t="b">
        <v>1</v>
      </c>
      <c r="O1249" s="2" t="inlineStr">
        <is>
          <t>allow</t>
        </is>
      </c>
      <c r="P1249" s="2">
        <f>O1249&lt;&gt;"unknown"</f>
        <v/>
      </c>
    </row>
    <row r="1250">
      <c r="A1250" s="2" t="inlineStr">
        <is>
          <t>1500-on</t>
        </is>
      </c>
      <c r="B1250" s="2" t="n">
        <v>1500</v>
      </c>
      <c r="C1250" s="2" t="inlineStr">
        <is>
          <t>on</t>
        </is>
      </c>
      <c r="D1250" s="2" t="n">
        <v>1448</v>
      </c>
      <c r="E1250" s="2" t="inlineStr">
        <is>
          <t>browser chrome124</t>
        </is>
      </c>
      <c r="F1250" s="2" t="b">
        <v>1</v>
      </c>
      <c r="G1250" s="2" t="n">
        <v>9</v>
      </c>
      <c r="H1250" s="2" t="n">
        <v>1720</v>
      </c>
      <c r="I1250" s="2" t="n">
        <v>1720</v>
      </c>
      <c r="J1250" s="2" t="n">
        <v>1443</v>
      </c>
      <c r="K1250" s="2">
        <f>H1250+5&gt;D1250</f>
        <v/>
      </c>
      <c r="L1250" s="2">
        <f>J1250&lt;I1250</f>
        <v/>
      </c>
      <c r="M1250" s="2" t="b">
        <v>1</v>
      </c>
      <c r="N1250" s="2" t="b">
        <v>1</v>
      </c>
      <c r="O1250" s="2" t="inlineStr">
        <is>
          <t>allow</t>
        </is>
      </c>
      <c r="P1250" s="2">
        <f>O1250&lt;&gt;"unknown"</f>
        <v/>
      </c>
    </row>
    <row r="1251">
      <c r="A1251" s="2" t="inlineStr">
        <is>
          <t>1500-on</t>
        </is>
      </c>
      <c r="B1251" s="2" t="n">
        <v>1500</v>
      </c>
      <c r="C1251" s="2" t="inlineStr">
        <is>
          <t>on</t>
        </is>
      </c>
      <c r="D1251" s="2" t="n">
        <v>1448</v>
      </c>
      <c r="E1251" s="2" t="inlineStr">
        <is>
          <t>browser chrome124</t>
        </is>
      </c>
      <c r="F1251" s="2" t="b">
        <v>1</v>
      </c>
      <c r="G1251" s="2" t="n">
        <v>10</v>
      </c>
      <c r="H1251" s="2" t="n">
        <v>1720</v>
      </c>
      <c r="I1251" s="2" t="n">
        <v>1720</v>
      </c>
      <c r="J1251" s="2" t="n">
        <v>1443</v>
      </c>
      <c r="K1251" s="2">
        <f>H1251+5&gt;D1251</f>
        <v/>
      </c>
      <c r="L1251" s="2">
        <f>J1251&lt;I1251</f>
        <v/>
      </c>
      <c r="M1251" s="2" t="b">
        <v>1</v>
      </c>
      <c r="N1251" s="2" t="b">
        <v>0</v>
      </c>
      <c r="O1251" s="2" t="inlineStr">
        <is>
          <t>unknown</t>
        </is>
      </c>
      <c r="P1251" s="2">
        <f>O1251&lt;&gt;"unknown"</f>
        <v/>
      </c>
    </row>
    <row r="1252">
      <c r="A1252" s="2" t="inlineStr">
        <is>
          <t>1500-on</t>
        </is>
      </c>
      <c r="B1252" s="2" t="n">
        <v>1500</v>
      </c>
      <c r="C1252" s="2" t="inlineStr">
        <is>
          <t>on</t>
        </is>
      </c>
      <c r="D1252" s="2" t="n">
        <v>1448</v>
      </c>
      <c r="E1252" s="2" t="inlineStr">
        <is>
          <t>browser chrome124</t>
        </is>
      </c>
      <c r="F1252" s="2" t="b">
        <v>1</v>
      </c>
      <c r="G1252" s="2" t="n">
        <v>11</v>
      </c>
      <c r="H1252" s="2" t="n">
        <v>1816</v>
      </c>
      <c r="I1252" s="2" t="n">
        <v>1816</v>
      </c>
      <c r="J1252" s="2" t="n">
        <v>1443</v>
      </c>
      <c r="K1252" s="2">
        <f>H1252+5&gt;D1252</f>
        <v/>
      </c>
      <c r="L1252" s="2">
        <f>J1252&lt;I1252</f>
        <v/>
      </c>
      <c r="M1252" s="2" t="b">
        <v>1</v>
      </c>
      <c r="N1252" s="2" t="b">
        <v>0</v>
      </c>
      <c r="O1252" s="2" t="inlineStr">
        <is>
          <t>unknown</t>
        </is>
      </c>
      <c r="P1252" s="2">
        <f>O1252&lt;&gt;"unknown"</f>
        <v/>
      </c>
    </row>
    <row r="1253">
      <c r="A1253" s="2" t="inlineStr">
        <is>
          <t>1500-on</t>
        </is>
      </c>
      <c r="B1253" s="2" t="n">
        <v>1500</v>
      </c>
      <c r="C1253" s="2" t="inlineStr">
        <is>
          <t>on</t>
        </is>
      </c>
      <c r="D1253" s="2" t="n">
        <v>1448</v>
      </c>
      <c r="E1253" s="2" t="inlineStr">
        <is>
          <t>browser chrome124</t>
        </is>
      </c>
      <c r="F1253" s="2" t="b">
        <v>1</v>
      </c>
      <c r="G1253" s="2" t="n">
        <v>12</v>
      </c>
      <c r="H1253" s="2" t="n">
        <v>1752</v>
      </c>
      <c r="I1253" s="2" t="n">
        <v>1752</v>
      </c>
      <c r="J1253" s="2" t="n">
        <v>1443</v>
      </c>
      <c r="K1253" s="2">
        <f>H1253+5&gt;D1253</f>
        <v/>
      </c>
      <c r="L1253" s="2">
        <f>J1253&lt;I1253</f>
        <v/>
      </c>
      <c r="M1253" s="2" t="b">
        <v>1</v>
      </c>
      <c r="N1253" s="2" t="b">
        <v>0</v>
      </c>
      <c r="O1253" s="2" t="inlineStr">
        <is>
          <t>unknown</t>
        </is>
      </c>
      <c r="P1253" s="2">
        <f>O1253&lt;&gt;"unknown"</f>
        <v/>
      </c>
    </row>
    <row r="1254">
      <c r="A1254" s="2" t="inlineStr">
        <is>
          <t>1500-on</t>
        </is>
      </c>
      <c r="B1254" s="2" t="n">
        <v>1500</v>
      </c>
      <c r="C1254" s="2" t="inlineStr">
        <is>
          <t>on</t>
        </is>
      </c>
      <c r="D1254" s="2" t="n">
        <v>1448</v>
      </c>
      <c r="E1254" s="2" t="inlineStr">
        <is>
          <t>browser chrome124</t>
        </is>
      </c>
      <c r="F1254" s="2" t="b">
        <v>1</v>
      </c>
      <c r="G1254" s="2" t="n">
        <v>13</v>
      </c>
      <c r="H1254" s="2" t="n">
        <v>1752</v>
      </c>
      <c r="I1254" s="2" t="n">
        <v>1752</v>
      </c>
      <c r="J1254" s="2" t="n">
        <v>1443</v>
      </c>
      <c r="K1254" s="2">
        <f>H1254+5&gt;D1254</f>
        <v/>
      </c>
      <c r="L1254" s="2">
        <f>J1254&lt;I1254</f>
        <v/>
      </c>
      <c r="M1254" s="2" t="b">
        <v>1</v>
      </c>
      <c r="N1254" s="2" t="b">
        <v>0</v>
      </c>
      <c r="O1254" s="2" t="inlineStr">
        <is>
          <t>unknown</t>
        </is>
      </c>
      <c r="P1254" s="2">
        <f>O1254&lt;&gt;"unknown"</f>
        <v/>
      </c>
    </row>
    <row r="1255">
      <c r="A1255" s="2" t="inlineStr">
        <is>
          <t>1500-on</t>
        </is>
      </c>
      <c r="B1255" s="2" t="n">
        <v>1500</v>
      </c>
      <c r="C1255" s="2" t="inlineStr">
        <is>
          <t>on</t>
        </is>
      </c>
      <c r="D1255" s="2" t="n">
        <v>1448</v>
      </c>
      <c r="E1255" s="2" t="inlineStr">
        <is>
          <t>browser chrome124</t>
        </is>
      </c>
      <c r="F1255" s="2" t="b">
        <v>1</v>
      </c>
      <c r="G1255" s="2" t="n">
        <v>14</v>
      </c>
      <c r="H1255" s="2" t="n">
        <v>1752</v>
      </c>
      <c r="I1255" s="2" t="n">
        <v>1752</v>
      </c>
      <c r="J1255" s="2" t="n">
        <v>1443</v>
      </c>
      <c r="K1255" s="2">
        <f>H1255+5&gt;D1255</f>
        <v/>
      </c>
      <c r="L1255" s="2">
        <f>J1255&lt;I1255</f>
        <v/>
      </c>
      <c r="M1255" s="2" t="b">
        <v>1</v>
      </c>
      <c r="N1255" s="2" t="b">
        <v>0</v>
      </c>
      <c r="O1255" s="2" t="inlineStr">
        <is>
          <t>unknown</t>
        </is>
      </c>
      <c r="P1255" s="2">
        <f>O1255&lt;&gt;"unknown"</f>
        <v/>
      </c>
    </row>
    <row r="1256">
      <c r="A1256" s="2" t="inlineStr">
        <is>
          <t>1500-on</t>
        </is>
      </c>
      <c r="B1256" s="2" t="n">
        <v>1500</v>
      </c>
      <c r="C1256" s="2" t="inlineStr">
        <is>
          <t>on</t>
        </is>
      </c>
      <c r="D1256" s="2" t="n">
        <v>1448</v>
      </c>
      <c r="E1256" s="2" t="inlineStr">
        <is>
          <t>browser chrome124</t>
        </is>
      </c>
      <c r="F1256" s="2" t="b">
        <v>1</v>
      </c>
      <c r="G1256" s="2" t="n">
        <v>15</v>
      </c>
      <c r="H1256" s="2" t="n">
        <v>1752</v>
      </c>
      <c r="I1256" s="2" t="n">
        <v>1752</v>
      </c>
      <c r="J1256" s="2" t="n">
        <v>1443</v>
      </c>
      <c r="K1256" s="2">
        <f>H1256+5&gt;D1256</f>
        <v/>
      </c>
      <c r="L1256" s="2">
        <f>J1256&lt;I1256</f>
        <v/>
      </c>
      <c r="M1256" s="2" t="b">
        <v>1</v>
      </c>
      <c r="N1256" s="2" t="b">
        <v>0</v>
      </c>
      <c r="O1256" s="2" t="inlineStr">
        <is>
          <t>unknown</t>
        </is>
      </c>
      <c r="P1256" s="2">
        <f>O1256&lt;&gt;"unknown"</f>
        <v/>
      </c>
    </row>
    <row r="1257">
      <c r="A1257" s="2" t="inlineStr">
        <is>
          <t>1500-on</t>
        </is>
      </c>
      <c r="B1257" s="2" t="n">
        <v>1500</v>
      </c>
      <c r="C1257" s="2" t="inlineStr">
        <is>
          <t>on</t>
        </is>
      </c>
      <c r="D1257" s="2" t="n">
        <v>1448</v>
      </c>
      <c r="E1257" s="2" t="inlineStr">
        <is>
          <t>browser chrome124</t>
        </is>
      </c>
      <c r="F1257" s="2" t="b">
        <v>1</v>
      </c>
      <c r="G1257" s="2" t="n">
        <v>16</v>
      </c>
      <c r="H1257" s="2" t="n">
        <v>1784</v>
      </c>
      <c r="I1257" s="2" t="n">
        <v>1784</v>
      </c>
      <c r="J1257" s="2" t="n">
        <v>1443</v>
      </c>
      <c r="K1257" s="2">
        <f>H1257+5&gt;D1257</f>
        <v/>
      </c>
      <c r="L1257" s="2">
        <f>J1257&lt;I1257</f>
        <v/>
      </c>
      <c r="M1257" s="2" t="b">
        <v>1</v>
      </c>
      <c r="N1257" s="2" t="b">
        <v>1</v>
      </c>
      <c r="O1257" s="2" t="inlineStr">
        <is>
          <t>allow</t>
        </is>
      </c>
      <c r="P1257" s="2">
        <f>O1257&lt;&gt;"unknown"</f>
        <v/>
      </c>
    </row>
    <row r="1258">
      <c r="A1258" s="2" t="inlineStr">
        <is>
          <t>1500-on</t>
        </is>
      </c>
      <c r="B1258" s="2" t="n">
        <v>1500</v>
      </c>
      <c r="C1258" s="2" t="inlineStr">
        <is>
          <t>on</t>
        </is>
      </c>
      <c r="D1258" s="2" t="n">
        <v>1448</v>
      </c>
      <c r="E1258" s="2" t="inlineStr">
        <is>
          <t>browser chrome124</t>
        </is>
      </c>
      <c r="F1258" s="2" t="b">
        <v>1</v>
      </c>
      <c r="G1258" s="2" t="n">
        <v>17</v>
      </c>
      <c r="H1258" s="2" t="n">
        <v>1720</v>
      </c>
      <c r="I1258" s="2" t="n">
        <v>1720</v>
      </c>
      <c r="J1258" s="2" t="n">
        <v>1443</v>
      </c>
      <c r="K1258" s="2">
        <f>H1258+5&gt;D1258</f>
        <v/>
      </c>
      <c r="L1258" s="2">
        <f>J1258&lt;I1258</f>
        <v/>
      </c>
      <c r="M1258" s="2" t="b">
        <v>1</v>
      </c>
      <c r="N1258" s="2" t="b">
        <v>0</v>
      </c>
      <c r="O1258" s="2" t="inlineStr">
        <is>
          <t>unknown</t>
        </is>
      </c>
      <c r="P1258" s="2">
        <f>O1258&lt;&gt;"unknown"</f>
        <v/>
      </c>
    </row>
    <row r="1259">
      <c r="A1259" s="2" t="inlineStr">
        <is>
          <t>1500-on</t>
        </is>
      </c>
      <c r="B1259" s="2" t="n">
        <v>1500</v>
      </c>
      <c r="C1259" s="2" t="inlineStr">
        <is>
          <t>on</t>
        </is>
      </c>
      <c r="D1259" s="2" t="n">
        <v>1448</v>
      </c>
      <c r="E1259" s="2" t="inlineStr">
        <is>
          <t>browser chrome124</t>
        </is>
      </c>
      <c r="F1259" s="2" t="b">
        <v>1</v>
      </c>
      <c r="G1259" s="2" t="n">
        <v>18</v>
      </c>
      <c r="H1259" s="2" t="n">
        <v>1784</v>
      </c>
      <c r="I1259" s="2" t="n">
        <v>1784</v>
      </c>
      <c r="J1259" s="2" t="n">
        <v>1443</v>
      </c>
      <c r="K1259" s="2">
        <f>H1259+5&gt;D1259</f>
        <v/>
      </c>
      <c r="L1259" s="2">
        <f>J1259&lt;I1259</f>
        <v/>
      </c>
      <c r="M1259" s="2" t="b">
        <v>1</v>
      </c>
      <c r="N1259" s="2" t="b">
        <v>1</v>
      </c>
      <c r="O1259" s="2" t="inlineStr">
        <is>
          <t>allow</t>
        </is>
      </c>
      <c r="P1259" s="2">
        <f>O1259&lt;&gt;"unknown"</f>
        <v/>
      </c>
    </row>
    <row r="1260">
      <c r="A1260" s="2" t="inlineStr">
        <is>
          <t>1500-on</t>
        </is>
      </c>
      <c r="B1260" s="2" t="n">
        <v>1500</v>
      </c>
      <c r="C1260" s="2" t="inlineStr">
        <is>
          <t>on</t>
        </is>
      </c>
      <c r="D1260" s="2" t="n">
        <v>1448</v>
      </c>
      <c r="E1260" s="2" t="inlineStr">
        <is>
          <t>browser chrome124</t>
        </is>
      </c>
      <c r="F1260" s="2" t="b">
        <v>1</v>
      </c>
      <c r="G1260" s="2" t="n">
        <v>19</v>
      </c>
      <c r="H1260" s="2" t="n">
        <v>1816</v>
      </c>
      <c r="I1260" s="2" t="n">
        <v>1816</v>
      </c>
      <c r="J1260" s="2" t="n">
        <v>1443</v>
      </c>
      <c r="K1260" s="2">
        <f>H1260+5&gt;D1260</f>
        <v/>
      </c>
      <c r="L1260" s="2">
        <f>J1260&lt;I1260</f>
        <v/>
      </c>
      <c r="M1260" s="2" t="b">
        <v>1</v>
      </c>
      <c r="N1260" s="2" t="b">
        <v>0</v>
      </c>
      <c r="O1260" s="2" t="inlineStr">
        <is>
          <t>unknown</t>
        </is>
      </c>
      <c r="P1260" s="2">
        <f>O1260&lt;&gt;"unknown"</f>
        <v/>
      </c>
    </row>
    <row r="1261">
      <c r="A1261" s="2" t="inlineStr">
        <is>
          <t>1500-on</t>
        </is>
      </c>
      <c r="B1261" s="2" t="n">
        <v>1500</v>
      </c>
      <c r="C1261" s="2" t="inlineStr">
        <is>
          <t>on</t>
        </is>
      </c>
      <c r="D1261" s="2" t="n">
        <v>1448</v>
      </c>
      <c r="E1261" s="2" t="inlineStr">
        <is>
          <t>browser chrome124</t>
        </is>
      </c>
      <c r="F1261" s="2" t="b">
        <v>1</v>
      </c>
      <c r="G1261" s="2" t="n">
        <v>20</v>
      </c>
      <c r="H1261" s="2" t="n">
        <v>1752</v>
      </c>
      <c r="I1261" s="2" t="n">
        <v>1752</v>
      </c>
      <c r="J1261" s="2" t="n">
        <v>1443</v>
      </c>
      <c r="K1261" s="2">
        <f>H1261+5&gt;D1261</f>
        <v/>
      </c>
      <c r="L1261" s="2">
        <f>J1261&lt;I1261</f>
        <v/>
      </c>
      <c r="M1261" s="2" t="b">
        <v>1</v>
      </c>
      <c r="N1261" s="2" t="b">
        <v>0</v>
      </c>
      <c r="O1261" s="2" t="inlineStr">
        <is>
          <t>unknown</t>
        </is>
      </c>
      <c r="P1261" s="2">
        <f>O1261&lt;&gt;"unknown"</f>
        <v/>
      </c>
    </row>
    <row r="1262">
      <c r="A1262" s="2" t="inlineStr">
        <is>
          <t>1500-on</t>
        </is>
      </c>
      <c r="B1262" s="2" t="n">
        <v>1500</v>
      </c>
      <c r="C1262" s="2" t="inlineStr">
        <is>
          <t>on</t>
        </is>
      </c>
      <c r="D1262" s="2" t="n">
        <v>1448</v>
      </c>
      <c r="E1262" s="2" t="inlineStr">
        <is>
          <t>browser chrome131</t>
        </is>
      </c>
      <c r="F1262" s="2" t="b">
        <v>1</v>
      </c>
      <c r="G1262" s="2" t="n">
        <v>1</v>
      </c>
      <c r="H1262" s="2" t="n">
        <v>1784</v>
      </c>
      <c r="I1262" s="2" t="n">
        <v>1784</v>
      </c>
      <c r="J1262" s="2" t="n">
        <v>1443</v>
      </c>
      <c r="K1262" s="2">
        <f>H1262+5&gt;D1262</f>
        <v/>
      </c>
      <c r="L1262" s="2">
        <f>J1262&lt;I1262</f>
        <v/>
      </c>
      <c r="M1262" s="2" t="b">
        <v>1</v>
      </c>
      <c r="N1262" s="2" t="b">
        <v>1</v>
      </c>
      <c r="O1262" s="2" t="inlineStr">
        <is>
          <t>allow</t>
        </is>
      </c>
      <c r="P1262" s="2">
        <f>O1262&lt;&gt;"unknown"</f>
        <v/>
      </c>
    </row>
    <row r="1263">
      <c r="A1263" s="2" t="inlineStr">
        <is>
          <t>1500-on</t>
        </is>
      </c>
      <c r="B1263" s="2" t="n">
        <v>1500</v>
      </c>
      <c r="C1263" s="2" t="inlineStr">
        <is>
          <t>on</t>
        </is>
      </c>
      <c r="D1263" s="2" t="n">
        <v>1448</v>
      </c>
      <c r="E1263" s="2" t="inlineStr">
        <is>
          <t>browser chrome131</t>
        </is>
      </c>
      <c r="F1263" s="2" t="b">
        <v>1</v>
      </c>
      <c r="G1263" s="2" t="n">
        <v>2</v>
      </c>
      <c r="H1263" s="2" t="n">
        <v>1720</v>
      </c>
      <c r="I1263" s="2" t="n">
        <v>1720</v>
      </c>
      <c r="J1263" s="2" t="n">
        <v>1443</v>
      </c>
      <c r="K1263" s="2">
        <f>H1263+5&gt;D1263</f>
        <v/>
      </c>
      <c r="L1263" s="2">
        <f>J1263&lt;I1263</f>
        <v/>
      </c>
      <c r="M1263" s="2" t="b">
        <v>1</v>
      </c>
      <c r="N1263" s="2" t="b">
        <v>0</v>
      </c>
      <c r="O1263" s="2" t="inlineStr">
        <is>
          <t>unknown</t>
        </is>
      </c>
      <c r="P1263" s="2">
        <f>O1263&lt;&gt;"unknown"</f>
        <v/>
      </c>
    </row>
    <row r="1264">
      <c r="A1264" s="2" t="inlineStr">
        <is>
          <t>1500-on</t>
        </is>
      </c>
      <c r="B1264" s="2" t="n">
        <v>1500</v>
      </c>
      <c r="C1264" s="2" t="inlineStr">
        <is>
          <t>on</t>
        </is>
      </c>
      <c r="D1264" s="2" t="n">
        <v>1448</v>
      </c>
      <c r="E1264" s="2" t="inlineStr">
        <is>
          <t>browser chrome131</t>
        </is>
      </c>
      <c r="F1264" s="2" t="b">
        <v>1</v>
      </c>
      <c r="G1264" s="2" t="n">
        <v>3</v>
      </c>
      <c r="H1264" s="2" t="n">
        <v>1816</v>
      </c>
      <c r="I1264" s="2" t="n">
        <v>1816</v>
      </c>
      <c r="J1264" s="2" t="n">
        <v>1443</v>
      </c>
      <c r="K1264" s="2">
        <f>H1264+5&gt;D1264</f>
        <v/>
      </c>
      <c r="L1264" s="2">
        <f>J1264&lt;I1264</f>
        <v/>
      </c>
      <c r="M1264" s="2" t="b">
        <v>1</v>
      </c>
      <c r="N1264" s="2" t="b">
        <v>1</v>
      </c>
      <c r="O1264" s="2" t="inlineStr">
        <is>
          <t>allow</t>
        </is>
      </c>
      <c r="P1264" s="2">
        <f>O1264&lt;&gt;"unknown"</f>
        <v/>
      </c>
    </row>
    <row r="1265">
      <c r="A1265" s="2" t="inlineStr">
        <is>
          <t>1500-on</t>
        </is>
      </c>
      <c r="B1265" s="2" t="n">
        <v>1500</v>
      </c>
      <c r="C1265" s="2" t="inlineStr">
        <is>
          <t>on</t>
        </is>
      </c>
      <c r="D1265" s="2" t="n">
        <v>1448</v>
      </c>
      <c r="E1265" s="2" t="inlineStr">
        <is>
          <t>browser chrome131</t>
        </is>
      </c>
      <c r="F1265" s="2" t="b">
        <v>1</v>
      </c>
      <c r="G1265" s="2" t="n">
        <v>4</v>
      </c>
      <c r="H1265" s="2" t="n">
        <v>1816</v>
      </c>
      <c r="I1265" s="2" t="n">
        <v>1816</v>
      </c>
      <c r="J1265" s="2" t="n">
        <v>1443</v>
      </c>
      <c r="K1265" s="2">
        <f>H1265+5&gt;D1265</f>
        <v/>
      </c>
      <c r="L1265" s="2">
        <f>J1265&lt;I1265</f>
        <v/>
      </c>
      <c r="M1265" s="2" t="b">
        <v>1</v>
      </c>
      <c r="N1265" s="2" t="b">
        <v>0</v>
      </c>
      <c r="O1265" s="2" t="inlineStr">
        <is>
          <t>unknown</t>
        </is>
      </c>
      <c r="P1265" s="2">
        <f>O1265&lt;&gt;"unknown"</f>
        <v/>
      </c>
    </row>
    <row r="1266">
      <c r="A1266" s="2" t="inlineStr">
        <is>
          <t>1500-on</t>
        </is>
      </c>
      <c r="B1266" s="2" t="n">
        <v>1500</v>
      </c>
      <c r="C1266" s="2" t="inlineStr">
        <is>
          <t>on</t>
        </is>
      </c>
      <c r="D1266" s="2" t="n">
        <v>1448</v>
      </c>
      <c r="E1266" s="2" t="inlineStr">
        <is>
          <t>browser chrome131</t>
        </is>
      </c>
      <c r="F1266" s="2" t="b">
        <v>1</v>
      </c>
      <c r="G1266" s="2" t="n">
        <v>5</v>
      </c>
      <c r="H1266" s="2" t="n">
        <v>1816</v>
      </c>
      <c r="I1266" s="2" t="n">
        <v>1816</v>
      </c>
      <c r="J1266" s="2" t="n">
        <v>1443</v>
      </c>
      <c r="K1266" s="2">
        <f>H1266+5&gt;D1266</f>
        <v/>
      </c>
      <c r="L1266" s="2">
        <f>J1266&lt;I1266</f>
        <v/>
      </c>
      <c r="M1266" s="2" t="b">
        <v>1</v>
      </c>
      <c r="N1266" s="2" t="b">
        <v>0</v>
      </c>
      <c r="O1266" s="2" t="inlineStr">
        <is>
          <t>unknown</t>
        </is>
      </c>
      <c r="P1266" s="2">
        <f>O1266&lt;&gt;"unknown"</f>
        <v/>
      </c>
    </row>
    <row r="1267">
      <c r="A1267" s="2" t="inlineStr">
        <is>
          <t>1500-on</t>
        </is>
      </c>
      <c r="B1267" s="2" t="n">
        <v>1500</v>
      </c>
      <c r="C1267" s="2" t="inlineStr">
        <is>
          <t>on</t>
        </is>
      </c>
      <c r="D1267" s="2" t="n">
        <v>1448</v>
      </c>
      <c r="E1267" s="2" t="inlineStr">
        <is>
          <t>browser chrome131</t>
        </is>
      </c>
      <c r="F1267" s="2" t="b">
        <v>1</v>
      </c>
      <c r="G1267" s="2" t="n">
        <v>6</v>
      </c>
      <c r="H1267" s="2" t="n">
        <v>1784</v>
      </c>
      <c r="I1267" s="2" t="n">
        <v>1784</v>
      </c>
      <c r="J1267" s="2" t="n">
        <v>1443</v>
      </c>
      <c r="K1267" s="2">
        <f>H1267+5&gt;D1267</f>
        <v/>
      </c>
      <c r="L1267" s="2">
        <f>J1267&lt;I1267</f>
        <v/>
      </c>
      <c r="M1267" s="2" t="b">
        <v>1</v>
      </c>
      <c r="N1267" s="2" t="b">
        <v>0</v>
      </c>
      <c r="O1267" s="2" t="inlineStr">
        <is>
          <t>unknown</t>
        </is>
      </c>
      <c r="P1267" s="2">
        <f>O1267&lt;&gt;"unknown"</f>
        <v/>
      </c>
    </row>
    <row r="1268">
      <c r="A1268" s="2" t="inlineStr">
        <is>
          <t>1500-on</t>
        </is>
      </c>
      <c r="B1268" s="2" t="n">
        <v>1500</v>
      </c>
      <c r="C1268" s="2" t="inlineStr">
        <is>
          <t>on</t>
        </is>
      </c>
      <c r="D1268" s="2" t="n">
        <v>1448</v>
      </c>
      <c r="E1268" s="2" t="inlineStr">
        <is>
          <t>browser chrome131</t>
        </is>
      </c>
      <c r="F1268" s="2" t="b">
        <v>1</v>
      </c>
      <c r="G1268" s="2" t="n">
        <v>7</v>
      </c>
      <c r="H1268" s="2" t="n">
        <v>1816</v>
      </c>
      <c r="I1268" s="2" t="n">
        <v>1816</v>
      </c>
      <c r="J1268" s="2" t="n">
        <v>1443</v>
      </c>
      <c r="K1268" s="2">
        <f>H1268+5&gt;D1268</f>
        <v/>
      </c>
      <c r="L1268" s="2">
        <f>J1268&lt;I1268</f>
        <v/>
      </c>
      <c r="M1268" s="2" t="b">
        <v>1</v>
      </c>
      <c r="N1268" s="2" t="b">
        <v>0</v>
      </c>
      <c r="O1268" s="2" t="inlineStr">
        <is>
          <t>unknown</t>
        </is>
      </c>
      <c r="P1268" s="2">
        <f>O1268&lt;&gt;"unknown"</f>
        <v/>
      </c>
    </row>
    <row r="1269">
      <c r="A1269" s="2" t="inlineStr">
        <is>
          <t>1500-on</t>
        </is>
      </c>
      <c r="B1269" s="2" t="n">
        <v>1500</v>
      </c>
      <c r="C1269" s="2" t="inlineStr">
        <is>
          <t>on</t>
        </is>
      </c>
      <c r="D1269" s="2" t="n">
        <v>1448</v>
      </c>
      <c r="E1269" s="2" t="inlineStr">
        <is>
          <t>browser chrome131</t>
        </is>
      </c>
      <c r="F1269" s="2" t="b">
        <v>1</v>
      </c>
      <c r="G1269" s="2" t="n">
        <v>8</v>
      </c>
      <c r="H1269" s="2" t="n">
        <v>1752</v>
      </c>
      <c r="I1269" s="2" t="n">
        <v>1752</v>
      </c>
      <c r="J1269" s="2" t="n">
        <v>1443</v>
      </c>
      <c r="K1269" s="2">
        <f>H1269+5&gt;D1269</f>
        <v/>
      </c>
      <c r="L1269" s="2">
        <f>J1269&lt;I1269</f>
        <v/>
      </c>
      <c r="M1269" s="2" t="b">
        <v>1</v>
      </c>
      <c r="N1269" s="2" t="b">
        <v>0</v>
      </c>
      <c r="O1269" s="2" t="inlineStr">
        <is>
          <t>unknown</t>
        </is>
      </c>
      <c r="P1269" s="2">
        <f>O1269&lt;&gt;"unknown"</f>
        <v/>
      </c>
    </row>
    <row r="1270">
      <c r="A1270" s="2" t="inlineStr">
        <is>
          <t>1500-on</t>
        </is>
      </c>
      <c r="B1270" s="2" t="n">
        <v>1500</v>
      </c>
      <c r="C1270" s="2" t="inlineStr">
        <is>
          <t>on</t>
        </is>
      </c>
      <c r="D1270" s="2" t="n">
        <v>1448</v>
      </c>
      <c r="E1270" s="2" t="inlineStr">
        <is>
          <t>browser chrome131</t>
        </is>
      </c>
      <c r="F1270" s="2" t="b">
        <v>1</v>
      </c>
      <c r="G1270" s="2" t="n">
        <v>9</v>
      </c>
      <c r="H1270" s="2" t="n">
        <v>1784</v>
      </c>
      <c r="I1270" s="2" t="n">
        <v>1784</v>
      </c>
      <c r="J1270" s="2" t="n">
        <v>1443</v>
      </c>
      <c r="K1270" s="2">
        <f>H1270+5&gt;D1270</f>
        <v/>
      </c>
      <c r="L1270" s="2">
        <f>J1270&lt;I1270</f>
        <v/>
      </c>
      <c r="M1270" s="2" t="b">
        <v>1</v>
      </c>
      <c r="N1270" s="2" t="b">
        <v>0</v>
      </c>
      <c r="O1270" s="2" t="inlineStr">
        <is>
          <t>unknown</t>
        </is>
      </c>
      <c r="P1270" s="2">
        <f>O1270&lt;&gt;"unknown"</f>
        <v/>
      </c>
    </row>
    <row r="1271">
      <c r="A1271" s="2" t="inlineStr">
        <is>
          <t>1500-on</t>
        </is>
      </c>
      <c r="B1271" s="2" t="n">
        <v>1500</v>
      </c>
      <c r="C1271" s="2" t="inlineStr">
        <is>
          <t>on</t>
        </is>
      </c>
      <c r="D1271" s="2" t="n">
        <v>1448</v>
      </c>
      <c r="E1271" s="2" t="inlineStr">
        <is>
          <t>browser chrome131</t>
        </is>
      </c>
      <c r="F1271" s="2" t="b">
        <v>1</v>
      </c>
      <c r="G1271" s="2" t="n">
        <v>10</v>
      </c>
      <c r="H1271" s="2" t="n">
        <v>1752</v>
      </c>
      <c r="I1271" s="2" t="n">
        <v>1752</v>
      </c>
      <c r="J1271" s="2" t="n">
        <v>1443</v>
      </c>
      <c r="K1271" s="2">
        <f>H1271+5&gt;D1271</f>
        <v/>
      </c>
      <c r="L1271" s="2">
        <f>J1271&lt;I1271</f>
        <v/>
      </c>
      <c r="M1271" s="2" t="b">
        <v>1</v>
      </c>
      <c r="N1271" s="2" t="b">
        <v>1</v>
      </c>
      <c r="O1271" s="2" t="inlineStr">
        <is>
          <t>allow</t>
        </is>
      </c>
      <c r="P1271" s="2">
        <f>O1271&lt;&gt;"unknown"</f>
        <v/>
      </c>
    </row>
    <row r="1272">
      <c r="A1272" s="2" t="inlineStr">
        <is>
          <t>1500-on</t>
        </is>
      </c>
      <c r="B1272" s="2" t="n">
        <v>1500</v>
      </c>
      <c r="C1272" s="2" t="inlineStr">
        <is>
          <t>on</t>
        </is>
      </c>
      <c r="D1272" s="2" t="n">
        <v>1448</v>
      </c>
      <c r="E1272" s="2" t="inlineStr">
        <is>
          <t>browser chrome131</t>
        </is>
      </c>
      <c r="F1272" s="2" t="b">
        <v>1</v>
      </c>
      <c r="G1272" s="2" t="n">
        <v>11</v>
      </c>
      <c r="H1272" s="2" t="n">
        <v>1816</v>
      </c>
      <c r="I1272" s="2" t="n">
        <v>1816</v>
      </c>
      <c r="J1272" s="2" t="n">
        <v>1443</v>
      </c>
      <c r="K1272" s="2">
        <f>H1272+5&gt;D1272</f>
        <v/>
      </c>
      <c r="L1272" s="2">
        <f>J1272&lt;I1272</f>
        <v/>
      </c>
      <c r="M1272" s="2" t="b">
        <v>1</v>
      </c>
      <c r="N1272" s="2" t="b">
        <v>1</v>
      </c>
      <c r="O1272" s="2" t="inlineStr">
        <is>
          <t>allow</t>
        </is>
      </c>
      <c r="P1272" s="2">
        <f>O1272&lt;&gt;"unknown"</f>
        <v/>
      </c>
    </row>
    <row r="1273">
      <c r="A1273" s="2" t="inlineStr">
        <is>
          <t>1500-on</t>
        </is>
      </c>
      <c r="B1273" s="2" t="n">
        <v>1500</v>
      </c>
      <c r="C1273" s="2" t="inlineStr">
        <is>
          <t>on</t>
        </is>
      </c>
      <c r="D1273" s="2" t="n">
        <v>1448</v>
      </c>
      <c r="E1273" s="2" t="inlineStr">
        <is>
          <t>browser chrome131</t>
        </is>
      </c>
      <c r="F1273" s="2" t="b">
        <v>1</v>
      </c>
      <c r="G1273" s="2" t="n">
        <v>12</v>
      </c>
      <c r="H1273" s="2" t="n">
        <v>1816</v>
      </c>
      <c r="I1273" s="2" t="n">
        <v>1816</v>
      </c>
      <c r="J1273" s="2" t="n">
        <v>1443</v>
      </c>
      <c r="K1273" s="2">
        <f>H1273+5&gt;D1273</f>
        <v/>
      </c>
      <c r="L1273" s="2">
        <f>J1273&lt;I1273</f>
        <v/>
      </c>
      <c r="M1273" s="2" t="b">
        <v>1</v>
      </c>
      <c r="N1273" s="2" t="b">
        <v>1</v>
      </c>
      <c r="O1273" s="2" t="inlineStr">
        <is>
          <t>allow</t>
        </is>
      </c>
      <c r="P1273" s="2">
        <f>O1273&lt;&gt;"unknown"</f>
        <v/>
      </c>
    </row>
    <row r="1274">
      <c r="A1274" s="2" t="inlineStr">
        <is>
          <t>1500-on</t>
        </is>
      </c>
      <c r="B1274" s="2" t="n">
        <v>1500</v>
      </c>
      <c r="C1274" s="2" t="inlineStr">
        <is>
          <t>on</t>
        </is>
      </c>
      <c r="D1274" s="2" t="n">
        <v>1448</v>
      </c>
      <c r="E1274" s="2" t="inlineStr">
        <is>
          <t>browser chrome131</t>
        </is>
      </c>
      <c r="F1274" s="2" t="b">
        <v>1</v>
      </c>
      <c r="G1274" s="2" t="n">
        <v>13</v>
      </c>
      <c r="H1274" s="2" t="n">
        <v>1720</v>
      </c>
      <c r="I1274" s="2" t="n">
        <v>1720</v>
      </c>
      <c r="J1274" s="2" t="n">
        <v>1443</v>
      </c>
      <c r="K1274" s="2">
        <f>H1274+5&gt;D1274</f>
        <v/>
      </c>
      <c r="L1274" s="2">
        <f>J1274&lt;I1274</f>
        <v/>
      </c>
      <c r="M1274" s="2" t="b">
        <v>1</v>
      </c>
      <c r="N1274" s="2" t="b">
        <v>0</v>
      </c>
      <c r="O1274" s="2" t="inlineStr">
        <is>
          <t>unknown</t>
        </is>
      </c>
      <c r="P1274" s="2">
        <f>O1274&lt;&gt;"unknown"</f>
        <v/>
      </c>
    </row>
    <row r="1275">
      <c r="A1275" s="2" t="inlineStr">
        <is>
          <t>1500-on</t>
        </is>
      </c>
      <c r="B1275" s="2" t="n">
        <v>1500</v>
      </c>
      <c r="C1275" s="2" t="inlineStr">
        <is>
          <t>on</t>
        </is>
      </c>
      <c r="D1275" s="2" t="n">
        <v>1448</v>
      </c>
      <c r="E1275" s="2" t="inlineStr">
        <is>
          <t>browser chrome131</t>
        </is>
      </c>
      <c r="F1275" s="2" t="b">
        <v>1</v>
      </c>
      <c r="G1275" s="2" t="n">
        <v>14</v>
      </c>
      <c r="H1275" s="2" t="n">
        <v>1816</v>
      </c>
      <c r="I1275" s="2" t="n">
        <v>1816</v>
      </c>
      <c r="J1275" s="2" t="n">
        <v>1443</v>
      </c>
      <c r="K1275" s="2">
        <f>H1275+5&gt;D1275</f>
        <v/>
      </c>
      <c r="L1275" s="2">
        <f>J1275&lt;I1275</f>
        <v/>
      </c>
      <c r="M1275" s="2" t="b">
        <v>1</v>
      </c>
      <c r="N1275" s="2" t="b">
        <v>1</v>
      </c>
      <c r="O1275" s="2" t="inlineStr">
        <is>
          <t>allow</t>
        </is>
      </c>
      <c r="P1275" s="2">
        <f>O1275&lt;&gt;"unknown"</f>
        <v/>
      </c>
    </row>
    <row r="1276">
      <c r="A1276" s="2" t="inlineStr">
        <is>
          <t>1500-on</t>
        </is>
      </c>
      <c r="B1276" s="2" t="n">
        <v>1500</v>
      </c>
      <c r="C1276" s="2" t="inlineStr">
        <is>
          <t>on</t>
        </is>
      </c>
      <c r="D1276" s="2" t="n">
        <v>1448</v>
      </c>
      <c r="E1276" s="2" t="inlineStr">
        <is>
          <t>browser chrome131</t>
        </is>
      </c>
      <c r="F1276" s="2" t="b">
        <v>1</v>
      </c>
      <c r="G1276" s="2" t="n">
        <v>15</v>
      </c>
      <c r="H1276" s="2" t="n">
        <v>1752</v>
      </c>
      <c r="I1276" s="2" t="n">
        <v>1752</v>
      </c>
      <c r="J1276" s="2" t="n">
        <v>1443</v>
      </c>
      <c r="K1276" s="2">
        <f>H1276+5&gt;D1276</f>
        <v/>
      </c>
      <c r="L1276" s="2">
        <f>J1276&lt;I1276</f>
        <v/>
      </c>
      <c r="M1276" s="2" t="b">
        <v>1</v>
      </c>
      <c r="N1276" s="2" t="b">
        <v>0</v>
      </c>
      <c r="O1276" s="2" t="inlineStr">
        <is>
          <t>unknown</t>
        </is>
      </c>
      <c r="P1276" s="2">
        <f>O1276&lt;&gt;"unknown"</f>
        <v/>
      </c>
    </row>
    <row r="1277">
      <c r="A1277" s="2" t="inlineStr">
        <is>
          <t>1500-on</t>
        </is>
      </c>
      <c r="B1277" s="2" t="n">
        <v>1500</v>
      </c>
      <c r="C1277" s="2" t="inlineStr">
        <is>
          <t>on</t>
        </is>
      </c>
      <c r="D1277" s="2" t="n">
        <v>1448</v>
      </c>
      <c r="E1277" s="2" t="inlineStr">
        <is>
          <t>browser chrome131</t>
        </is>
      </c>
      <c r="F1277" s="2" t="b">
        <v>1</v>
      </c>
      <c r="G1277" s="2" t="n">
        <v>16</v>
      </c>
      <c r="H1277" s="2" t="n">
        <v>1816</v>
      </c>
      <c r="I1277" s="2" t="n">
        <v>1816</v>
      </c>
      <c r="J1277" s="2" t="n">
        <v>1443</v>
      </c>
      <c r="K1277" s="2">
        <f>H1277+5&gt;D1277</f>
        <v/>
      </c>
      <c r="L1277" s="2">
        <f>J1277&lt;I1277</f>
        <v/>
      </c>
      <c r="M1277" s="2" t="b">
        <v>1</v>
      </c>
      <c r="N1277" s="2" t="b">
        <v>0</v>
      </c>
      <c r="O1277" s="2" t="inlineStr">
        <is>
          <t>unknown</t>
        </is>
      </c>
      <c r="P1277" s="2">
        <f>O1277&lt;&gt;"unknown"</f>
        <v/>
      </c>
    </row>
    <row r="1278">
      <c r="A1278" s="2" t="inlineStr">
        <is>
          <t>1500-on</t>
        </is>
      </c>
      <c r="B1278" s="2" t="n">
        <v>1500</v>
      </c>
      <c r="C1278" s="2" t="inlineStr">
        <is>
          <t>on</t>
        </is>
      </c>
      <c r="D1278" s="2" t="n">
        <v>1448</v>
      </c>
      <c r="E1278" s="2" t="inlineStr">
        <is>
          <t>browser chrome131</t>
        </is>
      </c>
      <c r="F1278" s="2" t="b">
        <v>1</v>
      </c>
      <c r="G1278" s="2" t="n">
        <v>17</v>
      </c>
      <c r="H1278" s="2" t="n">
        <v>1784</v>
      </c>
      <c r="I1278" s="2" t="n">
        <v>1784</v>
      </c>
      <c r="J1278" s="2" t="n">
        <v>1443</v>
      </c>
      <c r="K1278" s="2">
        <f>H1278+5&gt;D1278</f>
        <v/>
      </c>
      <c r="L1278" s="2">
        <f>J1278&lt;I1278</f>
        <v/>
      </c>
      <c r="M1278" s="2" t="b">
        <v>1</v>
      </c>
      <c r="N1278" s="2" t="b">
        <v>1</v>
      </c>
      <c r="O1278" s="2" t="inlineStr">
        <is>
          <t>allow</t>
        </is>
      </c>
      <c r="P1278" s="2">
        <f>O1278&lt;&gt;"unknown"</f>
        <v/>
      </c>
    </row>
    <row r="1279">
      <c r="A1279" s="2" t="inlineStr">
        <is>
          <t>1500-on</t>
        </is>
      </c>
      <c r="B1279" s="2" t="n">
        <v>1500</v>
      </c>
      <c r="C1279" s="2" t="inlineStr">
        <is>
          <t>on</t>
        </is>
      </c>
      <c r="D1279" s="2" t="n">
        <v>1448</v>
      </c>
      <c r="E1279" s="2" t="inlineStr">
        <is>
          <t>browser chrome131</t>
        </is>
      </c>
      <c r="F1279" s="2" t="b">
        <v>1</v>
      </c>
      <c r="G1279" s="2" t="n">
        <v>18</v>
      </c>
      <c r="H1279" s="2" t="n">
        <v>1720</v>
      </c>
      <c r="I1279" s="2" t="n">
        <v>1720</v>
      </c>
      <c r="J1279" s="2" t="n">
        <v>1443</v>
      </c>
      <c r="K1279" s="2">
        <f>H1279+5&gt;D1279</f>
        <v/>
      </c>
      <c r="L1279" s="2">
        <f>J1279&lt;I1279</f>
        <v/>
      </c>
      <c r="M1279" s="2" t="b">
        <v>1</v>
      </c>
      <c r="N1279" s="2" t="b">
        <v>0</v>
      </c>
      <c r="O1279" s="2" t="inlineStr">
        <is>
          <t>unknown</t>
        </is>
      </c>
      <c r="P1279" s="2">
        <f>O1279&lt;&gt;"unknown"</f>
        <v/>
      </c>
    </row>
    <row r="1280">
      <c r="A1280" s="2" t="inlineStr">
        <is>
          <t>1500-on</t>
        </is>
      </c>
      <c r="B1280" s="2" t="n">
        <v>1500</v>
      </c>
      <c r="C1280" s="2" t="inlineStr">
        <is>
          <t>on</t>
        </is>
      </c>
      <c r="D1280" s="2" t="n">
        <v>1448</v>
      </c>
      <c r="E1280" s="2" t="inlineStr">
        <is>
          <t>browser chrome131</t>
        </is>
      </c>
      <c r="F1280" s="2" t="b">
        <v>1</v>
      </c>
      <c r="G1280" s="2" t="n">
        <v>19</v>
      </c>
      <c r="H1280" s="2" t="n">
        <v>1816</v>
      </c>
      <c r="I1280" s="2" t="n">
        <v>1816</v>
      </c>
      <c r="J1280" s="2" t="n">
        <v>1443</v>
      </c>
      <c r="K1280" s="2">
        <f>H1280+5&gt;D1280</f>
        <v/>
      </c>
      <c r="L1280" s="2">
        <f>J1280&lt;I1280</f>
        <v/>
      </c>
      <c r="M1280" s="2" t="b">
        <v>1</v>
      </c>
      <c r="N1280" s="2" t="b">
        <v>0</v>
      </c>
      <c r="O1280" s="2" t="inlineStr">
        <is>
          <t>unknown</t>
        </is>
      </c>
      <c r="P1280" s="2">
        <f>O1280&lt;&gt;"unknown"</f>
        <v/>
      </c>
    </row>
    <row r="1281">
      <c r="A1281" s="2" t="inlineStr">
        <is>
          <t>1500-on</t>
        </is>
      </c>
      <c r="B1281" s="2" t="n">
        <v>1500</v>
      </c>
      <c r="C1281" s="2" t="inlineStr">
        <is>
          <t>on</t>
        </is>
      </c>
      <c r="D1281" s="2" t="n">
        <v>1448</v>
      </c>
      <c r="E1281" s="2" t="inlineStr">
        <is>
          <t>browser chrome131</t>
        </is>
      </c>
      <c r="F1281" s="2" t="b">
        <v>1</v>
      </c>
      <c r="G1281" s="2" t="n">
        <v>20</v>
      </c>
      <c r="H1281" s="2" t="n">
        <v>1720</v>
      </c>
      <c r="I1281" s="2" t="n">
        <v>1720</v>
      </c>
      <c r="J1281" s="2" t="n">
        <v>1443</v>
      </c>
      <c r="K1281" s="2">
        <f>H1281+5&gt;D1281</f>
        <v/>
      </c>
      <c r="L1281" s="2">
        <f>J1281&lt;I1281</f>
        <v/>
      </c>
      <c r="M1281" s="2" t="b">
        <v>1</v>
      </c>
      <c r="N1281" s="2" t="b">
        <v>1</v>
      </c>
      <c r="O1281" s="2" t="inlineStr">
        <is>
          <t>allow</t>
        </is>
      </c>
      <c r="P1281" s="2">
        <f>O1281&lt;&gt;"unknown"</f>
        <v/>
      </c>
    </row>
    <row r="1282">
      <c r="A1282" s="2" t="inlineStr">
        <is>
          <t>1500-on</t>
        </is>
      </c>
      <c r="B1282" s="2" t="n">
        <v>1500</v>
      </c>
      <c r="C1282" s="2" t="inlineStr">
        <is>
          <t>on</t>
        </is>
      </c>
      <c r="D1282" s="2" t="n">
        <v>1448</v>
      </c>
      <c r="E1282" s="2" t="inlineStr">
        <is>
          <t>browser chrome150</t>
        </is>
      </c>
      <c r="F1282" s="2" t="b">
        <v>1</v>
      </c>
      <c r="G1282" s="2" t="n">
        <v>1</v>
      </c>
      <c r="H1282" s="2" t="n">
        <v>1726</v>
      </c>
      <c r="I1282" s="2" t="n">
        <v>1726</v>
      </c>
      <c r="J1282" s="2" t="n">
        <v>1443</v>
      </c>
      <c r="K1282" s="2">
        <f>H1282+5&gt;D1282</f>
        <v/>
      </c>
      <c r="L1282" s="2">
        <f>J1282&lt;I1282</f>
        <v/>
      </c>
      <c r="M1282" s="2" t="b">
        <v>1</v>
      </c>
      <c r="N1282" s="2" t="b">
        <v>1</v>
      </c>
      <c r="O1282" s="2" t="inlineStr">
        <is>
          <t>allow</t>
        </is>
      </c>
      <c r="P1282" s="2">
        <f>O1282&lt;&gt;"unknown"</f>
        <v/>
      </c>
    </row>
    <row r="1283">
      <c r="A1283" s="2" t="inlineStr">
        <is>
          <t>1500-on</t>
        </is>
      </c>
      <c r="B1283" s="2" t="n">
        <v>1500</v>
      </c>
      <c r="C1283" s="2" t="inlineStr">
        <is>
          <t>on</t>
        </is>
      </c>
      <c r="D1283" s="2" t="n">
        <v>1448</v>
      </c>
      <c r="E1283" s="2" t="inlineStr">
        <is>
          <t>browser chrome150</t>
        </is>
      </c>
      <c r="F1283" s="2" t="b">
        <v>1</v>
      </c>
      <c r="G1283" s="2" t="n">
        <v>2</v>
      </c>
      <c r="H1283" s="2" t="n">
        <v>1822</v>
      </c>
      <c r="I1283" s="2" t="n">
        <v>1822</v>
      </c>
      <c r="J1283" s="2" t="n">
        <v>1443</v>
      </c>
      <c r="K1283" s="2">
        <f>H1283+5&gt;D1283</f>
        <v/>
      </c>
      <c r="L1283" s="2">
        <f>J1283&lt;I1283</f>
        <v/>
      </c>
      <c r="M1283" s="2" t="b">
        <v>1</v>
      </c>
      <c r="N1283" s="2" t="b">
        <v>1</v>
      </c>
      <c r="O1283" s="2" t="inlineStr">
        <is>
          <t>allow</t>
        </is>
      </c>
      <c r="P1283" s="2">
        <f>O1283&lt;&gt;"unknown"</f>
        <v/>
      </c>
    </row>
    <row r="1284">
      <c r="A1284" s="2" t="inlineStr">
        <is>
          <t>1500-on</t>
        </is>
      </c>
      <c r="B1284" s="2" t="n">
        <v>1500</v>
      </c>
      <c r="C1284" s="2" t="inlineStr">
        <is>
          <t>on</t>
        </is>
      </c>
      <c r="D1284" s="2" t="n">
        <v>1448</v>
      </c>
      <c r="E1284" s="2" t="inlineStr">
        <is>
          <t>browser chrome150</t>
        </is>
      </c>
      <c r="F1284" s="2" t="b">
        <v>1</v>
      </c>
      <c r="G1284" s="2" t="n">
        <v>3</v>
      </c>
      <c r="H1284" s="2" t="n">
        <v>1758</v>
      </c>
      <c r="I1284" s="2" t="n">
        <v>1758</v>
      </c>
      <c r="J1284" s="2" t="n">
        <v>1443</v>
      </c>
      <c r="K1284" s="2">
        <f>H1284+5&gt;D1284</f>
        <v/>
      </c>
      <c r="L1284" s="2">
        <f>J1284&lt;I1284</f>
        <v/>
      </c>
      <c r="M1284" s="2" t="b">
        <v>1</v>
      </c>
      <c r="N1284" s="2" t="b">
        <v>1</v>
      </c>
      <c r="O1284" s="2" t="inlineStr">
        <is>
          <t>allow</t>
        </is>
      </c>
      <c r="P1284" s="2">
        <f>O1284&lt;&gt;"unknown"</f>
        <v/>
      </c>
    </row>
    <row r="1285">
      <c r="A1285" s="2" t="inlineStr">
        <is>
          <t>1500-on</t>
        </is>
      </c>
      <c r="B1285" s="2" t="n">
        <v>1500</v>
      </c>
      <c r="C1285" s="2" t="inlineStr">
        <is>
          <t>on</t>
        </is>
      </c>
      <c r="D1285" s="2" t="n">
        <v>1448</v>
      </c>
      <c r="E1285" s="2" t="inlineStr">
        <is>
          <t>browser chrome150</t>
        </is>
      </c>
      <c r="F1285" s="2" t="b">
        <v>1</v>
      </c>
      <c r="G1285" s="2" t="n">
        <v>4</v>
      </c>
      <c r="H1285" s="2" t="n">
        <v>1758</v>
      </c>
      <c r="I1285" s="2" t="n">
        <v>1758</v>
      </c>
      <c r="J1285" s="2" t="n">
        <v>1443</v>
      </c>
      <c r="K1285" s="2">
        <f>H1285+5&gt;D1285</f>
        <v/>
      </c>
      <c r="L1285" s="2">
        <f>J1285&lt;I1285</f>
        <v/>
      </c>
      <c r="M1285" s="2" t="b">
        <v>1</v>
      </c>
      <c r="N1285" s="2" t="b">
        <v>0</v>
      </c>
      <c r="O1285" s="2" t="inlineStr">
        <is>
          <t>unknown</t>
        </is>
      </c>
      <c r="P1285" s="2">
        <f>O1285&lt;&gt;"unknown"</f>
        <v/>
      </c>
    </row>
    <row r="1286">
      <c r="A1286" s="2" t="inlineStr">
        <is>
          <t>1500-on</t>
        </is>
      </c>
      <c r="B1286" s="2" t="n">
        <v>1500</v>
      </c>
      <c r="C1286" s="2" t="inlineStr">
        <is>
          <t>on</t>
        </is>
      </c>
      <c r="D1286" s="2" t="n">
        <v>1448</v>
      </c>
      <c r="E1286" s="2" t="inlineStr">
        <is>
          <t>browser chrome150</t>
        </is>
      </c>
      <c r="F1286" s="2" t="b">
        <v>1</v>
      </c>
      <c r="G1286" s="2" t="n">
        <v>5</v>
      </c>
      <c r="H1286" s="2" t="n">
        <v>1822</v>
      </c>
      <c r="I1286" s="2" t="n">
        <v>1822</v>
      </c>
      <c r="J1286" s="2" t="n">
        <v>1443</v>
      </c>
      <c r="K1286" s="2">
        <f>H1286+5&gt;D1286</f>
        <v/>
      </c>
      <c r="L1286" s="2">
        <f>J1286&lt;I1286</f>
        <v/>
      </c>
      <c r="M1286" s="2" t="b">
        <v>1</v>
      </c>
      <c r="N1286" s="2" t="b">
        <v>1</v>
      </c>
      <c r="O1286" s="2" t="inlineStr">
        <is>
          <t>allow</t>
        </is>
      </c>
      <c r="P1286" s="2">
        <f>O1286&lt;&gt;"unknown"</f>
        <v/>
      </c>
    </row>
    <row r="1287">
      <c r="A1287" s="2" t="inlineStr">
        <is>
          <t>1500-on</t>
        </is>
      </c>
      <c r="B1287" s="2" t="n">
        <v>1500</v>
      </c>
      <c r="C1287" s="2" t="inlineStr">
        <is>
          <t>on</t>
        </is>
      </c>
      <c r="D1287" s="2" t="n">
        <v>1448</v>
      </c>
      <c r="E1287" s="2" t="inlineStr">
        <is>
          <t>browser chrome150</t>
        </is>
      </c>
      <c r="F1287" s="2" t="b">
        <v>1</v>
      </c>
      <c r="G1287" s="2" t="n">
        <v>6</v>
      </c>
      <c r="H1287" s="2" t="n">
        <v>1726</v>
      </c>
      <c r="I1287" s="2" t="n">
        <v>1726</v>
      </c>
      <c r="J1287" s="2" t="n">
        <v>1443</v>
      </c>
      <c r="K1287" s="2">
        <f>H1287+5&gt;D1287</f>
        <v/>
      </c>
      <c r="L1287" s="2">
        <f>J1287&lt;I1287</f>
        <v/>
      </c>
      <c r="M1287" s="2" t="b">
        <v>1</v>
      </c>
      <c r="N1287" s="2" t="b">
        <v>0</v>
      </c>
      <c r="O1287" s="2" t="inlineStr">
        <is>
          <t>unknown</t>
        </is>
      </c>
      <c r="P1287" s="2">
        <f>O1287&lt;&gt;"unknown"</f>
        <v/>
      </c>
    </row>
    <row r="1288">
      <c r="A1288" s="2" t="inlineStr">
        <is>
          <t>1500-on</t>
        </is>
      </c>
      <c r="B1288" s="2" t="n">
        <v>1500</v>
      </c>
      <c r="C1288" s="2" t="inlineStr">
        <is>
          <t>on</t>
        </is>
      </c>
      <c r="D1288" s="2" t="n">
        <v>1448</v>
      </c>
      <c r="E1288" s="2" t="inlineStr">
        <is>
          <t>browser chrome150</t>
        </is>
      </c>
      <c r="F1288" s="2" t="b">
        <v>1</v>
      </c>
      <c r="G1288" s="2" t="n">
        <v>7</v>
      </c>
      <c r="H1288" s="2" t="n">
        <v>1758</v>
      </c>
      <c r="I1288" s="2" t="n">
        <v>1758</v>
      </c>
      <c r="J1288" s="2" t="n">
        <v>1443</v>
      </c>
      <c r="K1288" s="2">
        <f>H1288+5&gt;D1288</f>
        <v/>
      </c>
      <c r="L1288" s="2">
        <f>J1288&lt;I1288</f>
        <v/>
      </c>
      <c r="M1288" s="2" t="b">
        <v>1</v>
      </c>
      <c r="N1288" s="2" t="b">
        <v>0</v>
      </c>
      <c r="O1288" s="2" t="inlineStr">
        <is>
          <t>unknown</t>
        </is>
      </c>
      <c r="P1288" s="2">
        <f>O1288&lt;&gt;"unknown"</f>
        <v/>
      </c>
    </row>
    <row r="1289">
      <c r="A1289" s="2" t="inlineStr">
        <is>
          <t>1500-on</t>
        </is>
      </c>
      <c r="B1289" s="2" t="n">
        <v>1500</v>
      </c>
      <c r="C1289" s="2" t="inlineStr">
        <is>
          <t>on</t>
        </is>
      </c>
      <c r="D1289" s="2" t="n">
        <v>1448</v>
      </c>
      <c r="E1289" s="2" t="inlineStr">
        <is>
          <t>browser chrome150</t>
        </is>
      </c>
      <c r="F1289" s="2" t="b">
        <v>1</v>
      </c>
      <c r="G1289" s="2" t="n">
        <v>8</v>
      </c>
      <c r="H1289" s="2" t="n">
        <v>1758</v>
      </c>
      <c r="I1289" s="2" t="n">
        <v>1758</v>
      </c>
      <c r="J1289" s="2" t="n">
        <v>1443</v>
      </c>
      <c r="K1289" s="2">
        <f>H1289+5&gt;D1289</f>
        <v/>
      </c>
      <c r="L1289" s="2">
        <f>J1289&lt;I1289</f>
        <v/>
      </c>
      <c r="M1289" s="2" t="b">
        <v>1</v>
      </c>
      <c r="N1289" s="2" t="b">
        <v>1</v>
      </c>
      <c r="O1289" s="2" t="inlineStr">
        <is>
          <t>allow</t>
        </is>
      </c>
      <c r="P1289" s="2">
        <f>O1289&lt;&gt;"unknown"</f>
        <v/>
      </c>
    </row>
    <row r="1290">
      <c r="A1290" s="2" t="inlineStr">
        <is>
          <t>1500-on</t>
        </is>
      </c>
      <c r="B1290" s="2" t="n">
        <v>1500</v>
      </c>
      <c r="C1290" s="2" t="inlineStr">
        <is>
          <t>on</t>
        </is>
      </c>
      <c r="D1290" s="2" t="n">
        <v>1448</v>
      </c>
      <c r="E1290" s="2" t="inlineStr">
        <is>
          <t>browser chrome150</t>
        </is>
      </c>
      <c r="F1290" s="2" t="b">
        <v>1</v>
      </c>
      <c r="G1290" s="2" t="n">
        <v>9</v>
      </c>
      <c r="H1290" s="2" t="n">
        <v>1822</v>
      </c>
      <c r="I1290" s="2" t="n">
        <v>1822</v>
      </c>
      <c r="J1290" s="2" t="n">
        <v>1443</v>
      </c>
      <c r="K1290" s="2">
        <f>H1290+5&gt;D1290</f>
        <v/>
      </c>
      <c r="L1290" s="2">
        <f>J1290&lt;I1290</f>
        <v/>
      </c>
      <c r="M1290" s="2" t="b">
        <v>1</v>
      </c>
      <c r="N1290" s="2" t="b">
        <v>0</v>
      </c>
      <c r="O1290" s="2" t="inlineStr">
        <is>
          <t>unknown</t>
        </is>
      </c>
      <c r="P1290" s="2">
        <f>O1290&lt;&gt;"unknown"</f>
        <v/>
      </c>
    </row>
    <row r="1291">
      <c r="A1291" s="2" t="inlineStr">
        <is>
          <t>1500-on</t>
        </is>
      </c>
      <c r="B1291" s="2" t="n">
        <v>1500</v>
      </c>
      <c r="C1291" s="2" t="inlineStr">
        <is>
          <t>on</t>
        </is>
      </c>
      <c r="D1291" s="2" t="n">
        <v>1448</v>
      </c>
      <c r="E1291" s="2" t="inlineStr">
        <is>
          <t>browser chrome150</t>
        </is>
      </c>
      <c r="F1291" s="2" t="b">
        <v>1</v>
      </c>
      <c r="G1291" s="2" t="n">
        <v>10</v>
      </c>
      <c r="H1291" s="2" t="n">
        <v>1726</v>
      </c>
      <c r="I1291" s="2" t="n">
        <v>1726</v>
      </c>
      <c r="J1291" s="2" t="n">
        <v>1443</v>
      </c>
      <c r="K1291" s="2">
        <f>H1291+5&gt;D1291</f>
        <v/>
      </c>
      <c r="L1291" s="2">
        <f>J1291&lt;I1291</f>
        <v/>
      </c>
      <c r="M1291" s="2" t="b">
        <v>1</v>
      </c>
      <c r="N1291" s="2" t="b">
        <v>1</v>
      </c>
      <c r="O1291" s="2" t="inlineStr">
        <is>
          <t>allow</t>
        </is>
      </c>
      <c r="P1291" s="2">
        <f>O1291&lt;&gt;"unknown"</f>
        <v/>
      </c>
    </row>
    <row r="1292">
      <c r="A1292" s="2" t="inlineStr">
        <is>
          <t>1500-on</t>
        </is>
      </c>
      <c r="B1292" s="2" t="n">
        <v>1500</v>
      </c>
      <c r="C1292" s="2" t="inlineStr">
        <is>
          <t>on</t>
        </is>
      </c>
      <c r="D1292" s="2" t="n">
        <v>1448</v>
      </c>
      <c r="E1292" s="2" t="inlineStr">
        <is>
          <t>browser chrome150</t>
        </is>
      </c>
      <c r="F1292" s="2" t="b">
        <v>1</v>
      </c>
      <c r="G1292" s="2" t="n">
        <v>11</v>
      </c>
      <c r="H1292" s="2" t="n">
        <v>1790</v>
      </c>
      <c r="I1292" s="2" t="n">
        <v>1790</v>
      </c>
      <c r="J1292" s="2" t="n">
        <v>1443</v>
      </c>
      <c r="K1292" s="2">
        <f>H1292+5&gt;D1292</f>
        <v/>
      </c>
      <c r="L1292" s="2">
        <f>J1292&lt;I1292</f>
        <v/>
      </c>
      <c r="M1292" s="2" t="b">
        <v>1</v>
      </c>
      <c r="N1292" s="2" t="b">
        <v>1</v>
      </c>
      <c r="O1292" s="2" t="inlineStr">
        <is>
          <t>allow</t>
        </is>
      </c>
      <c r="P1292" s="2">
        <f>O1292&lt;&gt;"unknown"</f>
        <v/>
      </c>
    </row>
    <row r="1293">
      <c r="A1293" s="2" t="inlineStr">
        <is>
          <t>1500-on</t>
        </is>
      </c>
      <c r="B1293" s="2" t="n">
        <v>1500</v>
      </c>
      <c r="C1293" s="2" t="inlineStr">
        <is>
          <t>on</t>
        </is>
      </c>
      <c r="D1293" s="2" t="n">
        <v>1448</v>
      </c>
      <c r="E1293" s="2" t="inlineStr">
        <is>
          <t>browser chrome150</t>
        </is>
      </c>
      <c r="F1293" s="2" t="b">
        <v>1</v>
      </c>
      <c r="G1293" s="2" t="n">
        <v>12</v>
      </c>
      <c r="H1293" s="2" t="n">
        <v>1822</v>
      </c>
      <c r="I1293" s="2" t="n">
        <v>1822</v>
      </c>
      <c r="J1293" s="2" t="n">
        <v>1443</v>
      </c>
      <c r="K1293" s="2">
        <f>H1293+5&gt;D1293</f>
        <v/>
      </c>
      <c r="L1293" s="2">
        <f>J1293&lt;I1293</f>
        <v/>
      </c>
      <c r="M1293" s="2" t="b">
        <v>1</v>
      </c>
      <c r="N1293" s="2" t="b">
        <v>0</v>
      </c>
      <c r="O1293" s="2" t="inlineStr">
        <is>
          <t>unknown</t>
        </is>
      </c>
      <c r="P1293" s="2">
        <f>O1293&lt;&gt;"unknown"</f>
        <v/>
      </c>
    </row>
    <row r="1294">
      <c r="A1294" s="2" t="inlineStr">
        <is>
          <t>1500-on</t>
        </is>
      </c>
      <c r="B1294" s="2" t="n">
        <v>1500</v>
      </c>
      <c r="C1294" s="2" t="inlineStr">
        <is>
          <t>on</t>
        </is>
      </c>
      <c r="D1294" s="2" t="n">
        <v>1448</v>
      </c>
      <c r="E1294" s="2" t="inlineStr">
        <is>
          <t>browser chrome150</t>
        </is>
      </c>
      <c r="F1294" s="2" t="b">
        <v>1</v>
      </c>
      <c r="G1294" s="2" t="n">
        <v>13</v>
      </c>
      <c r="H1294" s="2" t="n">
        <v>1726</v>
      </c>
      <c r="I1294" s="2" t="n">
        <v>1726</v>
      </c>
      <c r="J1294" s="2" t="n">
        <v>1443</v>
      </c>
      <c r="K1294" s="2">
        <f>H1294+5&gt;D1294</f>
        <v/>
      </c>
      <c r="L1294" s="2">
        <f>J1294&lt;I1294</f>
        <v/>
      </c>
      <c r="M1294" s="2" t="b">
        <v>1</v>
      </c>
      <c r="N1294" s="2" t="b">
        <v>0</v>
      </c>
      <c r="O1294" s="2" t="inlineStr">
        <is>
          <t>unknown</t>
        </is>
      </c>
      <c r="P1294" s="2">
        <f>O1294&lt;&gt;"unknown"</f>
        <v/>
      </c>
    </row>
    <row r="1295">
      <c r="A1295" s="2" t="inlineStr">
        <is>
          <t>1500-on</t>
        </is>
      </c>
      <c r="B1295" s="2" t="n">
        <v>1500</v>
      </c>
      <c r="C1295" s="2" t="inlineStr">
        <is>
          <t>on</t>
        </is>
      </c>
      <c r="D1295" s="2" t="n">
        <v>1448</v>
      </c>
      <c r="E1295" s="2" t="inlineStr">
        <is>
          <t>browser chrome150</t>
        </is>
      </c>
      <c r="F1295" s="2" t="b">
        <v>1</v>
      </c>
      <c r="G1295" s="2" t="n">
        <v>14</v>
      </c>
      <c r="H1295" s="2" t="n">
        <v>1758</v>
      </c>
      <c r="I1295" s="2" t="n">
        <v>1758</v>
      </c>
      <c r="J1295" s="2" t="n">
        <v>1443</v>
      </c>
      <c r="K1295" s="2">
        <f>H1295+5&gt;D1295</f>
        <v/>
      </c>
      <c r="L1295" s="2">
        <f>J1295&lt;I1295</f>
        <v/>
      </c>
      <c r="M1295" s="2" t="b">
        <v>1</v>
      </c>
      <c r="N1295" s="2" t="b">
        <v>0</v>
      </c>
      <c r="O1295" s="2" t="inlineStr">
        <is>
          <t>unknown</t>
        </is>
      </c>
      <c r="P1295" s="2">
        <f>O1295&lt;&gt;"unknown"</f>
        <v/>
      </c>
    </row>
    <row r="1296">
      <c r="A1296" s="2" t="inlineStr">
        <is>
          <t>1500-on</t>
        </is>
      </c>
      <c r="B1296" s="2" t="n">
        <v>1500</v>
      </c>
      <c r="C1296" s="2" t="inlineStr">
        <is>
          <t>on</t>
        </is>
      </c>
      <c r="D1296" s="2" t="n">
        <v>1448</v>
      </c>
      <c r="E1296" s="2" t="inlineStr">
        <is>
          <t>browser chrome150</t>
        </is>
      </c>
      <c r="F1296" s="2" t="b">
        <v>1</v>
      </c>
      <c r="G1296" s="2" t="n">
        <v>15</v>
      </c>
      <c r="H1296" s="2" t="n">
        <v>1758</v>
      </c>
      <c r="I1296" s="2" t="n">
        <v>1758</v>
      </c>
      <c r="J1296" s="2" t="n">
        <v>1443</v>
      </c>
      <c r="K1296" s="2">
        <f>H1296+5&gt;D1296</f>
        <v/>
      </c>
      <c r="L1296" s="2">
        <f>J1296&lt;I1296</f>
        <v/>
      </c>
      <c r="M1296" s="2" t="b">
        <v>1</v>
      </c>
      <c r="N1296" s="2" t="b">
        <v>1</v>
      </c>
      <c r="O1296" s="2" t="inlineStr">
        <is>
          <t>allow</t>
        </is>
      </c>
      <c r="P1296" s="2">
        <f>O1296&lt;&gt;"unknown"</f>
        <v/>
      </c>
    </row>
    <row r="1297">
      <c r="A1297" s="2" t="inlineStr">
        <is>
          <t>1500-on</t>
        </is>
      </c>
      <c r="B1297" s="2" t="n">
        <v>1500</v>
      </c>
      <c r="C1297" s="2" t="inlineStr">
        <is>
          <t>on</t>
        </is>
      </c>
      <c r="D1297" s="2" t="n">
        <v>1448</v>
      </c>
      <c r="E1297" s="2" t="inlineStr">
        <is>
          <t>browser chrome150</t>
        </is>
      </c>
      <c r="F1297" s="2" t="b">
        <v>1</v>
      </c>
      <c r="G1297" s="2" t="n">
        <v>16</v>
      </c>
      <c r="H1297" s="2" t="n">
        <v>1790</v>
      </c>
      <c r="I1297" s="2" t="n">
        <v>1790</v>
      </c>
      <c r="J1297" s="2" t="n">
        <v>1443</v>
      </c>
      <c r="K1297" s="2">
        <f>H1297+5&gt;D1297</f>
        <v/>
      </c>
      <c r="L1297" s="2">
        <f>J1297&lt;I1297</f>
        <v/>
      </c>
      <c r="M1297" s="2" t="b">
        <v>1</v>
      </c>
      <c r="N1297" s="2" t="b">
        <v>1</v>
      </c>
      <c r="O1297" s="2" t="inlineStr">
        <is>
          <t>allow</t>
        </is>
      </c>
      <c r="P1297" s="2">
        <f>O1297&lt;&gt;"unknown"</f>
        <v/>
      </c>
    </row>
    <row r="1298">
      <c r="A1298" s="2" t="inlineStr">
        <is>
          <t>1500-on</t>
        </is>
      </c>
      <c r="B1298" s="2" t="n">
        <v>1500</v>
      </c>
      <c r="C1298" s="2" t="inlineStr">
        <is>
          <t>on</t>
        </is>
      </c>
      <c r="D1298" s="2" t="n">
        <v>1448</v>
      </c>
      <c r="E1298" s="2" t="inlineStr">
        <is>
          <t>browser chrome150</t>
        </is>
      </c>
      <c r="F1298" s="2" t="b">
        <v>1</v>
      </c>
      <c r="G1298" s="2" t="n">
        <v>17</v>
      </c>
      <c r="H1298" s="2" t="n">
        <v>1758</v>
      </c>
      <c r="I1298" s="2" t="n">
        <v>1758</v>
      </c>
      <c r="J1298" s="2" t="n">
        <v>1443</v>
      </c>
      <c r="K1298" s="2">
        <f>H1298+5&gt;D1298</f>
        <v/>
      </c>
      <c r="L1298" s="2">
        <f>J1298&lt;I1298</f>
        <v/>
      </c>
      <c r="M1298" s="2" t="b">
        <v>1</v>
      </c>
      <c r="N1298" s="2" t="b">
        <v>1</v>
      </c>
      <c r="O1298" s="2" t="inlineStr">
        <is>
          <t>allow</t>
        </is>
      </c>
      <c r="P1298" s="2">
        <f>O1298&lt;&gt;"unknown"</f>
        <v/>
      </c>
    </row>
    <row r="1299">
      <c r="A1299" s="2" t="inlineStr">
        <is>
          <t>1500-on</t>
        </is>
      </c>
      <c r="B1299" s="2" t="n">
        <v>1500</v>
      </c>
      <c r="C1299" s="2" t="inlineStr">
        <is>
          <t>on</t>
        </is>
      </c>
      <c r="D1299" s="2" t="n">
        <v>1448</v>
      </c>
      <c r="E1299" s="2" t="inlineStr">
        <is>
          <t>browser chrome150</t>
        </is>
      </c>
      <c r="F1299" s="2" t="b">
        <v>1</v>
      </c>
      <c r="G1299" s="2" t="n">
        <v>18</v>
      </c>
      <c r="H1299" s="2" t="n">
        <v>1822</v>
      </c>
      <c r="I1299" s="2" t="n">
        <v>1822</v>
      </c>
      <c r="J1299" s="2" t="n">
        <v>1443</v>
      </c>
      <c r="K1299" s="2">
        <f>H1299+5&gt;D1299</f>
        <v/>
      </c>
      <c r="L1299" s="2">
        <f>J1299&lt;I1299</f>
        <v/>
      </c>
      <c r="M1299" s="2" t="b">
        <v>1</v>
      </c>
      <c r="N1299" s="2" t="b">
        <v>1</v>
      </c>
      <c r="O1299" s="2" t="inlineStr">
        <is>
          <t>allow</t>
        </is>
      </c>
      <c r="P1299" s="2">
        <f>O1299&lt;&gt;"unknown"</f>
        <v/>
      </c>
    </row>
    <row r="1300">
      <c r="A1300" s="2" t="inlineStr">
        <is>
          <t>1500-on</t>
        </is>
      </c>
      <c r="B1300" s="2" t="n">
        <v>1500</v>
      </c>
      <c r="C1300" s="2" t="inlineStr">
        <is>
          <t>on</t>
        </is>
      </c>
      <c r="D1300" s="2" t="n">
        <v>1448</v>
      </c>
      <c r="E1300" s="2" t="inlineStr">
        <is>
          <t>browser chrome150</t>
        </is>
      </c>
      <c r="F1300" s="2" t="b">
        <v>1</v>
      </c>
      <c r="G1300" s="2" t="n">
        <v>19</v>
      </c>
      <c r="H1300" s="2" t="n">
        <v>1822</v>
      </c>
      <c r="I1300" s="2" t="n">
        <v>1822</v>
      </c>
      <c r="J1300" s="2" t="n">
        <v>1443</v>
      </c>
      <c r="K1300" s="2">
        <f>H1300+5&gt;D1300</f>
        <v/>
      </c>
      <c r="L1300" s="2">
        <f>J1300&lt;I1300</f>
        <v/>
      </c>
      <c r="M1300" s="2" t="b">
        <v>1</v>
      </c>
      <c r="N1300" s="2" t="b">
        <v>1</v>
      </c>
      <c r="O1300" s="2" t="inlineStr">
        <is>
          <t>allow</t>
        </is>
      </c>
      <c r="P1300" s="2">
        <f>O1300&lt;&gt;"unknown"</f>
        <v/>
      </c>
    </row>
    <row r="1301">
      <c r="A1301" s="2" t="inlineStr">
        <is>
          <t>1500-on</t>
        </is>
      </c>
      <c r="B1301" s="2" t="n">
        <v>1500</v>
      </c>
      <c r="C1301" s="2" t="inlineStr">
        <is>
          <t>on</t>
        </is>
      </c>
      <c r="D1301" s="2" t="n">
        <v>1448</v>
      </c>
      <c r="E1301" s="2" t="inlineStr">
        <is>
          <t>browser chrome150</t>
        </is>
      </c>
      <c r="F1301" s="2" t="b">
        <v>1</v>
      </c>
      <c r="G1301" s="2" t="n">
        <v>20</v>
      </c>
      <c r="H1301" s="2" t="n">
        <v>1758</v>
      </c>
      <c r="I1301" s="2" t="n">
        <v>1758</v>
      </c>
      <c r="J1301" s="2" t="n">
        <v>1443</v>
      </c>
      <c r="K1301" s="2">
        <f>H1301+5&gt;D1301</f>
        <v/>
      </c>
      <c r="L1301" s="2">
        <f>J1301&lt;I1301</f>
        <v/>
      </c>
      <c r="M1301" s="2" t="b">
        <v>1</v>
      </c>
      <c r="N1301" s="2" t="b">
        <v>0</v>
      </c>
      <c r="O1301" s="2" t="inlineStr">
        <is>
          <t>unknown</t>
        </is>
      </c>
      <c r="P1301" s="2">
        <f>O1301&lt;&gt;"unknown"</f>
        <v/>
      </c>
    </row>
    <row r="1302">
      <c r="A1302" s="2" t="inlineStr">
        <is>
          <t>1500-on</t>
        </is>
      </c>
      <c r="B1302" s="2" t="n">
        <v>1500</v>
      </c>
      <c r="C1302" s="2" t="inlineStr">
        <is>
          <t>on</t>
        </is>
      </c>
      <c r="D1302" s="2" t="n">
        <v>1448</v>
      </c>
      <c r="E1302" s="2" t="inlineStr">
        <is>
          <t>browser edge101</t>
        </is>
      </c>
      <c r="F1302" s="2" t="b">
        <v>0</v>
      </c>
      <c r="G1302" s="2" t="n">
        <v>1</v>
      </c>
      <c r="H1302" s="2" t="n">
        <v>512</v>
      </c>
      <c r="I1302" s="2" t="n">
        <v>512</v>
      </c>
      <c r="J1302" s="2" t="n">
        <v>512</v>
      </c>
      <c r="K1302" s="2">
        <f>H1302+5&gt;D1302</f>
        <v/>
      </c>
      <c r="L1302" s="2">
        <f>J1302&lt;I1302</f>
        <v/>
      </c>
      <c r="M1302" s="2" t="b">
        <v>1</v>
      </c>
      <c r="N1302" s="2" t="b">
        <v>1</v>
      </c>
      <c r="O1302" s="2" t="inlineStr">
        <is>
          <t>allow</t>
        </is>
      </c>
      <c r="P1302" s="2">
        <f>O1302&lt;&gt;"unknown"</f>
        <v/>
      </c>
    </row>
    <row r="1303">
      <c r="A1303" s="2" t="inlineStr">
        <is>
          <t>1500-on</t>
        </is>
      </c>
      <c r="B1303" s="2" t="n">
        <v>1500</v>
      </c>
      <c r="C1303" s="2" t="inlineStr">
        <is>
          <t>on</t>
        </is>
      </c>
      <c r="D1303" s="2" t="n">
        <v>1448</v>
      </c>
      <c r="E1303" s="2" t="inlineStr">
        <is>
          <t>browser edge101</t>
        </is>
      </c>
      <c r="F1303" s="2" t="b">
        <v>0</v>
      </c>
      <c r="G1303" s="2" t="n">
        <v>2</v>
      </c>
      <c r="H1303" s="2" t="n">
        <v>512</v>
      </c>
      <c r="I1303" s="2" t="n">
        <v>512</v>
      </c>
      <c r="J1303" s="2" t="n">
        <v>512</v>
      </c>
      <c r="K1303" s="2">
        <f>H1303+5&gt;D1303</f>
        <v/>
      </c>
      <c r="L1303" s="2">
        <f>J1303&lt;I1303</f>
        <v/>
      </c>
      <c r="M1303" s="2" t="b">
        <v>1</v>
      </c>
      <c r="N1303" s="2" t="b">
        <v>1</v>
      </c>
      <c r="O1303" s="2" t="inlineStr">
        <is>
          <t>allow</t>
        </is>
      </c>
      <c r="P1303" s="2">
        <f>O1303&lt;&gt;"unknown"</f>
        <v/>
      </c>
    </row>
    <row r="1304">
      <c r="A1304" s="2" t="inlineStr">
        <is>
          <t>1500-on</t>
        </is>
      </c>
      <c r="B1304" s="2" t="n">
        <v>1500</v>
      </c>
      <c r="C1304" s="2" t="inlineStr">
        <is>
          <t>on</t>
        </is>
      </c>
      <c r="D1304" s="2" t="n">
        <v>1448</v>
      </c>
      <c r="E1304" s="2" t="inlineStr">
        <is>
          <t>browser edge101</t>
        </is>
      </c>
      <c r="F1304" s="2" t="b">
        <v>0</v>
      </c>
      <c r="G1304" s="2" t="n">
        <v>3</v>
      </c>
      <c r="H1304" s="2" t="n">
        <v>512</v>
      </c>
      <c r="I1304" s="2" t="n">
        <v>512</v>
      </c>
      <c r="J1304" s="2" t="n">
        <v>512</v>
      </c>
      <c r="K1304" s="2">
        <f>H1304+5&gt;D1304</f>
        <v/>
      </c>
      <c r="L1304" s="2">
        <f>J1304&lt;I1304</f>
        <v/>
      </c>
      <c r="M1304" s="2" t="b">
        <v>1</v>
      </c>
      <c r="N1304" s="2" t="b">
        <v>1</v>
      </c>
      <c r="O1304" s="2" t="inlineStr">
        <is>
          <t>allow</t>
        </is>
      </c>
      <c r="P1304" s="2">
        <f>O1304&lt;&gt;"unknown"</f>
        <v/>
      </c>
    </row>
    <row r="1305">
      <c r="A1305" s="2" t="inlineStr">
        <is>
          <t>1500-on</t>
        </is>
      </c>
      <c r="B1305" s="2" t="n">
        <v>1500</v>
      </c>
      <c r="C1305" s="2" t="inlineStr">
        <is>
          <t>on</t>
        </is>
      </c>
      <c r="D1305" s="2" t="n">
        <v>1448</v>
      </c>
      <c r="E1305" s="2" t="inlineStr">
        <is>
          <t>browser edge101</t>
        </is>
      </c>
      <c r="F1305" s="2" t="b">
        <v>0</v>
      </c>
      <c r="G1305" s="2" t="n">
        <v>4</v>
      </c>
      <c r="H1305" s="2" t="n">
        <v>512</v>
      </c>
      <c r="I1305" s="2" t="n">
        <v>512</v>
      </c>
      <c r="J1305" s="2" t="n">
        <v>512</v>
      </c>
      <c r="K1305" s="2">
        <f>H1305+5&gt;D1305</f>
        <v/>
      </c>
      <c r="L1305" s="2">
        <f>J1305&lt;I1305</f>
        <v/>
      </c>
      <c r="M1305" s="2" t="b">
        <v>1</v>
      </c>
      <c r="N1305" s="2" t="b">
        <v>1</v>
      </c>
      <c r="O1305" s="2" t="inlineStr">
        <is>
          <t>allow</t>
        </is>
      </c>
      <c r="P1305" s="2">
        <f>O1305&lt;&gt;"unknown"</f>
        <v/>
      </c>
    </row>
    <row r="1306">
      <c r="A1306" s="2" t="inlineStr">
        <is>
          <t>1500-on</t>
        </is>
      </c>
      <c r="B1306" s="2" t="n">
        <v>1500</v>
      </c>
      <c r="C1306" s="2" t="inlineStr">
        <is>
          <t>on</t>
        </is>
      </c>
      <c r="D1306" s="2" t="n">
        <v>1448</v>
      </c>
      <c r="E1306" s="2" t="inlineStr">
        <is>
          <t>browser edge101</t>
        </is>
      </c>
      <c r="F1306" s="2" t="b">
        <v>0</v>
      </c>
      <c r="G1306" s="2" t="n">
        <v>5</v>
      </c>
      <c r="H1306" s="2" t="n">
        <v>512</v>
      </c>
      <c r="I1306" s="2" t="n">
        <v>512</v>
      </c>
      <c r="J1306" s="2" t="n">
        <v>512</v>
      </c>
      <c r="K1306" s="2">
        <f>H1306+5&gt;D1306</f>
        <v/>
      </c>
      <c r="L1306" s="2">
        <f>J1306&lt;I1306</f>
        <v/>
      </c>
      <c r="M1306" s="2" t="b">
        <v>1</v>
      </c>
      <c r="N1306" s="2" t="b">
        <v>1</v>
      </c>
      <c r="O1306" s="2" t="inlineStr">
        <is>
          <t>allow</t>
        </is>
      </c>
      <c r="P1306" s="2">
        <f>O1306&lt;&gt;"unknown"</f>
        <v/>
      </c>
    </row>
    <row r="1307">
      <c r="A1307" s="2" t="inlineStr">
        <is>
          <t>1500-on</t>
        </is>
      </c>
      <c r="B1307" s="2" t="n">
        <v>1500</v>
      </c>
      <c r="C1307" s="2" t="inlineStr">
        <is>
          <t>on</t>
        </is>
      </c>
      <c r="D1307" s="2" t="n">
        <v>1448</v>
      </c>
      <c r="E1307" s="2" t="inlineStr">
        <is>
          <t>browser edge101</t>
        </is>
      </c>
      <c r="F1307" s="2" t="b">
        <v>0</v>
      </c>
      <c r="G1307" s="2" t="n">
        <v>6</v>
      </c>
      <c r="H1307" s="2" t="n">
        <v>512</v>
      </c>
      <c r="I1307" s="2" t="n">
        <v>512</v>
      </c>
      <c r="J1307" s="2" t="n">
        <v>512</v>
      </c>
      <c r="K1307" s="2">
        <f>H1307+5&gt;D1307</f>
        <v/>
      </c>
      <c r="L1307" s="2">
        <f>J1307&lt;I1307</f>
        <v/>
      </c>
      <c r="M1307" s="2" t="b">
        <v>1</v>
      </c>
      <c r="N1307" s="2" t="b">
        <v>1</v>
      </c>
      <c r="O1307" s="2" t="inlineStr">
        <is>
          <t>allow</t>
        </is>
      </c>
      <c r="P1307" s="2">
        <f>O1307&lt;&gt;"unknown"</f>
        <v/>
      </c>
    </row>
    <row r="1308">
      <c r="A1308" s="2" t="inlineStr">
        <is>
          <t>1500-on</t>
        </is>
      </c>
      <c r="B1308" s="2" t="n">
        <v>1500</v>
      </c>
      <c r="C1308" s="2" t="inlineStr">
        <is>
          <t>on</t>
        </is>
      </c>
      <c r="D1308" s="2" t="n">
        <v>1448</v>
      </c>
      <c r="E1308" s="2" t="inlineStr">
        <is>
          <t>browser edge101</t>
        </is>
      </c>
      <c r="F1308" s="2" t="b">
        <v>0</v>
      </c>
      <c r="G1308" s="2" t="n">
        <v>7</v>
      </c>
      <c r="H1308" s="2" t="n">
        <v>512</v>
      </c>
      <c r="I1308" s="2" t="n">
        <v>512</v>
      </c>
      <c r="J1308" s="2" t="n">
        <v>512</v>
      </c>
      <c r="K1308" s="2">
        <f>H1308+5&gt;D1308</f>
        <v/>
      </c>
      <c r="L1308" s="2">
        <f>J1308&lt;I1308</f>
        <v/>
      </c>
      <c r="M1308" s="2" t="b">
        <v>1</v>
      </c>
      <c r="N1308" s="2" t="b">
        <v>1</v>
      </c>
      <c r="O1308" s="2" t="inlineStr">
        <is>
          <t>allow</t>
        </is>
      </c>
      <c r="P1308" s="2">
        <f>O1308&lt;&gt;"unknown"</f>
        <v/>
      </c>
    </row>
    <row r="1309">
      <c r="A1309" s="2" t="inlineStr">
        <is>
          <t>1500-on</t>
        </is>
      </c>
      <c r="B1309" s="2" t="n">
        <v>1500</v>
      </c>
      <c r="C1309" s="2" t="inlineStr">
        <is>
          <t>on</t>
        </is>
      </c>
      <c r="D1309" s="2" t="n">
        <v>1448</v>
      </c>
      <c r="E1309" s="2" t="inlineStr">
        <is>
          <t>browser edge101</t>
        </is>
      </c>
      <c r="F1309" s="2" t="b">
        <v>0</v>
      </c>
      <c r="G1309" s="2" t="n">
        <v>8</v>
      </c>
      <c r="H1309" s="2" t="n">
        <v>512</v>
      </c>
      <c r="I1309" s="2" t="n">
        <v>512</v>
      </c>
      <c r="J1309" s="2" t="n">
        <v>512</v>
      </c>
      <c r="K1309" s="2">
        <f>H1309+5&gt;D1309</f>
        <v/>
      </c>
      <c r="L1309" s="2">
        <f>J1309&lt;I1309</f>
        <v/>
      </c>
      <c r="M1309" s="2" t="b">
        <v>1</v>
      </c>
      <c r="N1309" s="2" t="b">
        <v>1</v>
      </c>
      <c r="O1309" s="2" t="inlineStr">
        <is>
          <t>allow</t>
        </is>
      </c>
      <c r="P1309" s="2">
        <f>O1309&lt;&gt;"unknown"</f>
        <v/>
      </c>
    </row>
    <row r="1310">
      <c r="A1310" s="2" t="inlineStr">
        <is>
          <t>1500-on</t>
        </is>
      </c>
      <c r="B1310" s="2" t="n">
        <v>1500</v>
      </c>
      <c r="C1310" s="2" t="inlineStr">
        <is>
          <t>on</t>
        </is>
      </c>
      <c r="D1310" s="2" t="n">
        <v>1448</v>
      </c>
      <c r="E1310" s="2" t="inlineStr">
        <is>
          <t>browser edge101</t>
        </is>
      </c>
      <c r="F1310" s="2" t="b">
        <v>0</v>
      </c>
      <c r="G1310" s="2" t="n">
        <v>9</v>
      </c>
      <c r="H1310" s="2" t="n">
        <v>512</v>
      </c>
      <c r="I1310" s="2" t="n">
        <v>512</v>
      </c>
      <c r="J1310" s="2" t="n">
        <v>512</v>
      </c>
      <c r="K1310" s="2">
        <f>H1310+5&gt;D1310</f>
        <v/>
      </c>
      <c r="L1310" s="2">
        <f>J1310&lt;I1310</f>
        <v/>
      </c>
      <c r="M1310" s="2" t="b">
        <v>1</v>
      </c>
      <c r="N1310" s="2" t="b">
        <v>1</v>
      </c>
      <c r="O1310" s="2" t="inlineStr">
        <is>
          <t>allow</t>
        </is>
      </c>
      <c r="P1310" s="2">
        <f>O1310&lt;&gt;"unknown"</f>
        <v/>
      </c>
    </row>
    <row r="1311">
      <c r="A1311" s="2" t="inlineStr">
        <is>
          <t>1500-on</t>
        </is>
      </c>
      <c r="B1311" s="2" t="n">
        <v>1500</v>
      </c>
      <c r="C1311" s="2" t="inlineStr">
        <is>
          <t>on</t>
        </is>
      </c>
      <c r="D1311" s="2" t="n">
        <v>1448</v>
      </c>
      <c r="E1311" s="2" t="inlineStr">
        <is>
          <t>browser edge101</t>
        </is>
      </c>
      <c r="F1311" s="2" t="b">
        <v>0</v>
      </c>
      <c r="G1311" s="2" t="n">
        <v>10</v>
      </c>
      <c r="H1311" s="2" t="n">
        <v>512</v>
      </c>
      <c r="I1311" s="2" t="n">
        <v>512</v>
      </c>
      <c r="J1311" s="2" t="n">
        <v>512</v>
      </c>
      <c r="K1311" s="2">
        <f>H1311+5&gt;D1311</f>
        <v/>
      </c>
      <c r="L1311" s="2">
        <f>J1311&lt;I1311</f>
        <v/>
      </c>
      <c r="M1311" s="2" t="b">
        <v>1</v>
      </c>
      <c r="N1311" s="2" t="b">
        <v>1</v>
      </c>
      <c r="O1311" s="2" t="inlineStr">
        <is>
          <t>allow</t>
        </is>
      </c>
      <c r="P1311" s="2">
        <f>O1311&lt;&gt;"unknown"</f>
        <v/>
      </c>
    </row>
    <row r="1312">
      <c r="A1312" s="2" t="inlineStr">
        <is>
          <t>1500-on</t>
        </is>
      </c>
      <c r="B1312" s="2" t="n">
        <v>1500</v>
      </c>
      <c r="C1312" s="2" t="inlineStr">
        <is>
          <t>on</t>
        </is>
      </c>
      <c r="D1312" s="2" t="n">
        <v>1448</v>
      </c>
      <c r="E1312" s="2" t="inlineStr">
        <is>
          <t>browser edge101</t>
        </is>
      </c>
      <c r="F1312" s="2" t="b">
        <v>0</v>
      </c>
      <c r="G1312" s="2" t="n">
        <v>11</v>
      </c>
      <c r="H1312" s="2" t="n">
        <v>512</v>
      </c>
      <c r="I1312" s="2" t="n">
        <v>512</v>
      </c>
      <c r="J1312" s="2" t="n">
        <v>512</v>
      </c>
      <c r="K1312" s="2">
        <f>H1312+5&gt;D1312</f>
        <v/>
      </c>
      <c r="L1312" s="2">
        <f>J1312&lt;I1312</f>
        <v/>
      </c>
      <c r="M1312" s="2" t="b">
        <v>1</v>
      </c>
      <c r="N1312" s="2" t="b">
        <v>1</v>
      </c>
      <c r="O1312" s="2" t="inlineStr">
        <is>
          <t>allow</t>
        </is>
      </c>
      <c r="P1312" s="2">
        <f>O1312&lt;&gt;"unknown"</f>
        <v/>
      </c>
    </row>
    <row r="1313">
      <c r="A1313" s="2" t="inlineStr">
        <is>
          <t>1500-on</t>
        </is>
      </c>
      <c r="B1313" s="2" t="n">
        <v>1500</v>
      </c>
      <c r="C1313" s="2" t="inlineStr">
        <is>
          <t>on</t>
        </is>
      </c>
      <c r="D1313" s="2" t="n">
        <v>1448</v>
      </c>
      <c r="E1313" s="2" t="inlineStr">
        <is>
          <t>browser edge101</t>
        </is>
      </c>
      <c r="F1313" s="2" t="b">
        <v>0</v>
      </c>
      <c r="G1313" s="2" t="n">
        <v>12</v>
      </c>
      <c r="H1313" s="2" t="n">
        <v>512</v>
      </c>
      <c r="I1313" s="2" t="n">
        <v>512</v>
      </c>
      <c r="J1313" s="2" t="n">
        <v>512</v>
      </c>
      <c r="K1313" s="2">
        <f>H1313+5&gt;D1313</f>
        <v/>
      </c>
      <c r="L1313" s="2">
        <f>J1313&lt;I1313</f>
        <v/>
      </c>
      <c r="M1313" s="2" t="b">
        <v>1</v>
      </c>
      <c r="N1313" s="2" t="b">
        <v>1</v>
      </c>
      <c r="O1313" s="2" t="inlineStr">
        <is>
          <t>allow</t>
        </is>
      </c>
      <c r="P1313" s="2">
        <f>O1313&lt;&gt;"unknown"</f>
        <v/>
      </c>
    </row>
    <row r="1314">
      <c r="A1314" s="2" t="inlineStr">
        <is>
          <t>1500-on</t>
        </is>
      </c>
      <c r="B1314" s="2" t="n">
        <v>1500</v>
      </c>
      <c r="C1314" s="2" t="inlineStr">
        <is>
          <t>on</t>
        </is>
      </c>
      <c r="D1314" s="2" t="n">
        <v>1448</v>
      </c>
      <c r="E1314" s="2" t="inlineStr">
        <is>
          <t>browser edge101</t>
        </is>
      </c>
      <c r="F1314" s="2" t="b">
        <v>0</v>
      </c>
      <c r="G1314" s="2" t="n">
        <v>13</v>
      </c>
      <c r="H1314" s="2" t="n">
        <v>512</v>
      </c>
      <c r="I1314" s="2" t="n">
        <v>512</v>
      </c>
      <c r="J1314" s="2" t="n">
        <v>512</v>
      </c>
      <c r="K1314" s="2">
        <f>H1314+5&gt;D1314</f>
        <v/>
      </c>
      <c r="L1314" s="2">
        <f>J1314&lt;I1314</f>
        <v/>
      </c>
      <c r="M1314" s="2" t="b">
        <v>1</v>
      </c>
      <c r="N1314" s="2" t="b">
        <v>1</v>
      </c>
      <c r="O1314" s="2" t="inlineStr">
        <is>
          <t>allow</t>
        </is>
      </c>
      <c r="P1314" s="2">
        <f>O1314&lt;&gt;"unknown"</f>
        <v/>
      </c>
    </row>
    <row r="1315">
      <c r="A1315" s="2" t="inlineStr">
        <is>
          <t>1500-on</t>
        </is>
      </c>
      <c r="B1315" s="2" t="n">
        <v>1500</v>
      </c>
      <c r="C1315" s="2" t="inlineStr">
        <is>
          <t>on</t>
        </is>
      </c>
      <c r="D1315" s="2" t="n">
        <v>1448</v>
      </c>
      <c r="E1315" s="2" t="inlineStr">
        <is>
          <t>browser edge101</t>
        </is>
      </c>
      <c r="F1315" s="2" t="b">
        <v>0</v>
      </c>
      <c r="G1315" s="2" t="n">
        <v>14</v>
      </c>
      <c r="H1315" s="2" t="n">
        <v>512</v>
      </c>
      <c r="I1315" s="2" t="n">
        <v>512</v>
      </c>
      <c r="J1315" s="2" t="n">
        <v>512</v>
      </c>
      <c r="K1315" s="2">
        <f>H1315+5&gt;D1315</f>
        <v/>
      </c>
      <c r="L1315" s="2">
        <f>J1315&lt;I1315</f>
        <v/>
      </c>
      <c r="M1315" s="2" t="b">
        <v>1</v>
      </c>
      <c r="N1315" s="2" t="b">
        <v>1</v>
      </c>
      <c r="O1315" s="2" t="inlineStr">
        <is>
          <t>allow</t>
        </is>
      </c>
      <c r="P1315" s="2">
        <f>O1315&lt;&gt;"unknown"</f>
        <v/>
      </c>
    </row>
    <row r="1316">
      <c r="A1316" s="2" t="inlineStr">
        <is>
          <t>1500-on</t>
        </is>
      </c>
      <c r="B1316" s="2" t="n">
        <v>1500</v>
      </c>
      <c r="C1316" s="2" t="inlineStr">
        <is>
          <t>on</t>
        </is>
      </c>
      <c r="D1316" s="2" t="n">
        <v>1448</v>
      </c>
      <c r="E1316" s="2" t="inlineStr">
        <is>
          <t>browser edge101</t>
        </is>
      </c>
      <c r="F1316" s="2" t="b">
        <v>0</v>
      </c>
      <c r="G1316" s="2" t="n">
        <v>15</v>
      </c>
      <c r="H1316" s="2" t="n">
        <v>512</v>
      </c>
      <c r="I1316" s="2" t="n">
        <v>512</v>
      </c>
      <c r="J1316" s="2" t="n">
        <v>512</v>
      </c>
      <c r="K1316" s="2">
        <f>H1316+5&gt;D1316</f>
        <v/>
      </c>
      <c r="L1316" s="2">
        <f>J1316&lt;I1316</f>
        <v/>
      </c>
      <c r="M1316" s="2" t="b">
        <v>1</v>
      </c>
      <c r="N1316" s="2" t="b">
        <v>1</v>
      </c>
      <c r="O1316" s="2" t="inlineStr">
        <is>
          <t>allow</t>
        </is>
      </c>
      <c r="P1316" s="2">
        <f>O1316&lt;&gt;"unknown"</f>
        <v/>
      </c>
    </row>
    <row r="1317">
      <c r="A1317" s="2" t="inlineStr">
        <is>
          <t>1500-on</t>
        </is>
      </c>
      <c r="B1317" s="2" t="n">
        <v>1500</v>
      </c>
      <c r="C1317" s="2" t="inlineStr">
        <is>
          <t>on</t>
        </is>
      </c>
      <c r="D1317" s="2" t="n">
        <v>1448</v>
      </c>
      <c r="E1317" s="2" t="inlineStr">
        <is>
          <t>browser edge101</t>
        </is>
      </c>
      <c r="F1317" s="2" t="b">
        <v>0</v>
      </c>
      <c r="G1317" s="2" t="n">
        <v>16</v>
      </c>
      <c r="H1317" s="2" t="n">
        <v>512</v>
      </c>
      <c r="I1317" s="2" t="n">
        <v>512</v>
      </c>
      <c r="J1317" s="2" t="n">
        <v>512</v>
      </c>
      <c r="K1317" s="2">
        <f>H1317+5&gt;D1317</f>
        <v/>
      </c>
      <c r="L1317" s="2">
        <f>J1317&lt;I1317</f>
        <v/>
      </c>
      <c r="M1317" s="2" t="b">
        <v>1</v>
      </c>
      <c r="N1317" s="2" t="b">
        <v>1</v>
      </c>
      <c r="O1317" s="2" t="inlineStr">
        <is>
          <t>allow</t>
        </is>
      </c>
      <c r="P1317" s="2">
        <f>O1317&lt;&gt;"unknown"</f>
        <v/>
      </c>
    </row>
    <row r="1318">
      <c r="A1318" s="2" t="inlineStr">
        <is>
          <t>1500-on</t>
        </is>
      </c>
      <c r="B1318" s="2" t="n">
        <v>1500</v>
      </c>
      <c r="C1318" s="2" t="inlineStr">
        <is>
          <t>on</t>
        </is>
      </c>
      <c r="D1318" s="2" t="n">
        <v>1448</v>
      </c>
      <c r="E1318" s="2" t="inlineStr">
        <is>
          <t>browser edge101</t>
        </is>
      </c>
      <c r="F1318" s="2" t="b">
        <v>0</v>
      </c>
      <c r="G1318" s="2" t="n">
        <v>17</v>
      </c>
      <c r="H1318" s="2" t="n">
        <v>512</v>
      </c>
      <c r="I1318" s="2" t="n">
        <v>512</v>
      </c>
      <c r="J1318" s="2" t="n">
        <v>512</v>
      </c>
      <c r="K1318" s="2">
        <f>H1318+5&gt;D1318</f>
        <v/>
      </c>
      <c r="L1318" s="2">
        <f>J1318&lt;I1318</f>
        <v/>
      </c>
      <c r="M1318" s="2" t="b">
        <v>1</v>
      </c>
      <c r="N1318" s="2" t="b">
        <v>1</v>
      </c>
      <c r="O1318" s="2" t="inlineStr">
        <is>
          <t>allow</t>
        </is>
      </c>
      <c r="P1318" s="2">
        <f>O1318&lt;&gt;"unknown"</f>
        <v/>
      </c>
    </row>
    <row r="1319">
      <c r="A1319" s="2" t="inlineStr">
        <is>
          <t>1500-on</t>
        </is>
      </c>
      <c r="B1319" s="2" t="n">
        <v>1500</v>
      </c>
      <c r="C1319" s="2" t="inlineStr">
        <is>
          <t>on</t>
        </is>
      </c>
      <c r="D1319" s="2" t="n">
        <v>1448</v>
      </c>
      <c r="E1319" s="2" t="inlineStr">
        <is>
          <t>browser edge101</t>
        </is>
      </c>
      <c r="F1319" s="2" t="b">
        <v>0</v>
      </c>
      <c r="G1319" s="2" t="n">
        <v>18</v>
      </c>
      <c r="H1319" s="2" t="n">
        <v>512</v>
      </c>
      <c r="I1319" s="2" t="n">
        <v>512</v>
      </c>
      <c r="J1319" s="2" t="n">
        <v>512</v>
      </c>
      <c r="K1319" s="2">
        <f>H1319+5&gt;D1319</f>
        <v/>
      </c>
      <c r="L1319" s="2">
        <f>J1319&lt;I1319</f>
        <v/>
      </c>
      <c r="M1319" s="2" t="b">
        <v>1</v>
      </c>
      <c r="N1319" s="2" t="b">
        <v>1</v>
      </c>
      <c r="O1319" s="2" t="inlineStr">
        <is>
          <t>allow</t>
        </is>
      </c>
      <c r="P1319" s="2">
        <f>O1319&lt;&gt;"unknown"</f>
        <v/>
      </c>
    </row>
    <row r="1320">
      <c r="A1320" s="2" t="inlineStr">
        <is>
          <t>1500-on</t>
        </is>
      </c>
      <c r="B1320" s="2" t="n">
        <v>1500</v>
      </c>
      <c r="C1320" s="2" t="inlineStr">
        <is>
          <t>on</t>
        </is>
      </c>
      <c r="D1320" s="2" t="n">
        <v>1448</v>
      </c>
      <c r="E1320" s="2" t="inlineStr">
        <is>
          <t>browser edge101</t>
        </is>
      </c>
      <c r="F1320" s="2" t="b">
        <v>0</v>
      </c>
      <c r="G1320" s="2" t="n">
        <v>19</v>
      </c>
      <c r="H1320" s="2" t="n">
        <v>512</v>
      </c>
      <c r="I1320" s="2" t="n">
        <v>512</v>
      </c>
      <c r="J1320" s="2" t="n">
        <v>512</v>
      </c>
      <c r="K1320" s="2">
        <f>H1320+5&gt;D1320</f>
        <v/>
      </c>
      <c r="L1320" s="2">
        <f>J1320&lt;I1320</f>
        <v/>
      </c>
      <c r="M1320" s="2" t="b">
        <v>1</v>
      </c>
      <c r="N1320" s="2" t="b">
        <v>1</v>
      </c>
      <c r="O1320" s="2" t="inlineStr">
        <is>
          <t>allow</t>
        </is>
      </c>
      <c r="P1320" s="2">
        <f>O1320&lt;&gt;"unknown"</f>
        <v/>
      </c>
    </row>
    <row r="1321">
      <c r="A1321" s="2" t="inlineStr">
        <is>
          <t>1500-on</t>
        </is>
      </c>
      <c r="B1321" s="2" t="n">
        <v>1500</v>
      </c>
      <c r="C1321" s="2" t="inlineStr">
        <is>
          <t>on</t>
        </is>
      </c>
      <c r="D1321" s="2" t="n">
        <v>1448</v>
      </c>
      <c r="E1321" s="2" t="inlineStr">
        <is>
          <t>browser edge101</t>
        </is>
      </c>
      <c r="F1321" s="2" t="b">
        <v>0</v>
      </c>
      <c r="G1321" s="2" t="n">
        <v>20</v>
      </c>
      <c r="H1321" s="2" t="n">
        <v>512</v>
      </c>
      <c r="I1321" s="2" t="n">
        <v>512</v>
      </c>
      <c r="J1321" s="2" t="n">
        <v>512</v>
      </c>
      <c r="K1321" s="2">
        <f>H1321+5&gt;D1321</f>
        <v/>
      </c>
      <c r="L1321" s="2">
        <f>J1321&lt;I1321</f>
        <v/>
      </c>
      <c r="M1321" s="2" t="b">
        <v>1</v>
      </c>
      <c r="N1321" s="2" t="b">
        <v>1</v>
      </c>
      <c r="O1321" s="2" t="inlineStr">
        <is>
          <t>allow</t>
        </is>
      </c>
      <c r="P1321" s="2">
        <f>O1321&lt;&gt;"unknown"</f>
        <v/>
      </c>
    </row>
    <row r="1322">
      <c r="A1322" s="2" t="inlineStr">
        <is>
          <t>1500-on</t>
        </is>
      </c>
      <c r="B1322" s="2" t="n">
        <v>1500</v>
      </c>
      <c r="C1322" s="2" t="inlineStr">
        <is>
          <t>on</t>
        </is>
      </c>
      <c r="D1322" s="2" t="n">
        <v>1448</v>
      </c>
      <c r="E1322" s="2" t="inlineStr">
        <is>
          <t>browser firefox133</t>
        </is>
      </c>
      <c r="F1322" s="2" t="b">
        <v>1</v>
      </c>
      <c r="G1322" s="2" t="n">
        <v>1</v>
      </c>
      <c r="H1322" s="2" t="n">
        <v>1892</v>
      </c>
      <c r="I1322" s="2" t="n">
        <v>1892</v>
      </c>
      <c r="J1322" s="2" t="n">
        <v>1443</v>
      </c>
      <c r="K1322" s="2">
        <f>H1322+5&gt;D1322</f>
        <v/>
      </c>
      <c r="L1322" s="2">
        <f>J1322&lt;I1322</f>
        <v/>
      </c>
      <c r="M1322" s="2" t="b">
        <v>1</v>
      </c>
      <c r="N1322" s="2" t="b">
        <v>0</v>
      </c>
      <c r="O1322" s="2" t="inlineStr">
        <is>
          <t>unknown</t>
        </is>
      </c>
      <c r="P1322" s="2">
        <f>O1322&lt;&gt;"unknown"</f>
        <v/>
      </c>
    </row>
    <row r="1323">
      <c r="A1323" s="2" t="inlineStr">
        <is>
          <t>1500-on</t>
        </is>
      </c>
      <c r="B1323" s="2" t="n">
        <v>1500</v>
      </c>
      <c r="C1323" s="2" t="inlineStr">
        <is>
          <t>on</t>
        </is>
      </c>
      <c r="D1323" s="2" t="n">
        <v>1448</v>
      </c>
      <c r="E1323" s="2" t="inlineStr">
        <is>
          <t>browser firefox133</t>
        </is>
      </c>
      <c r="F1323" s="2" t="b">
        <v>1</v>
      </c>
      <c r="G1323" s="2" t="n">
        <v>2</v>
      </c>
      <c r="H1323" s="2" t="n">
        <v>1892</v>
      </c>
      <c r="I1323" s="2" t="n">
        <v>1892</v>
      </c>
      <c r="J1323" s="2" t="n">
        <v>1443</v>
      </c>
      <c r="K1323" s="2">
        <f>H1323+5&gt;D1323</f>
        <v/>
      </c>
      <c r="L1323" s="2">
        <f>J1323&lt;I1323</f>
        <v/>
      </c>
      <c r="M1323" s="2" t="b">
        <v>1</v>
      </c>
      <c r="N1323" s="2" t="b">
        <v>0</v>
      </c>
      <c r="O1323" s="2" t="inlineStr">
        <is>
          <t>unknown</t>
        </is>
      </c>
      <c r="P1323" s="2">
        <f>O1323&lt;&gt;"unknown"</f>
        <v/>
      </c>
    </row>
    <row r="1324">
      <c r="A1324" s="2" t="inlineStr">
        <is>
          <t>1500-on</t>
        </is>
      </c>
      <c r="B1324" s="2" t="n">
        <v>1500</v>
      </c>
      <c r="C1324" s="2" t="inlineStr">
        <is>
          <t>on</t>
        </is>
      </c>
      <c r="D1324" s="2" t="n">
        <v>1448</v>
      </c>
      <c r="E1324" s="2" t="inlineStr">
        <is>
          <t>browser firefox133</t>
        </is>
      </c>
      <c r="F1324" s="2" t="b">
        <v>1</v>
      </c>
      <c r="G1324" s="2" t="n">
        <v>3</v>
      </c>
      <c r="H1324" s="2" t="n">
        <v>1892</v>
      </c>
      <c r="I1324" s="2" t="n">
        <v>1892</v>
      </c>
      <c r="J1324" s="2" t="n">
        <v>1443</v>
      </c>
      <c r="K1324" s="2">
        <f>H1324+5&gt;D1324</f>
        <v/>
      </c>
      <c r="L1324" s="2">
        <f>J1324&lt;I1324</f>
        <v/>
      </c>
      <c r="M1324" s="2" t="b">
        <v>1</v>
      </c>
      <c r="N1324" s="2" t="b">
        <v>0</v>
      </c>
      <c r="O1324" s="2" t="inlineStr">
        <is>
          <t>unknown</t>
        </is>
      </c>
      <c r="P1324" s="2">
        <f>O1324&lt;&gt;"unknown"</f>
        <v/>
      </c>
    </row>
    <row r="1325">
      <c r="A1325" s="2" t="inlineStr">
        <is>
          <t>1500-on</t>
        </is>
      </c>
      <c r="B1325" s="2" t="n">
        <v>1500</v>
      </c>
      <c r="C1325" s="2" t="inlineStr">
        <is>
          <t>on</t>
        </is>
      </c>
      <c r="D1325" s="2" t="n">
        <v>1448</v>
      </c>
      <c r="E1325" s="2" t="inlineStr">
        <is>
          <t>browser firefox133</t>
        </is>
      </c>
      <c r="F1325" s="2" t="b">
        <v>1</v>
      </c>
      <c r="G1325" s="2" t="n">
        <v>4</v>
      </c>
      <c r="H1325" s="2" t="n">
        <v>1828</v>
      </c>
      <c r="I1325" s="2" t="n">
        <v>1828</v>
      </c>
      <c r="J1325" s="2" t="n">
        <v>1443</v>
      </c>
      <c r="K1325" s="2">
        <f>H1325+5&gt;D1325</f>
        <v/>
      </c>
      <c r="L1325" s="2">
        <f>J1325&lt;I1325</f>
        <v/>
      </c>
      <c r="M1325" s="2" t="b">
        <v>1</v>
      </c>
      <c r="N1325" s="2" t="b">
        <v>0</v>
      </c>
      <c r="O1325" s="2" t="inlineStr">
        <is>
          <t>unknown</t>
        </is>
      </c>
      <c r="P1325" s="2">
        <f>O1325&lt;&gt;"unknown"</f>
        <v/>
      </c>
    </row>
    <row r="1326">
      <c r="A1326" s="2" t="inlineStr">
        <is>
          <t>1500-on</t>
        </is>
      </c>
      <c r="B1326" s="2" t="n">
        <v>1500</v>
      </c>
      <c r="C1326" s="2" t="inlineStr">
        <is>
          <t>on</t>
        </is>
      </c>
      <c r="D1326" s="2" t="n">
        <v>1448</v>
      </c>
      <c r="E1326" s="2" t="inlineStr">
        <is>
          <t>browser firefox133</t>
        </is>
      </c>
      <c r="F1326" s="2" t="b">
        <v>1</v>
      </c>
      <c r="G1326" s="2" t="n">
        <v>5</v>
      </c>
      <c r="H1326" s="2" t="n">
        <v>1828</v>
      </c>
      <c r="I1326" s="2" t="n">
        <v>1828</v>
      </c>
      <c r="J1326" s="2" t="n">
        <v>1443</v>
      </c>
      <c r="K1326" s="2">
        <f>H1326+5&gt;D1326</f>
        <v/>
      </c>
      <c r="L1326" s="2">
        <f>J1326&lt;I1326</f>
        <v/>
      </c>
      <c r="M1326" s="2" t="b">
        <v>1</v>
      </c>
      <c r="N1326" s="2" t="b">
        <v>0</v>
      </c>
      <c r="O1326" s="2" t="inlineStr">
        <is>
          <t>unknown</t>
        </is>
      </c>
      <c r="P1326" s="2">
        <f>O1326&lt;&gt;"unknown"</f>
        <v/>
      </c>
    </row>
    <row r="1327">
      <c r="A1327" s="2" t="inlineStr">
        <is>
          <t>1500-on</t>
        </is>
      </c>
      <c r="B1327" s="2" t="n">
        <v>1500</v>
      </c>
      <c r="C1327" s="2" t="inlineStr">
        <is>
          <t>on</t>
        </is>
      </c>
      <c r="D1327" s="2" t="n">
        <v>1448</v>
      </c>
      <c r="E1327" s="2" t="inlineStr">
        <is>
          <t>browser firefox133</t>
        </is>
      </c>
      <c r="F1327" s="2" t="b">
        <v>1</v>
      </c>
      <c r="G1327" s="2" t="n">
        <v>6</v>
      </c>
      <c r="H1327" s="2" t="n">
        <v>1892</v>
      </c>
      <c r="I1327" s="2" t="n">
        <v>1892</v>
      </c>
      <c r="J1327" s="2" t="n">
        <v>1443</v>
      </c>
      <c r="K1327" s="2">
        <f>H1327+5&gt;D1327</f>
        <v/>
      </c>
      <c r="L1327" s="2">
        <f>J1327&lt;I1327</f>
        <v/>
      </c>
      <c r="M1327" s="2" t="b">
        <v>1</v>
      </c>
      <c r="N1327" s="2" t="b">
        <v>0</v>
      </c>
      <c r="O1327" s="2" t="inlineStr">
        <is>
          <t>unknown</t>
        </is>
      </c>
      <c r="P1327" s="2">
        <f>O1327&lt;&gt;"unknown"</f>
        <v/>
      </c>
    </row>
    <row r="1328">
      <c r="A1328" s="2" t="inlineStr">
        <is>
          <t>1500-on</t>
        </is>
      </c>
      <c r="B1328" s="2" t="n">
        <v>1500</v>
      </c>
      <c r="C1328" s="2" t="inlineStr">
        <is>
          <t>on</t>
        </is>
      </c>
      <c r="D1328" s="2" t="n">
        <v>1448</v>
      </c>
      <c r="E1328" s="2" t="inlineStr">
        <is>
          <t>browser firefox133</t>
        </is>
      </c>
      <c r="F1328" s="2" t="b">
        <v>1</v>
      </c>
      <c r="G1328" s="2" t="n">
        <v>7</v>
      </c>
      <c r="H1328" s="2" t="n">
        <v>1796</v>
      </c>
      <c r="I1328" s="2" t="n">
        <v>1796</v>
      </c>
      <c r="J1328" s="2" t="n">
        <v>1443</v>
      </c>
      <c r="K1328" s="2">
        <f>H1328+5&gt;D1328</f>
        <v/>
      </c>
      <c r="L1328" s="2">
        <f>J1328&lt;I1328</f>
        <v/>
      </c>
      <c r="M1328" s="2" t="b">
        <v>1</v>
      </c>
      <c r="N1328" s="2" t="b">
        <v>0</v>
      </c>
      <c r="O1328" s="2" t="inlineStr">
        <is>
          <t>unknown</t>
        </is>
      </c>
      <c r="P1328" s="2">
        <f>O1328&lt;&gt;"unknown"</f>
        <v/>
      </c>
    </row>
    <row r="1329">
      <c r="A1329" s="2" t="inlineStr">
        <is>
          <t>1500-on</t>
        </is>
      </c>
      <c r="B1329" s="2" t="n">
        <v>1500</v>
      </c>
      <c r="C1329" s="2" t="inlineStr">
        <is>
          <t>on</t>
        </is>
      </c>
      <c r="D1329" s="2" t="n">
        <v>1448</v>
      </c>
      <c r="E1329" s="2" t="inlineStr">
        <is>
          <t>browser firefox133</t>
        </is>
      </c>
      <c r="F1329" s="2" t="b">
        <v>1</v>
      </c>
      <c r="G1329" s="2" t="n">
        <v>8</v>
      </c>
      <c r="H1329" s="2" t="n">
        <v>1860</v>
      </c>
      <c r="I1329" s="2" t="n">
        <v>1860</v>
      </c>
      <c r="J1329" s="2" t="n">
        <v>1443</v>
      </c>
      <c r="K1329" s="2">
        <f>H1329+5&gt;D1329</f>
        <v/>
      </c>
      <c r="L1329" s="2">
        <f>J1329&lt;I1329</f>
        <v/>
      </c>
      <c r="M1329" s="2" t="b">
        <v>1</v>
      </c>
      <c r="N1329" s="2" t="b">
        <v>0</v>
      </c>
      <c r="O1329" s="2" t="inlineStr">
        <is>
          <t>unknown</t>
        </is>
      </c>
      <c r="P1329" s="2">
        <f>O1329&lt;&gt;"unknown"</f>
        <v/>
      </c>
    </row>
    <row r="1330">
      <c r="A1330" s="2" t="inlineStr">
        <is>
          <t>1500-on</t>
        </is>
      </c>
      <c r="B1330" s="2" t="n">
        <v>1500</v>
      </c>
      <c r="C1330" s="2" t="inlineStr">
        <is>
          <t>on</t>
        </is>
      </c>
      <c r="D1330" s="2" t="n">
        <v>1448</v>
      </c>
      <c r="E1330" s="2" t="inlineStr">
        <is>
          <t>browser firefox133</t>
        </is>
      </c>
      <c r="F1330" s="2" t="b">
        <v>1</v>
      </c>
      <c r="G1330" s="2" t="n">
        <v>9</v>
      </c>
      <c r="H1330" s="2" t="n">
        <v>1860</v>
      </c>
      <c r="I1330" s="2" t="n">
        <v>1860</v>
      </c>
      <c r="J1330" s="2" t="n">
        <v>1443</v>
      </c>
      <c r="K1330" s="2">
        <f>H1330+5&gt;D1330</f>
        <v/>
      </c>
      <c r="L1330" s="2">
        <f>J1330&lt;I1330</f>
        <v/>
      </c>
      <c r="M1330" s="2" t="b">
        <v>1</v>
      </c>
      <c r="N1330" s="2" t="b">
        <v>0</v>
      </c>
      <c r="O1330" s="2" t="inlineStr">
        <is>
          <t>unknown</t>
        </is>
      </c>
      <c r="P1330" s="2">
        <f>O1330&lt;&gt;"unknown"</f>
        <v/>
      </c>
    </row>
    <row r="1331">
      <c r="A1331" s="2" t="inlineStr">
        <is>
          <t>1500-on</t>
        </is>
      </c>
      <c r="B1331" s="2" t="n">
        <v>1500</v>
      </c>
      <c r="C1331" s="2" t="inlineStr">
        <is>
          <t>on</t>
        </is>
      </c>
      <c r="D1331" s="2" t="n">
        <v>1448</v>
      </c>
      <c r="E1331" s="2" t="inlineStr">
        <is>
          <t>browser firefox133</t>
        </is>
      </c>
      <c r="F1331" s="2" t="b">
        <v>1</v>
      </c>
      <c r="G1331" s="2" t="n">
        <v>10</v>
      </c>
      <c r="H1331" s="2" t="n">
        <v>1860</v>
      </c>
      <c r="I1331" s="2" t="n">
        <v>1860</v>
      </c>
      <c r="J1331" s="2" t="n">
        <v>1443</v>
      </c>
      <c r="K1331" s="2">
        <f>H1331+5&gt;D1331</f>
        <v/>
      </c>
      <c r="L1331" s="2">
        <f>J1331&lt;I1331</f>
        <v/>
      </c>
      <c r="M1331" s="2" t="b">
        <v>1</v>
      </c>
      <c r="N1331" s="2" t="b">
        <v>0</v>
      </c>
      <c r="O1331" s="2" t="inlineStr">
        <is>
          <t>unknown</t>
        </is>
      </c>
      <c r="P1331" s="2">
        <f>O1331&lt;&gt;"unknown"</f>
        <v/>
      </c>
    </row>
    <row r="1332">
      <c r="A1332" s="2" t="inlineStr">
        <is>
          <t>1500-on</t>
        </is>
      </c>
      <c r="B1332" s="2" t="n">
        <v>1500</v>
      </c>
      <c r="C1332" s="2" t="inlineStr">
        <is>
          <t>on</t>
        </is>
      </c>
      <c r="D1332" s="2" t="n">
        <v>1448</v>
      </c>
      <c r="E1332" s="2" t="inlineStr">
        <is>
          <t>browser firefox133</t>
        </is>
      </c>
      <c r="F1332" s="2" t="b">
        <v>1</v>
      </c>
      <c r="G1332" s="2" t="n">
        <v>11</v>
      </c>
      <c r="H1332" s="2" t="n">
        <v>1892</v>
      </c>
      <c r="I1332" s="2" t="n">
        <v>1892</v>
      </c>
      <c r="J1332" s="2" t="n">
        <v>1443</v>
      </c>
      <c r="K1332" s="2">
        <f>H1332+5&gt;D1332</f>
        <v/>
      </c>
      <c r="L1332" s="2">
        <f>J1332&lt;I1332</f>
        <v/>
      </c>
      <c r="M1332" s="2" t="b">
        <v>1</v>
      </c>
      <c r="N1332" s="2" t="b">
        <v>0</v>
      </c>
      <c r="O1332" s="2" t="inlineStr">
        <is>
          <t>unknown</t>
        </is>
      </c>
      <c r="P1332" s="2">
        <f>O1332&lt;&gt;"unknown"</f>
        <v/>
      </c>
    </row>
    <row r="1333">
      <c r="A1333" s="2" t="inlineStr">
        <is>
          <t>1500-on</t>
        </is>
      </c>
      <c r="B1333" s="2" t="n">
        <v>1500</v>
      </c>
      <c r="C1333" s="2" t="inlineStr">
        <is>
          <t>on</t>
        </is>
      </c>
      <c r="D1333" s="2" t="n">
        <v>1448</v>
      </c>
      <c r="E1333" s="2" t="inlineStr">
        <is>
          <t>browser firefox133</t>
        </is>
      </c>
      <c r="F1333" s="2" t="b">
        <v>1</v>
      </c>
      <c r="G1333" s="2" t="n">
        <v>12</v>
      </c>
      <c r="H1333" s="2" t="n">
        <v>1828</v>
      </c>
      <c r="I1333" s="2" t="n">
        <v>1828</v>
      </c>
      <c r="J1333" s="2" t="n">
        <v>1443</v>
      </c>
      <c r="K1333" s="2">
        <f>H1333+5&gt;D1333</f>
        <v/>
      </c>
      <c r="L1333" s="2">
        <f>J1333&lt;I1333</f>
        <v/>
      </c>
      <c r="M1333" s="2" t="b">
        <v>1</v>
      </c>
      <c r="N1333" s="2" t="b">
        <v>0</v>
      </c>
      <c r="O1333" s="2" t="inlineStr">
        <is>
          <t>unknown</t>
        </is>
      </c>
      <c r="P1333" s="2">
        <f>O1333&lt;&gt;"unknown"</f>
        <v/>
      </c>
    </row>
    <row r="1334">
      <c r="A1334" s="2" t="inlineStr">
        <is>
          <t>1500-on</t>
        </is>
      </c>
      <c r="B1334" s="2" t="n">
        <v>1500</v>
      </c>
      <c r="C1334" s="2" t="inlineStr">
        <is>
          <t>on</t>
        </is>
      </c>
      <c r="D1334" s="2" t="n">
        <v>1448</v>
      </c>
      <c r="E1334" s="2" t="inlineStr">
        <is>
          <t>browser firefox133</t>
        </is>
      </c>
      <c r="F1334" s="2" t="b">
        <v>1</v>
      </c>
      <c r="G1334" s="2" t="n">
        <v>13</v>
      </c>
      <c r="H1334" s="2" t="n">
        <v>1860</v>
      </c>
      <c r="I1334" s="2" t="n">
        <v>1860</v>
      </c>
      <c r="J1334" s="2" t="n">
        <v>1443</v>
      </c>
      <c r="K1334" s="2">
        <f>H1334+5&gt;D1334</f>
        <v/>
      </c>
      <c r="L1334" s="2">
        <f>J1334&lt;I1334</f>
        <v/>
      </c>
      <c r="M1334" s="2" t="b">
        <v>1</v>
      </c>
      <c r="N1334" s="2" t="b">
        <v>0</v>
      </c>
      <c r="O1334" s="2" t="inlineStr">
        <is>
          <t>unknown</t>
        </is>
      </c>
      <c r="P1334" s="2">
        <f>O1334&lt;&gt;"unknown"</f>
        <v/>
      </c>
    </row>
    <row r="1335">
      <c r="A1335" s="2" t="inlineStr">
        <is>
          <t>1500-on</t>
        </is>
      </c>
      <c r="B1335" s="2" t="n">
        <v>1500</v>
      </c>
      <c r="C1335" s="2" t="inlineStr">
        <is>
          <t>on</t>
        </is>
      </c>
      <c r="D1335" s="2" t="n">
        <v>1448</v>
      </c>
      <c r="E1335" s="2" t="inlineStr">
        <is>
          <t>browser firefox133</t>
        </is>
      </c>
      <c r="F1335" s="2" t="b">
        <v>1</v>
      </c>
      <c r="G1335" s="2" t="n">
        <v>14</v>
      </c>
      <c r="H1335" s="2" t="n">
        <v>1828</v>
      </c>
      <c r="I1335" s="2" t="n">
        <v>1828</v>
      </c>
      <c r="J1335" s="2" t="n">
        <v>1443</v>
      </c>
      <c r="K1335" s="2">
        <f>H1335+5&gt;D1335</f>
        <v/>
      </c>
      <c r="L1335" s="2">
        <f>J1335&lt;I1335</f>
        <v/>
      </c>
      <c r="M1335" s="2" t="b">
        <v>1</v>
      </c>
      <c r="N1335" s="2" t="b">
        <v>0</v>
      </c>
      <c r="O1335" s="2" t="inlineStr">
        <is>
          <t>unknown</t>
        </is>
      </c>
      <c r="P1335" s="2">
        <f>O1335&lt;&gt;"unknown"</f>
        <v/>
      </c>
    </row>
    <row r="1336">
      <c r="A1336" s="2" t="inlineStr">
        <is>
          <t>1500-on</t>
        </is>
      </c>
      <c r="B1336" s="2" t="n">
        <v>1500</v>
      </c>
      <c r="C1336" s="2" t="inlineStr">
        <is>
          <t>on</t>
        </is>
      </c>
      <c r="D1336" s="2" t="n">
        <v>1448</v>
      </c>
      <c r="E1336" s="2" t="inlineStr">
        <is>
          <t>browser firefox133</t>
        </is>
      </c>
      <c r="F1336" s="2" t="b">
        <v>1</v>
      </c>
      <c r="G1336" s="2" t="n">
        <v>15</v>
      </c>
      <c r="H1336" s="2" t="n">
        <v>1828</v>
      </c>
      <c r="I1336" s="2" t="n">
        <v>1828</v>
      </c>
      <c r="J1336" s="2" t="n">
        <v>1443</v>
      </c>
      <c r="K1336" s="2">
        <f>H1336+5&gt;D1336</f>
        <v/>
      </c>
      <c r="L1336" s="2">
        <f>J1336&lt;I1336</f>
        <v/>
      </c>
      <c r="M1336" s="2" t="b">
        <v>1</v>
      </c>
      <c r="N1336" s="2" t="b">
        <v>0</v>
      </c>
      <c r="O1336" s="2" t="inlineStr">
        <is>
          <t>unknown</t>
        </is>
      </c>
      <c r="P1336" s="2">
        <f>O1336&lt;&gt;"unknown"</f>
        <v/>
      </c>
    </row>
    <row r="1337">
      <c r="A1337" s="2" t="inlineStr">
        <is>
          <t>1500-on</t>
        </is>
      </c>
      <c r="B1337" s="2" t="n">
        <v>1500</v>
      </c>
      <c r="C1337" s="2" t="inlineStr">
        <is>
          <t>on</t>
        </is>
      </c>
      <c r="D1337" s="2" t="n">
        <v>1448</v>
      </c>
      <c r="E1337" s="2" t="inlineStr">
        <is>
          <t>browser firefox133</t>
        </is>
      </c>
      <c r="F1337" s="2" t="b">
        <v>1</v>
      </c>
      <c r="G1337" s="2" t="n">
        <v>16</v>
      </c>
      <c r="H1337" s="2" t="n">
        <v>1892</v>
      </c>
      <c r="I1337" s="2" t="n">
        <v>1892</v>
      </c>
      <c r="J1337" s="2" t="n">
        <v>1443</v>
      </c>
      <c r="K1337" s="2">
        <f>H1337+5&gt;D1337</f>
        <v/>
      </c>
      <c r="L1337" s="2">
        <f>J1337&lt;I1337</f>
        <v/>
      </c>
      <c r="M1337" s="2" t="b">
        <v>1</v>
      </c>
      <c r="N1337" s="2" t="b">
        <v>0</v>
      </c>
      <c r="O1337" s="2" t="inlineStr">
        <is>
          <t>unknown</t>
        </is>
      </c>
      <c r="P1337" s="2">
        <f>O1337&lt;&gt;"unknown"</f>
        <v/>
      </c>
    </row>
    <row r="1338">
      <c r="A1338" s="2" t="inlineStr">
        <is>
          <t>1500-on</t>
        </is>
      </c>
      <c r="B1338" s="2" t="n">
        <v>1500</v>
      </c>
      <c r="C1338" s="2" t="inlineStr">
        <is>
          <t>on</t>
        </is>
      </c>
      <c r="D1338" s="2" t="n">
        <v>1448</v>
      </c>
      <c r="E1338" s="2" t="inlineStr">
        <is>
          <t>browser firefox133</t>
        </is>
      </c>
      <c r="F1338" s="2" t="b">
        <v>1</v>
      </c>
      <c r="G1338" s="2" t="n">
        <v>17</v>
      </c>
      <c r="H1338" s="2" t="n">
        <v>1796</v>
      </c>
      <c r="I1338" s="2" t="n">
        <v>1796</v>
      </c>
      <c r="J1338" s="2" t="n">
        <v>1443</v>
      </c>
      <c r="K1338" s="2">
        <f>H1338+5&gt;D1338</f>
        <v/>
      </c>
      <c r="L1338" s="2">
        <f>J1338&lt;I1338</f>
        <v/>
      </c>
      <c r="M1338" s="2" t="b">
        <v>1</v>
      </c>
      <c r="N1338" s="2" t="b">
        <v>0</v>
      </c>
      <c r="O1338" s="2" t="inlineStr">
        <is>
          <t>unknown</t>
        </is>
      </c>
      <c r="P1338" s="2">
        <f>O1338&lt;&gt;"unknown"</f>
        <v/>
      </c>
    </row>
    <row r="1339">
      <c r="A1339" s="2" t="inlineStr">
        <is>
          <t>1500-on</t>
        </is>
      </c>
      <c r="B1339" s="2" t="n">
        <v>1500</v>
      </c>
      <c r="C1339" s="2" t="inlineStr">
        <is>
          <t>on</t>
        </is>
      </c>
      <c r="D1339" s="2" t="n">
        <v>1448</v>
      </c>
      <c r="E1339" s="2" t="inlineStr">
        <is>
          <t>browser firefox133</t>
        </is>
      </c>
      <c r="F1339" s="2" t="b">
        <v>1</v>
      </c>
      <c r="G1339" s="2" t="n">
        <v>18</v>
      </c>
      <c r="H1339" s="2" t="n">
        <v>1828</v>
      </c>
      <c r="I1339" s="2" t="n">
        <v>1828</v>
      </c>
      <c r="J1339" s="2" t="n">
        <v>1443</v>
      </c>
      <c r="K1339" s="2">
        <f>H1339+5&gt;D1339</f>
        <v/>
      </c>
      <c r="L1339" s="2">
        <f>J1339&lt;I1339</f>
        <v/>
      </c>
      <c r="M1339" s="2" t="b">
        <v>1</v>
      </c>
      <c r="N1339" s="2" t="b">
        <v>0</v>
      </c>
      <c r="O1339" s="2" t="inlineStr">
        <is>
          <t>unknown</t>
        </is>
      </c>
      <c r="P1339" s="2">
        <f>O1339&lt;&gt;"unknown"</f>
        <v/>
      </c>
    </row>
    <row r="1340">
      <c r="A1340" s="2" t="inlineStr">
        <is>
          <t>1500-on</t>
        </is>
      </c>
      <c r="B1340" s="2" t="n">
        <v>1500</v>
      </c>
      <c r="C1340" s="2" t="inlineStr">
        <is>
          <t>on</t>
        </is>
      </c>
      <c r="D1340" s="2" t="n">
        <v>1448</v>
      </c>
      <c r="E1340" s="2" t="inlineStr">
        <is>
          <t>browser firefox133</t>
        </is>
      </c>
      <c r="F1340" s="2" t="b">
        <v>1</v>
      </c>
      <c r="G1340" s="2" t="n">
        <v>19</v>
      </c>
      <c r="H1340" s="2" t="n">
        <v>1892</v>
      </c>
      <c r="I1340" s="2" t="n">
        <v>1892</v>
      </c>
      <c r="J1340" s="2" t="n">
        <v>1443</v>
      </c>
      <c r="K1340" s="2">
        <f>H1340+5&gt;D1340</f>
        <v/>
      </c>
      <c r="L1340" s="2">
        <f>J1340&lt;I1340</f>
        <v/>
      </c>
      <c r="M1340" s="2" t="b">
        <v>1</v>
      </c>
      <c r="N1340" s="2" t="b">
        <v>0</v>
      </c>
      <c r="O1340" s="2" t="inlineStr">
        <is>
          <t>unknown</t>
        </is>
      </c>
      <c r="P1340" s="2">
        <f>O1340&lt;&gt;"unknown"</f>
        <v/>
      </c>
    </row>
    <row r="1341">
      <c r="A1341" s="2" t="inlineStr">
        <is>
          <t>1500-on</t>
        </is>
      </c>
      <c r="B1341" s="2" t="n">
        <v>1500</v>
      </c>
      <c r="C1341" s="2" t="inlineStr">
        <is>
          <t>on</t>
        </is>
      </c>
      <c r="D1341" s="2" t="n">
        <v>1448</v>
      </c>
      <c r="E1341" s="2" t="inlineStr">
        <is>
          <t>browser firefox133</t>
        </is>
      </c>
      <c r="F1341" s="2" t="b">
        <v>1</v>
      </c>
      <c r="G1341" s="2" t="n">
        <v>20</v>
      </c>
      <c r="H1341" s="2" t="n">
        <v>1828</v>
      </c>
      <c r="I1341" s="2" t="n">
        <v>1828</v>
      </c>
      <c r="J1341" s="2" t="n">
        <v>1443</v>
      </c>
      <c r="K1341" s="2">
        <f>H1341+5&gt;D1341</f>
        <v/>
      </c>
      <c r="L1341" s="2">
        <f>J1341&lt;I1341</f>
        <v/>
      </c>
      <c r="M1341" s="2" t="b">
        <v>1</v>
      </c>
      <c r="N1341" s="2" t="b">
        <v>0</v>
      </c>
      <c r="O1341" s="2" t="inlineStr">
        <is>
          <t>unknown</t>
        </is>
      </c>
      <c r="P1341" s="2">
        <f>O1341&lt;&gt;"unknown"</f>
        <v/>
      </c>
    </row>
    <row r="1342">
      <c r="A1342" s="2" t="inlineStr">
        <is>
          <t>1500-on</t>
        </is>
      </c>
      <c r="B1342" s="2" t="n">
        <v>1500</v>
      </c>
      <c r="C1342" s="2" t="inlineStr">
        <is>
          <t>on</t>
        </is>
      </c>
      <c r="D1342" s="2" t="n">
        <v>1448</v>
      </c>
      <c r="E1342" s="2" t="inlineStr">
        <is>
          <t>browser firefox147</t>
        </is>
      </c>
      <c r="F1342" s="2" t="b">
        <v>1</v>
      </c>
      <c r="G1342" s="2" t="n">
        <v>1</v>
      </c>
      <c r="H1342" s="2" t="n">
        <v>1832</v>
      </c>
      <c r="I1342" s="2" t="n">
        <v>1832</v>
      </c>
      <c r="J1342" s="2" t="n">
        <v>1443</v>
      </c>
      <c r="K1342" s="2">
        <f>H1342+5&gt;D1342</f>
        <v/>
      </c>
      <c r="L1342" s="2">
        <f>J1342&lt;I1342</f>
        <v/>
      </c>
      <c r="M1342" s="2" t="b">
        <v>1</v>
      </c>
      <c r="N1342" s="2" t="b">
        <v>0</v>
      </c>
      <c r="O1342" s="2" t="inlineStr">
        <is>
          <t>unknown</t>
        </is>
      </c>
      <c r="P1342" s="2">
        <f>O1342&lt;&gt;"unknown"</f>
        <v/>
      </c>
    </row>
    <row r="1343">
      <c r="A1343" s="2" t="inlineStr">
        <is>
          <t>1500-on</t>
        </is>
      </c>
      <c r="B1343" s="2" t="n">
        <v>1500</v>
      </c>
      <c r="C1343" s="2" t="inlineStr">
        <is>
          <t>on</t>
        </is>
      </c>
      <c r="D1343" s="2" t="n">
        <v>1448</v>
      </c>
      <c r="E1343" s="2" t="inlineStr">
        <is>
          <t>browser firefox147</t>
        </is>
      </c>
      <c r="F1343" s="2" t="b">
        <v>1</v>
      </c>
      <c r="G1343" s="2" t="n">
        <v>2</v>
      </c>
      <c r="H1343" s="2" t="n">
        <v>1896</v>
      </c>
      <c r="I1343" s="2" t="n">
        <v>1896</v>
      </c>
      <c r="J1343" s="2" t="n">
        <v>1443</v>
      </c>
      <c r="K1343" s="2">
        <f>H1343+5&gt;D1343</f>
        <v/>
      </c>
      <c r="L1343" s="2">
        <f>J1343&lt;I1343</f>
        <v/>
      </c>
      <c r="M1343" s="2" t="b">
        <v>1</v>
      </c>
      <c r="N1343" s="2" t="b">
        <v>0</v>
      </c>
      <c r="O1343" s="2" t="inlineStr">
        <is>
          <t>unknown</t>
        </is>
      </c>
      <c r="P1343" s="2">
        <f>O1343&lt;&gt;"unknown"</f>
        <v/>
      </c>
    </row>
    <row r="1344">
      <c r="A1344" s="2" t="inlineStr">
        <is>
          <t>1500-on</t>
        </is>
      </c>
      <c r="B1344" s="2" t="n">
        <v>1500</v>
      </c>
      <c r="C1344" s="2" t="inlineStr">
        <is>
          <t>on</t>
        </is>
      </c>
      <c r="D1344" s="2" t="n">
        <v>1448</v>
      </c>
      <c r="E1344" s="2" t="inlineStr">
        <is>
          <t>browser firefox147</t>
        </is>
      </c>
      <c r="F1344" s="2" t="b">
        <v>1</v>
      </c>
      <c r="G1344" s="2" t="n">
        <v>3</v>
      </c>
      <c r="H1344" s="2" t="n">
        <v>1896</v>
      </c>
      <c r="I1344" s="2" t="n">
        <v>1896</v>
      </c>
      <c r="J1344" s="2" t="n">
        <v>1443</v>
      </c>
      <c r="K1344" s="2">
        <f>H1344+5&gt;D1344</f>
        <v/>
      </c>
      <c r="L1344" s="2">
        <f>J1344&lt;I1344</f>
        <v/>
      </c>
      <c r="M1344" s="2" t="b">
        <v>1</v>
      </c>
      <c r="N1344" s="2" t="b">
        <v>0</v>
      </c>
      <c r="O1344" s="2" t="inlineStr">
        <is>
          <t>unknown</t>
        </is>
      </c>
      <c r="P1344" s="2">
        <f>O1344&lt;&gt;"unknown"</f>
        <v/>
      </c>
    </row>
    <row r="1345">
      <c r="A1345" s="2" t="inlineStr">
        <is>
          <t>1500-on</t>
        </is>
      </c>
      <c r="B1345" s="2" t="n">
        <v>1500</v>
      </c>
      <c r="C1345" s="2" t="inlineStr">
        <is>
          <t>on</t>
        </is>
      </c>
      <c r="D1345" s="2" t="n">
        <v>1448</v>
      </c>
      <c r="E1345" s="2" t="inlineStr">
        <is>
          <t>browser firefox147</t>
        </is>
      </c>
      <c r="F1345" s="2" t="b">
        <v>1</v>
      </c>
      <c r="G1345" s="2" t="n">
        <v>4</v>
      </c>
      <c r="H1345" s="2" t="n">
        <v>1864</v>
      </c>
      <c r="I1345" s="2" t="n">
        <v>1864</v>
      </c>
      <c r="J1345" s="2" t="n">
        <v>1443</v>
      </c>
      <c r="K1345" s="2">
        <f>H1345+5&gt;D1345</f>
        <v/>
      </c>
      <c r="L1345" s="2">
        <f>J1345&lt;I1345</f>
        <v/>
      </c>
      <c r="M1345" s="2" t="b">
        <v>1</v>
      </c>
      <c r="N1345" s="2" t="b">
        <v>0</v>
      </c>
      <c r="O1345" s="2" t="inlineStr">
        <is>
          <t>unknown</t>
        </is>
      </c>
      <c r="P1345" s="2">
        <f>O1345&lt;&gt;"unknown"</f>
        <v/>
      </c>
    </row>
    <row r="1346">
      <c r="A1346" s="2" t="inlineStr">
        <is>
          <t>1500-on</t>
        </is>
      </c>
      <c r="B1346" s="2" t="n">
        <v>1500</v>
      </c>
      <c r="C1346" s="2" t="inlineStr">
        <is>
          <t>on</t>
        </is>
      </c>
      <c r="D1346" s="2" t="n">
        <v>1448</v>
      </c>
      <c r="E1346" s="2" t="inlineStr">
        <is>
          <t>browser firefox147</t>
        </is>
      </c>
      <c r="F1346" s="2" t="b">
        <v>1</v>
      </c>
      <c r="G1346" s="2" t="n">
        <v>5</v>
      </c>
      <c r="H1346" s="2" t="n">
        <v>1896</v>
      </c>
      <c r="I1346" s="2" t="n">
        <v>1896</v>
      </c>
      <c r="J1346" s="2" t="n">
        <v>1443</v>
      </c>
      <c r="K1346" s="2">
        <f>H1346+5&gt;D1346</f>
        <v/>
      </c>
      <c r="L1346" s="2">
        <f>J1346&lt;I1346</f>
        <v/>
      </c>
      <c r="M1346" s="2" t="b">
        <v>1</v>
      </c>
      <c r="N1346" s="2" t="b">
        <v>0</v>
      </c>
      <c r="O1346" s="2" t="inlineStr">
        <is>
          <t>unknown</t>
        </is>
      </c>
      <c r="P1346" s="2">
        <f>O1346&lt;&gt;"unknown"</f>
        <v/>
      </c>
    </row>
    <row r="1347">
      <c r="A1347" s="2" t="inlineStr">
        <is>
          <t>1500-on</t>
        </is>
      </c>
      <c r="B1347" s="2" t="n">
        <v>1500</v>
      </c>
      <c r="C1347" s="2" t="inlineStr">
        <is>
          <t>on</t>
        </is>
      </c>
      <c r="D1347" s="2" t="n">
        <v>1448</v>
      </c>
      <c r="E1347" s="2" t="inlineStr">
        <is>
          <t>browser firefox147</t>
        </is>
      </c>
      <c r="F1347" s="2" t="b">
        <v>1</v>
      </c>
      <c r="G1347" s="2" t="n">
        <v>6</v>
      </c>
      <c r="H1347" s="2" t="n">
        <v>1832</v>
      </c>
      <c r="I1347" s="2" t="n">
        <v>1832</v>
      </c>
      <c r="J1347" s="2" t="n">
        <v>1443</v>
      </c>
      <c r="K1347" s="2">
        <f>H1347+5&gt;D1347</f>
        <v/>
      </c>
      <c r="L1347" s="2">
        <f>J1347&lt;I1347</f>
        <v/>
      </c>
      <c r="M1347" s="2" t="b">
        <v>1</v>
      </c>
      <c r="N1347" s="2" t="b">
        <v>0</v>
      </c>
      <c r="O1347" s="2" t="inlineStr">
        <is>
          <t>unknown</t>
        </is>
      </c>
      <c r="P1347" s="2">
        <f>O1347&lt;&gt;"unknown"</f>
        <v/>
      </c>
    </row>
    <row r="1348">
      <c r="A1348" s="2" t="inlineStr">
        <is>
          <t>1500-on</t>
        </is>
      </c>
      <c r="B1348" s="2" t="n">
        <v>1500</v>
      </c>
      <c r="C1348" s="2" t="inlineStr">
        <is>
          <t>on</t>
        </is>
      </c>
      <c r="D1348" s="2" t="n">
        <v>1448</v>
      </c>
      <c r="E1348" s="2" t="inlineStr">
        <is>
          <t>browser firefox147</t>
        </is>
      </c>
      <c r="F1348" s="2" t="b">
        <v>1</v>
      </c>
      <c r="G1348" s="2" t="n">
        <v>7</v>
      </c>
      <c r="H1348" s="2" t="n">
        <v>1864</v>
      </c>
      <c r="I1348" s="2" t="n">
        <v>1864</v>
      </c>
      <c r="J1348" s="2" t="n">
        <v>1443</v>
      </c>
      <c r="K1348" s="2">
        <f>H1348+5&gt;D1348</f>
        <v/>
      </c>
      <c r="L1348" s="2">
        <f>J1348&lt;I1348</f>
        <v/>
      </c>
      <c r="M1348" s="2" t="b">
        <v>1</v>
      </c>
      <c r="N1348" s="2" t="b">
        <v>0</v>
      </c>
      <c r="O1348" s="2" t="inlineStr">
        <is>
          <t>unknown</t>
        </is>
      </c>
      <c r="P1348" s="2">
        <f>O1348&lt;&gt;"unknown"</f>
        <v/>
      </c>
    </row>
    <row r="1349">
      <c r="A1349" s="2" t="inlineStr">
        <is>
          <t>1500-on</t>
        </is>
      </c>
      <c r="B1349" s="2" t="n">
        <v>1500</v>
      </c>
      <c r="C1349" s="2" t="inlineStr">
        <is>
          <t>on</t>
        </is>
      </c>
      <c r="D1349" s="2" t="n">
        <v>1448</v>
      </c>
      <c r="E1349" s="2" t="inlineStr">
        <is>
          <t>browser firefox147</t>
        </is>
      </c>
      <c r="F1349" s="2" t="b">
        <v>1</v>
      </c>
      <c r="G1349" s="2" t="n">
        <v>8</v>
      </c>
      <c r="H1349" s="2" t="n">
        <v>1864</v>
      </c>
      <c r="I1349" s="2" t="n">
        <v>1864</v>
      </c>
      <c r="J1349" s="2" t="n">
        <v>1443</v>
      </c>
      <c r="K1349" s="2">
        <f>H1349+5&gt;D1349</f>
        <v/>
      </c>
      <c r="L1349" s="2">
        <f>J1349&lt;I1349</f>
        <v/>
      </c>
      <c r="M1349" s="2" t="b">
        <v>1</v>
      </c>
      <c r="N1349" s="2" t="b">
        <v>0</v>
      </c>
      <c r="O1349" s="2" t="inlineStr">
        <is>
          <t>unknown</t>
        </is>
      </c>
      <c r="P1349" s="2">
        <f>O1349&lt;&gt;"unknown"</f>
        <v/>
      </c>
    </row>
    <row r="1350">
      <c r="A1350" s="2" t="inlineStr">
        <is>
          <t>1500-on</t>
        </is>
      </c>
      <c r="B1350" s="2" t="n">
        <v>1500</v>
      </c>
      <c r="C1350" s="2" t="inlineStr">
        <is>
          <t>on</t>
        </is>
      </c>
      <c r="D1350" s="2" t="n">
        <v>1448</v>
      </c>
      <c r="E1350" s="2" t="inlineStr">
        <is>
          <t>browser firefox147</t>
        </is>
      </c>
      <c r="F1350" s="2" t="b">
        <v>1</v>
      </c>
      <c r="G1350" s="2" t="n">
        <v>9</v>
      </c>
      <c r="H1350" s="2" t="n">
        <v>1832</v>
      </c>
      <c r="I1350" s="2" t="n">
        <v>1832</v>
      </c>
      <c r="J1350" s="2" t="n">
        <v>1443</v>
      </c>
      <c r="K1350" s="2">
        <f>H1350+5&gt;D1350</f>
        <v/>
      </c>
      <c r="L1350" s="2">
        <f>J1350&lt;I1350</f>
        <v/>
      </c>
      <c r="M1350" s="2" t="b">
        <v>1</v>
      </c>
      <c r="N1350" s="2" t="b">
        <v>0</v>
      </c>
      <c r="O1350" s="2" t="inlineStr">
        <is>
          <t>unknown</t>
        </is>
      </c>
      <c r="P1350" s="2">
        <f>O1350&lt;&gt;"unknown"</f>
        <v/>
      </c>
    </row>
    <row r="1351">
      <c r="A1351" s="2" t="inlineStr">
        <is>
          <t>1500-on</t>
        </is>
      </c>
      <c r="B1351" s="2" t="n">
        <v>1500</v>
      </c>
      <c r="C1351" s="2" t="inlineStr">
        <is>
          <t>on</t>
        </is>
      </c>
      <c r="D1351" s="2" t="n">
        <v>1448</v>
      </c>
      <c r="E1351" s="2" t="inlineStr">
        <is>
          <t>browser firefox147</t>
        </is>
      </c>
      <c r="F1351" s="2" t="b">
        <v>1</v>
      </c>
      <c r="G1351" s="2" t="n">
        <v>10</v>
      </c>
      <c r="H1351" s="2" t="n">
        <v>1832</v>
      </c>
      <c r="I1351" s="2" t="n">
        <v>1832</v>
      </c>
      <c r="J1351" s="2" t="n">
        <v>1443</v>
      </c>
      <c r="K1351" s="2">
        <f>H1351+5&gt;D1351</f>
        <v/>
      </c>
      <c r="L1351" s="2">
        <f>J1351&lt;I1351</f>
        <v/>
      </c>
      <c r="M1351" s="2" t="b">
        <v>1</v>
      </c>
      <c r="N1351" s="2" t="b">
        <v>0</v>
      </c>
      <c r="O1351" s="2" t="inlineStr">
        <is>
          <t>unknown</t>
        </is>
      </c>
      <c r="P1351" s="2">
        <f>O1351&lt;&gt;"unknown"</f>
        <v/>
      </c>
    </row>
    <row r="1352">
      <c r="A1352" s="2" t="inlineStr">
        <is>
          <t>1500-on</t>
        </is>
      </c>
      <c r="B1352" s="2" t="n">
        <v>1500</v>
      </c>
      <c r="C1352" s="2" t="inlineStr">
        <is>
          <t>on</t>
        </is>
      </c>
      <c r="D1352" s="2" t="n">
        <v>1448</v>
      </c>
      <c r="E1352" s="2" t="inlineStr">
        <is>
          <t>browser firefox147</t>
        </is>
      </c>
      <c r="F1352" s="2" t="b">
        <v>1</v>
      </c>
      <c r="G1352" s="2" t="n">
        <v>11</v>
      </c>
      <c r="H1352" s="2" t="n">
        <v>1864</v>
      </c>
      <c r="I1352" s="2" t="n">
        <v>1864</v>
      </c>
      <c r="J1352" s="2" t="n">
        <v>1443</v>
      </c>
      <c r="K1352" s="2">
        <f>H1352+5&gt;D1352</f>
        <v/>
      </c>
      <c r="L1352" s="2">
        <f>J1352&lt;I1352</f>
        <v/>
      </c>
      <c r="M1352" s="2" t="b">
        <v>1</v>
      </c>
      <c r="N1352" s="2" t="b">
        <v>0</v>
      </c>
      <c r="O1352" s="2" t="inlineStr">
        <is>
          <t>unknown</t>
        </is>
      </c>
      <c r="P1352" s="2">
        <f>O1352&lt;&gt;"unknown"</f>
        <v/>
      </c>
    </row>
    <row r="1353">
      <c r="A1353" s="2" t="inlineStr">
        <is>
          <t>1500-on</t>
        </is>
      </c>
      <c r="B1353" s="2" t="n">
        <v>1500</v>
      </c>
      <c r="C1353" s="2" t="inlineStr">
        <is>
          <t>on</t>
        </is>
      </c>
      <c r="D1353" s="2" t="n">
        <v>1448</v>
      </c>
      <c r="E1353" s="2" t="inlineStr">
        <is>
          <t>browser firefox147</t>
        </is>
      </c>
      <c r="F1353" s="2" t="b">
        <v>1</v>
      </c>
      <c r="G1353" s="2" t="n">
        <v>12</v>
      </c>
      <c r="H1353" s="2" t="n">
        <v>1832</v>
      </c>
      <c r="I1353" s="2" t="n">
        <v>1832</v>
      </c>
      <c r="J1353" s="2" t="n">
        <v>1443</v>
      </c>
      <c r="K1353" s="2">
        <f>H1353+5&gt;D1353</f>
        <v/>
      </c>
      <c r="L1353" s="2">
        <f>J1353&lt;I1353</f>
        <v/>
      </c>
      <c r="M1353" s="2" t="b">
        <v>1</v>
      </c>
      <c r="N1353" s="2" t="b">
        <v>0</v>
      </c>
      <c r="O1353" s="2" t="inlineStr">
        <is>
          <t>unknown</t>
        </is>
      </c>
      <c r="P1353" s="2">
        <f>O1353&lt;&gt;"unknown"</f>
        <v/>
      </c>
    </row>
    <row r="1354">
      <c r="A1354" s="2" t="inlineStr">
        <is>
          <t>1500-on</t>
        </is>
      </c>
      <c r="B1354" s="2" t="n">
        <v>1500</v>
      </c>
      <c r="C1354" s="2" t="inlineStr">
        <is>
          <t>on</t>
        </is>
      </c>
      <c r="D1354" s="2" t="n">
        <v>1448</v>
      </c>
      <c r="E1354" s="2" t="inlineStr">
        <is>
          <t>browser firefox147</t>
        </is>
      </c>
      <c r="F1354" s="2" t="b">
        <v>1</v>
      </c>
      <c r="G1354" s="2" t="n">
        <v>13</v>
      </c>
      <c r="H1354" s="2" t="n">
        <v>1896</v>
      </c>
      <c r="I1354" s="2" t="n">
        <v>1896</v>
      </c>
      <c r="J1354" s="2" t="n">
        <v>1443</v>
      </c>
      <c r="K1354" s="2">
        <f>H1354+5&gt;D1354</f>
        <v/>
      </c>
      <c r="L1354" s="2">
        <f>J1354&lt;I1354</f>
        <v/>
      </c>
      <c r="M1354" s="2" t="b">
        <v>1</v>
      </c>
      <c r="N1354" s="2" t="b">
        <v>0</v>
      </c>
      <c r="O1354" s="2" t="inlineStr">
        <is>
          <t>unknown</t>
        </is>
      </c>
      <c r="P1354" s="2">
        <f>O1354&lt;&gt;"unknown"</f>
        <v/>
      </c>
    </row>
    <row r="1355">
      <c r="A1355" s="2" t="inlineStr">
        <is>
          <t>1500-on</t>
        </is>
      </c>
      <c r="B1355" s="2" t="n">
        <v>1500</v>
      </c>
      <c r="C1355" s="2" t="inlineStr">
        <is>
          <t>on</t>
        </is>
      </c>
      <c r="D1355" s="2" t="n">
        <v>1448</v>
      </c>
      <c r="E1355" s="2" t="inlineStr">
        <is>
          <t>browser firefox147</t>
        </is>
      </c>
      <c r="F1355" s="2" t="b">
        <v>1</v>
      </c>
      <c r="G1355" s="2" t="n">
        <v>14</v>
      </c>
      <c r="H1355" s="2" t="n">
        <v>1896</v>
      </c>
      <c r="I1355" s="2" t="n">
        <v>1896</v>
      </c>
      <c r="J1355" s="2" t="n">
        <v>1443</v>
      </c>
      <c r="K1355" s="2">
        <f>H1355+5&gt;D1355</f>
        <v/>
      </c>
      <c r="L1355" s="2">
        <f>J1355&lt;I1355</f>
        <v/>
      </c>
      <c r="M1355" s="2" t="b">
        <v>1</v>
      </c>
      <c r="N1355" s="2" t="b">
        <v>0</v>
      </c>
      <c r="O1355" s="2" t="inlineStr">
        <is>
          <t>unknown</t>
        </is>
      </c>
      <c r="P1355" s="2">
        <f>O1355&lt;&gt;"unknown"</f>
        <v/>
      </c>
    </row>
    <row r="1356">
      <c r="A1356" s="2" t="inlineStr">
        <is>
          <t>1500-on</t>
        </is>
      </c>
      <c r="B1356" s="2" t="n">
        <v>1500</v>
      </c>
      <c r="C1356" s="2" t="inlineStr">
        <is>
          <t>on</t>
        </is>
      </c>
      <c r="D1356" s="2" t="n">
        <v>1448</v>
      </c>
      <c r="E1356" s="2" t="inlineStr">
        <is>
          <t>browser firefox147</t>
        </is>
      </c>
      <c r="F1356" s="2" t="b">
        <v>1</v>
      </c>
      <c r="G1356" s="2" t="n">
        <v>15</v>
      </c>
      <c r="H1356" s="2" t="n">
        <v>1896</v>
      </c>
      <c r="I1356" s="2" t="n">
        <v>1896</v>
      </c>
      <c r="J1356" s="2" t="n">
        <v>1443</v>
      </c>
      <c r="K1356" s="2">
        <f>H1356+5&gt;D1356</f>
        <v/>
      </c>
      <c r="L1356" s="2">
        <f>J1356&lt;I1356</f>
        <v/>
      </c>
      <c r="M1356" s="2" t="b">
        <v>1</v>
      </c>
      <c r="N1356" s="2" t="b">
        <v>0</v>
      </c>
      <c r="O1356" s="2" t="inlineStr">
        <is>
          <t>unknown</t>
        </is>
      </c>
      <c r="P1356" s="2">
        <f>O1356&lt;&gt;"unknown"</f>
        <v/>
      </c>
    </row>
    <row r="1357">
      <c r="A1357" s="2" t="inlineStr">
        <is>
          <t>1500-on</t>
        </is>
      </c>
      <c r="B1357" s="2" t="n">
        <v>1500</v>
      </c>
      <c r="C1357" s="2" t="inlineStr">
        <is>
          <t>on</t>
        </is>
      </c>
      <c r="D1357" s="2" t="n">
        <v>1448</v>
      </c>
      <c r="E1357" s="2" t="inlineStr">
        <is>
          <t>browser firefox147</t>
        </is>
      </c>
      <c r="F1357" s="2" t="b">
        <v>1</v>
      </c>
      <c r="G1357" s="2" t="n">
        <v>16</v>
      </c>
      <c r="H1357" s="2" t="n">
        <v>1896</v>
      </c>
      <c r="I1357" s="2" t="n">
        <v>1896</v>
      </c>
      <c r="J1357" s="2" t="n">
        <v>1443</v>
      </c>
      <c r="K1357" s="2">
        <f>H1357+5&gt;D1357</f>
        <v/>
      </c>
      <c r="L1357" s="2">
        <f>J1357&lt;I1357</f>
        <v/>
      </c>
      <c r="M1357" s="2" t="b">
        <v>1</v>
      </c>
      <c r="N1357" s="2" t="b">
        <v>0</v>
      </c>
      <c r="O1357" s="2" t="inlineStr">
        <is>
          <t>unknown</t>
        </is>
      </c>
      <c r="P1357" s="2">
        <f>O1357&lt;&gt;"unknown"</f>
        <v/>
      </c>
    </row>
    <row r="1358">
      <c r="A1358" s="2" t="inlineStr">
        <is>
          <t>1500-on</t>
        </is>
      </c>
      <c r="B1358" s="2" t="n">
        <v>1500</v>
      </c>
      <c r="C1358" s="2" t="inlineStr">
        <is>
          <t>on</t>
        </is>
      </c>
      <c r="D1358" s="2" t="n">
        <v>1448</v>
      </c>
      <c r="E1358" s="2" t="inlineStr">
        <is>
          <t>browser firefox147</t>
        </is>
      </c>
      <c r="F1358" s="2" t="b">
        <v>1</v>
      </c>
      <c r="G1358" s="2" t="n">
        <v>17</v>
      </c>
      <c r="H1358" s="2" t="n">
        <v>1896</v>
      </c>
      <c r="I1358" s="2" t="n">
        <v>1896</v>
      </c>
      <c r="J1358" s="2" t="n">
        <v>1443</v>
      </c>
      <c r="K1358" s="2">
        <f>H1358+5&gt;D1358</f>
        <v/>
      </c>
      <c r="L1358" s="2">
        <f>J1358&lt;I1358</f>
        <v/>
      </c>
      <c r="M1358" s="2" t="b">
        <v>1</v>
      </c>
      <c r="N1358" s="2" t="b">
        <v>0</v>
      </c>
      <c r="O1358" s="2" t="inlineStr">
        <is>
          <t>unknown</t>
        </is>
      </c>
      <c r="P1358" s="2">
        <f>O1358&lt;&gt;"unknown"</f>
        <v/>
      </c>
    </row>
    <row r="1359">
      <c r="A1359" s="2" t="inlineStr">
        <is>
          <t>1500-on</t>
        </is>
      </c>
      <c r="B1359" s="2" t="n">
        <v>1500</v>
      </c>
      <c r="C1359" s="2" t="inlineStr">
        <is>
          <t>on</t>
        </is>
      </c>
      <c r="D1359" s="2" t="n">
        <v>1448</v>
      </c>
      <c r="E1359" s="2" t="inlineStr">
        <is>
          <t>browser firefox147</t>
        </is>
      </c>
      <c r="F1359" s="2" t="b">
        <v>1</v>
      </c>
      <c r="G1359" s="2" t="n">
        <v>18</v>
      </c>
      <c r="H1359" s="2" t="n">
        <v>1800</v>
      </c>
      <c r="I1359" s="2" t="n">
        <v>1800</v>
      </c>
      <c r="J1359" s="2" t="n">
        <v>1443</v>
      </c>
      <c r="K1359" s="2">
        <f>H1359+5&gt;D1359</f>
        <v/>
      </c>
      <c r="L1359" s="2">
        <f>J1359&lt;I1359</f>
        <v/>
      </c>
      <c r="M1359" s="2" t="b">
        <v>1</v>
      </c>
      <c r="N1359" s="2" t="b">
        <v>0</v>
      </c>
      <c r="O1359" s="2" t="inlineStr">
        <is>
          <t>unknown</t>
        </is>
      </c>
      <c r="P1359" s="2">
        <f>O1359&lt;&gt;"unknown"</f>
        <v/>
      </c>
    </row>
    <row r="1360">
      <c r="A1360" s="2" t="inlineStr">
        <is>
          <t>1500-on</t>
        </is>
      </c>
      <c r="B1360" s="2" t="n">
        <v>1500</v>
      </c>
      <c r="C1360" s="2" t="inlineStr">
        <is>
          <t>on</t>
        </is>
      </c>
      <c r="D1360" s="2" t="n">
        <v>1448</v>
      </c>
      <c r="E1360" s="2" t="inlineStr">
        <is>
          <t>browser firefox147</t>
        </is>
      </c>
      <c r="F1360" s="2" t="b">
        <v>1</v>
      </c>
      <c r="G1360" s="2" t="n">
        <v>19</v>
      </c>
      <c r="H1360" s="2" t="n">
        <v>1832</v>
      </c>
      <c r="I1360" s="2" t="n">
        <v>1832</v>
      </c>
      <c r="J1360" s="2" t="n">
        <v>1443</v>
      </c>
      <c r="K1360" s="2">
        <f>H1360+5&gt;D1360</f>
        <v/>
      </c>
      <c r="L1360" s="2">
        <f>J1360&lt;I1360</f>
        <v/>
      </c>
      <c r="M1360" s="2" t="b">
        <v>1</v>
      </c>
      <c r="N1360" s="2" t="b">
        <v>0</v>
      </c>
      <c r="O1360" s="2" t="inlineStr">
        <is>
          <t>unknown</t>
        </is>
      </c>
      <c r="P1360" s="2">
        <f>O1360&lt;&gt;"unknown"</f>
        <v/>
      </c>
    </row>
    <row r="1361">
      <c r="A1361" s="2" t="inlineStr">
        <is>
          <t>1500-on</t>
        </is>
      </c>
      <c r="B1361" s="2" t="n">
        <v>1500</v>
      </c>
      <c r="C1361" s="2" t="inlineStr">
        <is>
          <t>on</t>
        </is>
      </c>
      <c r="D1361" s="2" t="n">
        <v>1448</v>
      </c>
      <c r="E1361" s="2" t="inlineStr">
        <is>
          <t>browser firefox147</t>
        </is>
      </c>
      <c r="F1361" s="2" t="b">
        <v>1</v>
      </c>
      <c r="G1361" s="2" t="n">
        <v>20</v>
      </c>
      <c r="H1361" s="2" t="n">
        <v>1832</v>
      </c>
      <c r="I1361" s="2" t="n">
        <v>1832</v>
      </c>
      <c r="J1361" s="2" t="n">
        <v>1443</v>
      </c>
      <c r="K1361" s="2">
        <f>H1361+5&gt;D1361</f>
        <v/>
      </c>
      <c r="L1361" s="2">
        <f>J1361&lt;I1361</f>
        <v/>
      </c>
      <c r="M1361" s="2" t="b">
        <v>1</v>
      </c>
      <c r="N1361" s="2" t="b">
        <v>0</v>
      </c>
      <c r="O1361" s="2" t="inlineStr">
        <is>
          <t>unknown</t>
        </is>
      </c>
      <c r="P1361" s="2">
        <f>O1361&lt;&gt;"unknown"</f>
        <v/>
      </c>
    </row>
    <row r="1362">
      <c r="A1362" s="2" t="inlineStr">
        <is>
          <t>1500-on</t>
        </is>
      </c>
      <c r="B1362" s="2" t="n">
        <v>1500</v>
      </c>
      <c r="C1362" s="2" t="inlineStr">
        <is>
          <t>on</t>
        </is>
      </c>
      <c r="D1362" s="2" t="n">
        <v>1448</v>
      </c>
      <c r="E1362" s="2" t="inlineStr">
        <is>
          <t>browser safari184</t>
        </is>
      </c>
      <c r="F1362" s="2" t="b">
        <v>0</v>
      </c>
      <c r="G1362" s="2" t="n">
        <v>1</v>
      </c>
      <c r="H1362" s="2" t="n">
        <v>512</v>
      </c>
      <c r="I1362" s="2" t="n">
        <v>512</v>
      </c>
      <c r="J1362" s="2" t="n">
        <v>512</v>
      </c>
      <c r="K1362" s="2">
        <f>H1362+5&gt;D1362</f>
        <v/>
      </c>
      <c r="L1362" s="2">
        <f>J1362&lt;I1362</f>
        <v/>
      </c>
      <c r="M1362" s="2" t="b">
        <v>1</v>
      </c>
      <c r="N1362" s="2" t="b">
        <v>1</v>
      </c>
      <c r="O1362" s="2" t="inlineStr">
        <is>
          <t>violation</t>
        </is>
      </c>
      <c r="P1362" s="2">
        <f>O1362&lt;&gt;"unknown"</f>
        <v/>
      </c>
    </row>
    <row r="1363">
      <c r="A1363" s="2" t="inlineStr">
        <is>
          <t>1500-on</t>
        </is>
      </c>
      <c r="B1363" s="2" t="n">
        <v>1500</v>
      </c>
      <c r="C1363" s="2" t="inlineStr">
        <is>
          <t>on</t>
        </is>
      </c>
      <c r="D1363" s="2" t="n">
        <v>1448</v>
      </c>
      <c r="E1363" s="2" t="inlineStr">
        <is>
          <t>browser safari184</t>
        </is>
      </c>
      <c r="F1363" s="2" t="b">
        <v>0</v>
      </c>
      <c r="G1363" s="2" t="n">
        <v>2</v>
      </c>
      <c r="H1363" s="2" t="n">
        <v>512</v>
      </c>
      <c r="I1363" s="2" t="n">
        <v>512</v>
      </c>
      <c r="J1363" s="2" t="n">
        <v>512</v>
      </c>
      <c r="K1363" s="2">
        <f>H1363+5&gt;D1363</f>
        <v/>
      </c>
      <c r="L1363" s="2">
        <f>J1363&lt;I1363</f>
        <v/>
      </c>
      <c r="M1363" s="2" t="b">
        <v>1</v>
      </c>
      <c r="N1363" s="2" t="b">
        <v>1</v>
      </c>
      <c r="O1363" s="2" t="inlineStr">
        <is>
          <t>violation</t>
        </is>
      </c>
      <c r="P1363" s="2">
        <f>O1363&lt;&gt;"unknown"</f>
        <v/>
      </c>
    </row>
    <row r="1364">
      <c r="A1364" s="2" t="inlineStr">
        <is>
          <t>1500-on</t>
        </is>
      </c>
      <c r="B1364" s="2" t="n">
        <v>1500</v>
      </c>
      <c r="C1364" s="2" t="inlineStr">
        <is>
          <t>on</t>
        </is>
      </c>
      <c r="D1364" s="2" t="n">
        <v>1448</v>
      </c>
      <c r="E1364" s="2" t="inlineStr">
        <is>
          <t>browser safari184</t>
        </is>
      </c>
      <c r="F1364" s="2" t="b">
        <v>0</v>
      </c>
      <c r="G1364" s="2" t="n">
        <v>3</v>
      </c>
      <c r="H1364" s="2" t="n">
        <v>512</v>
      </c>
      <c r="I1364" s="2" t="n">
        <v>512</v>
      </c>
      <c r="J1364" s="2" t="n">
        <v>512</v>
      </c>
      <c r="K1364" s="2">
        <f>H1364+5&gt;D1364</f>
        <v/>
      </c>
      <c r="L1364" s="2">
        <f>J1364&lt;I1364</f>
        <v/>
      </c>
      <c r="M1364" s="2" t="b">
        <v>1</v>
      </c>
      <c r="N1364" s="2" t="b">
        <v>1</v>
      </c>
      <c r="O1364" s="2" t="inlineStr">
        <is>
          <t>violation</t>
        </is>
      </c>
      <c r="P1364" s="2">
        <f>O1364&lt;&gt;"unknown"</f>
        <v/>
      </c>
    </row>
    <row r="1365">
      <c r="A1365" s="2" t="inlineStr">
        <is>
          <t>1500-on</t>
        </is>
      </c>
      <c r="B1365" s="2" t="n">
        <v>1500</v>
      </c>
      <c r="C1365" s="2" t="inlineStr">
        <is>
          <t>on</t>
        </is>
      </c>
      <c r="D1365" s="2" t="n">
        <v>1448</v>
      </c>
      <c r="E1365" s="2" t="inlineStr">
        <is>
          <t>browser safari184</t>
        </is>
      </c>
      <c r="F1365" s="2" t="b">
        <v>0</v>
      </c>
      <c r="G1365" s="2" t="n">
        <v>4</v>
      </c>
      <c r="H1365" s="2" t="n">
        <v>512</v>
      </c>
      <c r="I1365" s="2" t="n">
        <v>512</v>
      </c>
      <c r="J1365" s="2" t="n">
        <v>512</v>
      </c>
      <c r="K1365" s="2">
        <f>H1365+5&gt;D1365</f>
        <v/>
      </c>
      <c r="L1365" s="2">
        <f>J1365&lt;I1365</f>
        <v/>
      </c>
      <c r="M1365" s="2" t="b">
        <v>1</v>
      </c>
      <c r="N1365" s="2" t="b">
        <v>1</v>
      </c>
      <c r="O1365" s="2" t="inlineStr">
        <is>
          <t>violation</t>
        </is>
      </c>
      <c r="P1365" s="2">
        <f>O1365&lt;&gt;"unknown"</f>
        <v/>
      </c>
    </row>
    <row r="1366">
      <c r="A1366" s="2" t="inlineStr">
        <is>
          <t>1500-on</t>
        </is>
      </c>
      <c r="B1366" s="2" t="n">
        <v>1500</v>
      </c>
      <c r="C1366" s="2" t="inlineStr">
        <is>
          <t>on</t>
        </is>
      </c>
      <c r="D1366" s="2" t="n">
        <v>1448</v>
      </c>
      <c r="E1366" s="2" t="inlineStr">
        <is>
          <t>browser safari184</t>
        </is>
      </c>
      <c r="F1366" s="2" t="b">
        <v>0</v>
      </c>
      <c r="G1366" s="2" t="n">
        <v>5</v>
      </c>
      <c r="H1366" s="2" t="n">
        <v>512</v>
      </c>
      <c r="I1366" s="2" t="n">
        <v>512</v>
      </c>
      <c r="J1366" s="2" t="n">
        <v>512</v>
      </c>
      <c r="K1366" s="2">
        <f>H1366+5&gt;D1366</f>
        <v/>
      </c>
      <c r="L1366" s="2">
        <f>J1366&lt;I1366</f>
        <v/>
      </c>
      <c r="M1366" s="2" t="b">
        <v>1</v>
      </c>
      <c r="N1366" s="2" t="b">
        <v>1</v>
      </c>
      <c r="O1366" s="2" t="inlineStr">
        <is>
          <t>violation</t>
        </is>
      </c>
      <c r="P1366" s="2">
        <f>O1366&lt;&gt;"unknown"</f>
        <v/>
      </c>
    </row>
    <row r="1367">
      <c r="A1367" s="2" t="inlineStr">
        <is>
          <t>1500-on</t>
        </is>
      </c>
      <c r="B1367" s="2" t="n">
        <v>1500</v>
      </c>
      <c r="C1367" s="2" t="inlineStr">
        <is>
          <t>on</t>
        </is>
      </c>
      <c r="D1367" s="2" t="n">
        <v>1448</v>
      </c>
      <c r="E1367" s="2" t="inlineStr">
        <is>
          <t>browser safari184</t>
        </is>
      </c>
      <c r="F1367" s="2" t="b">
        <v>0</v>
      </c>
      <c r="G1367" s="2" t="n">
        <v>6</v>
      </c>
      <c r="H1367" s="2" t="n">
        <v>512</v>
      </c>
      <c r="I1367" s="2" t="n">
        <v>512</v>
      </c>
      <c r="J1367" s="2" t="n">
        <v>512</v>
      </c>
      <c r="K1367" s="2">
        <f>H1367+5&gt;D1367</f>
        <v/>
      </c>
      <c r="L1367" s="2">
        <f>J1367&lt;I1367</f>
        <v/>
      </c>
      <c r="M1367" s="2" t="b">
        <v>1</v>
      </c>
      <c r="N1367" s="2" t="b">
        <v>1</v>
      </c>
      <c r="O1367" s="2" t="inlineStr">
        <is>
          <t>violation</t>
        </is>
      </c>
      <c r="P1367" s="2">
        <f>O1367&lt;&gt;"unknown"</f>
        <v/>
      </c>
    </row>
    <row r="1368">
      <c r="A1368" s="2" t="inlineStr">
        <is>
          <t>1500-on</t>
        </is>
      </c>
      <c r="B1368" s="2" t="n">
        <v>1500</v>
      </c>
      <c r="C1368" s="2" t="inlineStr">
        <is>
          <t>on</t>
        </is>
      </c>
      <c r="D1368" s="2" t="n">
        <v>1448</v>
      </c>
      <c r="E1368" s="2" t="inlineStr">
        <is>
          <t>browser safari184</t>
        </is>
      </c>
      <c r="F1368" s="2" t="b">
        <v>0</v>
      </c>
      <c r="G1368" s="2" t="n">
        <v>7</v>
      </c>
      <c r="H1368" s="2" t="n">
        <v>512</v>
      </c>
      <c r="I1368" s="2" t="n">
        <v>512</v>
      </c>
      <c r="J1368" s="2" t="n">
        <v>512</v>
      </c>
      <c r="K1368" s="2">
        <f>H1368+5&gt;D1368</f>
        <v/>
      </c>
      <c r="L1368" s="2">
        <f>J1368&lt;I1368</f>
        <v/>
      </c>
      <c r="M1368" s="2" t="b">
        <v>1</v>
      </c>
      <c r="N1368" s="2" t="b">
        <v>1</v>
      </c>
      <c r="O1368" s="2" t="inlineStr">
        <is>
          <t>violation</t>
        </is>
      </c>
      <c r="P1368" s="2">
        <f>O1368&lt;&gt;"unknown"</f>
        <v/>
      </c>
    </row>
    <row r="1369">
      <c r="A1369" s="2" t="inlineStr">
        <is>
          <t>1500-on</t>
        </is>
      </c>
      <c r="B1369" s="2" t="n">
        <v>1500</v>
      </c>
      <c r="C1369" s="2" t="inlineStr">
        <is>
          <t>on</t>
        </is>
      </c>
      <c r="D1369" s="2" t="n">
        <v>1448</v>
      </c>
      <c r="E1369" s="2" t="inlineStr">
        <is>
          <t>browser safari184</t>
        </is>
      </c>
      <c r="F1369" s="2" t="b">
        <v>0</v>
      </c>
      <c r="G1369" s="2" t="n">
        <v>8</v>
      </c>
      <c r="H1369" s="2" t="n">
        <v>512</v>
      </c>
      <c r="I1369" s="2" t="n">
        <v>512</v>
      </c>
      <c r="J1369" s="2" t="n">
        <v>512</v>
      </c>
      <c r="K1369" s="2">
        <f>H1369+5&gt;D1369</f>
        <v/>
      </c>
      <c r="L1369" s="2">
        <f>J1369&lt;I1369</f>
        <v/>
      </c>
      <c r="M1369" s="2" t="b">
        <v>1</v>
      </c>
      <c r="N1369" s="2" t="b">
        <v>1</v>
      </c>
      <c r="O1369" s="2" t="inlineStr">
        <is>
          <t>violation</t>
        </is>
      </c>
      <c r="P1369" s="2">
        <f>O1369&lt;&gt;"unknown"</f>
        <v/>
      </c>
    </row>
    <row r="1370">
      <c r="A1370" s="2" t="inlineStr">
        <is>
          <t>1500-on</t>
        </is>
      </c>
      <c r="B1370" s="2" t="n">
        <v>1500</v>
      </c>
      <c r="C1370" s="2" t="inlineStr">
        <is>
          <t>on</t>
        </is>
      </c>
      <c r="D1370" s="2" t="n">
        <v>1448</v>
      </c>
      <c r="E1370" s="2" t="inlineStr">
        <is>
          <t>browser safari184</t>
        </is>
      </c>
      <c r="F1370" s="2" t="b">
        <v>0</v>
      </c>
      <c r="G1370" s="2" t="n">
        <v>9</v>
      </c>
      <c r="H1370" s="2" t="n">
        <v>512</v>
      </c>
      <c r="I1370" s="2" t="n">
        <v>512</v>
      </c>
      <c r="J1370" s="2" t="n">
        <v>512</v>
      </c>
      <c r="K1370" s="2">
        <f>H1370+5&gt;D1370</f>
        <v/>
      </c>
      <c r="L1370" s="2">
        <f>J1370&lt;I1370</f>
        <v/>
      </c>
      <c r="M1370" s="2" t="b">
        <v>1</v>
      </c>
      <c r="N1370" s="2" t="b">
        <v>1</v>
      </c>
      <c r="O1370" s="2" t="inlineStr">
        <is>
          <t>violation</t>
        </is>
      </c>
      <c r="P1370" s="2">
        <f>O1370&lt;&gt;"unknown"</f>
        <v/>
      </c>
    </row>
    <row r="1371">
      <c r="A1371" s="2" t="inlineStr">
        <is>
          <t>1500-on</t>
        </is>
      </c>
      <c r="B1371" s="2" t="n">
        <v>1500</v>
      </c>
      <c r="C1371" s="2" t="inlineStr">
        <is>
          <t>on</t>
        </is>
      </c>
      <c r="D1371" s="2" t="n">
        <v>1448</v>
      </c>
      <c r="E1371" s="2" t="inlineStr">
        <is>
          <t>browser safari184</t>
        </is>
      </c>
      <c r="F1371" s="2" t="b">
        <v>0</v>
      </c>
      <c r="G1371" s="2" t="n">
        <v>10</v>
      </c>
      <c r="H1371" s="2" t="n">
        <v>512</v>
      </c>
      <c r="I1371" s="2" t="n">
        <v>512</v>
      </c>
      <c r="J1371" s="2" t="n">
        <v>512</v>
      </c>
      <c r="K1371" s="2">
        <f>H1371+5&gt;D1371</f>
        <v/>
      </c>
      <c r="L1371" s="2">
        <f>J1371&lt;I1371</f>
        <v/>
      </c>
      <c r="M1371" s="2" t="b">
        <v>1</v>
      </c>
      <c r="N1371" s="2" t="b">
        <v>1</v>
      </c>
      <c r="O1371" s="2" t="inlineStr">
        <is>
          <t>violation</t>
        </is>
      </c>
      <c r="P1371" s="2">
        <f>O1371&lt;&gt;"unknown"</f>
        <v/>
      </c>
    </row>
    <row r="1372">
      <c r="A1372" s="2" t="inlineStr">
        <is>
          <t>1500-on</t>
        </is>
      </c>
      <c r="B1372" s="2" t="n">
        <v>1500</v>
      </c>
      <c r="C1372" s="2" t="inlineStr">
        <is>
          <t>on</t>
        </is>
      </c>
      <c r="D1372" s="2" t="n">
        <v>1448</v>
      </c>
      <c r="E1372" s="2" t="inlineStr">
        <is>
          <t>browser safari184</t>
        </is>
      </c>
      <c r="F1372" s="2" t="b">
        <v>0</v>
      </c>
      <c r="G1372" s="2" t="n">
        <v>11</v>
      </c>
      <c r="H1372" s="2" t="n">
        <v>512</v>
      </c>
      <c r="I1372" s="2" t="n">
        <v>512</v>
      </c>
      <c r="J1372" s="2" t="n">
        <v>512</v>
      </c>
      <c r="K1372" s="2">
        <f>H1372+5&gt;D1372</f>
        <v/>
      </c>
      <c r="L1372" s="2">
        <f>J1372&lt;I1372</f>
        <v/>
      </c>
      <c r="M1372" s="2" t="b">
        <v>1</v>
      </c>
      <c r="N1372" s="2" t="b">
        <v>1</v>
      </c>
      <c r="O1372" s="2" t="inlineStr">
        <is>
          <t>violation</t>
        </is>
      </c>
      <c r="P1372" s="2">
        <f>O1372&lt;&gt;"unknown"</f>
        <v/>
      </c>
    </row>
    <row r="1373">
      <c r="A1373" s="2" t="inlineStr">
        <is>
          <t>1500-on</t>
        </is>
      </c>
      <c r="B1373" s="2" t="n">
        <v>1500</v>
      </c>
      <c r="C1373" s="2" t="inlineStr">
        <is>
          <t>on</t>
        </is>
      </c>
      <c r="D1373" s="2" t="n">
        <v>1448</v>
      </c>
      <c r="E1373" s="2" t="inlineStr">
        <is>
          <t>browser safari184</t>
        </is>
      </c>
      <c r="F1373" s="2" t="b">
        <v>0</v>
      </c>
      <c r="G1373" s="2" t="n">
        <v>12</v>
      </c>
      <c r="H1373" s="2" t="n">
        <v>512</v>
      </c>
      <c r="I1373" s="2" t="n">
        <v>512</v>
      </c>
      <c r="J1373" s="2" t="n">
        <v>512</v>
      </c>
      <c r="K1373" s="2">
        <f>H1373+5&gt;D1373</f>
        <v/>
      </c>
      <c r="L1373" s="2">
        <f>J1373&lt;I1373</f>
        <v/>
      </c>
      <c r="M1373" s="2" t="b">
        <v>1</v>
      </c>
      <c r="N1373" s="2" t="b">
        <v>1</v>
      </c>
      <c r="O1373" s="2" t="inlineStr">
        <is>
          <t>violation</t>
        </is>
      </c>
      <c r="P1373" s="2">
        <f>O1373&lt;&gt;"unknown"</f>
        <v/>
      </c>
    </row>
    <row r="1374">
      <c r="A1374" s="2" t="inlineStr">
        <is>
          <t>1500-on</t>
        </is>
      </c>
      <c r="B1374" s="2" t="n">
        <v>1500</v>
      </c>
      <c r="C1374" s="2" t="inlineStr">
        <is>
          <t>on</t>
        </is>
      </c>
      <c r="D1374" s="2" t="n">
        <v>1448</v>
      </c>
      <c r="E1374" s="2" t="inlineStr">
        <is>
          <t>browser safari184</t>
        </is>
      </c>
      <c r="F1374" s="2" t="b">
        <v>0</v>
      </c>
      <c r="G1374" s="2" t="n">
        <v>13</v>
      </c>
      <c r="H1374" s="2" t="n">
        <v>512</v>
      </c>
      <c r="I1374" s="2" t="n">
        <v>512</v>
      </c>
      <c r="J1374" s="2" t="n">
        <v>512</v>
      </c>
      <c r="K1374" s="2">
        <f>H1374+5&gt;D1374</f>
        <v/>
      </c>
      <c r="L1374" s="2">
        <f>J1374&lt;I1374</f>
        <v/>
      </c>
      <c r="M1374" s="2" t="b">
        <v>1</v>
      </c>
      <c r="N1374" s="2" t="b">
        <v>1</v>
      </c>
      <c r="O1374" s="2" t="inlineStr">
        <is>
          <t>violation</t>
        </is>
      </c>
      <c r="P1374" s="2">
        <f>O1374&lt;&gt;"unknown"</f>
        <v/>
      </c>
    </row>
    <row r="1375">
      <c r="A1375" s="2" t="inlineStr">
        <is>
          <t>1500-on</t>
        </is>
      </c>
      <c r="B1375" s="2" t="n">
        <v>1500</v>
      </c>
      <c r="C1375" s="2" t="inlineStr">
        <is>
          <t>on</t>
        </is>
      </c>
      <c r="D1375" s="2" t="n">
        <v>1448</v>
      </c>
      <c r="E1375" s="2" t="inlineStr">
        <is>
          <t>browser safari184</t>
        </is>
      </c>
      <c r="F1375" s="2" t="b">
        <v>0</v>
      </c>
      <c r="G1375" s="2" t="n">
        <v>14</v>
      </c>
      <c r="H1375" s="2" t="n">
        <v>512</v>
      </c>
      <c r="I1375" s="2" t="n">
        <v>512</v>
      </c>
      <c r="J1375" s="2" t="n">
        <v>512</v>
      </c>
      <c r="K1375" s="2">
        <f>H1375+5&gt;D1375</f>
        <v/>
      </c>
      <c r="L1375" s="2">
        <f>J1375&lt;I1375</f>
        <v/>
      </c>
      <c r="M1375" s="2" t="b">
        <v>1</v>
      </c>
      <c r="N1375" s="2" t="b">
        <v>1</v>
      </c>
      <c r="O1375" s="2" t="inlineStr">
        <is>
          <t>violation</t>
        </is>
      </c>
      <c r="P1375" s="2">
        <f>O1375&lt;&gt;"unknown"</f>
        <v/>
      </c>
    </row>
    <row r="1376">
      <c r="A1376" s="2" t="inlineStr">
        <is>
          <t>1500-on</t>
        </is>
      </c>
      <c r="B1376" s="2" t="n">
        <v>1500</v>
      </c>
      <c r="C1376" s="2" t="inlineStr">
        <is>
          <t>on</t>
        </is>
      </c>
      <c r="D1376" s="2" t="n">
        <v>1448</v>
      </c>
      <c r="E1376" s="2" t="inlineStr">
        <is>
          <t>browser safari184</t>
        </is>
      </c>
      <c r="F1376" s="2" t="b">
        <v>0</v>
      </c>
      <c r="G1376" s="2" t="n">
        <v>15</v>
      </c>
      <c r="H1376" s="2" t="n">
        <v>512</v>
      </c>
      <c r="I1376" s="2" t="n">
        <v>512</v>
      </c>
      <c r="J1376" s="2" t="n">
        <v>512</v>
      </c>
      <c r="K1376" s="2">
        <f>H1376+5&gt;D1376</f>
        <v/>
      </c>
      <c r="L1376" s="2">
        <f>J1376&lt;I1376</f>
        <v/>
      </c>
      <c r="M1376" s="2" t="b">
        <v>1</v>
      </c>
      <c r="N1376" s="2" t="b">
        <v>1</v>
      </c>
      <c r="O1376" s="2" t="inlineStr">
        <is>
          <t>violation</t>
        </is>
      </c>
      <c r="P1376" s="2">
        <f>O1376&lt;&gt;"unknown"</f>
        <v/>
      </c>
    </row>
    <row r="1377">
      <c r="A1377" s="2" t="inlineStr">
        <is>
          <t>1500-on</t>
        </is>
      </c>
      <c r="B1377" s="2" t="n">
        <v>1500</v>
      </c>
      <c r="C1377" s="2" t="inlineStr">
        <is>
          <t>on</t>
        </is>
      </c>
      <c r="D1377" s="2" t="n">
        <v>1448</v>
      </c>
      <c r="E1377" s="2" t="inlineStr">
        <is>
          <t>browser safari184</t>
        </is>
      </c>
      <c r="F1377" s="2" t="b">
        <v>0</v>
      </c>
      <c r="G1377" s="2" t="n">
        <v>16</v>
      </c>
      <c r="H1377" s="2" t="n">
        <v>512</v>
      </c>
      <c r="I1377" s="2" t="n">
        <v>512</v>
      </c>
      <c r="J1377" s="2" t="n">
        <v>512</v>
      </c>
      <c r="K1377" s="2">
        <f>H1377+5&gt;D1377</f>
        <v/>
      </c>
      <c r="L1377" s="2">
        <f>J1377&lt;I1377</f>
        <v/>
      </c>
      <c r="M1377" s="2" t="b">
        <v>1</v>
      </c>
      <c r="N1377" s="2" t="b">
        <v>1</v>
      </c>
      <c r="O1377" s="2" t="inlineStr">
        <is>
          <t>violation</t>
        </is>
      </c>
      <c r="P1377" s="2">
        <f>O1377&lt;&gt;"unknown"</f>
        <v/>
      </c>
    </row>
    <row r="1378">
      <c r="A1378" s="2" t="inlineStr">
        <is>
          <t>1500-on</t>
        </is>
      </c>
      <c r="B1378" s="2" t="n">
        <v>1500</v>
      </c>
      <c r="C1378" s="2" t="inlineStr">
        <is>
          <t>on</t>
        </is>
      </c>
      <c r="D1378" s="2" t="n">
        <v>1448</v>
      </c>
      <c r="E1378" s="2" t="inlineStr">
        <is>
          <t>browser safari184</t>
        </is>
      </c>
      <c r="F1378" s="2" t="b">
        <v>0</v>
      </c>
      <c r="G1378" s="2" t="n">
        <v>17</v>
      </c>
      <c r="H1378" s="2" t="n">
        <v>512</v>
      </c>
      <c r="I1378" s="2" t="n">
        <v>512</v>
      </c>
      <c r="J1378" s="2" t="n">
        <v>512</v>
      </c>
      <c r="K1378" s="2">
        <f>H1378+5&gt;D1378</f>
        <v/>
      </c>
      <c r="L1378" s="2">
        <f>J1378&lt;I1378</f>
        <v/>
      </c>
      <c r="M1378" s="2" t="b">
        <v>1</v>
      </c>
      <c r="N1378" s="2" t="b">
        <v>1</v>
      </c>
      <c r="O1378" s="2" t="inlineStr">
        <is>
          <t>violation</t>
        </is>
      </c>
      <c r="P1378" s="2">
        <f>O1378&lt;&gt;"unknown"</f>
        <v/>
      </c>
    </row>
    <row r="1379">
      <c r="A1379" s="2" t="inlineStr">
        <is>
          <t>1500-on</t>
        </is>
      </c>
      <c r="B1379" s="2" t="n">
        <v>1500</v>
      </c>
      <c r="C1379" s="2" t="inlineStr">
        <is>
          <t>on</t>
        </is>
      </c>
      <c r="D1379" s="2" t="n">
        <v>1448</v>
      </c>
      <c r="E1379" s="2" t="inlineStr">
        <is>
          <t>browser safari184</t>
        </is>
      </c>
      <c r="F1379" s="2" t="b">
        <v>0</v>
      </c>
      <c r="G1379" s="2" t="n">
        <v>18</v>
      </c>
      <c r="H1379" s="2" t="n">
        <v>512</v>
      </c>
      <c r="I1379" s="2" t="n">
        <v>512</v>
      </c>
      <c r="J1379" s="2" t="n">
        <v>512</v>
      </c>
      <c r="K1379" s="2">
        <f>H1379+5&gt;D1379</f>
        <v/>
      </c>
      <c r="L1379" s="2">
        <f>J1379&lt;I1379</f>
        <v/>
      </c>
      <c r="M1379" s="2" t="b">
        <v>1</v>
      </c>
      <c r="N1379" s="2" t="b">
        <v>1</v>
      </c>
      <c r="O1379" s="2" t="inlineStr">
        <is>
          <t>violation</t>
        </is>
      </c>
      <c r="P1379" s="2">
        <f>O1379&lt;&gt;"unknown"</f>
        <v/>
      </c>
    </row>
    <row r="1380">
      <c r="A1380" s="2" t="inlineStr">
        <is>
          <t>1500-on</t>
        </is>
      </c>
      <c r="B1380" s="2" t="n">
        <v>1500</v>
      </c>
      <c r="C1380" s="2" t="inlineStr">
        <is>
          <t>on</t>
        </is>
      </c>
      <c r="D1380" s="2" t="n">
        <v>1448</v>
      </c>
      <c r="E1380" s="2" t="inlineStr">
        <is>
          <t>browser safari184</t>
        </is>
      </c>
      <c r="F1380" s="2" t="b">
        <v>0</v>
      </c>
      <c r="G1380" s="2" t="n">
        <v>19</v>
      </c>
      <c r="H1380" s="2" t="n">
        <v>512</v>
      </c>
      <c r="I1380" s="2" t="n">
        <v>512</v>
      </c>
      <c r="J1380" s="2" t="n">
        <v>512</v>
      </c>
      <c r="K1380" s="2">
        <f>H1380+5&gt;D1380</f>
        <v/>
      </c>
      <c r="L1380" s="2">
        <f>J1380&lt;I1380</f>
        <v/>
      </c>
      <c r="M1380" s="2" t="b">
        <v>1</v>
      </c>
      <c r="N1380" s="2" t="b">
        <v>1</v>
      </c>
      <c r="O1380" s="2" t="inlineStr">
        <is>
          <t>violation</t>
        </is>
      </c>
      <c r="P1380" s="2">
        <f>O1380&lt;&gt;"unknown"</f>
        <v/>
      </c>
    </row>
    <row r="1381">
      <c r="A1381" s="2" t="inlineStr">
        <is>
          <t>1500-on</t>
        </is>
      </c>
      <c r="B1381" s="2" t="n">
        <v>1500</v>
      </c>
      <c r="C1381" s="2" t="inlineStr">
        <is>
          <t>on</t>
        </is>
      </c>
      <c r="D1381" s="2" t="n">
        <v>1448</v>
      </c>
      <c r="E1381" s="2" t="inlineStr">
        <is>
          <t>browser safari184</t>
        </is>
      </c>
      <c r="F1381" s="2" t="b">
        <v>0</v>
      </c>
      <c r="G1381" s="2" t="n">
        <v>20</v>
      </c>
      <c r="H1381" s="2" t="n">
        <v>512</v>
      </c>
      <c r="I1381" s="2" t="n">
        <v>512</v>
      </c>
      <c r="J1381" s="2" t="n">
        <v>512</v>
      </c>
      <c r="K1381" s="2">
        <f>H1381+5&gt;D1381</f>
        <v/>
      </c>
      <c r="L1381" s="2">
        <f>J1381&lt;I1381</f>
        <v/>
      </c>
      <c r="M1381" s="2" t="b">
        <v>1</v>
      </c>
      <c r="N1381" s="2" t="b">
        <v>1</v>
      </c>
      <c r="O1381" s="2" t="inlineStr">
        <is>
          <t>violation</t>
        </is>
      </c>
      <c r="P1381" s="2">
        <f>O1381&lt;&gt;"unknown"</f>
        <v/>
      </c>
    </row>
    <row r="1382">
      <c r="A1382" s="2" t="inlineStr">
        <is>
          <t>1500-on</t>
        </is>
      </c>
      <c r="B1382" s="2" t="n">
        <v>1500</v>
      </c>
      <c r="C1382" s="2" t="inlineStr">
        <is>
          <t>on</t>
        </is>
      </c>
      <c r="D1382" s="2" t="n">
        <v>1448</v>
      </c>
      <c r="E1382" s="2" t="inlineStr">
        <is>
          <t>browser safari260</t>
        </is>
      </c>
      <c r="F1382" s="2" t="b">
        <v>1</v>
      </c>
      <c r="G1382" s="2" t="n">
        <v>1</v>
      </c>
      <c r="H1382" s="2" t="n">
        <v>1537</v>
      </c>
      <c r="I1382" s="2" t="n">
        <v>1537</v>
      </c>
      <c r="J1382" s="2" t="n">
        <v>1443</v>
      </c>
      <c r="K1382" s="2">
        <f>H1382+5&gt;D1382</f>
        <v/>
      </c>
      <c r="L1382" s="2">
        <f>J1382&lt;I1382</f>
        <v/>
      </c>
      <c r="M1382" s="2" t="b">
        <v>1</v>
      </c>
      <c r="N1382" s="2" t="b">
        <v>0</v>
      </c>
      <c r="O1382" s="2" t="inlineStr">
        <is>
          <t>unknown</t>
        </is>
      </c>
      <c r="P1382" s="2">
        <f>O1382&lt;&gt;"unknown"</f>
        <v/>
      </c>
    </row>
    <row r="1383">
      <c r="A1383" s="2" t="inlineStr">
        <is>
          <t>1500-on</t>
        </is>
      </c>
      <c r="B1383" s="2" t="n">
        <v>1500</v>
      </c>
      <c r="C1383" s="2" t="inlineStr">
        <is>
          <t>on</t>
        </is>
      </c>
      <c r="D1383" s="2" t="n">
        <v>1448</v>
      </c>
      <c r="E1383" s="2" t="inlineStr">
        <is>
          <t>browser safari260</t>
        </is>
      </c>
      <c r="F1383" s="2" t="b">
        <v>1</v>
      </c>
      <c r="G1383" s="2" t="n">
        <v>2</v>
      </c>
      <c r="H1383" s="2" t="n">
        <v>1537</v>
      </c>
      <c r="I1383" s="2" t="n">
        <v>1537</v>
      </c>
      <c r="J1383" s="2" t="n">
        <v>1443</v>
      </c>
      <c r="K1383" s="2">
        <f>H1383+5&gt;D1383</f>
        <v/>
      </c>
      <c r="L1383" s="2">
        <f>J1383&lt;I1383</f>
        <v/>
      </c>
      <c r="M1383" s="2" t="b">
        <v>1</v>
      </c>
      <c r="N1383" s="2" t="b">
        <v>0</v>
      </c>
      <c r="O1383" s="2" t="inlineStr">
        <is>
          <t>unknown</t>
        </is>
      </c>
      <c r="P1383" s="2">
        <f>O1383&lt;&gt;"unknown"</f>
        <v/>
      </c>
    </row>
    <row r="1384">
      <c r="A1384" s="2" t="inlineStr">
        <is>
          <t>1500-on</t>
        </is>
      </c>
      <c r="B1384" s="2" t="n">
        <v>1500</v>
      </c>
      <c r="C1384" s="2" t="inlineStr">
        <is>
          <t>on</t>
        </is>
      </c>
      <c r="D1384" s="2" t="n">
        <v>1448</v>
      </c>
      <c r="E1384" s="2" t="inlineStr">
        <is>
          <t>browser safari260</t>
        </is>
      </c>
      <c r="F1384" s="2" t="b">
        <v>1</v>
      </c>
      <c r="G1384" s="2" t="n">
        <v>3</v>
      </c>
      <c r="H1384" s="2" t="n">
        <v>1537</v>
      </c>
      <c r="I1384" s="2" t="n">
        <v>1537</v>
      </c>
      <c r="J1384" s="2" t="n">
        <v>1443</v>
      </c>
      <c r="K1384" s="2">
        <f>H1384+5&gt;D1384</f>
        <v/>
      </c>
      <c r="L1384" s="2">
        <f>J1384&lt;I1384</f>
        <v/>
      </c>
      <c r="M1384" s="2" t="b">
        <v>1</v>
      </c>
      <c r="N1384" s="2" t="b">
        <v>0</v>
      </c>
      <c r="O1384" s="2" t="inlineStr">
        <is>
          <t>unknown</t>
        </is>
      </c>
      <c r="P1384" s="2">
        <f>O1384&lt;&gt;"unknown"</f>
        <v/>
      </c>
    </row>
    <row r="1385">
      <c r="A1385" s="2" t="inlineStr">
        <is>
          <t>1500-on</t>
        </is>
      </c>
      <c r="B1385" s="2" t="n">
        <v>1500</v>
      </c>
      <c r="C1385" s="2" t="inlineStr">
        <is>
          <t>on</t>
        </is>
      </c>
      <c r="D1385" s="2" t="n">
        <v>1448</v>
      </c>
      <c r="E1385" s="2" t="inlineStr">
        <is>
          <t>browser safari260</t>
        </is>
      </c>
      <c r="F1385" s="2" t="b">
        <v>1</v>
      </c>
      <c r="G1385" s="2" t="n">
        <v>4</v>
      </c>
      <c r="H1385" s="2" t="n">
        <v>1537</v>
      </c>
      <c r="I1385" s="2" t="n">
        <v>1537</v>
      </c>
      <c r="J1385" s="2" t="n">
        <v>1443</v>
      </c>
      <c r="K1385" s="2">
        <f>H1385+5&gt;D1385</f>
        <v/>
      </c>
      <c r="L1385" s="2">
        <f>J1385&lt;I1385</f>
        <v/>
      </c>
      <c r="M1385" s="2" t="b">
        <v>1</v>
      </c>
      <c r="N1385" s="2" t="b">
        <v>0</v>
      </c>
      <c r="O1385" s="2" t="inlineStr">
        <is>
          <t>unknown</t>
        </is>
      </c>
      <c r="P1385" s="2">
        <f>O1385&lt;&gt;"unknown"</f>
        <v/>
      </c>
    </row>
    <row r="1386">
      <c r="A1386" s="2" t="inlineStr">
        <is>
          <t>1500-on</t>
        </is>
      </c>
      <c r="B1386" s="2" t="n">
        <v>1500</v>
      </c>
      <c r="C1386" s="2" t="inlineStr">
        <is>
          <t>on</t>
        </is>
      </c>
      <c r="D1386" s="2" t="n">
        <v>1448</v>
      </c>
      <c r="E1386" s="2" t="inlineStr">
        <is>
          <t>browser safari260</t>
        </is>
      </c>
      <c r="F1386" s="2" t="b">
        <v>1</v>
      </c>
      <c r="G1386" s="2" t="n">
        <v>5</v>
      </c>
      <c r="H1386" s="2" t="n">
        <v>1537</v>
      </c>
      <c r="I1386" s="2" t="n">
        <v>1537</v>
      </c>
      <c r="J1386" s="2" t="n">
        <v>1443</v>
      </c>
      <c r="K1386" s="2">
        <f>H1386+5&gt;D1386</f>
        <v/>
      </c>
      <c r="L1386" s="2">
        <f>J1386&lt;I1386</f>
        <v/>
      </c>
      <c r="M1386" s="2" t="b">
        <v>1</v>
      </c>
      <c r="N1386" s="2" t="b">
        <v>0</v>
      </c>
      <c r="O1386" s="2" t="inlineStr">
        <is>
          <t>unknown</t>
        </is>
      </c>
      <c r="P1386" s="2">
        <f>O1386&lt;&gt;"unknown"</f>
        <v/>
      </c>
    </row>
    <row r="1387">
      <c r="A1387" s="2" t="inlineStr">
        <is>
          <t>1500-on</t>
        </is>
      </c>
      <c r="B1387" s="2" t="n">
        <v>1500</v>
      </c>
      <c r="C1387" s="2" t="inlineStr">
        <is>
          <t>on</t>
        </is>
      </c>
      <c r="D1387" s="2" t="n">
        <v>1448</v>
      </c>
      <c r="E1387" s="2" t="inlineStr">
        <is>
          <t>browser safari260</t>
        </is>
      </c>
      <c r="F1387" s="2" t="b">
        <v>1</v>
      </c>
      <c r="G1387" s="2" t="n">
        <v>6</v>
      </c>
      <c r="H1387" s="2" t="n">
        <v>1537</v>
      </c>
      <c r="I1387" s="2" t="n">
        <v>1537</v>
      </c>
      <c r="J1387" s="2" t="n">
        <v>1443</v>
      </c>
      <c r="K1387" s="2">
        <f>H1387+5&gt;D1387</f>
        <v/>
      </c>
      <c r="L1387" s="2">
        <f>J1387&lt;I1387</f>
        <v/>
      </c>
      <c r="M1387" s="2" t="b">
        <v>1</v>
      </c>
      <c r="N1387" s="2" t="b">
        <v>0</v>
      </c>
      <c r="O1387" s="2" t="inlineStr">
        <is>
          <t>unknown</t>
        </is>
      </c>
      <c r="P1387" s="2">
        <f>O1387&lt;&gt;"unknown"</f>
        <v/>
      </c>
    </row>
    <row r="1388">
      <c r="A1388" s="2" t="inlineStr">
        <is>
          <t>1500-on</t>
        </is>
      </c>
      <c r="B1388" s="2" t="n">
        <v>1500</v>
      </c>
      <c r="C1388" s="2" t="inlineStr">
        <is>
          <t>on</t>
        </is>
      </c>
      <c r="D1388" s="2" t="n">
        <v>1448</v>
      </c>
      <c r="E1388" s="2" t="inlineStr">
        <is>
          <t>browser safari260</t>
        </is>
      </c>
      <c r="F1388" s="2" t="b">
        <v>1</v>
      </c>
      <c r="G1388" s="2" t="n">
        <v>7</v>
      </c>
      <c r="H1388" s="2" t="n">
        <v>1537</v>
      </c>
      <c r="I1388" s="2" t="n">
        <v>1537</v>
      </c>
      <c r="J1388" s="2" t="n">
        <v>1443</v>
      </c>
      <c r="K1388" s="2">
        <f>H1388+5&gt;D1388</f>
        <v/>
      </c>
      <c r="L1388" s="2">
        <f>J1388&lt;I1388</f>
        <v/>
      </c>
      <c r="M1388" s="2" t="b">
        <v>1</v>
      </c>
      <c r="N1388" s="2" t="b">
        <v>0</v>
      </c>
      <c r="O1388" s="2" t="inlineStr">
        <is>
          <t>unknown</t>
        </is>
      </c>
      <c r="P1388" s="2">
        <f>O1388&lt;&gt;"unknown"</f>
        <v/>
      </c>
    </row>
    <row r="1389">
      <c r="A1389" s="2" t="inlineStr">
        <is>
          <t>1500-on</t>
        </is>
      </c>
      <c r="B1389" s="2" t="n">
        <v>1500</v>
      </c>
      <c r="C1389" s="2" t="inlineStr">
        <is>
          <t>on</t>
        </is>
      </c>
      <c r="D1389" s="2" t="n">
        <v>1448</v>
      </c>
      <c r="E1389" s="2" t="inlineStr">
        <is>
          <t>browser safari260</t>
        </is>
      </c>
      <c r="F1389" s="2" t="b">
        <v>1</v>
      </c>
      <c r="G1389" s="2" t="n">
        <v>8</v>
      </c>
      <c r="H1389" s="2" t="n">
        <v>1537</v>
      </c>
      <c r="I1389" s="2" t="n">
        <v>1537</v>
      </c>
      <c r="J1389" s="2" t="n">
        <v>1443</v>
      </c>
      <c r="K1389" s="2">
        <f>H1389+5&gt;D1389</f>
        <v/>
      </c>
      <c r="L1389" s="2">
        <f>J1389&lt;I1389</f>
        <v/>
      </c>
      <c r="M1389" s="2" t="b">
        <v>1</v>
      </c>
      <c r="N1389" s="2" t="b">
        <v>0</v>
      </c>
      <c r="O1389" s="2" t="inlineStr">
        <is>
          <t>unknown</t>
        </is>
      </c>
      <c r="P1389" s="2">
        <f>O1389&lt;&gt;"unknown"</f>
        <v/>
      </c>
    </row>
    <row r="1390">
      <c r="A1390" s="2" t="inlineStr">
        <is>
          <t>1500-on</t>
        </is>
      </c>
      <c r="B1390" s="2" t="n">
        <v>1500</v>
      </c>
      <c r="C1390" s="2" t="inlineStr">
        <is>
          <t>on</t>
        </is>
      </c>
      <c r="D1390" s="2" t="n">
        <v>1448</v>
      </c>
      <c r="E1390" s="2" t="inlineStr">
        <is>
          <t>browser safari260</t>
        </is>
      </c>
      <c r="F1390" s="2" t="b">
        <v>1</v>
      </c>
      <c r="G1390" s="2" t="n">
        <v>9</v>
      </c>
      <c r="H1390" s="2" t="n">
        <v>1537</v>
      </c>
      <c r="I1390" s="2" t="n">
        <v>1537</v>
      </c>
      <c r="J1390" s="2" t="n">
        <v>1443</v>
      </c>
      <c r="K1390" s="2">
        <f>H1390+5&gt;D1390</f>
        <v/>
      </c>
      <c r="L1390" s="2">
        <f>J1390&lt;I1390</f>
        <v/>
      </c>
      <c r="M1390" s="2" t="b">
        <v>1</v>
      </c>
      <c r="N1390" s="2" t="b">
        <v>0</v>
      </c>
      <c r="O1390" s="2" t="inlineStr">
        <is>
          <t>unknown</t>
        </is>
      </c>
      <c r="P1390" s="2">
        <f>O1390&lt;&gt;"unknown"</f>
        <v/>
      </c>
    </row>
    <row r="1391">
      <c r="A1391" s="2" t="inlineStr">
        <is>
          <t>1500-on</t>
        </is>
      </c>
      <c r="B1391" s="2" t="n">
        <v>1500</v>
      </c>
      <c r="C1391" s="2" t="inlineStr">
        <is>
          <t>on</t>
        </is>
      </c>
      <c r="D1391" s="2" t="n">
        <v>1448</v>
      </c>
      <c r="E1391" s="2" t="inlineStr">
        <is>
          <t>browser safari260</t>
        </is>
      </c>
      <c r="F1391" s="2" t="b">
        <v>1</v>
      </c>
      <c r="G1391" s="2" t="n">
        <v>10</v>
      </c>
      <c r="H1391" s="2" t="n">
        <v>1537</v>
      </c>
      <c r="I1391" s="2" t="n">
        <v>1537</v>
      </c>
      <c r="J1391" s="2" t="n">
        <v>1443</v>
      </c>
      <c r="K1391" s="2">
        <f>H1391+5&gt;D1391</f>
        <v/>
      </c>
      <c r="L1391" s="2">
        <f>J1391&lt;I1391</f>
        <v/>
      </c>
      <c r="M1391" s="2" t="b">
        <v>1</v>
      </c>
      <c r="N1391" s="2" t="b">
        <v>0</v>
      </c>
      <c r="O1391" s="2" t="inlineStr">
        <is>
          <t>unknown</t>
        </is>
      </c>
      <c r="P1391" s="2">
        <f>O1391&lt;&gt;"unknown"</f>
        <v/>
      </c>
    </row>
    <row r="1392">
      <c r="A1392" s="2" t="inlineStr">
        <is>
          <t>1500-on</t>
        </is>
      </c>
      <c r="B1392" s="2" t="n">
        <v>1500</v>
      </c>
      <c r="C1392" s="2" t="inlineStr">
        <is>
          <t>on</t>
        </is>
      </c>
      <c r="D1392" s="2" t="n">
        <v>1448</v>
      </c>
      <c r="E1392" s="2" t="inlineStr">
        <is>
          <t>browser safari260</t>
        </is>
      </c>
      <c r="F1392" s="2" t="b">
        <v>1</v>
      </c>
      <c r="G1392" s="2" t="n">
        <v>11</v>
      </c>
      <c r="H1392" s="2" t="n">
        <v>1537</v>
      </c>
      <c r="I1392" s="2" t="n">
        <v>1537</v>
      </c>
      <c r="J1392" s="2" t="n">
        <v>1443</v>
      </c>
      <c r="K1392" s="2">
        <f>H1392+5&gt;D1392</f>
        <v/>
      </c>
      <c r="L1392" s="2">
        <f>J1392&lt;I1392</f>
        <v/>
      </c>
      <c r="M1392" s="2" t="b">
        <v>1</v>
      </c>
      <c r="N1392" s="2" t="b">
        <v>0</v>
      </c>
      <c r="O1392" s="2" t="inlineStr">
        <is>
          <t>unknown</t>
        </is>
      </c>
      <c r="P1392" s="2">
        <f>O1392&lt;&gt;"unknown"</f>
        <v/>
      </c>
    </row>
    <row r="1393">
      <c r="A1393" s="2" t="inlineStr">
        <is>
          <t>1500-on</t>
        </is>
      </c>
      <c r="B1393" s="2" t="n">
        <v>1500</v>
      </c>
      <c r="C1393" s="2" t="inlineStr">
        <is>
          <t>on</t>
        </is>
      </c>
      <c r="D1393" s="2" t="n">
        <v>1448</v>
      </c>
      <c r="E1393" s="2" t="inlineStr">
        <is>
          <t>browser safari260</t>
        </is>
      </c>
      <c r="F1393" s="2" t="b">
        <v>1</v>
      </c>
      <c r="G1393" s="2" t="n">
        <v>12</v>
      </c>
      <c r="H1393" s="2" t="n">
        <v>1537</v>
      </c>
      <c r="I1393" s="2" t="n">
        <v>1537</v>
      </c>
      <c r="J1393" s="2" t="n">
        <v>1443</v>
      </c>
      <c r="K1393" s="2">
        <f>H1393+5&gt;D1393</f>
        <v/>
      </c>
      <c r="L1393" s="2">
        <f>J1393&lt;I1393</f>
        <v/>
      </c>
      <c r="M1393" s="2" t="b">
        <v>1</v>
      </c>
      <c r="N1393" s="2" t="b">
        <v>0</v>
      </c>
      <c r="O1393" s="2" t="inlineStr">
        <is>
          <t>unknown</t>
        </is>
      </c>
      <c r="P1393" s="2">
        <f>O1393&lt;&gt;"unknown"</f>
        <v/>
      </c>
    </row>
    <row r="1394">
      <c r="A1394" s="2" t="inlineStr">
        <is>
          <t>1500-on</t>
        </is>
      </c>
      <c r="B1394" s="2" t="n">
        <v>1500</v>
      </c>
      <c r="C1394" s="2" t="inlineStr">
        <is>
          <t>on</t>
        </is>
      </c>
      <c r="D1394" s="2" t="n">
        <v>1448</v>
      </c>
      <c r="E1394" s="2" t="inlineStr">
        <is>
          <t>browser safari260</t>
        </is>
      </c>
      <c r="F1394" s="2" t="b">
        <v>1</v>
      </c>
      <c r="G1394" s="2" t="n">
        <v>13</v>
      </c>
      <c r="H1394" s="2" t="n">
        <v>1537</v>
      </c>
      <c r="I1394" s="2" t="n">
        <v>1537</v>
      </c>
      <c r="J1394" s="2" t="n">
        <v>1443</v>
      </c>
      <c r="K1394" s="2">
        <f>H1394+5&gt;D1394</f>
        <v/>
      </c>
      <c r="L1394" s="2">
        <f>J1394&lt;I1394</f>
        <v/>
      </c>
      <c r="M1394" s="2" t="b">
        <v>1</v>
      </c>
      <c r="N1394" s="2" t="b">
        <v>0</v>
      </c>
      <c r="O1394" s="2" t="inlineStr">
        <is>
          <t>unknown</t>
        </is>
      </c>
      <c r="P1394" s="2">
        <f>O1394&lt;&gt;"unknown"</f>
        <v/>
      </c>
    </row>
    <row r="1395">
      <c r="A1395" s="2" t="inlineStr">
        <is>
          <t>1500-on</t>
        </is>
      </c>
      <c r="B1395" s="2" t="n">
        <v>1500</v>
      </c>
      <c r="C1395" s="2" t="inlineStr">
        <is>
          <t>on</t>
        </is>
      </c>
      <c r="D1395" s="2" t="n">
        <v>1448</v>
      </c>
      <c r="E1395" s="2" t="inlineStr">
        <is>
          <t>browser safari260</t>
        </is>
      </c>
      <c r="F1395" s="2" t="b">
        <v>1</v>
      </c>
      <c r="G1395" s="2" t="n">
        <v>14</v>
      </c>
      <c r="H1395" s="2" t="n">
        <v>1537</v>
      </c>
      <c r="I1395" s="2" t="n">
        <v>1537</v>
      </c>
      <c r="J1395" s="2" t="n">
        <v>1443</v>
      </c>
      <c r="K1395" s="2">
        <f>H1395+5&gt;D1395</f>
        <v/>
      </c>
      <c r="L1395" s="2">
        <f>J1395&lt;I1395</f>
        <v/>
      </c>
      <c r="M1395" s="2" t="b">
        <v>1</v>
      </c>
      <c r="N1395" s="2" t="b">
        <v>0</v>
      </c>
      <c r="O1395" s="2" t="inlineStr">
        <is>
          <t>unknown</t>
        </is>
      </c>
      <c r="P1395" s="2">
        <f>O1395&lt;&gt;"unknown"</f>
        <v/>
      </c>
    </row>
    <row r="1396">
      <c r="A1396" s="2" t="inlineStr">
        <is>
          <t>1500-on</t>
        </is>
      </c>
      <c r="B1396" s="2" t="n">
        <v>1500</v>
      </c>
      <c r="C1396" s="2" t="inlineStr">
        <is>
          <t>on</t>
        </is>
      </c>
      <c r="D1396" s="2" t="n">
        <v>1448</v>
      </c>
      <c r="E1396" s="2" t="inlineStr">
        <is>
          <t>browser safari260</t>
        </is>
      </c>
      <c r="F1396" s="2" t="b">
        <v>1</v>
      </c>
      <c r="G1396" s="2" t="n">
        <v>15</v>
      </c>
      <c r="H1396" s="2" t="n">
        <v>1537</v>
      </c>
      <c r="I1396" s="2" t="n">
        <v>1537</v>
      </c>
      <c r="J1396" s="2" t="n">
        <v>1443</v>
      </c>
      <c r="K1396" s="2">
        <f>H1396+5&gt;D1396</f>
        <v/>
      </c>
      <c r="L1396" s="2">
        <f>J1396&lt;I1396</f>
        <v/>
      </c>
      <c r="M1396" s="2" t="b">
        <v>1</v>
      </c>
      <c r="N1396" s="2" t="b">
        <v>0</v>
      </c>
      <c r="O1396" s="2" t="inlineStr">
        <is>
          <t>unknown</t>
        </is>
      </c>
      <c r="P1396" s="2">
        <f>O1396&lt;&gt;"unknown"</f>
        <v/>
      </c>
    </row>
    <row r="1397">
      <c r="A1397" s="2" t="inlineStr">
        <is>
          <t>1500-on</t>
        </is>
      </c>
      <c r="B1397" s="2" t="n">
        <v>1500</v>
      </c>
      <c r="C1397" s="2" t="inlineStr">
        <is>
          <t>on</t>
        </is>
      </c>
      <c r="D1397" s="2" t="n">
        <v>1448</v>
      </c>
      <c r="E1397" s="2" t="inlineStr">
        <is>
          <t>browser safari260</t>
        </is>
      </c>
      <c r="F1397" s="2" t="b">
        <v>1</v>
      </c>
      <c r="G1397" s="2" t="n">
        <v>16</v>
      </c>
      <c r="H1397" s="2" t="n">
        <v>1537</v>
      </c>
      <c r="I1397" s="2" t="n">
        <v>1537</v>
      </c>
      <c r="J1397" s="2" t="n">
        <v>1443</v>
      </c>
      <c r="K1397" s="2">
        <f>H1397+5&gt;D1397</f>
        <v/>
      </c>
      <c r="L1397" s="2">
        <f>J1397&lt;I1397</f>
        <v/>
      </c>
      <c r="M1397" s="2" t="b">
        <v>1</v>
      </c>
      <c r="N1397" s="2" t="b">
        <v>0</v>
      </c>
      <c r="O1397" s="2" t="inlineStr">
        <is>
          <t>unknown</t>
        </is>
      </c>
      <c r="P1397" s="2">
        <f>O1397&lt;&gt;"unknown"</f>
        <v/>
      </c>
    </row>
    <row r="1398">
      <c r="A1398" s="2" t="inlineStr">
        <is>
          <t>1500-on</t>
        </is>
      </c>
      <c r="B1398" s="2" t="n">
        <v>1500</v>
      </c>
      <c r="C1398" s="2" t="inlineStr">
        <is>
          <t>on</t>
        </is>
      </c>
      <c r="D1398" s="2" t="n">
        <v>1448</v>
      </c>
      <c r="E1398" s="2" t="inlineStr">
        <is>
          <t>browser safari260</t>
        </is>
      </c>
      <c r="F1398" s="2" t="b">
        <v>1</v>
      </c>
      <c r="G1398" s="2" t="n">
        <v>17</v>
      </c>
      <c r="H1398" s="2" t="n">
        <v>1537</v>
      </c>
      <c r="I1398" s="2" t="n">
        <v>1537</v>
      </c>
      <c r="J1398" s="2" t="n">
        <v>1443</v>
      </c>
      <c r="K1398" s="2">
        <f>H1398+5&gt;D1398</f>
        <v/>
      </c>
      <c r="L1398" s="2">
        <f>J1398&lt;I1398</f>
        <v/>
      </c>
      <c r="M1398" s="2" t="b">
        <v>1</v>
      </c>
      <c r="N1398" s="2" t="b">
        <v>0</v>
      </c>
      <c r="O1398" s="2" t="inlineStr">
        <is>
          <t>unknown</t>
        </is>
      </c>
      <c r="P1398" s="2">
        <f>O1398&lt;&gt;"unknown"</f>
        <v/>
      </c>
    </row>
    <row r="1399">
      <c r="A1399" s="2" t="inlineStr">
        <is>
          <t>1500-on</t>
        </is>
      </c>
      <c r="B1399" s="2" t="n">
        <v>1500</v>
      </c>
      <c r="C1399" s="2" t="inlineStr">
        <is>
          <t>on</t>
        </is>
      </c>
      <c r="D1399" s="2" t="n">
        <v>1448</v>
      </c>
      <c r="E1399" s="2" t="inlineStr">
        <is>
          <t>browser safari260</t>
        </is>
      </c>
      <c r="F1399" s="2" t="b">
        <v>1</v>
      </c>
      <c r="G1399" s="2" t="n">
        <v>18</v>
      </c>
      <c r="H1399" s="2" t="n">
        <v>1537</v>
      </c>
      <c r="I1399" s="2" t="n">
        <v>1537</v>
      </c>
      <c r="J1399" s="2" t="n">
        <v>1443</v>
      </c>
      <c r="K1399" s="2">
        <f>H1399+5&gt;D1399</f>
        <v/>
      </c>
      <c r="L1399" s="2">
        <f>J1399&lt;I1399</f>
        <v/>
      </c>
      <c r="M1399" s="2" t="b">
        <v>1</v>
      </c>
      <c r="N1399" s="2" t="b">
        <v>0</v>
      </c>
      <c r="O1399" s="2" t="inlineStr">
        <is>
          <t>unknown</t>
        </is>
      </c>
      <c r="P1399" s="2">
        <f>O1399&lt;&gt;"unknown"</f>
        <v/>
      </c>
    </row>
    <row r="1400">
      <c r="A1400" s="2" t="inlineStr">
        <is>
          <t>1500-on</t>
        </is>
      </c>
      <c r="B1400" s="2" t="n">
        <v>1500</v>
      </c>
      <c r="C1400" s="2" t="inlineStr">
        <is>
          <t>on</t>
        </is>
      </c>
      <c r="D1400" s="2" t="n">
        <v>1448</v>
      </c>
      <c r="E1400" s="2" t="inlineStr">
        <is>
          <t>browser safari260</t>
        </is>
      </c>
      <c r="F1400" s="2" t="b">
        <v>1</v>
      </c>
      <c r="G1400" s="2" t="n">
        <v>19</v>
      </c>
      <c r="H1400" s="2" t="n">
        <v>1537</v>
      </c>
      <c r="I1400" s="2" t="n">
        <v>1537</v>
      </c>
      <c r="J1400" s="2" t="n">
        <v>1443</v>
      </c>
      <c r="K1400" s="2">
        <f>H1400+5&gt;D1400</f>
        <v/>
      </c>
      <c r="L1400" s="2">
        <f>J1400&lt;I1400</f>
        <v/>
      </c>
      <c r="M1400" s="2" t="b">
        <v>1</v>
      </c>
      <c r="N1400" s="2" t="b">
        <v>0</v>
      </c>
      <c r="O1400" s="2" t="inlineStr">
        <is>
          <t>unknown</t>
        </is>
      </c>
      <c r="P1400" s="2">
        <f>O1400&lt;&gt;"unknown"</f>
        <v/>
      </c>
    </row>
    <row r="1401">
      <c r="A1401" s="2" t="inlineStr">
        <is>
          <t>1500-on</t>
        </is>
      </c>
      <c r="B1401" s="2" t="n">
        <v>1500</v>
      </c>
      <c r="C1401" s="2" t="inlineStr">
        <is>
          <t>on</t>
        </is>
      </c>
      <c r="D1401" s="2" t="n">
        <v>1448</v>
      </c>
      <c r="E1401" s="2" t="inlineStr">
        <is>
          <t>browser safari260</t>
        </is>
      </c>
      <c r="F1401" s="2" t="b">
        <v>1</v>
      </c>
      <c r="G1401" s="2" t="n">
        <v>20</v>
      </c>
      <c r="H1401" s="2" t="n">
        <v>1537</v>
      </c>
      <c r="I1401" s="2" t="n">
        <v>1537</v>
      </c>
      <c r="J1401" s="2" t="n">
        <v>1443</v>
      </c>
      <c r="K1401" s="2">
        <f>H1401+5&gt;D1401</f>
        <v/>
      </c>
      <c r="L1401" s="2">
        <f>J1401&lt;I1401</f>
        <v/>
      </c>
      <c r="M1401" s="2" t="b">
        <v>1</v>
      </c>
      <c r="N1401" s="2" t="b">
        <v>0</v>
      </c>
      <c r="O1401" s="2" t="inlineStr">
        <is>
          <t>unknown</t>
        </is>
      </c>
      <c r="P1401" s="2">
        <f>O1401&lt;&gt;"unknown"</f>
        <v/>
      </c>
    </row>
    <row r="1402">
      <c r="A1402" s="2" t="inlineStr">
        <is>
          <t>1500-on</t>
        </is>
      </c>
      <c r="B1402" s="2" t="n">
        <v>1500</v>
      </c>
      <c r="C1402" s="2" t="inlineStr">
        <is>
          <t>on</t>
        </is>
      </c>
      <c r="D1402" s="2" t="n">
        <v>1448</v>
      </c>
      <c r="E1402" s="2" t="inlineStr">
        <is>
          <t>browser safari260_ios</t>
        </is>
      </c>
      <c r="F1402" s="2" t="b">
        <v>0</v>
      </c>
      <c r="G1402" s="2" t="n">
        <v>1</v>
      </c>
      <c r="H1402" s="2" t="n">
        <v>512</v>
      </c>
      <c r="I1402" s="2" t="n">
        <v>512</v>
      </c>
      <c r="J1402" s="2" t="n">
        <v>512</v>
      </c>
      <c r="K1402" s="2">
        <f>H1402+5&gt;D1402</f>
        <v/>
      </c>
      <c r="L1402" s="2">
        <f>J1402&lt;I1402</f>
        <v/>
      </c>
      <c r="M1402" s="2" t="b">
        <v>1</v>
      </c>
      <c r="N1402" s="2" t="b">
        <v>1</v>
      </c>
      <c r="O1402" s="2" t="inlineStr">
        <is>
          <t>allow</t>
        </is>
      </c>
      <c r="P1402" s="2">
        <f>O1402&lt;&gt;"unknown"</f>
        <v/>
      </c>
    </row>
    <row r="1403">
      <c r="A1403" s="2" t="inlineStr">
        <is>
          <t>1500-on</t>
        </is>
      </c>
      <c r="B1403" s="2" t="n">
        <v>1500</v>
      </c>
      <c r="C1403" s="2" t="inlineStr">
        <is>
          <t>on</t>
        </is>
      </c>
      <c r="D1403" s="2" t="n">
        <v>1448</v>
      </c>
      <c r="E1403" s="2" t="inlineStr">
        <is>
          <t>browser safari260_ios</t>
        </is>
      </c>
      <c r="F1403" s="2" t="b">
        <v>0</v>
      </c>
      <c r="G1403" s="2" t="n">
        <v>2</v>
      </c>
      <c r="H1403" s="2" t="n">
        <v>512</v>
      </c>
      <c r="I1403" s="2" t="n">
        <v>512</v>
      </c>
      <c r="J1403" s="2" t="n">
        <v>512</v>
      </c>
      <c r="K1403" s="2">
        <f>H1403+5&gt;D1403</f>
        <v/>
      </c>
      <c r="L1403" s="2">
        <f>J1403&lt;I1403</f>
        <v/>
      </c>
      <c r="M1403" s="2" t="b">
        <v>1</v>
      </c>
      <c r="N1403" s="2" t="b">
        <v>1</v>
      </c>
      <c r="O1403" s="2" t="inlineStr">
        <is>
          <t>allow</t>
        </is>
      </c>
      <c r="P1403" s="2">
        <f>O1403&lt;&gt;"unknown"</f>
        <v/>
      </c>
    </row>
    <row r="1404">
      <c r="A1404" s="2" t="inlineStr">
        <is>
          <t>1500-on</t>
        </is>
      </c>
      <c r="B1404" s="2" t="n">
        <v>1500</v>
      </c>
      <c r="C1404" s="2" t="inlineStr">
        <is>
          <t>on</t>
        </is>
      </c>
      <c r="D1404" s="2" t="n">
        <v>1448</v>
      </c>
      <c r="E1404" s="2" t="inlineStr">
        <is>
          <t>browser safari260_ios</t>
        </is>
      </c>
      <c r="F1404" s="2" t="b">
        <v>0</v>
      </c>
      <c r="G1404" s="2" t="n">
        <v>3</v>
      </c>
      <c r="H1404" s="2" t="n">
        <v>512</v>
      </c>
      <c r="I1404" s="2" t="n">
        <v>512</v>
      </c>
      <c r="J1404" s="2" t="n">
        <v>512</v>
      </c>
      <c r="K1404" s="2">
        <f>H1404+5&gt;D1404</f>
        <v/>
      </c>
      <c r="L1404" s="2">
        <f>J1404&lt;I1404</f>
        <v/>
      </c>
      <c r="M1404" s="2" t="b">
        <v>1</v>
      </c>
      <c r="N1404" s="2" t="b">
        <v>1</v>
      </c>
      <c r="O1404" s="2" t="inlineStr">
        <is>
          <t>allow</t>
        </is>
      </c>
      <c r="P1404" s="2">
        <f>O1404&lt;&gt;"unknown"</f>
        <v/>
      </c>
    </row>
    <row r="1405">
      <c r="A1405" s="2" t="inlineStr">
        <is>
          <t>1500-on</t>
        </is>
      </c>
      <c r="B1405" s="2" t="n">
        <v>1500</v>
      </c>
      <c r="C1405" s="2" t="inlineStr">
        <is>
          <t>on</t>
        </is>
      </c>
      <c r="D1405" s="2" t="n">
        <v>1448</v>
      </c>
      <c r="E1405" s="2" t="inlineStr">
        <is>
          <t>browser safari260_ios</t>
        </is>
      </c>
      <c r="F1405" s="2" t="b">
        <v>0</v>
      </c>
      <c r="G1405" s="2" t="n">
        <v>4</v>
      </c>
      <c r="H1405" s="2" t="n">
        <v>512</v>
      </c>
      <c r="I1405" s="2" t="n">
        <v>512</v>
      </c>
      <c r="J1405" s="2" t="n">
        <v>512</v>
      </c>
      <c r="K1405" s="2">
        <f>H1405+5&gt;D1405</f>
        <v/>
      </c>
      <c r="L1405" s="2">
        <f>J1405&lt;I1405</f>
        <v/>
      </c>
      <c r="M1405" s="2" t="b">
        <v>1</v>
      </c>
      <c r="N1405" s="2" t="b">
        <v>1</v>
      </c>
      <c r="O1405" s="2" t="inlineStr">
        <is>
          <t>allow</t>
        </is>
      </c>
      <c r="P1405" s="2">
        <f>O1405&lt;&gt;"unknown"</f>
        <v/>
      </c>
    </row>
    <row r="1406">
      <c r="A1406" s="2" t="inlineStr">
        <is>
          <t>1500-on</t>
        </is>
      </c>
      <c r="B1406" s="2" t="n">
        <v>1500</v>
      </c>
      <c r="C1406" s="2" t="inlineStr">
        <is>
          <t>on</t>
        </is>
      </c>
      <c r="D1406" s="2" t="n">
        <v>1448</v>
      </c>
      <c r="E1406" s="2" t="inlineStr">
        <is>
          <t>browser safari260_ios</t>
        </is>
      </c>
      <c r="F1406" s="2" t="b">
        <v>0</v>
      </c>
      <c r="G1406" s="2" t="n">
        <v>5</v>
      </c>
      <c r="H1406" s="2" t="n">
        <v>512</v>
      </c>
      <c r="I1406" s="2" t="n">
        <v>512</v>
      </c>
      <c r="J1406" s="2" t="n">
        <v>512</v>
      </c>
      <c r="K1406" s="2">
        <f>H1406+5&gt;D1406</f>
        <v/>
      </c>
      <c r="L1406" s="2">
        <f>J1406&lt;I1406</f>
        <v/>
      </c>
      <c r="M1406" s="2" t="b">
        <v>1</v>
      </c>
      <c r="N1406" s="2" t="b">
        <v>1</v>
      </c>
      <c r="O1406" s="2" t="inlineStr">
        <is>
          <t>allow</t>
        </is>
      </c>
      <c r="P1406" s="2">
        <f>O1406&lt;&gt;"unknown"</f>
        <v/>
      </c>
    </row>
    <row r="1407">
      <c r="A1407" s="2" t="inlineStr">
        <is>
          <t>1500-on</t>
        </is>
      </c>
      <c r="B1407" s="2" t="n">
        <v>1500</v>
      </c>
      <c r="C1407" s="2" t="inlineStr">
        <is>
          <t>on</t>
        </is>
      </c>
      <c r="D1407" s="2" t="n">
        <v>1448</v>
      </c>
      <c r="E1407" s="2" t="inlineStr">
        <is>
          <t>browser safari260_ios</t>
        </is>
      </c>
      <c r="F1407" s="2" t="b">
        <v>0</v>
      </c>
      <c r="G1407" s="2" t="n">
        <v>6</v>
      </c>
      <c r="H1407" s="2" t="n">
        <v>512</v>
      </c>
      <c r="I1407" s="2" t="n">
        <v>512</v>
      </c>
      <c r="J1407" s="2" t="n">
        <v>512</v>
      </c>
      <c r="K1407" s="2">
        <f>H1407+5&gt;D1407</f>
        <v/>
      </c>
      <c r="L1407" s="2">
        <f>J1407&lt;I1407</f>
        <v/>
      </c>
      <c r="M1407" s="2" t="b">
        <v>1</v>
      </c>
      <c r="N1407" s="2" t="b">
        <v>1</v>
      </c>
      <c r="O1407" s="2" t="inlineStr">
        <is>
          <t>allow</t>
        </is>
      </c>
      <c r="P1407" s="2">
        <f>O1407&lt;&gt;"unknown"</f>
        <v/>
      </c>
    </row>
    <row r="1408">
      <c r="A1408" s="2" t="inlineStr">
        <is>
          <t>1500-on</t>
        </is>
      </c>
      <c r="B1408" s="2" t="n">
        <v>1500</v>
      </c>
      <c r="C1408" s="2" t="inlineStr">
        <is>
          <t>on</t>
        </is>
      </c>
      <c r="D1408" s="2" t="n">
        <v>1448</v>
      </c>
      <c r="E1408" s="2" t="inlineStr">
        <is>
          <t>browser safari260_ios</t>
        </is>
      </c>
      <c r="F1408" s="2" t="b">
        <v>0</v>
      </c>
      <c r="G1408" s="2" t="n">
        <v>7</v>
      </c>
      <c r="H1408" s="2" t="n">
        <v>512</v>
      </c>
      <c r="I1408" s="2" t="n">
        <v>512</v>
      </c>
      <c r="J1408" s="2" t="n">
        <v>512</v>
      </c>
      <c r="K1408" s="2">
        <f>H1408+5&gt;D1408</f>
        <v/>
      </c>
      <c r="L1408" s="2">
        <f>J1408&lt;I1408</f>
        <v/>
      </c>
      <c r="M1408" s="2" t="b">
        <v>1</v>
      </c>
      <c r="N1408" s="2" t="b">
        <v>1</v>
      </c>
      <c r="O1408" s="2" t="inlineStr">
        <is>
          <t>allow</t>
        </is>
      </c>
      <c r="P1408" s="2">
        <f>O1408&lt;&gt;"unknown"</f>
        <v/>
      </c>
    </row>
    <row r="1409">
      <c r="A1409" s="2" t="inlineStr">
        <is>
          <t>1500-on</t>
        </is>
      </c>
      <c r="B1409" s="2" t="n">
        <v>1500</v>
      </c>
      <c r="C1409" s="2" t="inlineStr">
        <is>
          <t>on</t>
        </is>
      </c>
      <c r="D1409" s="2" t="n">
        <v>1448</v>
      </c>
      <c r="E1409" s="2" t="inlineStr">
        <is>
          <t>browser safari260_ios</t>
        </is>
      </c>
      <c r="F1409" s="2" t="b">
        <v>0</v>
      </c>
      <c r="G1409" s="2" t="n">
        <v>8</v>
      </c>
      <c r="H1409" s="2" t="n">
        <v>512</v>
      </c>
      <c r="I1409" s="2" t="n">
        <v>512</v>
      </c>
      <c r="J1409" s="2" t="n">
        <v>512</v>
      </c>
      <c r="K1409" s="2">
        <f>H1409+5&gt;D1409</f>
        <v/>
      </c>
      <c r="L1409" s="2">
        <f>J1409&lt;I1409</f>
        <v/>
      </c>
      <c r="M1409" s="2" t="b">
        <v>1</v>
      </c>
      <c r="N1409" s="2" t="b">
        <v>1</v>
      </c>
      <c r="O1409" s="2" t="inlineStr">
        <is>
          <t>allow</t>
        </is>
      </c>
      <c r="P1409" s="2">
        <f>O1409&lt;&gt;"unknown"</f>
        <v/>
      </c>
    </row>
    <row r="1410">
      <c r="A1410" s="2" t="inlineStr">
        <is>
          <t>1500-on</t>
        </is>
      </c>
      <c r="B1410" s="2" t="n">
        <v>1500</v>
      </c>
      <c r="C1410" s="2" t="inlineStr">
        <is>
          <t>on</t>
        </is>
      </c>
      <c r="D1410" s="2" t="n">
        <v>1448</v>
      </c>
      <c r="E1410" s="2" t="inlineStr">
        <is>
          <t>browser safari260_ios</t>
        </is>
      </c>
      <c r="F1410" s="2" t="b">
        <v>0</v>
      </c>
      <c r="G1410" s="2" t="n">
        <v>9</v>
      </c>
      <c r="H1410" s="2" t="n">
        <v>512</v>
      </c>
      <c r="I1410" s="2" t="n">
        <v>512</v>
      </c>
      <c r="J1410" s="2" t="n">
        <v>512</v>
      </c>
      <c r="K1410" s="2">
        <f>H1410+5&gt;D1410</f>
        <v/>
      </c>
      <c r="L1410" s="2">
        <f>J1410&lt;I1410</f>
        <v/>
      </c>
      <c r="M1410" s="2" t="b">
        <v>1</v>
      </c>
      <c r="N1410" s="2" t="b">
        <v>1</v>
      </c>
      <c r="O1410" s="2" t="inlineStr">
        <is>
          <t>allow</t>
        </is>
      </c>
      <c r="P1410" s="2">
        <f>O1410&lt;&gt;"unknown"</f>
        <v/>
      </c>
    </row>
    <row r="1411">
      <c r="A1411" s="2" t="inlineStr">
        <is>
          <t>1500-on</t>
        </is>
      </c>
      <c r="B1411" s="2" t="n">
        <v>1500</v>
      </c>
      <c r="C1411" s="2" t="inlineStr">
        <is>
          <t>on</t>
        </is>
      </c>
      <c r="D1411" s="2" t="n">
        <v>1448</v>
      </c>
      <c r="E1411" s="2" t="inlineStr">
        <is>
          <t>browser safari260_ios</t>
        </is>
      </c>
      <c r="F1411" s="2" t="b">
        <v>0</v>
      </c>
      <c r="G1411" s="2" t="n">
        <v>10</v>
      </c>
      <c r="H1411" s="2" t="n">
        <v>512</v>
      </c>
      <c r="I1411" s="2" t="n">
        <v>512</v>
      </c>
      <c r="J1411" s="2" t="n">
        <v>512</v>
      </c>
      <c r="K1411" s="2">
        <f>H1411+5&gt;D1411</f>
        <v/>
      </c>
      <c r="L1411" s="2">
        <f>J1411&lt;I1411</f>
        <v/>
      </c>
      <c r="M1411" s="2" t="b">
        <v>1</v>
      </c>
      <c r="N1411" s="2" t="b">
        <v>1</v>
      </c>
      <c r="O1411" s="2" t="inlineStr">
        <is>
          <t>allow</t>
        </is>
      </c>
      <c r="P1411" s="2">
        <f>O1411&lt;&gt;"unknown"</f>
        <v/>
      </c>
    </row>
    <row r="1412">
      <c r="A1412" s="2" t="inlineStr">
        <is>
          <t>1500-on</t>
        </is>
      </c>
      <c r="B1412" s="2" t="n">
        <v>1500</v>
      </c>
      <c r="C1412" s="2" t="inlineStr">
        <is>
          <t>on</t>
        </is>
      </c>
      <c r="D1412" s="2" t="n">
        <v>1448</v>
      </c>
      <c r="E1412" s="2" t="inlineStr">
        <is>
          <t>browser safari260_ios</t>
        </is>
      </c>
      <c r="F1412" s="2" t="b">
        <v>0</v>
      </c>
      <c r="G1412" s="2" t="n">
        <v>11</v>
      </c>
      <c r="H1412" s="2" t="n">
        <v>512</v>
      </c>
      <c r="I1412" s="2" t="n">
        <v>512</v>
      </c>
      <c r="J1412" s="2" t="n">
        <v>512</v>
      </c>
      <c r="K1412" s="2">
        <f>H1412+5&gt;D1412</f>
        <v/>
      </c>
      <c r="L1412" s="2">
        <f>J1412&lt;I1412</f>
        <v/>
      </c>
      <c r="M1412" s="2" t="b">
        <v>1</v>
      </c>
      <c r="N1412" s="2" t="b">
        <v>1</v>
      </c>
      <c r="O1412" s="2" t="inlineStr">
        <is>
          <t>allow</t>
        </is>
      </c>
      <c r="P1412" s="2">
        <f>O1412&lt;&gt;"unknown"</f>
        <v/>
      </c>
    </row>
    <row r="1413">
      <c r="A1413" s="2" t="inlineStr">
        <is>
          <t>1500-on</t>
        </is>
      </c>
      <c r="B1413" s="2" t="n">
        <v>1500</v>
      </c>
      <c r="C1413" s="2" t="inlineStr">
        <is>
          <t>on</t>
        </is>
      </c>
      <c r="D1413" s="2" t="n">
        <v>1448</v>
      </c>
      <c r="E1413" s="2" t="inlineStr">
        <is>
          <t>browser safari260_ios</t>
        </is>
      </c>
      <c r="F1413" s="2" t="b">
        <v>0</v>
      </c>
      <c r="G1413" s="2" t="n">
        <v>12</v>
      </c>
      <c r="H1413" s="2" t="n">
        <v>512</v>
      </c>
      <c r="I1413" s="2" t="n">
        <v>512</v>
      </c>
      <c r="J1413" s="2" t="n">
        <v>512</v>
      </c>
      <c r="K1413" s="2">
        <f>H1413+5&gt;D1413</f>
        <v/>
      </c>
      <c r="L1413" s="2">
        <f>J1413&lt;I1413</f>
        <v/>
      </c>
      <c r="M1413" s="2" t="b">
        <v>1</v>
      </c>
      <c r="N1413" s="2" t="b">
        <v>1</v>
      </c>
      <c r="O1413" s="2" t="inlineStr">
        <is>
          <t>allow</t>
        </is>
      </c>
      <c r="P1413" s="2">
        <f>O1413&lt;&gt;"unknown"</f>
        <v/>
      </c>
    </row>
    <row r="1414">
      <c r="A1414" s="2" t="inlineStr">
        <is>
          <t>1500-on</t>
        </is>
      </c>
      <c r="B1414" s="2" t="n">
        <v>1500</v>
      </c>
      <c r="C1414" s="2" t="inlineStr">
        <is>
          <t>on</t>
        </is>
      </c>
      <c r="D1414" s="2" t="n">
        <v>1448</v>
      </c>
      <c r="E1414" s="2" t="inlineStr">
        <is>
          <t>browser safari260_ios</t>
        </is>
      </c>
      <c r="F1414" s="2" t="b">
        <v>0</v>
      </c>
      <c r="G1414" s="2" t="n">
        <v>13</v>
      </c>
      <c r="H1414" s="2" t="n">
        <v>512</v>
      </c>
      <c r="I1414" s="2" t="n">
        <v>512</v>
      </c>
      <c r="J1414" s="2" t="n">
        <v>512</v>
      </c>
      <c r="K1414" s="2">
        <f>H1414+5&gt;D1414</f>
        <v/>
      </c>
      <c r="L1414" s="2">
        <f>J1414&lt;I1414</f>
        <v/>
      </c>
      <c r="M1414" s="2" t="b">
        <v>1</v>
      </c>
      <c r="N1414" s="2" t="b">
        <v>1</v>
      </c>
      <c r="O1414" s="2" t="inlineStr">
        <is>
          <t>allow</t>
        </is>
      </c>
      <c r="P1414" s="2">
        <f>O1414&lt;&gt;"unknown"</f>
        <v/>
      </c>
    </row>
    <row r="1415">
      <c r="A1415" s="2" t="inlineStr">
        <is>
          <t>1500-on</t>
        </is>
      </c>
      <c r="B1415" s="2" t="n">
        <v>1500</v>
      </c>
      <c r="C1415" s="2" t="inlineStr">
        <is>
          <t>on</t>
        </is>
      </c>
      <c r="D1415" s="2" t="n">
        <v>1448</v>
      </c>
      <c r="E1415" s="2" t="inlineStr">
        <is>
          <t>browser safari260_ios</t>
        </is>
      </c>
      <c r="F1415" s="2" t="b">
        <v>0</v>
      </c>
      <c r="G1415" s="2" t="n">
        <v>14</v>
      </c>
      <c r="H1415" s="2" t="n">
        <v>512</v>
      </c>
      <c r="I1415" s="2" t="n">
        <v>512</v>
      </c>
      <c r="J1415" s="2" t="n">
        <v>512</v>
      </c>
      <c r="K1415" s="2">
        <f>H1415+5&gt;D1415</f>
        <v/>
      </c>
      <c r="L1415" s="2">
        <f>J1415&lt;I1415</f>
        <v/>
      </c>
      <c r="M1415" s="2" t="b">
        <v>1</v>
      </c>
      <c r="N1415" s="2" t="b">
        <v>1</v>
      </c>
      <c r="O1415" s="2" t="inlineStr">
        <is>
          <t>allow</t>
        </is>
      </c>
      <c r="P1415" s="2">
        <f>O1415&lt;&gt;"unknown"</f>
        <v/>
      </c>
    </row>
    <row r="1416">
      <c r="A1416" s="2" t="inlineStr">
        <is>
          <t>1500-on</t>
        </is>
      </c>
      <c r="B1416" s="2" t="n">
        <v>1500</v>
      </c>
      <c r="C1416" s="2" t="inlineStr">
        <is>
          <t>on</t>
        </is>
      </c>
      <c r="D1416" s="2" t="n">
        <v>1448</v>
      </c>
      <c r="E1416" s="2" t="inlineStr">
        <is>
          <t>browser safari260_ios</t>
        </is>
      </c>
      <c r="F1416" s="2" t="b">
        <v>0</v>
      </c>
      <c r="G1416" s="2" t="n">
        <v>15</v>
      </c>
      <c r="H1416" s="2" t="n">
        <v>512</v>
      </c>
      <c r="I1416" s="2" t="n">
        <v>512</v>
      </c>
      <c r="J1416" s="2" t="n">
        <v>512</v>
      </c>
      <c r="K1416" s="2">
        <f>H1416+5&gt;D1416</f>
        <v/>
      </c>
      <c r="L1416" s="2">
        <f>J1416&lt;I1416</f>
        <v/>
      </c>
      <c r="M1416" s="2" t="b">
        <v>1</v>
      </c>
      <c r="N1416" s="2" t="b">
        <v>1</v>
      </c>
      <c r="O1416" s="2" t="inlineStr">
        <is>
          <t>allow</t>
        </is>
      </c>
      <c r="P1416" s="2">
        <f>O1416&lt;&gt;"unknown"</f>
        <v/>
      </c>
    </row>
    <row r="1417">
      <c r="A1417" s="2" t="inlineStr">
        <is>
          <t>1500-on</t>
        </is>
      </c>
      <c r="B1417" s="2" t="n">
        <v>1500</v>
      </c>
      <c r="C1417" s="2" t="inlineStr">
        <is>
          <t>on</t>
        </is>
      </c>
      <c r="D1417" s="2" t="n">
        <v>1448</v>
      </c>
      <c r="E1417" s="2" t="inlineStr">
        <is>
          <t>browser safari260_ios</t>
        </is>
      </c>
      <c r="F1417" s="2" t="b">
        <v>0</v>
      </c>
      <c r="G1417" s="2" t="n">
        <v>16</v>
      </c>
      <c r="H1417" s="2" t="n">
        <v>512</v>
      </c>
      <c r="I1417" s="2" t="n">
        <v>512</v>
      </c>
      <c r="J1417" s="2" t="n">
        <v>512</v>
      </c>
      <c r="K1417" s="2">
        <f>H1417+5&gt;D1417</f>
        <v/>
      </c>
      <c r="L1417" s="2">
        <f>J1417&lt;I1417</f>
        <v/>
      </c>
      <c r="M1417" s="2" t="b">
        <v>1</v>
      </c>
      <c r="N1417" s="2" t="b">
        <v>1</v>
      </c>
      <c r="O1417" s="2" t="inlineStr">
        <is>
          <t>allow</t>
        </is>
      </c>
      <c r="P1417" s="2">
        <f>O1417&lt;&gt;"unknown"</f>
        <v/>
      </c>
    </row>
    <row r="1418">
      <c r="A1418" s="2" t="inlineStr">
        <is>
          <t>1500-on</t>
        </is>
      </c>
      <c r="B1418" s="2" t="n">
        <v>1500</v>
      </c>
      <c r="C1418" s="2" t="inlineStr">
        <is>
          <t>on</t>
        </is>
      </c>
      <c r="D1418" s="2" t="n">
        <v>1448</v>
      </c>
      <c r="E1418" s="2" t="inlineStr">
        <is>
          <t>browser safari260_ios</t>
        </is>
      </c>
      <c r="F1418" s="2" t="b">
        <v>0</v>
      </c>
      <c r="G1418" s="2" t="n">
        <v>17</v>
      </c>
      <c r="H1418" s="2" t="n">
        <v>512</v>
      </c>
      <c r="I1418" s="2" t="n">
        <v>512</v>
      </c>
      <c r="J1418" s="2" t="n">
        <v>512</v>
      </c>
      <c r="K1418" s="2">
        <f>H1418+5&gt;D1418</f>
        <v/>
      </c>
      <c r="L1418" s="2">
        <f>J1418&lt;I1418</f>
        <v/>
      </c>
      <c r="M1418" s="2" t="b">
        <v>1</v>
      </c>
      <c r="N1418" s="2" t="b">
        <v>1</v>
      </c>
      <c r="O1418" s="2" t="inlineStr">
        <is>
          <t>allow</t>
        </is>
      </c>
      <c r="P1418" s="2">
        <f>O1418&lt;&gt;"unknown"</f>
        <v/>
      </c>
    </row>
    <row r="1419">
      <c r="A1419" s="2" t="inlineStr">
        <is>
          <t>1500-on</t>
        </is>
      </c>
      <c r="B1419" s="2" t="n">
        <v>1500</v>
      </c>
      <c r="C1419" s="2" t="inlineStr">
        <is>
          <t>on</t>
        </is>
      </c>
      <c r="D1419" s="2" t="n">
        <v>1448</v>
      </c>
      <c r="E1419" s="2" t="inlineStr">
        <is>
          <t>browser safari260_ios</t>
        </is>
      </c>
      <c r="F1419" s="2" t="b">
        <v>0</v>
      </c>
      <c r="G1419" s="2" t="n">
        <v>18</v>
      </c>
      <c r="H1419" s="2" t="n">
        <v>512</v>
      </c>
      <c r="I1419" s="2" t="n">
        <v>512</v>
      </c>
      <c r="J1419" s="2" t="n">
        <v>512</v>
      </c>
      <c r="K1419" s="2">
        <f>H1419+5&gt;D1419</f>
        <v/>
      </c>
      <c r="L1419" s="2">
        <f>J1419&lt;I1419</f>
        <v/>
      </c>
      <c r="M1419" s="2" t="b">
        <v>1</v>
      </c>
      <c r="N1419" s="2" t="b">
        <v>1</v>
      </c>
      <c r="O1419" s="2" t="inlineStr">
        <is>
          <t>allow</t>
        </is>
      </c>
      <c r="P1419" s="2">
        <f>O1419&lt;&gt;"unknown"</f>
        <v/>
      </c>
    </row>
    <row r="1420">
      <c r="A1420" s="2" t="inlineStr">
        <is>
          <t>1500-on</t>
        </is>
      </c>
      <c r="B1420" s="2" t="n">
        <v>1500</v>
      </c>
      <c r="C1420" s="2" t="inlineStr">
        <is>
          <t>on</t>
        </is>
      </c>
      <c r="D1420" s="2" t="n">
        <v>1448</v>
      </c>
      <c r="E1420" s="2" t="inlineStr">
        <is>
          <t>browser safari260_ios</t>
        </is>
      </c>
      <c r="F1420" s="2" t="b">
        <v>0</v>
      </c>
      <c r="G1420" s="2" t="n">
        <v>19</v>
      </c>
      <c r="H1420" s="2" t="n">
        <v>512</v>
      </c>
      <c r="I1420" s="2" t="n">
        <v>512</v>
      </c>
      <c r="J1420" s="2" t="n">
        <v>512</v>
      </c>
      <c r="K1420" s="2">
        <f>H1420+5&gt;D1420</f>
        <v/>
      </c>
      <c r="L1420" s="2">
        <f>J1420&lt;I1420</f>
        <v/>
      </c>
      <c r="M1420" s="2" t="b">
        <v>1</v>
      </c>
      <c r="N1420" s="2" t="b">
        <v>1</v>
      </c>
      <c r="O1420" s="2" t="inlineStr">
        <is>
          <t>allow</t>
        </is>
      </c>
      <c r="P1420" s="2">
        <f>O1420&lt;&gt;"unknown"</f>
        <v/>
      </c>
    </row>
    <row r="1421">
      <c r="A1421" s="2" t="inlineStr">
        <is>
          <t>1500-on</t>
        </is>
      </c>
      <c r="B1421" s="2" t="n">
        <v>1500</v>
      </c>
      <c r="C1421" s="2" t="inlineStr">
        <is>
          <t>on</t>
        </is>
      </c>
      <c r="D1421" s="2" t="n">
        <v>1448</v>
      </c>
      <c r="E1421" s="2" t="inlineStr">
        <is>
          <t>browser safari260_ios</t>
        </is>
      </c>
      <c r="F1421" s="2" t="b">
        <v>0</v>
      </c>
      <c r="G1421" s="2" t="n">
        <v>20</v>
      </c>
      <c r="H1421" s="2" t="n">
        <v>512</v>
      </c>
      <c r="I1421" s="2" t="n">
        <v>512</v>
      </c>
      <c r="J1421" s="2" t="n">
        <v>512</v>
      </c>
      <c r="K1421" s="2">
        <f>H1421+5&gt;D1421</f>
        <v/>
      </c>
      <c r="L1421" s="2">
        <f>J1421&lt;I1421</f>
        <v/>
      </c>
      <c r="M1421" s="2" t="b">
        <v>1</v>
      </c>
      <c r="N1421" s="2" t="b">
        <v>1</v>
      </c>
      <c r="O1421" s="2" t="inlineStr">
        <is>
          <t>allow</t>
        </is>
      </c>
      <c r="P1421" s="2">
        <f>O1421&lt;&gt;"unknown"</f>
        <v/>
      </c>
    </row>
    <row r="1422">
      <c r="A1422" s="2" t="inlineStr">
        <is>
          <t>1500-on</t>
        </is>
      </c>
      <c r="B1422" s="2" t="n">
        <v>1500</v>
      </c>
      <c r="C1422" s="2" t="inlineStr">
        <is>
          <t>on</t>
        </is>
      </c>
      <c r="D1422" s="2" t="n">
        <v>1448</v>
      </c>
      <c r="E1422" s="2" t="inlineStr">
        <is>
          <t>browser tor145</t>
        </is>
      </c>
      <c r="F1422" s="2" t="b">
        <v>0</v>
      </c>
      <c r="G1422" s="2" t="n">
        <v>1</v>
      </c>
      <c r="H1422" s="2" t="n">
        <v>613</v>
      </c>
      <c r="I1422" s="2" t="n">
        <v>613</v>
      </c>
      <c r="J1422" s="2" t="n">
        <v>613</v>
      </c>
      <c r="K1422" s="2">
        <f>H1422+5&gt;D1422</f>
        <v/>
      </c>
      <c r="L1422" s="2">
        <f>J1422&lt;I1422</f>
        <v/>
      </c>
      <c r="M1422" s="2" t="b">
        <v>1</v>
      </c>
      <c r="N1422" s="2" t="b">
        <v>1</v>
      </c>
      <c r="O1422" s="2" t="inlineStr">
        <is>
          <t>allow</t>
        </is>
      </c>
      <c r="P1422" s="2">
        <f>O1422&lt;&gt;"unknown"</f>
        <v/>
      </c>
    </row>
    <row r="1423">
      <c r="A1423" s="2" t="inlineStr">
        <is>
          <t>1500-on</t>
        </is>
      </c>
      <c r="B1423" s="2" t="n">
        <v>1500</v>
      </c>
      <c r="C1423" s="2" t="inlineStr">
        <is>
          <t>on</t>
        </is>
      </c>
      <c r="D1423" s="2" t="n">
        <v>1448</v>
      </c>
      <c r="E1423" s="2" t="inlineStr">
        <is>
          <t>browser tor145</t>
        </is>
      </c>
      <c r="F1423" s="2" t="b">
        <v>0</v>
      </c>
      <c r="G1423" s="2" t="n">
        <v>2</v>
      </c>
      <c r="H1423" s="2" t="n">
        <v>581</v>
      </c>
      <c r="I1423" s="2" t="n">
        <v>581</v>
      </c>
      <c r="J1423" s="2" t="n">
        <v>581</v>
      </c>
      <c r="K1423" s="2">
        <f>H1423+5&gt;D1423</f>
        <v/>
      </c>
      <c r="L1423" s="2">
        <f>J1423&lt;I1423</f>
        <v/>
      </c>
      <c r="M1423" s="2" t="b">
        <v>1</v>
      </c>
      <c r="N1423" s="2" t="b">
        <v>1</v>
      </c>
      <c r="O1423" s="2" t="inlineStr">
        <is>
          <t>allow</t>
        </is>
      </c>
      <c r="P1423" s="2">
        <f>O1423&lt;&gt;"unknown"</f>
        <v/>
      </c>
    </row>
    <row r="1424">
      <c r="A1424" s="2" t="inlineStr">
        <is>
          <t>1500-on</t>
        </is>
      </c>
      <c r="B1424" s="2" t="n">
        <v>1500</v>
      </c>
      <c r="C1424" s="2" t="inlineStr">
        <is>
          <t>on</t>
        </is>
      </c>
      <c r="D1424" s="2" t="n">
        <v>1448</v>
      </c>
      <c r="E1424" s="2" t="inlineStr">
        <is>
          <t>browser tor145</t>
        </is>
      </c>
      <c r="F1424" s="2" t="b">
        <v>0</v>
      </c>
      <c r="G1424" s="2" t="n">
        <v>3</v>
      </c>
      <c r="H1424" s="2" t="n">
        <v>581</v>
      </c>
      <c r="I1424" s="2" t="n">
        <v>581</v>
      </c>
      <c r="J1424" s="2" t="n">
        <v>581</v>
      </c>
      <c r="K1424" s="2">
        <f>H1424+5&gt;D1424</f>
        <v/>
      </c>
      <c r="L1424" s="2">
        <f>J1424&lt;I1424</f>
        <v/>
      </c>
      <c r="M1424" s="2" t="b">
        <v>1</v>
      </c>
      <c r="N1424" s="2" t="b">
        <v>1</v>
      </c>
      <c r="O1424" s="2" t="inlineStr">
        <is>
          <t>allow</t>
        </is>
      </c>
      <c r="P1424" s="2">
        <f>O1424&lt;&gt;"unknown"</f>
        <v/>
      </c>
    </row>
    <row r="1425">
      <c r="A1425" s="2" t="inlineStr">
        <is>
          <t>1500-on</t>
        </is>
      </c>
      <c r="B1425" s="2" t="n">
        <v>1500</v>
      </c>
      <c r="C1425" s="2" t="inlineStr">
        <is>
          <t>on</t>
        </is>
      </c>
      <c r="D1425" s="2" t="n">
        <v>1448</v>
      </c>
      <c r="E1425" s="2" t="inlineStr">
        <is>
          <t>browser tor145</t>
        </is>
      </c>
      <c r="F1425" s="2" t="b">
        <v>0</v>
      </c>
      <c r="G1425" s="2" t="n">
        <v>4</v>
      </c>
      <c r="H1425" s="2" t="n">
        <v>549</v>
      </c>
      <c r="I1425" s="2" t="n">
        <v>549</v>
      </c>
      <c r="J1425" s="2" t="n">
        <v>549</v>
      </c>
      <c r="K1425" s="2">
        <f>H1425+5&gt;D1425</f>
        <v/>
      </c>
      <c r="L1425" s="2">
        <f>J1425&lt;I1425</f>
        <v/>
      </c>
      <c r="M1425" s="2" t="b">
        <v>1</v>
      </c>
      <c r="N1425" s="2" t="b">
        <v>1</v>
      </c>
      <c r="O1425" s="2" t="inlineStr">
        <is>
          <t>allow</t>
        </is>
      </c>
      <c r="P1425" s="2">
        <f>O1425&lt;&gt;"unknown"</f>
        <v/>
      </c>
    </row>
    <row r="1426">
      <c r="A1426" s="2" t="inlineStr">
        <is>
          <t>1500-on</t>
        </is>
      </c>
      <c r="B1426" s="2" t="n">
        <v>1500</v>
      </c>
      <c r="C1426" s="2" t="inlineStr">
        <is>
          <t>on</t>
        </is>
      </c>
      <c r="D1426" s="2" t="n">
        <v>1448</v>
      </c>
      <c r="E1426" s="2" t="inlineStr">
        <is>
          <t>browser tor145</t>
        </is>
      </c>
      <c r="F1426" s="2" t="b">
        <v>0</v>
      </c>
      <c r="G1426" s="2" t="n">
        <v>5</v>
      </c>
      <c r="H1426" s="2" t="n">
        <v>613</v>
      </c>
      <c r="I1426" s="2" t="n">
        <v>613</v>
      </c>
      <c r="J1426" s="2" t="n">
        <v>613</v>
      </c>
      <c r="K1426" s="2">
        <f>H1426+5&gt;D1426</f>
        <v/>
      </c>
      <c r="L1426" s="2">
        <f>J1426&lt;I1426</f>
        <v/>
      </c>
      <c r="M1426" s="2" t="b">
        <v>1</v>
      </c>
      <c r="N1426" s="2" t="b">
        <v>1</v>
      </c>
      <c r="O1426" s="2" t="inlineStr">
        <is>
          <t>allow</t>
        </is>
      </c>
      <c r="P1426" s="2">
        <f>O1426&lt;&gt;"unknown"</f>
        <v/>
      </c>
    </row>
    <row r="1427">
      <c r="A1427" s="2" t="inlineStr">
        <is>
          <t>1500-on</t>
        </is>
      </c>
      <c r="B1427" s="2" t="n">
        <v>1500</v>
      </c>
      <c r="C1427" s="2" t="inlineStr">
        <is>
          <t>on</t>
        </is>
      </c>
      <c r="D1427" s="2" t="n">
        <v>1448</v>
      </c>
      <c r="E1427" s="2" t="inlineStr">
        <is>
          <t>browser tor145</t>
        </is>
      </c>
      <c r="F1427" s="2" t="b">
        <v>0</v>
      </c>
      <c r="G1427" s="2" t="n">
        <v>6</v>
      </c>
      <c r="H1427" s="2" t="n">
        <v>581</v>
      </c>
      <c r="I1427" s="2" t="n">
        <v>581</v>
      </c>
      <c r="J1427" s="2" t="n">
        <v>581</v>
      </c>
      <c r="K1427" s="2">
        <f>H1427+5&gt;D1427</f>
        <v/>
      </c>
      <c r="L1427" s="2">
        <f>J1427&lt;I1427</f>
        <v/>
      </c>
      <c r="M1427" s="2" t="b">
        <v>1</v>
      </c>
      <c r="N1427" s="2" t="b">
        <v>1</v>
      </c>
      <c r="O1427" s="2" t="inlineStr">
        <is>
          <t>allow</t>
        </is>
      </c>
      <c r="P1427" s="2">
        <f>O1427&lt;&gt;"unknown"</f>
        <v/>
      </c>
    </row>
    <row r="1428">
      <c r="A1428" s="2" t="inlineStr">
        <is>
          <t>1500-on</t>
        </is>
      </c>
      <c r="B1428" s="2" t="n">
        <v>1500</v>
      </c>
      <c r="C1428" s="2" t="inlineStr">
        <is>
          <t>on</t>
        </is>
      </c>
      <c r="D1428" s="2" t="n">
        <v>1448</v>
      </c>
      <c r="E1428" s="2" t="inlineStr">
        <is>
          <t>browser tor145</t>
        </is>
      </c>
      <c r="F1428" s="2" t="b">
        <v>0</v>
      </c>
      <c r="G1428" s="2" t="n">
        <v>7</v>
      </c>
      <c r="H1428" s="2" t="n">
        <v>581</v>
      </c>
      <c r="I1428" s="2" t="n">
        <v>581</v>
      </c>
      <c r="J1428" s="2" t="n">
        <v>581</v>
      </c>
      <c r="K1428" s="2">
        <f>H1428+5&gt;D1428</f>
        <v/>
      </c>
      <c r="L1428" s="2">
        <f>J1428&lt;I1428</f>
        <v/>
      </c>
      <c r="M1428" s="2" t="b">
        <v>1</v>
      </c>
      <c r="N1428" s="2" t="b">
        <v>1</v>
      </c>
      <c r="O1428" s="2" t="inlineStr">
        <is>
          <t>allow</t>
        </is>
      </c>
      <c r="P1428" s="2">
        <f>O1428&lt;&gt;"unknown"</f>
        <v/>
      </c>
    </row>
    <row r="1429">
      <c r="A1429" s="2" t="inlineStr">
        <is>
          <t>1500-on</t>
        </is>
      </c>
      <c r="B1429" s="2" t="n">
        <v>1500</v>
      </c>
      <c r="C1429" s="2" t="inlineStr">
        <is>
          <t>on</t>
        </is>
      </c>
      <c r="D1429" s="2" t="n">
        <v>1448</v>
      </c>
      <c r="E1429" s="2" t="inlineStr">
        <is>
          <t>browser tor145</t>
        </is>
      </c>
      <c r="F1429" s="2" t="b">
        <v>0</v>
      </c>
      <c r="G1429" s="2" t="n">
        <v>8</v>
      </c>
      <c r="H1429" s="2" t="n">
        <v>549</v>
      </c>
      <c r="I1429" s="2" t="n">
        <v>549</v>
      </c>
      <c r="J1429" s="2" t="n">
        <v>549</v>
      </c>
      <c r="K1429" s="2">
        <f>H1429+5&gt;D1429</f>
        <v/>
      </c>
      <c r="L1429" s="2">
        <f>J1429&lt;I1429</f>
        <v/>
      </c>
      <c r="M1429" s="2" t="b">
        <v>1</v>
      </c>
      <c r="N1429" s="2" t="b">
        <v>1</v>
      </c>
      <c r="O1429" s="2" t="inlineStr">
        <is>
          <t>allow</t>
        </is>
      </c>
      <c r="P1429" s="2">
        <f>O1429&lt;&gt;"unknown"</f>
        <v/>
      </c>
    </row>
    <row r="1430">
      <c r="A1430" s="2" t="inlineStr">
        <is>
          <t>1500-on</t>
        </is>
      </c>
      <c r="B1430" s="2" t="n">
        <v>1500</v>
      </c>
      <c r="C1430" s="2" t="inlineStr">
        <is>
          <t>on</t>
        </is>
      </c>
      <c r="D1430" s="2" t="n">
        <v>1448</v>
      </c>
      <c r="E1430" s="2" t="inlineStr">
        <is>
          <t>browser tor145</t>
        </is>
      </c>
      <c r="F1430" s="2" t="b">
        <v>0</v>
      </c>
      <c r="G1430" s="2" t="n">
        <v>9</v>
      </c>
      <c r="H1430" s="2" t="n">
        <v>613</v>
      </c>
      <c r="I1430" s="2" t="n">
        <v>613</v>
      </c>
      <c r="J1430" s="2" t="n">
        <v>613</v>
      </c>
      <c r="K1430" s="2">
        <f>H1430+5&gt;D1430</f>
        <v/>
      </c>
      <c r="L1430" s="2">
        <f>J1430&lt;I1430</f>
        <v/>
      </c>
      <c r="M1430" s="2" t="b">
        <v>1</v>
      </c>
      <c r="N1430" s="2" t="b">
        <v>1</v>
      </c>
      <c r="O1430" s="2" t="inlineStr">
        <is>
          <t>allow</t>
        </is>
      </c>
      <c r="P1430" s="2">
        <f>O1430&lt;&gt;"unknown"</f>
        <v/>
      </c>
    </row>
    <row r="1431">
      <c r="A1431" s="2" t="inlineStr">
        <is>
          <t>1500-on</t>
        </is>
      </c>
      <c r="B1431" s="2" t="n">
        <v>1500</v>
      </c>
      <c r="C1431" s="2" t="inlineStr">
        <is>
          <t>on</t>
        </is>
      </c>
      <c r="D1431" s="2" t="n">
        <v>1448</v>
      </c>
      <c r="E1431" s="2" t="inlineStr">
        <is>
          <t>browser tor145</t>
        </is>
      </c>
      <c r="F1431" s="2" t="b">
        <v>0</v>
      </c>
      <c r="G1431" s="2" t="n">
        <v>10</v>
      </c>
      <c r="H1431" s="2" t="n">
        <v>613</v>
      </c>
      <c r="I1431" s="2" t="n">
        <v>613</v>
      </c>
      <c r="J1431" s="2" t="n">
        <v>613</v>
      </c>
      <c r="K1431" s="2">
        <f>H1431+5&gt;D1431</f>
        <v/>
      </c>
      <c r="L1431" s="2">
        <f>J1431&lt;I1431</f>
        <v/>
      </c>
      <c r="M1431" s="2" t="b">
        <v>1</v>
      </c>
      <c r="N1431" s="2" t="b">
        <v>1</v>
      </c>
      <c r="O1431" s="2" t="inlineStr">
        <is>
          <t>allow</t>
        </is>
      </c>
      <c r="P1431" s="2">
        <f>O1431&lt;&gt;"unknown"</f>
        <v/>
      </c>
    </row>
    <row r="1432">
      <c r="A1432" s="2" t="inlineStr">
        <is>
          <t>1500-on</t>
        </is>
      </c>
      <c r="B1432" s="2" t="n">
        <v>1500</v>
      </c>
      <c r="C1432" s="2" t="inlineStr">
        <is>
          <t>on</t>
        </is>
      </c>
      <c r="D1432" s="2" t="n">
        <v>1448</v>
      </c>
      <c r="E1432" s="2" t="inlineStr">
        <is>
          <t>browser tor145</t>
        </is>
      </c>
      <c r="F1432" s="2" t="b">
        <v>0</v>
      </c>
      <c r="G1432" s="2" t="n">
        <v>11</v>
      </c>
      <c r="H1432" s="2" t="n">
        <v>613</v>
      </c>
      <c r="I1432" s="2" t="n">
        <v>613</v>
      </c>
      <c r="J1432" s="2" t="n">
        <v>613</v>
      </c>
      <c r="K1432" s="2">
        <f>H1432+5&gt;D1432</f>
        <v/>
      </c>
      <c r="L1432" s="2">
        <f>J1432&lt;I1432</f>
        <v/>
      </c>
      <c r="M1432" s="2" t="b">
        <v>1</v>
      </c>
      <c r="N1432" s="2" t="b">
        <v>1</v>
      </c>
      <c r="O1432" s="2" t="inlineStr">
        <is>
          <t>allow</t>
        </is>
      </c>
      <c r="P1432" s="2">
        <f>O1432&lt;&gt;"unknown"</f>
        <v/>
      </c>
    </row>
    <row r="1433">
      <c r="A1433" s="2" t="inlineStr">
        <is>
          <t>1500-on</t>
        </is>
      </c>
      <c r="B1433" s="2" t="n">
        <v>1500</v>
      </c>
      <c r="C1433" s="2" t="inlineStr">
        <is>
          <t>on</t>
        </is>
      </c>
      <c r="D1433" s="2" t="n">
        <v>1448</v>
      </c>
      <c r="E1433" s="2" t="inlineStr">
        <is>
          <t>browser tor145</t>
        </is>
      </c>
      <c r="F1433" s="2" t="b">
        <v>0</v>
      </c>
      <c r="G1433" s="2" t="n">
        <v>12</v>
      </c>
      <c r="H1433" s="2" t="n">
        <v>581</v>
      </c>
      <c r="I1433" s="2" t="n">
        <v>581</v>
      </c>
      <c r="J1433" s="2" t="n">
        <v>581</v>
      </c>
      <c r="K1433" s="2">
        <f>H1433+5&gt;D1433</f>
        <v/>
      </c>
      <c r="L1433" s="2">
        <f>J1433&lt;I1433</f>
        <v/>
      </c>
      <c r="M1433" s="2" t="b">
        <v>1</v>
      </c>
      <c r="N1433" s="2" t="b">
        <v>1</v>
      </c>
      <c r="O1433" s="2" t="inlineStr">
        <is>
          <t>allow</t>
        </is>
      </c>
      <c r="P1433" s="2">
        <f>O1433&lt;&gt;"unknown"</f>
        <v/>
      </c>
    </row>
    <row r="1434">
      <c r="A1434" s="2" t="inlineStr">
        <is>
          <t>1500-on</t>
        </is>
      </c>
      <c r="B1434" s="2" t="n">
        <v>1500</v>
      </c>
      <c r="C1434" s="2" t="inlineStr">
        <is>
          <t>on</t>
        </is>
      </c>
      <c r="D1434" s="2" t="n">
        <v>1448</v>
      </c>
      <c r="E1434" s="2" t="inlineStr">
        <is>
          <t>browser tor145</t>
        </is>
      </c>
      <c r="F1434" s="2" t="b">
        <v>0</v>
      </c>
      <c r="G1434" s="2" t="n">
        <v>13</v>
      </c>
      <c r="H1434" s="2" t="n">
        <v>581</v>
      </c>
      <c r="I1434" s="2" t="n">
        <v>581</v>
      </c>
      <c r="J1434" s="2" t="n">
        <v>581</v>
      </c>
      <c r="K1434" s="2">
        <f>H1434+5&gt;D1434</f>
        <v/>
      </c>
      <c r="L1434" s="2">
        <f>J1434&lt;I1434</f>
        <v/>
      </c>
      <c r="M1434" s="2" t="b">
        <v>1</v>
      </c>
      <c r="N1434" s="2" t="b">
        <v>1</v>
      </c>
      <c r="O1434" s="2" t="inlineStr">
        <is>
          <t>allow</t>
        </is>
      </c>
      <c r="P1434" s="2">
        <f>O1434&lt;&gt;"unknown"</f>
        <v/>
      </c>
    </row>
    <row r="1435">
      <c r="A1435" s="2" t="inlineStr">
        <is>
          <t>1500-on</t>
        </is>
      </c>
      <c r="B1435" s="2" t="n">
        <v>1500</v>
      </c>
      <c r="C1435" s="2" t="inlineStr">
        <is>
          <t>on</t>
        </is>
      </c>
      <c r="D1435" s="2" t="n">
        <v>1448</v>
      </c>
      <c r="E1435" s="2" t="inlineStr">
        <is>
          <t>browser tor145</t>
        </is>
      </c>
      <c r="F1435" s="2" t="b">
        <v>0</v>
      </c>
      <c r="G1435" s="2" t="n">
        <v>14</v>
      </c>
      <c r="H1435" s="2" t="n">
        <v>581</v>
      </c>
      <c r="I1435" s="2" t="n">
        <v>581</v>
      </c>
      <c r="J1435" s="2" t="n">
        <v>581</v>
      </c>
      <c r="K1435" s="2">
        <f>H1435+5&gt;D1435</f>
        <v/>
      </c>
      <c r="L1435" s="2">
        <f>J1435&lt;I1435</f>
        <v/>
      </c>
      <c r="M1435" s="2" t="b">
        <v>1</v>
      </c>
      <c r="N1435" s="2" t="b">
        <v>1</v>
      </c>
      <c r="O1435" s="2" t="inlineStr">
        <is>
          <t>allow</t>
        </is>
      </c>
      <c r="P1435" s="2">
        <f>O1435&lt;&gt;"unknown"</f>
        <v/>
      </c>
    </row>
    <row r="1436">
      <c r="A1436" s="2" t="inlineStr">
        <is>
          <t>1500-on</t>
        </is>
      </c>
      <c r="B1436" s="2" t="n">
        <v>1500</v>
      </c>
      <c r="C1436" s="2" t="inlineStr">
        <is>
          <t>on</t>
        </is>
      </c>
      <c r="D1436" s="2" t="n">
        <v>1448</v>
      </c>
      <c r="E1436" s="2" t="inlineStr">
        <is>
          <t>browser tor145</t>
        </is>
      </c>
      <c r="F1436" s="2" t="b">
        <v>0</v>
      </c>
      <c r="G1436" s="2" t="n">
        <v>15</v>
      </c>
      <c r="H1436" s="2" t="n">
        <v>581</v>
      </c>
      <c r="I1436" s="2" t="n">
        <v>581</v>
      </c>
      <c r="J1436" s="2" t="n">
        <v>581</v>
      </c>
      <c r="K1436" s="2">
        <f>H1436+5&gt;D1436</f>
        <v/>
      </c>
      <c r="L1436" s="2">
        <f>J1436&lt;I1436</f>
        <v/>
      </c>
      <c r="M1436" s="2" t="b">
        <v>1</v>
      </c>
      <c r="N1436" s="2" t="b">
        <v>1</v>
      </c>
      <c r="O1436" s="2" t="inlineStr">
        <is>
          <t>allow</t>
        </is>
      </c>
      <c r="P1436" s="2">
        <f>O1436&lt;&gt;"unknown"</f>
        <v/>
      </c>
    </row>
    <row r="1437">
      <c r="A1437" s="2" t="inlineStr">
        <is>
          <t>1500-on</t>
        </is>
      </c>
      <c r="B1437" s="2" t="n">
        <v>1500</v>
      </c>
      <c r="C1437" s="2" t="inlineStr">
        <is>
          <t>on</t>
        </is>
      </c>
      <c r="D1437" s="2" t="n">
        <v>1448</v>
      </c>
      <c r="E1437" s="2" t="inlineStr">
        <is>
          <t>browser tor145</t>
        </is>
      </c>
      <c r="F1437" s="2" t="b">
        <v>0</v>
      </c>
      <c r="G1437" s="2" t="n">
        <v>16</v>
      </c>
      <c r="H1437" s="2" t="n">
        <v>581</v>
      </c>
      <c r="I1437" s="2" t="n">
        <v>581</v>
      </c>
      <c r="J1437" s="2" t="n">
        <v>581</v>
      </c>
      <c r="K1437" s="2">
        <f>H1437+5&gt;D1437</f>
        <v/>
      </c>
      <c r="L1437" s="2">
        <f>J1437&lt;I1437</f>
        <v/>
      </c>
      <c r="M1437" s="2" t="b">
        <v>1</v>
      </c>
      <c r="N1437" s="2" t="b">
        <v>1</v>
      </c>
      <c r="O1437" s="2" t="inlineStr">
        <is>
          <t>allow</t>
        </is>
      </c>
      <c r="P1437" s="2">
        <f>O1437&lt;&gt;"unknown"</f>
        <v/>
      </c>
    </row>
    <row r="1438">
      <c r="A1438" s="2" t="inlineStr">
        <is>
          <t>1500-on</t>
        </is>
      </c>
      <c r="B1438" s="2" t="n">
        <v>1500</v>
      </c>
      <c r="C1438" s="2" t="inlineStr">
        <is>
          <t>on</t>
        </is>
      </c>
      <c r="D1438" s="2" t="n">
        <v>1448</v>
      </c>
      <c r="E1438" s="2" t="inlineStr">
        <is>
          <t>browser tor145</t>
        </is>
      </c>
      <c r="F1438" s="2" t="b">
        <v>0</v>
      </c>
      <c r="G1438" s="2" t="n">
        <v>17</v>
      </c>
      <c r="H1438" s="2" t="n">
        <v>613</v>
      </c>
      <c r="I1438" s="2" t="n">
        <v>613</v>
      </c>
      <c r="J1438" s="2" t="n">
        <v>613</v>
      </c>
      <c r="K1438" s="2">
        <f>H1438+5&gt;D1438</f>
        <v/>
      </c>
      <c r="L1438" s="2">
        <f>J1438&lt;I1438</f>
        <v/>
      </c>
      <c r="M1438" s="2" t="b">
        <v>1</v>
      </c>
      <c r="N1438" s="2" t="b">
        <v>1</v>
      </c>
      <c r="O1438" s="2" t="inlineStr">
        <is>
          <t>allow</t>
        </is>
      </c>
      <c r="P1438" s="2">
        <f>O1438&lt;&gt;"unknown"</f>
        <v/>
      </c>
    </row>
    <row r="1439">
      <c r="A1439" s="2" t="inlineStr">
        <is>
          <t>1500-on</t>
        </is>
      </c>
      <c r="B1439" s="2" t="n">
        <v>1500</v>
      </c>
      <c r="C1439" s="2" t="inlineStr">
        <is>
          <t>on</t>
        </is>
      </c>
      <c r="D1439" s="2" t="n">
        <v>1448</v>
      </c>
      <c r="E1439" s="2" t="inlineStr">
        <is>
          <t>browser tor145</t>
        </is>
      </c>
      <c r="F1439" s="2" t="b">
        <v>0</v>
      </c>
      <c r="G1439" s="2" t="n">
        <v>18</v>
      </c>
      <c r="H1439" s="2" t="n">
        <v>645</v>
      </c>
      <c r="I1439" s="2" t="n">
        <v>645</v>
      </c>
      <c r="J1439" s="2" t="n">
        <v>645</v>
      </c>
      <c r="K1439" s="2">
        <f>H1439+5&gt;D1439</f>
        <v/>
      </c>
      <c r="L1439" s="2">
        <f>J1439&lt;I1439</f>
        <v/>
      </c>
      <c r="M1439" s="2" t="b">
        <v>1</v>
      </c>
      <c r="N1439" s="2" t="b">
        <v>1</v>
      </c>
      <c r="O1439" s="2" t="inlineStr">
        <is>
          <t>allow</t>
        </is>
      </c>
      <c r="P1439" s="2">
        <f>O1439&lt;&gt;"unknown"</f>
        <v/>
      </c>
    </row>
    <row r="1440">
      <c r="A1440" s="2" t="inlineStr">
        <is>
          <t>1500-on</t>
        </is>
      </c>
      <c r="B1440" s="2" t="n">
        <v>1500</v>
      </c>
      <c r="C1440" s="2" t="inlineStr">
        <is>
          <t>on</t>
        </is>
      </c>
      <c r="D1440" s="2" t="n">
        <v>1448</v>
      </c>
      <c r="E1440" s="2" t="inlineStr">
        <is>
          <t>browser tor145</t>
        </is>
      </c>
      <c r="F1440" s="2" t="b">
        <v>0</v>
      </c>
      <c r="G1440" s="2" t="n">
        <v>19</v>
      </c>
      <c r="H1440" s="2" t="n">
        <v>549</v>
      </c>
      <c r="I1440" s="2" t="n">
        <v>549</v>
      </c>
      <c r="J1440" s="2" t="n">
        <v>549</v>
      </c>
      <c r="K1440" s="2">
        <f>H1440+5&gt;D1440</f>
        <v/>
      </c>
      <c r="L1440" s="2">
        <f>J1440&lt;I1440</f>
        <v/>
      </c>
      <c r="M1440" s="2" t="b">
        <v>1</v>
      </c>
      <c r="N1440" s="2" t="b">
        <v>1</v>
      </c>
      <c r="O1440" s="2" t="inlineStr">
        <is>
          <t>allow</t>
        </is>
      </c>
      <c r="P1440" s="2">
        <f>O1440&lt;&gt;"unknown"</f>
        <v/>
      </c>
    </row>
    <row r="1441">
      <c r="A1441" s="2" t="inlineStr">
        <is>
          <t>1500-on</t>
        </is>
      </c>
      <c r="B1441" s="2" t="n">
        <v>1500</v>
      </c>
      <c r="C1441" s="2" t="inlineStr">
        <is>
          <t>on</t>
        </is>
      </c>
      <c r="D1441" s="2" t="n">
        <v>1448</v>
      </c>
      <c r="E1441" s="2" t="inlineStr">
        <is>
          <t>browser tor145</t>
        </is>
      </c>
      <c r="F1441" s="2" t="b">
        <v>0</v>
      </c>
      <c r="G1441" s="2" t="n">
        <v>20</v>
      </c>
      <c r="H1441" s="2" t="n">
        <v>645</v>
      </c>
      <c r="I1441" s="2" t="n">
        <v>645</v>
      </c>
      <c r="J1441" s="2" t="n">
        <v>645</v>
      </c>
      <c r="K1441" s="2">
        <f>H1441+5&gt;D1441</f>
        <v/>
      </c>
      <c r="L1441" s="2">
        <f>J1441&lt;I1441</f>
        <v/>
      </c>
      <c r="M1441" s="2" t="b">
        <v>1</v>
      </c>
      <c r="N1441" s="2" t="b">
        <v>1</v>
      </c>
      <c r="O1441" s="2" t="inlineStr">
        <is>
          <t>allow</t>
        </is>
      </c>
      <c r="P1441" s="2">
        <f>O1441&lt;&gt;"unknown"</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s>
  <sheetData>
    <row r="1">
      <c r="A1" s="1" t="inlineStr">
        <is>
          <t>Client</t>
        </is>
      </c>
      <c r="B1" s="1" t="inlineStr">
        <is>
          <t>1280-off</t>
        </is>
      </c>
      <c r="C1" s="1" t="inlineStr">
        <is>
          <t>1280-on</t>
        </is>
      </c>
      <c r="D1" s="1" t="inlineStr">
        <is>
          <t>1400-on</t>
        </is>
      </c>
      <c r="E1" s="1" t="inlineStr">
        <is>
          <t>1460-on</t>
        </is>
      </c>
      <c r="F1" s="1" t="inlineStr">
        <is>
          <t>1500-off</t>
        </is>
      </c>
      <c r="G1" s="1" t="inlineStr">
        <is>
          <t>1500-on</t>
        </is>
      </c>
    </row>
    <row r="2">
      <c r="A2" s="2" t="inlineStr">
        <is>
          <t>browser chrome116</t>
        </is>
      </c>
      <c r="B2" s="5">
        <f>IF(COUNTIFS(Exp4!$E$2:$E$1441,"browser chrome116",Exp4!$A$2:$A$1441,"1280-off")=0,"",COUNTIFS(Exp4!$E$2:$E$1441,"browser chrome116",Exp4!$A$2:$A$1441,"1280-off",Exp4!$P$2:$P$1441,TRUE)/COUNTIFS(Exp4!$E$2:$E$1441,"browser chrome116",Exp4!$A$2:$A$1441,"1280-off"))</f>
        <v/>
      </c>
      <c r="C2" s="5">
        <f>IF(COUNTIFS(Exp4!$E$2:$E$1441,"browser chrome116",Exp4!$A$2:$A$1441,"1280-on")=0,"",COUNTIFS(Exp4!$E$2:$E$1441,"browser chrome116",Exp4!$A$2:$A$1441,"1280-on",Exp4!$P$2:$P$1441,TRUE)/COUNTIFS(Exp4!$E$2:$E$1441,"browser chrome116",Exp4!$A$2:$A$1441,"1280-on"))</f>
        <v/>
      </c>
      <c r="D2" s="5">
        <f>IF(COUNTIFS(Exp4!$E$2:$E$1441,"browser chrome116",Exp4!$A$2:$A$1441,"1400-on")=0,"",COUNTIFS(Exp4!$E$2:$E$1441,"browser chrome116",Exp4!$A$2:$A$1441,"1400-on",Exp4!$P$2:$P$1441,TRUE)/COUNTIFS(Exp4!$E$2:$E$1441,"browser chrome116",Exp4!$A$2:$A$1441,"1400-on"))</f>
        <v/>
      </c>
      <c r="E2" s="5">
        <f>IF(COUNTIFS(Exp4!$E$2:$E$1441,"browser chrome116",Exp4!$A$2:$A$1441,"1460-on")=0,"",COUNTIFS(Exp4!$E$2:$E$1441,"browser chrome116",Exp4!$A$2:$A$1441,"1460-on",Exp4!$P$2:$P$1441,TRUE)/COUNTIFS(Exp4!$E$2:$E$1441,"browser chrome116",Exp4!$A$2:$A$1441,"1460-on"))</f>
        <v/>
      </c>
      <c r="F2" s="5">
        <f>IF(COUNTIFS(Exp4!$E$2:$E$1441,"browser chrome116",Exp4!$A$2:$A$1441,"1500-off")=0,"",COUNTIFS(Exp4!$E$2:$E$1441,"browser chrome116",Exp4!$A$2:$A$1441,"1500-off",Exp4!$P$2:$P$1441,TRUE)/COUNTIFS(Exp4!$E$2:$E$1441,"browser chrome116",Exp4!$A$2:$A$1441,"1500-off"))</f>
        <v/>
      </c>
      <c r="G2" s="5">
        <f>IF(COUNTIFS(Exp4!$E$2:$E$1441,"browser chrome116",Exp4!$A$2:$A$1441,"1500-on")=0,"",COUNTIFS(Exp4!$E$2:$E$1441,"browser chrome116",Exp4!$A$2:$A$1441,"1500-on",Exp4!$P$2:$P$1441,TRUE)/COUNTIFS(Exp4!$E$2:$E$1441,"browser chrome116",Exp4!$A$2:$A$1441,"1500-on"))</f>
        <v/>
      </c>
    </row>
    <row r="3">
      <c r="A3" s="2" t="inlineStr">
        <is>
          <t>browser chrome124</t>
        </is>
      </c>
      <c r="B3" s="5">
        <f>IF(COUNTIFS(Exp4!$E$2:$E$1441,"browser chrome124",Exp4!$A$2:$A$1441,"1280-off")=0,"",COUNTIFS(Exp4!$E$2:$E$1441,"browser chrome124",Exp4!$A$2:$A$1441,"1280-off",Exp4!$P$2:$P$1441,TRUE)/COUNTIFS(Exp4!$E$2:$E$1441,"browser chrome124",Exp4!$A$2:$A$1441,"1280-off"))</f>
        <v/>
      </c>
      <c r="C3" s="5">
        <f>IF(COUNTIFS(Exp4!$E$2:$E$1441,"browser chrome124",Exp4!$A$2:$A$1441,"1280-on")=0,"",COUNTIFS(Exp4!$E$2:$E$1441,"browser chrome124",Exp4!$A$2:$A$1441,"1280-on",Exp4!$P$2:$P$1441,TRUE)/COUNTIFS(Exp4!$E$2:$E$1441,"browser chrome124",Exp4!$A$2:$A$1441,"1280-on"))</f>
        <v/>
      </c>
      <c r="D3" s="5">
        <f>IF(COUNTIFS(Exp4!$E$2:$E$1441,"browser chrome124",Exp4!$A$2:$A$1441,"1400-on")=0,"",COUNTIFS(Exp4!$E$2:$E$1441,"browser chrome124",Exp4!$A$2:$A$1441,"1400-on",Exp4!$P$2:$P$1441,TRUE)/COUNTIFS(Exp4!$E$2:$E$1441,"browser chrome124",Exp4!$A$2:$A$1441,"1400-on"))</f>
        <v/>
      </c>
      <c r="E3" s="5">
        <f>IF(COUNTIFS(Exp4!$E$2:$E$1441,"browser chrome124",Exp4!$A$2:$A$1441,"1460-on")=0,"",COUNTIFS(Exp4!$E$2:$E$1441,"browser chrome124",Exp4!$A$2:$A$1441,"1460-on",Exp4!$P$2:$P$1441,TRUE)/COUNTIFS(Exp4!$E$2:$E$1441,"browser chrome124",Exp4!$A$2:$A$1441,"1460-on"))</f>
        <v/>
      </c>
      <c r="F3" s="5">
        <f>IF(COUNTIFS(Exp4!$E$2:$E$1441,"browser chrome124",Exp4!$A$2:$A$1441,"1500-off")=0,"",COUNTIFS(Exp4!$E$2:$E$1441,"browser chrome124",Exp4!$A$2:$A$1441,"1500-off",Exp4!$P$2:$P$1441,TRUE)/COUNTIFS(Exp4!$E$2:$E$1441,"browser chrome124",Exp4!$A$2:$A$1441,"1500-off"))</f>
        <v/>
      </c>
      <c r="G3" s="5">
        <f>IF(COUNTIFS(Exp4!$E$2:$E$1441,"browser chrome124",Exp4!$A$2:$A$1441,"1500-on")=0,"",COUNTIFS(Exp4!$E$2:$E$1441,"browser chrome124",Exp4!$A$2:$A$1441,"1500-on",Exp4!$P$2:$P$1441,TRUE)/COUNTIFS(Exp4!$E$2:$E$1441,"browser chrome124",Exp4!$A$2:$A$1441,"1500-on"))</f>
        <v/>
      </c>
    </row>
    <row r="4">
      <c r="A4" s="2" t="inlineStr">
        <is>
          <t>browser chrome131</t>
        </is>
      </c>
      <c r="B4" s="5">
        <f>IF(COUNTIFS(Exp4!$E$2:$E$1441,"browser chrome131",Exp4!$A$2:$A$1441,"1280-off")=0,"",COUNTIFS(Exp4!$E$2:$E$1441,"browser chrome131",Exp4!$A$2:$A$1441,"1280-off",Exp4!$P$2:$P$1441,TRUE)/COUNTIFS(Exp4!$E$2:$E$1441,"browser chrome131",Exp4!$A$2:$A$1441,"1280-off"))</f>
        <v/>
      </c>
      <c r="C4" s="5">
        <f>IF(COUNTIFS(Exp4!$E$2:$E$1441,"browser chrome131",Exp4!$A$2:$A$1441,"1280-on")=0,"",COUNTIFS(Exp4!$E$2:$E$1441,"browser chrome131",Exp4!$A$2:$A$1441,"1280-on",Exp4!$P$2:$P$1441,TRUE)/COUNTIFS(Exp4!$E$2:$E$1441,"browser chrome131",Exp4!$A$2:$A$1441,"1280-on"))</f>
        <v/>
      </c>
      <c r="D4" s="5">
        <f>IF(COUNTIFS(Exp4!$E$2:$E$1441,"browser chrome131",Exp4!$A$2:$A$1441,"1400-on")=0,"",COUNTIFS(Exp4!$E$2:$E$1441,"browser chrome131",Exp4!$A$2:$A$1441,"1400-on",Exp4!$P$2:$P$1441,TRUE)/COUNTIFS(Exp4!$E$2:$E$1441,"browser chrome131",Exp4!$A$2:$A$1441,"1400-on"))</f>
        <v/>
      </c>
      <c r="E4" s="5">
        <f>IF(COUNTIFS(Exp4!$E$2:$E$1441,"browser chrome131",Exp4!$A$2:$A$1441,"1460-on")=0,"",COUNTIFS(Exp4!$E$2:$E$1441,"browser chrome131",Exp4!$A$2:$A$1441,"1460-on",Exp4!$P$2:$P$1441,TRUE)/COUNTIFS(Exp4!$E$2:$E$1441,"browser chrome131",Exp4!$A$2:$A$1441,"1460-on"))</f>
        <v/>
      </c>
      <c r="F4" s="5">
        <f>IF(COUNTIFS(Exp4!$E$2:$E$1441,"browser chrome131",Exp4!$A$2:$A$1441,"1500-off")=0,"",COUNTIFS(Exp4!$E$2:$E$1441,"browser chrome131",Exp4!$A$2:$A$1441,"1500-off",Exp4!$P$2:$P$1441,TRUE)/COUNTIFS(Exp4!$E$2:$E$1441,"browser chrome131",Exp4!$A$2:$A$1441,"1500-off"))</f>
        <v/>
      </c>
      <c r="G4" s="5">
        <f>IF(COUNTIFS(Exp4!$E$2:$E$1441,"browser chrome131",Exp4!$A$2:$A$1441,"1500-on")=0,"",COUNTIFS(Exp4!$E$2:$E$1441,"browser chrome131",Exp4!$A$2:$A$1441,"1500-on",Exp4!$P$2:$P$1441,TRUE)/COUNTIFS(Exp4!$E$2:$E$1441,"browser chrome131",Exp4!$A$2:$A$1441,"1500-on"))</f>
        <v/>
      </c>
    </row>
    <row r="5">
      <c r="A5" s="2" t="inlineStr">
        <is>
          <t>browser chrome150</t>
        </is>
      </c>
      <c r="B5" s="5">
        <f>IF(COUNTIFS(Exp4!$E$2:$E$1441,"browser chrome150",Exp4!$A$2:$A$1441,"1280-off")=0,"",COUNTIFS(Exp4!$E$2:$E$1441,"browser chrome150",Exp4!$A$2:$A$1441,"1280-off",Exp4!$P$2:$P$1441,TRUE)/COUNTIFS(Exp4!$E$2:$E$1441,"browser chrome150",Exp4!$A$2:$A$1441,"1280-off"))</f>
        <v/>
      </c>
      <c r="C5" s="5">
        <f>IF(COUNTIFS(Exp4!$E$2:$E$1441,"browser chrome150",Exp4!$A$2:$A$1441,"1280-on")=0,"",COUNTIFS(Exp4!$E$2:$E$1441,"browser chrome150",Exp4!$A$2:$A$1441,"1280-on",Exp4!$P$2:$P$1441,TRUE)/COUNTIFS(Exp4!$E$2:$E$1441,"browser chrome150",Exp4!$A$2:$A$1441,"1280-on"))</f>
        <v/>
      </c>
      <c r="D5" s="5">
        <f>IF(COUNTIFS(Exp4!$E$2:$E$1441,"browser chrome150",Exp4!$A$2:$A$1441,"1400-on")=0,"",COUNTIFS(Exp4!$E$2:$E$1441,"browser chrome150",Exp4!$A$2:$A$1441,"1400-on",Exp4!$P$2:$P$1441,TRUE)/COUNTIFS(Exp4!$E$2:$E$1441,"browser chrome150",Exp4!$A$2:$A$1441,"1400-on"))</f>
        <v/>
      </c>
      <c r="E5" s="5">
        <f>IF(COUNTIFS(Exp4!$E$2:$E$1441,"browser chrome150",Exp4!$A$2:$A$1441,"1460-on")=0,"",COUNTIFS(Exp4!$E$2:$E$1441,"browser chrome150",Exp4!$A$2:$A$1441,"1460-on",Exp4!$P$2:$P$1441,TRUE)/COUNTIFS(Exp4!$E$2:$E$1441,"browser chrome150",Exp4!$A$2:$A$1441,"1460-on"))</f>
        <v/>
      </c>
      <c r="F5" s="5">
        <f>IF(COUNTIFS(Exp4!$E$2:$E$1441,"browser chrome150",Exp4!$A$2:$A$1441,"1500-off")=0,"",COUNTIFS(Exp4!$E$2:$E$1441,"browser chrome150",Exp4!$A$2:$A$1441,"1500-off",Exp4!$P$2:$P$1441,TRUE)/COUNTIFS(Exp4!$E$2:$E$1441,"browser chrome150",Exp4!$A$2:$A$1441,"1500-off"))</f>
        <v/>
      </c>
      <c r="G5" s="5">
        <f>IF(COUNTIFS(Exp4!$E$2:$E$1441,"browser chrome150",Exp4!$A$2:$A$1441,"1500-on")=0,"",COUNTIFS(Exp4!$E$2:$E$1441,"browser chrome150",Exp4!$A$2:$A$1441,"1500-on",Exp4!$P$2:$P$1441,TRUE)/COUNTIFS(Exp4!$E$2:$E$1441,"browser chrome150",Exp4!$A$2:$A$1441,"1500-on"))</f>
        <v/>
      </c>
    </row>
    <row r="6">
      <c r="A6" s="2" t="inlineStr">
        <is>
          <t>browser edge101</t>
        </is>
      </c>
      <c r="B6" s="5">
        <f>IF(COUNTIFS(Exp4!$E$2:$E$1441,"browser edge101",Exp4!$A$2:$A$1441,"1280-off")=0,"",COUNTIFS(Exp4!$E$2:$E$1441,"browser edge101",Exp4!$A$2:$A$1441,"1280-off",Exp4!$P$2:$P$1441,TRUE)/COUNTIFS(Exp4!$E$2:$E$1441,"browser edge101",Exp4!$A$2:$A$1441,"1280-off"))</f>
        <v/>
      </c>
      <c r="C6" s="5">
        <f>IF(COUNTIFS(Exp4!$E$2:$E$1441,"browser edge101",Exp4!$A$2:$A$1441,"1280-on")=0,"",COUNTIFS(Exp4!$E$2:$E$1441,"browser edge101",Exp4!$A$2:$A$1441,"1280-on",Exp4!$P$2:$P$1441,TRUE)/COUNTIFS(Exp4!$E$2:$E$1441,"browser edge101",Exp4!$A$2:$A$1441,"1280-on"))</f>
        <v/>
      </c>
      <c r="D6" s="5">
        <f>IF(COUNTIFS(Exp4!$E$2:$E$1441,"browser edge101",Exp4!$A$2:$A$1441,"1400-on")=0,"",COUNTIFS(Exp4!$E$2:$E$1441,"browser edge101",Exp4!$A$2:$A$1441,"1400-on",Exp4!$P$2:$P$1441,TRUE)/COUNTIFS(Exp4!$E$2:$E$1441,"browser edge101",Exp4!$A$2:$A$1441,"1400-on"))</f>
        <v/>
      </c>
      <c r="E6" s="5">
        <f>IF(COUNTIFS(Exp4!$E$2:$E$1441,"browser edge101",Exp4!$A$2:$A$1441,"1460-on")=0,"",COUNTIFS(Exp4!$E$2:$E$1441,"browser edge101",Exp4!$A$2:$A$1441,"1460-on",Exp4!$P$2:$P$1441,TRUE)/COUNTIFS(Exp4!$E$2:$E$1441,"browser edge101",Exp4!$A$2:$A$1441,"1460-on"))</f>
        <v/>
      </c>
      <c r="F6" s="5">
        <f>IF(COUNTIFS(Exp4!$E$2:$E$1441,"browser edge101",Exp4!$A$2:$A$1441,"1500-off")=0,"",COUNTIFS(Exp4!$E$2:$E$1441,"browser edge101",Exp4!$A$2:$A$1441,"1500-off",Exp4!$P$2:$P$1441,TRUE)/COUNTIFS(Exp4!$E$2:$E$1441,"browser edge101",Exp4!$A$2:$A$1441,"1500-off"))</f>
        <v/>
      </c>
      <c r="G6" s="5">
        <f>IF(COUNTIFS(Exp4!$E$2:$E$1441,"browser edge101",Exp4!$A$2:$A$1441,"1500-on")=0,"",COUNTIFS(Exp4!$E$2:$E$1441,"browser edge101",Exp4!$A$2:$A$1441,"1500-on",Exp4!$P$2:$P$1441,TRUE)/COUNTIFS(Exp4!$E$2:$E$1441,"browser edge101",Exp4!$A$2:$A$1441,"1500-on"))</f>
        <v/>
      </c>
    </row>
    <row r="7">
      <c r="A7" s="2" t="inlineStr">
        <is>
          <t>browser firefox133</t>
        </is>
      </c>
      <c r="B7" s="5">
        <f>IF(COUNTIFS(Exp4!$E$2:$E$1441,"browser firefox133",Exp4!$A$2:$A$1441,"1280-off")=0,"",COUNTIFS(Exp4!$E$2:$E$1441,"browser firefox133",Exp4!$A$2:$A$1441,"1280-off",Exp4!$P$2:$P$1441,TRUE)/COUNTIFS(Exp4!$E$2:$E$1441,"browser firefox133",Exp4!$A$2:$A$1441,"1280-off"))</f>
        <v/>
      </c>
      <c r="C7" s="5">
        <f>IF(COUNTIFS(Exp4!$E$2:$E$1441,"browser firefox133",Exp4!$A$2:$A$1441,"1280-on")=0,"",COUNTIFS(Exp4!$E$2:$E$1441,"browser firefox133",Exp4!$A$2:$A$1441,"1280-on",Exp4!$P$2:$P$1441,TRUE)/COUNTIFS(Exp4!$E$2:$E$1441,"browser firefox133",Exp4!$A$2:$A$1441,"1280-on"))</f>
        <v/>
      </c>
      <c r="D7" s="5">
        <f>IF(COUNTIFS(Exp4!$E$2:$E$1441,"browser firefox133",Exp4!$A$2:$A$1441,"1400-on")=0,"",COUNTIFS(Exp4!$E$2:$E$1441,"browser firefox133",Exp4!$A$2:$A$1441,"1400-on",Exp4!$P$2:$P$1441,TRUE)/COUNTIFS(Exp4!$E$2:$E$1441,"browser firefox133",Exp4!$A$2:$A$1441,"1400-on"))</f>
        <v/>
      </c>
      <c r="E7" s="5">
        <f>IF(COUNTIFS(Exp4!$E$2:$E$1441,"browser firefox133",Exp4!$A$2:$A$1441,"1460-on")=0,"",COUNTIFS(Exp4!$E$2:$E$1441,"browser firefox133",Exp4!$A$2:$A$1441,"1460-on",Exp4!$P$2:$P$1441,TRUE)/COUNTIFS(Exp4!$E$2:$E$1441,"browser firefox133",Exp4!$A$2:$A$1441,"1460-on"))</f>
        <v/>
      </c>
      <c r="F7" s="5">
        <f>IF(COUNTIFS(Exp4!$E$2:$E$1441,"browser firefox133",Exp4!$A$2:$A$1441,"1500-off")=0,"",COUNTIFS(Exp4!$E$2:$E$1441,"browser firefox133",Exp4!$A$2:$A$1441,"1500-off",Exp4!$P$2:$P$1441,TRUE)/COUNTIFS(Exp4!$E$2:$E$1441,"browser firefox133",Exp4!$A$2:$A$1441,"1500-off"))</f>
        <v/>
      </c>
      <c r="G7" s="5">
        <f>IF(COUNTIFS(Exp4!$E$2:$E$1441,"browser firefox133",Exp4!$A$2:$A$1441,"1500-on")=0,"",COUNTIFS(Exp4!$E$2:$E$1441,"browser firefox133",Exp4!$A$2:$A$1441,"1500-on",Exp4!$P$2:$P$1441,TRUE)/COUNTIFS(Exp4!$E$2:$E$1441,"browser firefox133",Exp4!$A$2:$A$1441,"1500-on"))</f>
        <v/>
      </c>
    </row>
    <row r="8">
      <c r="A8" s="2" t="inlineStr">
        <is>
          <t>browser firefox147</t>
        </is>
      </c>
      <c r="B8" s="5">
        <f>IF(COUNTIFS(Exp4!$E$2:$E$1441,"browser firefox147",Exp4!$A$2:$A$1441,"1280-off")=0,"",COUNTIFS(Exp4!$E$2:$E$1441,"browser firefox147",Exp4!$A$2:$A$1441,"1280-off",Exp4!$P$2:$P$1441,TRUE)/COUNTIFS(Exp4!$E$2:$E$1441,"browser firefox147",Exp4!$A$2:$A$1441,"1280-off"))</f>
        <v/>
      </c>
      <c r="C8" s="5">
        <f>IF(COUNTIFS(Exp4!$E$2:$E$1441,"browser firefox147",Exp4!$A$2:$A$1441,"1280-on")=0,"",COUNTIFS(Exp4!$E$2:$E$1441,"browser firefox147",Exp4!$A$2:$A$1441,"1280-on",Exp4!$P$2:$P$1441,TRUE)/COUNTIFS(Exp4!$E$2:$E$1441,"browser firefox147",Exp4!$A$2:$A$1441,"1280-on"))</f>
        <v/>
      </c>
      <c r="D8" s="5">
        <f>IF(COUNTIFS(Exp4!$E$2:$E$1441,"browser firefox147",Exp4!$A$2:$A$1441,"1400-on")=0,"",COUNTIFS(Exp4!$E$2:$E$1441,"browser firefox147",Exp4!$A$2:$A$1441,"1400-on",Exp4!$P$2:$P$1441,TRUE)/COUNTIFS(Exp4!$E$2:$E$1441,"browser firefox147",Exp4!$A$2:$A$1441,"1400-on"))</f>
        <v/>
      </c>
      <c r="E8" s="5">
        <f>IF(COUNTIFS(Exp4!$E$2:$E$1441,"browser firefox147",Exp4!$A$2:$A$1441,"1460-on")=0,"",COUNTIFS(Exp4!$E$2:$E$1441,"browser firefox147",Exp4!$A$2:$A$1441,"1460-on",Exp4!$P$2:$P$1441,TRUE)/COUNTIFS(Exp4!$E$2:$E$1441,"browser firefox147",Exp4!$A$2:$A$1441,"1460-on"))</f>
        <v/>
      </c>
      <c r="F8" s="5">
        <f>IF(COUNTIFS(Exp4!$E$2:$E$1441,"browser firefox147",Exp4!$A$2:$A$1441,"1500-off")=0,"",COUNTIFS(Exp4!$E$2:$E$1441,"browser firefox147",Exp4!$A$2:$A$1441,"1500-off",Exp4!$P$2:$P$1441,TRUE)/COUNTIFS(Exp4!$E$2:$E$1441,"browser firefox147",Exp4!$A$2:$A$1441,"1500-off"))</f>
        <v/>
      </c>
      <c r="G8" s="5">
        <f>IF(COUNTIFS(Exp4!$E$2:$E$1441,"browser firefox147",Exp4!$A$2:$A$1441,"1500-on")=0,"",COUNTIFS(Exp4!$E$2:$E$1441,"browser firefox147",Exp4!$A$2:$A$1441,"1500-on",Exp4!$P$2:$P$1441,TRUE)/COUNTIFS(Exp4!$E$2:$E$1441,"browser firefox147",Exp4!$A$2:$A$1441,"1500-on"))</f>
        <v/>
      </c>
    </row>
    <row r="9">
      <c r="A9" s="2" t="inlineStr">
        <is>
          <t>browser safari184</t>
        </is>
      </c>
      <c r="B9" s="5">
        <f>IF(COUNTIFS(Exp4!$E$2:$E$1441,"browser safari184",Exp4!$A$2:$A$1441,"1280-off")=0,"",COUNTIFS(Exp4!$E$2:$E$1441,"browser safari184",Exp4!$A$2:$A$1441,"1280-off",Exp4!$P$2:$P$1441,TRUE)/COUNTIFS(Exp4!$E$2:$E$1441,"browser safari184",Exp4!$A$2:$A$1441,"1280-off"))</f>
        <v/>
      </c>
      <c r="C9" s="5">
        <f>IF(COUNTIFS(Exp4!$E$2:$E$1441,"browser safari184",Exp4!$A$2:$A$1441,"1280-on")=0,"",COUNTIFS(Exp4!$E$2:$E$1441,"browser safari184",Exp4!$A$2:$A$1441,"1280-on",Exp4!$P$2:$P$1441,TRUE)/COUNTIFS(Exp4!$E$2:$E$1441,"browser safari184",Exp4!$A$2:$A$1441,"1280-on"))</f>
        <v/>
      </c>
      <c r="D9" s="5">
        <f>IF(COUNTIFS(Exp4!$E$2:$E$1441,"browser safari184",Exp4!$A$2:$A$1441,"1400-on")=0,"",COUNTIFS(Exp4!$E$2:$E$1441,"browser safari184",Exp4!$A$2:$A$1441,"1400-on",Exp4!$P$2:$P$1441,TRUE)/COUNTIFS(Exp4!$E$2:$E$1441,"browser safari184",Exp4!$A$2:$A$1441,"1400-on"))</f>
        <v/>
      </c>
      <c r="E9" s="5">
        <f>IF(COUNTIFS(Exp4!$E$2:$E$1441,"browser safari184",Exp4!$A$2:$A$1441,"1460-on")=0,"",COUNTIFS(Exp4!$E$2:$E$1441,"browser safari184",Exp4!$A$2:$A$1441,"1460-on",Exp4!$P$2:$P$1441,TRUE)/COUNTIFS(Exp4!$E$2:$E$1441,"browser safari184",Exp4!$A$2:$A$1441,"1460-on"))</f>
        <v/>
      </c>
      <c r="F9" s="5">
        <f>IF(COUNTIFS(Exp4!$E$2:$E$1441,"browser safari184",Exp4!$A$2:$A$1441,"1500-off")=0,"",COUNTIFS(Exp4!$E$2:$E$1441,"browser safari184",Exp4!$A$2:$A$1441,"1500-off",Exp4!$P$2:$P$1441,TRUE)/COUNTIFS(Exp4!$E$2:$E$1441,"browser safari184",Exp4!$A$2:$A$1441,"1500-off"))</f>
        <v/>
      </c>
      <c r="G9" s="5">
        <f>IF(COUNTIFS(Exp4!$E$2:$E$1441,"browser safari184",Exp4!$A$2:$A$1441,"1500-on")=0,"",COUNTIFS(Exp4!$E$2:$E$1441,"browser safari184",Exp4!$A$2:$A$1441,"1500-on",Exp4!$P$2:$P$1441,TRUE)/COUNTIFS(Exp4!$E$2:$E$1441,"browser safari184",Exp4!$A$2:$A$1441,"1500-on"))</f>
        <v/>
      </c>
    </row>
    <row r="10">
      <c r="A10" s="2" t="inlineStr">
        <is>
          <t>browser safari260</t>
        </is>
      </c>
      <c r="B10" s="5">
        <f>IF(COUNTIFS(Exp4!$E$2:$E$1441,"browser safari260",Exp4!$A$2:$A$1441,"1280-off")=0,"",COUNTIFS(Exp4!$E$2:$E$1441,"browser safari260",Exp4!$A$2:$A$1441,"1280-off",Exp4!$P$2:$P$1441,TRUE)/COUNTIFS(Exp4!$E$2:$E$1441,"browser safari260",Exp4!$A$2:$A$1441,"1280-off"))</f>
        <v/>
      </c>
      <c r="C10" s="5">
        <f>IF(COUNTIFS(Exp4!$E$2:$E$1441,"browser safari260",Exp4!$A$2:$A$1441,"1280-on")=0,"",COUNTIFS(Exp4!$E$2:$E$1441,"browser safari260",Exp4!$A$2:$A$1441,"1280-on",Exp4!$P$2:$P$1441,TRUE)/COUNTIFS(Exp4!$E$2:$E$1441,"browser safari260",Exp4!$A$2:$A$1441,"1280-on"))</f>
        <v/>
      </c>
      <c r="D10" s="5">
        <f>IF(COUNTIFS(Exp4!$E$2:$E$1441,"browser safari260",Exp4!$A$2:$A$1441,"1400-on")=0,"",COUNTIFS(Exp4!$E$2:$E$1441,"browser safari260",Exp4!$A$2:$A$1441,"1400-on",Exp4!$P$2:$P$1441,TRUE)/COUNTIFS(Exp4!$E$2:$E$1441,"browser safari260",Exp4!$A$2:$A$1441,"1400-on"))</f>
        <v/>
      </c>
      <c r="E10" s="5">
        <f>IF(COUNTIFS(Exp4!$E$2:$E$1441,"browser safari260",Exp4!$A$2:$A$1441,"1460-on")=0,"",COUNTIFS(Exp4!$E$2:$E$1441,"browser safari260",Exp4!$A$2:$A$1441,"1460-on",Exp4!$P$2:$P$1441,TRUE)/COUNTIFS(Exp4!$E$2:$E$1441,"browser safari260",Exp4!$A$2:$A$1441,"1460-on"))</f>
        <v/>
      </c>
      <c r="F10" s="5">
        <f>IF(COUNTIFS(Exp4!$E$2:$E$1441,"browser safari260",Exp4!$A$2:$A$1441,"1500-off")=0,"",COUNTIFS(Exp4!$E$2:$E$1441,"browser safari260",Exp4!$A$2:$A$1441,"1500-off",Exp4!$P$2:$P$1441,TRUE)/COUNTIFS(Exp4!$E$2:$E$1441,"browser safari260",Exp4!$A$2:$A$1441,"1500-off"))</f>
        <v/>
      </c>
      <c r="G10" s="5">
        <f>IF(COUNTIFS(Exp4!$E$2:$E$1441,"browser safari260",Exp4!$A$2:$A$1441,"1500-on")=0,"",COUNTIFS(Exp4!$E$2:$E$1441,"browser safari260",Exp4!$A$2:$A$1441,"1500-on",Exp4!$P$2:$P$1441,TRUE)/COUNTIFS(Exp4!$E$2:$E$1441,"browser safari260",Exp4!$A$2:$A$1441,"1500-on"))</f>
        <v/>
      </c>
    </row>
    <row r="11">
      <c r="A11" s="2" t="inlineStr">
        <is>
          <t>browser safari260_ios</t>
        </is>
      </c>
      <c r="B11" s="5">
        <f>IF(COUNTIFS(Exp4!$E$2:$E$1441,"browser safari260_ios",Exp4!$A$2:$A$1441,"1280-off")=0,"",COUNTIFS(Exp4!$E$2:$E$1441,"browser safari260_ios",Exp4!$A$2:$A$1441,"1280-off",Exp4!$P$2:$P$1441,TRUE)/COUNTIFS(Exp4!$E$2:$E$1441,"browser safari260_ios",Exp4!$A$2:$A$1441,"1280-off"))</f>
        <v/>
      </c>
      <c r="C11" s="5">
        <f>IF(COUNTIFS(Exp4!$E$2:$E$1441,"browser safari260_ios",Exp4!$A$2:$A$1441,"1280-on")=0,"",COUNTIFS(Exp4!$E$2:$E$1441,"browser safari260_ios",Exp4!$A$2:$A$1441,"1280-on",Exp4!$P$2:$P$1441,TRUE)/COUNTIFS(Exp4!$E$2:$E$1441,"browser safari260_ios",Exp4!$A$2:$A$1441,"1280-on"))</f>
        <v/>
      </c>
      <c r="D11" s="5">
        <f>IF(COUNTIFS(Exp4!$E$2:$E$1441,"browser safari260_ios",Exp4!$A$2:$A$1441,"1400-on")=0,"",COUNTIFS(Exp4!$E$2:$E$1441,"browser safari260_ios",Exp4!$A$2:$A$1441,"1400-on",Exp4!$P$2:$P$1441,TRUE)/COUNTIFS(Exp4!$E$2:$E$1441,"browser safari260_ios",Exp4!$A$2:$A$1441,"1400-on"))</f>
        <v/>
      </c>
      <c r="E11" s="5">
        <f>IF(COUNTIFS(Exp4!$E$2:$E$1441,"browser safari260_ios",Exp4!$A$2:$A$1441,"1460-on")=0,"",COUNTIFS(Exp4!$E$2:$E$1441,"browser safari260_ios",Exp4!$A$2:$A$1441,"1460-on",Exp4!$P$2:$P$1441,TRUE)/COUNTIFS(Exp4!$E$2:$E$1441,"browser safari260_ios",Exp4!$A$2:$A$1441,"1460-on"))</f>
        <v/>
      </c>
      <c r="F11" s="5">
        <f>IF(COUNTIFS(Exp4!$E$2:$E$1441,"browser safari260_ios",Exp4!$A$2:$A$1441,"1500-off")=0,"",COUNTIFS(Exp4!$E$2:$E$1441,"browser safari260_ios",Exp4!$A$2:$A$1441,"1500-off",Exp4!$P$2:$P$1441,TRUE)/COUNTIFS(Exp4!$E$2:$E$1441,"browser safari260_ios",Exp4!$A$2:$A$1441,"1500-off"))</f>
        <v/>
      </c>
      <c r="G11" s="5">
        <f>IF(COUNTIFS(Exp4!$E$2:$E$1441,"browser safari260_ios",Exp4!$A$2:$A$1441,"1500-on")=0,"",COUNTIFS(Exp4!$E$2:$E$1441,"browser safari260_ios",Exp4!$A$2:$A$1441,"1500-on",Exp4!$P$2:$P$1441,TRUE)/COUNTIFS(Exp4!$E$2:$E$1441,"browser safari260_ios",Exp4!$A$2:$A$1441,"1500-on"))</f>
        <v/>
      </c>
    </row>
    <row r="12">
      <c r="A12" s="2" t="inlineStr">
        <is>
          <t>browser tor145</t>
        </is>
      </c>
      <c r="B12" s="5">
        <f>IF(COUNTIFS(Exp4!$E$2:$E$1441,"browser tor145",Exp4!$A$2:$A$1441,"1280-off")=0,"",COUNTIFS(Exp4!$E$2:$E$1441,"browser tor145",Exp4!$A$2:$A$1441,"1280-off",Exp4!$P$2:$P$1441,TRUE)/COUNTIFS(Exp4!$E$2:$E$1441,"browser tor145",Exp4!$A$2:$A$1441,"1280-off"))</f>
        <v/>
      </c>
      <c r="C12" s="5">
        <f>IF(COUNTIFS(Exp4!$E$2:$E$1441,"browser tor145",Exp4!$A$2:$A$1441,"1280-on")=0,"",COUNTIFS(Exp4!$E$2:$E$1441,"browser tor145",Exp4!$A$2:$A$1441,"1280-on",Exp4!$P$2:$P$1441,TRUE)/COUNTIFS(Exp4!$E$2:$E$1441,"browser tor145",Exp4!$A$2:$A$1441,"1280-on"))</f>
        <v/>
      </c>
      <c r="D12" s="5">
        <f>IF(COUNTIFS(Exp4!$E$2:$E$1441,"browser tor145",Exp4!$A$2:$A$1441,"1400-on")=0,"",COUNTIFS(Exp4!$E$2:$E$1441,"browser tor145",Exp4!$A$2:$A$1441,"1400-on",Exp4!$P$2:$P$1441,TRUE)/COUNTIFS(Exp4!$E$2:$E$1441,"browser tor145",Exp4!$A$2:$A$1441,"1400-on"))</f>
        <v/>
      </c>
      <c r="E12" s="5">
        <f>IF(COUNTIFS(Exp4!$E$2:$E$1441,"browser tor145",Exp4!$A$2:$A$1441,"1460-on")=0,"",COUNTIFS(Exp4!$E$2:$E$1441,"browser tor145",Exp4!$A$2:$A$1441,"1460-on",Exp4!$P$2:$P$1441,TRUE)/COUNTIFS(Exp4!$E$2:$E$1441,"browser tor145",Exp4!$A$2:$A$1441,"1460-on"))</f>
        <v/>
      </c>
      <c r="F12" s="5">
        <f>IF(COUNTIFS(Exp4!$E$2:$E$1441,"browser tor145",Exp4!$A$2:$A$1441,"1500-off")=0,"",COUNTIFS(Exp4!$E$2:$E$1441,"browser tor145",Exp4!$A$2:$A$1441,"1500-off",Exp4!$P$2:$P$1441,TRUE)/COUNTIFS(Exp4!$E$2:$E$1441,"browser tor145",Exp4!$A$2:$A$1441,"1500-off"))</f>
        <v/>
      </c>
      <c r="G12" s="5">
        <f>IF(COUNTIFS(Exp4!$E$2:$E$1441,"browser tor145",Exp4!$A$2:$A$1441,"1500-on")=0,"",COUNTIFS(Exp4!$E$2:$E$1441,"browser tor145",Exp4!$A$2:$A$1441,"1500-on",Exp4!$P$2:$P$1441,TRUE)/COUNTIFS(Exp4!$E$2:$E$1441,"browser tor145",Exp4!$A$2:$A$1441,"1500-on"))</f>
        <v/>
      </c>
    </row>
    <row r="13">
      <c r="A13" s="2" t="inlineStr">
        <is>
          <t>curl 8.22 (OpenSSL 3.5.8)</t>
        </is>
      </c>
      <c r="B13" s="5">
        <f>IF(COUNTIFS(Exp4!$E$2:$E$1441,"curl 8.22 (OpenSSL 3.5.8)",Exp4!$A$2:$A$1441,"1280-off")=0,"",COUNTIFS(Exp4!$E$2:$E$1441,"curl 8.22 (OpenSSL 3.5.8)",Exp4!$A$2:$A$1441,"1280-off",Exp4!$P$2:$P$1441,TRUE)/COUNTIFS(Exp4!$E$2:$E$1441,"curl 8.22 (OpenSSL 3.5.8)",Exp4!$A$2:$A$1441,"1280-off"))</f>
        <v/>
      </c>
      <c r="C13" s="5">
        <f>IF(COUNTIFS(Exp4!$E$2:$E$1441,"curl 8.22 (OpenSSL 3.5.8)",Exp4!$A$2:$A$1441,"1280-on")=0,"",COUNTIFS(Exp4!$E$2:$E$1441,"curl 8.22 (OpenSSL 3.5.8)",Exp4!$A$2:$A$1441,"1280-on",Exp4!$P$2:$P$1441,TRUE)/COUNTIFS(Exp4!$E$2:$E$1441,"curl 8.22 (OpenSSL 3.5.8)",Exp4!$A$2:$A$1441,"1280-on"))</f>
        <v/>
      </c>
      <c r="D13" s="5">
        <f>IF(COUNTIFS(Exp4!$E$2:$E$1441,"curl 8.22 (OpenSSL 3.5.8)",Exp4!$A$2:$A$1441,"1400-on")=0,"",COUNTIFS(Exp4!$E$2:$E$1441,"curl 8.22 (OpenSSL 3.5.8)",Exp4!$A$2:$A$1441,"1400-on",Exp4!$P$2:$P$1441,TRUE)/COUNTIFS(Exp4!$E$2:$E$1441,"curl 8.22 (OpenSSL 3.5.8)",Exp4!$A$2:$A$1441,"1400-on"))</f>
        <v/>
      </c>
      <c r="E13" s="5">
        <f>IF(COUNTIFS(Exp4!$E$2:$E$1441,"curl 8.22 (OpenSSL 3.5.8)",Exp4!$A$2:$A$1441,"1460-on")=0,"",COUNTIFS(Exp4!$E$2:$E$1441,"curl 8.22 (OpenSSL 3.5.8)",Exp4!$A$2:$A$1441,"1460-on",Exp4!$P$2:$P$1441,TRUE)/COUNTIFS(Exp4!$E$2:$E$1441,"curl 8.22 (OpenSSL 3.5.8)",Exp4!$A$2:$A$1441,"1460-on"))</f>
        <v/>
      </c>
      <c r="F13" s="5">
        <f>IF(COUNTIFS(Exp4!$E$2:$E$1441,"curl 8.22 (OpenSSL 3.5.8)",Exp4!$A$2:$A$1441,"1500-off")=0,"",COUNTIFS(Exp4!$E$2:$E$1441,"curl 8.22 (OpenSSL 3.5.8)",Exp4!$A$2:$A$1441,"1500-off",Exp4!$P$2:$P$1441,TRUE)/COUNTIFS(Exp4!$E$2:$E$1441,"curl 8.22 (OpenSSL 3.5.8)",Exp4!$A$2:$A$1441,"1500-off"))</f>
        <v/>
      </c>
      <c r="G13" s="5">
        <f>IF(COUNTIFS(Exp4!$E$2:$E$1441,"curl 8.22 (OpenSSL 3.5.8)",Exp4!$A$2:$A$1441,"1500-on")=0,"",COUNTIFS(Exp4!$E$2:$E$1441,"curl 8.22 (OpenSSL 3.5.8)",Exp4!$A$2:$A$1441,"1500-on",Exp4!$P$2:$P$1441,TRUE)/COUNTIFS(Exp4!$E$2:$E$1441,"curl 8.22 (OpenSSL 3.5.8)",Exp4!$A$2:$A$1441,"1500-on"))</f>
        <v/>
      </c>
    </row>
    <row r="14">
      <c r="A14" s="2" t="inlineStr">
        <is>
          <t>go 1.27 net/http (crypto/tls)</t>
        </is>
      </c>
      <c r="B14" s="5">
        <f>IF(COUNTIFS(Exp4!$E$2:$E$1441,"go 1.27 net/http (crypto/tls)",Exp4!$A$2:$A$1441,"1280-off")=0,"",COUNTIFS(Exp4!$E$2:$E$1441,"go 1.27 net/http (crypto/tls)",Exp4!$A$2:$A$1441,"1280-off",Exp4!$P$2:$P$1441,TRUE)/COUNTIFS(Exp4!$E$2:$E$1441,"go 1.27 net/http (crypto/tls)",Exp4!$A$2:$A$1441,"1280-off"))</f>
        <v/>
      </c>
      <c r="C14" s="5">
        <f>IF(COUNTIFS(Exp4!$E$2:$E$1441,"go 1.27 net/http (crypto/tls)",Exp4!$A$2:$A$1441,"1280-on")=0,"",COUNTIFS(Exp4!$E$2:$E$1441,"go 1.27 net/http (crypto/tls)",Exp4!$A$2:$A$1441,"1280-on",Exp4!$P$2:$P$1441,TRUE)/COUNTIFS(Exp4!$E$2:$E$1441,"go 1.27 net/http (crypto/tls)",Exp4!$A$2:$A$1441,"1280-on"))</f>
        <v/>
      </c>
      <c r="D14" s="5">
        <f>IF(COUNTIFS(Exp4!$E$2:$E$1441,"go 1.27 net/http (crypto/tls)",Exp4!$A$2:$A$1441,"1400-on")=0,"",COUNTIFS(Exp4!$E$2:$E$1441,"go 1.27 net/http (crypto/tls)",Exp4!$A$2:$A$1441,"1400-on",Exp4!$P$2:$P$1441,TRUE)/COUNTIFS(Exp4!$E$2:$E$1441,"go 1.27 net/http (crypto/tls)",Exp4!$A$2:$A$1441,"1400-on"))</f>
        <v/>
      </c>
      <c r="E14" s="5">
        <f>IF(COUNTIFS(Exp4!$E$2:$E$1441,"go 1.27 net/http (crypto/tls)",Exp4!$A$2:$A$1441,"1460-on")=0,"",COUNTIFS(Exp4!$E$2:$E$1441,"go 1.27 net/http (crypto/tls)",Exp4!$A$2:$A$1441,"1460-on",Exp4!$P$2:$P$1441,TRUE)/COUNTIFS(Exp4!$E$2:$E$1441,"go 1.27 net/http (crypto/tls)",Exp4!$A$2:$A$1441,"1460-on"))</f>
        <v/>
      </c>
      <c r="F14" s="5">
        <f>IF(COUNTIFS(Exp4!$E$2:$E$1441,"go 1.27 net/http (crypto/tls)",Exp4!$A$2:$A$1441,"1500-off")=0,"",COUNTIFS(Exp4!$E$2:$E$1441,"go 1.27 net/http (crypto/tls)",Exp4!$A$2:$A$1441,"1500-off",Exp4!$P$2:$P$1441,TRUE)/COUNTIFS(Exp4!$E$2:$E$1441,"go 1.27 net/http (crypto/tls)",Exp4!$A$2:$A$1441,"1500-off"))</f>
        <v/>
      </c>
      <c r="G14" s="5">
        <f>IF(COUNTIFS(Exp4!$E$2:$E$1441,"go 1.27 net/http (crypto/tls)",Exp4!$A$2:$A$1441,"1500-on")=0,"",COUNTIFS(Exp4!$E$2:$E$1441,"go 1.27 net/http (crypto/tls)",Exp4!$A$2:$A$1441,"1500-on",Exp4!$P$2:$P$1441,TRUE)/COUNTIFS(Exp4!$E$2:$E$1441,"go 1.27 net/http (crypto/tls)",Exp4!$A$2:$A$1441,"1500-on"))</f>
        <v/>
      </c>
    </row>
    <row r="15">
      <c r="A15" s="2" t="inlineStr">
        <is>
          <t>node 26 https (OpenSSL 3.5.8)</t>
        </is>
      </c>
      <c r="B15" s="5">
        <f>IF(COUNTIFS(Exp4!$E$2:$E$1441,"node 26 https (OpenSSL 3.5.8)",Exp4!$A$2:$A$1441,"1280-off")=0,"",COUNTIFS(Exp4!$E$2:$E$1441,"node 26 https (OpenSSL 3.5.8)",Exp4!$A$2:$A$1441,"1280-off",Exp4!$P$2:$P$1441,TRUE)/COUNTIFS(Exp4!$E$2:$E$1441,"node 26 https (OpenSSL 3.5.8)",Exp4!$A$2:$A$1441,"1280-off"))</f>
        <v/>
      </c>
      <c r="C15" s="5">
        <f>IF(COUNTIFS(Exp4!$E$2:$E$1441,"node 26 https (OpenSSL 3.5.8)",Exp4!$A$2:$A$1441,"1280-on")=0,"",COUNTIFS(Exp4!$E$2:$E$1441,"node 26 https (OpenSSL 3.5.8)",Exp4!$A$2:$A$1441,"1280-on",Exp4!$P$2:$P$1441,TRUE)/COUNTIFS(Exp4!$E$2:$E$1441,"node 26 https (OpenSSL 3.5.8)",Exp4!$A$2:$A$1441,"1280-on"))</f>
        <v/>
      </c>
      <c r="D15" s="5">
        <f>IF(COUNTIFS(Exp4!$E$2:$E$1441,"node 26 https (OpenSSL 3.5.8)",Exp4!$A$2:$A$1441,"1400-on")=0,"",COUNTIFS(Exp4!$E$2:$E$1441,"node 26 https (OpenSSL 3.5.8)",Exp4!$A$2:$A$1441,"1400-on",Exp4!$P$2:$P$1441,TRUE)/COUNTIFS(Exp4!$E$2:$E$1441,"node 26 https (OpenSSL 3.5.8)",Exp4!$A$2:$A$1441,"1400-on"))</f>
        <v/>
      </c>
      <c r="E15" s="5">
        <f>IF(COUNTIFS(Exp4!$E$2:$E$1441,"node 26 https (OpenSSL 3.5.8)",Exp4!$A$2:$A$1441,"1460-on")=0,"",COUNTIFS(Exp4!$E$2:$E$1441,"node 26 https (OpenSSL 3.5.8)",Exp4!$A$2:$A$1441,"1460-on",Exp4!$P$2:$P$1441,TRUE)/COUNTIFS(Exp4!$E$2:$E$1441,"node 26 https (OpenSSL 3.5.8)",Exp4!$A$2:$A$1441,"1460-on"))</f>
        <v/>
      </c>
      <c r="F15" s="5">
        <f>IF(COUNTIFS(Exp4!$E$2:$E$1441,"node 26 https (OpenSSL 3.5.8)",Exp4!$A$2:$A$1441,"1500-off")=0,"",COUNTIFS(Exp4!$E$2:$E$1441,"node 26 https (OpenSSL 3.5.8)",Exp4!$A$2:$A$1441,"1500-off",Exp4!$P$2:$P$1441,TRUE)/COUNTIFS(Exp4!$E$2:$E$1441,"node 26 https (OpenSSL 3.5.8)",Exp4!$A$2:$A$1441,"1500-off"))</f>
        <v/>
      </c>
      <c r="G15" s="5">
        <f>IF(COUNTIFS(Exp4!$E$2:$E$1441,"node 26 https (OpenSSL 3.5.8)",Exp4!$A$2:$A$1441,"1500-on")=0,"",COUNTIFS(Exp4!$E$2:$E$1441,"node 26 https (OpenSSL 3.5.8)",Exp4!$A$2:$A$1441,"1500-on",Exp4!$P$2:$P$1441,TRUE)/COUNTIFS(Exp4!$E$2:$E$1441,"node 26 https (OpenSSL 3.5.8)",Exp4!$A$2:$A$1441,"1500-on"))</f>
        <v/>
      </c>
    </row>
    <row r="16">
      <c r="A16" s="2" t="inlineStr">
        <is>
          <t>openssl 3.5.8 default</t>
        </is>
      </c>
      <c r="B16" s="5">
        <f>IF(COUNTIFS(Exp4!$E$2:$E$1441,"openssl 3.5.8 default",Exp4!$A$2:$A$1441,"1280-off")=0,"",COUNTIFS(Exp4!$E$2:$E$1441,"openssl 3.5.8 default",Exp4!$A$2:$A$1441,"1280-off",Exp4!$P$2:$P$1441,TRUE)/COUNTIFS(Exp4!$E$2:$E$1441,"openssl 3.5.8 default",Exp4!$A$2:$A$1441,"1280-off"))</f>
        <v/>
      </c>
      <c r="C16" s="5">
        <f>IF(COUNTIFS(Exp4!$E$2:$E$1441,"openssl 3.5.8 default",Exp4!$A$2:$A$1441,"1280-on")=0,"",COUNTIFS(Exp4!$E$2:$E$1441,"openssl 3.5.8 default",Exp4!$A$2:$A$1441,"1280-on",Exp4!$P$2:$P$1441,TRUE)/COUNTIFS(Exp4!$E$2:$E$1441,"openssl 3.5.8 default",Exp4!$A$2:$A$1441,"1280-on"))</f>
        <v/>
      </c>
      <c r="D16" s="5">
        <f>IF(COUNTIFS(Exp4!$E$2:$E$1441,"openssl 3.5.8 default",Exp4!$A$2:$A$1441,"1400-on")=0,"",COUNTIFS(Exp4!$E$2:$E$1441,"openssl 3.5.8 default",Exp4!$A$2:$A$1441,"1400-on",Exp4!$P$2:$P$1441,TRUE)/COUNTIFS(Exp4!$E$2:$E$1441,"openssl 3.5.8 default",Exp4!$A$2:$A$1441,"1400-on"))</f>
        <v/>
      </c>
      <c r="E16" s="5">
        <f>IF(COUNTIFS(Exp4!$E$2:$E$1441,"openssl 3.5.8 default",Exp4!$A$2:$A$1441,"1460-on")=0,"",COUNTIFS(Exp4!$E$2:$E$1441,"openssl 3.5.8 default",Exp4!$A$2:$A$1441,"1460-on",Exp4!$P$2:$P$1441,TRUE)/COUNTIFS(Exp4!$E$2:$E$1441,"openssl 3.5.8 default",Exp4!$A$2:$A$1441,"1460-on"))</f>
        <v/>
      </c>
      <c r="F16" s="5">
        <f>IF(COUNTIFS(Exp4!$E$2:$E$1441,"openssl 3.5.8 default",Exp4!$A$2:$A$1441,"1500-off")=0,"",COUNTIFS(Exp4!$E$2:$E$1441,"openssl 3.5.8 default",Exp4!$A$2:$A$1441,"1500-off",Exp4!$P$2:$P$1441,TRUE)/COUNTIFS(Exp4!$E$2:$E$1441,"openssl 3.5.8 default",Exp4!$A$2:$A$1441,"1500-off"))</f>
        <v/>
      </c>
      <c r="G16" s="5">
        <f>IF(COUNTIFS(Exp4!$E$2:$E$1441,"openssl 3.5.8 default",Exp4!$A$2:$A$1441,"1500-on")=0,"",COUNTIFS(Exp4!$E$2:$E$1441,"openssl 3.5.8 default",Exp4!$A$2:$A$1441,"1500-on",Exp4!$P$2:$P$1441,TRUE)/COUNTIFS(Exp4!$E$2:$E$1441,"openssl 3.5.8 default",Exp4!$A$2:$A$1441,"1500-on"))</f>
        <v/>
      </c>
    </row>
    <row r="17">
      <c r="A17" s="2" t="inlineStr">
        <is>
          <t>openssl MLKEM1024 (pure PQ)</t>
        </is>
      </c>
      <c r="B17" s="5">
        <f>IF(COUNTIFS(Exp4!$E$2:$E$1441,"openssl MLKEM1024 (pure PQ)",Exp4!$A$2:$A$1441,"1280-off")=0,"",COUNTIFS(Exp4!$E$2:$E$1441,"openssl MLKEM1024 (pure PQ)",Exp4!$A$2:$A$1441,"1280-off",Exp4!$P$2:$P$1441,TRUE)/COUNTIFS(Exp4!$E$2:$E$1441,"openssl MLKEM1024 (pure PQ)",Exp4!$A$2:$A$1441,"1280-off"))</f>
        <v/>
      </c>
      <c r="C17" s="5">
        <f>IF(COUNTIFS(Exp4!$E$2:$E$1441,"openssl MLKEM1024 (pure PQ)",Exp4!$A$2:$A$1441,"1280-on")=0,"",COUNTIFS(Exp4!$E$2:$E$1441,"openssl MLKEM1024 (pure PQ)",Exp4!$A$2:$A$1441,"1280-on",Exp4!$P$2:$P$1441,TRUE)/COUNTIFS(Exp4!$E$2:$E$1441,"openssl MLKEM1024 (pure PQ)",Exp4!$A$2:$A$1441,"1280-on"))</f>
        <v/>
      </c>
      <c r="D17" s="5">
        <f>IF(COUNTIFS(Exp4!$E$2:$E$1441,"openssl MLKEM1024 (pure PQ)",Exp4!$A$2:$A$1441,"1400-on")=0,"",COUNTIFS(Exp4!$E$2:$E$1441,"openssl MLKEM1024 (pure PQ)",Exp4!$A$2:$A$1441,"1400-on",Exp4!$P$2:$P$1441,TRUE)/COUNTIFS(Exp4!$E$2:$E$1441,"openssl MLKEM1024 (pure PQ)",Exp4!$A$2:$A$1441,"1400-on"))</f>
        <v/>
      </c>
      <c r="E17" s="5">
        <f>IF(COUNTIFS(Exp4!$E$2:$E$1441,"openssl MLKEM1024 (pure PQ)",Exp4!$A$2:$A$1441,"1460-on")=0,"",COUNTIFS(Exp4!$E$2:$E$1441,"openssl MLKEM1024 (pure PQ)",Exp4!$A$2:$A$1441,"1460-on",Exp4!$P$2:$P$1441,TRUE)/COUNTIFS(Exp4!$E$2:$E$1441,"openssl MLKEM1024 (pure PQ)",Exp4!$A$2:$A$1441,"1460-on"))</f>
        <v/>
      </c>
      <c r="F17" s="5">
        <f>IF(COUNTIFS(Exp4!$E$2:$E$1441,"openssl MLKEM1024 (pure PQ)",Exp4!$A$2:$A$1441,"1500-off")=0,"",COUNTIFS(Exp4!$E$2:$E$1441,"openssl MLKEM1024 (pure PQ)",Exp4!$A$2:$A$1441,"1500-off",Exp4!$P$2:$P$1441,TRUE)/COUNTIFS(Exp4!$E$2:$E$1441,"openssl MLKEM1024 (pure PQ)",Exp4!$A$2:$A$1441,"1500-off"))</f>
        <v/>
      </c>
      <c r="G17" s="5">
        <f>IF(COUNTIFS(Exp4!$E$2:$E$1441,"openssl MLKEM1024 (pure PQ)",Exp4!$A$2:$A$1441,"1500-on")=0,"",COUNTIFS(Exp4!$E$2:$E$1441,"openssl MLKEM1024 (pure PQ)",Exp4!$A$2:$A$1441,"1500-on",Exp4!$P$2:$P$1441,TRUE)/COUNTIFS(Exp4!$E$2:$E$1441,"openssl MLKEM1024 (pure PQ)",Exp4!$A$2:$A$1441,"1500-on"))</f>
        <v/>
      </c>
    </row>
    <row r="18">
      <c r="A18" s="2" t="inlineStr">
        <is>
          <t>openssl MLKEM768 (pure PQ)</t>
        </is>
      </c>
      <c r="B18" s="5">
        <f>IF(COUNTIFS(Exp4!$E$2:$E$1441,"openssl MLKEM768 (pure PQ)",Exp4!$A$2:$A$1441,"1280-off")=0,"",COUNTIFS(Exp4!$E$2:$E$1441,"openssl MLKEM768 (pure PQ)",Exp4!$A$2:$A$1441,"1280-off",Exp4!$P$2:$P$1441,TRUE)/COUNTIFS(Exp4!$E$2:$E$1441,"openssl MLKEM768 (pure PQ)",Exp4!$A$2:$A$1441,"1280-off"))</f>
        <v/>
      </c>
      <c r="C18" s="5">
        <f>IF(COUNTIFS(Exp4!$E$2:$E$1441,"openssl MLKEM768 (pure PQ)",Exp4!$A$2:$A$1441,"1280-on")=0,"",COUNTIFS(Exp4!$E$2:$E$1441,"openssl MLKEM768 (pure PQ)",Exp4!$A$2:$A$1441,"1280-on",Exp4!$P$2:$P$1441,TRUE)/COUNTIFS(Exp4!$E$2:$E$1441,"openssl MLKEM768 (pure PQ)",Exp4!$A$2:$A$1441,"1280-on"))</f>
        <v/>
      </c>
      <c r="D18" s="5">
        <f>IF(COUNTIFS(Exp4!$E$2:$E$1441,"openssl MLKEM768 (pure PQ)",Exp4!$A$2:$A$1441,"1400-on")=0,"",COUNTIFS(Exp4!$E$2:$E$1441,"openssl MLKEM768 (pure PQ)",Exp4!$A$2:$A$1441,"1400-on",Exp4!$P$2:$P$1441,TRUE)/COUNTIFS(Exp4!$E$2:$E$1441,"openssl MLKEM768 (pure PQ)",Exp4!$A$2:$A$1441,"1400-on"))</f>
        <v/>
      </c>
      <c r="E18" s="5">
        <f>IF(COUNTIFS(Exp4!$E$2:$E$1441,"openssl MLKEM768 (pure PQ)",Exp4!$A$2:$A$1441,"1460-on")=0,"",COUNTIFS(Exp4!$E$2:$E$1441,"openssl MLKEM768 (pure PQ)",Exp4!$A$2:$A$1441,"1460-on",Exp4!$P$2:$P$1441,TRUE)/COUNTIFS(Exp4!$E$2:$E$1441,"openssl MLKEM768 (pure PQ)",Exp4!$A$2:$A$1441,"1460-on"))</f>
        <v/>
      </c>
      <c r="F18" s="5">
        <f>IF(COUNTIFS(Exp4!$E$2:$E$1441,"openssl MLKEM768 (pure PQ)",Exp4!$A$2:$A$1441,"1500-off")=0,"",COUNTIFS(Exp4!$E$2:$E$1441,"openssl MLKEM768 (pure PQ)",Exp4!$A$2:$A$1441,"1500-off",Exp4!$P$2:$P$1441,TRUE)/COUNTIFS(Exp4!$E$2:$E$1441,"openssl MLKEM768 (pure PQ)",Exp4!$A$2:$A$1441,"1500-off"))</f>
        <v/>
      </c>
      <c r="G18" s="5">
        <f>IF(COUNTIFS(Exp4!$E$2:$E$1441,"openssl MLKEM768 (pure PQ)",Exp4!$A$2:$A$1441,"1500-on")=0,"",COUNTIFS(Exp4!$E$2:$E$1441,"openssl MLKEM768 (pure PQ)",Exp4!$A$2:$A$1441,"1500-on",Exp4!$P$2:$P$1441,TRUE)/COUNTIFS(Exp4!$E$2:$E$1441,"openssl MLKEM768 (pure PQ)",Exp4!$A$2:$A$1441,"1500-on"))</f>
        <v/>
      </c>
    </row>
    <row r="19">
      <c r="A19" s="2" t="inlineStr">
        <is>
          <t>openssl SecP256r1MLKEM768</t>
        </is>
      </c>
      <c r="B19" s="5">
        <f>IF(COUNTIFS(Exp4!$E$2:$E$1441,"openssl SecP256r1MLKEM768",Exp4!$A$2:$A$1441,"1280-off")=0,"",COUNTIFS(Exp4!$E$2:$E$1441,"openssl SecP256r1MLKEM768",Exp4!$A$2:$A$1441,"1280-off",Exp4!$P$2:$P$1441,TRUE)/COUNTIFS(Exp4!$E$2:$E$1441,"openssl SecP256r1MLKEM768",Exp4!$A$2:$A$1441,"1280-off"))</f>
        <v/>
      </c>
      <c r="C19" s="5">
        <f>IF(COUNTIFS(Exp4!$E$2:$E$1441,"openssl SecP256r1MLKEM768",Exp4!$A$2:$A$1441,"1280-on")=0,"",COUNTIFS(Exp4!$E$2:$E$1441,"openssl SecP256r1MLKEM768",Exp4!$A$2:$A$1441,"1280-on",Exp4!$P$2:$P$1441,TRUE)/COUNTIFS(Exp4!$E$2:$E$1441,"openssl SecP256r1MLKEM768",Exp4!$A$2:$A$1441,"1280-on"))</f>
        <v/>
      </c>
      <c r="D19" s="5">
        <f>IF(COUNTIFS(Exp4!$E$2:$E$1441,"openssl SecP256r1MLKEM768",Exp4!$A$2:$A$1441,"1400-on")=0,"",COUNTIFS(Exp4!$E$2:$E$1441,"openssl SecP256r1MLKEM768",Exp4!$A$2:$A$1441,"1400-on",Exp4!$P$2:$P$1441,TRUE)/COUNTIFS(Exp4!$E$2:$E$1441,"openssl SecP256r1MLKEM768",Exp4!$A$2:$A$1441,"1400-on"))</f>
        <v/>
      </c>
      <c r="E19" s="5">
        <f>IF(COUNTIFS(Exp4!$E$2:$E$1441,"openssl SecP256r1MLKEM768",Exp4!$A$2:$A$1441,"1460-on")=0,"",COUNTIFS(Exp4!$E$2:$E$1441,"openssl SecP256r1MLKEM768",Exp4!$A$2:$A$1441,"1460-on",Exp4!$P$2:$P$1441,TRUE)/COUNTIFS(Exp4!$E$2:$E$1441,"openssl SecP256r1MLKEM768",Exp4!$A$2:$A$1441,"1460-on"))</f>
        <v/>
      </c>
      <c r="F19" s="5">
        <f>IF(COUNTIFS(Exp4!$E$2:$E$1441,"openssl SecP256r1MLKEM768",Exp4!$A$2:$A$1441,"1500-off")=0,"",COUNTIFS(Exp4!$E$2:$E$1441,"openssl SecP256r1MLKEM768",Exp4!$A$2:$A$1441,"1500-off",Exp4!$P$2:$P$1441,TRUE)/COUNTIFS(Exp4!$E$2:$E$1441,"openssl SecP256r1MLKEM768",Exp4!$A$2:$A$1441,"1500-off"))</f>
        <v/>
      </c>
      <c r="G19" s="5">
        <f>IF(COUNTIFS(Exp4!$E$2:$E$1441,"openssl SecP256r1MLKEM768",Exp4!$A$2:$A$1441,"1500-on")=0,"",COUNTIFS(Exp4!$E$2:$E$1441,"openssl SecP256r1MLKEM768",Exp4!$A$2:$A$1441,"1500-on",Exp4!$P$2:$P$1441,TRUE)/COUNTIFS(Exp4!$E$2:$E$1441,"openssl SecP256r1MLKEM768",Exp4!$A$2:$A$1441,"1500-on"))</f>
        <v/>
      </c>
    </row>
    <row r="20">
      <c r="A20" s="2" t="inlineStr">
        <is>
          <t>openssl SecP384r1MLKEM1024</t>
        </is>
      </c>
      <c r="B20" s="5">
        <f>IF(COUNTIFS(Exp4!$E$2:$E$1441,"openssl SecP384r1MLKEM1024",Exp4!$A$2:$A$1441,"1280-off")=0,"",COUNTIFS(Exp4!$E$2:$E$1441,"openssl SecP384r1MLKEM1024",Exp4!$A$2:$A$1441,"1280-off",Exp4!$P$2:$P$1441,TRUE)/COUNTIFS(Exp4!$E$2:$E$1441,"openssl SecP384r1MLKEM1024",Exp4!$A$2:$A$1441,"1280-off"))</f>
        <v/>
      </c>
      <c r="C20" s="5">
        <f>IF(COUNTIFS(Exp4!$E$2:$E$1441,"openssl SecP384r1MLKEM1024",Exp4!$A$2:$A$1441,"1280-on")=0,"",COUNTIFS(Exp4!$E$2:$E$1441,"openssl SecP384r1MLKEM1024",Exp4!$A$2:$A$1441,"1280-on",Exp4!$P$2:$P$1441,TRUE)/COUNTIFS(Exp4!$E$2:$E$1441,"openssl SecP384r1MLKEM1024",Exp4!$A$2:$A$1441,"1280-on"))</f>
        <v/>
      </c>
      <c r="D20" s="5">
        <f>IF(COUNTIFS(Exp4!$E$2:$E$1441,"openssl SecP384r1MLKEM1024",Exp4!$A$2:$A$1441,"1400-on")=0,"",COUNTIFS(Exp4!$E$2:$E$1441,"openssl SecP384r1MLKEM1024",Exp4!$A$2:$A$1441,"1400-on",Exp4!$P$2:$P$1441,TRUE)/COUNTIFS(Exp4!$E$2:$E$1441,"openssl SecP384r1MLKEM1024",Exp4!$A$2:$A$1441,"1400-on"))</f>
        <v/>
      </c>
      <c r="E20" s="5">
        <f>IF(COUNTIFS(Exp4!$E$2:$E$1441,"openssl SecP384r1MLKEM1024",Exp4!$A$2:$A$1441,"1460-on")=0,"",COUNTIFS(Exp4!$E$2:$E$1441,"openssl SecP384r1MLKEM1024",Exp4!$A$2:$A$1441,"1460-on",Exp4!$P$2:$P$1441,TRUE)/COUNTIFS(Exp4!$E$2:$E$1441,"openssl SecP384r1MLKEM1024",Exp4!$A$2:$A$1441,"1460-on"))</f>
        <v/>
      </c>
      <c r="F20" s="5">
        <f>IF(COUNTIFS(Exp4!$E$2:$E$1441,"openssl SecP384r1MLKEM1024",Exp4!$A$2:$A$1441,"1500-off")=0,"",COUNTIFS(Exp4!$E$2:$E$1441,"openssl SecP384r1MLKEM1024",Exp4!$A$2:$A$1441,"1500-off",Exp4!$P$2:$P$1441,TRUE)/COUNTIFS(Exp4!$E$2:$E$1441,"openssl SecP384r1MLKEM1024",Exp4!$A$2:$A$1441,"1500-off"))</f>
        <v/>
      </c>
      <c r="G20" s="5">
        <f>IF(COUNTIFS(Exp4!$E$2:$E$1441,"openssl SecP384r1MLKEM1024",Exp4!$A$2:$A$1441,"1500-on")=0,"",COUNTIFS(Exp4!$E$2:$E$1441,"openssl SecP384r1MLKEM1024",Exp4!$A$2:$A$1441,"1500-on",Exp4!$P$2:$P$1441,TRUE)/COUNTIFS(Exp4!$E$2:$E$1441,"openssl SecP384r1MLKEM1024",Exp4!$A$2:$A$1441,"1500-on"))</f>
        <v/>
      </c>
    </row>
    <row r="21">
      <c r="A21" s="2" t="inlineStr">
        <is>
          <t>openssl TLS 1.2 only</t>
        </is>
      </c>
      <c r="B21" s="5">
        <f>IF(COUNTIFS(Exp4!$E$2:$E$1441,"openssl TLS 1.2 only",Exp4!$A$2:$A$1441,"1280-off")=0,"",COUNTIFS(Exp4!$E$2:$E$1441,"openssl TLS 1.2 only",Exp4!$A$2:$A$1441,"1280-off",Exp4!$P$2:$P$1441,TRUE)/COUNTIFS(Exp4!$E$2:$E$1441,"openssl TLS 1.2 only",Exp4!$A$2:$A$1441,"1280-off"))</f>
        <v/>
      </c>
      <c r="C21" s="5">
        <f>IF(COUNTIFS(Exp4!$E$2:$E$1441,"openssl TLS 1.2 only",Exp4!$A$2:$A$1441,"1280-on")=0,"",COUNTIFS(Exp4!$E$2:$E$1441,"openssl TLS 1.2 only",Exp4!$A$2:$A$1441,"1280-on",Exp4!$P$2:$P$1441,TRUE)/COUNTIFS(Exp4!$E$2:$E$1441,"openssl TLS 1.2 only",Exp4!$A$2:$A$1441,"1280-on"))</f>
        <v/>
      </c>
      <c r="D21" s="5">
        <f>IF(COUNTIFS(Exp4!$E$2:$E$1441,"openssl TLS 1.2 only",Exp4!$A$2:$A$1441,"1400-on")=0,"",COUNTIFS(Exp4!$E$2:$E$1441,"openssl TLS 1.2 only",Exp4!$A$2:$A$1441,"1400-on",Exp4!$P$2:$P$1441,TRUE)/COUNTIFS(Exp4!$E$2:$E$1441,"openssl TLS 1.2 only",Exp4!$A$2:$A$1441,"1400-on"))</f>
        <v/>
      </c>
      <c r="E21" s="5">
        <f>IF(COUNTIFS(Exp4!$E$2:$E$1441,"openssl TLS 1.2 only",Exp4!$A$2:$A$1441,"1460-on")=0,"",COUNTIFS(Exp4!$E$2:$E$1441,"openssl TLS 1.2 only",Exp4!$A$2:$A$1441,"1460-on",Exp4!$P$2:$P$1441,TRUE)/COUNTIFS(Exp4!$E$2:$E$1441,"openssl TLS 1.2 only",Exp4!$A$2:$A$1441,"1460-on"))</f>
        <v/>
      </c>
      <c r="F21" s="5">
        <f>IF(COUNTIFS(Exp4!$E$2:$E$1441,"openssl TLS 1.2 only",Exp4!$A$2:$A$1441,"1500-off")=0,"",COUNTIFS(Exp4!$E$2:$E$1441,"openssl TLS 1.2 only",Exp4!$A$2:$A$1441,"1500-off",Exp4!$P$2:$P$1441,TRUE)/COUNTIFS(Exp4!$E$2:$E$1441,"openssl TLS 1.2 only",Exp4!$A$2:$A$1441,"1500-off"))</f>
        <v/>
      </c>
      <c r="G21" s="5">
        <f>IF(COUNTIFS(Exp4!$E$2:$E$1441,"openssl TLS 1.2 only",Exp4!$A$2:$A$1441,"1500-on")=0,"",COUNTIFS(Exp4!$E$2:$E$1441,"openssl TLS 1.2 only",Exp4!$A$2:$A$1441,"1500-on",Exp4!$P$2:$P$1441,TRUE)/COUNTIFS(Exp4!$E$2:$E$1441,"openssl TLS 1.2 only",Exp4!$A$2:$A$1441,"1500-on"))</f>
        <v/>
      </c>
    </row>
    <row r="22">
      <c r="A22" s="2" t="inlineStr">
        <is>
          <t>openssl X25519 only (classical)</t>
        </is>
      </c>
      <c r="B22" s="5">
        <f>IF(COUNTIFS(Exp4!$E$2:$E$1441,"openssl X25519 only (classical)",Exp4!$A$2:$A$1441,"1280-off")=0,"",COUNTIFS(Exp4!$E$2:$E$1441,"openssl X25519 only (classical)",Exp4!$A$2:$A$1441,"1280-off",Exp4!$P$2:$P$1441,TRUE)/COUNTIFS(Exp4!$E$2:$E$1441,"openssl X25519 only (classical)",Exp4!$A$2:$A$1441,"1280-off"))</f>
        <v/>
      </c>
      <c r="C22" s="5">
        <f>IF(COUNTIFS(Exp4!$E$2:$E$1441,"openssl X25519 only (classical)",Exp4!$A$2:$A$1441,"1280-on")=0,"",COUNTIFS(Exp4!$E$2:$E$1441,"openssl X25519 only (classical)",Exp4!$A$2:$A$1441,"1280-on",Exp4!$P$2:$P$1441,TRUE)/COUNTIFS(Exp4!$E$2:$E$1441,"openssl X25519 only (classical)",Exp4!$A$2:$A$1441,"1280-on"))</f>
        <v/>
      </c>
      <c r="D22" s="5">
        <f>IF(COUNTIFS(Exp4!$E$2:$E$1441,"openssl X25519 only (classical)",Exp4!$A$2:$A$1441,"1400-on")=0,"",COUNTIFS(Exp4!$E$2:$E$1441,"openssl X25519 only (classical)",Exp4!$A$2:$A$1441,"1400-on",Exp4!$P$2:$P$1441,TRUE)/COUNTIFS(Exp4!$E$2:$E$1441,"openssl X25519 only (classical)",Exp4!$A$2:$A$1441,"1400-on"))</f>
        <v/>
      </c>
      <c r="E22" s="5">
        <f>IF(COUNTIFS(Exp4!$E$2:$E$1441,"openssl X25519 only (classical)",Exp4!$A$2:$A$1441,"1460-on")=0,"",COUNTIFS(Exp4!$E$2:$E$1441,"openssl X25519 only (classical)",Exp4!$A$2:$A$1441,"1460-on",Exp4!$P$2:$P$1441,TRUE)/COUNTIFS(Exp4!$E$2:$E$1441,"openssl X25519 only (classical)",Exp4!$A$2:$A$1441,"1460-on"))</f>
        <v/>
      </c>
      <c r="F22" s="5">
        <f>IF(COUNTIFS(Exp4!$E$2:$E$1441,"openssl X25519 only (classical)",Exp4!$A$2:$A$1441,"1500-off")=0,"",COUNTIFS(Exp4!$E$2:$E$1441,"openssl X25519 only (classical)",Exp4!$A$2:$A$1441,"1500-off",Exp4!$P$2:$P$1441,TRUE)/COUNTIFS(Exp4!$E$2:$E$1441,"openssl X25519 only (classical)",Exp4!$A$2:$A$1441,"1500-off"))</f>
        <v/>
      </c>
      <c r="G22" s="5">
        <f>IF(COUNTIFS(Exp4!$E$2:$E$1441,"openssl X25519 only (classical)",Exp4!$A$2:$A$1441,"1500-on")=0,"",COUNTIFS(Exp4!$E$2:$E$1441,"openssl X25519 only (classical)",Exp4!$A$2:$A$1441,"1500-on",Exp4!$P$2:$P$1441,TRUE)/COUNTIFS(Exp4!$E$2:$E$1441,"openssl X25519 only (classical)",Exp4!$A$2:$A$1441,"1500-on"))</f>
        <v/>
      </c>
    </row>
    <row r="23">
      <c r="A23" s="2" t="inlineStr">
        <is>
          <t>openssl X25519MLKEM768 only</t>
        </is>
      </c>
      <c r="B23" s="5">
        <f>IF(COUNTIFS(Exp4!$E$2:$E$1441,"openssl X25519MLKEM768 only",Exp4!$A$2:$A$1441,"1280-off")=0,"",COUNTIFS(Exp4!$E$2:$E$1441,"openssl X25519MLKEM768 only",Exp4!$A$2:$A$1441,"1280-off",Exp4!$P$2:$P$1441,TRUE)/COUNTIFS(Exp4!$E$2:$E$1441,"openssl X25519MLKEM768 only",Exp4!$A$2:$A$1441,"1280-off"))</f>
        <v/>
      </c>
      <c r="C23" s="5">
        <f>IF(COUNTIFS(Exp4!$E$2:$E$1441,"openssl X25519MLKEM768 only",Exp4!$A$2:$A$1441,"1280-on")=0,"",COUNTIFS(Exp4!$E$2:$E$1441,"openssl X25519MLKEM768 only",Exp4!$A$2:$A$1441,"1280-on",Exp4!$P$2:$P$1441,TRUE)/COUNTIFS(Exp4!$E$2:$E$1441,"openssl X25519MLKEM768 only",Exp4!$A$2:$A$1441,"1280-on"))</f>
        <v/>
      </c>
      <c r="D23" s="5">
        <f>IF(COUNTIFS(Exp4!$E$2:$E$1441,"openssl X25519MLKEM768 only",Exp4!$A$2:$A$1441,"1400-on")=0,"",COUNTIFS(Exp4!$E$2:$E$1441,"openssl X25519MLKEM768 only",Exp4!$A$2:$A$1441,"1400-on",Exp4!$P$2:$P$1441,TRUE)/COUNTIFS(Exp4!$E$2:$E$1441,"openssl X25519MLKEM768 only",Exp4!$A$2:$A$1441,"1400-on"))</f>
        <v/>
      </c>
      <c r="E23" s="5">
        <f>IF(COUNTIFS(Exp4!$E$2:$E$1441,"openssl X25519MLKEM768 only",Exp4!$A$2:$A$1441,"1460-on")=0,"",COUNTIFS(Exp4!$E$2:$E$1441,"openssl X25519MLKEM768 only",Exp4!$A$2:$A$1441,"1460-on",Exp4!$P$2:$P$1441,TRUE)/COUNTIFS(Exp4!$E$2:$E$1441,"openssl X25519MLKEM768 only",Exp4!$A$2:$A$1441,"1460-on"))</f>
        <v/>
      </c>
      <c r="F23" s="5">
        <f>IF(COUNTIFS(Exp4!$E$2:$E$1441,"openssl X25519MLKEM768 only",Exp4!$A$2:$A$1441,"1500-off")=0,"",COUNTIFS(Exp4!$E$2:$E$1441,"openssl X25519MLKEM768 only",Exp4!$A$2:$A$1441,"1500-off",Exp4!$P$2:$P$1441,TRUE)/COUNTIFS(Exp4!$E$2:$E$1441,"openssl X25519MLKEM768 only",Exp4!$A$2:$A$1441,"1500-off"))</f>
        <v/>
      </c>
      <c r="G23" s="5">
        <f>IF(COUNTIFS(Exp4!$E$2:$E$1441,"openssl X25519MLKEM768 only",Exp4!$A$2:$A$1441,"1500-on")=0,"",COUNTIFS(Exp4!$E$2:$E$1441,"openssl X25519MLKEM768 only",Exp4!$A$2:$A$1441,"1500-on",Exp4!$P$2:$P$1441,TRUE)/COUNTIFS(Exp4!$E$2:$E$1441,"openssl X25519MLKEM768 only",Exp4!$A$2:$A$1441,"1500-on"))</f>
        <v/>
      </c>
    </row>
    <row r="24">
      <c r="A24" s="2" t="inlineStr">
        <is>
          <t>openssl secp256r1 only (classical)</t>
        </is>
      </c>
      <c r="B24" s="5">
        <f>IF(COUNTIFS(Exp4!$E$2:$E$1441,"openssl secp256r1 only (classical)",Exp4!$A$2:$A$1441,"1280-off")=0,"",COUNTIFS(Exp4!$E$2:$E$1441,"openssl secp256r1 only (classical)",Exp4!$A$2:$A$1441,"1280-off",Exp4!$P$2:$P$1441,TRUE)/COUNTIFS(Exp4!$E$2:$E$1441,"openssl secp256r1 only (classical)",Exp4!$A$2:$A$1441,"1280-off"))</f>
        <v/>
      </c>
      <c r="C24" s="5">
        <f>IF(COUNTIFS(Exp4!$E$2:$E$1441,"openssl secp256r1 only (classical)",Exp4!$A$2:$A$1441,"1280-on")=0,"",COUNTIFS(Exp4!$E$2:$E$1441,"openssl secp256r1 only (classical)",Exp4!$A$2:$A$1441,"1280-on",Exp4!$P$2:$P$1441,TRUE)/COUNTIFS(Exp4!$E$2:$E$1441,"openssl secp256r1 only (classical)",Exp4!$A$2:$A$1441,"1280-on"))</f>
        <v/>
      </c>
      <c r="D24" s="5">
        <f>IF(COUNTIFS(Exp4!$E$2:$E$1441,"openssl secp256r1 only (classical)",Exp4!$A$2:$A$1441,"1400-on")=0,"",COUNTIFS(Exp4!$E$2:$E$1441,"openssl secp256r1 only (classical)",Exp4!$A$2:$A$1441,"1400-on",Exp4!$P$2:$P$1441,TRUE)/COUNTIFS(Exp4!$E$2:$E$1441,"openssl secp256r1 only (classical)",Exp4!$A$2:$A$1441,"1400-on"))</f>
        <v/>
      </c>
      <c r="E24" s="5">
        <f>IF(COUNTIFS(Exp4!$E$2:$E$1441,"openssl secp256r1 only (classical)",Exp4!$A$2:$A$1441,"1460-on")=0,"",COUNTIFS(Exp4!$E$2:$E$1441,"openssl secp256r1 only (classical)",Exp4!$A$2:$A$1441,"1460-on",Exp4!$P$2:$P$1441,TRUE)/COUNTIFS(Exp4!$E$2:$E$1441,"openssl secp256r1 only (classical)",Exp4!$A$2:$A$1441,"1460-on"))</f>
        <v/>
      </c>
      <c r="F24" s="5">
        <f>IF(COUNTIFS(Exp4!$E$2:$E$1441,"openssl secp256r1 only (classical)",Exp4!$A$2:$A$1441,"1500-off")=0,"",COUNTIFS(Exp4!$E$2:$E$1441,"openssl secp256r1 only (classical)",Exp4!$A$2:$A$1441,"1500-off",Exp4!$P$2:$P$1441,TRUE)/COUNTIFS(Exp4!$E$2:$E$1441,"openssl secp256r1 only (classical)",Exp4!$A$2:$A$1441,"1500-off"))</f>
        <v/>
      </c>
      <c r="G24" s="5">
        <f>IF(COUNTIFS(Exp4!$E$2:$E$1441,"openssl secp256r1 only (classical)",Exp4!$A$2:$A$1441,"1500-on")=0,"",COUNTIFS(Exp4!$E$2:$E$1441,"openssl secp256r1 only (classical)",Exp4!$A$2:$A$1441,"1500-on",Exp4!$P$2:$P$1441,TRUE)/COUNTIFS(Exp4!$E$2:$E$1441,"openssl secp256r1 only (classical)",Exp4!$A$2:$A$1441,"1500-on"))</f>
        <v/>
      </c>
    </row>
    <row r="25">
      <c r="A25" s="2" t="inlineStr">
        <is>
          <t>python 3.14 urllib (OpenSSL 3.5.8)</t>
        </is>
      </c>
      <c r="B25" s="5">
        <f>IF(COUNTIFS(Exp4!$E$2:$E$1441,"python 3.14 urllib (OpenSSL 3.5.8)",Exp4!$A$2:$A$1441,"1280-off")=0,"",COUNTIFS(Exp4!$E$2:$E$1441,"python 3.14 urllib (OpenSSL 3.5.8)",Exp4!$A$2:$A$1441,"1280-off",Exp4!$P$2:$P$1441,TRUE)/COUNTIFS(Exp4!$E$2:$E$1441,"python 3.14 urllib (OpenSSL 3.5.8)",Exp4!$A$2:$A$1441,"1280-off"))</f>
        <v/>
      </c>
      <c r="C25" s="5">
        <f>IF(COUNTIFS(Exp4!$E$2:$E$1441,"python 3.14 urllib (OpenSSL 3.5.8)",Exp4!$A$2:$A$1441,"1280-on")=0,"",COUNTIFS(Exp4!$E$2:$E$1441,"python 3.14 urllib (OpenSSL 3.5.8)",Exp4!$A$2:$A$1441,"1280-on",Exp4!$P$2:$P$1441,TRUE)/COUNTIFS(Exp4!$E$2:$E$1441,"python 3.14 urllib (OpenSSL 3.5.8)",Exp4!$A$2:$A$1441,"1280-on"))</f>
        <v/>
      </c>
      <c r="D25" s="5">
        <f>IF(COUNTIFS(Exp4!$E$2:$E$1441,"python 3.14 urllib (OpenSSL 3.5.8)",Exp4!$A$2:$A$1441,"1400-on")=0,"",COUNTIFS(Exp4!$E$2:$E$1441,"python 3.14 urllib (OpenSSL 3.5.8)",Exp4!$A$2:$A$1441,"1400-on",Exp4!$P$2:$P$1441,TRUE)/COUNTIFS(Exp4!$E$2:$E$1441,"python 3.14 urllib (OpenSSL 3.5.8)",Exp4!$A$2:$A$1441,"1400-on"))</f>
        <v/>
      </c>
      <c r="E25" s="5">
        <f>IF(COUNTIFS(Exp4!$E$2:$E$1441,"python 3.14 urllib (OpenSSL 3.5.8)",Exp4!$A$2:$A$1441,"1460-on")=0,"",COUNTIFS(Exp4!$E$2:$E$1441,"python 3.14 urllib (OpenSSL 3.5.8)",Exp4!$A$2:$A$1441,"1460-on",Exp4!$P$2:$P$1441,TRUE)/COUNTIFS(Exp4!$E$2:$E$1441,"python 3.14 urllib (OpenSSL 3.5.8)",Exp4!$A$2:$A$1441,"1460-on"))</f>
        <v/>
      </c>
      <c r="F25" s="5">
        <f>IF(COUNTIFS(Exp4!$E$2:$E$1441,"python 3.14 urllib (OpenSSL 3.5.8)",Exp4!$A$2:$A$1441,"1500-off")=0,"",COUNTIFS(Exp4!$E$2:$E$1441,"python 3.14 urllib (OpenSSL 3.5.8)",Exp4!$A$2:$A$1441,"1500-off",Exp4!$P$2:$P$1441,TRUE)/COUNTIFS(Exp4!$E$2:$E$1441,"python 3.14 urllib (OpenSSL 3.5.8)",Exp4!$A$2:$A$1441,"1500-off"))</f>
        <v/>
      </c>
      <c r="G25" s="5">
        <f>IF(COUNTIFS(Exp4!$E$2:$E$1441,"python 3.14 urllib (OpenSSL 3.5.8)",Exp4!$A$2:$A$1441,"1500-on")=0,"",COUNTIFS(Exp4!$E$2:$E$1441,"python 3.14 urllib (OpenSSL 3.5.8)",Exp4!$A$2:$A$1441,"1500-on",Exp4!$P$2:$P$1441,TRUE)/COUNTIFS(Exp4!$E$2:$E$1441,"python 3.14 urllib (OpenSSL 3.5.8)",Exp4!$A$2:$A$1441,"1500-on"))</f>
        <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3" customWidth="1" min="3" max="3"/>
    <col width="14" customWidth="1" min="4" max="4"/>
    <col width="18" customWidth="1" min="5" max="5"/>
    <col width="10" customWidth="1" min="6" max="6"/>
    <col width="10" customWidth="1" min="7" max="7"/>
    <col width="10" customWidth="1" min="8" max="8"/>
    <col width="10" customWidth="1" min="9" max="9"/>
  </cols>
  <sheetData>
    <row r="1">
      <c r="A1" s="4" t="inlineStr">
        <is>
          <t>Condition</t>
        </is>
      </c>
      <c r="B1" s="4" t="inlineStr">
        <is>
          <t>Round</t>
        </is>
      </c>
      <c r="C1" s="4" t="inlineStr">
        <is>
          <t>Connections</t>
        </is>
      </c>
      <c r="D1" s="4" t="inlineStr">
        <is>
          <t>Wall seconds</t>
        </is>
      </c>
      <c r="E1" s="4" t="inlineStr">
        <is>
          <t>Handshakes per s</t>
        </is>
      </c>
      <c r="F1" s="4" t="inlineStr">
        <is>
          <t>Attached</t>
        </is>
      </c>
      <c r="G1" s="4" t="inlineStr">
        <is>
          <t>Detected</t>
        </is>
      </c>
      <c r="H1" s="4" t="inlineStr">
        <is>
          <t>Dropped</t>
        </is>
      </c>
      <c r="I1" s="4" t="inlineStr">
        <is>
          <t>Blocks</t>
        </is>
      </c>
    </row>
    <row r="2">
      <c r="A2" s="2" t="inlineStr">
        <is>
          <t>off</t>
        </is>
      </c>
      <c r="B2" s="2" t="n">
        <v>1</v>
      </c>
      <c r="C2" s="2" t="n">
        <v>18691</v>
      </c>
      <c r="D2" s="2" t="n">
        <v>30.7</v>
      </c>
      <c r="E2" s="2" t="n">
        <v>608.827</v>
      </c>
      <c r="F2" s="2" t="n">
        <v>0</v>
      </c>
      <c r="G2" s="2" t="n"/>
      <c r="H2" s="2" t="n">
        <v>0</v>
      </c>
      <c r="I2" s="2" t="n">
        <v>0</v>
      </c>
    </row>
    <row r="3">
      <c r="A3" s="2" t="inlineStr">
        <is>
          <t>off</t>
        </is>
      </c>
      <c r="B3" s="2" t="n">
        <v>2</v>
      </c>
      <c r="C3" s="2" t="n">
        <v>19030</v>
      </c>
      <c r="D3" s="2" t="n">
        <v>30.73</v>
      </c>
      <c r="E3" s="2" t="n">
        <v>619.265</v>
      </c>
      <c r="F3" s="2" t="n">
        <v>0</v>
      </c>
      <c r="G3" s="2" t="n"/>
      <c r="H3" s="2" t="n">
        <v>0</v>
      </c>
      <c r="I3" s="2" t="n">
        <v>0</v>
      </c>
    </row>
    <row r="4">
      <c r="A4" s="2" t="inlineStr">
        <is>
          <t>off</t>
        </is>
      </c>
      <c r="B4" s="2" t="n">
        <v>3</v>
      </c>
      <c r="C4" s="2" t="n">
        <v>18719</v>
      </c>
      <c r="D4" s="2" t="n">
        <v>30.74</v>
      </c>
      <c r="E4" s="2" t="n">
        <v>608.946</v>
      </c>
      <c r="F4" s="2" t="n">
        <v>0</v>
      </c>
      <c r="G4" s="2" t="n"/>
      <c r="H4" s="2" t="n">
        <v>0</v>
      </c>
      <c r="I4" s="2" t="n">
        <v>0</v>
      </c>
    </row>
    <row r="5">
      <c r="A5" s="2" t="inlineStr">
        <is>
          <t>off</t>
        </is>
      </c>
      <c r="B5" s="2" t="n">
        <v>4</v>
      </c>
      <c r="C5" s="2" t="n">
        <v>18246</v>
      </c>
      <c r="D5" s="2" t="n">
        <v>30.75</v>
      </c>
      <c r="E5" s="2" t="n">
        <v>593.366</v>
      </c>
      <c r="F5" s="2" t="n">
        <v>0</v>
      </c>
      <c r="G5" s="2" t="n"/>
      <c r="H5" s="2" t="n">
        <v>0</v>
      </c>
      <c r="I5" s="2" t="n">
        <v>0</v>
      </c>
    </row>
    <row r="6">
      <c r="A6" s="2" t="inlineStr">
        <is>
          <t>off</t>
        </is>
      </c>
      <c r="B6" s="2" t="n">
        <v>5</v>
      </c>
      <c r="C6" s="2" t="n">
        <v>18635</v>
      </c>
      <c r="D6" s="2" t="n">
        <v>30.74</v>
      </c>
      <c r="E6" s="2" t="n">
        <v>606.213</v>
      </c>
      <c r="F6" s="2" t="n">
        <v>0</v>
      </c>
      <c r="G6" s="2" t="n"/>
      <c r="H6" s="2" t="n">
        <v>0</v>
      </c>
      <c r="I6" s="2" t="n">
        <v>0</v>
      </c>
    </row>
    <row r="7">
      <c r="A7" s="2" t="inlineStr">
        <is>
          <t>off</t>
        </is>
      </c>
      <c r="B7" s="2" t="n">
        <v>6</v>
      </c>
      <c r="C7" s="2" t="n">
        <v>18802</v>
      </c>
      <c r="D7" s="2" t="n">
        <v>30.73</v>
      </c>
      <c r="E7" s="2" t="n">
        <v>611.845</v>
      </c>
      <c r="F7" s="2" t="n">
        <v>0</v>
      </c>
      <c r="G7" s="2" t="n"/>
      <c r="H7" s="2" t="n">
        <v>0</v>
      </c>
      <c r="I7" s="2" t="n">
        <v>0</v>
      </c>
    </row>
    <row r="8">
      <c r="A8" s="2" t="inlineStr">
        <is>
          <t>off</t>
        </is>
      </c>
      <c r="B8" s="2" t="n">
        <v>7</v>
      </c>
      <c r="C8" s="2" t="n">
        <v>18956</v>
      </c>
      <c r="D8" s="2" t="n">
        <v>30.74</v>
      </c>
      <c r="E8" s="2" t="n">
        <v>616.6559999999999</v>
      </c>
      <c r="F8" s="2" t="n">
        <v>0</v>
      </c>
      <c r="G8" s="2" t="n"/>
      <c r="H8" s="2" t="n">
        <v>0</v>
      </c>
      <c r="I8" s="2" t="n">
        <v>0</v>
      </c>
    </row>
    <row r="9">
      <c r="A9" s="2" t="inlineStr">
        <is>
          <t>off</t>
        </is>
      </c>
      <c r="B9" s="2" t="n">
        <v>8</v>
      </c>
      <c r="C9" s="2" t="n">
        <v>18761</v>
      </c>
      <c r="D9" s="2" t="n">
        <v>30.73</v>
      </c>
      <c r="E9" s="2" t="n">
        <v>610.511</v>
      </c>
      <c r="F9" s="2" t="n">
        <v>0</v>
      </c>
      <c r="G9" s="2" t="n"/>
      <c r="H9" s="2" t="n">
        <v>0</v>
      </c>
      <c r="I9" s="2" t="n">
        <v>0</v>
      </c>
    </row>
    <row r="10">
      <c r="A10" s="2" t="inlineStr">
        <is>
          <t>off</t>
        </is>
      </c>
      <c r="B10" s="2" t="n">
        <v>9</v>
      </c>
      <c r="C10" s="2" t="n">
        <v>18733</v>
      </c>
      <c r="D10" s="2" t="n">
        <v>30.73</v>
      </c>
      <c r="E10" s="2" t="n">
        <v>609.6</v>
      </c>
      <c r="F10" s="2" t="n">
        <v>0</v>
      </c>
      <c r="G10" s="2" t="n"/>
      <c r="H10" s="2" t="n">
        <v>0</v>
      </c>
      <c r="I10" s="2" t="n">
        <v>0</v>
      </c>
    </row>
    <row r="11">
      <c r="A11" s="2" t="inlineStr">
        <is>
          <t>off</t>
        </is>
      </c>
      <c r="B11" s="2" t="n">
        <v>10</v>
      </c>
      <c r="C11" s="2" t="n">
        <v>18786</v>
      </c>
      <c r="D11" s="2" t="n">
        <v>30.74</v>
      </c>
      <c r="E11" s="2" t="n">
        <v>611.126</v>
      </c>
      <c r="F11" s="2" t="n">
        <v>0</v>
      </c>
      <c r="G11" s="2" t="n"/>
      <c r="H11" s="2" t="n">
        <v>0</v>
      </c>
      <c r="I11" s="2" t="n">
        <v>0</v>
      </c>
    </row>
    <row r="12">
      <c r="A12" s="2" t="inlineStr">
        <is>
          <t>audit</t>
        </is>
      </c>
      <c r="B12" s="2" t="n">
        <v>1</v>
      </c>
      <c r="C12" s="2" t="n">
        <v>18830</v>
      </c>
      <c r="D12" s="2" t="n">
        <v>30.88</v>
      </c>
      <c r="E12" s="2" t="n">
        <v>609.78</v>
      </c>
      <c r="F12" s="2" t="n">
        <v>1</v>
      </c>
      <c r="G12" s="2" t="n">
        <v>18830</v>
      </c>
      <c r="H12" s="2" t="n">
        <v>0</v>
      </c>
      <c r="I12" s="2" t="n">
        <v>0</v>
      </c>
    </row>
    <row r="13">
      <c r="A13" s="2" t="inlineStr">
        <is>
          <t>audit</t>
        </is>
      </c>
      <c r="B13" s="2" t="n">
        <v>2</v>
      </c>
      <c r="C13" s="2" t="n">
        <v>18811</v>
      </c>
      <c r="D13" s="2" t="n">
        <v>30.67</v>
      </c>
      <c r="E13" s="2" t="n">
        <v>613.336</v>
      </c>
      <c r="F13" s="2" t="n">
        <v>1</v>
      </c>
      <c r="G13" s="2" t="n">
        <v>18811</v>
      </c>
      <c r="H13" s="2" t="n">
        <v>0</v>
      </c>
      <c r="I13" s="2" t="n">
        <v>0</v>
      </c>
    </row>
    <row r="14">
      <c r="A14" s="2" t="inlineStr">
        <is>
          <t>audit</t>
        </is>
      </c>
      <c r="B14" s="2" t="n">
        <v>3</v>
      </c>
      <c r="C14" s="2" t="n">
        <v>18415</v>
      </c>
      <c r="D14" s="2" t="n">
        <v>30.88</v>
      </c>
      <c r="E14" s="2" t="n">
        <v>596.341</v>
      </c>
      <c r="F14" s="2" t="n">
        <v>1</v>
      </c>
      <c r="G14" s="2" t="n">
        <v>18415</v>
      </c>
      <c r="H14" s="2" t="n">
        <v>0</v>
      </c>
      <c r="I14" s="2" t="n">
        <v>0</v>
      </c>
    </row>
    <row r="15">
      <c r="A15" s="2" t="inlineStr">
        <is>
          <t>audit</t>
        </is>
      </c>
      <c r="B15" s="2" t="n">
        <v>4</v>
      </c>
      <c r="C15" s="2" t="n">
        <v>18376</v>
      </c>
      <c r="D15" s="2" t="n">
        <v>30.88</v>
      </c>
      <c r="E15" s="2" t="n">
        <v>595.078</v>
      </c>
      <c r="F15" s="2" t="n">
        <v>1</v>
      </c>
      <c r="G15" s="2" t="n">
        <v>18376</v>
      </c>
      <c r="H15" s="2" t="n">
        <v>0</v>
      </c>
      <c r="I15" s="2" t="n">
        <v>0</v>
      </c>
    </row>
    <row r="16">
      <c r="A16" s="2" t="inlineStr">
        <is>
          <t>audit</t>
        </is>
      </c>
      <c r="B16" s="2" t="n">
        <v>5</v>
      </c>
      <c r="C16" s="2" t="n">
        <v>18216</v>
      </c>
      <c r="D16" s="2" t="n">
        <v>30.67</v>
      </c>
      <c r="E16" s="2" t="n">
        <v>593.9349999999999</v>
      </c>
      <c r="F16" s="2" t="n">
        <v>1</v>
      </c>
      <c r="G16" s="2" t="n">
        <v>18216</v>
      </c>
      <c r="H16" s="2" t="n">
        <v>0</v>
      </c>
      <c r="I16" s="2" t="n">
        <v>0</v>
      </c>
    </row>
    <row r="17">
      <c r="A17" s="2" t="inlineStr">
        <is>
          <t>audit</t>
        </is>
      </c>
      <c r="B17" s="2" t="n">
        <v>6</v>
      </c>
      <c r="C17" s="2" t="n">
        <v>19078</v>
      </c>
      <c r="D17" s="2" t="n">
        <v>30.87</v>
      </c>
      <c r="E17" s="2" t="n">
        <v>618.011</v>
      </c>
      <c r="F17" s="2" t="n">
        <v>1</v>
      </c>
      <c r="G17" s="2" t="n">
        <v>19078</v>
      </c>
      <c r="H17" s="2" t="n">
        <v>0</v>
      </c>
      <c r="I17" s="2" t="n">
        <v>0</v>
      </c>
    </row>
    <row r="18">
      <c r="A18" s="2" t="inlineStr">
        <is>
          <t>audit</t>
        </is>
      </c>
      <c r="B18" s="2" t="n">
        <v>7</v>
      </c>
      <c r="C18" s="2" t="n">
        <v>18976</v>
      </c>
      <c r="D18" s="2" t="n">
        <v>30.88</v>
      </c>
      <c r="E18" s="2" t="n">
        <v>614.508</v>
      </c>
      <c r="F18" s="2" t="n">
        <v>1</v>
      </c>
      <c r="G18" s="2" t="n">
        <v>18976</v>
      </c>
      <c r="H18" s="2" t="n">
        <v>0</v>
      </c>
      <c r="I18" s="2" t="n">
        <v>0</v>
      </c>
    </row>
    <row r="19">
      <c r="A19" s="2" t="inlineStr">
        <is>
          <t>audit</t>
        </is>
      </c>
      <c r="B19" s="2" t="n">
        <v>8</v>
      </c>
      <c r="C19" s="2" t="n">
        <v>18906</v>
      </c>
      <c r="D19" s="2" t="n">
        <v>30.68</v>
      </c>
      <c r="E19" s="2" t="n">
        <v>616.232</v>
      </c>
      <c r="F19" s="2" t="n">
        <v>1</v>
      </c>
      <c r="G19" s="2" t="n">
        <v>18906</v>
      </c>
      <c r="H19" s="2" t="n">
        <v>0</v>
      </c>
      <c r="I19" s="2" t="n">
        <v>0</v>
      </c>
    </row>
    <row r="20">
      <c r="A20" s="2" t="inlineStr">
        <is>
          <t>audit</t>
        </is>
      </c>
      <c r="B20" s="2" t="n">
        <v>9</v>
      </c>
      <c r="C20" s="2" t="n">
        <v>18758</v>
      </c>
      <c r="D20" s="2" t="n">
        <v>30.88</v>
      </c>
      <c r="E20" s="2" t="n">
        <v>607.448</v>
      </c>
      <c r="F20" s="2" t="n">
        <v>1</v>
      </c>
      <c r="G20" s="2" t="n">
        <v>18758</v>
      </c>
      <c r="H20" s="2" t="n">
        <v>0</v>
      </c>
      <c r="I20" s="2" t="n">
        <v>0</v>
      </c>
    </row>
    <row r="21">
      <c r="A21" s="2" t="inlineStr">
        <is>
          <t>audit</t>
        </is>
      </c>
      <c r="B21" s="2" t="n">
        <v>10</v>
      </c>
      <c r="C21" s="2" t="n">
        <v>18762</v>
      </c>
      <c r="D21" s="2" t="n">
        <v>30.88</v>
      </c>
      <c r="E21" s="2" t="n">
        <v>607.578</v>
      </c>
      <c r="F21" s="2" t="n">
        <v>1</v>
      </c>
      <c r="G21" s="2" t="n">
        <v>18762</v>
      </c>
      <c r="H21" s="2" t="n">
        <v>0</v>
      </c>
      <c r="I21" s="2" t="n">
        <v>0</v>
      </c>
    </row>
    <row r="22">
      <c r="A22" s="2" t="inlineStr">
        <is>
          <t>enforce</t>
        </is>
      </c>
      <c r="B22" s="2" t="n">
        <v>1</v>
      </c>
      <c r="C22" s="2" t="n">
        <v>18765</v>
      </c>
      <c r="D22" s="2" t="n">
        <v>30.69</v>
      </c>
      <c r="E22" s="2" t="n">
        <v>611.437</v>
      </c>
      <c r="F22" s="2" t="n">
        <v>1</v>
      </c>
      <c r="G22" s="2" t="n">
        <v>18765</v>
      </c>
      <c r="H22" s="2" t="n">
        <v>0</v>
      </c>
      <c r="I22" s="2" t="n">
        <v>0</v>
      </c>
    </row>
    <row r="23">
      <c r="A23" s="2" t="inlineStr">
        <is>
          <t>enforce</t>
        </is>
      </c>
      <c r="B23" s="2" t="n">
        <v>2</v>
      </c>
      <c r="C23" s="2" t="n">
        <v>18732</v>
      </c>
      <c r="D23" s="2" t="n">
        <v>30.65</v>
      </c>
      <c r="E23" s="2" t="n">
        <v>611.158</v>
      </c>
      <c r="F23" s="2" t="n">
        <v>1</v>
      </c>
      <c r="G23" s="2" t="n">
        <v>18732</v>
      </c>
      <c r="H23" s="2" t="n">
        <v>0</v>
      </c>
      <c r="I23" s="2" t="n">
        <v>0</v>
      </c>
    </row>
    <row r="24">
      <c r="A24" s="2" t="inlineStr">
        <is>
          <t>enforce</t>
        </is>
      </c>
      <c r="B24" s="2" t="n">
        <v>3</v>
      </c>
      <c r="C24" s="2" t="n">
        <v>19268</v>
      </c>
      <c r="D24" s="2" t="n">
        <v>30.88</v>
      </c>
      <c r="E24" s="2" t="n">
        <v>623.9640000000001</v>
      </c>
      <c r="F24" s="2" t="n">
        <v>1</v>
      </c>
      <c r="G24" s="2" t="n">
        <v>19268</v>
      </c>
      <c r="H24" s="2" t="n">
        <v>0</v>
      </c>
      <c r="I24" s="2" t="n">
        <v>0</v>
      </c>
    </row>
    <row r="25">
      <c r="A25" s="2" t="inlineStr">
        <is>
          <t>enforce</t>
        </is>
      </c>
      <c r="B25" s="2" t="n">
        <v>4</v>
      </c>
      <c r="C25" s="2" t="n">
        <v>18239</v>
      </c>
      <c r="D25" s="2" t="n">
        <v>30.69</v>
      </c>
      <c r="E25" s="2" t="n">
        <v>594.298</v>
      </c>
      <c r="F25" s="2" t="n">
        <v>1</v>
      </c>
      <c r="G25" s="2" t="n">
        <v>18239</v>
      </c>
      <c r="H25" s="2" t="n">
        <v>0</v>
      </c>
      <c r="I25" s="2" t="n">
        <v>0</v>
      </c>
    </row>
    <row r="26">
      <c r="A26" s="2" t="inlineStr">
        <is>
          <t>enforce</t>
        </is>
      </c>
      <c r="B26" s="2" t="n">
        <v>5</v>
      </c>
      <c r="C26" s="2" t="n">
        <v>18212</v>
      </c>
      <c r="D26" s="2" t="n">
        <v>30.69</v>
      </c>
      <c r="E26" s="2" t="n">
        <v>593.418</v>
      </c>
      <c r="F26" s="2" t="n">
        <v>1</v>
      </c>
      <c r="G26" s="2" t="n">
        <v>18212</v>
      </c>
      <c r="H26" s="2" t="n">
        <v>0</v>
      </c>
      <c r="I26" s="2" t="n">
        <v>0</v>
      </c>
    </row>
    <row r="27">
      <c r="A27" s="2" t="inlineStr">
        <is>
          <t>enforce</t>
        </is>
      </c>
      <c r="B27" s="2" t="n">
        <v>6</v>
      </c>
      <c r="C27" s="2" t="n">
        <v>18846</v>
      </c>
      <c r="D27" s="2" t="n">
        <v>30.88</v>
      </c>
      <c r="E27" s="2" t="n">
        <v>610.298</v>
      </c>
      <c r="F27" s="2" t="n">
        <v>1</v>
      </c>
      <c r="G27" s="2" t="n">
        <v>18846</v>
      </c>
      <c r="H27" s="2" t="n">
        <v>0</v>
      </c>
      <c r="I27" s="2" t="n">
        <v>0</v>
      </c>
    </row>
    <row r="28">
      <c r="A28" s="2" t="inlineStr">
        <is>
          <t>enforce</t>
        </is>
      </c>
      <c r="B28" s="2" t="n">
        <v>7</v>
      </c>
      <c r="C28" s="2" t="n">
        <v>18843</v>
      </c>
      <c r="D28" s="2" t="n">
        <v>30.68</v>
      </c>
      <c r="E28" s="2" t="n">
        <v>614.179</v>
      </c>
      <c r="F28" s="2" t="n">
        <v>1</v>
      </c>
      <c r="G28" s="2" t="n">
        <v>18843</v>
      </c>
      <c r="H28" s="2" t="n">
        <v>0</v>
      </c>
      <c r="I28" s="2" t="n">
        <v>0</v>
      </c>
    </row>
    <row r="29">
      <c r="A29" s="2" t="inlineStr">
        <is>
          <t>enforce</t>
        </is>
      </c>
      <c r="B29" s="2" t="n">
        <v>8</v>
      </c>
      <c r="C29" s="2" t="n">
        <v>18658</v>
      </c>
      <c r="D29" s="2" t="n">
        <v>30.63</v>
      </c>
      <c r="E29" s="2" t="n">
        <v>609.141</v>
      </c>
      <c r="F29" s="2" t="n">
        <v>1</v>
      </c>
      <c r="G29" s="2" t="n">
        <v>18658</v>
      </c>
      <c r="H29" s="2" t="n">
        <v>0</v>
      </c>
      <c r="I29" s="2" t="n">
        <v>0</v>
      </c>
    </row>
    <row r="30">
      <c r="A30" s="2" t="inlineStr">
        <is>
          <t>enforce</t>
        </is>
      </c>
      <c r="B30" s="2" t="n">
        <v>9</v>
      </c>
      <c r="C30" s="2" t="n">
        <v>18837</v>
      </c>
      <c r="D30" s="2" t="n">
        <v>30.88</v>
      </c>
      <c r="E30" s="2" t="n">
        <v>610.006</v>
      </c>
      <c r="F30" s="2" t="n">
        <v>1</v>
      </c>
      <c r="G30" s="2" t="n">
        <v>18837</v>
      </c>
      <c r="H30" s="2" t="n">
        <v>0</v>
      </c>
      <c r="I30" s="2" t="n">
        <v>0</v>
      </c>
    </row>
    <row r="31">
      <c r="A31" s="2" t="inlineStr">
        <is>
          <t>enforce</t>
        </is>
      </c>
      <c r="B31" s="2" t="n">
        <v>10</v>
      </c>
      <c r="C31" s="2" t="n">
        <v>18529</v>
      </c>
      <c r="D31" s="2" t="n">
        <v>30.69</v>
      </c>
      <c r="E31" s="2" t="n">
        <v>603.747</v>
      </c>
      <c r="F31" s="2" t="n">
        <v>1</v>
      </c>
      <c r="G31" s="2" t="n">
        <v>18529</v>
      </c>
      <c r="H31" s="2" t="n">
        <v>0</v>
      </c>
      <c r="I31" s="2"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8" customWidth="1" min="3" max="3"/>
    <col width="10" customWidth="1" min="4" max="4"/>
    <col width="13" customWidth="1" min="5" max="5"/>
    <col width="13" customWidth="1" min="6" max="6"/>
    <col width="10" customWidth="1" min="7" max="7"/>
  </cols>
  <sheetData>
    <row r="1">
      <c r="A1" s="4" t="inlineStr">
        <is>
          <t>Condition</t>
        </is>
      </c>
      <c r="B1" s="4" t="inlineStr">
        <is>
          <t>Round</t>
        </is>
      </c>
      <c r="C1" s="4" t="inlineStr">
        <is>
          <t>Handshakes per s</t>
        </is>
      </c>
      <c r="D1" s="4" t="inlineStr">
        <is>
          <t>run_cnt</t>
        </is>
      </c>
      <c r="E1" s="4" t="inlineStr">
        <is>
          <t>run_time_ns</t>
        </is>
      </c>
      <c r="F1" s="4" t="inlineStr">
        <is>
          <t>ns per call</t>
        </is>
      </c>
      <c r="G1" s="4" t="inlineStr">
        <is>
          <t>Dropped</t>
        </is>
      </c>
    </row>
    <row r="2">
      <c r="A2" s="2" t="inlineStr">
        <is>
          <t>off</t>
        </is>
      </c>
      <c r="B2" s="2" t="n">
        <v>1</v>
      </c>
      <c r="C2" s="2" t="n">
        <v>599.8</v>
      </c>
      <c r="D2" s="2" t="n"/>
      <c r="E2" s="2" t="n"/>
      <c r="F2" s="2">
        <f>IF(D2="","",E2/D2)</f>
        <v/>
      </c>
      <c r="G2" s="2" t="n">
        <v>0</v>
      </c>
    </row>
    <row r="3">
      <c r="A3" s="2" t="inlineStr">
        <is>
          <t>off</t>
        </is>
      </c>
      <c r="B3" s="2" t="n">
        <v>2</v>
      </c>
      <c r="C3" s="2" t="n">
        <v>598.308</v>
      </c>
      <c r="D3" s="2" t="n"/>
      <c r="E3" s="2" t="n"/>
      <c r="F3" s="2">
        <f>IF(D3="","",E3/D3)</f>
        <v/>
      </c>
      <c r="G3" s="2" t="n">
        <v>0</v>
      </c>
    </row>
    <row r="4">
      <c r="A4" s="2" t="inlineStr">
        <is>
          <t>audit</t>
        </is>
      </c>
      <c r="B4" s="2" t="n">
        <v>1</v>
      </c>
      <c r="C4" s="2" t="n">
        <v>596.145</v>
      </c>
      <c r="D4" s="2" t="n">
        <v>110429</v>
      </c>
      <c r="E4" s="2" t="n">
        <v>71366285</v>
      </c>
      <c r="F4" s="2">
        <f>IF(D4="","",E4/D4)</f>
        <v/>
      </c>
      <c r="G4" s="2" t="n">
        <v>0</v>
      </c>
    </row>
    <row r="5">
      <c r="A5" s="2" t="inlineStr">
        <is>
          <t>audit</t>
        </is>
      </c>
      <c r="B5" s="2" t="n">
        <v>2</v>
      </c>
      <c r="C5" s="2" t="n">
        <v>599.576</v>
      </c>
      <c r="D5" s="2" t="n">
        <v>110344</v>
      </c>
      <c r="E5" s="2" t="n">
        <v>71941942</v>
      </c>
      <c r="F5" s="2">
        <f>IF(D5="","",E5/D5)</f>
        <v/>
      </c>
      <c r="G5" s="2" t="n">
        <v>0</v>
      </c>
    </row>
    <row r="6">
      <c r="A6" s="2" t="inlineStr">
        <is>
          <t>enforce</t>
        </is>
      </c>
      <c r="B6" s="2" t="n">
        <v>1</v>
      </c>
      <c r="C6" s="2" t="n">
        <v>596.573</v>
      </c>
      <c r="D6" s="2" t="n">
        <v>109690</v>
      </c>
      <c r="E6" s="2" t="n">
        <v>80049782</v>
      </c>
      <c r="F6" s="2">
        <f>IF(D6="","",E6/D6)</f>
        <v/>
      </c>
      <c r="G6" s="2" t="n">
        <v>0</v>
      </c>
    </row>
    <row r="7">
      <c r="A7" s="2" t="inlineStr">
        <is>
          <t>enforce</t>
        </is>
      </c>
      <c r="B7" s="2" t="n">
        <v>2</v>
      </c>
      <c r="C7" s="2" t="n">
        <v>599.348</v>
      </c>
      <c r="D7" s="2" t="n">
        <v>110336</v>
      </c>
      <c r="E7" s="2" t="n">
        <v>82313516</v>
      </c>
      <c r="F7" s="2">
        <f>IF(D7="","",E7/D7)</f>
        <v/>
      </c>
      <c r="G7" s="2"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4" customWidth="1" min="4" max="4"/>
    <col width="10" customWidth="1" min="5" max="5"/>
    <col width="10" customWidth="1" min="6" max="6"/>
  </cols>
  <sheetData>
    <row r="1">
      <c r="A1" s="4" t="inlineStr">
        <is>
          <t>Condition</t>
        </is>
      </c>
      <c r="B1" s="4" t="inlineStr">
        <is>
          <t>Round</t>
        </is>
      </c>
      <c r="C1" s="4" t="inlineStr">
        <is>
          <t>Bytes</t>
        </is>
      </c>
      <c r="D1" s="4" t="inlineStr">
        <is>
          <t>Wall seconds</t>
        </is>
      </c>
      <c r="E1" s="4" t="inlineStr">
        <is>
          <t>Gbps</t>
        </is>
      </c>
      <c r="F1" s="4" t="inlineStr">
        <is>
          <t>Dropped</t>
        </is>
      </c>
    </row>
    <row r="2">
      <c r="A2" s="2" t="inlineStr">
        <is>
          <t>off</t>
        </is>
      </c>
      <c r="B2" s="2" t="n">
        <v>1</v>
      </c>
      <c r="C2" s="2" t="n">
        <v>136329560064</v>
      </c>
      <c r="D2" s="2" t="n">
        <v>19.9994</v>
      </c>
      <c r="E2" s="2" t="n">
        <v>54.5335</v>
      </c>
      <c r="F2" s="2" t="n">
        <v>0</v>
      </c>
    </row>
    <row r="3">
      <c r="A3" s="2" t="inlineStr">
        <is>
          <t>off</t>
        </is>
      </c>
      <c r="B3" s="2" t="n">
        <v>2</v>
      </c>
      <c r="C3" s="2" t="n">
        <v>142862188544</v>
      </c>
      <c r="D3" s="2" t="n">
        <v>19.9992</v>
      </c>
      <c r="E3" s="2" t="n">
        <v>57.1472</v>
      </c>
      <c r="F3" s="2" t="n">
        <v>0</v>
      </c>
    </row>
    <row r="4">
      <c r="A4" s="2" t="inlineStr">
        <is>
          <t>off</t>
        </is>
      </c>
      <c r="B4" s="2" t="n">
        <v>3</v>
      </c>
      <c r="C4" s="2" t="n">
        <v>135478116352</v>
      </c>
      <c r="D4" s="2" t="n">
        <v>19.9995</v>
      </c>
      <c r="E4" s="2" t="n">
        <v>54.1926</v>
      </c>
      <c r="F4" s="2" t="n">
        <v>0</v>
      </c>
    </row>
    <row r="5">
      <c r="A5" s="2" t="inlineStr">
        <is>
          <t>off</t>
        </is>
      </c>
      <c r="B5" s="2" t="n">
        <v>4</v>
      </c>
      <c r="C5" s="2" t="n">
        <v>134723141632</v>
      </c>
      <c r="D5" s="2" t="n">
        <v>19.9994</v>
      </c>
      <c r="E5" s="2" t="n">
        <v>53.8909</v>
      </c>
      <c r="F5" s="2" t="n">
        <v>0</v>
      </c>
    </row>
    <row r="6">
      <c r="A6" s="2" t="inlineStr">
        <is>
          <t>off</t>
        </is>
      </c>
      <c r="B6" s="2" t="n">
        <v>5</v>
      </c>
      <c r="C6" s="2" t="n">
        <v>136876916736</v>
      </c>
      <c r="D6" s="2" t="n">
        <v>19.9993</v>
      </c>
      <c r="E6" s="2" t="n">
        <v>54.7527</v>
      </c>
      <c r="F6" s="2" t="n">
        <v>0</v>
      </c>
    </row>
    <row r="7">
      <c r="A7" s="2" t="inlineStr">
        <is>
          <t>audit</t>
        </is>
      </c>
      <c r="B7" s="2" t="n">
        <v>1</v>
      </c>
      <c r="C7" s="2" t="n">
        <v>143044640768</v>
      </c>
      <c r="D7" s="2" t="n">
        <v>19.9993</v>
      </c>
      <c r="E7" s="2" t="n">
        <v>57.2199</v>
      </c>
      <c r="F7" s="2" t="n">
        <v>0</v>
      </c>
    </row>
    <row r="8">
      <c r="A8" s="2" t="inlineStr">
        <is>
          <t>audit</t>
        </is>
      </c>
      <c r="B8" s="2" t="n">
        <v>2</v>
      </c>
      <c r="C8" s="2" t="n">
        <v>135112163328</v>
      </c>
      <c r="D8" s="2" t="n">
        <v>19.9993</v>
      </c>
      <c r="E8" s="2" t="n">
        <v>54.0468</v>
      </c>
      <c r="F8" s="2" t="n">
        <v>0</v>
      </c>
    </row>
    <row r="9">
      <c r="A9" s="2" t="inlineStr">
        <is>
          <t>audit</t>
        </is>
      </c>
      <c r="B9" s="2" t="n">
        <v>3</v>
      </c>
      <c r="C9" s="2" t="n">
        <v>132528472064</v>
      </c>
      <c r="D9" s="2" t="n">
        <v>19.9993</v>
      </c>
      <c r="E9" s="2" t="n">
        <v>53.0132</v>
      </c>
      <c r="F9" s="2" t="n">
        <v>0</v>
      </c>
    </row>
    <row r="10">
      <c r="A10" s="2" t="inlineStr">
        <is>
          <t>audit</t>
        </is>
      </c>
      <c r="B10" s="2" t="n">
        <v>4</v>
      </c>
      <c r="C10" s="2" t="n">
        <v>133235212288</v>
      </c>
      <c r="D10" s="2" t="n">
        <v>19.9994</v>
      </c>
      <c r="E10" s="2" t="n">
        <v>53.2957</v>
      </c>
      <c r="F10" s="2" t="n">
        <v>0</v>
      </c>
    </row>
    <row r="11">
      <c r="A11" s="2" t="inlineStr">
        <is>
          <t>audit</t>
        </is>
      </c>
      <c r="B11" s="2" t="n">
        <v>5</v>
      </c>
      <c r="C11" s="2" t="n">
        <v>132288348160</v>
      </c>
      <c r="D11" s="2" t="n">
        <v>19.9994</v>
      </c>
      <c r="E11" s="2" t="n">
        <v>52.9169</v>
      </c>
      <c r="F11" s="2" t="n">
        <v>0</v>
      </c>
    </row>
    <row r="12">
      <c r="A12" s="2" t="inlineStr">
        <is>
          <t>enforce</t>
        </is>
      </c>
      <c r="B12" s="2" t="n">
        <v>1</v>
      </c>
      <c r="C12" s="2" t="n">
        <v>141920567296</v>
      </c>
      <c r="D12" s="2" t="n">
        <v>19.9995</v>
      </c>
      <c r="E12" s="2" t="n">
        <v>56.7696</v>
      </c>
      <c r="F12" s="2" t="n">
        <v>0</v>
      </c>
    </row>
    <row r="13">
      <c r="A13" s="2" t="inlineStr">
        <is>
          <t>enforce</t>
        </is>
      </c>
      <c r="B13" s="2" t="n">
        <v>2</v>
      </c>
      <c r="C13" s="2" t="n">
        <v>137754574848</v>
      </c>
      <c r="D13" s="2" t="n">
        <v>19.9993</v>
      </c>
      <c r="E13" s="2" t="n">
        <v>55.1038</v>
      </c>
      <c r="F13" s="2" t="n">
        <v>0</v>
      </c>
    </row>
    <row r="14">
      <c r="A14" s="2" t="inlineStr">
        <is>
          <t>enforce</t>
        </is>
      </c>
      <c r="B14" s="2" t="n">
        <v>3</v>
      </c>
      <c r="C14" s="2" t="n">
        <v>138762256384</v>
      </c>
      <c r="D14" s="2" t="n">
        <v>19.9992</v>
      </c>
      <c r="E14" s="2" t="n">
        <v>55.5071</v>
      </c>
      <c r="F14" s="2" t="n">
        <v>0</v>
      </c>
    </row>
    <row r="15">
      <c r="A15" s="2" t="inlineStr">
        <is>
          <t>enforce</t>
        </is>
      </c>
      <c r="B15" s="2" t="n">
        <v>4</v>
      </c>
      <c r="C15" s="2" t="n">
        <v>137712631808</v>
      </c>
      <c r="D15" s="2" t="n">
        <v>19.9995</v>
      </c>
      <c r="E15" s="2" t="n">
        <v>55.0864</v>
      </c>
      <c r="F15" s="2" t="n">
        <v>0</v>
      </c>
    </row>
    <row r="16">
      <c r="A16" s="2" t="inlineStr">
        <is>
          <t>enforce</t>
        </is>
      </c>
      <c r="B16" s="2" t="n">
        <v>5</v>
      </c>
      <c r="C16" s="2" t="n">
        <v>141151961088</v>
      </c>
      <c r="D16" s="2" t="n">
        <v>19.9993</v>
      </c>
      <c r="E16" s="2" t="n">
        <v>56.4628</v>
      </c>
      <c r="F16" s="2"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0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5" max="5"/>
    <col width="14" customWidth="1" min="6" max="6"/>
    <col width="14" customWidth="1" min="7" max="7"/>
    <col width="14" customWidth="1" min="8" max="8"/>
  </cols>
  <sheetData>
    <row r="1">
      <c r="A1" s="1" t="inlineStr">
        <is>
          <t>off (ms)</t>
        </is>
      </c>
      <c r="B1" s="1" t="inlineStr">
        <is>
          <t>audit (ms)</t>
        </is>
      </c>
      <c r="C1" s="1" t="inlineStr">
        <is>
          <t>enforce (ms)</t>
        </is>
      </c>
      <c r="E1" t="inlineStr">
        <is>
          <t>Statistic</t>
        </is>
      </c>
      <c r="F1" t="inlineStr">
        <is>
          <t>off</t>
        </is>
      </c>
      <c r="G1" t="inlineStr">
        <is>
          <t>audit</t>
        </is>
      </c>
      <c r="H1" t="inlineStr">
        <is>
          <t>enforce</t>
        </is>
      </c>
    </row>
    <row r="2">
      <c r="A2" t="n">
        <v>4.6479</v>
      </c>
      <c r="B2" t="n">
        <v>3.9938</v>
      </c>
      <c r="C2" t="n">
        <v>4.5199</v>
      </c>
      <c r="E2" t="inlineStr">
        <is>
          <t>p50</t>
        </is>
      </c>
      <c r="F2">
        <f>PERCENTILE(A2:A10001,0.5)</f>
        <v/>
      </c>
      <c r="G2">
        <f>PERCENTILE(B2:B10001,0.5)</f>
        <v/>
      </c>
      <c r="H2">
        <f>PERCENTILE(C2:C10001,0.5)</f>
        <v/>
      </c>
    </row>
    <row r="3">
      <c r="A3" t="n">
        <v>1.7277</v>
      </c>
      <c r="B3" t="n">
        <v>1.9117</v>
      </c>
      <c r="C3" t="n">
        <v>2.183</v>
      </c>
      <c r="E3" t="inlineStr">
        <is>
          <t>p99</t>
        </is>
      </c>
      <c r="F3">
        <f>PERCENTILE(A2:A10001,0.99)</f>
        <v/>
      </c>
      <c r="G3">
        <f>PERCENTILE(B2:B10001,0.99)</f>
        <v/>
      </c>
      <c r="H3">
        <f>PERCENTILE(C2:C10001,0.99)</f>
        <v/>
      </c>
    </row>
    <row r="4">
      <c r="A4" t="n">
        <v>1.8858</v>
      </c>
      <c r="B4" t="n">
        <v>1.8489</v>
      </c>
      <c r="C4" t="n">
        <v>2.0719</v>
      </c>
      <c r="E4" t="inlineStr">
        <is>
          <t>Dropped events</t>
        </is>
      </c>
      <c r="F4" t="n">
        <v>0</v>
      </c>
    </row>
    <row r="5">
      <c r="A5" t="n">
        <v>1.5716</v>
      </c>
      <c r="B5" t="n">
        <v>1.7679</v>
      </c>
      <c r="C5" t="n">
        <v>2.0305</v>
      </c>
    </row>
    <row r="6">
      <c r="A6" t="n">
        <v>1.6648</v>
      </c>
      <c r="B6" t="n">
        <v>1.7845</v>
      </c>
      <c r="C6" t="n">
        <v>2.1064</v>
      </c>
    </row>
    <row r="7">
      <c r="A7" t="n">
        <v>1.5679</v>
      </c>
      <c r="B7" t="n">
        <v>1.5849</v>
      </c>
      <c r="C7" t="n">
        <v>2.1011</v>
      </c>
    </row>
    <row r="8">
      <c r="A8" t="n">
        <v>1.5588</v>
      </c>
      <c r="B8" t="n">
        <v>1.7225</v>
      </c>
      <c r="C8" t="n">
        <v>1.6354</v>
      </c>
    </row>
    <row r="9">
      <c r="A9" t="n">
        <v>1.5575</v>
      </c>
      <c r="B9" t="n">
        <v>1.5441</v>
      </c>
      <c r="C9" t="n">
        <v>1.5155</v>
      </c>
    </row>
    <row r="10">
      <c r="A10" t="n">
        <v>1.5969</v>
      </c>
      <c r="B10" t="n">
        <v>1.504</v>
      </c>
      <c r="C10" t="n">
        <v>1.5419</v>
      </c>
    </row>
    <row r="11">
      <c r="A11" t="n">
        <v>1.5366</v>
      </c>
      <c r="B11" t="n">
        <v>1.699</v>
      </c>
      <c r="C11" t="n">
        <v>1.5231</v>
      </c>
    </row>
    <row r="12">
      <c r="A12" t="n">
        <v>1.8628</v>
      </c>
      <c r="B12" t="n">
        <v>1.7507</v>
      </c>
      <c r="C12" t="n">
        <v>1.5787</v>
      </c>
    </row>
    <row r="13">
      <c r="A13" t="n">
        <v>1.5971</v>
      </c>
      <c r="B13" t="n">
        <v>1.5287</v>
      </c>
      <c r="C13" t="n">
        <v>1.5569</v>
      </c>
    </row>
    <row r="14">
      <c r="A14" t="n">
        <v>1.7587</v>
      </c>
      <c r="B14" t="n">
        <v>1.4446</v>
      </c>
      <c r="C14" t="n">
        <v>1.514</v>
      </c>
    </row>
    <row r="15">
      <c r="A15" t="n">
        <v>1.5618</v>
      </c>
      <c r="B15" t="n">
        <v>1.4426</v>
      </c>
      <c r="C15" t="n">
        <v>1.467</v>
      </c>
    </row>
    <row r="16">
      <c r="A16" t="n">
        <v>1.5363</v>
      </c>
      <c r="B16" t="n">
        <v>1.6734</v>
      </c>
      <c r="C16" t="n">
        <v>1.5049</v>
      </c>
    </row>
    <row r="17">
      <c r="A17" t="n">
        <v>1.7199</v>
      </c>
      <c r="B17" t="n">
        <v>1.7618</v>
      </c>
      <c r="C17" t="n">
        <v>1.5515</v>
      </c>
    </row>
    <row r="18">
      <c r="A18" t="n">
        <v>1.7943</v>
      </c>
      <c r="B18" t="n">
        <v>2.062</v>
      </c>
      <c r="C18" t="n">
        <v>1.5044</v>
      </c>
    </row>
    <row r="19">
      <c r="A19" t="n">
        <v>1.6597</v>
      </c>
      <c r="B19" t="n">
        <v>1.7359</v>
      </c>
      <c r="C19" t="n">
        <v>1.5468</v>
      </c>
    </row>
    <row r="20">
      <c r="A20" t="n">
        <v>1.5345</v>
      </c>
      <c r="B20" t="n">
        <v>1.5034</v>
      </c>
      <c r="C20" t="n">
        <v>1.7885</v>
      </c>
    </row>
    <row r="21">
      <c r="A21" t="n">
        <v>1.6924</v>
      </c>
      <c r="B21" t="n">
        <v>1.4756</v>
      </c>
      <c r="C21" t="n">
        <v>1.7634</v>
      </c>
    </row>
    <row r="22">
      <c r="A22" t="n">
        <v>1.5837</v>
      </c>
      <c r="B22" t="n">
        <v>1.4602</v>
      </c>
      <c r="C22" t="n">
        <v>1.7131</v>
      </c>
    </row>
    <row r="23">
      <c r="A23" t="n">
        <v>1.4761</v>
      </c>
      <c r="B23" t="n">
        <v>1.6418</v>
      </c>
      <c r="C23" t="n">
        <v>1.5151</v>
      </c>
    </row>
    <row r="24">
      <c r="A24" t="n">
        <v>1.4768</v>
      </c>
      <c r="B24" t="n">
        <v>1.7659</v>
      </c>
      <c r="C24" t="n">
        <v>1.4709</v>
      </c>
    </row>
    <row r="25">
      <c r="A25" t="n">
        <v>1.4896</v>
      </c>
      <c r="B25" t="n">
        <v>1.5115</v>
      </c>
      <c r="C25" t="n">
        <v>1.4772</v>
      </c>
    </row>
    <row r="26">
      <c r="A26" t="n">
        <v>1.4328</v>
      </c>
      <c r="B26" t="n">
        <v>1.4681</v>
      </c>
      <c r="C26" t="n">
        <v>1.7449</v>
      </c>
    </row>
    <row r="27">
      <c r="A27" t="n">
        <v>1.5239</v>
      </c>
      <c r="B27" t="n">
        <v>1.4633</v>
      </c>
      <c r="C27" t="n">
        <v>1.6762</v>
      </c>
    </row>
    <row r="28">
      <c r="A28" t="n">
        <v>1.5384</v>
      </c>
      <c r="B28" t="n">
        <v>1.6753</v>
      </c>
      <c r="C28" t="n">
        <v>1.5221</v>
      </c>
    </row>
    <row r="29">
      <c r="A29" t="n">
        <v>1.5075</v>
      </c>
      <c r="B29" t="n">
        <v>1.6969</v>
      </c>
      <c r="C29" t="n">
        <v>1.4936</v>
      </c>
    </row>
    <row r="30">
      <c r="A30" t="n">
        <v>1.5029</v>
      </c>
      <c r="B30" t="n">
        <v>1.4987</v>
      </c>
      <c r="C30" t="n">
        <v>1.4464</v>
      </c>
    </row>
    <row r="31">
      <c r="A31" t="n">
        <v>1.5607</v>
      </c>
      <c r="B31" t="n">
        <v>1.477</v>
      </c>
      <c r="C31" t="n">
        <v>1.6882</v>
      </c>
    </row>
    <row r="32">
      <c r="A32" t="n">
        <v>1.4958</v>
      </c>
      <c r="B32" t="n">
        <v>1.4433</v>
      </c>
      <c r="C32" t="n">
        <v>1.7345</v>
      </c>
    </row>
    <row r="33">
      <c r="A33" t="n">
        <v>1.6008</v>
      </c>
      <c r="B33" t="n">
        <v>1.6552</v>
      </c>
      <c r="C33" t="n">
        <v>1.4917</v>
      </c>
    </row>
    <row r="34">
      <c r="A34" t="n">
        <v>2.151</v>
      </c>
      <c r="B34" t="n">
        <v>1.7883</v>
      </c>
      <c r="C34" t="n">
        <v>1.7887</v>
      </c>
    </row>
    <row r="35">
      <c r="A35" t="n">
        <v>1.589</v>
      </c>
      <c r="B35" t="n">
        <v>1.5185</v>
      </c>
      <c r="C35" t="n">
        <v>1.6659</v>
      </c>
    </row>
    <row r="36">
      <c r="A36" t="n">
        <v>1.7845</v>
      </c>
      <c r="B36" t="n">
        <v>1.4676</v>
      </c>
      <c r="C36" t="n">
        <v>1.5371</v>
      </c>
    </row>
    <row r="37">
      <c r="A37" t="n">
        <v>1.8118</v>
      </c>
      <c r="B37" t="n">
        <v>1.4657</v>
      </c>
      <c r="C37" t="n">
        <v>1.4582</v>
      </c>
    </row>
    <row r="38">
      <c r="A38" t="n">
        <v>1.7391</v>
      </c>
      <c r="B38" t="n">
        <v>1.6858</v>
      </c>
      <c r="C38" t="n">
        <v>1.8296</v>
      </c>
    </row>
    <row r="39">
      <c r="A39" t="n">
        <v>1.5611</v>
      </c>
      <c r="B39" t="n">
        <v>1.7453</v>
      </c>
      <c r="C39" t="n">
        <v>1.5378</v>
      </c>
    </row>
    <row r="40">
      <c r="A40" t="n">
        <v>1.4857</v>
      </c>
      <c r="B40" t="n">
        <v>1.5757</v>
      </c>
      <c r="C40" t="n">
        <v>1.6831</v>
      </c>
    </row>
    <row r="41">
      <c r="A41" t="n">
        <v>1.4718</v>
      </c>
      <c r="B41" t="n">
        <v>1.4969</v>
      </c>
      <c r="C41" t="n">
        <v>1.5171</v>
      </c>
    </row>
    <row r="42">
      <c r="A42" t="n">
        <v>1.4893</v>
      </c>
      <c r="B42" t="n">
        <v>1.7584</v>
      </c>
      <c r="C42" t="n">
        <v>1.4706</v>
      </c>
    </row>
    <row r="43">
      <c r="A43" t="n">
        <v>1.5846</v>
      </c>
      <c r="B43" t="n">
        <v>1.5429</v>
      </c>
      <c r="C43" t="n">
        <v>1.6636</v>
      </c>
    </row>
    <row r="44">
      <c r="A44" t="n">
        <v>1.5149</v>
      </c>
      <c r="B44" t="n">
        <v>1.434</v>
      </c>
      <c r="C44" t="n">
        <v>1.799</v>
      </c>
    </row>
    <row r="45">
      <c r="A45" t="n">
        <v>1.7034</v>
      </c>
      <c r="B45" t="n">
        <v>1.4571</v>
      </c>
      <c r="C45" t="n">
        <v>1.4915</v>
      </c>
    </row>
    <row r="46">
      <c r="A46" t="n">
        <v>1.5684</v>
      </c>
      <c r="B46" t="n">
        <v>1.4513</v>
      </c>
      <c r="C46" t="n">
        <v>1.4663</v>
      </c>
    </row>
    <row r="47">
      <c r="A47" t="n">
        <v>1.4724</v>
      </c>
      <c r="B47" t="n">
        <v>1.4734</v>
      </c>
      <c r="C47" t="n">
        <v>1.5143</v>
      </c>
    </row>
    <row r="48">
      <c r="A48" t="n">
        <v>1.7978</v>
      </c>
      <c r="B48" t="n">
        <v>1.6736</v>
      </c>
      <c r="C48" t="n">
        <v>1.6789</v>
      </c>
    </row>
    <row r="49">
      <c r="A49" t="n">
        <v>1.5583</v>
      </c>
      <c r="B49" t="n">
        <v>1.7049</v>
      </c>
      <c r="C49" t="n">
        <v>1.5797</v>
      </c>
    </row>
    <row r="50">
      <c r="A50" t="n">
        <v>1.7251</v>
      </c>
      <c r="B50" t="n">
        <v>2.0587</v>
      </c>
      <c r="C50" t="n">
        <v>1.4996</v>
      </c>
    </row>
    <row r="51">
      <c r="A51" t="n">
        <v>1.7731</v>
      </c>
      <c r="B51" t="n">
        <v>1.8819</v>
      </c>
      <c r="C51" t="n">
        <v>1.4783</v>
      </c>
    </row>
    <row r="52">
      <c r="A52" t="n">
        <v>1.83</v>
      </c>
      <c r="B52" t="n">
        <v>1.4977</v>
      </c>
      <c r="C52" t="n">
        <v>1.4551</v>
      </c>
    </row>
    <row r="53">
      <c r="A53" t="n">
        <v>1.518</v>
      </c>
      <c r="B53" t="n">
        <v>1.4697</v>
      </c>
      <c r="C53" t="n">
        <v>1.4518</v>
      </c>
    </row>
    <row r="54">
      <c r="A54" t="n">
        <v>1.4817</v>
      </c>
      <c r="B54" t="n">
        <v>1.4498</v>
      </c>
      <c r="C54" t="n">
        <v>1.5396</v>
      </c>
    </row>
    <row r="55">
      <c r="A55" t="n">
        <v>1.4812</v>
      </c>
      <c r="B55" t="n">
        <v>1.6664</v>
      </c>
      <c r="C55" t="n">
        <v>1.6677</v>
      </c>
    </row>
    <row r="56">
      <c r="A56" t="n">
        <v>1.7649</v>
      </c>
      <c r="B56" t="n">
        <v>1.7192</v>
      </c>
      <c r="C56" t="n">
        <v>1.5452</v>
      </c>
    </row>
    <row r="57">
      <c r="A57" t="n">
        <v>1.8341</v>
      </c>
      <c r="B57" t="n">
        <v>1.5167</v>
      </c>
      <c r="C57" t="n">
        <v>1.4354</v>
      </c>
    </row>
    <row r="58">
      <c r="A58" t="n">
        <v>1.8256</v>
      </c>
      <c r="B58" t="n">
        <v>1.4712</v>
      </c>
      <c r="C58" t="n">
        <v>1.4573</v>
      </c>
    </row>
    <row r="59">
      <c r="A59" t="n">
        <v>1.7934</v>
      </c>
      <c r="B59" t="n">
        <v>1.4365</v>
      </c>
      <c r="C59" t="n">
        <v>1.4633</v>
      </c>
    </row>
    <row r="60">
      <c r="A60" t="n">
        <v>1.5506</v>
      </c>
      <c r="B60" t="n">
        <v>1.6907</v>
      </c>
      <c r="C60" t="n">
        <v>1.4651</v>
      </c>
    </row>
    <row r="61">
      <c r="A61" t="n">
        <v>1.5104</v>
      </c>
      <c r="B61" t="n">
        <v>1.7523</v>
      </c>
      <c r="C61" t="n">
        <v>1.6843</v>
      </c>
    </row>
    <row r="62">
      <c r="A62" t="n">
        <v>1.4763</v>
      </c>
      <c r="B62" t="n">
        <v>1.4895</v>
      </c>
      <c r="C62" t="n">
        <v>1.7461</v>
      </c>
    </row>
    <row r="63">
      <c r="A63" t="n">
        <v>1.7414</v>
      </c>
      <c r="B63" t="n">
        <v>1.4681</v>
      </c>
      <c r="C63" t="n">
        <v>1.4882</v>
      </c>
    </row>
    <row r="64">
      <c r="A64" t="n">
        <v>1.7552</v>
      </c>
      <c r="B64" t="n">
        <v>1.4678</v>
      </c>
      <c r="C64" t="n">
        <v>1.4814</v>
      </c>
    </row>
    <row r="65">
      <c r="A65" t="n">
        <v>1.8412</v>
      </c>
      <c r="B65" t="n">
        <v>1.6636</v>
      </c>
      <c r="C65" t="n">
        <v>1.7428</v>
      </c>
    </row>
    <row r="66">
      <c r="A66" t="n">
        <v>2.0204</v>
      </c>
      <c r="B66" t="n">
        <v>1.6778</v>
      </c>
      <c r="C66" t="n">
        <v>1.8291</v>
      </c>
    </row>
    <row r="67">
      <c r="A67" t="n">
        <v>1.5353</v>
      </c>
      <c r="B67" t="n">
        <v>1.4972</v>
      </c>
      <c r="C67" t="n">
        <v>1.4653</v>
      </c>
    </row>
    <row r="68">
      <c r="A68" t="n">
        <v>1.4813</v>
      </c>
      <c r="B68" t="n">
        <v>1.4441</v>
      </c>
      <c r="C68" t="n">
        <v>1.4268</v>
      </c>
    </row>
    <row r="69">
      <c r="A69" t="n">
        <v>1.4794</v>
      </c>
      <c r="B69" t="n">
        <v>1.4737</v>
      </c>
      <c r="C69" t="n">
        <v>1.4778</v>
      </c>
    </row>
    <row r="70">
      <c r="A70" t="n">
        <v>1.485</v>
      </c>
      <c r="B70" t="n">
        <v>1.6498</v>
      </c>
      <c r="C70" t="n">
        <v>1.4434</v>
      </c>
    </row>
    <row r="71">
      <c r="A71" t="n">
        <v>1.7283</v>
      </c>
      <c r="B71" t="n">
        <v>1.7432</v>
      </c>
      <c r="C71" t="n">
        <v>1.4827</v>
      </c>
    </row>
    <row r="72">
      <c r="A72" t="n">
        <v>1.5378</v>
      </c>
      <c r="B72" t="n">
        <v>1.5147</v>
      </c>
      <c r="C72" t="n">
        <v>1.4488</v>
      </c>
    </row>
    <row r="73">
      <c r="A73" t="n">
        <v>1.4963</v>
      </c>
      <c r="B73" t="n">
        <v>1.4646</v>
      </c>
      <c r="C73" t="n">
        <v>1.4315</v>
      </c>
    </row>
    <row r="74">
      <c r="A74" t="n">
        <v>1.7607</v>
      </c>
      <c r="B74" t="n">
        <v>1.4512</v>
      </c>
      <c r="C74" t="n">
        <v>1.5498</v>
      </c>
    </row>
    <row r="75">
      <c r="A75" t="n">
        <v>1.5715</v>
      </c>
      <c r="B75" t="n">
        <v>1.662</v>
      </c>
      <c r="C75" t="n">
        <v>1.4779</v>
      </c>
    </row>
    <row r="76">
      <c r="A76" t="n">
        <v>1.4978</v>
      </c>
      <c r="B76" t="n">
        <v>1.6327</v>
      </c>
      <c r="C76" t="n">
        <v>1.4899</v>
      </c>
    </row>
    <row r="77">
      <c r="A77" t="n">
        <v>1.4675</v>
      </c>
      <c r="B77" t="n">
        <v>1.4423</v>
      </c>
      <c r="C77" t="n">
        <v>1.5385</v>
      </c>
    </row>
    <row r="78">
      <c r="A78" t="n">
        <v>1.4976</v>
      </c>
      <c r="B78" t="n">
        <v>1.4487</v>
      </c>
      <c r="C78" t="n">
        <v>1.4585</v>
      </c>
    </row>
    <row r="79">
      <c r="A79" t="n">
        <v>1.8068</v>
      </c>
      <c r="B79" t="n">
        <v>1.4566</v>
      </c>
      <c r="C79" t="n">
        <v>1.5031</v>
      </c>
    </row>
    <row r="80">
      <c r="A80" t="n">
        <v>1.567</v>
      </c>
      <c r="B80" t="n">
        <v>1.4268</v>
      </c>
      <c r="C80" t="n">
        <v>1.7598</v>
      </c>
    </row>
    <row r="81">
      <c r="A81" t="n">
        <v>1.7671</v>
      </c>
      <c r="B81" t="n">
        <v>1.4724</v>
      </c>
      <c r="C81" t="n">
        <v>1.8167</v>
      </c>
    </row>
    <row r="82">
      <c r="A82" t="n">
        <v>1.7929</v>
      </c>
      <c r="B82" t="n">
        <v>1.8178</v>
      </c>
      <c r="C82" t="n">
        <v>1.5655</v>
      </c>
    </row>
    <row r="83">
      <c r="A83" t="n">
        <v>1.7512</v>
      </c>
      <c r="B83" t="n">
        <v>1.4883</v>
      </c>
      <c r="C83" t="n">
        <v>1.7286</v>
      </c>
    </row>
    <row r="84">
      <c r="A84" t="n">
        <v>1.5512</v>
      </c>
      <c r="B84" t="n">
        <v>1.7128</v>
      </c>
      <c r="C84" t="n">
        <v>1.5007</v>
      </c>
    </row>
    <row r="85">
      <c r="A85" t="n">
        <v>1.48</v>
      </c>
      <c r="B85" t="n">
        <v>1.6918</v>
      </c>
      <c r="C85" t="n">
        <v>1.491</v>
      </c>
    </row>
    <row r="86">
      <c r="A86" t="n">
        <v>1.4813</v>
      </c>
      <c r="B86" t="n">
        <v>1.5376</v>
      </c>
      <c r="C86" t="n">
        <v>1.6392</v>
      </c>
    </row>
    <row r="87">
      <c r="A87" t="n">
        <v>1.7803</v>
      </c>
      <c r="B87" t="n">
        <v>1.7042</v>
      </c>
      <c r="C87" t="n">
        <v>1.5066</v>
      </c>
    </row>
    <row r="88">
      <c r="A88" t="n">
        <v>1.8412</v>
      </c>
      <c r="B88" t="n">
        <v>1.535</v>
      </c>
      <c r="C88" t="n">
        <v>1.6948</v>
      </c>
    </row>
    <row r="89">
      <c r="A89" t="n">
        <v>1.7099</v>
      </c>
      <c r="B89" t="n">
        <v>1.4562</v>
      </c>
      <c r="C89" t="n">
        <v>1.4929</v>
      </c>
    </row>
    <row r="90">
      <c r="A90" t="n">
        <v>1.8167</v>
      </c>
      <c r="B90" t="n">
        <v>1.6747</v>
      </c>
      <c r="C90" t="n">
        <v>1.4807</v>
      </c>
    </row>
    <row r="91">
      <c r="A91" t="n">
        <v>1.5453</v>
      </c>
      <c r="B91" t="n">
        <v>1.8004</v>
      </c>
      <c r="C91" t="n">
        <v>1.6605</v>
      </c>
    </row>
    <row r="92">
      <c r="A92" t="n">
        <v>1.4799</v>
      </c>
      <c r="B92" t="n">
        <v>1.5081</v>
      </c>
      <c r="C92" t="n">
        <v>1.7724</v>
      </c>
    </row>
    <row r="93">
      <c r="A93" t="n">
        <v>1.4789</v>
      </c>
      <c r="B93" t="n">
        <v>1.4835</v>
      </c>
      <c r="C93" t="n">
        <v>1.4973</v>
      </c>
    </row>
    <row r="94">
      <c r="A94" t="n">
        <v>1.7276</v>
      </c>
      <c r="B94" t="n">
        <v>1.4417</v>
      </c>
      <c r="C94" t="n">
        <v>1.4673</v>
      </c>
    </row>
    <row r="95">
      <c r="A95" t="n">
        <v>1.7783</v>
      </c>
      <c r="B95" t="n">
        <v>1.6163</v>
      </c>
      <c r="C95" t="n">
        <v>1.4592</v>
      </c>
    </row>
    <row r="96">
      <c r="A96" t="n">
        <v>1.8276</v>
      </c>
      <c r="B96" t="n">
        <v>1.8083</v>
      </c>
      <c r="C96" t="n">
        <v>1.6307</v>
      </c>
    </row>
    <row r="97">
      <c r="A97" t="n">
        <v>1.5718</v>
      </c>
      <c r="B97" t="n">
        <v>1.5068</v>
      </c>
      <c r="C97" t="n">
        <v>1.7742</v>
      </c>
    </row>
    <row r="98">
      <c r="A98" t="n">
        <v>2.0898</v>
      </c>
      <c r="B98" t="n">
        <v>1.4345</v>
      </c>
      <c r="C98" t="n">
        <v>1.8233</v>
      </c>
    </row>
    <row r="99">
      <c r="A99" t="n">
        <v>1.8441</v>
      </c>
      <c r="B99" t="n">
        <v>1.4594</v>
      </c>
      <c r="C99" t="n">
        <v>1.4577</v>
      </c>
    </row>
    <row r="100">
      <c r="A100" t="n">
        <v>1.7703</v>
      </c>
      <c r="B100" t="n">
        <v>1.6704</v>
      </c>
      <c r="C100" t="n">
        <v>1.7362</v>
      </c>
    </row>
    <row r="101">
      <c r="A101" t="n">
        <v>1.7949</v>
      </c>
      <c r="B101" t="n">
        <v>1.7129</v>
      </c>
      <c r="C101" t="n">
        <v>1.5707</v>
      </c>
    </row>
    <row r="102">
      <c r="A102" t="n">
        <v>1.7339</v>
      </c>
      <c r="B102" t="n">
        <v>1.4971</v>
      </c>
      <c r="C102" t="n">
        <v>1.4328</v>
      </c>
    </row>
    <row r="103">
      <c r="A103" t="n">
        <v>1.5682</v>
      </c>
      <c r="B103" t="n">
        <v>1.4716</v>
      </c>
      <c r="C103" t="n">
        <v>1.4377</v>
      </c>
    </row>
    <row r="104">
      <c r="A104" t="n">
        <v>1.4497</v>
      </c>
      <c r="B104" t="n">
        <v>1.4348</v>
      </c>
      <c r="C104" t="n">
        <v>1.4436</v>
      </c>
    </row>
    <row r="105">
      <c r="A105" t="n">
        <v>1.4755</v>
      </c>
      <c r="B105" t="n">
        <v>1.6279</v>
      </c>
      <c r="C105" t="n">
        <v>1.432</v>
      </c>
    </row>
    <row r="106">
      <c r="A106" t="n">
        <v>1.4644</v>
      </c>
      <c r="B106" t="n">
        <v>1.5476</v>
      </c>
      <c r="C106" t="n">
        <v>1.6307</v>
      </c>
    </row>
    <row r="107">
      <c r="A107" t="n">
        <v>1.4708</v>
      </c>
      <c r="B107" t="n">
        <v>1.4289</v>
      </c>
      <c r="C107" t="n">
        <v>1.6817</v>
      </c>
    </row>
    <row r="108">
      <c r="A108" t="n">
        <v>1.7985</v>
      </c>
      <c r="B108" t="n">
        <v>1.4606</v>
      </c>
      <c r="C108" t="n">
        <v>1.4752</v>
      </c>
    </row>
    <row r="109">
      <c r="A109" t="n">
        <v>1.7915</v>
      </c>
      <c r="B109" t="n">
        <v>1.421</v>
      </c>
      <c r="C109" t="n">
        <v>1.4332</v>
      </c>
    </row>
    <row r="110">
      <c r="A110" t="n">
        <v>1.7035</v>
      </c>
      <c r="B110" t="n">
        <v>1.4043</v>
      </c>
      <c r="C110" t="n">
        <v>1.4344</v>
      </c>
    </row>
    <row r="111">
      <c r="A111" t="n">
        <v>1.5549</v>
      </c>
      <c r="B111" t="n">
        <v>1.4799</v>
      </c>
      <c r="C111" t="n">
        <v>1.413</v>
      </c>
    </row>
    <row r="112">
      <c r="A112" t="n">
        <v>1.7462</v>
      </c>
      <c r="B112" t="n">
        <v>1.4817</v>
      </c>
      <c r="C112" t="n">
        <v>1.4771</v>
      </c>
    </row>
    <row r="113">
      <c r="A113" t="n">
        <v>1.7776</v>
      </c>
      <c r="B113" t="n">
        <v>1.6752</v>
      </c>
      <c r="C113" t="n">
        <v>1.6544</v>
      </c>
    </row>
    <row r="114">
      <c r="A114" t="n">
        <v>1.7362</v>
      </c>
      <c r="B114" t="n">
        <v>2.0764</v>
      </c>
      <c r="C114" t="n">
        <v>1.5132</v>
      </c>
    </row>
    <row r="115">
      <c r="A115" t="n">
        <v>1.5672</v>
      </c>
      <c r="B115" t="n">
        <v>1.6763</v>
      </c>
      <c r="C115" t="n">
        <v>1.7077</v>
      </c>
    </row>
    <row r="116">
      <c r="A116" t="n">
        <v>1.4437</v>
      </c>
      <c r="B116" t="n">
        <v>1.4972</v>
      </c>
      <c r="C116" t="n">
        <v>1.6984</v>
      </c>
    </row>
    <row r="117">
      <c r="A117" t="n">
        <v>1.4636</v>
      </c>
      <c r="B117" t="n">
        <v>1.6554</v>
      </c>
      <c r="C117" t="n">
        <v>1.5192</v>
      </c>
    </row>
    <row r="118">
      <c r="A118" t="n">
        <v>1.471</v>
      </c>
      <c r="B118" t="n">
        <v>1.4798</v>
      </c>
      <c r="C118" t="n">
        <v>1.6424</v>
      </c>
    </row>
    <row r="119">
      <c r="A119" t="n">
        <v>1.511</v>
      </c>
      <c r="B119" t="n">
        <v>1.4298</v>
      </c>
      <c r="C119" t="n">
        <v>1.514</v>
      </c>
    </row>
    <row r="120">
      <c r="A120" t="n">
        <v>1.7515</v>
      </c>
      <c r="B120" t="n">
        <v>1.6653</v>
      </c>
      <c r="C120" t="n">
        <v>1.456</v>
      </c>
    </row>
    <row r="121">
      <c r="A121" t="n">
        <v>1.7996</v>
      </c>
      <c r="B121" t="n">
        <v>1.537</v>
      </c>
      <c r="C121" t="n">
        <v>1.6171</v>
      </c>
    </row>
    <row r="122">
      <c r="A122" t="n">
        <v>1.7433</v>
      </c>
      <c r="B122" t="n">
        <v>1.6029</v>
      </c>
      <c r="C122" t="n">
        <v>1.5331</v>
      </c>
    </row>
    <row r="123">
      <c r="A123" t="n">
        <v>1.6211</v>
      </c>
      <c r="B123" t="n">
        <v>1.485</v>
      </c>
      <c r="C123" t="n">
        <v>1.6801</v>
      </c>
    </row>
    <row r="124">
      <c r="A124" t="n">
        <v>1.4745</v>
      </c>
      <c r="B124" t="n">
        <v>1.4159</v>
      </c>
      <c r="C124" t="n">
        <v>1.5074</v>
      </c>
    </row>
    <row r="125">
      <c r="A125" t="n">
        <v>1.4483</v>
      </c>
      <c r="B125" t="n">
        <v>1.4069</v>
      </c>
      <c r="C125" t="n">
        <v>1.4578</v>
      </c>
    </row>
    <row r="126">
      <c r="A126" t="n">
        <v>1.4755</v>
      </c>
      <c r="B126" t="n">
        <v>1.4228</v>
      </c>
      <c r="C126" t="n">
        <v>1.3781</v>
      </c>
    </row>
    <row r="127">
      <c r="A127" t="n">
        <v>1.7555</v>
      </c>
      <c r="B127" t="n">
        <v>1.4471</v>
      </c>
      <c r="C127" t="n">
        <v>1.4217</v>
      </c>
    </row>
    <row r="128">
      <c r="A128" t="n">
        <v>1.5581</v>
      </c>
      <c r="B128" t="n">
        <v>1.6654</v>
      </c>
      <c r="C128" t="n">
        <v>1.474</v>
      </c>
    </row>
    <row r="129">
      <c r="A129" t="n">
        <v>1.7626</v>
      </c>
      <c r="B129" t="n">
        <v>1.6721</v>
      </c>
      <c r="C129" t="n">
        <v>1.3927</v>
      </c>
    </row>
    <row r="130">
      <c r="A130" t="n">
        <v>1.88</v>
      </c>
      <c r="B130" t="n">
        <v>1.4982</v>
      </c>
      <c r="C130" t="n">
        <v>2.0066</v>
      </c>
    </row>
    <row r="131">
      <c r="A131" t="n">
        <v>1.6897</v>
      </c>
      <c r="B131" t="n">
        <v>1.4385</v>
      </c>
      <c r="C131" t="n">
        <v>1.7806</v>
      </c>
    </row>
    <row r="132">
      <c r="A132" t="n">
        <v>1.5711</v>
      </c>
      <c r="B132" t="n">
        <v>1.4414</v>
      </c>
      <c r="C132" t="n">
        <v>1.5096</v>
      </c>
    </row>
    <row r="133">
      <c r="A133" t="n">
        <v>1.4779</v>
      </c>
      <c r="B133" t="n">
        <v>1.6626</v>
      </c>
      <c r="C133" t="n">
        <v>1.6272</v>
      </c>
    </row>
    <row r="134">
      <c r="A134" t="n">
        <v>1.4714</v>
      </c>
      <c r="B134" t="n">
        <v>1.7528</v>
      </c>
      <c r="C134" t="n">
        <v>1.5405</v>
      </c>
    </row>
    <row r="135">
      <c r="A135" t="n">
        <v>1.4937</v>
      </c>
      <c r="B135" t="n">
        <v>1.4845</v>
      </c>
      <c r="C135" t="n">
        <v>1.4146</v>
      </c>
    </row>
    <row r="136">
      <c r="A136" t="n">
        <v>1.5004</v>
      </c>
      <c r="B136" t="n">
        <v>1.4389</v>
      </c>
      <c r="C136" t="n">
        <v>1.426</v>
      </c>
    </row>
    <row r="137">
      <c r="A137" t="n">
        <v>1.494</v>
      </c>
      <c r="B137" t="n">
        <v>1.4217</v>
      </c>
      <c r="C137" t="n">
        <v>1.4416</v>
      </c>
    </row>
    <row r="138">
      <c r="A138" t="n">
        <v>1.5134</v>
      </c>
      <c r="B138" t="n">
        <v>1.6701</v>
      </c>
      <c r="C138" t="n">
        <v>1.4484</v>
      </c>
    </row>
    <row r="139">
      <c r="A139" t="n">
        <v>1.5262</v>
      </c>
      <c r="B139" t="n">
        <v>1.8812</v>
      </c>
      <c r="C139" t="n">
        <v>1.6809</v>
      </c>
    </row>
    <row r="140">
      <c r="A140" t="n">
        <v>1.5259</v>
      </c>
      <c r="B140" t="n">
        <v>1.4918</v>
      </c>
      <c r="C140" t="n">
        <v>1.671</v>
      </c>
    </row>
    <row r="141">
      <c r="A141" t="n">
        <v>1.5736</v>
      </c>
      <c r="B141" t="n">
        <v>1.4615</v>
      </c>
      <c r="C141" t="n">
        <v>1.4767</v>
      </c>
    </row>
    <row r="142">
      <c r="A142" t="n">
        <v>1.5215</v>
      </c>
      <c r="B142" t="n">
        <v>1.4471</v>
      </c>
      <c r="C142" t="n">
        <v>1.4488</v>
      </c>
    </row>
    <row r="143">
      <c r="A143" t="n">
        <v>1.5842</v>
      </c>
      <c r="B143" t="n">
        <v>1.6131</v>
      </c>
      <c r="C143" t="n">
        <v>1.4373</v>
      </c>
    </row>
    <row r="144">
      <c r="A144" t="n">
        <v>1.8313</v>
      </c>
      <c r="B144" t="n">
        <v>1.738</v>
      </c>
      <c r="C144" t="n">
        <v>1.5924</v>
      </c>
    </row>
    <row r="145">
      <c r="A145" t="n">
        <v>1.7974</v>
      </c>
      <c r="B145" t="n">
        <v>1.5284</v>
      </c>
      <c r="C145" t="n">
        <v>1.5775</v>
      </c>
    </row>
    <row r="146">
      <c r="A146" t="n">
        <v>1.7136</v>
      </c>
      <c r="B146" t="n">
        <v>1.7666</v>
      </c>
      <c r="C146" t="n">
        <v>1.4149</v>
      </c>
    </row>
    <row r="147">
      <c r="A147" t="n">
        <v>1.5578</v>
      </c>
      <c r="B147" t="n">
        <v>1.6109</v>
      </c>
      <c r="C147" t="n">
        <v>1.4278</v>
      </c>
    </row>
    <row r="148">
      <c r="A148" t="n">
        <v>1.5314</v>
      </c>
      <c r="B148" t="n">
        <v>1.5295</v>
      </c>
      <c r="C148" t="n">
        <v>1.4176</v>
      </c>
    </row>
    <row r="149">
      <c r="A149" t="n">
        <v>1.4631</v>
      </c>
      <c r="B149" t="n">
        <v>1.636</v>
      </c>
      <c r="C149" t="n">
        <v>1.4528</v>
      </c>
    </row>
    <row r="150">
      <c r="A150" t="n">
        <v>1.5125</v>
      </c>
      <c r="B150" t="n">
        <v>1.7581</v>
      </c>
      <c r="C150" t="n">
        <v>1.438</v>
      </c>
    </row>
    <row r="151">
      <c r="A151" t="n">
        <v>1.4787</v>
      </c>
      <c r="B151" t="n">
        <v>1.5272</v>
      </c>
      <c r="C151" t="n">
        <v>1.4464</v>
      </c>
    </row>
    <row r="152">
      <c r="A152" t="n">
        <v>1.5179</v>
      </c>
      <c r="B152" t="n">
        <v>1.5979</v>
      </c>
      <c r="C152" t="n">
        <v>1.6521</v>
      </c>
    </row>
    <row r="153">
      <c r="A153" t="n">
        <v>1.7224</v>
      </c>
      <c r="B153" t="n">
        <v>1.4913</v>
      </c>
      <c r="C153" t="n">
        <v>1.8195</v>
      </c>
    </row>
    <row r="154">
      <c r="A154" t="n">
        <v>1.7518</v>
      </c>
      <c r="B154" t="n">
        <v>1.414</v>
      </c>
      <c r="C154" t="n">
        <v>1.4804</v>
      </c>
    </row>
    <row r="155">
      <c r="A155" t="n">
        <v>1.5377</v>
      </c>
      <c r="B155" t="n">
        <v>1.396</v>
      </c>
      <c r="C155" t="n">
        <v>1.4704</v>
      </c>
    </row>
    <row r="156">
      <c r="A156" t="n">
        <v>1.7382</v>
      </c>
      <c r="B156" t="n">
        <v>1.4772</v>
      </c>
      <c r="C156" t="n">
        <v>1.4543</v>
      </c>
    </row>
    <row r="157">
      <c r="A157" t="n">
        <v>1.5159</v>
      </c>
      <c r="B157" t="n">
        <v>1.4594</v>
      </c>
      <c r="C157" t="n">
        <v>1.6685</v>
      </c>
    </row>
    <row r="158">
      <c r="A158" t="n">
        <v>1.4604</v>
      </c>
      <c r="B158" t="n">
        <v>1.6738</v>
      </c>
      <c r="C158" t="n">
        <v>1.6754</v>
      </c>
    </row>
    <row r="159">
      <c r="A159" t="n">
        <v>1.4418</v>
      </c>
      <c r="B159" t="n">
        <v>1.6717</v>
      </c>
      <c r="C159" t="n">
        <v>1.4675</v>
      </c>
    </row>
    <row r="160">
      <c r="A160" t="n">
        <v>1.4666</v>
      </c>
      <c r="B160" t="n">
        <v>1.4855</v>
      </c>
      <c r="C160" t="n">
        <v>1.4381</v>
      </c>
    </row>
    <row r="161">
      <c r="A161" t="n">
        <v>1.689</v>
      </c>
      <c r="B161" t="n">
        <v>1.4547</v>
      </c>
      <c r="C161" t="n">
        <v>1.4301</v>
      </c>
    </row>
    <row r="162">
      <c r="A162" t="n">
        <v>1.8756</v>
      </c>
      <c r="B162" t="n">
        <v>1.4327</v>
      </c>
      <c r="C162" t="n">
        <v>1.709</v>
      </c>
    </row>
    <row r="163">
      <c r="A163" t="n">
        <v>1.5015</v>
      </c>
      <c r="B163" t="n">
        <v>1.6404</v>
      </c>
      <c r="C163" t="n">
        <v>1.4643</v>
      </c>
    </row>
    <row r="164">
      <c r="A164" t="n">
        <v>1.4408</v>
      </c>
      <c r="B164" t="n">
        <v>1.7806</v>
      </c>
      <c r="C164" t="n">
        <v>1.6729</v>
      </c>
    </row>
    <row r="165">
      <c r="A165" t="n">
        <v>1.4883</v>
      </c>
      <c r="B165" t="n">
        <v>1.478</v>
      </c>
      <c r="C165" t="n">
        <v>1.4674</v>
      </c>
    </row>
    <row r="166">
      <c r="A166" t="n">
        <v>1.7892</v>
      </c>
      <c r="B166" t="n">
        <v>1.4437</v>
      </c>
      <c r="C166" t="n">
        <v>1.4392</v>
      </c>
    </row>
    <row r="167">
      <c r="A167" t="n">
        <v>1.5437</v>
      </c>
      <c r="B167" t="n">
        <v>1.4291</v>
      </c>
      <c r="C167" t="n">
        <v>1.6226</v>
      </c>
    </row>
    <row r="168">
      <c r="A168" t="n">
        <v>1.5331</v>
      </c>
      <c r="B168" t="n">
        <v>1.6182</v>
      </c>
      <c r="C168" t="n">
        <v>1.5309</v>
      </c>
    </row>
    <row r="169">
      <c r="A169" t="n">
        <v>1.4595</v>
      </c>
      <c r="B169" t="n">
        <v>1.7529</v>
      </c>
      <c r="C169" t="n">
        <v>1.6228</v>
      </c>
    </row>
    <row r="170">
      <c r="A170" t="n">
        <v>1.4735</v>
      </c>
      <c r="B170" t="n">
        <v>1.5031</v>
      </c>
      <c r="C170" t="n">
        <v>1.5256</v>
      </c>
    </row>
    <row r="171">
      <c r="A171" t="n">
        <v>1.725</v>
      </c>
      <c r="B171" t="n">
        <v>1.5068</v>
      </c>
      <c r="C171" t="n">
        <v>1.4346</v>
      </c>
    </row>
    <row r="172">
      <c r="A172" t="n">
        <v>1.5503</v>
      </c>
      <c r="B172" t="n">
        <v>1.4407</v>
      </c>
      <c r="C172" t="n">
        <v>1.4216</v>
      </c>
    </row>
    <row r="173">
      <c r="A173" t="n">
        <v>1.4703</v>
      </c>
      <c r="B173" t="n">
        <v>1.6255</v>
      </c>
      <c r="C173" t="n">
        <v>1.4466</v>
      </c>
    </row>
    <row r="174">
      <c r="A174" t="n">
        <v>1.4494</v>
      </c>
      <c r="B174" t="n">
        <v>1.7665</v>
      </c>
      <c r="C174" t="n">
        <v>1.4394</v>
      </c>
    </row>
    <row r="175">
      <c r="A175" t="n">
        <v>1.4598</v>
      </c>
      <c r="B175" t="n">
        <v>1.5018</v>
      </c>
      <c r="C175" t="n">
        <v>1.6602</v>
      </c>
    </row>
    <row r="176">
      <c r="A176" t="n">
        <v>1.4857</v>
      </c>
      <c r="B176" t="n">
        <v>1.4297</v>
      </c>
      <c r="C176" t="n">
        <v>1.6877</v>
      </c>
    </row>
    <row r="177">
      <c r="A177" t="n">
        <v>1.5354</v>
      </c>
      <c r="B177" t="n">
        <v>1.4473</v>
      </c>
      <c r="C177" t="n">
        <v>1.482</v>
      </c>
    </row>
    <row r="178">
      <c r="A178" t="n">
        <v>1.5139</v>
      </c>
      <c r="B178" t="n">
        <v>1.9775</v>
      </c>
      <c r="C178" t="n">
        <v>1.4476</v>
      </c>
    </row>
    <row r="179">
      <c r="A179" t="n">
        <v>1.4779</v>
      </c>
      <c r="B179" t="n">
        <v>1.6964</v>
      </c>
      <c r="C179" t="n">
        <v>1.4307</v>
      </c>
    </row>
    <row r="180">
      <c r="A180" t="n">
        <v>1.4939</v>
      </c>
      <c r="B180" t="n">
        <v>1.7878</v>
      </c>
      <c r="C180" t="n">
        <v>1.6174</v>
      </c>
    </row>
    <row r="181">
      <c r="A181" t="n">
        <v>1.5479</v>
      </c>
      <c r="B181" t="n">
        <v>1.521</v>
      </c>
      <c r="C181" t="n">
        <v>1.5855</v>
      </c>
    </row>
    <row r="182">
      <c r="A182" t="n">
        <v>1.4828</v>
      </c>
      <c r="B182" t="n">
        <v>1.6589</v>
      </c>
      <c r="C182" t="n">
        <v>1.4356</v>
      </c>
    </row>
    <row r="183">
      <c r="A183" t="n">
        <v>1.5291</v>
      </c>
      <c r="B183" t="n">
        <v>1.4935</v>
      </c>
      <c r="C183" t="n">
        <v>1.4189</v>
      </c>
    </row>
    <row r="184">
      <c r="A184" t="n">
        <v>1.8111</v>
      </c>
      <c r="B184" t="n">
        <v>1.442</v>
      </c>
      <c r="C184" t="n">
        <v>1.6533</v>
      </c>
    </row>
    <row r="185">
      <c r="A185" t="n">
        <v>1.5255</v>
      </c>
      <c r="B185" t="n">
        <v>1.3836</v>
      </c>
      <c r="C185" t="n">
        <v>1.6511</v>
      </c>
    </row>
    <row r="186">
      <c r="A186" t="n">
        <v>1.4918</v>
      </c>
      <c r="B186" t="n">
        <v>1.4417</v>
      </c>
      <c r="C186" t="n">
        <v>1.5192</v>
      </c>
    </row>
    <row r="187">
      <c r="A187" t="n">
        <v>1.7492</v>
      </c>
      <c r="B187" t="n">
        <v>1.4311</v>
      </c>
      <c r="C187" t="n">
        <v>1.6176</v>
      </c>
    </row>
    <row r="188">
      <c r="A188" t="n">
        <v>1.7597</v>
      </c>
      <c r="B188" t="n">
        <v>1.6637</v>
      </c>
      <c r="C188" t="n">
        <v>1.5044</v>
      </c>
    </row>
    <row r="189">
      <c r="A189" t="n">
        <v>1.5237</v>
      </c>
      <c r="B189" t="n">
        <v>1.6568</v>
      </c>
      <c r="C189" t="n">
        <v>1.4378</v>
      </c>
    </row>
    <row r="190">
      <c r="A190" t="n">
        <v>1.4797</v>
      </c>
      <c r="B190" t="n">
        <v>1.5333</v>
      </c>
      <c r="C190" t="n">
        <v>1.4191</v>
      </c>
    </row>
    <row r="191">
      <c r="A191" t="n">
        <v>1.4502</v>
      </c>
      <c r="B191" t="n">
        <v>1.4223</v>
      </c>
      <c r="C191" t="n">
        <v>1.4754</v>
      </c>
    </row>
    <row r="192">
      <c r="A192" t="n">
        <v>1.7492</v>
      </c>
      <c r="B192" t="n">
        <v>1.4365</v>
      </c>
      <c r="C192" t="n">
        <v>1.442</v>
      </c>
    </row>
    <row r="193">
      <c r="A193" t="n">
        <v>1.7153</v>
      </c>
      <c r="B193" t="n">
        <v>1.6673</v>
      </c>
      <c r="C193" t="n">
        <v>1.4061</v>
      </c>
    </row>
    <row r="194">
      <c r="A194" t="n">
        <v>2.0929</v>
      </c>
      <c r="B194" t="n">
        <v>1.7325</v>
      </c>
      <c r="C194" t="n">
        <v>2.069</v>
      </c>
    </row>
    <row r="195">
      <c r="A195" t="n">
        <v>1.7362</v>
      </c>
      <c r="B195" t="n">
        <v>1.5014</v>
      </c>
      <c r="C195" t="n">
        <v>1.6669</v>
      </c>
    </row>
    <row r="196">
      <c r="A196" t="n">
        <v>1.5378</v>
      </c>
      <c r="B196" t="n">
        <v>1.4332</v>
      </c>
      <c r="C196" t="n">
        <v>1.5261</v>
      </c>
    </row>
    <row r="197">
      <c r="A197" t="n">
        <v>1.4411</v>
      </c>
      <c r="B197" t="n">
        <v>1.4295</v>
      </c>
      <c r="C197" t="n">
        <v>1.6252</v>
      </c>
    </row>
    <row r="198">
      <c r="A198" t="n">
        <v>1.4647</v>
      </c>
      <c r="B198" t="n">
        <v>1.6215</v>
      </c>
      <c r="C198" t="n">
        <v>1.4953</v>
      </c>
    </row>
    <row r="199">
      <c r="A199" t="n">
        <v>1.7733</v>
      </c>
      <c r="B199" t="n">
        <v>1.5435</v>
      </c>
      <c r="C199" t="n">
        <v>1.4264</v>
      </c>
    </row>
    <row r="200">
      <c r="A200" t="n">
        <v>1.7107</v>
      </c>
      <c r="B200" t="n">
        <v>1.6237</v>
      </c>
      <c r="C200" t="n">
        <v>1.4218</v>
      </c>
    </row>
    <row r="201">
      <c r="A201" t="n">
        <v>1.7954</v>
      </c>
      <c r="B201" t="n">
        <v>1.5181</v>
      </c>
      <c r="C201" t="n">
        <v>1.4106</v>
      </c>
    </row>
    <row r="202">
      <c r="A202" t="n">
        <v>1.5902</v>
      </c>
      <c r="B202" t="n">
        <v>1.4323</v>
      </c>
      <c r="C202" t="n">
        <v>1.4244</v>
      </c>
    </row>
    <row r="203">
      <c r="A203" t="n">
        <v>1.7126</v>
      </c>
      <c r="B203" t="n">
        <v>1.3753</v>
      </c>
      <c r="C203" t="n">
        <v>1.7348</v>
      </c>
    </row>
    <row r="204">
      <c r="A204" t="n">
        <v>1.5128</v>
      </c>
      <c r="B204" t="n">
        <v>1.4263</v>
      </c>
      <c r="C204" t="n">
        <v>1.6418</v>
      </c>
    </row>
    <row r="205">
      <c r="A205" t="n">
        <v>1.4694</v>
      </c>
      <c r="B205" t="n">
        <v>1.4688</v>
      </c>
      <c r="C205" t="n">
        <v>1.4946</v>
      </c>
    </row>
    <row r="206">
      <c r="A206" t="n">
        <v>1.6557</v>
      </c>
      <c r="B206" t="n">
        <v>1.4117</v>
      </c>
      <c r="C206" t="n">
        <v>1.4367</v>
      </c>
    </row>
    <row r="207">
      <c r="A207" t="n">
        <v>1.6116</v>
      </c>
      <c r="B207" t="n">
        <v>1.4952</v>
      </c>
      <c r="C207" t="n">
        <v>1.4125</v>
      </c>
    </row>
    <row r="208">
      <c r="A208" t="n">
        <v>1.4679</v>
      </c>
      <c r="B208" t="n">
        <v>1.7036</v>
      </c>
      <c r="C208" t="n">
        <v>1.6462</v>
      </c>
    </row>
    <row r="209">
      <c r="A209" t="n">
        <v>1.4451</v>
      </c>
      <c r="B209" t="n">
        <v>1.4913</v>
      </c>
      <c r="C209" t="n">
        <v>1.658</v>
      </c>
    </row>
    <row r="210">
      <c r="A210" t="n">
        <v>1.4682</v>
      </c>
      <c r="B210" t="n">
        <v>1.788</v>
      </c>
      <c r="C210" t="n">
        <v>1.422</v>
      </c>
    </row>
    <row r="211">
      <c r="A211" t="n">
        <v>1.4392</v>
      </c>
      <c r="B211" t="n">
        <v>1.406</v>
      </c>
      <c r="C211" t="n">
        <v>1.4145</v>
      </c>
    </row>
    <row r="212">
      <c r="A212" t="n">
        <v>1.4317</v>
      </c>
      <c r="B212" t="n">
        <v>1.4245</v>
      </c>
      <c r="C212" t="n">
        <v>1.4154</v>
      </c>
    </row>
    <row r="213">
      <c r="A213" t="n">
        <v>1.5187</v>
      </c>
      <c r="B213" t="n">
        <v>1.6449</v>
      </c>
      <c r="C213" t="n">
        <v>1.3981</v>
      </c>
    </row>
    <row r="214">
      <c r="A214" t="n">
        <v>1.447</v>
      </c>
      <c r="B214" t="n">
        <v>1.5221</v>
      </c>
      <c r="C214" t="n">
        <v>1.4543</v>
      </c>
    </row>
    <row r="215">
      <c r="A215" t="n">
        <v>1.4933</v>
      </c>
      <c r="B215" t="n">
        <v>1.4475</v>
      </c>
      <c r="C215" t="n">
        <v>1.4758</v>
      </c>
    </row>
    <row r="216">
      <c r="A216" t="n">
        <v>1.7534</v>
      </c>
      <c r="B216" t="n">
        <v>1.4041</v>
      </c>
      <c r="C216" t="n">
        <v>1.7187</v>
      </c>
    </row>
    <row r="217">
      <c r="A217" t="n">
        <v>1.5364</v>
      </c>
      <c r="B217" t="n">
        <v>1.4462</v>
      </c>
      <c r="C217" t="n">
        <v>1.7462</v>
      </c>
    </row>
    <row r="218">
      <c r="A218" t="n">
        <v>1.465</v>
      </c>
      <c r="B218" t="n">
        <v>1.4085</v>
      </c>
      <c r="C218" t="n">
        <v>1.5012</v>
      </c>
    </row>
    <row r="219">
      <c r="A219" t="n">
        <v>1.7784</v>
      </c>
      <c r="B219" t="n">
        <v>1.4257</v>
      </c>
      <c r="C219" t="n">
        <v>1.428</v>
      </c>
    </row>
    <row r="220">
      <c r="A220" t="n">
        <v>1.7424</v>
      </c>
      <c r="B220" t="n">
        <v>1.5036</v>
      </c>
      <c r="C220" t="n">
        <v>1.4471</v>
      </c>
    </row>
    <row r="221">
      <c r="A221" t="n">
        <v>1.5639</v>
      </c>
      <c r="B221" t="n">
        <v>1.6749</v>
      </c>
      <c r="C221" t="n">
        <v>1.6463</v>
      </c>
    </row>
    <row r="222">
      <c r="A222" t="n">
        <v>1.5067</v>
      </c>
      <c r="B222" t="n">
        <v>1.491</v>
      </c>
      <c r="C222" t="n">
        <v>1.6861</v>
      </c>
    </row>
    <row r="223">
      <c r="A223" t="n">
        <v>1.7394</v>
      </c>
      <c r="B223" t="n">
        <v>1.4552</v>
      </c>
      <c r="C223" t="n">
        <v>1.4809</v>
      </c>
    </row>
    <row r="224">
      <c r="A224" t="n">
        <v>1.5162</v>
      </c>
      <c r="B224" t="n">
        <v>1.6217</v>
      </c>
      <c r="C224" t="n">
        <v>1.4544</v>
      </c>
    </row>
    <row r="225">
      <c r="A225" t="n">
        <v>1.4497</v>
      </c>
      <c r="B225" t="n">
        <v>1.5366</v>
      </c>
      <c r="C225" t="n">
        <v>1.4349</v>
      </c>
    </row>
    <row r="226">
      <c r="A226" t="n">
        <v>2.0505</v>
      </c>
      <c r="B226" t="n">
        <v>1.6497</v>
      </c>
      <c r="C226" t="n">
        <v>1.9917</v>
      </c>
    </row>
    <row r="227">
      <c r="A227" t="n">
        <v>1.8273</v>
      </c>
      <c r="B227" t="n">
        <v>1.4917</v>
      </c>
      <c r="C227" t="n">
        <v>1.7119</v>
      </c>
    </row>
    <row r="228">
      <c r="A228" t="n">
        <v>1.5196</v>
      </c>
      <c r="B228" t="n">
        <v>1.4433</v>
      </c>
      <c r="C228" t="n">
        <v>1.8251</v>
      </c>
    </row>
    <row r="229">
      <c r="A229" t="n">
        <v>1.4673</v>
      </c>
      <c r="B229" t="n">
        <v>1.3959</v>
      </c>
      <c r="C229" t="n">
        <v>1.5293</v>
      </c>
    </row>
    <row r="230">
      <c r="A230" t="n">
        <v>1.448</v>
      </c>
      <c r="B230" t="n">
        <v>1.4301</v>
      </c>
      <c r="C230" t="n">
        <v>1.6365</v>
      </c>
    </row>
    <row r="231">
      <c r="A231" t="n">
        <v>1.7538</v>
      </c>
      <c r="B231" t="n">
        <v>1.4581</v>
      </c>
      <c r="C231" t="n">
        <v>1.5128</v>
      </c>
    </row>
    <row r="232">
      <c r="A232" t="n">
        <v>1.7464</v>
      </c>
      <c r="B232" t="n">
        <v>1.7358</v>
      </c>
      <c r="C232" t="n">
        <v>1.4499</v>
      </c>
    </row>
    <row r="233">
      <c r="A233" t="n">
        <v>1.832</v>
      </c>
      <c r="B233" t="n">
        <v>1.6756</v>
      </c>
      <c r="C233" t="n">
        <v>1.3956</v>
      </c>
    </row>
    <row r="234">
      <c r="A234" t="n">
        <v>1.5397</v>
      </c>
      <c r="B234" t="n">
        <v>1.4897</v>
      </c>
      <c r="C234" t="n">
        <v>1.4215</v>
      </c>
    </row>
    <row r="235">
      <c r="A235" t="n">
        <v>1.7252</v>
      </c>
      <c r="B235" t="n">
        <v>1.4296</v>
      </c>
      <c r="C235" t="n">
        <v>1.4223</v>
      </c>
    </row>
    <row r="236">
      <c r="A236" t="n">
        <v>1.5233</v>
      </c>
      <c r="B236" t="n">
        <v>1.4052</v>
      </c>
      <c r="C236" t="n">
        <v>1.4095</v>
      </c>
    </row>
    <row r="237">
      <c r="A237" t="n">
        <v>1.4852</v>
      </c>
      <c r="B237" t="n">
        <v>1.6362</v>
      </c>
      <c r="C237" t="n">
        <v>1.4399</v>
      </c>
    </row>
    <row r="238">
      <c r="A238" t="n">
        <v>1.7327</v>
      </c>
      <c r="B238" t="n">
        <v>1.6961</v>
      </c>
      <c r="C238" t="n">
        <v>1.6449</v>
      </c>
    </row>
    <row r="239">
      <c r="A239" t="n">
        <v>1.7622</v>
      </c>
      <c r="B239" t="n">
        <v>1.4526</v>
      </c>
      <c r="C239" t="n">
        <v>1.4903</v>
      </c>
    </row>
    <row r="240">
      <c r="A240" t="n">
        <v>1.5486</v>
      </c>
      <c r="B240" t="n">
        <v>1.4493</v>
      </c>
      <c r="C240" t="n">
        <v>1.3919</v>
      </c>
    </row>
    <row r="241">
      <c r="A241" t="n">
        <v>1.4711</v>
      </c>
      <c r="B241" t="n">
        <v>1.4322</v>
      </c>
      <c r="C241" t="n">
        <v>1.4304</v>
      </c>
    </row>
    <row r="242">
      <c r="A242" t="n">
        <v>1.4625</v>
      </c>
      <c r="B242" t="n">
        <v>1.9541</v>
      </c>
      <c r="C242" t="n">
        <v>1.4276</v>
      </c>
    </row>
    <row r="243">
      <c r="A243" t="n">
        <v>1.715</v>
      </c>
      <c r="B243" t="n">
        <v>1.7381</v>
      </c>
      <c r="C243" t="n">
        <v>1.3988</v>
      </c>
    </row>
    <row r="244">
      <c r="A244" t="n">
        <v>1.7233</v>
      </c>
      <c r="B244" t="n">
        <v>1.8929</v>
      </c>
      <c r="C244" t="n">
        <v>1.4344</v>
      </c>
    </row>
    <row r="245">
      <c r="A245" t="n">
        <v>1.78</v>
      </c>
      <c r="B245" t="n">
        <v>1.4964</v>
      </c>
      <c r="C245" t="n">
        <v>1.5303</v>
      </c>
    </row>
    <row r="246">
      <c r="A246" t="n">
        <v>1.5429</v>
      </c>
      <c r="B246" t="n">
        <v>1.6807</v>
      </c>
      <c r="C246" t="n">
        <v>1.6115</v>
      </c>
    </row>
    <row r="247">
      <c r="A247" t="n">
        <v>1.7529</v>
      </c>
      <c r="B247" t="n">
        <v>1.5048</v>
      </c>
      <c r="C247" t="n">
        <v>1.5351</v>
      </c>
    </row>
    <row r="248">
      <c r="A248" t="n">
        <v>1.5208</v>
      </c>
      <c r="B248" t="n">
        <v>1.457</v>
      </c>
      <c r="C248" t="n">
        <v>1.4402</v>
      </c>
    </row>
    <row r="249">
      <c r="A249" t="n">
        <v>1.493</v>
      </c>
      <c r="B249" t="n">
        <v>1.6441</v>
      </c>
      <c r="C249" t="n">
        <v>1.3953</v>
      </c>
    </row>
    <row r="250">
      <c r="A250" t="n">
        <v>1.7245</v>
      </c>
      <c r="B250" t="n">
        <v>1.8584</v>
      </c>
      <c r="C250" t="n">
        <v>1.4293</v>
      </c>
    </row>
    <row r="251">
      <c r="A251" t="n">
        <v>1.7632</v>
      </c>
      <c r="B251" t="n">
        <v>1.4744</v>
      </c>
      <c r="C251" t="n">
        <v>1.4403</v>
      </c>
    </row>
    <row r="252">
      <c r="A252" t="n">
        <v>1.5281</v>
      </c>
      <c r="B252" t="n">
        <v>1.4437</v>
      </c>
      <c r="C252" t="n">
        <v>1.415</v>
      </c>
    </row>
    <row r="253">
      <c r="A253" t="n">
        <v>1.4756</v>
      </c>
      <c r="B253" t="n">
        <v>1.4352</v>
      </c>
      <c r="C253" t="n">
        <v>1.4887</v>
      </c>
    </row>
    <row r="254">
      <c r="A254" t="n">
        <v>1.4551</v>
      </c>
      <c r="B254" t="n">
        <v>1.5851</v>
      </c>
      <c r="C254" t="n">
        <v>1.6458</v>
      </c>
    </row>
    <row r="255">
      <c r="A255" t="n">
        <v>1.7529</v>
      </c>
      <c r="B255" t="n">
        <v>1.5559</v>
      </c>
      <c r="C255" t="n">
        <v>1.5004</v>
      </c>
    </row>
    <row r="256">
      <c r="A256" t="n">
        <v>1.7164</v>
      </c>
      <c r="B256" t="n">
        <v>1.6447</v>
      </c>
      <c r="C256" t="n">
        <v>1.443</v>
      </c>
    </row>
    <row r="257">
      <c r="A257" t="n">
        <v>1.5072</v>
      </c>
      <c r="B257" t="n">
        <v>1.4776</v>
      </c>
      <c r="C257" t="n">
        <v>1.4018</v>
      </c>
    </row>
    <row r="258">
      <c r="A258" t="n">
        <v>1.807</v>
      </c>
      <c r="B258" t="n">
        <v>1.4648</v>
      </c>
      <c r="C258" t="n">
        <v>1.7377</v>
      </c>
    </row>
    <row r="259">
      <c r="A259" t="n">
        <v>1.753</v>
      </c>
      <c r="B259" t="n">
        <v>1.3964</v>
      </c>
      <c r="C259" t="n">
        <v>1.4499</v>
      </c>
    </row>
    <row r="260">
      <c r="A260" t="n">
        <v>1.4971</v>
      </c>
      <c r="B260" t="n">
        <v>1.4053</v>
      </c>
      <c r="C260" t="n">
        <v>1.4825</v>
      </c>
    </row>
    <row r="261">
      <c r="A261" t="n">
        <v>1.4766</v>
      </c>
      <c r="B261" t="n">
        <v>1.4346</v>
      </c>
      <c r="C261" t="n">
        <v>1.7478</v>
      </c>
    </row>
    <row r="262">
      <c r="A262" t="n">
        <v>1.433</v>
      </c>
      <c r="B262" t="n">
        <v>1.6913</v>
      </c>
      <c r="C262" t="n">
        <v>1.7197</v>
      </c>
    </row>
    <row r="263">
      <c r="A263" t="n">
        <v>1.4253</v>
      </c>
      <c r="B263" t="n">
        <v>1.7073</v>
      </c>
      <c r="C263" t="n">
        <v>1.5499</v>
      </c>
    </row>
    <row r="264">
      <c r="A264" t="n">
        <v>1.4371</v>
      </c>
      <c r="B264" t="n">
        <v>1.4808</v>
      </c>
      <c r="C264" t="n">
        <v>1.6031</v>
      </c>
    </row>
    <row r="265">
      <c r="A265" t="n">
        <v>1.4953</v>
      </c>
      <c r="B265" t="n">
        <v>1.4291</v>
      </c>
      <c r="C265" t="n">
        <v>1.4904</v>
      </c>
    </row>
    <row r="266">
      <c r="A266" t="n">
        <v>1.7177</v>
      </c>
      <c r="B266" t="n">
        <v>1.4164</v>
      </c>
      <c r="C266" t="n">
        <v>1.4563</v>
      </c>
    </row>
    <row r="267">
      <c r="A267" t="n">
        <v>1.526</v>
      </c>
      <c r="B267" t="n">
        <v>1.6325</v>
      </c>
      <c r="C267" t="n">
        <v>1.4154</v>
      </c>
    </row>
    <row r="268">
      <c r="A268" t="n">
        <v>1.4569</v>
      </c>
      <c r="B268" t="n">
        <v>1.7249</v>
      </c>
      <c r="C268" t="n">
        <v>1.4293</v>
      </c>
    </row>
    <row r="269">
      <c r="A269" t="n">
        <v>1.4612</v>
      </c>
      <c r="B269" t="n">
        <v>1.465</v>
      </c>
      <c r="C269" t="n">
        <v>1.4308</v>
      </c>
    </row>
    <row r="270">
      <c r="A270" t="n">
        <v>1.714</v>
      </c>
      <c r="B270" t="n">
        <v>1.4404</v>
      </c>
      <c r="C270" t="n">
        <v>1.6446</v>
      </c>
    </row>
    <row r="271">
      <c r="A271" t="n">
        <v>1.7307</v>
      </c>
      <c r="B271" t="n">
        <v>1.4591</v>
      </c>
      <c r="C271" t="n">
        <v>1.7065</v>
      </c>
    </row>
    <row r="272">
      <c r="A272" t="n">
        <v>1.4911</v>
      </c>
      <c r="B272" t="n">
        <v>1.6807</v>
      </c>
      <c r="C272" t="n">
        <v>1.4936</v>
      </c>
    </row>
    <row r="273">
      <c r="A273" t="n">
        <v>1.4552</v>
      </c>
      <c r="B273" t="n">
        <v>1.8528</v>
      </c>
      <c r="C273" t="n">
        <v>1.4399</v>
      </c>
    </row>
    <row r="274">
      <c r="A274" t="n">
        <v>1.4856</v>
      </c>
      <c r="B274" t="n">
        <v>2.0421</v>
      </c>
      <c r="C274" t="n">
        <v>1.4658</v>
      </c>
    </row>
    <row r="275">
      <c r="A275" t="n">
        <v>1.7275</v>
      </c>
      <c r="B275" t="n">
        <v>1.8467</v>
      </c>
      <c r="C275" t="n">
        <v>1.6532</v>
      </c>
    </row>
    <row r="276">
      <c r="A276" t="n">
        <v>1.7362</v>
      </c>
      <c r="B276" t="n">
        <v>1.4858</v>
      </c>
      <c r="C276" t="n">
        <v>1.7618</v>
      </c>
    </row>
    <row r="277">
      <c r="A277" t="n">
        <v>1.8707</v>
      </c>
      <c r="B277" t="n">
        <v>1.4537</v>
      </c>
      <c r="C277" t="n">
        <v>1.483</v>
      </c>
    </row>
    <row r="278">
      <c r="A278" t="n">
        <v>1.5174</v>
      </c>
      <c r="B278" t="n">
        <v>1.4461</v>
      </c>
      <c r="C278" t="n">
        <v>1.4614</v>
      </c>
    </row>
    <row r="279">
      <c r="A279" t="n">
        <v>1.75</v>
      </c>
      <c r="B279" t="n">
        <v>1.6233</v>
      </c>
      <c r="C279" t="n">
        <v>1.4257</v>
      </c>
    </row>
    <row r="280">
      <c r="A280" t="n">
        <v>1.5094</v>
      </c>
      <c r="B280" t="n">
        <v>1.7634</v>
      </c>
      <c r="C280" t="n">
        <v>1.63</v>
      </c>
    </row>
    <row r="281">
      <c r="A281" t="n">
        <v>1.4528</v>
      </c>
      <c r="B281" t="n">
        <v>1.4827</v>
      </c>
      <c r="C281" t="n">
        <v>1.8406</v>
      </c>
    </row>
    <row r="282">
      <c r="A282" t="n">
        <v>1.6219</v>
      </c>
      <c r="B282" t="n">
        <v>1.4436</v>
      </c>
      <c r="C282" t="n">
        <v>1.4774</v>
      </c>
    </row>
    <row r="283">
      <c r="A283" t="n">
        <v>1.5697</v>
      </c>
      <c r="B283" t="n">
        <v>1.4323</v>
      </c>
      <c r="C283" t="n">
        <v>1.4429</v>
      </c>
    </row>
    <row r="284">
      <c r="A284" t="n">
        <v>1.6873</v>
      </c>
      <c r="B284" t="n">
        <v>1.6044</v>
      </c>
      <c r="C284" t="n">
        <v>1.4536</v>
      </c>
    </row>
    <row r="285">
      <c r="A285" t="n">
        <v>1.5009</v>
      </c>
      <c r="B285" t="n">
        <v>1.6163</v>
      </c>
      <c r="C285" t="n">
        <v>1.6073</v>
      </c>
    </row>
    <row r="286">
      <c r="A286" t="n">
        <v>1.4686</v>
      </c>
      <c r="B286" t="n">
        <v>1.4624</v>
      </c>
      <c r="C286" t="n">
        <v>1.8499</v>
      </c>
    </row>
    <row r="287">
      <c r="A287" t="n">
        <v>1.6367</v>
      </c>
      <c r="B287" t="n">
        <v>1.4133</v>
      </c>
      <c r="C287" t="n">
        <v>1.4943</v>
      </c>
    </row>
    <row r="288">
      <c r="A288" t="n">
        <v>1.5702</v>
      </c>
      <c r="B288" t="n">
        <v>1.4334</v>
      </c>
      <c r="C288" t="n">
        <v>1.4317</v>
      </c>
    </row>
    <row r="289">
      <c r="A289" t="n">
        <v>1.6999</v>
      </c>
      <c r="B289" t="n">
        <v>1.4178</v>
      </c>
      <c r="C289" t="n">
        <v>1.4815</v>
      </c>
    </row>
    <row r="290">
      <c r="A290" t="n">
        <v>1.8234</v>
      </c>
      <c r="B290" t="n">
        <v>1.4579</v>
      </c>
      <c r="C290" t="n">
        <v>2.0802</v>
      </c>
    </row>
    <row r="291">
      <c r="A291" t="n">
        <v>1.6823</v>
      </c>
      <c r="B291" t="n">
        <v>1.4516</v>
      </c>
      <c r="C291" t="n">
        <v>1.6917</v>
      </c>
    </row>
    <row r="292">
      <c r="A292" t="n">
        <v>1.5477</v>
      </c>
      <c r="B292" t="n">
        <v>1.6487</v>
      </c>
      <c r="C292" t="n">
        <v>1.6522</v>
      </c>
    </row>
    <row r="293">
      <c r="A293" t="n">
        <v>1.7384</v>
      </c>
      <c r="B293" t="n">
        <v>1.6902</v>
      </c>
      <c r="C293" t="n">
        <v>1.6004</v>
      </c>
    </row>
    <row r="294">
      <c r="A294" t="n">
        <v>1.6873</v>
      </c>
      <c r="B294" t="n">
        <v>1.4821</v>
      </c>
      <c r="C294" t="n">
        <v>1.398</v>
      </c>
    </row>
    <row r="295">
      <c r="A295" t="n">
        <v>1.605</v>
      </c>
      <c r="B295" t="n">
        <v>1.4277</v>
      </c>
      <c r="C295" t="n">
        <v>1.4555</v>
      </c>
    </row>
    <row r="296">
      <c r="A296" t="n">
        <v>1.4784</v>
      </c>
      <c r="B296" t="n">
        <v>1.4509</v>
      </c>
      <c r="C296" t="n">
        <v>1.4192</v>
      </c>
    </row>
    <row r="297">
      <c r="A297" t="n">
        <v>1.4635</v>
      </c>
      <c r="B297" t="n">
        <v>1.6768</v>
      </c>
      <c r="C297" t="n">
        <v>1.3981</v>
      </c>
    </row>
    <row r="298">
      <c r="A298" t="n">
        <v>1.4681</v>
      </c>
      <c r="B298" t="n">
        <v>1.8414</v>
      </c>
      <c r="C298" t="n">
        <v>1.458</v>
      </c>
    </row>
    <row r="299">
      <c r="A299" t="n">
        <v>1.673</v>
      </c>
      <c r="B299" t="n">
        <v>1.4772</v>
      </c>
      <c r="C299" t="n">
        <v>1.5202</v>
      </c>
    </row>
    <row r="300">
      <c r="A300" t="n">
        <v>1.5723</v>
      </c>
      <c r="B300" t="n">
        <v>1.4369</v>
      </c>
      <c r="C300" t="n">
        <v>1.6891</v>
      </c>
    </row>
    <row r="301">
      <c r="A301" t="n">
        <v>1.6601</v>
      </c>
      <c r="B301" t="n">
        <v>1.442</v>
      </c>
      <c r="C301" t="n">
        <v>1.6834</v>
      </c>
    </row>
    <row r="302">
      <c r="A302" t="n">
        <v>1.4762</v>
      </c>
      <c r="B302" t="n">
        <v>1.5772</v>
      </c>
      <c r="C302" t="n">
        <v>1.4953</v>
      </c>
    </row>
    <row r="303">
      <c r="A303" t="n">
        <v>1.4711</v>
      </c>
      <c r="B303" t="n">
        <v>1.6089</v>
      </c>
      <c r="C303" t="n">
        <v>1.4376</v>
      </c>
    </row>
    <row r="304">
      <c r="A304" t="n">
        <v>1.4228</v>
      </c>
      <c r="B304" t="n">
        <v>1.4682</v>
      </c>
      <c r="C304" t="n">
        <v>1.4419</v>
      </c>
    </row>
    <row r="305">
      <c r="A305" t="n">
        <v>1.4282</v>
      </c>
      <c r="B305" t="n">
        <v>1.3949</v>
      </c>
      <c r="C305" t="n">
        <v>1.698</v>
      </c>
    </row>
    <row r="306">
      <c r="A306" t="n">
        <v>1.4903</v>
      </c>
      <c r="B306" t="n">
        <v>1.7668</v>
      </c>
      <c r="C306" t="n">
        <v>1.7372</v>
      </c>
    </row>
    <row r="307">
      <c r="A307" t="n">
        <v>1.511</v>
      </c>
      <c r="B307" t="n">
        <v>1.6175</v>
      </c>
      <c r="C307" t="n">
        <v>1.4954</v>
      </c>
    </row>
    <row r="308">
      <c r="A308" t="n">
        <v>1.6969</v>
      </c>
      <c r="B308" t="n">
        <v>1.5604</v>
      </c>
      <c r="C308" t="n">
        <v>1.4347</v>
      </c>
    </row>
    <row r="309">
      <c r="A309" t="n">
        <v>1.493</v>
      </c>
      <c r="B309" t="n">
        <v>1.4735</v>
      </c>
      <c r="C309" t="n">
        <v>1.393</v>
      </c>
    </row>
    <row r="310">
      <c r="A310" t="n">
        <v>1.4796</v>
      </c>
      <c r="B310" t="n">
        <v>1.4432</v>
      </c>
      <c r="C310" t="n">
        <v>1.6131</v>
      </c>
    </row>
    <row r="311">
      <c r="A311" t="n">
        <v>1.4714</v>
      </c>
      <c r="B311" t="n">
        <v>1.4065</v>
      </c>
      <c r="C311" t="n">
        <v>1.5311</v>
      </c>
    </row>
    <row r="312">
      <c r="A312" t="n">
        <v>1.636</v>
      </c>
      <c r="B312" t="n">
        <v>1.4158</v>
      </c>
      <c r="C312" t="n">
        <v>1.6152</v>
      </c>
    </row>
    <row r="313">
      <c r="A313" t="n">
        <v>1.7389</v>
      </c>
      <c r="B313" t="n">
        <v>1.5149</v>
      </c>
      <c r="C313" t="n">
        <v>1.4922</v>
      </c>
    </row>
    <row r="314">
      <c r="A314" t="n">
        <v>1.4663</v>
      </c>
      <c r="B314" t="n">
        <v>1.5077</v>
      </c>
      <c r="C314" t="n">
        <v>1.4445</v>
      </c>
    </row>
    <row r="315">
      <c r="A315" t="n">
        <v>1.4454</v>
      </c>
      <c r="B315" t="n">
        <v>1.7277</v>
      </c>
      <c r="C315" t="n">
        <v>1.3973</v>
      </c>
    </row>
    <row r="316">
      <c r="A316" t="n">
        <v>1.4631</v>
      </c>
      <c r="B316" t="n">
        <v>1.7324</v>
      </c>
      <c r="C316" t="n">
        <v>1.438</v>
      </c>
    </row>
    <row r="317">
      <c r="A317" t="n">
        <v>1.4395</v>
      </c>
      <c r="B317" t="n">
        <v>1.7343</v>
      </c>
      <c r="C317" t="n">
        <v>1.4411</v>
      </c>
    </row>
    <row r="318">
      <c r="A318" t="n">
        <v>1.5171</v>
      </c>
      <c r="B318" t="n">
        <v>1.5257</v>
      </c>
      <c r="C318" t="n">
        <v>1.419</v>
      </c>
    </row>
    <row r="319">
      <c r="A319" t="n">
        <v>1.5803</v>
      </c>
      <c r="B319" t="n">
        <v>1.7243</v>
      </c>
      <c r="C319" t="n">
        <v>1.5098</v>
      </c>
    </row>
    <row r="320">
      <c r="A320" t="n">
        <v>1.4948</v>
      </c>
      <c r="B320" t="n">
        <v>1.5113</v>
      </c>
      <c r="C320" t="n">
        <v>1.6561</v>
      </c>
    </row>
    <row r="321">
      <c r="A321" t="n">
        <v>1.7507</v>
      </c>
      <c r="B321" t="n">
        <v>1.4604</v>
      </c>
      <c r="C321" t="n">
        <v>1.4726</v>
      </c>
    </row>
    <row r="322">
      <c r="A322" t="n">
        <v>2.0892</v>
      </c>
      <c r="B322" t="n">
        <v>1.6458</v>
      </c>
      <c r="C322" t="n">
        <v>1.7756</v>
      </c>
    </row>
    <row r="323">
      <c r="A323" t="n">
        <v>1.7618</v>
      </c>
      <c r="B323" t="n">
        <v>1.4921</v>
      </c>
      <c r="C323" t="n">
        <v>1.6923</v>
      </c>
    </row>
    <row r="324">
      <c r="A324" t="n">
        <v>1.6747</v>
      </c>
      <c r="B324" t="n">
        <v>1.6494</v>
      </c>
      <c r="C324" t="n">
        <v>1.7302</v>
      </c>
    </row>
    <row r="325">
      <c r="A325" t="n">
        <v>1.5565</v>
      </c>
      <c r="B325" t="n">
        <v>1.4783</v>
      </c>
      <c r="C325" t="n">
        <v>1.556</v>
      </c>
    </row>
    <row r="326">
      <c r="A326" t="n">
        <v>1.6442</v>
      </c>
      <c r="B326" t="n">
        <v>1.391</v>
      </c>
      <c r="C326" t="n">
        <v>1.4612</v>
      </c>
    </row>
    <row r="327">
      <c r="A327" t="n">
        <v>1.509</v>
      </c>
      <c r="B327" t="n">
        <v>1.409</v>
      </c>
      <c r="C327" t="n">
        <v>1.4052</v>
      </c>
    </row>
    <row r="328">
      <c r="A328" t="n">
        <v>1.4707</v>
      </c>
      <c r="B328" t="n">
        <v>1.4395</v>
      </c>
      <c r="C328" t="n">
        <v>1.4071</v>
      </c>
    </row>
    <row r="329">
      <c r="A329" t="n">
        <v>1.6199</v>
      </c>
      <c r="B329" t="n">
        <v>1.4402</v>
      </c>
      <c r="C329" t="n">
        <v>1.4927</v>
      </c>
    </row>
    <row r="330">
      <c r="A330" t="n">
        <v>1.5556</v>
      </c>
      <c r="B330" t="n">
        <v>1.45</v>
      </c>
      <c r="C330" t="n">
        <v>1.6578</v>
      </c>
    </row>
    <row r="331">
      <c r="A331" t="n">
        <v>1.6696</v>
      </c>
      <c r="B331" t="n">
        <v>1.4834</v>
      </c>
      <c r="C331" t="n">
        <v>1.4697</v>
      </c>
    </row>
    <row r="332">
      <c r="A332" t="n">
        <v>1.4683</v>
      </c>
      <c r="B332" t="n">
        <v>1.6129</v>
      </c>
      <c r="C332" t="n">
        <v>1.4276</v>
      </c>
    </row>
    <row r="333">
      <c r="A333" t="n">
        <v>1.4455</v>
      </c>
      <c r="B333" t="n">
        <v>1.5003</v>
      </c>
      <c r="C333" t="n">
        <v>1.3964</v>
      </c>
    </row>
    <row r="334">
      <c r="A334" t="n">
        <v>1.4482</v>
      </c>
      <c r="B334" t="n">
        <v>1.4611</v>
      </c>
      <c r="C334" t="n">
        <v>1.4297</v>
      </c>
    </row>
    <row r="335">
      <c r="A335" t="n">
        <v>1.4271</v>
      </c>
      <c r="B335" t="n">
        <v>1.4228</v>
      </c>
      <c r="C335" t="n">
        <v>1.4593</v>
      </c>
    </row>
    <row r="336">
      <c r="A336" t="n">
        <v>1.473</v>
      </c>
      <c r="B336" t="n">
        <v>1.4586</v>
      </c>
      <c r="C336" t="n">
        <v>1.4238</v>
      </c>
    </row>
    <row r="337">
      <c r="A337" t="n">
        <v>1.4091</v>
      </c>
      <c r="B337" t="n">
        <v>1.4347</v>
      </c>
      <c r="C337" t="n">
        <v>1.5077</v>
      </c>
    </row>
    <row r="338">
      <c r="A338" t="n">
        <v>1.4658</v>
      </c>
      <c r="B338" t="n">
        <v>1.8125</v>
      </c>
      <c r="C338" t="n">
        <v>1.6538</v>
      </c>
    </row>
    <row r="339">
      <c r="A339" t="n">
        <v>1.6741</v>
      </c>
      <c r="B339" t="n">
        <v>1.7809</v>
      </c>
      <c r="C339" t="n">
        <v>1.4721</v>
      </c>
    </row>
    <row r="340">
      <c r="A340" t="n">
        <v>1.5082</v>
      </c>
      <c r="B340" t="n">
        <v>1.6803</v>
      </c>
      <c r="C340" t="n">
        <v>1.4507</v>
      </c>
    </row>
    <row r="341">
      <c r="A341" t="n">
        <v>1.4433</v>
      </c>
      <c r="B341" t="n">
        <v>1.5214</v>
      </c>
      <c r="C341" t="n">
        <v>1.3995</v>
      </c>
    </row>
    <row r="342">
      <c r="A342" t="n">
        <v>1.4094</v>
      </c>
      <c r="B342" t="n">
        <v>1.6491</v>
      </c>
      <c r="C342" t="n">
        <v>1.4267</v>
      </c>
    </row>
    <row r="343">
      <c r="A343" t="n">
        <v>1.4643</v>
      </c>
      <c r="B343" t="n">
        <v>1.4852</v>
      </c>
      <c r="C343" t="n">
        <v>1.4316</v>
      </c>
    </row>
    <row r="344">
      <c r="A344" t="n">
        <v>1.4394</v>
      </c>
      <c r="B344" t="n">
        <v>1.4277</v>
      </c>
      <c r="C344" t="n">
        <v>1.712</v>
      </c>
    </row>
    <row r="345">
      <c r="A345" t="n">
        <v>1.4535</v>
      </c>
      <c r="B345" t="n">
        <v>1.6261</v>
      </c>
      <c r="C345" t="n">
        <v>1.649</v>
      </c>
    </row>
    <row r="346">
      <c r="A346" t="n">
        <v>1.7237</v>
      </c>
      <c r="B346" t="n">
        <v>1.528</v>
      </c>
      <c r="C346" t="n">
        <v>1.4757</v>
      </c>
    </row>
    <row r="347">
      <c r="A347" t="n">
        <v>1.4758</v>
      </c>
      <c r="B347" t="n">
        <v>1.5873</v>
      </c>
      <c r="C347" t="n">
        <v>1.4571</v>
      </c>
    </row>
    <row r="348">
      <c r="A348" t="n">
        <v>1.4633</v>
      </c>
      <c r="B348" t="n">
        <v>1.5187</v>
      </c>
      <c r="C348" t="n">
        <v>1.43</v>
      </c>
    </row>
    <row r="349">
      <c r="A349" t="n">
        <v>1.4651</v>
      </c>
      <c r="B349" t="n">
        <v>1.4239</v>
      </c>
      <c r="C349" t="n">
        <v>1.6436</v>
      </c>
    </row>
    <row r="350">
      <c r="A350" t="n">
        <v>1.6023</v>
      </c>
      <c r="B350" t="n">
        <v>1.3984</v>
      </c>
      <c r="C350" t="n">
        <v>1.6907</v>
      </c>
    </row>
    <row r="351">
      <c r="A351" t="n">
        <v>1.7919</v>
      </c>
      <c r="B351" t="n">
        <v>1.4231</v>
      </c>
      <c r="C351" t="n">
        <v>1.4704</v>
      </c>
    </row>
    <row r="352">
      <c r="A352" t="n">
        <v>1.5113</v>
      </c>
      <c r="B352" t="n">
        <v>1.4652</v>
      </c>
      <c r="C352" t="n">
        <v>1.4546</v>
      </c>
    </row>
    <row r="353">
      <c r="A353" t="n">
        <v>1.4294</v>
      </c>
      <c r="B353" t="n">
        <v>1.6677</v>
      </c>
      <c r="C353" t="n">
        <v>1.4911</v>
      </c>
    </row>
    <row r="354">
      <c r="A354" t="n">
        <v>1.7888</v>
      </c>
      <c r="B354" t="n">
        <v>1.6731</v>
      </c>
      <c r="C354" t="n">
        <v>1.9581</v>
      </c>
    </row>
    <row r="355">
      <c r="A355" t="n">
        <v>1.4684</v>
      </c>
      <c r="B355" t="n">
        <v>1.5123</v>
      </c>
      <c r="C355" t="n">
        <v>1.6844</v>
      </c>
    </row>
    <row r="356">
      <c r="A356" t="n">
        <v>1.443</v>
      </c>
      <c r="B356" t="n">
        <v>1.4472</v>
      </c>
      <c r="C356" t="n">
        <v>1.6867</v>
      </c>
    </row>
    <row r="357">
      <c r="A357" t="n">
        <v>1.4711</v>
      </c>
      <c r="B357" t="n">
        <v>1.4547</v>
      </c>
      <c r="C357" t="n">
        <v>1.5027</v>
      </c>
    </row>
    <row r="358">
      <c r="A358" t="n">
        <v>1.4875</v>
      </c>
      <c r="B358" t="n">
        <v>1.6307</v>
      </c>
      <c r="C358" t="n">
        <v>1.6115</v>
      </c>
    </row>
    <row r="359">
      <c r="A359" t="n">
        <v>1.5063</v>
      </c>
      <c r="B359" t="n">
        <v>1.765</v>
      </c>
      <c r="C359" t="n">
        <v>1.5376</v>
      </c>
    </row>
    <row r="360">
      <c r="A360" t="n">
        <v>1.5016</v>
      </c>
      <c r="B360" t="n">
        <v>1.4827</v>
      </c>
      <c r="C360" t="n">
        <v>1.4198</v>
      </c>
    </row>
    <row r="361">
      <c r="A361" t="n">
        <v>1.5238</v>
      </c>
      <c r="B361" t="n">
        <v>1.4218</v>
      </c>
      <c r="C361" t="n">
        <v>1.439</v>
      </c>
    </row>
    <row r="362">
      <c r="A362" t="n">
        <v>1.4602</v>
      </c>
      <c r="B362" t="n">
        <v>1.4163</v>
      </c>
      <c r="C362" t="n">
        <v>1.4329</v>
      </c>
    </row>
    <row r="363">
      <c r="A363" t="n">
        <v>1.5245</v>
      </c>
      <c r="B363" t="n">
        <v>1.3935</v>
      </c>
      <c r="C363" t="n">
        <v>1.4271</v>
      </c>
    </row>
    <row r="364">
      <c r="A364" t="n">
        <v>1.7876</v>
      </c>
      <c r="B364" t="n">
        <v>1.4706</v>
      </c>
      <c r="C364" t="n">
        <v>1.624</v>
      </c>
    </row>
    <row r="365">
      <c r="A365" t="n">
        <v>1.6624</v>
      </c>
      <c r="B365" t="n">
        <v>1.6887</v>
      </c>
      <c r="C365" t="n">
        <v>1.7404</v>
      </c>
    </row>
    <row r="366">
      <c r="A366" t="n">
        <v>1.5415</v>
      </c>
      <c r="B366" t="n">
        <v>1.5224</v>
      </c>
      <c r="C366" t="n">
        <v>1.4836</v>
      </c>
    </row>
    <row r="367">
      <c r="A367" t="n">
        <v>1.6435</v>
      </c>
      <c r="B367" t="n">
        <v>1.6688</v>
      </c>
      <c r="C367" t="n">
        <v>1.4463</v>
      </c>
    </row>
    <row r="368">
      <c r="A368" t="n">
        <v>1.4766</v>
      </c>
      <c r="B368" t="n">
        <v>1.6578</v>
      </c>
      <c r="C368" t="n">
        <v>1.4531</v>
      </c>
    </row>
    <row r="369">
      <c r="A369" t="n">
        <v>1.4404</v>
      </c>
      <c r="B369" t="n">
        <v>1.555</v>
      </c>
      <c r="C369" t="n">
        <v>1.6295</v>
      </c>
    </row>
    <row r="370">
      <c r="A370" t="n">
        <v>1.4049</v>
      </c>
      <c r="B370" t="n">
        <v>1.9509</v>
      </c>
      <c r="C370" t="n">
        <v>1.5774</v>
      </c>
    </row>
    <row r="371">
      <c r="A371" t="n">
        <v>1.426</v>
      </c>
      <c r="B371" t="n">
        <v>1.7889</v>
      </c>
      <c r="C371" t="n">
        <v>1.4675</v>
      </c>
    </row>
    <row r="372">
      <c r="A372" t="n">
        <v>1.4523</v>
      </c>
      <c r="B372" t="n">
        <v>1.6968</v>
      </c>
      <c r="C372" t="n">
        <v>1.4224</v>
      </c>
    </row>
    <row r="373">
      <c r="A373" t="n">
        <v>1.6703</v>
      </c>
      <c r="B373" t="n">
        <v>1.5016</v>
      </c>
      <c r="C373" t="n">
        <v>1.4431</v>
      </c>
    </row>
    <row r="374">
      <c r="A374" t="n">
        <v>1.7529</v>
      </c>
      <c r="B374" t="n">
        <v>1.3911</v>
      </c>
      <c r="C374" t="n">
        <v>1.4521</v>
      </c>
    </row>
    <row r="375">
      <c r="A375" t="n">
        <v>1.515</v>
      </c>
      <c r="B375" t="n">
        <v>1.4187</v>
      </c>
      <c r="C375" t="n">
        <v>1.4258</v>
      </c>
    </row>
    <row r="376">
      <c r="A376" t="n">
        <v>1.449</v>
      </c>
      <c r="B376" t="n">
        <v>1.4597</v>
      </c>
      <c r="C376" t="n">
        <v>1.4722</v>
      </c>
    </row>
    <row r="377">
      <c r="A377" t="n">
        <v>1.4271</v>
      </c>
      <c r="B377" t="n">
        <v>1.454</v>
      </c>
      <c r="C377" t="n">
        <v>1.6947</v>
      </c>
    </row>
    <row r="378">
      <c r="A378" t="n">
        <v>1.673</v>
      </c>
      <c r="B378" t="n">
        <v>1.651</v>
      </c>
      <c r="C378" t="n">
        <v>1.7038</v>
      </c>
    </row>
    <row r="379">
      <c r="A379" t="n">
        <v>1.7419</v>
      </c>
      <c r="B379" t="n">
        <v>1.6798</v>
      </c>
      <c r="C379" t="n">
        <v>1.4788</v>
      </c>
    </row>
    <row r="380">
      <c r="A380" t="n">
        <v>1.4882</v>
      </c>
      <c r="B380" t="n">
        <v>1.4581</v>
      </c>
      <c r="C380" t="n">
        <v>1.4345</v>
      </c>
    </row>
    <row r="381">
      <c r="A381" t="n">
        <v>1.8157</v>
      </c>
      <c r="B381" t="n">
        <v>1.4402</v>
      </c>
      <c r="C381" t="n">
        <v>1.4203</v>
      </c>
    </row>
    <row r="382">
      <c r="A382" t="n">
        <v>1.8129</v>
      </c>
      <c r="B382" t="n">
        <v>1.4627</v>
      </c>
      <c r="C382" t="n">
        <v>1.6939</v>
      </c>
    </row>
    <row r="383">
      <c r="A383" t="n">
        <v>1.5175</v>
      </c>
      <c r="B383" t="n">
        <v>1.3888</v>
      </c>
      <c r="C383" t="n">
        <v>1.6756</v>
      </c>
    </row>
    <row r="384">
      <c r="A384" t="n">
        <v>1.4933</v>
      </c>
      <c r="B384" t="n">
        <v>1.4257</v>
      </c>
      <c r="C384" t="n">
        <v>1.4753</v>
      </c>
    </row>
    <row r="385">
      <c r="A385" t="n">
        <v>1.4379</v>
      </c>
      <c r="B385" t="n">
        <v>1.6351</v>
      </c>
      <c r="C385" t="n">
        <v>1.4395</v>
      </c>
    </row>
    <row r="386">
      <c r="A386" t="n">
        <v>1.8611</v>
      </c>
      <c r="B386" t="n">
        <v>1.5218</v>
      </c>
      <c r="C386" t="n">
        <v>1.7719</v>
      </c>
    </row>
    <row r="387">
      <c r="A387" t="n">
        <v>2.0251</v>
      </c>
      <c r="B387" t="n">
        <v>1.8089</v>
      </c>
      <c r="C387" t="n">
        <v>1.4124</v>
      </c>
    </row>
    <row r="388">
      <c r="A388" t="n">
        <v>1.6205</v>
      </c>
      <c r="B388" t="n">
        <v>1.6876</v>
      </c>
      <c r="C388" t="n">
        <v>1.5515</v>
      </c>
    </row>
    <row r="389">
      <c r="A389" t="n">
        <v>1.7288</v>
      </c>
      <c r="B389" t="n">
        <v>1.5205</v>
      </c>
      <c r="C389" t="n">
        <v>1.4574</v>
      </c>
    </row>
    <row r="390">
      <c r="A390" t="n">
        <v>1.6021</v>
      </c>
      <c r="B390" t="n">
        <v>1.6431</v>
      </c>
      <c r="C390" t="n">
        <v>1.4205</v>
      </c>
    </row>
    <row r="391">
      <c r="A391" t="n">
        <v>1.5109</v>
      </c>
      <c r="B391" t="n">
        <v>1.4825</v>
      </c>
      <c r="C391" t="n">
        <v>1.4077</v>
      </c>
    </row>
    <row r="392">
      <c r="A392" t="n">
        <v>1.5507</v>
      </c>
      <c r="B392" t="n">
        <v>1.4232</v>
      </c>
      <c r="C392" t="n">
        <v>1.4378</v>
      </c>
    </row>
    <row r="393">
      <c r="A393" t="n">
        <v>1.5539</v>
      </c>
      <c r="B393" t="n">
        <v>1.3949</v>
      </c>
      <c r="C393" t="n">
        <v>1.4207</v>
      </c>
    </row>
    <row r="394">
      <c r="A394" t="n">
        <v>1.5043</v>
      </c>
      <c r="B394" t="n">
        <v>1.4694</v>
      </c>
      <c r="C394" t="n">
        <v>1.496</v>
      </c>
    </row>
    <row r="395">
      <c r="A395" t="n">
        <v>1.4689</v>
      </c>
      <c r="B395" t="n">
        <v>1.4449</v>
      </c>
      <c r="C395" t="n">
        <v>1.6715</v>
      </c>
    </row>
    <row r="396">
      <c r="A396" t="n">
        <v>1.7148</v>
      </c>
      <c r="B396" t="n">
        <v>1.405</v>
      </c>
      <c r="C396" t="n">
        <v>1.6746</v>
      </c>
    </row>
    <row r="397">
      <c r="A397" t="n">
        <v>1.716</v>
      </c>
      <c r="B397" t="n">
        <v>1.4842</v>
      </c>
      <c r="C397" t="n">
        <v>1.4882</v>
      </c>
    </row>
    <row r="398">
      <c r="A398" t="n">
        <v>1.587</v>
      </c>
      <c r="B398" t="n">
        <v>1.6517</v>
      </c>
      <c r="C398" t="n">
        <v>1.4645</v>
      </c>
    </row>
    <row r="399">
      <c r="A399" t="n">
        <v>1.4972</v>
      </c>
      <c r="B399" t="n">
        <v>1.4954</v>
      </c>
      <c r="C399" t="n">
        <v>1.4201</v>
      </c>
    </row>
    <row r="400">
      <c r="A400" t="n">
        <v>1.4872</v>
      </c>
      <c r="B400" t="n">
        <v>1.4513</v>
      </c>
      <c r="C400" t="n">
        <v>1.607</v>
      </c>
    </row>
    <row r="401">
      <c r="A401" t="n">
        <v>1.4369</v>
      </c>
      <c r="B401" t="n">
        <v>1.3723</v>
      </c>
      <c r="C401" t="n">
        <v>1.5944</v>
      </c>
    </row>
    <row r="402">
      <c r="A402" t="n">
        <v>1.4702</v>
      </c>
      <c r="B402" t="n">
        <v>1.7751</v>
      </c>
      <c r="C402" t="n">
        <v>1.4283</v>
      </c>
    </row>
    <row r="403">
      <c r="A403" t="n">
        <v>1.4873</v>
      </c>
      <c r="B403" t="n">
        <v>1.6178</v>
      </c>
      <c r="C403" t="n">
        <v>1.4389</v>
      </c>
    </row>
    <row r="404">
      <c r="A404" t="n">
        <v>1.4804</v>
      </c>
      <c r="B404" t="n">
        <v>1.4981</v>
      </c>
      <c r="C404" t="n">
        <v>1.4301</v>
      </c>
    </row>
    <row r="405">
      <c r="A405" t="n">
        <v>1.5074</v>
      </c>
      <c r="B405" t="n">
        <v>1.4359</v>
      </c>
      <c r="C405" t="n">
        <v>1.4247</v>
      </c>
    </row>
    <row r="406">
      <c r="A406" t="n">
        <v>1.5017</v>
      </c>
      <c r="B406" t="n">
        <v>1.4127</v>
      </c>
      <c r="C406" t="n">
        <v>1.4236</v>
      </c>
    </row>
    <row r="407">
      <c r="A407" t="n">
        <v>1.4627</v>
      </c>
      <c r="B407" t="n">
        <v>1.4521</v>
      </c>
      <c r="C407" t="n">
        <v>1.4584</v>
      </c>
    </row>
    <row r="408">
      <c r="A408" t="n">
        <v>1.4921</v>
      </c>
      <c r="B408" t="n">
        <v>1.4494</v>
      </c>
      <c r="C408" t="n">
        <v>1.6084</v>
      </c>
    </row>
    <row r="409">
      <c r="A409" t="n">
        <v>1.5117</v>
      </c>
      <c r="B409" t="n">
        <v>1.6434</v>
      </c>
      <c r="C409" t="n">
        <v>1.551</v>
      </c>
    </row>
    <row r="410">
      <c r="A410" t="n">
        <v>1.4773</v>
      </c>
      <c r="B410" t="n">
        <v>1.6728</v>
      </c>
      <c r="C410" t="n">
        <v>1.4133</v>
      </c>
    </row>
    <row r="411">
      <c r="A411" t="n">
        <v>1.5526</v>
      </c>
      <c r="B411" t="n">
        <v>1.6663</v>
      </c>
      <c r="C411" t="n">
        <v>1.4539</v>
      </c>
    </row>
    <row r="412">
      <c r="A412" t="n">
        <v>1.7041</v>
      </c>
      <c r="B412" t="n">
        <v>1.4604</v>
      </c>
      <c r="C412" t="n">
        <v>1.6597</v>
      </c>
    </row>
    <row r="413">
      <c r="A413" t="n">
        <v>1.5236</v>
      </c>
      <c r="B413" t="n">
        <v>1.4096</v>
      </c>
      <c r="C413" t="n">
        <v>1.6686</v>
      </c>
    </row>
    <row r="414">
      <c r="A414" t="n">
        <v>1.4646</v>
      </c>
      <c r="B414" t="n">
        <v>1.6433</v>
      </c>
      <c r="C414" t="n">
        <v>1.506</v>
      </c>
    </row>
    <row r="415">
      <c r="A415" t="n">
        <v>1.4262</v>
      </c>
      <c r="B415" t="n">
        <v>1.6633</v>
      </c>
      <c r="C415" t="n">
        <v>1.6434</v>
      </c>
    </row>
    <row r="416">
      <c r="A416" t="n">
        <v>1.4444</v>
      </c>
      <c r="B416" t="n">
        <v>1.4691</v>
      </c>
      <c r="C416" t="n">
        <v>1.485</v>
      </c>
    </row>
    <row r="417">
      <c r="A417" t="n">
        <v>1.4666</v>
      </c>
      <c r="B417" t="n">
        <v>1.4613</v>
      </c>
      <c r="C417" t="n">
        <v>1.4316</v>
      </c>
    </row>
    <row r="418">
      <c r="A418" t="n">
        <v>1.8893</v>
      </c>
      <c r="B418" t="n">
        <v>1.435</v>
      </c>
      <c r="C418" t="n">
        <v>1.7131</v>
      </c>
    </row>
    <row r="419">
      <c r="A419" t="n">
        <v>1.4793</v>
      </c>
      <c r="B419" t="n">
        <v>1.5899</v>
      </c>
      <c r="C419" t="n">
        <v>1.4637</v>
      </c>
    </row>
    <row r="420">
      <c r="A420" t="n">
        <v>1.88</v>
      </c>
      <c r="B420" t="n">
        <v>1.5421</v>
      </c>
      <c r="C420" t="n">
        <v>1.6011</v>
      </c>
    </row>
    <row r="421">
      <c r="A421" t="n">
        <v>1.5624</v>
      </c>
      <c r="B421" t="n">
        <v>1.653</v>
      </c>
      <c r="C421" t="n">
        <v>1.5285</v>
      </c>
    </row>
    <row r="422">
      <c r="A422" t="n">
        <v>1.6342</v>
      </c>
      <c r="B422" t="n">
        <v>1.4805</v>
      </c>
      <c r="C422" t="n">
        <v>1.4421</v>
      </c>
    </row>
    <row r="423">
      <c r="A423" t="n">
        <v>1.5297</v>
      </c>
      <c r="B423" t="n">
        <v>1.4563</v>
      </c>
      <c r="C423" t="n">
        <v>1.4247</v>
      </c>
    </row>
    <row r="424">
      <c r="A424" t="n">
        <v>1.4737</v>
      </c>
      <c r="B424" t="n">
        <v>1.3978</v>
      </c>
      <c r="C424" t="n">
        <v>1.4442</v>
      </c>
    </row>
    <row r="425">
      <c r="A425" t="n">
        <v>1.6254</v>
      </c>
      <c r="B425" t="n">
        <v>1.417</v>
      </c>
      <c r="C425" t="n">
        <v>1.4715</v>
      </c>
    </row>
    <row r="426">
      <c r="A426" t="n">
        <v>1.5249</v>
      </c>
      <c r="B426" t="n">
        <v>1.4273</v>
      </c>
      <c r="C426" t="n">
        <v>1.6425</v>
      </c>
    </row>
    <row r="427">
      <c r="A427" t="n">
        <v>1.6714</v>
      </c>
      <c r="B427" t="n">
        <v>1.6946</v>
      </c>
      <c r="C427" t="n">
        <v>1.6913</v>
      </c>
    </row>
    <row r="428">
      <c r="A428" t="n">
        <v>1.4868</v>
      </c>
      <c r="B428" t="n">
        <v>1.6654</v>
      </c>
      <c r="C428" t="n">
        <v>1.4864</v>
      </c>
    </row>
    <row r="429">
      <c r="A429" t="n">
        <v>1.4419</v>
      </c>
      <c r="B429" t="n">
        <v>1.4959</v>
      </c>
      <c r="C429" t="n">
        <v>1.4337</v>
      </c>
    </row>
    <row r="430">
      <c r="A430" t="n">
        <v>1.6865</v>
      </c>
      <c r="B430" t="n">
        <v>1.4648</v>
      </c>
      <c r="C430" t="n">
        <v>1.4503</v>
      </c>
    </row>
    <row r="431">
      <c r="A431" t="n">
        <v>1.5295</v>
      </c>
      <c r="B431" t="n">
        <v>1.4086</v>
      </c>
      <c r="C431" t="n">
        <v>1.6082</v>
      </c>
    </row>
    <row r="432">
      <c r="A432" t="n">
        <v>1.6485</v>
      </c>
      <c r="B432" t="n">
        <v>1.6183</v>
      </c>
      <c r="C432" t="n">
        <v>1.4967</v>
      </c>
    </row>
    <row r="433">
      <c r="A433" t="n">
        <v>1.5057</v>
      </c>
      <c r="B433" t="n">
        <v>1.6943</v>
      </c>
      <c r="C433" t="n">
        <v>1.6327</v>
      </c>
    </row>
    <row r="434">
      <c r="A434" t="n">
        <v>1.4315</v>
      </c>
      <c r="B434" t="n">
        <v>1.9924</v>
      </c>
      <c r="C434" t="n">
        <v>1.5217</v>
      </c>
    </row>
    <row r="435">
      <c r="A435" t="n">
        <v>1.4209</v>
      </c>
      <c r="B435" t="n">
        <v>1.5296</v>
      </c>
      <c r="C435" t="n">
        <v>1.4313</v>
      </c>
    </row>
    <row r="436">
      <c r="A436" t="n">
        <v>1.4524</v>
      </c>
      <c r="B436" t="n">
        <v>1.6516</v>
      </c>
      <c r="C436" t="n">
        <v>1.3898</v>
      </c>
    </row>
    <row r="437">
      <c r="A437" t="n">
        <v>1.4218</v>
      </c>
      <c r="B437" t="n">
        <v>1.4834</v>
      </c>
      <c r="C437" t="n">
        <v>1.4181</v>
      </c>
    </row>
    <row r="438">
      <c r="A438" t="n">
        <v>1.4518</v>
      </c>
      <c r="B438" t="n">
        <v>1.4585</v>
      </c>
      <c r="C438" t="n">
        <v>1.4434</v>
      </c>
    </row>
    <row r="439">
      <c r="A439" t="n">
        <v>1.8631</v>
      </c>
      <c r="B439" t="n">
        <v>1.4123</v>
      </c>
      <c r="C439" t="n">
        <v>1.6664</v>
      </c>
    </row>
    <row r="440">
      <c r="A440" t="n">
        <v>1.5013</v>
      </c>
      <c r="B440" t="n">
        <v>1.4118</v>
      </c>
      <c r="C440" t="n">
        <v>1.7008</v>
      </c>
    </row>
    <row r="441">
      <c r="A441" t="n">
        <v>1.4533</v>
      </c>
      <c r="B441" t="n">
        <v>1.4586</v>
      </c>
      <c r="C441" t="n">
        <v>1.4645</v>
      </c>
    </row>
    <row r="442">
      <c r="A442" t="n">
        <v>1.4547</v>
      </c>
      <c r="B442" t="n">
        <v>1.6823</v>
      </c>
      <c r="C442" t="n">
        <v>1.4396</v>
      </c>
    </row>
    <row r="443">
      <c r="A443" t="n">
        <v>1.6744</v>
      </c>
      <c r="B443" t="n">
        <v>1.6674</v>
      </c>
      <c r="C443" t="n">
        <v>1.4593</v>
      </c>
    </row>
    <row r="444">
      <c r="A444" t="n">
        <v>1.7078</v>
      </c>
      <c r="B444" t="n">
        <v>1.493</v>
      </c>
      <c r="C444" t="n">
        <v>1.635</v>
      </c>
    </row>
    <row r="445">
      <c r="A445" t="n">
        <v>1.4978</v>
      </c>
      <c r="B445" t="n">
        <v>1.4397</v>
      </c>
      <c r="C445" t="n">
        <v>1.7255</v>
      </c>
    </row>
    <row r="446">
      <c r="A446" t="n">
        <v>1.4378</v>
      </c>
      <c r="B446" t="n">
        <v>1.4174</v>
      </c>
      <c r="C446" t="n">
        <v>1.4997</v>
      </c>
    </row>
    <row r="447">
      <c r="A447" t="n">
        <v>1.4545</v>
      </c>
      <c r="B447" t="n">
        <v>1.6098</v>
      </c>
      <c r="C447" t="n">
        <v>1.4277</v>
      </c>
    </row>
    <row r="448">
      <c r="A448" t="n">
        <v>1.6548</v>
      </c>
      <c r="B448" t="n">
        <v>1.7648</v>
      </c>
      <c r="C448" t="n">
        <v>1.4438</v>
      </c>
    </row>
    <row r="449">
      <c r="A449" t="n">
        <v>1.7347</v>
      </c>
      <c r="B449" t="n">
        <v>1.4773</v>
      </c>
      <c r="C449" t="n">
        <v>1.6023</v>
      </c>
    </row>
    <row r="450">
      <c r="A450" t="n">
        <v>2.054</v>
      </c>
      <c r="B450" t="n">
        <v>1.4492</v>
      </c>
      <c r="C450" t="n">
        <v>2.0808</v>
      </c>
    </row>
    <row r="451">
      <c r="A451" t="n">
        <v>1.5305</v>
      </c>
      <c r="B451" t="n">
        <v>1.4359</v>
      </c>
      <c r="C451" t="n">
        <v>1.6665</v>
      </c>
    </row>
    <row r="452">
      <c r="A452" t="n">
        <v>1.6258</v>
      </c>
      <c r="B452" t="n">
        <v>1.6003</v>
      </c>
      <c r="C452" t="n">
        <v>1.5352</v>
      </c>
    </row>
    <row r="453">
      <c r="A453" t="n">
        <v>1.5323</v>
      </c>
      <c r="B453" t="n">
        <v>1.5555</v>
      </c>
      <c r="C453" t="n">
        <v>1.6265</v>
      </c>
    </row>
    <row r="454">
      <c r="A454" t="n">
        <v>1.4685</v>
      </c>
      <c r="B454" t="n">
        <v>1.6518</v>
      </c>
      <c r="C454" t="n">
        <v>1.5339</v>
      </c>
    </row>
    <row r="455">
      <c r="A455" t="n">
        <v>1.6783</v>
      </c>
      <c r="B455" t="n">
        <v>1.4793</v>
      </c>
      <c r="C455" t="n">
        <v>1.4378</v>
      </c>
    </row>
    <row r="456">
      <c r="A456" t="n">
        <v>1.5671</v>
      </c>
      <c r="B456" t="n">
        <v>1.4348</v>
      </c>
      <c r="C456" t="n">
        <v>1.3845</v>
      </c>
    </row>
    <row r="457">
      <c r="A457" t="n">
        <v>1.7523</v>
      </c>
      <c r="B457" t="n">
        <v>1.4014</v>
      </c>
      <c r="C457" t="n">
        <v>1.4554</v>
      </c>
    </row>
    <row r="458">
      <c r="A458" t="n">
        <v>1.4885</v>
      </c>
      <c r="B458" t="n">
        <v>1.4282</v>
      </c>
      <c r="C458" t="n">
        <v>1.4757</v>
      </c>
    </row>
    <row r="459">
      <c r="A459" t="n">
        <v>1.4605</v>
      </c>
      <c r="B459" t="n">
        <v>1.4545</v>
      </c>
      <c r="C459" t="n">
        <v>1.7028</v>
      </c>
    </row>
    <row r="460">
      <c r="A460" t="n">
        <v>1.6547</v>
      </c>
      <c r="B460" t="n">
        <v>1.4814</v>
      </c>
      <c r="C460" t="n">
        <v>1.7198</v>
      </c>
    </row>
    <row r="461">
      <c r="A461" t="n">
        <v>1.7221</v>
      </c>
      <c r="B461" t="n">
        <v>1.7402</v>
      </c>
      <c r="C461" t="n">
        <v>1.7776</v>
      </c>
    </row>
    <row r="462">
      <c r="A462" t="n">
        <v>1.5085</v>
      </c>
      <c r="B462" t="n">
        <v>1.5098</v>
      </c>
      <c r="C462" t="n">
        <v>1.5267</v>
      </c>
    </row>
    <row r="463">
      <c r="A463" t="n">
        <v>1.441</v>
      </c>
      <c r="B463" t="n">
        <v>1.4843</v>
      </c>
      <c r="C463" t="n">
        <v>1.6502</v>
      </c>
    </row>
    <row r="464">
      <c r="A464" t="n">
        <v>1.438</v>
      </c>
      <c r="B464" t="n">
        <v>1.45</v>
      </c>
      <c r="C464" t="n">
        <v>1.5019</v>
      </c>
    </row>
    <row r="465">
      <c r="A465" t="n">
        <v>1.6418</v>
      </c>
      <c r="B465" t="n">
        <v>1.6547</v>
      </c>
      <c r="C465" t="n">
        <v>1.4566</v>
      </c>
    </row>
    <row r="466">
      <c r="A466" t="n">
        <v>1.8015</v>
      </c>
      <c r="B466" t="n">
        <v>2.0848</v>
      </c>
      <c r="C466" t="n">
        <v>1.4043</v>
      </c>
    </row>
    <row r="467">
      <c r="A467" t="n">
        <v>1.5038</v>
      </c>
      <c r="B467" t="n">
        <v>1.6664</v>
      </c>
      <c r="C467" t="n">
        <v>1.4257</v>
      </c>
    </row>
    <row r="468">
      <c r="A468" t="n">
        <v>1.4598</v>
      </c>
      <c r="B468" t="n">
        <v>1.5487</v>
      </c>
      <c r="C468" t="n">
        <v>1.4321</v>
      </c>
    </row>
    <row r="469">
      <c r="A469" t="n">
        <v>1.4474</v>
      </c>
      <c r="B469" t="n">
        <v>1.7246</v>
      </c>
      <c r="C469" t="n">
        <v>1.4384</v>
      </c>
    </row>
    <row r="470">
      <c r="A470" t="n">
        <v>1.6135</v>
      </c>
      <c r="B470" t="n">
        <v>1.4879</v>
      </c>
      <c r="C470" t="n">
        <v>1.5054</v>
      </c>
    </row>
    <row r="471">
      <c r="A471" t="n">
        <v>1.8406</v>
      </c>
      <c r="B471" t="n">
        <v>1.4708</v>
      </c>
      <c r="C471" t="n">
        <v>1.658</v>
      </c>
    </row>
    <row r="472">
      <c r="A472" t="n">
        <v>1.5293</v>
      </c>
      <c r="B472" t="n">
        <v>1.6631</v>
      </c>
      <c r="C472" t="n">
        <v>1.4987</v>
      </c>
    </row>
    <row r="473">
      <c r="A473" t="n">
        <v>1.5175</v>
      </c>
      <c r="B473" t="n">
        <v>1.5335</v>
      </c>
      <c r="C473" t="n">
        <v>1.4678</v>
      </c>
    </row>
    <row r="474">
      <c r="A474" t="n">
        <v>1.4897</v>
      </c>
      <c r="B474" t="n">
        <v>1.4437</v>
      </c>
      <c r="C474" t="n">
        <v>1.4248</v>
      </c>
    </row>
    <row r="475">
      <c r="A475" t="n">
        <v>1.695</v>
      </c>
      <c r="B475" t="n">
        <v>1.4662</v>
      </c>
      <c r="C475" t="n">
        <v>1.4979</v>
      </c>
    </row>
    <row r="476">
      <c r="A476" t="n">
        <v>1.7229</v>
      </c>
      <c r="B476" t="n">
        <v>1.399</v>
      </c>
      <c r="C476" t="n">
        <v>1.48</v>
      </c>
    </row>
    <row r="477">
      <c r="A477" t="n">
        <v>1.5775</v>
      </c>
      <c r="B477" t="n">
        <v>1.4512</v>
      </c>
      <c r="C477" t="n">
        <v>1.4703</v>
      </c>
    </row>
    <row r="478">
      <c r="A478" t="n">
        <v>1.5072</v>
      </c>
      <c r="B478" t="n">
        <v>1.4603</v>
      </c>
      <c r="C478" t="n">
        <v>1.4669</v>
      </c>
    </row>
    <row r="479">
      <c r="A479" t="n">
        <v>1.6644</v>
      </c>
      <c r="B479" t="n">
        <v>1.4794</v>
      </c>
      <c r="C479" t="n">
        <v>1.4846</v>
      </c>
    </row>
    <row r="480">
      <c r="A480" t="n">
        <v>1.5369</v>
      </c>
      <c r="B480" t="n">
        <v>1.7485</v>
      </c>
      <c r="C480" t="n">
        <v>1.5042</v>
      </c>
    </row>
    <row r="481">
      <c r="A481" t="n">
        <v>1.7105</v>
      </c>
      <c r="B481" t="n">
        <v>1.7641</v>
      </c>
      <c r="C481" t="n">
        <v>1.5187</v>
      </c>
    </row>
    <row r="482">
      <c r="A482" t="n">
        <v>2.0171</v>
      </c>
      <c r="B482" t="n">
        <v>1.4722</v>
      </c>
      <c r="C482" t="n">
        <v>1.8106</v>
      </c>
    </row>
    <row r="483">
      <c r="A483" t="n">
        <v>1.6987</v>
      </c>
      <c r="B483" t="n">
        <v>1.4543</v>
      </c>
      <c r="C483" t="n">
        <v>1.8538</v>
      </c>
    </row>
    <row r="484">
      <c r="A484" t="n">
        <v>1.5161</v>
      </c>
      <c r="B484" t="n">
        <v>1.464</v>
      </c>
      <c r="C484" t="n">
        <v>1.5824</v>
      </c>
    </row>
    <row r="485">
      <c r="A485" t="n">
        <v>1.4495</v>
      </c>
      <c r="B485" t="n">
        <v>1.6583</v>
      </c>
      <c r="C485" t="n">
        <v>1.4914</v>
      </c>
    </row>
    <row r="486">
      <c r="A486" t="n">
        <v>1.4684</v>
      </c>
      <c r="B486" t="n">
        <v>1.7202</v>
      </c>
      <c r="C486" t="n">
        <v>1.4101</v>
      </c>
    </row>
    <row r="487">
      <c r="A487" t="n">
        <v>1.7275</v>
      </c>
      <c r="B487" t="n">
        <v>1.4911</v>
      </c>
      <c r="C487" t="n">
        <v>1.4208</v>
      </c>
    </row>
    <row r="488">
      <c r="A488" t="n">
        <v>1.759</v>
      </c>
      <c r="B488" t="n">
        <v>1.4297</v>
      </c>
      <c r="C488" t="n">
        <v>1.4626</v>
      </c>
    </row>
    <row r="489">
      <c r="A489" t="n">
        <v>1.8418</v>
      </c>
      <c r="B489" t="n">
        <v>1.4525</v>
      </c>
      <c r="C489" t="n">
        <v>1.6334</v>
      </c>
    </row>
    <row r="490">
      <c r="A490" t="n">
        <v>1.6393</v>
      </c>
      <c r="B490" t="n">
        <v>1.6393</v>
      </c>
      <c r="C490" t="n">
        <v>1.5175</v>
      </c>
    </row>
    <row r="491">
      <c r="A491" t="n">
        <v>1.4306</v>
      </c>
      <c r="B491" t="n">
        <v>1.7624</v>
      </c>
      <c r="C491" t="n">
        <v>1.4734</v>
      </c>
    </row>
    <row r="492">
      <c r="A492" t="n">
        <v>2.0578</v>
      </c>
      <c r="B492" t="n">
        <v>1.4921</v>
      </c>
      <c r="C492" t="n">
        <v>1.637</v>
      </c>
    </row>
    <row r="493">
      <c r="A493" t="n">
        <v>1.6734</v>
      </c>
      <c r="B493" t="n">
        <v>1.4452</v>
      </c>
      <c r="C493" t="n">
        <v>1.5377</v>
      </c>
    </row>
    <row r="494">
      <c r="A494" t="n">
        <v>1.5209</v>
      </c>
      <c r="B494" t="n">
        <v>1.4556</v>
      </c>
      <c r="C494" t="n">
        <v>1.6597</v>
      </c>
    </row>
    <row r="495">
      <c r="A495" t="n">
        <v>1.7249</v>
      </c>
      <c r="B495" t="n">
        <v>1.7221</v>
      </c>
      <c r="C495" t="n">
        <v>1.4525</v>
      </c>
    </row>
    <row r="496">
      <c r="A496" t="n">
        <v>1.7023</v>
      </c>
      <c r="B496" t="n">
        <v>1.6799</v>
      </c>
      <c r="C496" t="n">
        <v>1.4365</v>
      </c>
    </row>
    <row r="497">
      <c r="A497" t="n">
        <v>1.5944</v>
      </c>
      <c r="B497" t="n">
        <v>1.4583</v>
      </c>
      <c r="C497" t="n">
        <v>1.4211</v>
      </c>
    </row>
    <row r="498">
      <c r="A498" t="n">
        <v>1.466</v>
      </c>
      <c r="B498" t="n">
        <v>1.7845</v>
      </c>
      <c r="C498" t="n">
        <v>1.4282</v>
      </c>
    </row>
    <row r="499">
      <c r="A499" t="n">
        <v>1.4402</v>
      </c>
      <c r="B499" t="n">
        <v>1.6534</v>
      </c>
      <c r="C499" t="n">
        <v>1.4224</v>
      </c>
    </row>
    <row r="500">
      <c r="A500" t="n">
        <v>1.3982</v>
      </c>
      <c r="B500" t="n">
        <v>1.4829</v>
      </c>
      <c r="C500" t="n">
        <v>1.7058</v>
      </c>
    </row>
    <row r="501">
      <c r="A501" t="n">
        <v>1.4459</v>
      </c>
      <c r="B501" t="n">
        <v>1.7497</v>
      </c>
      <c r="C501" t="n">
        <v>1.7029</v>
      </c>
    </row>
    <row r="502">
      <c r="A502" t="n">
        <v>1.4924</v>
      </c>
      <c r="B502" t="n">
        <v>1.6764</v>
      </c>
      <c r="C502" t="n">
        <v>1.5058</v>
      </c>
    </row>
    <row r="503">
      <c r="A503" t="n">
        <v>1.4752</v>
      </c>
      <c r="B503" t="n">
        <v>1.5107</v>
      </c>
      <c r="C503" t="n">
        <v>1.4398</v>
      </c>
    </row>
    <row r="504">
      <c r="A504" t="n">
        <v>1.7438</v>
      </c>
      <c r="B504" t="n">
        <v>1.6888</v>
      </c>
      <c r="C504" t="n">
        <v>1.4202</v>
      </c>
    </row>
    <row r="505">
      <c r="A505" t="n">
        <v>1.7578</v>
      </c>
      <c r="B505" t="n">
        <v>1.4948</v>
      </c>
      <c r="C505" t="n">
        <v>1.6346</v>
      </c>
    </row>
    <row r="506">
      <c r="A506" t="n">
        <v>1.784</v>
      </c>
      <c r="B506" t="n">
        <v>1.4386</v>
      </c>
      <c r="C506" t="n">
        <v>1.7441</v>
      </c>
    </row>
    <row r="507">
      <c r="A507" t="n">
        <v>1.6414</v>
      </c>
      <c r="B507" t="n">
        <v>1.4054</v>
      </c>
      <c r="C507" t="n">
        <v>1.4643</v>
      </c>
    </row>
    <row r="508">
      <c r="A508" t="n">
        <v>1.481</v>
      </c>
      <c r="B508" t="n">
        <v>1.4326</v>
      </c>
      <c r="C508" t="n">
        <v>1.4967</v>
      </c>
    </row>
    <row r="509">
      <c r="A509" t="n">
        <v>1.4439</v>
      </c>
      <c r="B509" t="n">
        <v>1.4664</v>
      </c>
      <c r="C509" t="n">
        <v>1.459</v>
      </c>
    </row>
    <row r="510">
      <c r="A510" t="n">
        <v>1.4449</v>
      </c>
      <c r="B510" t="n">
        <v>1.6775</v>
      </c>
      <c r="C510" t="n">
        <v>1.6497</v>
      </c>
    </row>
    <row r="511">
      <c r="A511" t="n">
        <v>1.4813</v>
      </c>
      <c r="B511" t="n">
        <v>1.7127</v>
      </c>
      <c r="C511" t="n">
        <v>1.6864</v>
      </c>
    </row>
    <row r="512">
      <c r="A512" t="n">
        <v>1.5152</v>
      </c>
      <c r="B512" t="n">
        <v>1.4788</v>
      </c>
      <c r="C512" t="n">
        <v>1.4878</v>
      </c>
    </row>
    <row r="513">
      <c r="A513" t="n">
        <v>1.4788</v>
      </c>
      <c r="B513" t="n">
        <v>1.4499</v>
      </c>
      <c r="C513" t="n">
        <v>1.4318</v>
      </c>
    </row>
    <row r="514">
      <c r="A514" t="n">
        <v>1.8505</v>
      </c>
      <c r="B514" t="n">
        <v>1.4447</v>
      </c>
      <c r="C514" t="n">
        <v>1.782</v>
      </c>
    </row>
    <row r="515">
      <c r="A515" t="n">
        <v>1.4878</v>
      </c>
      <c r="B515" t="n">
        <v>1.6404</v>
      </c>
      <c r="C515" t="n">
        <v>1.4684</v>
      </c>
    </row>
    <row r="516">
      <c r="A516" t="n">
        <v>1.8475</v>
      </c>
      <c r="B516" t="n">
        <v>1.6869</v>
      </c>
      <c r="C516" t="n">
        <v>1.7358</v>
      </c>
    </row>
    <row r="517">
      <c r="A517" t="n">
        <v>1.5718</v>
      </c>
      <c r="B517" t="n">
        <v>1.5061</v>
      </c>
      <c r="C517" t="n">
        <v>1.5164</v>
      </c>
    </row>
    <row r="518">
      <c r="A518" t="n">
        <v>1.7051</v>
      </c>
      <c r="B518" t="n">
        <v>1.4433</v>
      </c>
      <c r="C518" t="n">
        <v>1.4584</v>
      </c>
    </row>
    <row r="519">
      <c r="A519" t="n">
        <v>1.5848</v>
      </c>
      <c r="B519" t="n">
        <v>1.4463</v>
      </c>
      <c r="C519" t="n">
        <v>1.4399</v>
      </c>
    </row>
    <row r="520">
      <c r="A520" t="n">
        <v>1.4918</v>
      </c>
      <c r="B520" t="n">
        <v>1.6186</v>
      </c>
      <c r="C520" t="n">
        <v>1.6352</v>
      </c>
    </row>
    <row r="521">
      <c r="A521" t="n">
        <v>1.6642</v>
      </c>
      <c r="B521" t="n">
        <v>1.5128</v>
      </c>
      <c r="C521" t="n">
        <v>1.7251</v>
      </c>
    </row>
    <row r="522">
      <c r="A522" t="n">
        <v>1.7068</v>
      </c>
      <c r="B522" t="n">
        <v>1.7003</v>
      </c>
      <c r="C522" t="n">
        <v>1.4737</v>
      </c>
    </row>
    <row r="523">
      <c r="A523" t="n">
        <v>1.5255</v>
      </c>
      <c r="B523" t="n">
        <v>1.4859</v>
      </c>
      <c r="C523" t="n">
        <v>1.4439</v>
      </c>
    </row>
    <row r="524">
      <c r="A524" t="n">
        <v>1.5516</v>
      </c>
      <c r="B524" t="n">
        <v>1.4597</v>
      </c>
      <c r="C524" t="n">
        <v>1.4391</v>
      </c>
    </row>
    <row r="525">
      <c r="A525" t="n">
        <v>1.7531</v>
      </c>
      <c r="B525" t="n">
        <v>1.6552</v>
      </c>
      <c r="C525" t="n">
        <v>1.5994</v>
      </c>
    </row>
    <row r="526">
      <c r="A526" t="n">
        <v>1.5653</v>
      </c>
      <c r="B526" t="n">
        <v>1.7727</v>
      </c>
      <c r="C526" t="n">
        <v>1.5677</v>
      </c>
    </row>
    <row r="527">
      <c r="A527" t="n">
        <v>1.7003</v>
      </c>
      <c r="B527" t="n">
        <v>1.4947</v>
      </c>
      <c r="C527" t="n">
        <v>1.687</v>
      </c>
    </row>
    <row r="528">
      <c r="A528" t="n">
        <v>1.7281</v>
      </c>
      <c r="B528" t="n">
        <v>1.4461</v>
      </c>
      <c r="C528" t="n">
        <v>1.4709</v>
      </c>
    </row>
    <row r="529">
      <c r="A529" t="n">
        <v>1.6225</v>
      </c>
      <c r="B529" t="n">
        <v>1.4264</v>
      </c>
      <c r="C529" t="n">
        <v>1.4714</v>
      </c>
    </row>
    <row r="530">
      <c r="A530" t="n">
        <v>1.4215</v>
      </c>
      <c r="B530" t="n">
        <v>1.9819</v>
      </c>
      <c r="C530" t="n">
        <v>1.6767</v>
      </c>
    </row>
    <row r="531">
      <c r="A531" t="n">
        <v>1.4951</v>
      </c>
      <c r="B531" t="n">
        <v>1.7442</v>
      </c>
      <c r="C531" t="n">
        <v>1.5004</v>
      </c>
    </row>
    <row r="532">
      <c r="A532" t="n">
        <v>1.4562</v>
      </c>
      <c r="B532" t="n">
        <v>1.7185</v>
      </c>
      <c r="C532" t="n">
        <v>1.6523</v>
      </c>
    </row>
    <row r="533">
      <c r="A533" t="n">
        <v>1.4516</v>
      </c>
      <c r="B533" t="n">
        <v>1.5025</v>
      </c>
      <c r="C533" t="n">
        <v>1.5164</v>
      </c>
    </row>
    <row r="534">
      <c r="A534" t="n">
        <v>1.5571</v>
      </c>
      <c r="B534" t="n">
        <v>1.6372</v>
      </c>
      <c r="C534" t="n">
        <v>1.4451</v>
      </c>
    </row>
    <row r="535">
      <c r="A535" t="n">
        <v>1.5298</v>
      </c>
      <c r="B535" t="n">
        <v>1.5003</v>
      </c>
      <c r="C535" t="n">
        <v>1.6702</v>
      </c>
    </row>
    <row r="536">
      <c r="A536" t="n">
        <v>1.5551</v>
      </c>
      <c r="B536" t="n">
        <v>1.4384</v>
      </c>
      <c r="C536" t="n">
        <v>1.5555</v>
      </c>
    </row>
    <row r="537">
      <c r="A537" t="n">
        <v>1.5451</v>
      </c>
      <c r="B537" t="n">
        <v>1.4292</v>
      </c>
      <c r="C537" t="n">
        <v>1.6505</v>
      </c>
    </row>
    <row r="538">
      <c r="A538" t="n">
        <v>1.5599</v>
      </c>
      <c r="B538" t="n">
        <v>1.4549</v>
      </c>
      <c r="C538" t="n">
        <v>1.5029</v>
      </c>
    </row>
    <row r="539">
      <c r="A539" t="n">
        <v>1.5504</v>
      </c>
      <c r="B539" t="n">
        <v>1.4592</v>
      </c>
      <c r="C539" t="n">
        <v>1.4542</v>
      </c>
    </row>
    <row r="540">
      <c r="A540" t="n">
        <v>1.7643</v>
      </c>
      <c r="B540" t="n">
        <v>1.4535</v>
      </c>
      <c r="C540" t="n">
        <v>1.5989</v>
      </c>
    </row>
    <row r="541">
      <c r="A541" t="n">
        <v>1.5901</v>
      </c>
      <c r="B541" t="n">
        <v>1.4858</v>
      </c>
      <c r="C541" t="n">
        <v>1.5225</v>
      </c>
    </row>
    <row r="542">
      <c r="A542" t="n">
        <v>1.4753</v>
      </c>
      <c r="B542" t="n">
        <v>1.6583</v>
      </c>
      <c r="C542" t="n">
        <v>1.6517</v>
      </c>
    </row>
    <row r="543">
      <c r="A543" t="n">
        <v>1.8624</v>
      </c>
      <c r="B543" t="n">
        <v>1.491</v>
      </c>
      <c r="C543" t="n">
        <v>1.4776</v>
      </c>
    </row>
    <row r="544">
      <c r="A544" t="n">
        <v>1.893</v>
      </c>
      <c r="B544" t="n">
        <v>1.4974</v>
      </c>
      <c r="C544" t="n">
        <v>1.4707</v>
      </c>
    </row>
    <row r="545">
      <c r="A545" t="n">
        <v>1.529</v>
      </c>
      <c r="B545" t="n">
        <v>1.6567</v>
      </c>
      <c r="C545" t="n">
        <v>1.3975</v>
      </c>
    </row>
    <row r="546">
      <c r="A546" t="n">
        <v>1.8301</v>
      </c>
      <c r="B546" t="n">
        <v>1.5385</v>
      </c>
      <c r="C546" t="n">
        <v>1.7624</v>
      </c>
    </row>
    <row r="547">
      <c r="A547" t="n">
        <v>1.7086</v>
      </c>
      <c r="B547" t="n">
        <v>1.6427</v>
      </c>
      <c r="C547" t="n">
        <v>1.4508</v>
      </c>
    </row>
    <row r="548">
      <c r="A548" t="n">
        <v>1.5327</v>
      </c>
      <c r="B548" t="n">
        <v>1.477</v>
      </c>
      <c r="C548" t="n">
        <v>1.5176</v>
      </c>
    </row>
    <row r="549">
      <c r="A549" t="n">
        <v>1.4953</v>
      </c>
      <c r="B549" t="n">
        <v>1.4594</v>
      </c>
      <c r="C549" t="n">
        <v>1.7342</v>
      </c>
    </row>
    <row r="550">
      <c r="A550" t="n">
        <v>1.5747</v>
      </c>
      <c r="B550" t="n">
        <v>1.6438</v>
      </c>
      <c r="C550" t="n">
        <v>1.7061</v>
      </c>
    </row>
    <row r="551">
      <c r="A551" t="n">
        <v>1.5013</v>
      </c>
      <c r="B551" t="n">
        <v>1.5183</v>
      </c>
      <c r="C551" t="n">
        <v>1.5644</v>
      </c>
    </row>
    <row r="552">
      <c r="A552" t="n">
        <v>1.868</v>
      </c>
      <c r="B552" t="n">
        <v>1.6541</v>
      </c>
      <c r="C552" t="n">
        <v>1.6464</v>
      </c>
    </row>
    <row r="553">
      <c r="A553" t="n">
        <v>2.2211</v>
      </c>
      <c r="B553" t="n">
        <v>1.4832</v>
      </c>
      <c r="C553" t="n">
        <v>1.4987</v>
      </c>
    </row>
    <row r="554">
      <c r="A554" t="n">
        <v>1.7474</v>
      </c>
      <c r="B554" t="n">
        <v>1.4017</v>
      </c>
      <c r="C554" t="n">
        <v>1.4683</v>
      </c>
    </row>
    <row r="555">
      <c r="A555" t="n">
        <v>1.5391</v>
      </c>
      <c r="B555" t="n">
        <v>1.4188</v>
      </c>
      <c r="C555" t="n">
        <v>1.6106</v>
      </c>
    </row>
    <row r="556">
      <c r="A556" t="n">
        <v>1.4824</v>
      </c>
      <c r="B556" t="n">
        <v>1.4604</v>
      </c>
      <c r="C556" t="n">
        <v>1.5424</v>
      </c>
    </row>
    <row r="557">
      <c r="A557" t="n">
        <v>1.7271</v>
      </c>
      <c r="B557" t="n">
        <v>1.4428</v>
      </c>
      <c r="C557" t="n">
        <v>1.4739</v>
      </c>
    </row>
    <row r="558">
      <c r="A558" t="n">
        <v>1.7494</v>
      </c>
      <c r="B558" t="n">
        <v>1.669</v>
      </c>
      <c r="C558" t="n">
        <v>1.4628</v>
      </c>
    </row>
    <row r="559">
      <c r="A559" t="n">
        <v>1.5597</v>
      </c>
      <c r="B559" t="n">
        <v>1.7125</v>
      </c>
      <c r="C559" t="n">
        <v>1.6697</v>
      </c>
    </row>
    <row r="560">
      <c r="A560" t="n">
        <v>1.507</v>
      </c>
      <c r="B560" t="n">
        <v>1.4672</v>
      </c>
      <c r="C560" t="n">
        <v>1.6582</v>
      </c>
    </row>
    <row r="561">
      <c r="A561" t="n">
        <v>1.756</v>
      </c>
      <c r="B561" t="n">
        <v>1.4537</v>
      </c>
      <c r="C561" t="n">
        <v>1.5404</v>
      </c>
    </row>
    <row r="562">
      <c r="A562" t="n">
        <v>1.5422</v>
      </c>
      <c r="B562" t="n">
        <v>2.0065</v>
      </c>
      <c r="C562" t="n">
        <v>1.686</v>
      </c>
    </row>
    <row r="563">
      <c r="A563" t="n">
        <v>1.5184</v>
      </c>
      <c r="B563" t="n">
        <v>1.4951</v>
      </c>
      <c r="C563" t="n">
        <v>1.487</v>
      </c>
    </row>
    <row r="564">
      <c r="A564" t="n">
        <v>1.5697</v>
      </c>
      <c r="B564" t="n">
        <v>1.4257</v>
      </c>
      <c r="C564" t="n">
        <v>1.3959</v>
      </c>
    </row>
    <row r="565">
      <c r="A565" t="n">
        <v>1.5265</v>
      </c>
      <c r="B565" t="n">
        <v>1.4281</v>
      </c>
      <c r="C565" t="n">
        <v>1.4101</v>
      </c>
    </row>
    <row r="566">
      <c r="A566" t="n">
        <v>1.7253</v>
      </c>
      <c r="B566" t="n">
        <v>1.4204</v>
      </c>
      <c r="C566" t="n">
        <v>1.4428</v>
      </c>
    </row>
    <row r="567">
      <c r="A567" t="n">
        <v>1.5696</v>
      </c>
      <c r="B567" t="n">
        <v>1.4505</v>
      </c>
      <c r="C567" t="n">
        <v>1.4762</v>
      </c>
    </row>
    <row r="568">
      <c r="A568" t="n">
        <v>1.4553</v>
      </c>
      <c r="B568" t="n">
        <v>1.7196</v>
      </c>
      <c r="C568" t="n">
        <v>1.6908</v>
      </c>
    </row>
    <row r="569">
      <c r="A569" t="n">
        <v>1.4609</v>
      </c>
      <c r="B569" t="n">
        <v>1.8008</v>
      </c>
      <c r="C569" t="n">
        <v>1.7318</v>
      </c>
    </row>
    <row r="570">
      <c r="A570" t="n">
        <v>1.5074</v>
      </c>
      <c r="B570" t="n">
        <v>1.4797</v>
      </c>
      <c r="C570" t="n">
        <v>1.5451</v>
      </c>
    </row>
    <row r="571">
      <c r="A571" t="n">
        <v>1.4694</v>
      </c>
      <c r="B571" t="n">
        <v>1.4485</v>
      </c>
      <c r="C571" t="n">
        <v>1.4524</v>
      </c>
    </row>
    <row r="572">
      <c r="A572" t="n">
        <v>1.5357</v>
      </c>
      <c r="B572" t="n">
        <v>1.4148</v>
      </c>
      <c r="C572" t="n">
        <v>1.425</v>
      </c>
    </row>
    <row r="573">
      <c r="A573" t="n">
        <v>1.5356</v>
      </c>
      <c r="B573" t="n">
        <v>1.6379</v>
      </c>
      <c r="C573" t="n">
        <v>1.4039</v>
      </c>
    </row>
    <row r="574">
      <c r="A574" t="n">
        <v>1.5079</v>
      </c>
      <c r="B574" t="n">
        <v>1.74</v>
      </c>
      <c r="C574" t="n">
        <v>1.5059</v>
      </c>
    </row>
    <row r="575">
      <c r="A575" t="n">
        <v>1.5227</v>
      </c>
      <c r="B575" t="n">
        <v>1.4775</v>
      </c>
      <c r="C575" t="n">
        <v>1.6484</v>
      </c>
    </row>
    <row r="576">
      <c r="A576" t="n">
        <v>1.5143</v>
      </c>
      <c r="B576" t="n">
        <v>1.4464</v>
      </c>
      <c r="C576" t="n">
        <v>1.4746</v>
      </c>
    </row>
    <row r="577">
      <c r="A577" t="n">
        <v>1.4801</v>
      </c>
      <c r="B577" t="n">
        <v>1.4479</v>
      </c>
      <c r="C577" t="n">
        <v>1.4384</v>
      </c>
    </row>
    <row r="578">
      <c r="A578" t="n">
        <v>2.0802</v>
      </c>
      <c r="B578" t="n">
        <v>1.6016</v>
      </c>
      <c r="C578" t="n">
        <v>1.9725</v>
      </c>
    </row>
    <row r="579">
      <c r="A579" t="n">
        <v>1.892</v>
      </c>
      <c r="B579" t="n">
        <v>1.5628</v>
      </c>
      <c r="C579" t="n">
        <v>1.7079</v>
      </c>
    </row>
    <row r="580">
      <c r="A580" t="n">
        <v>1.9274</v>
      </c>
      <c r="B580" t="n">
        <v>1.6638</v>
      </c>
      <c r="C580" t="n">
        <v>1.5062</v>
      </c>
    </row>
    <row r="581">
      <c r="A581" t="n">
        <v>1.6178</v>
      </c>
      <c r="B581" t="n">
        <v>1.4898</v>
      </c>
      <c r="C581" t="n">
        <v>1.4642</v>
      </c>
    </row>
    <row r="582">
      <c r="A582" t="n">
        <v>1.5379</v>
      </c>
      <c r="B582" t="n">
        <v>1.4945</v>
      </c>
      <c r="C582" t="n">
        <v>1.4213</v>
      </c>
    </row>
    <row r="583">
      <c r="A583" t="n">
        <v>1.7198</v>
      </c>
      <c r="B583" t="n">
        <v>1.6691</v>
      </c>
      <c r="C583" t="n">
        <v>1.6531</v>
      </c>
    </row>
    <row r="584">
      <c r="A584" t="n">
        <v>1.5463</v>
      </c>
      <c r="B584" t="n">
        <v>1.8466</v>
      </c>
      <c r="C584" t="n">
        <v>1.7284</v>
      </c>
    </row>
    <row r="585">
      <c r="A585" t="n">
        <v>1.4773</v>
      </c>
      <c r="B585" t="n">
        <v>2.2416</v>
      </c>
      <c r="C585" t="n">
        <v>1.4737</v>
      </c>
    </row>
    <row r="586">
      <c r="A586" t="n">
        <v>1.5246</v>
      </c>
      <c r="B586" t="n">
        <v>1.8443</v>
      </c>
      <c r="C586" t="n">
        <v>1.5396</v>
      </c>
    </row>
    <row r="587">
      <c r="A587" t="n">
        <v>1.5293</v>
      </c>
      <c r="B587" t="n">
        <v>1.7506</v>
      </c>
      <c r="C587" t="n">
        <v>1.4644</v>
      </c>
    </row>
    <row r="588">
      <c r="A588" t="n">
        <v>1.4886</v>
      </c>
      <c r="B588" t="n">
        <v>1.5832</v>
      </c>
      <c r="C588" t="n">
        <v>1.6734</v>
      </c>
    </row>
    <row r="589">
      <c r="A589" t="n">
        <v>1.5345</v>
      </c>
      <c r="B589" t="n">
        <v>1.6646</v>
      </c>
      <c r="C589" t="n">
        <v>1.7774</v>
      </c>
    </row>
    <row r="590">
      <c r="A590" t="n">
        <v>1.5021</v>
      </c>
      <c r="B590" t="n">
        <v>1.5023</v>
      </c>
      <c r="C590" t="n">
        <v>1.8523</v>
      </c>
    </row>
    <row r="591">
      <c r="A591" t="n">
        <v>1.4605</v>
      </c>
      <c r="B591" t="n">
        <v>1.4738</v>
      </c>
      <c r="C591" t="n">
        <v>1.5678</v>
      </c>
    </row>
    <row r="592">
      <c r="A592" t="n">
        <v>1.4542</v>
      </c>
      <c r="B592" t="n">
        <v>1.6457</v>
      </c>
      <c r="C592" t="n">
        <v>1.7326</v>
      </c>
    </row>
    <row r="593">
      <c r="A593" t="n">
        <v>1.4774</v>
      </c>
      <c r="B593" t="n">
        <v>1.5737</v>
      </c>
      <c r="C593" t="n">
        <v>1.4916</v>
      </c>
    </row>
    <row r="594">
      <c r="A594" t="n">
        <v>1.4228</v>
      </c>
      <c r="B594" t="n">
        <v>2.0591</v>
      </c>
      <c r="C594" t="n">
        <v>1.4653</v>
      </c>
    </row>
    <row r="595">
      <c r="A595" t="n">
        <v>1.4547</v>
      </c>
      <c r="B595" t="n">
        <v>1.7971</v>
      </c>
      <c r="C595" t="n">
        <v>1.66</v>
      </c>
    </row>
    <row r="596">
      <c r="A596" t="n">
        <v>1.6785</v>
      </c>
      <c r="B596" t="n">
        <v>1.7417</v>
      </c>
      <c r="C596" t="n">
        <v>1.8661</v>
      </c>
    </row>
    <row r="597">
      <c r="A597" t="n">
        <v>1.5259</v>
      </c>
      <c r="B597" t="n">
        <v>1.7244</v>
      </c>
      <c r="C597" t="n">
        <v>1.5124</v>
      </c>
    </row>
    <row r="598">
      <c r="A598" t="n">
        <v>1.4063</v>
      </c>
      <c r="B598" t="n">
        <v>1.871</v>
      </c>
      <c r="C598" t="n">
        <v>1.461</v>
      </c>
    </row>
    <row r="599">
      <c r="A599" t="n">
        <v>1.4473</v>
      </c>
      <c r="B599" t="n">
        <v>1.5498</v>
      </c>
      <c r="C599" t="n">
        <v>1.5089</v>
      </c>
    </row>
    <row r="600">
      <c r="A600" t="n">
        <v>1.4458</v>
      </c>
      <c r="B600" t="n">
        <v>1.4702</v>
      </c>
      <c r="C600" t="n">
        <v>1.68</v>
      </c>
    </row>
    <row r="601">
      <c r="A601" t="n">
        <v>1.4359</v>
      </c>
      <c r="B601" t="n">
        <v>1.4354</v>
      </c>
      <c r="C601" t="n">
        <v>1.7385</v>
      </c>
    </row>
    <row r="602">
      <c r="A602" t="n">
        <v>1.6162</v>
      </c>
      <c r="B602" t="n">
        <v>1.4602</v>
      </c>
      <c r="C602" t="n">
        <v>1.8788</v>
      </c>
    </row>
    <row r="603">
      <c r="A603" t="n">
        <v>1.5689</v>
      </c>
      <c r="B603" t="n">
        <v>1.4843</v>
      </c>
      <c r="C603" t="n">
        <v>1.5582</v>
      </c>
    </row>
    <row r="604">
      <c r="A604" t="n">
        <v>1.4204</v>
      </c>
      <c r="B604" t="n">
        <v>1.6976</v>
      </c>
      <c r="C604" t="n">
        <v>1.7322</v>
      </c>
    </row>
    <row r="605">
      <c r="A605" t="n">
        <v>1.4632</v>
      </c>
      <c r="B605" t="n">
        <v>1.7205</v>
      </c>
      <c r="C605" t="n">
        <v>1.719</v>
      </c>
    </row>
    <row r="606">
      <c r="A606" t="n">
        <v>1.4233</v>
      </c>
      <c r="B606" t="n">
        <v>1.8055</v>
      </c>
      <c r="C606" t="n">
        <v>1.7511</v>
      </c>
    </row>
    <row r="607">
      <c r="A607" t="n">
        <v>1.4245</v>
      </c>
      <c r="B607" t="n">
        <v>1.5351</v>
      </c>
      <c r="C607" t="n">
        <v>1.5501</v>
      </c>
    </row>
    <row r="608">
      <c r="A608" t="n">
        <v>1.471</v>
      </c>
      <c r="B608" t="n">
        <v>1.6911</v>
      </c>
      <c r="C608" t="n">
        <v>1.4863</v>
      </c>
    </row>
    <row r="609">
      <c r="A609" t="n">
        <v>1.4494</v>
      </c>
      <c r="B609" t="n">
        <v>1.5201</v>
      </c>
      <c r="C609" t="n">
        <v>1.4581</v>
      </c>
    </row>
    <row r="610">
      <c r="A610" t="n">
        <v>1.9919</v>
      </c>
      <c r="B610" t="n">
        <v>1.5019</v>
      </c>
      <c r="C610" t="n">
        <v>1.7938</v>
      </c>
    </row>
    <row r="611">
      <c r="A611" t="n">
        <v>1.7503</v>
      </c>
      <c r="B611" t="n">
        <v>1.6531</v>
      </c>
      <c r="C611" t="n">
        <v>1.7299</v>
      </c>
    </row>
    <row r="612">
      <c r="A612" t="n">
        <v>1.7015</v>
      </c>
      <c r="B612" t="n">
        <v>1.5781</v>
      </c>
      <c r="C612" t="n">
        <v>1.4983</v>
      </c>
    </row>
    <row r="613">
      <c r="A613" t="n">
        <v>1.4971</v>
      </c>
      <c r="B613" t="n">
        <v>1.437</v>
      </c>
      <c r="C613" t="n">
        <v>1.4908</v>
      </c>
    </row>
    <row r="614">
      <c r="A614" t="n">
        <v>1.6855</v>
      </c>
      <c r="B614" t="n">
        <v>1.4665</v>
      </c>
      <c r="C614" t="n">
        <v>1.4648</v>
      </c>
    </row>
    <row r="615">
      <c r="A615" t="n">
        <v>1.7691</v>
      </c>
      <c r="B615" t="n">
        <v>1.4583</v>
      </c>
      <c r="C615" t="n">
        <v>1.4421</v>
      </c>
    </row>
    <row r="616">
      <c r="A616" t="n">
        <v>1.869</v>
      </c>
      <c r="B616" t="n">
        <v>1.4205</v>
      </c>
      <c r="C616" t="n">
        <v>1.4516</v>
      </c>
    </row>
    <row r="617">
      <c r="A617" t="n">
        <v>1.5281</v>
      </c>
      <c r="B617" t="n">
        <v>1.469</v>
      </c>
      <c r="C617" t="n">
        <v>1.5177</v>
      </c>
    </row>
    <row r="618">
      <c r="A618" t="n">
        <v>1.4374</v>
      </c>
      <c r="B618" t="n">
        <v>1.476</v>
      </c>
      <c r="C618" t="n">
        <v>1.4842</v>
      </c>
    </row>
    <row r="619">
      <c r="A619" t="n">
        <v>1.4132</v>
      </c>
      <c r="B619" t="n">
        <v>1.43</v>
      </c>
      <c r="C619" t="n">
        <v>1.451</v>
      </c>
    </row>
    <row r="620">
      <c r="A620" t="n">
        <v>1.4406</v>
      </c>
      <c r="B620" t="n">
        <v>1.5593</v>
      </c>
      <c r="C620" t="n">
        <v>1.4549</v>
      </c>
    </row>
    <row r="621">
      <c r="A621" t="n">
        <v>1.4204</v>
      </c>
      <c r="B621" t="n">
        <v>1.4776</v>
      </c>
      <c r="C621" t="n">
        <v>1.4851</v>
      </c>
    </row>
    <row r="622">
      <c r="A622" t="n">
        <v>1.6263</v>
      </c>
      <c r="B622" t="n">
        <v>1.4349</v>
      </c>
      <c r="C622" t="n">
        <v>1.4967</v>
      </c>
    </row>
    <row r="623">
      <c r="A623" t="n">
        <v>1.6017</v>
      </c>
      <c r="B623" t="n">
        <v>1.5298</v>
      </c>
      <c r="C623" t="n">
        <v>1.5499</v>
      </c>
    </row>
    <row r="624">
      <c r="A624" t="n">
        <v>1.4608</v>
      </c>
      <c r="B624" t="n">
        <v>1.4296</v>
      </c>
      <c r="C624" t="n">
        <v>1.4849</v>
      </c>
    </row>
    <row r="625">
      <c r="A625" t="n">
        <v>1.4199</v>
      </c>
      <c r="B625" t="n">
        <v>1.4422</v>
      </c>
      <c r="C625" t="n">
        <v>1.5368</v>
      </c>
    </row>
    <row r="626">
      <c r="A626" t="n">
        <v>1.4551</v>
      </c>
      <c r="B626" t="n">
        <v>1.7593</v>
      </c>
      <c r="C626" t="n">
        <v>1.7768</v>
      </c>
    </row>
    <row r="627">
      <c r="A627" t="n">
        <v>1.4019</v>
      </c>
      <c r="B627" t="n">
        <v>1.4966</v>
      </c>
      <c r="C627" t="n">
        <v>1.6946</v>
      </c>
    </row>
    <row r="628">
      <c r="A628" t="n">
        <v>1.4426</v>
      </c>
      <c r="B628" t="n">
        <v>1.7067</v>
      </c>
      <c r="C628" t="n">
        <v>1.5746</v>
      </c>
    </row>
    <row r="629">
      <c r="A629" t="n">
        <v>1.4763</v>
      </c>
      <c r="B629" t="n">
        <v>1.7309</v>
      </c>
      <c r="C629" t="n">
        <v>1.6783</v>
      </c>
    </row>
    <row r="630">
      <c r="A630" t="n">
        <v>1.4121</v>
      </c>
      <c r="B630" t="n">
        <v>1.5393</v>
      </c>
      <c r="C630" t="n">
        <v>1.4828</v>
      </c>
    </row>
    <row r="631">
      <c r="A631" t="n">
        <v>1.4441</v>
      </c>
      <c r="B631" t="n">
        <v>1.6684</v>
      </c>
      <c r="C631" t="n">
        <v>1.4864</v>
      </c>
    </row>
    <row r="632">
      <c r="A632" t="n">
        <v>1.6361</v>
      </c>
      <c r="B632" t="n">
        <v>1.5026</v>
      </c>
      <c r="C632" t="n">
        <v>1.6637</v>
      </c>
    </row>
    <row r="633">
      <c r="A633" t="n">
        <v>1.5299</v>
      </c>
      <c r="B633" t="n">
        <v>1.4866</v>
      </c>
      <c r="C633" t="n">
        <v>1.7861</v>
      </c>
    </row>
    <row r="634">
      <c r="A634" t="n">
        <v>1.4237</v>
      </c>
      <c r="B634" t="n">
        <v>1.6643</v>
      </c>
      <c r="C634" t="n">
        <v>1.5276</v>
      </c>
    </row>
    <row r="635">
      <c r="A635" t="n">
        <v>1.4064</v>
      </c>
      <c r="B635" t="n">
        <v>1.8234</v>
      </c>
      <c r="C635" t="n">
        <v>1.4685</v>
      </c>
    </row>
    <row r="636">
      <c r="A636" t="n">
        <v>1.4518</v>
      </c>
      <c r="B636" t="n">
        <v>1.5159</v>
      </c>
      <c r="C636" t="n">
        <v>1.4469</v>
      </c>
    </row>
    <row r="637">
      <c r="A637" t="n">
        <v>1.4574</v>
      </c>
      <c r="B637" t="n">
        <v>1.4608</v>
      </c>
      <c r="C637" t="n">
        <v>1.6451</v>
      </c>
    </row>
    <row r="638">
      <c r="A638" t="n">
        <v>1.6782</v>
      </c>
      <c r="B638" t="n">
        <v>1.4516</v>
      </c>
      <c r="C638" t="n">
        <v>1.7082</v>
      </c>
    </row>
    <row r="639">
      <c r="A639" t="n">
        <v>1.7247</v>
      </c>
      <c r="B639" t="n">
        <v>1.6798</v>
      </c>
      <c r="C639" t="n">
        <v>1.5028</v>
      </c>
    </row>
    <row r="640">
      <c r="A640" t="n">
        <v>1.483</v>
      </c>
      <c r="B640" t="n">
        <v>1.6987</v>
      </c>
      <c r="C640" t="n">
        <v>1.4882</v>
      </c>
    </row>
    <row r="641">
      <c r="A641" t="n">
        <v>1.4317</v>
      </c>
      <c r="B641" t="n">
        <v>1.5136</v>
      </c>
      <c r="C641" t="n">
        <v>1.7319</v>
      </c>
    </row>
    <row r="642">
      <c r="A642" t="n">
        <v>2.001</v>
      </c>
      <c r="B642" t="n">
        <v>1.4884</v>
      </c>
      <c r="C642" t="n">
        <v>2.6588</v>
      </c>
    </row>
    <row r="643">
      <c r="A643" t="n">
        <v>1.5016</v>
      </c>
      <c r="B643" t="n">
        <v>1.4709</v>
      </c>
      <c r="C643" t="n">
        <v>2.0631</v>
      </c>
    </row>
    <row r="644">
      <c r="A644" t="n">
        <v>1.4158</v>
      </c>
      <c r="B644" t="n">
        <v>1.7079</v>
      </c>
      <c r="C644" t="n">
        <v>2.0969</v>
      </c>
    </row>
    <row r="645">
      <c r="A645" t="n">
        <v>1.4167</v>
      </c>
      <c r="B645" t="n">
        <v>1.6747</v>
      </c>
      <c r="C645" t="n">
        <v>3.4938</v>
      </c>
    </row>
    <row r="646">
      <c r="A646" t="n">
        <v>1.4379</v>
      </c>
      <c r="B646" t="n">
        <v>1.4983</v>
      </c>
      <c r="C646" t="n">
        <v>1.8045</v>
      </c>
    </row>
    <row r="647">
      <c r="A647" t="n">
        <v>1.4522</v>
      </c>
      <c r="B647" t="n">
        <v>1.4749</v>
      </c>
      <c r="C647" t="n">
        <v>1.5849</v>
      </c>
    </row>
    <row r="648">
      <c r="A648" t="n">
        <v>1.6393</v>
      </c>
      <c r="B648" t="n">
        <v>1.4797</v>
      </c>
      <c r="C648" t="n">
        <v>1.5151</v>
      </c>
    </row>
    <row r="649">
      <c r="A649" t="n">
        <v>1.757</v>
      </c>
      <c r="B649" t="n">
        <v>1.6838</v>
      </c>
      <c r="C649" t="n">
        <v>1.4457</v>
      </c>
    </row>
    <row r="650">
      <c r="A650" t="n">
        <v>1.5068</v>
      </c>
      <c r="B650" t="n">
        <v>1.7253</v>
      </c>
      <c r="C650" t="n">
        <v>1.5138</v>
      </c>
    </row>
    <row r="651">
      <c r="A651" t="n">
        <v>1.4548</v>
      </c>
      <c r="B651" t="n">
        <v>1.514</v>
      </c>
      <c r="C651" t="n">
        <v>1.5353</v>
      </c>
    </row>
    <row r="652">
      <c r="A652" t="n">
        <v>1.4278</v>
      </c>
      <c r="B652" t="n">
        <v>1.6838</v>
      </c>
      <c r="C652" t="n">
        <v>1.5016</v>
      </c>
    </row>
    <row r="653">
      <c r="A653" t="n">
        <v>1.6112</v>
      </c>
      <c r="B653" t="n">
        <v>1.6858</v>
      </c>
      <c r="C653" t="n">
        <v>1.4931</v>
      </c>
    </row>
    <row r="654">
      <c r="A654" t="n">
        <v>1.5033</v>
      </c>
      <c r="B654" t="n">
        <v>1.5408</v>
      </c>
      <c r="C654" t="n">
        <v>1.5227</v>
      </c>
    </row>
    <row r="655">
      <c r="A655" t="n">
        <v>1.613</v>
      </c>
      <c r="B655" t="n">
        <v>1.4424</v>
      </c>
      <c r="C655" t="n">
        <v>1.5252</v>
      </c>
    </row>
    <row r="656">
      <c r="A656" t="n">
        <v>1.4788</v>
      </c>
      <c r="B656" t="n">
        <v>1.443</v>
      </c>
      <c r="C656" t="n">
        <v>1.5116</v>
      </c>
    </row>
    <row r="657">
      <c r="A657" t="n">
        <v>1.454</v>
      </c>
      <c r="B657" t="n">
        <v>1.4634</v>
      </c>
      <c r="C657" t="n">
        <v>1.4889</v>
      </c>
    </row>
    <row r="658">
      <c r="A658" t="n">
        <v>1.3824</v>
      </c>
      <c r="B658" t="n">
        <v>1.9884</v>
      </c>
      <c r="C658" t="n">
        <v>1.8559</v>
      </c>
    </row>
    <row r="659">
      <c r="A659" t="n">
        <v>1.4183</v>
      </c>
      <c r="B659" t="n">
        <v>1.5821</v>
      </c>
      <c r="C659" t="n">
        <v>1.5315</v>
      </c>
    </row>
    <row r="660">
      <c r="A660" t="n">
        <v>1.4371</v>
      </c>
      <c r="B660" t="n">
        <v>1.4843</v>
      </c>
      <c r="C660" t="n">
        <v>1.4832</v>
      </c>
    </row>
    <row r="661">
      <c r="A661" t="n">
        <v>1.7111</v>
      </c>
      <c r="B661" t="n">
        <v>1.3976</v>
      </c>
      <c r="C661" t="n">
        <v>1.4602</v>
      </c>
    </row>
    <row r="662">
      <c r="A662" t="n">
        <v>1.752</v>
      </c>
      <c r="B662" t="n">
        <v>1.4463</v>
      </c>
      <c r="C662" t="n">
        <v>1.6848</v>
      </c>
    </row>
    <row r="663">
      <c r="A663" t="n">
        <v>1.4848</v>
      </c>
      <c r="B663" t="n">
        <v>1.4569</v>
      </c>
      <c r="C663" t="n">
        <v>1.7446</v>
      </c>
    </row>
    <row r="664">
      <c r="A664" t="n">
        <v>1.4366</v>
      </c>
      <c r="B664" t="n">
        <v>1.44</v>
      </c>
      <c r="C664" t="n">
        <v>1.5595</v>
      </c>
    </row>
    <row r="665">
      <c r="A665" t="n">
        <v>1.4374</v>
      </c>
      <c r="B665" t="n">
        <v>1.8238</v>
      </c>
      <c r="C665" t="n">
        <v>1.5208</v>
      </c>
    </row>
    <row r="666">
      <c r="A666" t="n">
        <v>1.6702</v>
      </c>
      <c r="B666" t="n">
        <v>1.5177</v>
      </c>
      <c r="C666" t="n">
        <v>1.6693</v>
      </c>
    </row>
    <row r="667">
      <c r="A667" t="n">
        <v>1.6632</v>
      </c>
      <c r="B667" t="n">
        <v>1.4538</v>
      </c>
      <c r="C667" t="n">
        <v>1.5235</v>
      </c>
    </row>
    <row r="668">
      <c r="A668" t="n">
        <v>1.4825</v>
      </c>
      <c r="B668" t="n">
        <v>1.4541</v>
      </c>
      <c r="C668" t="n">
        <v>1.6882</v>
      </c>
    </row>
    <row r="669">
      <c r="A669" t="n">
        <v>1.4566</v>
      </c>
      <c r="B669" t="n">
        <v>1.7298</v>
      </c>
      <c r="C669" t="n">
        <v>1.7426</v>
      </c>
    </row>
    <row r="670">
      <c r="A670" t="n">
        <v>1.4164</v>
      </c>
      <c r="B670" t="n">
        <v>1.7187</v>
      </c>
      <c r="C670" t="n">
        <v>1.5308</v>
      </c>
    </row>
    <row r="671">
      <c r="A671" t="n">
        <v>1.6223</v>
      </c>
      <c r="B671" t="n">
        <v>1.5208</v>
      </c>
      <c r="C671" t="n">
        <v>1.7011</v>
      </c>
    </row>
    <row r="672">
      <c r="A672" t="n">
        <v>1.7823</v>
      </c>
      <c r="B672" t="n">
        <v>1.4794</v>
      </c>
      <c r="C672" t="n">
        <v>1.5006</v>
      </c>
    </row>
    <row r="673">
      <c r="A673" t="n">
        <v>1.4571</v>
      </c>
      <c r="B673" t="n">
        <v>1.5312</v>
      </c>
      <c r="C673" t="n">
        <v>1.4673</v>
      </c>
    </row>
    <row r="674">
      <c r="A674" t="n">
        <v>1.7914</v>
      </c>
      <c r="B674" t="n">
        <v>1.4575</v>
      </c>
      <c r="C674" t="n">
        <v>2.0056</v>
      </c>
    </row>
    <row r="675">
      <c r="A675" t="n">
        <v>1.6605</v>
      </c>
      <c r="B675" t="n">
        <v>1.6948</v>
      </c>
      <c r="C675" t="n">
        <v>1.729</v>
      </c>
    </row>
    <row r="676">
      <c r="A676" t="n">
        <v>1.4884</v>
      </c>
      <c r="B676" t="n">
        <v>1.4588</v>
      </c>
      <c r="C676" t="n">
        <v>1.6928</v>
      </c>
    </row>
    <row r="677">
      <c r="A677" t="n">
        <v>1.7665</v>
      </c>
      <c r="B677" t="n">
        <v>1.4855</v>
      </c>
      <c r="C677" t="n">
        <v>1.545</v>
      </c>
    </row>
    <row r="678">
      <c r="A678" t="n">
        <v>1.6668</v>
      </c>
      <c r="B678" t="n">
        <v>1.4409</v>
      </c>
      <c r="C678" t="n">
        <v>1.6134</v>
      </c>
    </row>
    <row r="679">
      <c r="A679" t="n">
        <v>1.5276</v>
      </c>
      <c r="B679" t="n">
        <v>1.6261</v>
      </c>
      <c r="C679" t="n">
        <v>1.4823</v>
      </c>
    </row>
    <row r="680">
      <c r="A680" t="n">
        <v>1.6339</v>
      </c>
      <c r="B680" t="n">
        <v>1.8842</v>
      </c>
      <c r="C680" t="n">
        <v>1.443</v>
      </c>
    </row>
    <row r="681">
      <c r="A681" t="n">
        <v>1.4905</v>
      </c>
      <c r="B681" t="n">
        <v>1.4897</v>
      </c>
      <c r="C681" t="n">
        <v>1.4025</v>
      </c>
    </row>
    <row r="682">
      <c r="A682" t="n">
        <v>1.3931</v>
      </c>
      <c r="B682" t="n">
        <v>1.4433</v>
      </c>
      <c r="C682" t="n">
        <v>1.4065</v>
      </c>
    </row>
    <row r="683">
      <c r="A683" t="n">
        <v>1.4119</v>
      </c>
      <c r="B683" t="n">
        <v>1.4566</v>
      </c>
      <c r="C683" t="n">
        <v>1.4332</v>
      </c>
    </row>
    <row r="684">
      <c r="A684" t="n">
        <v>1.486</v>
      </c>
      <c r="B684" t="n">
        <v>1.6214</v>
      </c>
      <c r="C684" t="n">
        <v>1.6324</v>
      </c>
    </row>
    <row r="685">
      <c r="A685" t="n">
        <v>1.461</v>
      </c>
      <c r="B685" t="n">
        <v>1.7029</v>
      </c>
      <c r="C685" t="n">
        <v>1.7174</v>
      </c>
    </row>
    <row r="686">
      <c r="A686" t="n">
        <v>1.4</v>
      </c>
      <c r="B686" t="n">
        <v>1.5107</v>
      </c>
      <c r="C686" t="n">
        <v>1.5132</v>
      </c>
    </row>
    <row r="687">
      <c r="A687" t="n">
        <v>1.508</v>
      </c>
      <c r="B687" t="n">
        <v>1.4606</v>
      </c>
      <c r="C687" t="n">
        <v>1.4679</v>
      </c>
    </row>
    <row r="688">
      <c r="A688" t="n">
        <v>1.6497</v>
      </c>
      <c r="B688" t="n">
        <v>1.4254</v>
      </c>
      <c r="C688" t="n">
        <v>1.4344</v>
      </c>
    </row>
    <row r="689">
      <c r="A689" t="n">
        <v>1.4929</v>
      </c>
      <c r="B689" t="n">
        <v>1.6043</v>
      </c>
      <c r="C689" t="n">
        <v>1.6302</v>
      </c>
    </row>
    <row r="690">
      <c r="A690" t="n">
        <v>1.4386</v>
      </c>
      <c r="B690" t="n">
        <v>2.1048</v>
      </c>
      <c r="C690" t="n">
        <v>1.7264</v>
      </c>
    </row>
    <row r="691">
      <c r="A691" t="n">
        <v>1.3838</v>
      </c>
      <c r="B691" t="n">
        <v>1.6845</v>
      </c>
      <c r="C691" t="n">
        <v>1.4655</v>
      </c>
    </row>
    <row r="692">
      <c r="A692" t="n">
        <v>1.4136</v>
      </c>
      <c r="B692" t="n">
        <v>1.5102</v>
      </c>
      <c r="C692" t="n">
        <v>1.4454</v>
      </c>
    </row>
    <row r="693">
      <c r="A693" t="n">
        <v>1.444</v>
      </c>
      <c r="B693" t="n">
        <v>1.4311</v>
      </c>
      <c r="C693" t="n">
        <v>1.4508</v>
      </c>
    </row>
    <row r="694">
      <c r="A694" t="n">
        <v>1.647</v>
      </c>
      <c r="B694" t="n">
        <v>1.4693</v>
      </c>
      <c r="C694" t="n">
        <v>1.4214</v>
      </c>
    </row>
    <row r="695">
      <c r="A695" t="n">
        <v>1.7625</v>
      </c>
      <c r="B695" t="n">
        <v>1.6322</v>
      </c>
      <c r="C695" t="n">
        <v>1.4687</v>
      </c>
    </row>
    <row r="696">
      <c r="A696" t="n">
        <v>1.4844</v>
      </c>
      <c r="B696" t="n">
        <v>1.5437</v>
      </c>
      <c r="C696" t="n">
        <v>1.6693</v>
      </c>
    </row>
    <row r="697">
      <c r="A697" t="n">
        <v>1.4229</v>
      </c>
      <c r="B697" t="n">
        <v>1.4619</v>
      </c>
      <c r="C697" t="n">
        <v>1.5016</v>
      </c>
    </row>
    <row r="698">
      <c r="A698" t="n">
        <v>1.452</v>
      </c>
      <c r="B698" t="n">
        <v>1.4302</v>
      </c>
      <c r="C698" t="n">
        <v>1.6703</v>
      </c>
    </row>
    <row r="699">
      <c r="A699" t="n">
        <v>1.6723</v>
      </c>
      <c r="B699" t="n">
        <v>1.397</v>
      </c>
      <c r="C699" t="n">
        <v>1.7149</v>
      </c>
    </row>
    <row r="700">
      <c r="A700" t="n">
        <v>1.7107</v>
      </c>
      <c r="B700" t="n">
        <v>1.4781</v>
      </c>
      <c r="C700" t="n">
        <v>1.5375</v>
      </c>
    </row>
    <row r="701">
      <c r="A701" t="n">
        <v>1.48</v>
      </c>
      <c r="B701" t="n">
        <v>1.6476</v>
      </c>
      <c r="C701" t="n">
        <v>1.6551</v>
      </c>
    </row>
    <row r="702">
      <c r="A702" t="n">
        <v>1.4531</v>
      </c>
      <c r="B702" t="n">
        <v>1.4886</v>
      </c>
      <c r="C702" t="n">
        <v>1.4846</v>
      </c>
    </row>
    <row r="703">
      <c r="A703" t="n">
        <v>1.4444</v>
      </c>
      <c r="B703" t="n">
        <v>1.4209</v>
      </c>
      <c r="C703" t="n">
        <v>1.4225</v>
      </c>
    </row>
    <row r="704">
      <c r="A704" t="n">
        <v>1.6421</v>
      </c>
      <c r="B704" t="n">
        <v>1.4077</v>
      </c>
      <c r="C704" t="n">
        <v>1.4035</v>
      </c>
    </row>
    <row r="705">
      <c r="A705" t="n">
        <v>1.6756</v>
      </c>
      <c r="B705" t="n">
        <v>1.4401</v>
      </c>
      <c r="C705" t="n">
        <v>1.407</v>
      </c>
    </row>
    <row r="706">
      <c r="A706" t="n">
        <v>1.9777</v>
      </c>
      <c r="B706" t="n">
        <v>1.4278</v>
      </c>
      <c r="C706" t="n">
        <v>1.7364</v>
      </c>
    </row>
    <row r="707">
      <c r="A707" t="n">
        <v>1.5263</v>
      </c>
      <c r="B707" t="n">
        <v>1.657</v>
      </c>
      <c r="C707" t="n">
        <v>1.5009</v>
      </c>
    </row>
    <row r="708">
      <c r="A708" t="n">
        <v>1.6201</v>
      </c>
      <c r="B708" t="n">
        <v>1.7237</v>
      </c>
      <c r="C708" t="n">
        <v>1.7241</v>
      </c>
    </row>
    <row r="709">
      <c r="A709" t="n">
        <v>1.4626</v>
      </c>
      <c r="B709" t="n">
        <v>1.4645</v>
      </c>
      <c r="C709" t="n">
        <v>1.6928</v>
      </c>
    </row>
    <row r="710">
      <c r="A710" t="n">
        <v>1.4449</v>
      </c>
      <c r="B710" t="n">
        <v>1.4384</v>
      </c>
      <c r="C710" t="n">
        <v>1.5302</v>
      </c>
    </row>
    <row r="711">
      <c r="A711" t="n">
        <v>1.3994</v>
      </c>
      <c r="B711" t="n">
        <v>1.4427</v>
      </c>
      <c r="C711" t="n">
        <v>1.6771</v>
      </c>
    </row>
    <row r="712">
      <c r="A712" t="n">
        <v>1.4355</v>
      </c>
      <c r="B712" t="n">
        <v>1.6108</v>
      </c>
      <c r="C712" t="n">
        <v>1.4971</v>
      </c>
    </row>
    <row r="713">
      <c r="A713" t="n">
        <v>1.4592</v>
      </c>
      <c r="B713" t="n">
        <v>1.7353</v>
      </c>
      <c r="C713" t="n">
        <v>1.458</v>
      </c>
    </row>
    <row r="714">
      <c r="A714" t="n">
        <v>1.6774</v>
      </c>
      <c r="B714" t="n">
        <v>1.4889</v>
      </c>
      <c r="C714" t="n">
        <v>1.4118</v>
      </c>
    </row>
    <row r="715">
      <c r="A715" t="n">
        <v>1.7152</v>
      </c>
      <c r="B715" t="n">
        <v>1.4289</v>
      </c>
      <c r="C715" t="n">
        <v>1.426</v>
      </c>
    </row>
    <row r="716">
      <c r="A716" t="n">
        <v>1.4946</v>
      </c>
      <c r="B716" t="n">
        <v>1.4422</v>
      </c>
      <c r="C716" t="n">
        <v>1.4402</v>
      </c>
    </row>
    <row r="717">
      <c r="A717" t="n">
        <v>1.4566</v>
      </c>
      <c r="B717" t="n">
        <v>1.6157</v>
      </c>
      <c r="C717" t="n">
        <v>1.6511</v>
      </c>
    </row>
    <row r="718">
      <c r="A718" t="n">
        <v>1.4332</v>
      </c>
      <c r="B718" t="n">
        <v>1.6378</v>
      </c>
      <c r="C718" t="n">
        <v>1.7217</v>
      </c>
    </row>
    <row r="719">
      <c r="A719" t="n">
        <v>1.6753</v>
      </c>
      <c r="B719" t="n">
        <v>1.431</v>
      </c>
      <c r="C719" t="n">
        <v>1.4892</v>
      </c>
    </row>
    <row r="720">
      <c r="A720" t="n">
        <v>1.7423</v>
      </c>
      <c r="B720" t="n">
        <v>1.4512</v>
      </c>
      <c r="C720" t="n">
        <v>1.4423</v>
      </c>
    </row>
    <row r="721">
      <c r="A721" t="n">
        <v>1.4759</v>
      </c>
      <c r="B721" t="n">
        <v>1.4002</v>
      </c>
      <c r="C721" t="n">
        <v>1.4173</v>
      </c>
    </row>
    <row r="722">
      <c r="A722" t="n">
        <v>1.455</v>
      </c>
      <c r="B722" t="n">
        <v>1.7334</v>
      </c>
      <c r="C722" t="n">
        <v>1.6572</v>
      </c>
    </row>
    <row r="723">
      <c r="A723" t="n">
        <v>1.4421</v>
      </c>
      <c r="B723" t="n">
        <v>1.5276</v>
      </c>
      <c r="C723" t="n">
        <v>1.7396</v>
      </c>
    </row>
    <row r="724">
      <c r="A724" t="n">
        <v>1.6238</v>
      </c>
      <c r="B724" t="n">
        <v>1.6183</v>
      </c>
      <c r="C724" t="n">
        <v>1.4618</v>
      </c>
    </row>
    <row r="725">
      <c r="A725" t="n">
        <v>1.7555</v>
      </c>
      <c r="B725" t="n">
        <v>1.5134</v>
      </c>
      <c r="C725" t="n">
        <v>1.4348</v>
      </c>
    </row>
    <row r="726">
      <c r="A726" t="n">
        <v>1.51</v>
      </c>
      <c r="B726" t="n">
        <v>1.4395</v>
      </c>
      <c r="C726" t="n">
        <v>1.4681</v>
      </c>
    </row>
    <row r="727">
      <c r="A727" t="n">
        <v>1.4393</v>
      </c>
      <c r="B727" t="n">
        <v>1.4251</v>
      </c>
      <c r="C727" t="n">
        <v>1.6058</v>
      </c>
    </row>
    <row r="728">
      <c r="A728" t="n">
        <v>1.4459</v>
      </c>
      <c r="B728" t="n">
        <v>1.4532</v>
      </c>
      <c r="C728" t="n">
        <v>1.8855</v>
      </c>
    </row>
    <row r="729">
      <c r="A729" t="n">
        <v>1.5941</v>
      </c>
      <c r="B729" t="n">
        <v>1.4573</v>
      </c>
      <c r="C729" t="n">
        <v>1.5055</v>
      </c>
    </row>
    <row r="730">
      <c r="A730" t="n">
        <v>1.5782</v>
      </c>
      <c r="B730" t="n">
        <v>1.606</v>
      </c>
      <c r="C730" t="n">
        <v>1.461</v>
      </c>
    </row>
    <row r="731">
      <c r="A731" t="n">
        <v>1.4669</v>
      </c>
      <c r="B731" t="n">
        <v>1.8082</v>
      </c>
      <c r="C731" t="n">
        <v>1.4867</v>
      </c>
    </row>
    <row r="732">
      <c r="A732" t="n">
        <v>1.4404</v>
      </c>
      <c r="B732" t="n">
        <v>1.4995</v>
      </c>
      <c r="C732" t="n">
        <v>1.6736</v>
      </c>
    </row>
    <row r="733">
      <c r="A733" t="n">
        <v>1.4281</v>
      </c>
      <c r="B733" t="n">
        <v>1.4151</v>
      </c>
      <c r="C733" t="n">
        <v>1.697</v>
      </c>
    </row>
    <row r="734">
      <c r="A734" t="n">
        <v>1.4081</v>
      </c>
      <c r="B734" t="n">
        <v>1.4323</v>
      </c>
      <c r="C734" t="n">
        <v>1.4784</v>
      </c>
    </row>
    <row r="735">
      <c r="A735" t="n">
        <v>1.4233</v>
      </c>
      <c r="B735" t="n">
        <v>1.6209</v>
      </c>
      <c r="C735" t="n">
        <v>1.456</v>
      </c>
    </row>
    <row r="736">
      <c r="A736" t="n">
        <v>1.4302</v>
      </c>
      <c r="B736" t="n">
        <v>1.5304</v>
      </c>
      <c r="C736" t="n">
        <v>1.4399</v>
      </c>
    </row>
    <row r="737">
      <c r="A737" t="n">
        <v>1.626</v>
      </c>
      <c r="B737" t="n">
        <v>1.6582</v>
      </c>
      <c r="C737" t="n">
        <v>1.6179</v>
      </c>
    </row>
    <row r="738">
      <c r="A738" t="n">
        <v>2.0096</v>
      </c>
      <c r="B738" t="n">
        <v>1.4866</v>
      </c>
      <c r="C738" t="n">
        <v>2.0576</v>
      </c>
    </row>
    <row r="739">
      <c r="A739" t="n">
        <v>1.7072</v>
      </c>
      <c r="B739" t="n">
        <v>1.4304</v>
      </c>
      <c r="C739" t="n">
        <v>1.6778</v>
      </c>
    </row>
    <row r="740">
      <c r="A740" t="n">
        <v>1.5199</v>
      </c>
      <c r="B740" t="n">
        <v>1.6776</v>
      </c>
      <c r="C740" t="n">
        <v>1.5363</v>
      </c>
    </row>
    <row r="741">
      <c r="A741" t="n">
        <v>1.6747</v>
      </c>
      <c r="B741" t="n">
        <v>1.5302</v>
      </c>
      <c r="C741" t="n">
        <v>1.6622</v>
      </c>
    </row>
    <row r="742">
      <c r="A742" t="n">
        <v>1.4854</v>
      </c>
      <c r="B742" t="n">
        <v>1.6491</v>
      </c>
      <c r="C742" t="n">
        <v>1.4676</v>
      </c>
    </row>
    <row r="743">
      <c r="A743" t="n">
        <v>1.4575</v>
      </c>
      <c r="B743" t="n">
        <v>1.4994</v>
      </c>
      <c r="C743" t="n">
        <v>1.4229</v>
      </c>
    </row>
    <row r="744">
      <c r="A744" t="n">
        <v>1.3957</v>
      </c>
      <c r="B744" t="n">
        <v>1.4625</v>
      </c>
      <c r="C744" t="n">
        <v>1.4349</v>
      </c>
    </row>
    <row r="745">
      <c r="A745" t="n">
        <v>1.4223</v>
      </c>
      <c r="B745" t="n">
        <v>1.392</v>
      </c>
      <c r="C745" t="n">
        <v>1.4243</v>
      </c>
    </row>
    <row r="746">
      <c r="A746" t="n">
        <v>1.4418</v>
      </c>
      <c r="B746" t="n">
        <v>1.4442</v>
      </c>
      <c r="C746" t="n">
        <v>1.4599</v>
      </c>
    </row>
    <row r="747">
      <c r="A747" t="n">
        <v>1.4149</v>
      </c>
      <c r="B747" t="n">
        <v>1.4457</v>
      </c>
      <c r="C747" t="n">
        <v>1.6546</v>
      </c>
    </row>
    <row r="748">
      <c r="A748" t="n">
        <v>1.4865</v>
      </c>
      <c r="B748" t="n">
        <v>1.3824</v>
      </c>
      <c r="C748" t="n">
        <v>1.7044</v>
      </c>
    </row>
    <row r="749">
      <c r="A749" t="n">
        <v>1.6782</v>
      </c>
      <c r="B749" t="n">
        <v>1.5071</v>
      </c>
      <c r="C749" t="n">
        <v>1.4954</v>
      </c>
    </row>
    <row r="750">
      <c r="A750" t="n">
        <v>1.4968</v>
      </c>
      <c r="B750" t="n">
        <v>1.6498</v>
      </c>
      <c r="C750" t="n">
        <v>1.4534</v>
      </c>
    </row>
    <row r="751">
      <c r="A751" t="n">
        <v>1.4653</v>
      </c>
      <c r="B751" t="n">
        <v>1.4801</v>
      </c>
      <c r="C751" t="n">
        <v>1.421</v>
      </c>
    </row>
    <row r="752">
      <c r="A752" t="n">
        <v>1.4334</v>
      </c>
      <c r="B752" t="n">
        <v>1.4603</v>
      </c>
      <c r="C752" t="n">
        <v>1.7264</v>
      </c>
    </row>
    <row r="753">
      <c r="A753" t="n">
        <v>1.4515</v>
      </c>
      <c r="B753" t="n">
        <v>1.3976</v>
      </c>
      <c r="C753" t="n">
        <v>1.7338</v>
      </c>
    </row>
    <row r="754">
      <c r="A754" t="n">
        <v>1.623</v>
      </c>
      <c r="B754" t="n">
        <v>1.7662</v>
      </c>
      <c r="C754" t="n">
        <v>1.4767</v>
      </c>
    </row>
    <row r="755">
      <c r="A755" t="n">
        <v>1.5057</v>
      </c>
      <c r="B755" t="n">
        <v>1.687</v>
      </c>
      <c r="C755" t="n">
        <v>1.4444</v>
      </c>
    </row>
    <row r="756">
      <c r="A756" t="n">
        <v>1.6808</v>
      </c>
      <c r="B756" t="n">
        <v>1.5525</v>
      </c>
      <c r="C756" t="n">
        <v>1.442</v>
      </c>
    </row>
    <row r="757">
      <c r="A757" t="n">
        <v>1.6622</v>
      </c>
      <c r="B757" t="n">
        <v>1.4532</v>
      </c>
      <c r="C757" t="n">
        <v>1.6342</v>
      </c>
    </row>
    <row r="758">
      <c r="A758" t="n">
        <v>1.5131</v>
      </c>
      <c r="B758" t="n">
        <v>1.4066</v>
      </c>
      <c r="C758" t="n">
        <v>1.7713</v>
      </c>
    </row>
    <row r="759">
      <c r="A759" t="n">
        <v>1.6388</v>
      </c>
      <c r="B759" t="n">
        <v>1.4668</v>
      </c>
      <c r="C759" t="n">
        <v>1.4728</v>
      </c>
    </row>
    <row r="760">
      <c r="A760" t="n">
        <v>1.4992</v>
      </c>
      <c r="B760" t="n">
        <v>1.4043</v>
      </c>
      <c r="C760" t="n">
        <v>1.4139</v>
      </c>
    </row>
    <row r="761">
      <c r="A761" t="n">
        <v>1.4257</v>
      </c>
      <c r="B761" t="n">
        <v>1.4199</v>
      </c>
      <c r="C761" t="n">
        <v>1.4494</v>
      </c>
    </row>
    <row r="762">
      <c r="A762" t="n">
        <v>1.444</v>
      </c>
      <c r="B762" t="n">
        <v>1.4432</v>
      </c>
      <c r="C762" t="n">
        <v>1.6194</v>
      </c>
    </row>
    <row r="763">
      <c r="A763" t="n">
        <v>1.441</v>
      </c>
      <c r="B763" t="n">
        <v>1.6363</v>
      </c>
      <c r="C763" t="n">
        <v>1.5592</v>
      </c>
    </row>
    <row r="764">
      <c r="A764" t="n">
        <v>1.451</v>
      </c>
      <c r="B764" t="n">
        <v>1.5152</v>
      </c>
      <c r="C764" t="n">
        <v>1.4377</v>
      </c>
    </row>
    <row r="765">
      <c r="A765" t="n">
        <v>1.6661</v>
      </c>
      <c r="B765" t="n">
        <v>1.4488</v>
      </c>
      <c r="C765" t="n">
        <v>1.4403</v>
      </c>
    </row>
    <row r="766">
      <c r="A766" t="n">
        <v>1.6885</v>
      </c>
      <c r="B766" t="n">
        <v>1.6342</v>
      </c>
      <c r="C766" t="n">
        <v>1.4011</v>
      </c>
    </row>
    <row r="767">
      <c r="A767" t="n">
        <v>1.5024</v>
      </c>
      <c r="B767" t="n">
        <v>1.5375</v>
      </c>
      <c r="C767" t="n">
        <v>1.4383</v>
      </c>
    </row>
    <row r="768">
      <c r="A768" t="n">
        <v>1.451</v>
      </c>
      <c r="B768" t="n">
        <v>1.6474</v>
      </c>
      <c r="C768" t="n">
        <v>1.4568</v>
      </c>
    </row>
    <row r="769">
      <c r="A769" t="n">
        <v>1.4155</v>
      </c>
      <c r="B769" t="n">
        <v>1.4742</v>
      </c>
      <c r="C769" t="n">
        <v>1.4224</v>
      </c>
    </row>
    <row r="770">
      <c r="A770" t="n">
        <v>1.9841</v>
      </c>
      <c r="B770" t="n">
        <v>1.4141</v>
      </c>
      <c r="C770" t="n">
        <v>1.9954</v>
      </c>
    </row>
    <row r="771">
      <c r="A771" t="n">
        <v>1.7455</v>
      </c>
      <c r="B771" t="n">
        <v>1.3958</v>
      </c>
      <c r="C771" t="n">
        <v>1.722</v>
      </c>
    </row>
    <row r="772">
      <c r="A772" t="n">
        <v>1.6281</v>
      </c>
      <c r="B772" t="n">
        <v>1.4272</v>
      </c>
      <c r="C772" t="n">
        <v>1.64</v>
      </c>
    </row>
    <row r="773">
      <c r="A773" t="n">
        <v>1.5247</v>
      </c>
      <c r="B773" t="n">
        <v>1.4434</v>
      </c>
      <c r="C773" t="n">
        <v>1.539</v>
      </c>
    </row>
    <row r="774">
      <c r="A774" t="n">
        <v>1.6154</v>
      </c>
      <c r="B774" t="n">
        <v>1.4464</v>
      </c>
      <c r="C774" t="n">
        <v>1.6138</v>
      </c>
    </row>
    <row r="775">
      <c r="A775" t="n">
        <v>1.4749</v>
      </c>
      <c r="B775" t="n">
        <v>1.5159</v>
      </c>
      <c r="C775" t="n">
        <v>1.5208</v>
      </c>
    </row>
    <row r="776">
      <c r="A776" t="n">
        <v>1.4415</v>
      </c>
      <c r="B776" t="n">
        <v>1.6691</v>
      </c>
      <c r="C776" t="n">
        <v>1.4513</v>
      </c>
    </row>
    <row r="777">
      <c r="A777" t="n">
        <v>1.4678</v>
      </c>
      <c r="B777" t="n">
        <v>1.5061</v>
      </c>
      <c r="C777" t="n">
        <v>1.7616</v>
      </c>
    </row>
    <row r="778">
      <c r="A778" t="n">
        <v>1.4366</v>
      </c>
      <c r="B778" t="n">
        <v>1.4458</v>
      </c>
      <c r="C778" t="n">
        <v>1.5117</v>
      </c>
    </row>
    <row r="779">
      <c r="A779" t="n">
        <v>1.4332</v>
      </c>
      <c r="B779" t="n">
        <v>1.4106</v>
      </c>
      <c r="C779" t="n">
        <v>1.6283</v>
      </c>
    </row>
    <row r="780">
      <c r="A780" t="n">
        <v>1.4499</v>
      </c>
      <c r="B780" t="n">
        <v>1.4364</v>
      </c>
      <c r="C780" t="n">
        <v>1.521</v>
      </c>
    </row>
    <row r="781">
      <c r="A781" t="n">
        <v>1.4629</v>
      </c>
      <c r="B781" t="n">
        <v>1.4172</v>
      </c>
      <c r="C781" t="n">
        <v>1.4552</v>
      </c>
    </row>
    <row r="782">
      <c r="A782" t="n">
        <v>1.6607</v>
      </c>
      <c r="B782" t="n">
        <v>1.4257</v>
      </c>
      <c r="C782" t="n">
        <v>1.4447</v>
      </c>
    </row>
    <row r="783">
      <c r="A783" t="n">
        <v>1.5101</v>
      </c>
      <c r="B783" t="n">
        <v>1.4945</v>
      </c>
      <c r="C783" t="n">
        <v>1.465</v>
      </c>
    </row>
    <row r="784">
      <c r="A784" t="n">
        <v>1.463</v>
      </c>
      <c r="B784" t="n">
        <v>1.6266</v>
      </c>
      <c r="C784" t="n">
        <v>1.4397</v>
      </c>
    </row>
    <row r="785">
      <c r="A785" t="n">
        <v>1.6398</v>
      </c>
      <c r="B785" t="n">
        <v>1.4994</v>
      </c>
      <c r="C785" t="n">
        <v>1.4593</v>
      </c>
    </row>
    <row r="786">
      <c r="A786" t="n">
        <v>1.6149</v>
      </c>
      <c r="B786" t="n">
        <v>1.75</v>
      </c>
      <c r="C786" t="n">
        <v>1.7288</v>
      </c>
    </row>
    <row r="787">
      <c r="A787" t="n">
        <v>1.4169</v>
      </c>
      <c r="B787" t="n">
        <v>1.6614</v>
      </c>
      <c r="C787" t="n">
        <v>1.5298</v>
      </c>
    </row>
    <row r="788">
      <c r="A788" t="n">
        <v>1.4339</v>
      </c>
      <c r="B788" t="n">
        <v>1.7379</v>
      </c>
      <c r="C788" t="n">
        <v>1.488</v>
      </c>
    </row>
    <row r="789">
      <c r="A789" t="n">
        <v>1.4237</v>
      </c>
      <c r="B789" t="n">
        <v>1.5079</v>
      </c>
      <c r="C789" t="n">
        <v>1.4888</v>
      </c>
    </row>
    <row r="790">
      <c r="A790" t="n">
        <v>1.4026</v>
      </c>
      <c r="B790" t="n">
        <v>1.4486</v>
      </c>
      <c r="C790" t="n">
        <v>1.6601</v>
      </c>
    </row>
    <row r="791">
      <c r="A791" t="n">
        <v>1.4437</v>
      </c>
      <c r="B791" t="n">
        <v>1.446</v>
      </c>
      <c r="C791" t="n">
        <v>1.7124</v>
      </c>
    </row>
    <row r="792">
      <c r="A792" t="n">
        <v>1.4538</v>
      </c>
      <c r="B792" t="n">
        <v>1.664</v>
      </c>
      <c r="C792" t="n">
        <v>1.5356</v>
      </c>
    </row>
    <row r="793">
      <c r="A793" t="n">
        <v>1.6335</v>
      </c>
      <c r="B793" t="n">
        <v>1.7374</v>
      </c>
      <c r="C793" t="n">
        <v>1.4489</v>
      </c>
    </row>
    <row r="794">
      <c r="A794" t="n">
        <v>1.6788</v>
      </c>
      <c r="B794" t="n">
        <v>1.5222</v>
      </c>
      <c r="C794" t="n">
        <v>1.4586</v>
      </c>
    </row>
    <row r="795">
      <c r="A795" t="n">
        <v>1.4981</v>
      </c>
      <c r="B795" t="n">
        <v>1.6833</v>
      </c>
      <c r="C795" t="n">
        <v>1.6747</v>
      </c>
    </row>
    <row r="796">
      <c r="A796" t="n">
        <v>1.4338</v>
      </c>
      <c r="B796" t="n">
        <v>1.6714</v>
      </c>
      <c r="C796" t="n">
        <v>1.684</v>
      </c>
    </row>
    <row r="797">
      <c r="A797" t="n">
        <v>1.4407</v>
      </c>
      <c r="B797" t="n">
        <v>1.5021</v>
      </c>
      <c r="C797" t="n">
        <v>1.5179</v>
      </c>
    </row>
    <row r="798">
      <c r="A798" t="n">
        <v>1.6386</v>
      </c>
      <c r="B798" t="n">
        <v>1.4424</v>
      </c>
      <c r="C798" t="n">
        <v>1.4796</v>
      </c>
    </row>
    <row r="799">
      <c r="A799" t="n">
        <v>1.5812</v>
      </c>
      <c r="B799" t="n">
        <v>1.3999</v>
      </c>
      <c r="C799" t="n">
        <v>1.4617</v>
      </c>
    </row>
    <row r="800">
      <c r="A800" t="n">
        <v>1.4213</v>
      </c>
      <c r="B800" t="n">
        <v>1.4203</v>
      </c>
      <c r="C800" t="n">
        <v>1.6645</v>
      </c>
    </row>
    <row r="801">
      <c r="A801" t="n">
        <v>1.4288</v>
      </c>
      <c r="B801" t="n">
        <v>1.4401</v>
      </c>
      <c r="C801" t="n">
        <v>1.8595</v>
      </c>
    </row>
    <row r="802">
      <c r="A802" t="n">
        <v>1.7499</v>
      </c>
      <c r="B802" t="n">
        <v>1.6525</v>
      </c>
      <c r="C802" t="n">
        <v>2.084</v>
      </c>
    </row>
    <row r="803">
      <c r="A803" t="n">
        <v>1.6411</v>
      </c>
      <c r="B803" t="n">
        <v>1.502</v>
      </c>
      <c r="C803" t="n">
        <v>1.6756</v>
      </c>
    </row>
    <row r="804">
      <c r="A804" t="n">
        <v>1.7838</v>
      </c>
      <c r="B804" t="n">
        <v>1.6704</v>
      </c>
      <c r="C804" t="n">
        <v>1.5235</v>
      </c>
    </row>
    <row r="805">
      <c r="A805" t="n">
        <v>1.4615</v>
      </c>
      <c r="B805" t="n">
        <v>1.4853</v>
      </c>
      <c r="C805" t="n">
        <v>1.4415</v>
      </c>
    </row>
    <row r="806">
      <c r="A806" t="n">
        <v>1.4312</v>
      </c>
      <c r="B806" t="n">
        <v>1.4502</v>
      </c>
      <c r="C806" t="n">
        <v>1.4643</v>
      </c>
    </row>
    <row r="807">
      <c r="A807" t="n">
        <v>1.4462</v>
      </c>
      <c r="B807" t="n">
        <v>1.6201</v>
      </c>
      <c r="C807" t="n">
        <v>1.6683</v>
      </c>
    </row>
    <row r="808">
      <c r="A808" t="n">
        <v>1.4406</v>
      </c>
      <c r="B808" t="n">
        <v>1.5249</v>
      </c>
      <c r="C808" t="n">
        <v>1.7859</v>
      </c>
    </row>
    <row r="809">
      <c r="A809" t="n">
        <v>1.4922</v>
      </c>
      <c r="B809" t="n">
        <v>1.6333</v>
      </c>
      <c r="C809" t="n">
        <v>1.5178</v>
      </c>
    </row>
    <row r="810">
      <c r="A810" t="n">
        <v>1.651</v>
      </c>
      <c r="B810" t="n">
        <v>1.5112</v>
      </c>
      <c r="C810" t="n">
        <v>1.4522</v>
      </c>
    </row>
    <row r="811">
      <c r="A811" t="n">
        <v>1.4945</v>
      </c>
      <c r="B811" t="n">
        <v>1.4131</v>
      </c>
      <c r="C811" t="n">
        <v>1.4315</v>
      </c>
    </row>
    <row r="812">
      <c r="A812" t="n">
        <v>1.437</v>
      </c>
      <c r="B812" t="n">
        <v>1.3997</v>
      </c>
      <c r="C812" t="n">
        <v>1.7307</v>
      </c>
    </row>
    <row r="813">
      <c r="A813" t="n">
        <v>1.4485</v>
      </c>
      <c r="B813" t="n">
        <v>1.4271</v>
      </c>
      <c r="C813" t="n">
        <v>1.6883</v>
      </c>
    </row>
    <row r="814">
      <c r="A814" t="n">
        <v>1.453</v>
      </c>
      <c r="B814" t="n">
        <v>1.4105</v>
      </c>
      <c r="C814" t="n">
        <v>1.4992</v>
      </c>
    </row>
    <row r="815">
      <c r="A815" t="n">
        <v>1.4747</v>
      </c>
      <c r="B815" t="n">
        <v>1.4162</v>
      </c>
      <c r="C815" t="n">
        <v>1.4532</v>
      </c>
    </row>
    <row r="816">
      <c r="A816" t="n">
        <v>1.6698</v>
      </c>
      <c r="B816" t="n">
        <v>1.5435</v>
      </c>
      <c r="C816" t="n">
        <v>1.4577</v>
      </c>
    </row>
    <row r="817">
      <c r="A817" t="n">
        <v>1.6686</v>
      </c>
      <c r="B817" t="n">
        <v>1.6607</v>
      </c>
      <c r="C817" t="n">
        <v>1.6744</v>
      </c>
    </row>
    <row r="818">
      <c r="A818" t="n">
        <v>1.4856</v>
      </c>
      <c r="B818" t="n">
        <v>1.8208</v>
      </c>
      <c r="C818" t="n">
        <v>1.7542</v>
      </c>
    </row>
    <row r="819">
      <c r="A819" t="n">
        <v>1.4385</v>
      </c>
      <c r="B819" t="n">
        <v>1.4635</v>
      </c>
      <c r="C819" t="n">
        <v>1.4977</v>
      </c>
    </row>
    <row r="820">
      <c r="A820" t="n">
        <v>1.4263</v>
      </c>
      <c r="B820" t="n">
        <v>1.6954</v>
      </c>
      <c r="C820" t="n">
        <v>1.4563</v>
      </c>
    </row>
    <row r="821">
      <c r="A821" t="n">
        <v>1.6039</v>
      </c>
      <c r="B821" t="n">
        <v>1.7339</v>
      </c>
      <c r="C821" t="n">
        <v>1.4696</v>
      </c>
    </row>
    <row r="822">
      <c r="A822" t="n">
        <v>1.5386</v>
      </c>
      <c r="B822" t="n">
        <v>1.4812</v>
      </c>
      <c r="C822" t="n">
        <v>1.7151</v>
      </c>
    </row>
    <row r="823">
      <c r="A823" t="n">
        <v>1.6095</v>
      </c>
      <c r="B823" t="n">
        <v>1.6693</v>
      </c>
      <c r="C823" t="n">
        <v>1.6984</v>
      </c>
    </row>
    <row r="824">
      <c r="A824" t="n">
        <v>1.489</v>
      </c>
      <c r="B824" t="n">
        <v>1.668</v>
      </c>
      <c r="C824" t="n">
        <v>1.5062</v>
      </c>
    </row>
    <row r="825">
      <c r="A825" t="n">
        <v>1.4291</v>
      </c>
      <c r="B825" t="n">
        <v>1.495</v>
      </c>
      <c r="C825" t="n">
        <v>1.7673</v>
      </c>
    </row>
    <row r="826">
      <c r="A826" t="n">
        <v>1.3923</v>
      </c>
      <c r="B826" t="n">
        <v>1.4378</v>
      </c>
      <c r="C826" t="n">
        <v>1.6751</v>
      </c>
    </row>
    <row r="827">
      <c r="A827" t="n">
        <v>1.4247</v>
      </c>
      <c r="B827" t="n">
        <v>1.4757</v>
      </c>
      <c r="C827" t="n">
        <v>1.5434</v>
      </c>
    </row>
    <row r="828">
      <c r="A828" t="n">
        <v>1.4604</v>
      </c>
      <c r="B828" t="n">
        <v>1.4696</v>
      </c>
      <c r="C828" t="n">
        <v>1.4402</v>
      </c>
    </row>
    <row r="829">
      <c r="A829" t="n">
        <v>1.6608</v>
      </c>
      <c r="B829" t="n">
        <v>1.4487</v>
      </c>
      <c r="C829" t="n">
        <v>1.4327</v>
      </c>
    </row>
    <row r="830">
      <c r="A830" t="n">
        <v>1.7491</v>
      </c>
      <c r="B830" t="n">
        <v>1.6388</v>
      </c>
      <c r="C830" t="n">
        <v>1.4485</v>
      </c>
    </row>
    <row r="831">
      <c r="A831" t="n">
        <v>1.841</v>
      </c>
      <c r="B831" t="n">
        <v>1.6976</v>
      </c>
      <c r="C831" t="n">
        <v>1.4523</v>
      </c>
    </row>
    <row r="832">
      <c r="A832" t="n">
        <v>1.5148</v>
      </c>
      <c r="B832" t="n">
        <v>1.4791</v>
      </c>
      <c r="C832" t="n">
        <v>1.6795</v>
      </c>
    </row>
    <row r="833">
      <c r="A833" t="n">
        <v>1.6335</v>
      </c>
      <c r="B833" t="n">
        <v>1.4588</v>
      </c>
      <c r="C833" t="n">
        <v>1.7673</v>
      </c>
    </row>
    <row r="834">
      <c r="A834" t="n">
        <v>1.8186</v>
      </c>
      <c r="B834" t="n">
        <v>1.441</v>
      </c>
      <c r="C834" t="n">
        <v>2.0588</v>
      </c>
    </row>
    <row r="835">
      <c r="A835" t="n">
        <v>1.4417</v>
      </c>
      <c r="B835" t="n">
        <v>1.5954</v>
      </c>
      <c r="C835" t="n">
        <v>1.694</v>
      </c>
    </row>
    <row r="836">
      <c r="A836" t="n">
        <v>1.6915</v>
      </c>
      <c r="B836" t="n">
        <v>1.5257</v>
      </c>
      <c r="C836" t="n">
        <v>1.5019</v>
      </c>
    </row>
    <row r="837">
      <c r="A837" t="n">
        <v>1.7142</v>
      </c>
      <c r="B837" t="n">
        <v>1.6386</v>
      </c>
      <c r="C837" t="n">
        <v>1.4544</v>
      </c>
    </row>
    <row r="838">
      <c r="A838" t="n">
        <v>1.4787</v>
      </c>
      <c r="B838" t="n">
        <v>1.506</v>
      </c>
      <c r="C838" t="n">
        <v>1.461</v>
      </c>
    </row>
    <row r="839">
      <c r="A839" t="n">
        <v>1.4474</v>
      </c>
      <c r="B839" t="n">
        <v>1.4604</v>
      </c>
      <c r="C839" t="n">
        <v>1.6999</v>
      </c>
    </row>
    <row r="840">
      <c r="A840" t="n">
        <v>1.4301</v>
      </c>
      <c r="B840" t="n">
        <v>1.615</v>
      </c>
      <c r="C840" t="n">
        <v>1.763</v>
      </c>
    </row>
    <row r="841">
      <c r="A841" t="n">
        <v>1.5784</v>
      </c>
      <c r="B841" t="n">
        <v>1.5223</v>
      </c>
      <c r="C841" t="n">
        <v>1.4651</v>
      </c>
    </row>
    <row r="842">
      <c r="A842" t="n">
        <v>1.7754</v>
      </c>
      <c r="B842" t="n">
        <v>1.6116</v>
      </c>
      <c r="C842" t="n">
        <v>1.4406</v>
      </c>
    </row>
    <row r="843">
      <c r="A843" t="n">
        <v>1.5114</v>
      </c>
      <c r="B843" t="n">
        <v>1.4852</v>
      </c>
      <c r="C843" t="n">
        <v>1.4746</v>
      </c>
    </row>
    <row r="844">
      <c r="A844" t="n">
        <v>1.4383</v>
      </c>
      <c r="B844" t="n">
        <v>1.4186</v>
      </c>
      <c r="C844" t="n">
        <v>1.6635</v>
      </c>
    </row>
    <row r="845">
      <c r="A845" t="n">
        <v>1.4476</v>
      </c>
      <c r="B845" t="n">
        <v>1.4724</v>
      </c>
      <c r="C845" t="n">
        <v>1.7989</v>
      </c>
    </row>
    <row r="846">
      <c r="A846" t="n">
        <v>1.6348</v>
      </c>
      <c r="B846" t="n">
        <v>1.4542</v>
      </c>
      <c r="C846" t="n">
        <v>1.548</v>
      </c>
    </row>
    <row r="847">
      <c r="A847" t="n">
        <v>1.7535</v>
      </c>
      <c r="B847" t="n">
        <v>1.4394</v>
      </c>
      <c r="C847" t="n">
        <v>1.4463</v>
      </c>
    </row>
    <row r="848">
      <c r="A848" t="n">
        <v>1.4921</v>
      </c>
      <c r="B848" t="n">
        <v>1.6807</v>
      </c>
      <c r="C848" t="n">
        <v>1.4525</v>
      </c>
    </row>
    <row r="849">
      <c r="A849" t="n">
        <v>1.4758</v>
      </c>
      <c r="B849" t="n">
        <v>1.6856</v>
      </c>
      <c r="C849" t="n">
        <v>1.6968</v>
      </c>
    </row>
    <row r="850">
      <c r="A850" t="n">
        <v>1.4423</v>
      </c>
      <c r="B850" t="n">
        <v>1.9975</v>
      </c>
      <c r="C850" t="n">
        <v>1.6947</v>
      </c>
    </row>
    <row r="851">
      <c r="A851" t="n">
        <v>1.6167</v>
      </c>
      <c r="B851" t="n">
        <v>1.777</v>
      </c>
      <c r="C851" t="n">
        <v>1.5139</v>
      </c>
    </row>
    <row r="852">
      <c r="A852" t="n">
        <v>1.5892</v>
      </c>
      <c r="B852" t="n">
        <v>1.4886</v>
      </c>
      <c r="C852" t="n">
        <v>1.6927</v>
      </c>
    </row>
    <row r="853">
      <c r="A853" t="n">
        <v>1.4372</v>
      </c>
      <c r="B853" t="n">
        <v>1.429</v>
      </c>
      <c r="C853" t="n">
        <v>1.7148</v>
      </c>
    </row>
    <row r="854">
      <c r="A854" t="n">
        <v>1.4312</v>
      </c>
      <c r="B854" t="n">
        <v>1.4275</v>
      </c>
      <c r="C854" t="n">
        <v>1.5399</v>
      </c>
    </row>
    <row r="855">
      <c r="A855" t="n">
        <v>1.4282</v>
      </c>
      <c r="B855" t="n">
        <v>1.6283</v>
      </c>
      <c r="C855" t="n">
        <v>1.4191</v>
      </c>
    </row>
    <row r="856">
      <c r="A856" t="n">
        <v>1.4041</v>
      </c>
      <c r="B856" t="n">
        <v>1.5378</v>
      </c>
      <c r="C856" t="n">
        <v>1.4344</v>
      </c>
    </row>
    <row r="857">
      <c r="A857" t="n">
        <v>1.4654</v>
      </c>
      <c r="B857" t="n">
        <v>1.6796</v>
      </c>
      <c r="C857" t="n">
        <v>1.4372</v>
      </c>
    </row>
    <row r="858">
      <c r="A858" t="n">
        <v>1.4774</v>
      </c>
      <c r="B858" t="n">
        <v>1.49</v>
      </c>
      <c r="C858" t="n">
        <v>1.4312</v>
      </c>
    </row>
    <row r="859">
      <c r="A859" t="n">
        <v>1.6591</v>
      </c>
      <c r="B859" t="n">
        <v>1.4433</v>
      </c>
      <c r="C859" t="n">
        <v>1.6271</v>
      </c>
    </row>
    <row r="860">
      <c r="A860" t="n">
        <v>1.7576</v>
      </c>
      <c r="B860" t="n">
        <v>1.6756</v>
      </c>
      <c r="C860" t="n">
        <v>1.7597</v>
      </c>
    </row>
    <row r="861">
      <c r="A861" t="n">
        <v>1.476</v>
      </c>
      <c r="B861" t="n">
        <v>1.5545</v>
      </c>
      <c r="C861" t="n">
        <v>1.5096</v>
      </c>
    </row>
    <row r="862">
      <c r="A862" t="n">
        <v>1.4246</v>
      </c>
      <c r="B862" t="n">
        <v>1.6981</v>
      </c>
      <c r="C862" t="n">
        <v>1.4469</v>
      </c>
    </row>
    <row r="863">
      <c r="A863" t="n">
        <v>1.4265</v>
      </c>
      <c r="B863" t="n">
        <v>1.513</v>
      </c>
      <c r="C863" t="n">
        <v>1.4642</v>
      </c>
    </row>
    <row r="864">
      <c r="A864" t="n">
        <v>1.61</v>
      </c>
      <c r="B864" t="n">
        <v>1.462</v>
      </c>
      <c r="C864" t="n">
        <v>1.6868</v>
      </c>
    </row>
    <row r="865">
      <c r="A865" t="n">
        <v>1.7536</v>
      </c>
      <c r="B865" t="n">
        <v>1.5944</v>
      </c>
      <c r="C865" t="n">
        <v>1.7744</v>
      </c>
    </row>
    <row r="866">
      <c r="A866" t="n">
        <v>2.0018</v>
      </c>
      <c r="B866" t="n">
        <v>1.55</v>
      </c>
      <c r="C866" t="n">
        <v>2.0531</v>
      </c>
    </row>
    <row r="867">
      <c r="A867" t="n">
        <v>1.54</v>
      </c>
      <c r="B867" t="n">
        <v>1.6493</v>
      </c>
      <c r="C867" t="n">
        <v>1.7407</v>
      </c>
    </row>
    <row r="868">
      <c r="A868" t="n">
        <v>1.5929</v>
      </c>
      <c r="B868" t="n">
        <v>1.4704</v>
      </c>
      <c r="C868" t="n">
        <v>1.4949</v>
      </c>
    </row>
    <row r="869">
      <c r="A869" t="n">
        <v>1.4874</v>
      </c>
      <c r="B869" t="n">
        <v>1.445</v>
      </c>
      <c r="C869" t="n">
        <v>1.4718</v>
      </c>
    </row>
    <row r="870">
      <c r="A870" t="n">
        <v>1.4369</v>
      </c>
      <c r="B870" t="n">
        <v>1.4159</v>
      </c>
      <c r="C870" t="n">
        <v>1.4636</v>
      </c>
    </row>
    <row r="871">
      <c r="A871" t="n">
        <v>1.3866</v>
      </c>
      <c r="B871" t="n">
        <v>1.4122</v>
      </c>
      <c r="C871" t="n">
        <v>1.7176</v>
      </c>
    </row>
    <row r="872">
      <c r="A872" t="n">
        <v>1.444</v>
      </c>
      <c r="B872" t="n">
        <v>1.4595</v>
      </c>
      <c r="C872" t="n">
        <v>1.681</v>
      </c>
    </row>
    <row r="873">
      <c r="A873" t="n">
        <v>1.4667</v>
      </c>
      <c r="B873" t="n">
        <v>1.469</v>
      </c>
      <c r="C873" t="n">
        <v>1.5129</v>
      </c>
    </row>
    <row r="874">
      <c r="A874" t="n">
        <v>1.6661</v>
      </c>
      <c r="B874" t="n">
        <v>1.7628</v>
      </c>
      <c r="C874" t="n">
        <v>1.4811</v>
      </c>
    </row>
    <row r="875">
      <c r="A875" t="n">
        <v>1.7252</v>
      </c>
      <c r="B875" t="n">
        <v>1.5151</v>
      </c>
      <c r="C875" t="n">
        <v>1.455</v>
      </c>
    </row>
    <row r="876">
      <c r="A876" t="n">
        <v>1.4756</v>
      </c>
      <c r="B876" t="n">
        <v>1.4659</v>
      </c>
      <c r="C876" t="n">
        <v>1.6556</v>
      </c>
    </row>
    <row r="877">
      <c r="A877" t="n">
        <v>1.4342</v>
      </c>
      <c r="B877" t="n">
        <v>1.4315</v>
      </c>
      <c r="C877" t="n">
        <v>1.6863</v>
      </c>
    </row>
    <row r="878">
      <c r="A878" t="n">
        <v>1.4492</v>
      </c>
      <c r="B878" t="n">
        <v>1.6312</v>
      </c>
      <c r="C878" t="n">
        <v>1.5072</v>
      </c>
    </row>
    <row r="879">
      <c r="A879" t="n">
        <v>1.624</v>
      </c>
      <c r="B879" t="n">
        <v>1.8136</v>
      </c>
      <c r="C879" t="n">
        <v>1.464</v>
      </c>
    </row>
    <row r="880">
      <c r="A880" t="n">
        <v>1.6869</v>
      </c>
      <c r="B880" t="n">
        <v>1.5249</v>
      </c>
      <c r="C880" t="n">
        <v>1.422</v>
      </c>
    </row>
    <row r="881">
      <c r="A881" t="n">
        <v>1.4899</v>
      </c>
      <c r="B881" t="n">
        <v>1.4558</v>
      </c>
      <c r="C881" t="n">
        <v>1.6944</v>
      </c>
    </row>
    <row r="882">
      <c r="A882" t="n">
        <v>1.4317</v>
      </c>
      <c r="B882" t="n">
        <v>1.7356</v>
      </c>
      <c r="C882" t="n">
        <v>1.7995</v>
      </c>
    </row>
    <row r="883">
      <c r="A883" t="n">
        <v>1.3996</v>
      </c>
      <c r="B883" t="n">
        <v>1.4406</v>
      </c>
      <c r="C883" t="n">
        <v>1.49</v>
      </c>
    </row>
    <row r="884">
      <c r="A884" t="n">
        <v>1.6009</v>
      </c>
      <c r="B884" t="n">
        <v>1.6615</v>
      </c>
      <c r="C884" t="n">
        <v>1.457</v>
      </c>
    </row>
    <row r="885">
      <c r="A885" t="n">
        <v>1.5427</v>
      </c>
      <c r="B885" t="n">
        <v>1.4983</v>
      </c>
      <c r="C885" t="n">
        <v>1.471</v>
      </c>
    </row>
    <row r="886">
      <c r="A886" t="n">
        <v>1.633</v>
      </c>
      <c r="B886" t="n">
        <v>1.4199</v>
      </c>
      <c r="C886" t="n">
        <v>1.6278</v>
      </c>
    </row>
    <row r="887">
      <c r="A887" t="n">
        <v>1.5021</v>
      </c>
      <c r="B887" t="n">
        <v>1.4622</v>
      </c>
      <c r="C887" t="n">
        <v>1.7489</v>
      </c>
    </row>
    <row r="888">
      <c r="A888" t="n">
        <v>1.4549</v>
      </c>
      <c r="B888" t="n">
        <v>1.4136</v>
      </c>
      <c r="C888" t="n">
        <v>1.5396</v>
      </c>
    </row>
    <row r="889">
      <c r="A889" t="n">
        <v>1.4029</v>
      </c>
      <c r="B889" t="n">
        <v>1.4359</v>
      </c>
      <c r="C889" t="n">
        <v>1.4298</v>
      </c>
    </row>
    <row r="890">
      <c r="A890" t="n">
        <v>1.4595</v>
      </c>
      <c r="B890" t="n">
        <v>1.6305</v>
      </c>
      <c r="C890" t="n">
        <v>1.4299</v>
      </c>
    </row>
    <row r="891">
      <c r="A891" t="n">
        <v>1.4414</v>
      </c>
      <c r="B891" t="n">
        <v>1.5468</v>
      </c>
      <c r="C891" t="n">
        <v>1.6244</v>
      </c>
    </row>
    <row r="892">
      <c r="A892" t="n">
        <v>1.4453</v>
      </c>
      <c r="B892" t="n">
        <v>1.7014</v>
      </c>
      <c r="C892" t="n">
        <v>1.8323</v>
      </c>
    </row>
    <row r="893">
      <c r="A893" t="n">
        <v>1.7628</v>
      </c>
      <c r="B893" t="n">
        <v>1.6856</v>
      </c>
      <c r="C893" t="n">
        <v>1.4863</v>
      </c>
    </row>
    <row r="894">
      <c r="A894" t="n">
        <v>1.5346</v>
      </c>
      <c r="B894" t="n">
        <v>1.5291</v>
      </c>
      <c r="C894" t="n">
        <v>1.4635</v>
      </c>
    </row>
    <row r="895">
      <c r="A895" t="n">
        <v>1.4485</v>
      </c>
      <c r="B895" t="n">
        <v>1.5825</v>
      </c>
      <c r="C895" t="n">
        <v>1.4296</v>
      </c>
    </row>
    <row r="896">
      <c r="A896" t="n">
        <v>1.4568</v>
      </c>
      <c r="B896" t="n">
        <v>1.495</v>
      </c>
      <c r="C896" t="n">
        <v>1.6611</v>
      </c>
    </row>
    <row r="897">
      <c r="A897" t="n">
        <v>1.6753</v>
      </c>
      <c r="B897" t="n">
        <v>1.4838</v>
      </c>
      <c r="C897" t="n">
        <v>1.7957</v>
      </c>
    </row>
    <row r="898">
      <c r="A898" t="n">
        <v>2.0625</v>
      </c>
      <c r="B898" t="n">
        <v>1.399</v>
      </c>
      <c r="C898" t="n">
        <v>1.991</v>
      </c>
    </row>
    <row r="899">
      <c r="A899" t="n">
        <v>1.6726</v>
      </c>
      <c r="B899" t="n">
        <v>1.4412</v>
      </c>
      <c r="C899" t="n">
        <v>1.5632</v>
      </c>
    </row>
    <row r="900">
      <c r="A900" t="n">
        <v>1.5478</v>
      </c>
      <c r="B900" t="n">
        <v>1.416</v>
      </c>
      <c r="C900" t="n">
        <v>1.718</v>
      </c>
    </row>
    <row r="901">
      <c r="A901" t="n">
        <v>1.6464</v>
      </c>
      <c r="B901" t="n">
        <v>1.3983</v>
      </c>
      <c r="C901" t="n">
        <v>1.4846</v>
      </c>
    </row>
    <row r="902">
      <c r="A902" t="n">
        <v>1.4777</v>
      </c>
      <c r="B902" t="n">
        <v>1.5122</v>
      </c>
      <c r="C902" t="n">
        <v>1.4706</v>
      </c>
    </row>
    <row r="903">
      <c r="A903" t="n">
        <v>1.4649</v>
      </c>
      <c r="B903" t="n">
        <v>1.6598</v>
      </c>
      <c r="C903" t="n">
        <v>1.6322</v>
      </c>
    </row>
    <row r="904">
      <c r="A904" t="n">
        <v>1.625</v>
      </c>
      <c r="B904" t="n">
        <v>1.4722</v>
      </c>
      <c r="C904" t="n">
        <v>1.5358</v>
      </c>
    </row>
    <row r="905">
      <c r="A905" t="n">
        <v>1.5428</v>
      </c>
      <c r="B905" t="n">
        <v>1.4521</v>
      </c>
      <c r="C905" t="n">
        <v>1.6636</v>
      </c>
    </row>
    <row r="906">
      <c r="A906" t="n">
        <v>1.6622</v>
      </c>
      <c r="B906" t="n">
        <v>1.4078</v>
      </c>
      <c r="C906" t="n">
        <v>1.4982</v>
      </c>
    </row>
    <row r="907">
      <c r="A907" t="n">
        <v>1.4797</v>
      </c>
      <c r="B907" t="n">
        <v>1.4211</v>
      </c>
      <c r="C907" t="n">
        <v>1.4573</v>
      </c>
    </row>
    <row r="908">
      <c r="A908" t="n">
        <v>1.4717</v>
      </c>
      <c r="B908" t="n">
        <v>1.4344</v>
      </c>
      <c r="C908" t="n">
        <v>1.6673</v>
      </c>
    </row>
    <row r="909">
      <c r="A909" t="n">
        <v>1.4098</v>
      </c>
      <c r="B909" t="n">
        <v>1.6587</v>
      </c>
      <c r="C909" t="n">
        <v>1.5311</v>
      </c>
    </row>
    <row r="910">
      <c r="A910" t="n">
        <v>1.4207</v>
      </c>
      <c r="B910" t="n">
        <v>1.649</v>
      </c>
      <c r="C910" t="n">
        <v>1.659</v>
      </c>
    </row>
    <row r="911">
      <c r="A911" t="n">
        <v>1.4309</v>
      </c>
      <c r="B911" t="n">
        <v>1.492</v>
      </c>
      <c r="C911" t="n">
        <v>1.5107</v>
      </c>
    </row>
    <row r="912">
      <c r="A912" t="n">
        <v>1.4389</v>
      </c>
      <c r="B912" t="n">
        <v>1.4434</v>
      </c>
      <c r="C912" t="n">
        <v>1.4729</v>
      </c>
    </row>
    <row r="913">
      <c r="A913" t="n">
        <v>1.5092</v>
      </c>
      <c r="B913" t="n">
        <v>1.4057</v>
      </c>
      <c r="C913" t="n">
        <v>1.5867</v>
      </c>
    </row>
    <row r="914">
      <c r="A914" t="n">
        <v>1.4304</v>
      </c>
      <c r="B914" t="n">
        <v>1.9805</v>
      </c>
      <c r="C914" t="n">
        <v>1.5326</v>
      </c>
    </row>
    <row r="915">
      <c r="A915" t="n">
        <v>1.4632</v>
      </c>
      <c r="B915" t="n">
        <v>1.8199</v>
      </c>
      <c r="C915" t="n">
        <v>1.7358</v>
      </c>
    </row>
    <row r="916">
      <c r="A916" t="n">
        <v>1.72</v>
      </c>
      <c r="B916" t="n">
        <v>1.692</v>
      </c>
      <c r="C916" t="n">
        <v>1.4852</v>
      </c>
    </row>
    <row r="917">
      <c r="A917" t="n">
        <v>1.7142</v>
      </c>
      <c r="B917" t="n">
        <v>1.5172</v>
      </c>
      <c r="C917" t="n">
        <v>1.4753</v>
      </c>
    </row>
    <row r="918">
      <c r="A918" t="n">
        <v>1.7644</v>
      </c>
      <c r="B918" t="n">
        <v>1.6439</v>
      </c>
      <c r="C918" t="n">
        <v>1.4016</v>
      </c>
    </row>
    <row r="919">
      <c r="A919" t="n">
        <v>1.4646</v>
      </c>
      <c r="B919" t="n">
        <v>1.4767</v>
      </c>
      <c r="C919" t="n">
        <v>1.4283</v>
      </c>
    </row>
    <row r="920">
      <c r="A920" t="n">
        <v>1.4448</v>
      </c>
      <c r="B920" t="n">
        <v>1.4546</v>
      </c>
      <c r="C920" t="n">
        <v>1.6761</v>
      </c>
    </row>
    <row r="921">
      <c r="A921" t="n">
        <v>1.4588</v>
      </c>
      <c r="B921" t="n">
        <v>1.391</v>
      </c>
      <c r="C921" t="n">
        <v>1.4993</v>
      </c>
    </row>
    <row r="922">
      <c r="A922" t="n">
        <v>1.5911</v>
      </c>
      <c r="B922" t="n">
        <v>1.403</v>
      </c>
      <c r="C922" t="n">
        <v>1.6462</v>
      </c>
    </row>
    <row r="923">
      <c r="A923" t="n">
        <v>1.5555</v>
      </c>
      <c r="B923" t="n">
        <v>1.4332</v>
      </c>
      <c r="C923" t="n">
        <v>1.7315</v>
      </c>
    </row>
    <row r="924">
      <c r="A924" t="n">
        <v>1.434</v>
      </c>
      <c r="B924" t="n">
        <v>1.6966</v>
      </c>
      <c r="C924" t="n">
        <v>1.539</v>
      </c>
    </row>
    <row r="925">
      <c r="A925" t="n">
        <v>1.4318</v>
      </c>
      <c r="B925" t="n">
        <v>1.6856</v>
      </c>
      <c r="C925" t="n">
        <v>1.6255</v>
      </c>
    </row>
    <row r="926">
      <c r="A926" t="n">
        <v>1.4369</v>
      </c>
      <c r="B926" t="n">
        <v>1.5036</v>
      </c>
      <c r="C926" t="n">
        <v>1.5123</v>
      </c>
    </row>
    <row r="927">
      <c r="A927" t="n">
        <v>1.4285</v>
      </c>
      <c r="B927" t="n">
        <v>1.453</v>
      </c>
      <c r="C927" t="n">
        <v>1.4182</v>
      </c>
    </row>
    <row r="928">
      <c r="A928" t="n">
        <v>1.4545</v>
      </c>
      <c r="B928" t="n">
        <v>1.4393</v>
      </c>
      <c r="C928" t="n">
        <v>1.4148</v>
      </c>
    </row>
    <row r="929">
      <c r="A929" t="n">
        <v>1.4542</v>
      </c>
      <c r="B929" t="n">
        <v>1.6401</v>
      </c>
      <c r="C929" t="n">
        <v>1.4324</v>
      </c>
    </row>
    <row r="930">
      <c r="A930" t="n">
        <v>2.0661</v>
      </c>
      <c r="B930" t="n">
        <v>1.7414</v>
      </c>
      <c r="C930" t="n">
        <v>1.9812</v>
      </c>
    </row>
    <row r="931">
      <c r="A931" t="n">
        <v>1.6732</v>
      </c>
      <c r="B931" t="n">
        <v>1.4909</v>
      </c>
      <c r="C931" t="n">
        <v>1.5063</v>
      </c>
    </row>
    <row r="932">
      <c r="A932" t="n">
        <v>1.6809</v>
      </c>
      <c r="B932" t="n">
        <v>1.4447</v>
      </c>
      <c r="C932" t="n">
        <v>1.4363</v>
      </c>
    </row>
    <row r="933">
      <c r="A933" t="n">
        <v>1.5365</v>
      </c>
      <c r="B933" t="n">
        <v>1.4675</v>
      </c>
      <c r="C933" t="n">
        <v>1.4306</v>
      </c>
    </row>
    <row r="934">
      <c r="A934" t="n">
        <v>1.6401</v>
      </c>
      <c r="B934" t="n">
        <v>1.6109</v>
      </c>
      <c r="C934" t="n">
        <v>1.4098</v>
      </c>
    </row>
    <row r="935">
      <c r="A935" t="n">
        <v>1.5161</v>
      </c>
      <c r="B935" t="n">
        <v>1.9234</v>
      </c>
      <c r="C935" t="n">
        <v>1.4357</v>
      </c>
    </row>
    <row r="936">
      <c r="A936" t="n">
        <v>1.4642</v>
      </c>
      <c r="B936" t="n">
        <v>1.5308</v>
      </c>
      <c r="C936" t="n">
        <v>1.6223</v>
      </c>
    </row>
    <row r="937">
      <c r="A937" t="n">
        <v>1.6101</v>
      </c>
      <c r="B937" t="n">
        <v>1.4367</v>
      </c>
      <c r="C937" t="n">
        <v>1.5029</v>
      </c>
    </row>
    <row r="938">
      <c r="A938" t="n">
        <v>1.5455</v>
      </c>
      <c r="B938" t="n">
        <v>1.4505</v>
      </c>
      <c r="C938" t="n">
        <v>1.6508</v>
      </c>
    </row>
    <row r="939">
      <c r="A939" t="n">
        <v>1.6626</v>
      </c>
      <c r="B939" t="n">
        <v>1.6721</v>
      </c>
      <c r="C939" t="n">
        <v>1.49</v>
      </c>
    </row>
    <row r="940">
      <c r="A940" t="n">
        <v>1.4624</v>
      </c>
      <c r="B940" t="n">
        <v>1.6679</v>
      </c>
      <c r="C940" t="n">
        <v>1.4258</v>
      </c>
    </row>
    <row r="941">
      <c r="A941" t="n">
        <v>1.4536</v>
      </c>
      <c r="B941" t="n">
        <v>1.4763</v>
      </c>
      <c r="C941" t="n">
        <v>1.6263</v>
      </c>
    </row>
    <row r="942">
      <c r="A942" t="n">
        <v>1.4177</v>
      </c>
      <c r="B942" t="n">
        <v>1.4362</v>
      </c>
      <c r="C942" t="n">
        <v>1.5224</v>
      </c>
    </row>
    <row r="943">
      <c r="A943" t="n">
        <v>1.3972</v>
      </c>
      <c r="B943" t="n">
        <v>1.4465</v>
      </c>
      <c r="C943" t="n">
        <v>1.6247</v>
      </c>
    </row>
    <row r="944">
      <c r="A944" t="n">
        <v>1.4473</v>
      </c>
      <c r="B944" t="n">
        <v>1.6066</v>
      </c>
      <c r="C944" t="n">
        <v>1.4984</v>
      </c>
    </row>
    <row r="945">
      <c r="A945" t="n">
        <v>1.679</v>
      </c>
      <c r="B945" t="n">
        <v>1.5317</v>
      </c>
      <c r="C945" t="n">
        <v>1.4147</v>
      </c>
    </row>
    <row r="946">
      <c r="A946" t="n">
        <v>1.7258</v>
      </c>
      <c r="B946" t="n">
        <v>1.9385</v>
      </c>
      <c r="C946" t="n">
        <v>1.4148</v>
      </c>
    </row>
    <row r="947">
      <c r="A947" t="n">
        <v>1.4971</v>
      </c>
      <c r="B947" t="n">
        <v>1.6987</v>
      </c>
      <c r="C947" t="n">
        <v>1.4379</v>
      </c>
    </row>
    <row r="948">
      <c r="A948" t="n">
        <v>1.4483</v>
      </c>
      <c r="B948" t="n">
        <v>1.6529</v>
      </c>
      <c r="C948" t="n">
        <v>1.4487</v>
      </c>
    </row>
    <row r="949">
      <c r="A949" t="n">
        <v>1.4269</v>
      </c>
      <c r="B949" t="n">
        <v>1.5057</v>
      </c>
      <c r="C949" t="n">
        <v>1.6519</v>
      </c>
    </row>
    <row r="950">
      <c r="A950" t="n">
        <v>1.6383</v>
      </c>
      <c r="B950" t="n">
        <v>1.6489</v>
      </c>
      <c r="C950" t="n">
        <v>1.7457</v>
      </c>
    </row>
    <row r="951">
      <c r="A951" t="n">
        <v>1.6952</v>
      </c>
      <c r="B951" t="n">
        <v>1.6856</v>
      </c>
      <c r="C951" t="n">
        <v>1.5102</v>
      </c>
    </row>
    <row r="952">
      <c r="A952" t="n">
        <v>1.4723</v>
      </c>
      <c r="B952" t="n">
        <v>1.5407</v>
      </c>
      <c r="C952" t="n">
        <v>1.4413</v>
      </c>
    </row>
    <row r="953">
      <c r="A953" t="n">
        <v>1.4537</v>
      </c>
      <c r="B953" t="n">
        <v>1.682</v>
      </c>
      <c r="C953" t="n">
        <v>1.4429</v>
      </c>
    </row>
    <row r="954">
      <c r="A954" t="n">
        <v>1.45</v>
      </c>
      <c r="B954" t="n">
        <v>1.4974</v>
      </c>
      <c r="C954" t="n">
        <v>1.6503</v>
      </c>
    </row>
    <row r="955">
      <c r="A955" t="n">
        <v>1.5898</v>
      </c>
      <c r="B955" t="n">
        <v>1.4138</v>
      </c>
      <c r="C955" t="n">
        <v>1.6852</v>
      </c>
    </row>
    <row r="956">
      <c r="A956" t="n">
        <v>1.5462</v>
      </c>
      <c r="B956" t="n">
        <v>1.392</v>
      </c>
      <c r="C956" t="n">
        <v>1.4999</v>
      </c>
    </row>
    <row r="957">
      <c r="A957" t="n">
        <v>1.6699</v>
      </c>
      <c r="B957" t="n">
        <v>1.4317</v>
      </c>
      <c r="C957" t="n">
        <v>1.4546</v>
      </c>
    </row>
    <row r="958">
      <c r="A958" t="n">
        <v>1.4731</v>
      </c>
      <c r="B958" t="n">
        <v>1.422</v>
      </c>
      <c r="C958" t="n">
        <v>1.4437</v>
      </c>
    </row>
    <row r="959">
      <c r="A959" t="n">
        <v>1.4695</v>
      </c>
      <c r="B959" t="n">
        <v>1.6851</v>
      </c>
      <c r="C959" t="n">
        <v>1.6884</v>
      </c>
    </row>
    <row r="960">
      <c r="A960" t="n">
        <v>1.6176</v>
      </c>
      <c r="B960" t="n">
        <v>1.706</v>
      </c>
      <c r="C960" t="n">
        <v>1.7472</v>
      </c>
    </row>
    <row r="961">
      <c r="A961" t="n">
        <v>1.5212</v>
      </c>
      <c r="B961" t="n">
        <v>1.4768</v>
      </c>
      <c r="C961" t="n">
        <v>1.4623</v>
      </c>
    </row>
    <row r="962">
      <c r="A962" t="n">
        <v>1.9641</v>
      </c>
      <c r="B962" t="n">
        <v>1.4442</v>
      </c>
      <c r="C962" t="n">
        <v>1.7819</v>
      </c>
    </row>
    <row r="963">
      <c r="A963" t="n">
        <v>1.6838</v>
      </c>
      <c r="B963" t="n">
        <v>1.4249</v>
      </c>
      <c r="C963" t="n">
        <v>1.6445</v>
      </c>
    </row>
    <row r="964">
      <c r="A964" t="n">
        <v>1.6647</v>
      </c>
      <c r="B964" t="n">
        <v>1.6019</v>
      </c>
      <c r="C964" t="n">
        <v>1.5063</v>
      </c>
    </row>
    <row r="965">
      <c r="A965" t="n">
        <v>1.5012</v>
      </c>
      <c r="B965" t="n">
        <v>1.5476</v>
      </c>
      <c r="C965" t="n">
        <v>1.6864</v>
      </c>
    </row>
    <row r="966">
      <c r="A966" t="n">
        <v>1.7006</v>
      </c>
      <c r="B966" t="n">
        <v>1.4385</v>
      </c>
      <c r="C966" t="n">
        <v>1.7005</v>
      </c>
    </row>
    <row r="967">
      <c r="A967" t="n">
        <v>1.622</v>
      </c>
      <c r="B967" t="n">
        <v>1.4121</v>
      </c>
      <c r="C967" t="n">
        <v>1.5187</v>
      </c>
    </row>
    <row r="968">
      <c r="A968" t="n">
        <v>1.5234</v>
      </c>
      <c r="B968" t="n">
        <v>1.4125</v>
      </c>
      <c r="C968" t="n">
        <v>1.6208</v>
      </c>
    </row>
    <row r="969">
      <c r="A969" t="n">
        <v>1.6129</v>
      </c>
      <c r="B969" t="n">
        <v>1.4496</v>
      </c>
      <c r="C969" t="n">
        <v>1.4926</v>
      </c>
    </row>
    <row r="970">
      <c r="A970" t="n">
        <v>1.506</v>
      </c>
      <c r="B970" t="n">
        <v>1.4427</v>
      </c>
      <c r="C970" t="n">
        <v>1.4543</v>
      </c>
    </row>
    <row r="971">
      <c r="A971" t="n">
        <v>1.4091</v>
      </c>
      <c r="B971" t="n">
        <v>1.4763</v>
      </c>
      <c r="C971" t="n">
        <v>1.4033</v>
      </c>
    </row>
    <row r="972">
      <c r="A972" t="n">
        <v>1.4111</v>
      </c>
      <c r="B972" t="n">
        <v>1.7504</v>
      </c>
      <c r="C972" t="n">
        <v>1.4309</v>
      </c>
    </row>
    <row r="973">
      <c r="A973" t="n">
        <v>1.4185</v>
      </c>
      <c r="B973" t="n">
        <v>1.671</v>
      </c>
      <c r="C973" t="n">
        <v>1.4296</v>
      </c>
    </row>
    <row r="974">
      <c r="A974" t="n">
        <v>1.4324</v>
      </c>
      <c r="B974" t="n">
        <v>1.5019</v>
      </c>
      <c r="C974" t="n">
        <v>1.6981</v>
      </c>
    </row>
    <row r="975">
      <c r="A975" t="n">
        <v>1.7229</v>
      </c>
      <c r="B975" t="n">
        <v>1.4673</v>
      </c>
      <c r="C975" t="n">
        <v>1.7271</v>
      </c>
    </row>
    <row r="976">
      <c r="A976" t="n">
        <v>1.7234</v>
      </c>
      <c r="B976" t="n">
        <v>1.4147</v>
      </c>
      <c r="C976" t="n">
        <v>1.4732</v>
      </c>
    </row>
    <row r="977">
      <c r="A977" t="n">
        <v>1.4802</v>
      </c>
      <c r="B977" t="n">
        <v>1.4312</v>
      </c>
      <c r="C977" t="n">
        <v>1.464</v>
      </c>
    </row>
    <row r="978">
      <c r="A978" t="n">
        <v>1.4458</v>
      </c>
      <c r="B978" t="n">
        <v>2.0329</v>
      </c>
      <c r="C978" t="n">
        <v>1.4578</v>
      </c>
    </row>
    <row r="979">
      <c r="A979" t="n">
        <v>1.4194</v>
      </c>
      <c r="B979" t="n">
        <v>1.4789</v>
      </c>
      <c r="C979" t="n">
        <v>1.6484</v>
      </c>
    </row>
    <row r="980">
      <c r="A980" t="n">
        <v>1.6035</v>
      </c>
      <c r="B980" t="n">
        <v>1.4434</v>
      </c>
      <c r="C980" t="n">
        <v>1.6827</v>
      </c>
    </row>
    <row r="981">
      <c r="A981" t="n">
        <v>1.7991</v>
      </c>
      <c r="B981" t="n">
        <v>1.4255</v>
      </c>
      <c r="C981" t="n">
        <v>1.4838</v>
      </c>
    </row>
    <row r="982">
      <c r="A982" t="n">
        <v>1.4765</v>
      </c>
      <c r="B982" t="n">
        <v>1.5908</v>
      </c>
      <c r="C982" t="n">
        <v>1.4396</v>
      </c>
    </row>
    <row r="983">
      <c r="A983" t="n">
        <v>1.4459</v>
      </c>
      <c r="B983" t="n">
        <v>1.7734</v>
      </c>
      <c r="C983" t="n">
        <v>1.4695</v>
      </c>
    </row>
    <row r="984">
      <c r="A984" t="n">
        <v>1.4154</v>
      </c>
      <c r="B984" t="n">
        <v>1.4795</v>
      </c>
      <c r="C984" t="n">
        <v>1.6574</v>
      </c>
    </row>
    <row r="985">
      <c r="A985" t="n">
        <v>1.5837</v>
      </c>
      <c r="B985" t="n">
        <v>1.4353</v>
      </c>
      <c r="C985" t="n">
        <v>1.7786</v>
      </c>
    </row>
    <row r="986">
      <c r="A986" t="n">
        <v>1.519</v>
      </c>
      <c r="B986" t="n">
        <v>1.4688</v>
      </c>
      <c r="C986" t="n">
        <v>1.4955</v>
      </c>
    </row>
    <row r="987">
      <c r="A987" t="n">
        <v>1.617</v>
      </c>
      <c r="B987" t="n">
        <v>1.5986</v>
      </c>
      <c r="C987" t="n">
        <v>1.4458</v>
      </c>
    </row>
    <row r="988">
      <c r="A988" t="n">
        <v>1.458</v>
      </c>
      <c r="B988" t="n">
        <v>1.5202</v>
      </c>
      <c r="C988" t="n">
        <v>1.4331</v>
      </c>
    </row>
    <row r="989">
      <c r="A989" t="n">
        <v>1.4204</v>
      </c>
      <c r="B989" t="n">
        <v>1.665</v>
      </c>
      <c r="C989" t="n">
        <v>1.6419</v>
      </c>
    </row>
    <row r="990">
      <c r="A990" t="n">
        <v>1.408</v>
      </c>
      <c r="B990" t="n">
        <v>1.4916</v>
      </c>
      <c r="C990" t="n">
        <v>1.7984</v>
      </c>
    </row>
    <row r="991">
      <c r="A991" t="n">
        <v>1.3988</v>
      </c>
      <c r="B991" t="n">
        <v>1.4453</v>
      </c>
      <c r="C991" t="n">
        <v>1.4748</v>
      </c>
    </row>
    <row r="992">
      <c r="A992" t="n">
        <v>1.4275</v>
      </c>
      <c r="B992" t="n">
        <v>1.3973</v>
      </c>
      <c r="C992" t="n">
        <v>1.4454</v>
      </c>
    </row>
    <row r="993">
      <c r="A993" t="n">
        <v>1.6709</v>
      </c>
      <c r="B993" t="n">
        <v>1.4219</v>
      </c>
      <c r="C993" t="n">
        <v>1.44</v>
      </c>
    </row>
    <row r="994">
      <c r="A994" t="n">
        <v>2.0717</v>
      </c>
      <c r="B994" t="n">
        <v>1.4073</v>
      </c>
      <c r="C994" t="n">
        <v>1.9907</v>
      </c>
    </row>
    <row r="995">
      <c r="A995" t="n">
        <v>1.6583</v>
      </c>
      <c r="B995" t="n">
        <v>1.424</v>
      </c>
      <c r="C995" t="n">
        <v>1.7703</v>
      </c>
    </row>
    <row r="996">
      <c r="A996" t="n">
        <v>1.5423</v>
      </c>
      <c r="B996" t="n">
        <v>1.4664</v>
      </c>
      <c r="C996" t="n">
        <v>1.6715</v>
      </c>
    </row>
    <row r="997">
      <c r="A997" t="n">
        <v>1.6311</v>
      </c>
      <c r="B997" t="n">
        <v>1.5872</v>
      </c>
      <c r="C997" t="n">
        <v>1.499</v>
      </c>
    </row>
    <row r="998">
      <c r="A998" t="n">
        <v>1.4891</v>
      </c>
      <c r="B998" t="n">
        <v>1.489</v>
      </c>
      <c r="C998" t="n">
        <v>1.7025</v>
      </c>
    </row>
    <row r="999">
      <c r="A999" t="n">
        <v>1.4367</v>
      </c>
      <c r="B999" t="n">
        <v>1.4393</v>
      </c>
      <c r="C999" t="n">
        <v>1.4863</v>
      </c>
    </row>
    <row r="1000">
      <c r="A1000" t="n">
        <v>1.6353</v>
      </c>
      <c r="B1000" t="n">
        <v>1.3875</v>
      </c>
      <c r="C1000" t="n">
        <v>1.4426</v>
      </c>
    </row>
    <row r="1001">
      <c r="A1001" t="n">
        <v>1.51</v>
      </c>
      <c r="B1001" t="n">
        <v>1.437</v>
      </c>
      <c r="C1001" t="n">
        <v>1.4264</v>
      </c>
    </row>
    <row r="1002">
      <c r="A1002" t="n">
        <v>1.608</v>
      </c>
      <c r="B1002" t="n">
        <v>1.4441</v>
      </c>
      <c r="C1002" t="n">
        <v>1.4409</v>
      </c>
    </row>
    <row r="1003">
      <c r="A1003" t="n">
        <v>1.4889</v>
      </c>
      <c r="B1003" t="n">
        <v>1.3947</v>
      </c>
      <c r="C1003" t="n">
        <v>1.4721</v>
      </c>
    </row>
    <row r="1004">
      <c r="A1004" t="n">
        <v>1.4188</v>
      </c>
      <c r="B1004" t="n">
        <v>1.4824</v>
      </c>
      <c r="C1004" t="n">
        <v>1.4608</v>
      </c>
    </row>
    <row r="1005">
      <c r="A1005" t="n">
        <v>1.4414</v>
      </c>
      <c r="B1005" t="n">
        <v>1.6576</v>
      </c>
      <c r="C1005" t="n">
        <v>1.8945</v>
      </c>
    </row>
    <row r="1006">
      <c r="A1006" t="n">
        <v>1.4162</v>
      </c>
      <c r="B1006" t="n">
        <v>1.4771</v>
      </c>
      <c r="C1006" t="n">
        <v>1.5265</v>
      </c>
    </row>
    <row r="1007">
      <c r="A1007" t="n">
        <v>1.4626</v>
      </c>
      <c r="B1007" t="n">
        <v>1.4259</v>
      </c>
      <c r="C1007" t="n">
        <v>1.4427</v>
      </c>
    </row>
    <row r="1008">
      <c r="A1008" t="n">
        <v>1.617</v>
      </c>
      <c r="B1008" t="n">
        <v>1.7665</v>
      </c>
      <c r="C1008" t="n">
        <v>1.4462</v>
      </c>
    </row>
    <row r="1009">
      <c r="A1009" t="n">
        <v>1.7482</v>
      </c>
      <c r="B1009" t="n">
        <v>1.5247</v>
      </c>
      <c r="C1009" t="n">
        <v>1.6823</v>
      </c>
    </row>
    <row r="1010">
      <c r="A1010" t="n">
        <v>1.4964</v>
      </c>
      <c r="B1010" t="n">
        <v>1.9689</v>
      </c>
      <c r="C1010" t="n">
        <v>1.6805</v>
      </c>
    </row>
    <row r="1011">
      <c r="A1011" t="n">
        <v>1.4656</v>
      </c>
      <c r="B1011" t="n">
        <v>1.5239</v>
      </c>
      <c r="C1011" t="n">
        <v>1.5076</v>
      </c>
    </row>
    <row r="1012">
      <c r="A1012" t="n">
        <v>1.4396</v>
      </c>
      <c r="B1012" t="n">
        <v>1.4472</v>
      </c>
      <c r="C1012" t="n">
        <v>1.4521</v>
      </c>
    </row>
    <row r="1013">
      <c r="A1013" t="n">
        <v>1.6358</v>
      </c>
      <c r="B1013" t="n">
        <v>1.6783</v>
      </c>
      <c r="C1013" t="n">
        <v>1.4515</v>
      </c>
    </row>
    <row r="1014">
      <c r="A1014" t="n">
        <v>1.4922</v>
      </c>
      <c r="B1014" t="n">
        <v>1.7432</v>
      </c>
      <c r="C1014" t="n">
        <v>1.6294</v>
      </c>
    </row>
    <row r="1015">
      <c r="A1015" t="n">
        <v>1.6376</v>
      </c>
      <c r="B1015" t="n">
        <v>1.4702</v>
      </c>
      <c r="C1015" t="n">
        <v>1.6697</v>
      </c>
    </row>
    <row r="1016">
      <c r="A1016" t="n">
        <v>1.4842</v>
      </c>
      <c r="B1016" t="n">
        <v>1.6591</v>
      </c>
      <c r="C1016" t="n">
        <v>1.5036</v>
      </c>
    </row>
    <row r="1017">
      <c r="A1017" t="n">
        <v>1.4247</v>
      </c>
      <c r="B1017" t="n">
        <v>1.6913</v>
      </c>
      <c r="C1017" t="n">
        <v>1.4471</v>
      </c>
    </row>
    <row r="1018">
      <c r="A1018" t="n">
        <v>1.3853</v>
      </c>
      <c r="B1018" t="n">
        <v>1.5163</v>
      </c>
      <c r="C1018" t="n">
        <v>1.455</v>
      </c>
    </row>
    <row r="1019">
      <c r="A1019" t="n">
        <v>1.4178</v>
      </c>
      <c r="B1019" t="n">
        <v>1.6771</v>
      </c>
      <c r="C1019" t="n">
        <v>1.6177</v>
      </c>
    </row>
    <row r="1020">
      <c r="A1020" t="n">
        <v>1.4239</v>
      </c>
      <c r="B1020" t="n">
        <v>1.6612</v>
      </c>
      <c r="C1020" t="n">
        <v>1.6102</v>
      </c>
    </row>
    <row r="1021">
      <c r="A1021" t="n">
        <v>1.6234</v>
      </c>
      <c r="B1021" t="n">
        <v>1.5025</v>
      </c>
      <c r="C1021" t="n">
        <v>1.4075</v>
      </c>
    </row>
    <row r="1022">
      <c r="A1022" t="n">
        <v>1.6921</v>
      </c>
      <c r="B1022" t="n">
        <v>1.6148</v>
      </c>
      <c r="C1022" t="n">
        <v>1.4394</v>
      </c>
    </row>
    <row r="1023">
      <c r="A1023" t="n">
        <v>1.4594</v>
      </c>
      <c r="B1023" t="n">
        <v>1.5169</v>
      </c>
      <c r="C1023" t="n">
        <v>1.3928</v>
      </c>
    </row>
    <row r="1024">
      <c r="A1024" t="n">
        <v>1.419</v>
      </c>
      <c r="B1024" t="n">
        <v>1.4006</v>
      </c>
      <c r="C1024" t="n">
        <v>1.4373</v>
      </c>
    </row>
    <row r="1025">
      <c r="A1025" t="n">
        <v>1.4527</v>
      </c>
      <c r="B1025" t="n">
        <v>1.4053</v>
      </c>
      <c r="C1025" t="n">
        <v>1.4579</v>
      </c>
    </row>
    <row r="1026">
      <c r="A1026" t="n">
        <v>2.0414</v>
      </c>
      <c r="B1026" t="n">
        <v>1.4278</v>
      </c>
      <c r="C1026" t="n">
        <v>1.8049</v>
      </c>
    </row>
    <row r="1027">
      <c r="A1027" t="n">
        <v>1.6761</v>
      </c>
      <c r="B1027" t="n">
        <v>1.3956</v>
      </c>
      <c r="C1027" t="n">
        <v>1.4818</v>
      </c>
    </row>
    <row r="1028">
      <c r="A1028" t="n">
        <v>1.7103</v>
      </c>
      <c r="B1028" t="n">
        <v>1.6923</v>
      </c>
      <c r="C1028" t="n">
        <v>1.4466</v>
      </c>
    </row>
    <row r="1029">
      <c r="A1029" t="n">
        <v>1.5661</v>
      </c>
      <c r="B1029" t="n">
        <v>1.6757</v>
      </c>
      <c r="C1029" t="n">
        <v>1.4905</v>
      </c>
    </row>
    <row r="1030">
      <c r="A1030" t="n">
        <v>1.612</v>
      </c>
      <c r="B1030" t="n">
        <v>1.4701</v>
      </c>
      <c r="C1030" t="n">
        <v>1.483</v>
      </c>
    </row>
    <row r="1031">
      <c r="A1031" t="n">
        <v>1.479</v>
      </c>
      <c r="B1031" t="n">
        <v>1.4404</v>
      </c>
      <c r="C1031" t="n">
        <v>1.4773</v>
      </c>
    </row>
    <row r="1032">
      <c r="A1032" t="n">
        <v>1.4508</v>
      </c>
      <c r="B1032" t="n">
        <v>1.4373</v>
      </c>
      <c r="C1032" t="n">
        <v>1.4296</v>
      </c>
    </row>
    <row r="1033">
      <c r="A1033" t="n">
        <v>1.3867</v>
      </c>
      <c r="B1033" t="n">
        <v>1.6194</v>
      </c>
      <c r="C1033" t="n">
        <v>1.4598</v>
      </c>
    </row>
    <row r="1034">
      <c r="A1034" t="n">
        <v>1.4202</v>
      </c>
      <c r="B1034" t="n">
        <v>1.5254</v>
      </c>
      <c r="C1034" t="n">
        <v>1.4636</v>
      </c>
    </row>
    <row r="1035">
      <c r="A1035" t="n">
        <v>1.4027</v>
      </c>
      <c r="B1035" t="n">
        <v>1.6926</v>
      </c>
      <c r="C1035" t="n">
        <v>1.4895</v>
      </c>
    </row>
    <row r="1036">
      <c r="A1036" t="n">
        <v>1.3834</v>
      </c>
      <c r="B1036" t="n">
        <v>1.4606</v>
      </c>
      <c r="C1036" t="n">
        <v>1.747</v>
      </c>
    </row>
    <row r="1037">
      <c r="A1037" t="n">
        <v>1.4543</v>
      </c>
      <c r="B1037" t="n">
        <v>1.4278</v>
      </c>
      <c r="C1037" t="n">
        <v>1.5204</v>
      </c>
    </row>
    <row r="1038">
      <c r="A1038" t="n">
        <v>1.612</v>
      </c>
      <c r="B1038" t="n">
        <v>1.3921</v>
      </c>
      <c r="C1038" t="n">
        <v>1.4859</v>
      </c>
    </row>
    <row r="1039">
      <c r="A1039" t="n">
        <v>1.4958</v>
      </c>
      <c r="B1039" t="n">
        <v>1.4198</v>
      </c>
      <c r="C1039" t="n">
        <v>1.5278</v>
      </c>
    </row>
    <row r="1040">
      <c r="A1040" t="n">
        <v>1.4149</v>
      </c>
      <c r="B1040" t="n">
        <v>1.4569</v>
      </c>
      <c r="C1040" t="n">
        <v>1.4473</v>
      </c>
    </row>
    <row r="1041">
      <c r="A1041" t="n">
        <v>1.3987</v>
      </c>
      <c r="B1041" t="n">
        <v>1.4944</v>
      </c>
      <c r="C1041" t="n">
        <v>1.7171</v>
      </c>
    </row>
    <row r="1042">
      <c r="A1042" t="n">
        <v>1.3964</v>
      </c>
      <c r="B1042" t="n">
        <v>1.9956</v>
      </c>
      <c r="C1042" t="n">
        <v>1.4655</v>
      </c>
    </row>
    <row r="1043">
      <c r="A1043" t="n">
        <v>1.4412</v>
      </c>
      <c r="B1043" t="n">
        <v>1.7379</v>
      </c>
      <c r="C1043" t="n">
        <v>1.4452</v>
      </c>
    </row>
    <row r="1044">
      <c r="A1044" t="n">
        <v>1.6366</v>
      </c>
      <c r="B1044" t="n">
        <v>1.542</v>
      </c>
      <c r="C1044" t="n">
        <v>1.4424</v>
      </c>
    </row>
    <row r="1045">
      <c r="A1045" t="n">
        <v>1.5412</v>
      </c>
      <c r="B1045" t="n">
        <v>1.6361</v>
      </c>
      <c r="C1045" t="n">
        <v>1.6003</v>
      </c>
    </row>
    <row r="1046">
      <c r="A1046" t="n">
        <v>1.6326</v>
      </c>
      <c r="B1046" t="n">
        <v>1.5009</v>
      </c>
      <c r="C1046" t="n">
        <v>1.5256</v>
      </c>
    </row>
    <row r="1047">
      <c r="A1047" t="n">
        <v>1.4968</v>
      </c>
      <c r="B1047" t="n">
        <v>1.4562</v>
      </c>
      <c r="C1047" t="n">
        <v>1.6847</v>
      </c>
    </row>
    <row r="1048">
      <c r="A1048" t="n">
        <v>1.4289</v>
      </c>
      <c r="B1048" t="n">
        <v>1.3743</v>
      </c>
      <c r="C1048" t="n">
        <v>1.4702</v>
      </c>
    </row>
    <row r="1049">
      <c r="A1049" t="n">
        <v>1.419</v>
      </c>
      <c r="B1049" t="n">
        <v>1.4377</v>
      </c>
      <c r="C1049" t="n">
        <v>1.4448</v>
      </c>
    </row>
    <row r="1050">
      <c r="A1050" t="n">
        <v>1.4366</v>
      </c>
      <c r="B1050" t="n">
        <v>1.4729</v>
      </c>
      <c r="C1050" t="n">
        <v>1.3982</v>
      </c>
    </row>
    <row r="1051">
      <c r="A1051" t="n">
        <v>1.441</v>
      </c>
      <c r="B1051" t="n">
        <v>1.6539</v>
      </c>
      <c r="C1051" t="n">
        <v>1.41</v>
      </c>
    </row>
    <row r="1052">
      <c r="A1052" t="n">
        <v>1.6734</v>
      </c>
      <c r="B1052" t="n">
        <v>1.7403</v>
      </c>
      <c r="C1052" t="n">
        <v>1.4642</v>
      </c>
    </row>
    <row r="1053">
      <c r="A1053" t="n">
        <v>1.676</v>
      </c>
      <c r="B1053" t="n">
        <v>1.4958</v>
      </c>
      <c r="C1053" t="n">
        <v>1.6857</v>
      </c>
    </row>
    <row r="1054">
      <c r="A1054" t="n">
        <v>1.4748</v>
      </c>
      <c r="B1054" t="n">
        <v>1.4289</v>
      </c>
      <c r="C1054" t="n">
        <v>1.6662</v>
      </c>
    </row>
    <row r="1055">
      <c r="A1055" t="n">
        <v>1.4369</v>
      </c>
      <c r="B1055" t="n">
        <v>1.4503</v>
      </c>
      <c r="C1055" t="n">
        <v>1.4968</v>
      </c>
    </row>
    <row r="1056">
      <c r="A1056" t="n">
        <v>1.4269</v>
      </c>
      <c r="B1056" t="n">
        <v>1.6997</v>
      </c>
      <c r="C1056" t="n">
        <v>1.4579</v>
      </c>
    </row>
    <row r="1057">
      <c r="A1057" t="n">
        <v>1.6026</v>
      </c>
      <c r="B1057" t="n">
        <v>1.7331</v>
      </c>
      <c r="C1057" t="n">
        <v>1.4253</v>
      </c>
    </row>
    <row r="1058">
      <c r="A1058" t="n">
        <v>2.0997</v>
      </c>
      <c r="B1058" t="n">
        <v>1.6884</v>
      </c>
      <c r="C1058" t="n">
        <v>2.0067</v>
      </c>
    </row>
    <row r="1059">
      <c r="A1059" t="n">
        <v>1.6454</v>
      </c>
      <c r="B1059" t="n">
        <v>1.7462</v>
      </c>
      <c r="C1059" t="n">
        <v>1.7597</v>
      </c>
    </row>
    <row r="1060">
      <c r="A1060" t="n">
        <v>1.5121</v>
      </c>
      <c r="B1060" t="n">
        <v>1.6894</v>
      </c>
      <c r="C1060" t="n">
        <v>1.6294</v>
      </c>
    </row>
    <row r="1061">
      <c r="A1061" t="n">
        <v>1.656</v>
      </c>
      <c r="B1061" t="n">
        <v>1.7005</v>
      </c>
      <c r="C1061" t="n">
        <v>1.5097</v>
      </c>
    </row>
    <row r="1062">
      <c r="A1062" t="n">
        <v>1.4931</v>
      </c>
      <c r="B1062" t="n">
        <v>1.53</v>
      </c>
      <c r="C1062" t="n">
        <v>1.6363</v>
      </c>
    </row>
    <row r="1063">
      <c r="A1063" t="n">
        <v>1.4006</v>
      </c>
      <c r="B1063" t="n">
        <v>1.6541</v>
      </c>
      <c r="C1063" t="n">
        <v>1.6839</v>
      </c>
    </row>
    <row r="1064">
      <c r="A1064" t="n">
        <v>1.422</v>
      </c>
      <c r="B1064" t="n">
        <v>1.6906</v>
      </c>
      <c r="C1064" t="n">
        <v>1.5231</v>
      </c>
    </row>
    <row r="1065">
      <c r="A1065" t="n">
        <v>1.4438</v>
      </c>
      <c r="B1065" t="n">
        <v>1.4689</v>
      </c>
      <c r="C1065" t="n">
        <v>1.661</v>
      </c>
    </row>
    <row r="1066">
      <c r="A1066" t="n">
        <v>1.4307</v>
      </c>
      <c r="B1066" t="n">
        <v>1.4358</v>
      </c>
      <c r="C1066" t="n">
        <v>1.6839</v>
      </c>
    </row>
    <row r="1067">
      <c r="A1067" t="n">
        <v>1.6255</v>
      </c>
      <c r="B1067" t="n">
        <v>1.4324</v>
      </c>
      <c r="C1067" t="n">
        <v>1.4877</v>
      </c>
    </row>
    <row r="1068">
      <c r="A1068" t="n">
        <v>1.6896</v>
      </c>
      <c r="B1068" t="n">
        <v>1.5962</v>
      </c>
      <c r="C1068" t="n">
        <v>1.4678</v>
      </c>
    </row>
    <row r="1069">
      <c r="A1069" t="n">
        <v>1.4495</v>
      </c>
      <c r="B1069" t="n">
        <v>1.8761</v>
      </c>
      <c r="C1069" t="n">
        <v>1.4259</v>
      </c>
    </row>
    <row r="1070">
      <c r="A1070" t="n">
        <v>1.4353</v>
      </c>
      <c r="B1070" t="n">
        <v>1.5105</v>
      </c>
      <c r="C1070" t="n">
        <v>1.6208</v>
      </c>
    </row>
    <row r="1071">
      <c r="A1071" t="n">
        <v>1.4472</v>
      </c>
      <c r="B1071" t="n">
        <v>1.4428</v>
      </c>
      <c r="C1071" t="n">
        <v>1.8328</v>
      </c>
    </row>
    <row r="1072">
      <c r="A1072" t="n">
        <v>1.5846</v>
      </c>
      <c r="B1072" t="n">
        <v>1.4212</v>
      </c>
      <c r="C1072" t="n">
        <v>1.4894</v>
      </c>
    </row>
    <row r="1073">
      <c r="A1073" t="n">
        <v>1.5007</v>
      </c>
      <c r="B1073" t="n">
        <v>1.6593</v>
      </c>
      <c r="C1073" t="n">
        <v>1.4528</v>
      </c>
    </row>
    <row r="1074">
      <c r="A1074" t="n">
        <v>1.6148</v>
      </c>
      <c r="B1074" t="n">
        <v>2.0527</v>
      </c>
      <c r="C1074" t="n">
        <v>1.4551</v>
      </c>
    </row>
    <row r="1075">
      <c r="A1075" t="n">
        <v>1.4833</v>
      </c>
      <c r="B1075" t="n">
        <v>1.6823</v>
      </c>
      <c r="C1075" t="n">
        <v>1.6032</v>
      </c>
    </row>
    <row r="1076">
      <c r="A1076" t="n">
        <v>1.4403</v>
      </c>
      <c r="B1076" t="n">
        <v>1.5434</v>
      </c>
      <c r="C1076" t="n">
        <v>1.7694</v>
      </c>
    </row>
    <row r="1077">
      <c r="A1077" t="n">
        <v>1.3835</v>
      </c>
      <c r="B1077" t="n">
        <v>1.6635</v>
      </c>
      <c r="C1077" t="n">
        <v>1.4867</v>
      </c>
    </row>
    <row r="1078">
      <c r="A1078" t="n">
        <v>1.4061</v>
      </c>
      <c r="B1078" t="n">
        <v>1.4732</v>
      </c>
      <c r="C1078" t="n">
        <v>1.429</v>
      </c>
    </row>
    <row r="1079">
      <c r="A1079" t="n">
        <v>1.4335</v>
      </c>
      <c r="B1079" t="n">
        <v>1.4493</v>
      </c>
      <c r="C1079" t="n">
        <v>1.4407</v>
      </c>
    </row>
    <row r="1080">
      <c r="A1080" t="n">
        <v>1.732</v>
      </c>
      <c r="B1080" t="n">
        <v>1.6952</v>
      </c>
      <c r="C1080" t="n">
        <v>1.3934</v>
      </c>
    </row>
    <row r="1081">
      <c r="A1081" t="n">
        <v>1.6327</v>
      </c>
      <c r="B1081" t="n">
        <v>1.517</v>
      </c>
      <c r="C1081" t="n">
        <v>1.4611</v>
      </c>
    </row>
    <row r="1082">
      <c r="A1082" t="n">
        <v>1.4793</v>
      </c>
      <c r="B1082" t="n">
        <v>1.7155</v>
      </c>
      <c r="C1082" t="n">
        <v>1.7119</v>
      </c>
    </row>
    <row r="1083">
      <c r="A1083" t="n">
        <v>1.4512</v>
      </c>
      <c r="B1083" t="n">
        <v>1.4892</v>
      </c>
      <c r="C1083" t="n">
        <v>1.5236</v>
      </c>
    </row>
    <row r="1084">
      <c r="A1084" t="n">
        <v>1.4198</v>
      </c>
      <c r="B1084" t="n">
        <v>1.4224</v>
      </c>
      <c r="C1084" t="n">
        <v>1.4111</v>
      </c>
    </row>
    <row r="1085">
      <c r="A1085" t="n">
        <v>1.6679</v>
      </c>
      <c r="B1085" t="n">
        <v>1.3975</v>
      </c>
      <c r="C1085" t="n">
        <v>1.4359</v>
      </c>
    </row>
    <row r="1086">
      <c r="A1086" t="n">
        <v>1.7813</v>
      </c>
      <c r="B1086" t="n">
        <v>1.4334</v>
      </c>
      <c r="C1086" t="n">
        <v>1.4282</v>
      </c>
    </row>
    <row r="1087">
      <c r="A1087" t="n">
        <v>1.4602</v>
      </c>
      <c r="B1087" t="n">
        <v>1.4403</v>
      </c>
      <c r="C1087" t="n">
        <v>1.4302</v>
      </c>
    </row>
    <row r="1088">
      <c r="A1088" t="n">
        <v>1.432</v>
      </c>
      <c r="B1088" t="n">
        <v>1.3986</v>
      </c>
      <c r="C1088" t="n">
        <v>1.6461</v>
      </c>
    </row>
    <row r="1089">
      <c r="A1089" t="n">
        <v>1.4343</v>
      </c>
      <c r="B1089" t="n">
        <v>1.4701</v>
      </c>
      <c r="C1089" t="n">
        <v>1.7759</v>
      </c>
    </row>
    <row r="1090">
      <c r="A1090" t="n">
        <v>1.7008</v>
      </c>
      <c r="B1090" t="n">
        <v>1.6392</v>
      </c>
      <c r="C1090" t="n">
        <v>2.0047</v>
      </c>
    </row>
    <row r="1091">
      <c r="A1091" t="n">
        <v>1.493</v>
      </c>
      <c r="B1091" t="n">
        <v>1.5028</v>
      </c>
      <c r="C1091" t="n">
        <v>1.5509</v>
      </c>
    </row>
    <row r="1092">
      <c r="A1092" t="n">
        <v>1.6793</v>
      </c>
      <c r="B1092" t="n">
        <v>1.4749</v>
      </c>
      <c r="C1092" t="n">
        <v>1.6512</v>
      </c>
    </row>
    <row r="1093">
      <c r="A1093" t="n">
        <v>1.466</v>
      </c>
      <c r="B1093" t="n">
        <v>1.4125</v>
      </c>
      <c r="C1093" t="n">
        <v>1.4747</v>
      </c>
    </row>
    <row r="1094">
      <c r="A1094" t="n">
        <v>1.4499</v>
      </c>
      <c r="B1094" t="n">
        <v>1.471</v>
      </c>
      <c r="C1094" t="n">
        <v>1.4476</v>
      </c>
    </row>
    <row r="1095">
      <c r="A1095" t="n">
        <v>1.6089</v>
      </c>
      <c r="B1095" t="n">
        <v>1.5044</v>
      </c>
      <c r="C1095" t="n">
        <v>1.4155</v>
      </c>
    </row>
    <row r="1096">
      <c r="A1096" t="n">
        <v>1.5061</v>
      </c>
      <c r="B1096" t="n">
        <v>1.4898</v>
      </c>
      <c r="C1096" t="n">
        <v>1.4322</v>
      </c>
    </row>
    <row r="1097">
      <c r="A1097" t="n">
        <v>1.6256</v>
      </c>
      <c r="B1097" t="n">
        <v>1.4709</v>
      </c>
      <c r="C1097" t="n">
        <v>1.4281</v>
      </c>
    </row>
    <row r="1098">
      <c r="A1098" t="n">
        <v>1.5197</v>
      </c>
      <c r="B1098" t="n">
        <v>1.4593</v>
      </c>
      <c r="C1098" t="n">
        <v>1.6537</v>
      </c>
    </row>
    <row r="1099">
      <c r="A1099" t="n">
        <v>1.396</v>
      </c>
      <c r="B1099" t="n">
        <v>1.4963</v>
      </c>
      <c r="C1099" t="n">
        <v>1.6844</v>
      </c>
    </row>
    <row r="1100">
      <c r="A1100" t="n">
        <v>1.4069</v>
      </c>
      <c r="B1100" t="n">
        <v>1.4967</v>
      </c>
      <c r="C1100" t="n">
        <v>1.5275</v>
      </c>
    </row>
    <row r="1101">
      <c r="A1101" t="n">
        <v>1.4424</v>
      </c>
      <c r="B1101" t="n">
        <v>1.454</v>
      </c>
      <c r="C1101" t="n">
        <v>1.4516</v>
      </c>
    </row>
    <row r="1102">
      <c r="A1102" t="n">
        <v>1.4284</v>
      </c>
      <c r="B1102" t="n">
        <v>1.499</v>
      </c>
      <c r="C1102" t="n">
        <v>1.4236</v>
      </c>
    </row>
    <row r="1103">
      <c r="A1103" t="n">
        <v>1.728</v>
      </c>
      <c r="B1103" t="n">
        <v>1.4804</v>
      </c>
      <c r="C1103" t="n">
        <v>1.6929</v>
      </c>
    </row>
    <row r="1104">
      <c r="A1104" t="n">
        <v>1.6657</v>
      </c>
      <c r="B1104" t="n">
        <v>1.4997</v>
      </c>
      <c r="C1104" t="n">
        <v>1.6993</v>
      </c>
    </row>
    <row r="1105">
      <c r="A1105" t="n">
        <v>1.4528</v>
      </c>
      <c r="B1105" t="n">
        <v>1.7257</v>
      </c>
      <c r="C1105" t="n">
        <v>1.4726</v>
      </c>
    </row>
    <row r="1106">
      <c r="A1106" t="n">
        <v>1.4327</v>
      </c>
      <c r="B1106" t="n">
        <v>2.0712</v>
      </c>
      <c r="C1106" t="n">
        <v>1.4314</v>
      </c>
    </row>
    <row r="1107">
      <c r="A1107" t="n">
        <v>1.4395</v>
      </c>
      <c r="B1107" t="n">
        <v>1.6882</v>
      </c>
      <c r="C1107" t="n">
        <v>1.4415</v>
      </c>
    </row>
    <row r="1108">
      <c r="A1108" t="n">
        <v>1.6253</v>
      </c>
      <c r="B1108" t="n">
        <v>1.4935</v>
      </c>
      <c r="C1108" t="n">
        <v>1.6047</v>
      </c>
    </row>
    <row r="1109">
      <c r="A1109" t="n">
        <v>1.5668</v>
      </c>
      <c r="B1109" t="n">
        <v>1.4609</v>
      </c>
      <c r="C1109" t="n">
        <v>1.5425</v>
      </c>
    </row>
    <row r="1110">
      <c r="A1110" t="n">
        <v>1.6334</v>
      </c>
      <c r="B1110" t="n">
        <v>1.454</v>
      </c>
      <c r="C1110" t="n">
        <v>1.7448</v>
      </c>
    </row>
    <row r="1111">
      <c r="A1111" t="n">
        <v>1.4856</v>
      </c>
      <c r="B1111" t="n">
        <v>1.6752</v>
      </c>
      <c r="C1111" t="n">
        <v>1.4942</v>
      </c>
    </row>
    <row r="1112">
      <c r="A1112" t="n">
        <v>1.4515</v>
      </c>
      <c r="B1112" t="n">
        <v>1.7164</v>
      </c>
      <c r="C1112" t="n">
        <v>1.4574</v>
      </c>
    </row>
    <row r="1113">
      <c r="A1113" t="n">
        <v>1.6204</v>
      </c>
      <c r="B1113" t="n">
        <v>1.5126</v>
      </c>
      <c r="C1113" t="n">
        <v>1.6033</v>
      </c>
    </row>
    <row r="1114">
      <c r="A1114" t="n">
        <v>1.5118</v>
      </c>
      <c r="B1114" t="n">
        <v>1.431</v>
      </c>
      <c r="C1114" t="n">
        <v>1.5227</v>
      </c>
    </row>
    <row r="1115">
      <c r="A1115" t="n">
        <v>1.6652</v>
      </c>
      <c r="B1115" t="n">
        <v>1.4619</v>
      </c>
      <c r="C1115" t="n">
        <v>1.6651</v>
      </c>
    </row>
    <row r="1116">
      <c r="A1116" t="n">
        <v>1.5019</v>
      </c>
      <c r="B1116" t="n">
        <v>1.6635</v>
      </c>
      <c r="C1116" t="n">
        <v>1.4988</v>
      </c>
    </row>
    <row r="1117">
      <c r="A1117" t="n">
        <v>1.4253</v>
      </c>
      <c r="B1117" t="n">
        <v>1.8476</v>
      </c>
      <c r="C1117" t="n">
        <v>1.431</v>
      </c>
    </row>
    <row r="1118">
      <c r="A1118" t="n">
        <v>1.3986</v>
      </c>
      <c r="B1118" t="n">
        <v>1.4998</v>
      </c>
      <c r="C1118" t="n">
        <v>1.6213</v>
      </c>
    </row>
    <row r="1119">
      <c r="A1119" t="n">
        <v>1.4512</v>
      </c>
      <c r="B1119" t="n">
        <v>1.4634</v>
      </c>
      <c r="C1119" t="n">
        <v>1.5135</v>
      </c>
    </row>
    <row r="1120">
      <c r="A1120" t="n">
        <v>1.4648</v>
      </c>
      <c r="B1120" t="n">
        <v>1.4137</v>
      </c>
      <c r="C1120" t="n">
        <v>1.595</v>
      </c>
    </row>
    <row r="1121">
      <c r="A1121" t="n">
        <v>1.7433</v>
      </c>
      <c r="B1121" t="n">
        <v>1.6976</v>
      </c>
      <c r="C1121" t="n">
        <v>1.5692</v>
      </c>
    </row>
    <row r="1122">
      <c r="A1122" t="n">
        <v>2.0457</v>
      </c>
      <c r="B1122" t="n">
        <v>1.7104</v>
      </c>
      <c r="C1122" t="n">
        <v>1.8064</v>
      </c>
    </row>
    <row r="1123">
      <c r="A1123" t="n">
        <v>1.6658</v>
      </c>
      <c r="B1123" t="n">
        <v>1.482</v>
      </c>
      <c r="C1123" t="n">
        <v>1.6272</v>
      </c>
    </row>
    <row r="1124">
      <c r="A1124" t="n">
        <v>1.6768</v>
      </c>
      <c r="B1124" t="n">
        <v>1.452</v>
      </c>
      <c r="C1124" t="n">
        <v>1.6861</v>
      </c>
    </row>
    <row r="1125">
      <c r="A1125" t="n">
        <v>1.4868</v>
      </c>
      <c r="B1125" t="n">
        <v>1.433</v>
      </c>
      <c r="C1125" t="n">
        <v>1.5099</v>
      </c>
    </row>
    <row r="1126">
      <c r="A1126" t="n">
        <v>1.427</v>
      </c>
      <c r="B1126" t="n">
        <v>1.6077</v>
      </c>
      <c r="C1126" t="n">
        <v>1.426</v>
      </c>
    </row>
    <row r="1127">
      <c r="A1127" t="n">
        <v>1.4414</v>
      </c>
      <c r="B1127" t="n">
        <v>1.575</v>
      </c>
      <c r="C1127" t="n">
        <v>1.4658</v>
      </c>
    </row>
    <row r="1128">
      <c r="A1128" t="n">
        <v>1.6231</v>
      </c>
      <c r="B1128" t="n">
        <v>1.4577</v>
      </c>
      <c r="C1128" t="n">
        <v>1.647</v>
      </c>
    </row>
    <row r="1129">
      <c r="A1129" t="n">
        <v>1.5054</v>
      </c>
      <c r="B1129" t="n">
        <v>1.4452</v>
      </c>
      <c r="C1129" t="n">
        <v>1.7329</v>
      </c>
    </row>
    <row r="1130">
      <c r="A1130" t="n">
        <v>1.6473</v>
      </c>
      <c r="B1130" t="n">
        <v>1.4144</v>
      </c>
      <c r="C1130" t="n">
        <v>1.4867</v>
      </c>
    </row>
    <row r="1131">
      <c r="A1131" t="n">
        <v>1.4834</v>
      </c>
      <c r="B1131" t="n">
        <v>1.4523</v>
      </c>
      <c r="C1131" t="n">
        <v>1.4575</v>
      </c>
    </row>
    <row r="1132">
      <c r="A1132" t="n">
        <v>1.4008</v>
      </c>
      <c r="B1132" t="n">
        <v>1.4494</v>
      </c>
      <c r="C1132" t="n">
        <v>1.4378</v>
      </c>
    </row>
    <row r="1133">
      <c r="A1133" t="n">
        <v>1.3882</v>
      </c>
      <c r="B1133" t="n">
        <v>1.498</v>
      </c>
      <c r="C1133" t="n">
        <v>1.4134</v>
      </c>
    </row>
    <row r="1134">
      <c r="A1134" t="n">
        <v>1.4254</v>
      </c>
      <c r="B1134" t="n">
        <v>1.7915</v>
      </c>
      <c r="C1134" t="n">
        <v>1.4705</v>
      </c>
    </row>
    <row r="1135">
      <c r="A1135" t="n">
        <v>1.425</v>
      </c>
      <c r="B1135" t="n">
        <v>1.6614</v>
      </c>
      <c r="C1135" t="n">
        <v>1.6646</v>
      </c>
    </row>
    <row r="1136">
      <c r="A1136" t="n">
        <v>1.4223</v>
      </c>
      <c r="B1136" t="n">
        <v>1.8418</v>
      </c>
      <c r="C1136" t="n">
        <v>1.5187</v>
      </c>
    </row>
    <row r="1137">
      <c r="A1137" t="n">
        <v>1.4781</v>
      </c>
      <c r="B1137" t="n">
        <v>1.552</v>
      </c>
      <c r="C1137" t="n">
        <v>1.4273</v>
      </c>
    </row>
    <row r="1138">
      <c r="A1138" t="n">
        <v>1.6275</v>
      </c>
      <c r="B1138" t="n">
        <v>1.9136</v>
      </c>
      <c r="C1138" t="n">
        <v>1.4126</v>
      </c>
    </row>
    <row r="1139">
      <c r="A1139" t="n">
        <v>1.5349</v>
      </c>
      <c r="B1139" t="n">
        <v>1.7687</v>
      </c>
      <c r="C1139" t="n">
        <v>1.4563</v>
      </c>
    </row>
    <row r="1140">
      <c r="A1140" t="n">
        <v>1.4472</v>
      </c>
      <c r="B1140" t="n">
        <v>1.6677</v>
      </c>
      <c r="C1140" t="n">
        <v>1.4602</v>
      </c>
    </row>
    <row r="1141">
      <c r="A1141" t="n">
        <v>1.3826</v>
      </c>
      <c r="B1141" t="n">
        <v>1.5049</v>
      </c>
      <c r="C1141" t="n">
        <v>1.6741</v>
      </c>
    </row>
    <row r="1142">
      <c r="A1142" t="n">
        <v>1.4112</v>
      </c>
      <c r="B1142" t="n">
        <v>1.704</v>
      </c>
      <c r="C1142" t="n">
        <v>1.7817</v>
      </c>
    </row>
    <row r="1143">
      <c r="A1143" t="n">
        <v>1.4141</v>
      </c>
      <c r="B1143" t="n">
        <v>1.7043</v>
      </c>
      <c r="C1143" t="n">
        <v>1.5124</v>
      </c>
    </row>
    <row r="1144">
      <c r="A1144" t="n">
        <v>1.5991</v>
      </c>
      <c r="B1144" t="n">
        <v>1.5657</v>
      </c>
      <c r="C1144" t="n">
        <v>1.4231</v>
      </c>
    </row>
    <row r="1145">
      <c r="A1145" t="n">
        <v>1.7697</v>
      </c>
      <c r="B1145" t="n">
        <v>1.4778</v>
      </c>
      <c r="C1145" t="n">
        <v>1.457</v>
      </c>
    </row>
    <row r="1146">
      <c r="A1146" t="n">
        <v>1.4699</v>
      </c>
      <c r="B1146" t="n">
        <v>1.4146</v>
      </c>
      <c r="C1146" t="n">
        <v>1.6104</v>
      </c>
    </row>
    <row r="1147">
      <c r="A1147" t="n">
        <v>1.4098</v>
      </c>
      <c r="B1147" t="n">
        <v>1.4236</v>
      </c>
      <c r="C1147" t="n">
        <v>1.7805</v>
      </c>
    </row>
    <row r="1148">
      <c r="A1148" t="n">
        <v>1.438</v>
      </c>
      <c r="B1148" t="n">
        <v>1.4945</v>
      </c>
      <c r="C1148" t="n">
        <v>1.4872</v>
      </c>
    </row>
    <row r="1149">
      <c r="A1149" t="n">
        <v>1.6167</v>
      </c>
      <c r="B1149" t="n">
        <v>1.4789</v>
      </c>
      <c r="C1149" t="n">
        <v>1.444</v>
      </c>
    </row>
    <row r="1150">
      <c r="A1150" t="n">
        <v>1.5675</v>
      </c>
      <c r="B1150" t="n">
        <v>1.4348</v>
      </c>
      <c r="C1150" t="n">
        <v>1.4158</v>
      </c>
    </row>
    <row r="1151">
      <c r="A1151" t="n">
        <v>1.4324</v>
      </c>
      <c r="B1151" t="n">
        <v>1.4383</v>
      </c>
      <c r="C1151" t="n">
        <v>1.6353</v>
      </c>
    </row>
    <row r="1152">
      <c r="A1152" t="n">
        <v>1.4475</v>
      </c>
      <c r="B1152" t="n">
        <v>1.4693</v>
      </c>
      <c r="C1152" t="n">
        <v>1.5419</v>
      </c>
    </row>
    <row r="1153">
      <c r="A1153" t="n">
        <v>1.6987</v>
      </c>
      <c r="B1153" t="n">
        <v>1.6492</v>
      </c>
      <c r="C1153" t="n">
        <v>1.6262</v>
      </c>
    </row>
    <row r="1154">
      <c r="A1154" t="n">
        <v>2.0856</v>
      </c>
      <c r="B1154" t="n">
        <v>1.5133</v>
      </c>
      <c r="C1154" t="n">
        <v>1.8307</v>
      </c>
    </row>
    <row r="1155">
      <c r="A1155" t="n">
        <v>1.7409</v>
      </c>
      <c r="B1155" t="n">
        <v>1.4591</v>
      </c>
      <c r="C1155" t="n">
        <v>1.8521</v>
      </c>
    </row>
    <row r="1156">
      <c r="A1156" t="n">
        <v>1.7053</v>
      </c>
      <c r="B1156" t="n">
        <v>1.3964</v>
      </c>
      <c r="C1156" t="n">
        <v>1.4998</v>
      </c>
    </row>
    <row r="1157">
      <c r="A1157" t="n">
        <v>1.5445</v>
      </c>
      <c r="B1157" t="n">
        <v>1.4526</v>
      </c>
      <c r="C1157" t="n">
        <v>1.46</v>
      </c>
    </row>
    <row r="1158">
      <c r="A1158" t="n">
        <v>1.6325</v>
      </c>
      <c r="B1158" t="n">
        <v>1.4366</v>
      </c>
      <c r="C1158" t="n">
        <v>1.4626</v>
      </c>
    </row>
    <row r="1159">
      <c r="A1159" t="n">
        <v>1.4694</v>
      </c>
      <c r="B1159" t="n">
        <v>1.3944</v>
      </c>
      <c r="C1159" t="n">
        <v>1.4357</v>
      </c>
    </row>
    <row r="1160">
      <c r="A1160" t="n">
        <v>1.4227</v>
      </c>
      <c r="B1160" t="n">
        <v>1.4667</v>
      </c>
      <c r="C1160" t="n">
        <v>1.4758</v>
      </c>
    </row>
    <row r="1161">
      <c r="A1161" t="n">
        <v>1.4171</v>
      </c>
      <c r="B1161" t="n">
        <v>1.6491</v>
      </c>
      <c r="C1161" t="n">
        <v>1.6995</v>
      </c>
    </row>
    <row r="1162">
      <c r="A1162" t="n">
        <v>1.4238</v>
      </c>
      <c r="B1162" t="n">
        <v>1.501</v>
      </c>
      <c r="C1162" t="n">
        <v>1.6917</v>
      </c>
    </row>
    <row r="1163">
      <c r="A1163" t="n">
        <v>1.4317</v>
      </c>
      <c r="B1163" t="n">
        <v>1.4902</v>
      </c>
      <c r="C1163" t="n">
        <v>1.5369</v>
      </c>
    </row>
    <row r="1164">
      <c r="A1164" t="n">
        <v>1.6235</v>
      </c>
      <c r="B1164" t="n">
        <v>1.6612</v>
      </c>
      <c r="C1164" t="n">
        <v>1.465</v>
      </c>
    </row>
    <row r="1165">
      <c r="A1165" t="n">
        <v>1.6552</v>
      </c>
      <c r="B1165" t="n">
        <v>1.5277</v>
      </c>
      <c r="C1165" t="n">
        <v>1.4356</v>
      </c>
    </row>
    <row r="1166">
      <c r="A1166" t="n">
        <v>1.4746</v>
      </c>
      <c r="B1166" t="n">
        <v>1.6558</v>
      </c>
      <c r="C1166" t="n">
        <v>1.6372</v>
      </c>
    </row>
    <row r="1167">
      <c r="A1167" t="n">
        <v>1.4539</v>
      </c>
      <c r="B1167" t="n">
        <v>1.5213</v>
      </c>
      <c r="C1167" t="n">
        <v>1.6881</v>
      </c>
    </row>
    <row r="1168">
      <c r="A1168" t="n">
        <v>1.4252</v>
      </c>
      <c r="B1168" t="n">
        <v>1.4647</v>
      </c>
      <c r="C1168" t="n">
        <v>1.5</v>
      </c>
    </row>
    <row r="1169">
      <c r="A1169" t="n">
        <v>1.3856</v>
      </c>
      <c r="B1169" t="n">
        <v>1.4118</v>
      </c>
      <c r="C1169" t="n">
        <v>1.456</v>
      </c>
    </row>
    <row r="1170">
      <c r="A1170" t="n">
        <v>1.4662</v>
      </c>
      <c r="B1170" t="n">
        <v>1.7631</v>
      </c>
      <c r="C1170" t="n">
        <v>1.4743</v>
      </c>
    </row>
    <row r="1171">
      <c r="A1171" t="n">
        <v>1.6246</v>
      </c>
      <c r="B1171" t="n">
        <v>1.6483</v>
      </c>
      <c r="C1171" t="n">
        <v>1.596</v>
      </c>
    </row>
    <row r="1172">
      <c r="A1172" t="n">
        <v>1.5511</v>
      </c>
      <c r="B1172" t="n">
        <v>1.4979</v>
      </c>
      <c r="C1172" t="n">
        <v>1.5019</v>
      </c>
    </row>
    <row r="1173">
      <c r="A1173" t="n">
        <v>1.7153</v>
      </c>
      <c r="B1173" t="n">
        <v>1.4467</v>
      </c>
      <c r="C1173" t="n">
        <v>1.6524</v>
      </c>
    </row>
    <row r="1174">
      <c r="A1174" t="n">
        <v>1.6658</v>
      </c>
      <c r="B1174" t="n">
        <v>1.3826</v>
      </c>
      <c r="C1174" t="n">
        <v>1.4857</v>
      </c>
    </row>
    <row r="1175">
      <c r="A1175" t="n">
        <v>1.537</v>
      </c>
      <c r="B1175" t="n">
        <v>1.4285</v>
      </c>
      <c r="C1175" t="n">
        <v>1.447</v>
      </c>
    </row>
    <row r="1176">
      <c r="A1176" t="n">
        <v>1.6311</v>
      </c>
      <c r="B1176" t="n">
        <v>1.4478</v>
      </c>
      <c r="C1176" t="n">
        <v>1.6025</v>
      </c>
    </row>
    <row r="1177">
      <c r="A1177" t="n">
        <v>1.4579</v>
      </c>
      <c r="B1177" t="n">
        <v>1.6847</v>
      </c>
      <c r="C1177" t="n">
        <v>1.5093</v>
      </c>
    </row>
    <row r="1178">
      <c r="A1178" t="n">
        <v>1.4721</v>
      </c>
      <c r="B1178" t="n">
        <v>1.7322</v>
      </c>
      <c r="C1178" t="n">
        <v>1.6698</v>
      </c>
    </row>
    <row r="1179">
      <c r="A1179" t="n">
        <v>1.7496</v>
      </c>
      <c r="B1179" t="n">
        <v>1.5195</v>
      </c>
      <c r="C1179" t="n">
        <v>1.5332</v>
      </c>
    </row>
    <row r="1180">
      <c r="A1180" t="n">
        <v>1.5055</v>
      </c>
      <c r="B1180" t="n">
        <v>1.455</v>
      </c>
      <c r="C1180" t="n">
        <v>1.4469</v>
      </c>
    </row>
    <row r="1181">
      <c r="A1181" t="n">
        <v>1.6793</v>
      </c>
      <c r="B1181" t="n">
        <v>1.4565</v>
      </c>
      <c r="C1181" t="n">
        <v>1.4067</v>
      </c>
    </row>
    <row r="1182">
      <c r="A1182" t="n">
        <v>1.4833</v>
      </c>
      <c r="B1182" t="n">
        <v>1.6814</v>
      </c>
      <c r="C1182" t="n">
        <v>1.4202</v>
      </c>
    </row>
    <row r="1183">
      <c r="A1183" t="n">
        <v>1.4159</v>
      </c>
      <c r="B1183" t="n">
        <v>1.7235</v>
      </c>
      <c r="C1183" t="n">
        <v>1.4169</v>
      </c>
    </row>
    <row r="1184">
      <c r="A1184" t="n">
        <v>1.3987</v>
      </c>
      <c r="B1184" t="n">
        <v>1.5004</v>
      </c>
      <c r="C1184" t="n">
        <v>1.6947</v>
      </c>
    </row>
    <row r="1185">
      <c r="A1185" t="n">
        <v>1.425</v>
      </c>
      <c r="B1185" t="n">
        <v>1.4713</v>
      </c>
      <c r="C1185" t="n">
        <v>1.7088</v>
      </c>
    </row>
    <row r="1186">
      <c r="A1186" t="n">
        <v>1.7492</v>
      </c>
      <c r="B1186" t="n">
        <v>1.4304</v>
      </c>
      <c r="C1186" t="n">
        <v>1.9888</v>
      </c>
    </row>
    <row r="1187">
      <c r="A1187" t="n">
        <v>1.4622</v>
      </c>
      <c r="B1187" t="n">
        <v>1.7044</v>
      </c>
      <c r="C1187" t="n">
        <v>1.7429</v>
      </c>
    </row>
    <row r="1188">
      <c r="A1188" t="n">
        <v>1.4316</v>
      </c>
      <c r="B1188" t="n">
        <v>1.7028</v>
      </c>
      <c r="C1188" t="n">
        <v>1.501</v>
      </c>
    </row>
    <row r="1189">
      <c r="A1189" t="n">
        <v>1.3908</v>
      </c>
      <c r="B1189" t="n">
        <v>1.4839</v>
      </c>
      <c r="C1189" t="n">
        <v>1.4166</v>
      </c>
    </row>
    <row r="1190">
      <c r="A1190" t="n">
        <v>1.4659</v>
      </c>
      <c r="B1190" t="n">
        <v>1.6929</v>
      </c>
      <c r="C1190" t="n">
        <v>1.45</v>
      </c>
    </row>
    <row r="1191">
      <c r="A1191" t="n">
        <v>1.4751</v>
      </c>
      <c r="B1191" t="n">
        <v>1.6924</v>
      </c>
      <c r="C1191" t="n">
        <v>1.6291</v>
      </c>
    </row>
    <row r="1192">
      <c r="A1192" t="n">
        <v>1.6748</v>
      </c>
      <c r="B1192" t="n">
        <v>1.5026</v>
      </c>
      <c r="C1192" t="n">
        <v>1.5004</v>
      </c>
    </row>
    <row r="1193">
      <c r="A1193" t="n">
        <v>1.5492</v>
      </c>
      <c r="B1193" t="n">
        <v>1.445</v>
      </c>
      <c r="C1193" t="n">
        <v>1.6322</v>
      </c>
    </row>
    <row r="1194">
      <c r="A1194" t="n">
        <v>1.4682</v>
      </c>
      <c r="B1194" t="n">
        <v>1.4397</v>
      </c>
      <c r="C1194" t="n">
        <v>1.4782</v>
      </c>
    </row>
    <row r="1195">
      <c r="A1195" t="n">
        <v>1.4537</v>
      </c>
      <c r="B1195" t="n">
        <v>1.4154</v>
      </c>
      <c r="C1195" t="n">
        <v>1.439</v>
      </c>
    </row>
    <row r="1196">
      <c r="A1196" t="n">
        <v>1.664</v>
      </c>
      <c r="B1196" t="n">
        <v>1.4416</v>
      </c>
      <c r="C1196" t="n">
        <v>1.4151</v>
      </c>
    </row>
    <row r="1197">
      <c r="A1197" t="n">
        <v>1.7204</v>
      </c>
      <c r="B1197" t="n">
        <v>1.6948</v>
      </c>
      <c r="C1197" t="n">
        <v>1.4986</v>
      </c>
    </row>
    <row r="1198">
      <c r="A1198" t="n">
        <v>1.5059</v>
      </c>
      <c r="B1198" t="n">
        <v>1.8369</v>
      </c>
      <c r="C1198" t="n">
        <v>1.4128</v>
      </c>
    </row>
    <row r="1199">
      <c r="A1199" t="n">
        <v>1.6124</v>
      </c>
      <c r="B1199" t="n">
        <v>1.5267</v>
      </c>
      <c r="C1199" t="n">
        <v>1.4455</v>
      </c>
    </row>
    <row r="1200">
      <c r="A1200" t="n">
        <v>1.4931</v>
      </c>
      <c r="B1200" t="n">
        <v>1.4541</v>
      </c>
      <c r="C1200" t="n">
        <v>1.4954</v>
      </c>
    </row>
    <row r="1201">
      <c r="A1201" t="n">
        <v>1.4452</v>
      </c>
      <c r="B1201" t="n">
        <v>1.4142</v>
      </c>
      <c r="C1201" t="n">
        <v>1.4175</v>
      </c>
    </row>
    <row r="1202">
      <c r="A1202" t="n">
        <v>1.3912</v>
      </c>
      <c r="B1202" t="n">
        <v>1.994</v>
      </c>
      <c r="C1202" t="n">
        <v>1.4667</v>
      </c>
    </row>
    <row r="1203">
      <c r="A1203" t="n">
        <v>1.4279</v>
      </c>
      <c r="B1203" t="n">
        <v>1.803</v>
      </c>
      <c r="C1203" t="n">
        <v>1.4825</v>
      </c>
    </row>
    <row r="1204">
      <c r="A1204" t="n">
        <v>1.4354</v>
      </c>
      <c r="B1204" t="n">
        <v>1.6477</v>
      </c>
      <c r="C1204" t="n">
        <v>1.4525</v>
      </c>
    </row>
    <row r="1205">
      <c r="A1205" t="n">
        <v>1.7142</v>
      </c>
      <c r="B1205" t="n">
        <v>1.5996</v>
      </c>
      <c r="C1205" t="n">
        <v>1.4417</v>
      </c>
    </row>
    <row r="1206">
      <c r="A1206" t="n">
        <v>1.6948</v>
      </c>
      <c r="B1206" t="n">
        <v>1.6886</v>
      </c>
      <c r="C1206" t="n">
        <v>1.4478</v>
      </c>
    </row>
    <row r="1207">
      <c r="A1207" t="n">
        <v>1.4892</v>
      </c>
      <c r="B1207" t="n">
        <v>1.4945</v>
      </c>
      <c r="C1207" t="n">
        <v>1.6557</v>
      </c>
    </row>
    <row r="1208">
      <c r="A1208" t="n">
        <v>1.478</v>
      </c>
      <c r="B1208" t="n">
        <v>1.4498</v>
      </c>
      <c r="C1208" t="n">
        <v>1.6697</v>
      </c>
    </row>
    <row r="1209">
      <c r="A1209" t="n">
        <v>1.4455</v>
      </c>
      <c r="B1209" t="n">
        <v>1.642</v>
      </c>
      <c r="C1209" t="n">
        <v>1.5032</v>
      </c>
    </row>
    <row r="1210">
      <c r="A1210" t="n">
        <v>1.6611</v>
      </c>
      <c r="B1210" t="n">
        <v>1.767</v>
      </c>
      <c r="C1210" t="n">
        <v>1.418</v>
      </c>
    </row>
    <row r="1211">
      <c r="A1211" t="n">
        <v>1.671</v>
      </c>
      <c r="B1211" t="n">
        <v>1.5148</v>
      </c>
      <c r="C1211" t="n">
        <v>1.4325</v>
      </c>
    </row>
    <row r="1212">
      <c r="A1212" t="n">
        <v>1.4993</v>
      </c>
      <c r="B1212" t="n">
        <v>1.4523</v>
      </c>
      <c r="C1212" t="n">
        <v>1.6006</v>
      </c>
    </row>
    <row r="1213">
      <c r="A1213" t="n">
        <v>1.4203</v>
      </c>
      <c r="B1213" t="n">
        <v>1.439</v>
      </c>
      <c r="C1213" t="n">
        <v>1.4901</v>
      </c>
    </row>
    <row r="1214">
      <c r="A1214" t="n">
        <v>1.4111</v>
      </c>
      <c r="B1214" t="n">
        <v>1.6646</v>
      </c>
      <c r="C1214" t="n">
        <v>1.6215</v>
      </c>
    </row>
    <row r="1215">
      <c r="A1215" t="n">
        <v>1.6057</v>
      </c>
      <c r="B1215" t="n">
        <v>1.7969</v>
      </c>
      <c r="C1215" t="n">
        <v>1.5056</v>
      </c>
    </row>
    <row r="1216">
      <c r="A1216" t="n">
        <v>1.4884</v>
      </c>
      <c r="B1216" t="n">
        <v>1.5284</v>
      </c>
      <c r="C1216" t="n">
        <v>1.4468</v>
      </c>
    </row>
    <row r="1217">
      <c r="A1217" t="n">
        <v>1.61</v>
      </c>
      <c r="B1217" t="n">
        <v>1.4816</v>
      </c>
      <c r="C1217" t="n">
        <v>1.4154</v>
      </c>
    </row>
    <row r="1218">
      <c r="A1218" t="n">
        <v>1.7963</v>
      </c>
      <c r="B1218" t="n">
        <v>1.4655</v>
      </c>
      <c r="C1218" t="n">
        <v>1.7766</v>
      </c>
    </row>
    <row r="1219">
      <c r="A1219" t="n">
        <v>1.4402</v>
      </c>
      <c r="B1219" t="n">
        <v>1.6578</v>
      </c>
      <c r="C1219" t="n">
        <v>1.6223</v>
      </c>
    </row>
    <row r="1220">
      <c r="A1220" t="n">
        <v>1.6215</v>
      </c>
      <c r="B1220" t="n">
        <v>1.7683</v>
      </c>
      <c r="C1220" t="n">
        <v>1.5427</v>
      </c>
    </row>
    <row r="1221">
      <c r="A1221" t="n">
        <v>1.7182</v>
      </c>
      <c r="B1221" t="n">
        <v>1.5249</v>
      </c>
      <c r="C1221" t="n">
        <v>1.4439</v>
      </c>
    </row>
    <row r="1222">
      <c r="A1222" t="n">
        <v>1.4784</v>
      </c>
      <c r="B1222" t="n">
        <v>1.4136</v>
      </c>
      <c r="C1222" t="n">
        <v>1.407</v>
      </c>
    </row>
    <row r="1223">
      <c r="A1223" t="n">
        <v>1.4517</v>
      </c>
      <c r="B1223" t="n">
        <v>1.4295</v>
      </c>
      <c r="C1223" t="n">
        <v>1.4283</v>
      </c>
    </row>
    <row r="1224">
      <c r="A1224" t="n">
        <v>1.4632</v>
      </c>
      <c r="B1224" t="n">
        <v>1.6404</v>
      </c>
      <c r="C1224" t="n">
        <v>1.4495</v>
      </c>
    </row>
    <row r="1225">
      <c r="A1225" t="n">
        <v>1.3849</v>
      </c>
      <c r="B1225" t="n">
        <v>1.7222</v>
      </c>
      <c r="C1225" t="n">
        <v>1.668</v>
      </c>
    </row>
    <row r="1226">
      <c r="A1226" t="n">
        <v>1.4708</v>
      </c>
      <c r="B1226" t="n">
        <v>1.4898</v>
      </c>
      <c r="C1226" t="n">
        <v>1.7112</v>
      </c>
    </row>
    <row r="1227">
      <c r="A1227" t="n">
        <v>1.6371</v>
      </c>
      <c r="B1227" t="n">
        <v>1.4629</v>
      </c>
      <c r="C1227" t="n">
        <v>1.4973</v>
      </c>
    </row>
    <row r="1228">
      <c r="A1228" t="n">
        <v>1.4816</v>
      </c>
      <c r="B1228" t="n">
        <v>1.4175</v>
      </c>
      <c r="C1228" t="n">
        <v>1.4255</v>
      </c>
    </row>
    <row r="1229">
      <c r="A1229" t="n">
        <v>1.6618</v>
      </c>
      <c r="B1229" t="n">
        <v>1.6319</v>
      </c>
      <c r="C1229" t="n">
        <v>1.4296</v>
      </c>
    </row>
    <row r="1230">
      <c r="A1230" t="n">
        <v>1.6908</v>
      </c>
      <c r="B1230" t="n">
        <v>1.8757</v>
      </c>
      <c r="C1230" t="n">
        <v>1.6291</v>
      </c>
    </row>
    <row r="1231">
      <c r="A1231" t="n">
        <v>1.4931</v>
      </c>
      <c r="B1231" t="n">
        <v>1.4734</v>
      </c>
      <c r="C1231" t="n">
        <v>1.7488</v>
      </c>
    </row>
    <row r="1232">
      <c r="A1232" t="n">
        <v>1.5982</v>
      </c>
      <c r="B1232" t="n">
        <v>1.4468</v>
      </c>
      <c r="C1232" t="n">
        <v>1.485</v>
      </c>
    </row>
    <row r="1233">
      <c r="A1233" t="n">
        <v>1.4983</v>
      </c>
      <c r="B1233" t="n">
        <v>1.4197</v>
      </c>
      <c r="C1233" t="n">
        <v>1.4796</v>
      </c>
    </row>
    <row r="1234">
      <c r="A1234" t="n">
        <v>1.3896</v>
      </c>
      <c r="B1234" t="n">
        <v>1.9625</v>
      </c>
      <c r="C1234" t="n">
        <v>1.4296</v>
      </c>
    </row>
    <row r="1235">
      <c r="A1235" t="n">
        <v>1.4362</v>
      </c>
      <c r="B1235" t="n">
        <v>1.7141</v>
      </c>
      <c r="C1235" t="n">
        <v>1.6175</v>
      </c>
    </row>
    <row r="1236">
      <c r="A1236" t="n">
        <v>1.4421</v>
      </c>
      <c r="B1236" t="n">
        <v>1.7079</v>
      </c>
      <c r="C1236" t="n">
        <v>1.5936</v>
      </c>
    </row>
    <row r="1237">
      <c r="A1237" t="n">
        <v>1.4075</v>
      </c>
      <c r="B1237" t="n">
        <v>1.5022</v>
      </c>
      <c r="C1237" t="n">
        <v>1.4138</v>
      </c>
    </row>
    <row r="1238">
      <c r="A1238" t="n">
        <v>1.6095</v>
      </c>
      <c r="B1238" t="n">
        <v>1.6431</v>
      </c>
      <c r="C1238" t="n">
        <v>1.4429</v>
      </c>
    </row>
    <row r="1239">
      <c r="A1239" t="n">
        <v>1.527</v>
      </c>
      <c r="B1239" t="n">
        <v>1.5273</v>
      </c>
      <c r="C1239" t="n">
        <v>1.6521</v>
      </c>
    </row>
    <row r="1240">
      <c r="A1240" t="n">
        <v>1.6155</v>
      </c>
      <c r="B1240" t="n">
        <v>1.4141</v>
      </c>
      <c r="C1240" t="n">
        <v>1.6379</v>
      </c>
    </row>
    <row r="1241">
      <c r="A1241" t="n">
        <v>1.4965</v>
      </c>
      <c r="B1241" t="n">
        <v>1.4065</v>
      </c>
      <c r="C1241" t="n">
        <v>1.5203</v>
      </c>
    </row>
    <row r="1242">
      <c r="A1242" t="n">
        <v>1.4405</v>
      </c>
      <c r="B1242" t="n">
        <v>1.4344</v>
      </c>
      <c r="C1242" t="n">
        <v>1.6172</v>
      </c>
    </row>
    <row r="1243">
      <c r="A1243" t="n">
        <v>1.3742</v>
      </c>
      <c r="B1243" t="n">
        <v>1.4199</v>
      </c>
      <c r="C1243" t="n">
        <v>1.4792</v>
      </c>
    </row>
    <row r="1244">
      <c r="A1244" t="n">
        <v>1.4491</v>
      </c>
      <c r="B1244" t="n">
        <v>1.6746</v>
      </c>
      <c r="C1244" t="n">
        <v>1.4643</v>
      </c>
    </row>
    <row r="1245">
      <c r="A1245" t="n">
        <v>1.4349</v>
      </c>
      <c r="B1245" t="n">
        <v>1.6768</v>
      </c>
      <c r="C1245" t="n">
        <v>1.4203</v>
      </c>
    </row>
    <row r="1246">
      <c r="A1246" t="n">
        <v>1.3969</v>
      </c>
      <c r="B1246" t="n">
        <v>1.4579</v>
      </c>
      <c r="C1246" t="n">
        <v>1.3973</v>
      </c>
    </row>
    <row r="1247">
      <c r="A1247" t="n">
        <v>1.4703</v>
      </c>
      <c r="B1247" t="n">
        <v>1.4273</v>
      </c>
      <c r="C1247" t="n">
        <v>1.445</v>
      </c>
    </row>
    <row r="1248">
      <c r="A1248" t="n">
        <v>1.6147</v>
      </c>
      <c r="B1248" t="n">
        <v>1.4466</v>
      </c>
      <c r="C1248" t="n">
        <v>1.7213</v>
      </c>
    </row>
    <row r="1249">
      <c r="A1249" t="n">
        <v>1.4822</v>
      </c>
      <c r="B1249" t="n">
        <v>1.6169</v>
      </c>
      <c r="C1249" t="n">
        <v>1.6988</v>
      </c>
    </row>
    <row r="1250">
      <c r="A1250" t="n">
        <v>1.7666</v>
      </c>
      <c r="B1250" t="n">
        <v>1.7566</v>
      </c>
      <c r="C1250" t="n">
        <v>2.0086</v>
      </c>
    </row>
    <row r="1251">
      <c r="A1251" t="n">
        <v>1.6607</v>
      </c>
      <c r="B1251" t="n">
        <v>1.4745</v>
      </c>
      <c r="C1251" t="n">
        <v>1.7166</v>
      </c>
    </row>
    <row r="1252">
      <c r="A1252" t="n">
        <v>1.6417</v>
      </c>
      <c r="B1252" t="n">
        <v>1.4354</v>
      </c>
      <c r="C1252" t="n">
        <v>1.4972</v>
      </c>
    </row>
    <row r="1253">
      <c r="A1253" t="n">
        <v>1.4922</v>
      </c>
      <c r="B1253" t="n">
        <v>1.4543</v>
      </c>
      <c r="C1253" t="n">
        <v>1.4327</v>
      </c>
    </row>
    <row r="1254">
      <c r="A1254" t="n">
        <v>1.431</v>
      </c>
      <c r="B1254" t="n">
        <v>1.3932</v>
      </c>
      <c r="C1254" t="n">
        <v>1.4247</v>
      </c>
    </row>
    <row r="1255">
      <c r="A1255" t="n">
        <v>1.4491</v>
      </c>
      <c r="B1255" t="n">
        <v>1.4431</v>
      </c>
      <c r="C1255" t="n">
        <v>1.6364</v>
      </c>
    </row>
    <row r="1256">
      <c r="A1256" t="n">
        <v>1.6333</v>
      </c>
      <c r="B1256" t="n">
        <v>1.6589</v>
      </c>
      <c r="C1256" t="n">
        <v>1.5229</v>
      </c>
    </row>
    <row r="1257">
      <c r="A1257" t="n">
        <v>1.5009</v>
      </c>
      <c r="B1257" t="n">
        <v>1.5505</v>
      </c>
      <c r="C1257" t="n">
        <v>1.6462</v>
      </c>
    </row>
    <row r="1258">
      <c r="A1258" t="n">
        <v>1.6195</v>
      </c>
      <c r="B1258" t="n">
        <v>1.6656</v>
      </c>
      <c r="C1258" t="n">
        <v>1.4954</v>
      </c>
    </row>
    <row r="1259">
      <c r="A1259" t="n">
        <v>1.4945</v>
      </c>
      <c r="B1259" t="n">
        <v>1.7284</v>
      </c>
      <c r="C1259" t="n">
        <v>1.4441</v>
      </c>
    </row>
    <row r="1260">
      <c r="A1260" t="n">
        <v>1.4473</v>
      </c>
      <c r="B1260" t="n">
        <v>1.5344</v>
      </c>
      <c r="C1260" t="n">
        <v>1.3794</v>
      </c>
    </row>
    <row r="1261">
      <c r="A1261" t="n">
        <v>1.505</v>
      </c>
      <c r="B1261" t="n">
        <v>1.6283</v>
      </c>
      <c r="C1261" t="n">
        <v>1.4403</v>
      </c>
    </row>
    <row r="1262">
      <c r="A1262" t="n">
        <v>1.4834</v>
      </c>
      <c r="B1262" t="n">
        <v>1.5238</v>
      </c>
      <c r="C1262" t="n">
        <v>1.4961</v>
      </c>
    </row>
    <row r="1263">
      <c r="A1263" t="n">
        <v>1.6616</v>
      </c>
      <c r="B1263" t="n">
        <v>1.4581</v>
      </c>
      <c r="C1263" t="n">
        <v>1.4014</v>
      </c>
    </row>
    <row r="1264">
      <c r="A1264" t="n">
        <v>1.4737</v>
      </c>
      <c r="B1264" t="n">
        <v>1.3771</v>
      </c>
      <c r="C1264" t="n">
        <v>1.4637</v>
      </c>
    </row>
    <row r="1265">
      <c r="A1265" t="n">
        <v>1.6643</v>
      </c>
      <c r="B1265" t="n">
        <v>1.4198</v>
      </c>
      <c r="C1265" t="n">
        <v>1.6454</v>
      </c>
    </row>
    <row r="1266">
      <c r="A1266" t="n">
        <v>1.7638</v>
      </c>
      <c r="B1266" t="n">
        <v>1.7778</v>
      </c>
      <c r="C1266" t="n">
        <v>1.4938</v>
      </c>
    </row>
    <row r="1267">
      <c r="A1267" t="n">
        <v>1.5168</v>
      </c>
      <c r="B1267" t="n">
        <v>1.4382</v>
      </c>
      <c r="C1267" t="n">
        <v>1.4605</v>
      </c>
    </row>
    <row r="1268">
      <c r="A1268" t="n">
        <v>1.6527</v>
      </c>
      <c r="B1268" t="n">
        <v>1.6579</v>
      </c>
      <c r="C1268" t="n">
        <v>1.4119</v>
      </c>
    </row>
    <row r="1269">
      <c r="A1269" t="n">
        <v>1.4774</v>
      </c>
      <c r="B1269" t="n">
        <v>1.5025</v>
      </c>
      <c r="C1269" t="n">
        <v>1.4479</v>
      </c>
    </row>
    <row r="1270">
      <c r="A1270" t="n">
        <v>1.3946</v>
      </c>
      <c r="B1270" t="n">
        <v>1.4354</v>
      </c>
      <c r="C1270" t="n">
        <v>1.4499</v>
      </c>
    </row>
    <row r="1271">
      <c r="A1271" t="n">
        <v>1.3933</v>
      </c>
      <c r="B1271" t="n">
        <v>1.4322</v>
      </c>
      <c r="C1271" t="n">
        <v>1.4631</v>
      </c>
    </row>
    <row r="1272">
      <c r="A1272" t="n">
        <v>1.4163</v>
      </c>
      <c r="B1272" t="n">
        <v>1.7347</v>
      </c>
      <c r="C1272" t="n">
        <v>1.7707</v>
      </c>
    </row>
    <row r="1273">
      <c r="A1273" t="n">
        <v>1.4368</v>
      </c>
      <c r="B1273" t="n">
        <v>1.6489</v>
      </c>
      <c r="C1273" t="n">
        <v>1.5164</v>
      </c>
    </row>
    <row r="1274">
      <c r="A1274" t="n">
        <v>1.413</v>
      </c>
      <c r="B1274" t="n">
        <v>1.486</v>
      </c>
      <c r="C1274" t="n">
        <v>1.4721</v>
      </c>
    </row>
    <row r="1275">
      <c r="A1275" t="n">
        <v>1.4771</v>
      </c>
      <c r="B1275" t="n">
        <v>1.5293</v>
      </c>
      <c r="C1275" t="n">
        <v>1.4452</v>
      </c>
    </row>
    <row r="1276">
      <c r="A1276" t="n">
        <v>1.6481</v>
      </c>
      <c r="B1276" t="n">
        <v>1.4149</v>
      </c>
      <c r="C1276" t="n">
        <v>1.7612</v>
      </c>
    </row>
    <row r="1277">
      <c r="A1277" t="n">
        <v>1.537</v>
      </c>
      <c r="B1277" t="n">
        <v>1.6826</v>
      </c>
      <c r="C1277" t="n">
        <v>2.0604</v>
      </c>
    </row>
    <row r="1278">
      <c r="A1278" t="n">
        <v>1.4296</v>
      </c>
      <c r="B1278" t="n">
        <v>1.7709</v>
      </c>
      <c r="C1278" t="n">
        <v>1.9888</v>
      </c>
    </row>
    <row r="1279">
      <c r="A1279" t="n">
        <v>1.3862</v>
      </c>
      <c r="B1279" t="n">
        <v>1.4732</v>
      </c>
      <c r="C1279" t="n">
        <v>2.1234</v>
      </c>
    </row>
    <row r="1280">
      <c r="A1280" t="n">
        <v>1.447</v>
      </c>
      <c r="B1280" t="n">
        <v>1.4453</v>
      </c>
      <c r="C1280" t="n">
        <v>1.9424</v>
      </c>
    </row>
    <row r="1281">
      <c r="A1281" t="n">
        <v>1.4319</v>
      </c>
      <c r="B1281" t="n">
        <v>1.4257</v>
      </c>
      <c r="C1281" t="n">
        <v>1.891</v>
      </c>
    </row>
    <row r="1282">
      <c r="A1282" t="n">
        <v>1.9607</v>
      </c>
      <c r="B1282" t="n">
        <v>1.6298</v>
      </c>
      <c r="C1282" t="n">
        <v>1.8896</v>
      </c>
    </row>
    <row r="1283">
      <c r="A1283" t="n">
        <v>1.7389</v>
      </c>
      <c r="B1283" t="n">
        <v>1.7353</v>
      </c>
      <c r="C1283" t="n">
        <v>1.4649</v>
      </c>
    </row>
    <row r="1284">
      <c r="A1284" t="n">
        <v>1.7001</v>
      </c>
      <c r="B1284" t="n">
        <v>1.4947</v>
      </c>
      <c r="C1284" t="n">
        <v>1.4647</v>
      </c>
    </row>
    <row r="1285">
      <c r="A1285" t="n">
        <v>1.5001</v>
      </c>
      <c r="B1285" t="n">
        <v>1.4331</v>
      </c>
      <c r="C1285" t="n">
        <v>1.4598</v>
      </c>
    </row>
    <row r="1286">
      <c r="A1286" t="n">
        <v>1.6481</v>
      </c>
      <c r="B1286" t="n">
        <v>1.4343</v>
      </c>
      <c r="C1286" t="n">
        <v>1.444</v>
      </c>
    </row>
    <row r="1287">
      <c r="A1287" t="n">
        <v>1.4822</v>
      </c>
      <c r="B1287" t="n">
        <v>1.6142</v>
      </c>
      <c r="C1287" t="n">
        <v>1.4762</v>
      </c>
    </row>
    <row r="1288">
      <c r="A1288" t="n">
        <v>1.4029</v>
      </c>
      <c r="B1288" t="n">
        <v>1.5318</v>
      </c>
      <c r="C1288" t="n">
        <v>1.5163</v>
      </c>
    </row>
    <row r="1289">
      <c r="A1289" t="n">
        <v>1.3816</v>
      </c>
      <c r="B1289" t="n">
        <v>1.6533</v>
      </c>
      <c r="C1289" t="n">
        <v>1.4474</v>
      </c>
    </row>
    <row r="1290">
      <c r="A1290" t="n">
        <v>1.4186</v>
      </c>
      <c r="B1290" t="n">
        <v>1.5152</v>
      </c>
      <c r="C1290" t="n">
        <v>1.4827</v>
      </c>
    </row>
    <row r="1291">
      <c r="A1291" t="n">
        <v>1.4574</v>
      </c>
      <c r="B1291" t="n">
        <v>1.4305</v>
      </c>
      <c r="C1291" t="n">
        <v>1.6989</v>
      </c>
    </row>
    <row r="1292">
      <c r="A1292" t="n">
        <v>1.6228</v>
      </c>
      <c r="B1292" t="n">
        <v>1.4009</v>
      </c>
      <c r="C1292" t="n">
        <v>1.8372</v>
      </c>
    </row>
    <row r="1293">
      <c r="A1293" t="n">
        <v>1.7635</v>
      </c>
      <c r="B1293" t="n">
        <v>1.4548</v>
      </c>
      <c r="C1293" t="n">
        <v>1.5358</v>
      </c>
    </row>
    <row r="1294">
      <c r="A1294" t="n">
        <v>1.459</v>
      </c>
      <c r="B1294" t="n">
        <v>1.4187</v>
      </c>
      <c r="C1294" t="n">
        <v>1.6441</v>
      </c>
    </row>
    <row r="1295">
      <c r="A1295" t="n">
        <v>1.4484</v>
      </c>
      <c r="B1295" t="n">
        <v>1.4603</v>
      </c>
      <c r="C1295" t="n">
        <v>1.4953</v>
      </c>
    </row>
    <row r="1296">
      <c r="A1296" t="n">
        <v>1.4337</v>
      </c>
      <c r="B1296" t="n">
        <v>1.526</v>
      </c>
      <c r="C1296" t="n">
        <v>1.4551</v>
      </c>
    </row>
    <row r="1297">
      <c r="A1297" t="n">
        <v>1.5752</v>
      </c>
      <c r="B1297" t="n">
        <v>1.3931</v>
      </c>
      <c r="C1297" t="n">
        <v>1.4306</v>
      </c>
    </row>
    <row r="1298">
      <c r="A1298" t="n">
        <v>1.6119</v>
      </c>
      <c r="B1298" t="n">
        <v>1.7952</v>
      </c>
      <c r="C1298" t="n">
        <v>1.4244</v>
      </c>
    </row>
    <row r="1299">
      <c r="A1299" t="n">
        <v>1.4399</v>
      </c>
      <c r="B1299" t="n">
        <v>1.4359</v>
      </c>
      <c r="C1299" t="n">
        <v>1.4384</v>
      </c>
    </row>
    <row r="1300">
      <c r="A1300" t="n">
        <v>1.4158</v>
      </c>
      <c r="B1300" t="n">
        <v>1.6457</v>
      </c>
      <c r="C1300" t="n">
        <v>1.4408</v>
      </c>
    </row>
    <row r="1301">
      <c r="A1301" t="n">
        <v>1.4161</v>
      </c>
      <c r="B1301" t="n">
        <v>1.8251</v>
      </c>
      <c r="C1301" t="n">
        <v>1.4773</v>
      </c>
    </row>
    <row r="1302">
      <c r="A1302" t="n">
        <v>1.4048</v>
      </c>
      <c r="B1302" t="n">
        <v>1.4872</v>
      </c>
      <c r="C1302" t="n">
        <v>1.6704</v>
      </c>
    </row>
    <row r="1303">
      <c r="A1303" t="n">
        <v>1.4274</v>
      </c>
      <c r="B1303" t="n">
        <v>1.4329</v>
      </c>
      <c r="C1303" t="n">
        <v>1.481</v>
      </c>
    </row>
    <row r="1304">
      <c r="A1304" t="n">
        <v>1.4358</v>
      </c>
      <c r="B1304" t="n">
        <v>1.4383</v>
      </c>
      <c r="C1304" t="n">
        <v>1.4443</v>
      </c>
    </row>
    <row r="1305">
      <c r="A1305" t="n">
        <v>1.6349</v>
      </c>
      <c r="B1305" t="n">
        <v>1.6471</v>
      </c>
      <c r="C1305" t="n">
        <v>1.6394</v>
      </c>
    </row>
    <row r="1306">
      <c r="A1306" t="n">
        <v>1.5601</v>
      </c>
      <c r="B1306" t="n">
        <v>1.7647</v>
      </c>
      <c r="C1306" t="n">
        <v>1.5315</v>
      </c>
    </row>
    <row r="1307">
      <c r="A1307" t="n">
        <v>1.4172</v>
      </c>
      <c r="B1307" t="n">
        <v>1.5182</v>
      </c>
      <c r="C1307" t="n">
        <v>1.7255</v>
      </c>
    </row>
    <row r="1308">
      <c r="A1308" t="n">
        <v>1.4119</v>
      </c>
      <c r="B1308" t="n">
        <v>1.4544</v>
      </c>
      <c r="C1308" t="n">
        <v>1.4896</v>
      </c>
    </row>
    <row r="1309">
      <c r="A1309" t="n">
        <v>1.4005</v>
      </c>
      <c r="B1309" t="n">
        <v>1.4211</v>
      </c>
      <c r="C1309" t="n">
        <v>1.4369</v>
      </c>
    </row>
    <row r="1310">
      <c r="A1310" t="n">
        <v>1.4143</v>
      </c>
      <c r="B1310" t="n">
        <v>1.5986</v>
      </c>
      <c r="C1310" t="n">
        <v>1.698</v>
      </c>
    </row>
    <row r="1311">
      <c r="A1311" t="n">
        <v>1.4824</v>
      </c>
      <c r="B1311" t="n">
        <v>1.5511</v>
      </c>
      <c r="C1311" t="n">
        <v>1.5511</v>
      </c>
    </row>
    <row r="1312">
      <c r="A1312" t="n">
        <v>1.4324</v>
      </c>
      <c r="B1312" t="n">
        <v>1.3892</v>
      </c>
      <c r="C1312" t="n">
        <v>1.6772</v>
      </c>
    </row>
    <row r="1313">
      <c r="A1313" t="n">
        <v>1.6133</v>
      </c>
      <c r="B1313" t="n">
        <v>1.4561</v>
      </c>
      <c r="C1313" t="n">
        <v>1.4661</v>
      </c>
    </row>
    <row r="1314">
      <c r="A1314" t="n">
        <v>2.1174</v>
      </c>
      <c r="B1314" t="n">
        <v>1.6266</v>
      </c>
      <c r="C1314" t="n">
        <v>1.7998</v>
      </c>
    </row>
    <row r="1315">
      <c r="A1315" t="n">
        <v>1.6603</v>
      </c>
      <c r="B1315" t="n">
        <v>1.6565</v>
      </c>
      <c r="C1315" t="n">
        <v>1.4292</v>
      </c>
    </row>
    <row r="1316">
      <c r="A1316" t="n">
        <v>1.5454</v>
      </c>
      <c r="B1316" t="n">
        <v>1.5464</v>
      </c>
      <c r="C1316" t="n">
        <v>1.4419</v>
      </c>
    </row>
    <row r="1317">
      <c r="A1317" t="n">
        <v>1.6529</v>
      </c>
      <c r="B1317" t="n">
        <v>1.6169</v>
      </c>
      <c r="C1317" t="n">
        <v>1.7019</v>
      </c>
    </row>
    <row r="1318">
      <c r="A1318" t="n">
        <v>1.4669</v>
      </c>
      <c r="B1318" t="n">
        <v>1.5043</v>
      </c>
      <c r="C1318" t="n">
        <v>1.5168</v>
      </c>
    </row>
    <row r="1319">
      <c r="A1319" t="n">
        <v>1.4526</v>
      </c>
      <c r="B1319" t="n">
        <v>1.4284</v>
      </c>
      <c r="C1319" t="n">
        <v>1.4382</v>
      </c>
    </row>
    <row r="1320">
      <c r="A1320" t="n">
        <v>1.3894</v>
      </c>
      <c r="B1320" t="n">
        <v>1.4174</v>
      </c>
      <c r="C1320" t="n">
        <v>1.609</v>
      </c>
    </row>
    <row r="1321">
      <c r="A1321" t="n">
        <v>1.4751</v>
      </c>
      <c r="B1321" t="n">
        <v>1.4156</v>
      </c>
      <c r="C1321" t="n">
        <v>1.5519</v>
      </c>
    </row>
    <row r="1322">
      <c r="A1322" t="n">
        <v>1.4586</v>
      </c>
      <c r="B1322" t="n">
        <v>1.4444</v>
      </c>
      <c r="C1322" t="n">
        <v>1.6589</v>
      </c>
    </row>
    <row r="1323">
      <c r="A1323" t="n">
        <v>1.3989</v>
      </c>
      <c r="B1323" t="n">
        <v>1.6401</v>
      </c>
      <c r="C1323" t="n">
        <v>1.5276</v>
      </c>
    </row>
    <row r="1324">
      <c r="A1324" t="n">
        <v>1.4384</v>
      </c>
      <c r="B1324" t="n">
        <v>1.7136</v>
      </c>
      <c r="C1324" t="n">
        <v>1.4999</v>
      </c>
    </row>
    <row r="1325">
      <c r="A1325" t="n">
        <v>1.6164</v>
      </c>
      <c r="B1325" t="n">
        <v>1.4887</v>
      </c>
      <c r="C1325" t="n">
        <v>1.6032</v>
      </c>
    </row>
    <row r="1326">
      <c r="A1326" t="n">
        <v>1.4737</v>
      </c>
      <c r="B1326" t="n">
        <v>1.4658</v>
      </c>
      <c r="C1326" t="n">
        <v>1.5632</v>
      </c>
    </row>
    <row r="1327">
      <c r="A1327" t="n">
        <v>1.3998</v>
      </c>
      <c r="B1327" t="n">
        <v>1.4035</v>
      </c>
      <c r="C1327" t="n">
        <v>1.6695</v>
      </c>
    </row>
    <row r="1328">
      <c r="A1328" t="n">
        <v>1.4456</v>
      </c>
      <c r="B1328" t="n">
        <v>1.6014</v>
      </c>
      <c r="C1328" t="n">
        <v>1.4789</v>
      </c>
    </row>
    <row r="1329">
      <c r="A1329" t="n">
        <v>1.4283</v>
      </c>
      <c r="B1329" t="n">
        <v>1.6327</v>
      </c>
      <c r="C1329" t="n">
        <v>1.4659</v>
      </c>
    </row>
    <row r="1330">
      <c r="A1330" t="n">
        <v>1.4326</v>
      </c>
      <c r="B1330" t="n">
        <v>1.7576</v>
      </c>
      <c r="C1330" t="n">
        <v>1.6602</v>
      </c>
    </row>
    <row r="1331">
      <c r="A1331" t="n">
        <v>1.6206</v>
      </c>
      <c r="B1331" t="n">
        <v>1.4525</v>
      </c>
      <c r="C1331" t="n">
        <v>1.5203</v>
      </c>
    </row>
    <row r="1332">
      <c r="A1332" t="n">
        <v>1.694</v>
      </c>
      <c r="B1332" t="n">
        <v>1.4441</v>
      </c>
      <c r="C1332" t="n">
        <v>1.7115</v>
      </c>
    </row>
    <row r="1333">
      <c r="A1333" t="n">
        <v>1.4885</v>
      </c>
      <c r="B1333" t="n">
        <v>1.581</v>
      </c>
      <c r="C1333" t="n">
        <v>1.5053</v>
      </c>
    </row>
    <row r="1334">
      <c r="A1334" t="n">
        <v>1.4623</v>
      </c>
      <c r="B1334" t="n">
        <v>1.8845</v>
      </c>
      <c r="C1334" t="n">
        <v>1.4807</v>
      </c>
    </row>
    <row r="1335">
      <c r="A1335" t="n">
        <v>1.4419</v>
      </c>
      <c r="B1335" t="n">
        <v>1.4941</v>
      </c>
      <c r="C1335" t="n">
        <v>1.6404</v>
      </c>
    </row>
    <row r="1336">
      <c r="A1336" t="n">
        <v>1.5853</v>
      </c>
      <c r="B1336" t="n">
        <v>1.425</v>
      </c>
      <c r="C1336" t="n">
        <v>1.5468</v>
      </c>
    </row>
    <row r="1337">
      <c r="A1337" t="n">
        <v>1.5337</v>
      </c>
      <c r="B1337" t="n">
        <v>1.4538</v>
      </c>
      <c r="C1337" t="n">
        <v>1.6451</v>
      </c>
    </row>
    <row r="1338">
      <c r="A1338" t="n">
        <v>1.6523</v>
      </c>
      <c r="B1338" t="n">
        <v>1.6121</v>
      </c>
      <c r="C1338" t="n">
        <v>1.4905</v>
      </c>
    </row>
    <row r="1339">
      <c r="A1339" t="n">
        <v>1.4565</v>
      </c>
      <c r="B1339" t="n">
        <v>1.4728</v>
      </c>
      <c r="C1339" t="n">
        <v>1.4582</v>
      </c>
    </row>
    <row r="1340">
      <c r="A1340" t="n">
        <v>1.46</v>
      </c>
      <c r="B1340" t="n">
        <v>1.6435</v>
      </c>
      <c r="C1340" t="n">
        <v>1.5992</v>
      </c>
    </row>
    <row r="1341">
      <c r="A1341" t="n">
        <v>1.4031</v>
      </c>
      <c r="B1341" t="n">
        <v>1.4942</v>
      </c>
      <c r="C1341" t="n">
        <v>1.5531</v>
      </c>
    </row>
    <row r="1342">
      <c r="A1342" t="n">
        <v>1.4289</v>
      </c>
      <c r="B1342" t="n">
        <v>1.4484</v>
      </c>
      <c r="C1342" t="n">
        <v>1.7251</v>
      </c>
    </row>
    <row r="1343">
      <c r="A1343" t="n">
        <v>1.4565</v>
      </c>
      <c r="B1343" t="n">
        <v>1.3952</v>
      </c>
      <c r="C1343" t="n">
        <v>1.4673</v>
      </c>
    </row>
    <row r="1344">
      <c r="A1344" t="n">
        <v>1.4087</v>
      </c>
      <c r="B1344" t="n">
        <v>1.4256</v>
      </c>
      <c r="C1344" t="n">
        <v>1.4539</v>
      </c>
    </row>
    <row r="1345">
      <c r="A1345" t="n">
        <v>1.4642</v>
      </c>
      <c r="B1345" t="n">
        <v>1.447</v>
      </c>
      <c r="C1345" t="n">
        <v>1.4157</v>
      </c>
    </row>
    <row r="1346">
      <c r="A1346" t="n">
        <v>1.9557</v>
      </c>
      <c r="B1346" t="n">
        <v>1.4135</v>
      </c>
      <c r="C1346" t="n">
        <v>1.7434</v>
      </c>
    </row>
    <row r="1347">
      <c r="A1347" t="n">
        <v>1.5275</v>
      </c>
      <c r="B1347" t="n">
        <v>1.5229</v>
      </c>
      <c r="C1347" t="n">
        <v>1.6503</v>
      </c>
    </row>
    <row r="1348">
      <c r="A1348" t="n">
        <v>1.4357</v>
      </c>
      <c r="B1348" t="n">
        <v>1.6449</v>
      </c>
      <c r="C1348" t="n">
        <v>1.5022</v>
      </c>
    </row>
    <row r="1349">
      <c r="A1349" t="n">
        <v>1.6511</v>
      </c>
      <c r="B1349" t="n">
        <v>1.5024</v>
      </c>
      <c r="C1349" t="n">
        <v>1.4651</v>
      </c>
    </row>
    <row r="1350">
      <c r="A1350" t="n">
        <v>1.739</v>
      </c>
      <c r="B1350" t="n">
        <v>1.4486</v>
      </c>
      <c r="C1350" t="n">
        <v>1.4464</v>
      </c>
    </row>
    <row r="1351">
      <c r="A1351" t="n">
        <v>1.477</v>
      </c>
      <c r="B1351" t="n">
        <v>1.6269</v>
      </c>
      <c r="C1351" t="n">
        <v>1.4651</v>
      </c>
    </row>
    <row r="1352">
      <c r="A1352" t="n">
        <v>1.4677</v>
      </c>
      <c r="B1352" t="n">
        <v>1.5584</v>
      </c>
      <c r="C1352" t="n">
        <v>1.4227</v>
      </c>
    </row>
    <row r="1353">
      <c r="A1353" t="n">
        <v>1.4532</v>
      </c>
      <c r="B1353" t="n">
        <v>1.6963</v>
      </c>
      <c r="C1353" t="n">
        <v>1.4701</v>
      </c>
    </row>
    <row r="1354">
      <c r="A1354" t="n">
        <v>1.6177</v>
      </c>
      <c r="B1354" t="n">
        <v>1.4713</v>
      </c>
      <c r="C1354" t="n">
        <v>1.7356</v>
      </c>
    </row>
    <row r="1355">
      <c r="A1355" t="n">
        <v>1.7747</v>
      </c>
      <c r="B1355" t="n">
        <v>1.4392</v>
      </c>
      <c r="C1355" t="n">
        <v>1.4938</v>
      </c>
    </row>
    <row r="1356">
      <c r="A1356" t="n">
        <v>1.479</v>
      </c>
      <c r="B1356" t="n">
        <v>1.4074</v>
      </c>
      <c r="C1356" t="n">
        <v>1.4588</v>
      </c>
    </row>
    <row r="1357">
      <c r="A1357" t="n">
        <v>1.4681</v>
      </c>
      <c r="B1357" t="n">
        <v>1.4129</v>
      </c>
      <c r="C1357" t="n">
        <v>1.4587</v>
      </c>
    </row>
    <row r="1358">
      <c r="A1358" t="n">
        <v>1.4345</v>
      </c>
      <c r="B1358" t="n">
        <v>1.4382</v>
      </c>
      <c r="C1358" t="n">
        <v>1.6194</v>
      </c>
    </row>
    <row r="1359">
      <c r="A1359" t="n">
        <v>1.6428</v>
      </c>
      <c r="B1359" t="n">
        <v>1.6688</v>
      </c>
      <c r="C1359" t="n">
        <v>1.8015</v>
      </c>
    </row>
    <row r="1360">
      <c r="A1360" t="n">
        <v>1.6581</v>
      </c>
      <c r="B1360" t="n">
        <v>1.7111</v>
      </c>
      <c r="C1360" t="n">
        <v>1.5226</v>
      </c>
    </row>
    <row r="1361">
      <c r="A1361" t="n">
        <v>1.4807</v>
      </c>
      <c r="B1361" t="n">
        <v>1.4937</v>
      </c>
      <c r="C1361" t="n">
        <v>1.4322</v>
      </c>
    </row>
    <row r="1362">
      <c r="A1362" t="n">
        <v>1.4362</v>
      </c>
      <c r="B1362" t="n">
        <v>1.7864</v>
      </c>
      <c r="C1362" t="n">
        <v>1.4484</v>
      </c>
    </row>
    <row r="1363">
      <c r="A1363" t="n">
        <v>1.4237</v>
      </c>
      <c r="B1363" t="n">
        <v>1.6323</v>
      </c>
      <c r="C1363" t="n">
        <v>1.6259</v>
      </c>
    </row>
    <row r="1364">
      <c r="A1364" t="n">
        <v>1.6252</v>
      </c>
      <c r="B1364" t="n">
        <v>1.5526</v>
      </c>
      <c r="C1364" t="n">
        <v>1.8216</v>
      </c>
    </row>
    <row r="1365">
      <c r="A1365" t="n">
        <v>1.543</v>
      </c>
      <c r="B1365" t="n">
        <v>1.4464</v>
      </c>
      <c r="C1365" t="n">
        <v>1.4886</v>
      </c>
    </row>
    <row r="1366">
      <c r="A1366" t="n">
        <v>1.6193</v>
      </c>
      <c r="B1366" t="n">
        <v>1.3978</v>
      </c>
      <c r="C1366" t="n">
        <v>1.4362</v>
      </c>
    </row>
    <row r="1367">
      <c r="A1367" t="n">
        <v>1.5053</v>
      </c>
      <c r="B1367" t="n">
        <v>1.4412</v>
      </c>
      <c r="C1367" t="n">
        <v>1.4237</v>
      </c>
    </row>
    <row r="1368">
      <c r="A1368" t="n">
        <v>1.4492</v>
      </c>
      <c r="B1368" t="n">
        <v>1.4647</v>
      </c>
      <c r="C1368" t="n">
        <v>1.6441</v>
      </c>
    </row>
    <row r="1369">
      <c r="A1369" t="n">
        <v>1.3822</v>
      </c>
      <c r="B1369" t="n">
        <v>1.6287</v>
      </c>
      <c r="C1369" t="n">
        <v>1.7861</v>
      </c>
    </row>
    <row r="1370">
      <c r="A1370" t="n">
        <v>1.432</v>
      </c>
      <c r="B1370" t="n">
        <v>1.7553</v>
      </c>
      <c r="C1370" t="n">
        <v>1.5105</v>
      </c>
    </row>
    <row r="1371">
      <c r="A1371" t="n">
        <v>1.4652</v>
      </c>
      <c r="B1371" t="n">
        <v>1.4913</v>
      </c>
      <c r="C1371" t="n">
        <v>1.4729</v>
      </c>
    </row>
    <row r="1372">
      <c r="A1372" t="n">
        <v>1.6673</v>
      </c>
      <c r="B1372" t="n">
        <v>1.4361</v>
      </c>
      <c r="C1372" t="n">
        <v>1.4473</v>
      </c>
    </row>
    <row r="1373">
      <c r="A1373" t="n">
        <v>1.6831</v>
      </c>
      <c r="B1373" t="n">
        <v>1.4321</v>
      </c>
      <c r="C1373" t="n">
        <v>1.6119</v>
      </c>
    </row>
    <row r="1374">
      <c r="A1374" t="n">
        <v>1.4842</v>
      </c>
      <c r="B1374" t="n">
        <v>1.6998</v>
      </c>
      <c r="C1374" t="n">
        <v>1.7935</v>
      </c>
    </row>
    <row r="1375">
      <c r="A1375" t="n">
        <v>1.4501</v>
      </c>
      <c r="B1375" t="n">
        <v>1.6625</v>
      </c>
      <c r="C1375" t="n">
        <v>1.5158</v>
      </c>
    </row>
    <row r="1376">
      <c r="A1376" t="n">
        <v>1.4256</v>
      </c>
      <c r="B1376" t="n">
        <v>1.5112</v>
      </c>
      <c r="C1376" t="n">
        <v>1.4659</v>
      </c>
    </row>
    <row r="1377">
      <c r="A1377" t="n">
        <v>1.6518</v>
      </c>
      <c r="B1377" t="n">
        <v>1.437</v>
      </c>
      <c r="C1377" t="n">
        <v>1.4604</v>
      </c>
    </row>
    <row r="1378">
      <c r="A1378" t="n">
        <v>2.0035</v>
      </c>
      <c r="B1378" t="n">
        <v>1.4067</v>
      </c>
      <c r="C1378" t="n">
        <v>1.9905</v>
      </c>
    </row>
    <row r="1379">
      <c r="A1379" t="n">
        <v>1.6918</v>
      </c>
      <c r="B1379" t="n">
        <v>1.6184</v>
      </c>
      <c r="C1379" t="n">
        <v>1.7136</v>
      </c>
    </row>
    <row r="1380">
      <c r="A1380" t="n">
        <v>1.5659</v>
      </c>
      <c r="B1380" t="n">
        <v>1.5342</v>
      </c>
      <c r="C1380" t="n">
        <v>1.6994</v>
      </c>
    </row>
    <row r="1381">
      <c r="A1381" t="n">
        <v>1.5902</v>
      </c>
      <c r="B1381" t="n">
        <v>1.625</v>
      </c>
      <c r="C1381" t="n">
        <v>1.5303</v>
      </c>
    </row>
    <row r="1382">
      <c r="A1382" t="n">
        <v>1.486</v>
      </c>
      <c r="B1382" t="n">
        <v>1.4959</v>
      </c>
      <c r="C1382" t="n">
        <v>1.6614</v>
      </c>
    </row>
    <row r="1383">
      <c r="A1383" t="n">
        <v>1.4851</v>
      </c>
      <c r="B1383" t="n">
        <v>1.4546</v>
      </c>
      <c r="C1383" t="n">
        <v>1.5076</v>
      </c>
    </row>
    <row r="1384">
      <c r="A1384" t="n">
        <v>1.3885</v>
      </c>
      <c r="B1384" t="n">
        <v>1.3844</v>
      </c>
      <c r="C1384" t="n">
        <v>1.4442</v>
      </c>
    </row>
    <row r="1385">
      <c r="A1385" t="n">
        <v>1.435</v>
      </c>
      <c r="B1385" t="n">
        <v>1.412</v>
      </c>
      <c r="C1385" t="n">
        <v>1.628</v>
      </c>
    </row>
    <row r="1386">
      <c r="A1386" t="n">
        <v>1.4694</v>
      </c>
      <c r="B1386" t="n">
        <v>1.4304</v>
      </c>
      <c r="C1386" t="n">
        <v>1.5347</v>
      </c>
    </row>
    <row r="1387">
      <c r="A1387" t="n">
        <v>1.413</v>
      </c>
      <c r="B1387" t="n">
        <v>1.5804</v>
      </c>
      <c r="C1387" t="n">
        <v>1.6989</v>
      </c>
    </row>
    <row r="1388">
      <c r="A1388" t="n">
        <v>1.4982</v>
      </c>
      <c r="B1388" t="n">
        <v>1.6761</v>
      </c>
      <c r="C1388" t="n">
        <v>1.4751</v>
      </c>
    </row>
    <row r="1389">
      <c r="A1389" t="n">
        <v>1.6645</v>
      </c>
      <c r="B1389" t="n">
        <v>1.4873</v>
      </c>
      <c r="C1389" t="n">
        <v>1.4008</v>
      </c>
    </row>
    <row r="1390">
      <c r="A1390" t="n">
        <v>1.4971</v>
      </c>
      <c r="B1390" t="n">
        <v>1.4525</v>
      </c>
      <c r="C1390" t="n">
        <v>1.4183</v>
      </c>
    </row>
    <row r="1391">
      <c r="A1391" t="n">
        <v>1.4654</v>
      </c>
      <c r="B1391" t="n">
        <v>1.4504</v>
      </c>
      <c r="C1391" t="n">
        <v>1.4279</v>
      </c>
    </row>
    <row r="1392">
      <c r="A1392" t="n">
        <v>1.6288</v>
      </c>
      <c r="B1392" t="n">
        <v>1.6845</v>
      </c>
      <c r="C1392" t="n">
        <v>1.4681</v>
      </c>
    </row>
    <row r="1393">
      <c r="A1393" t="n">
        <v>1.5285</v>
      </c>
      <c r="B1393" t="n">
        <v>1.7713</v>
      </c>
      <c r="C1393" t="n">
        <v>1.4095</v>
      </c>
    </row>
    <row r="1394">
      <c r="A1394" t="n">
        <v>1.6106</v>
      </c>
      <c r="B1394" t="n">
        <v>1.8124</v>
      </c>
      <c r="C1394" t="n">
        <v>1.432</v>
      </c>
    </row>
    <row r="1395">
      <c r="A1395" t="n">
        <v>1.4882</v>
      </c>
      <c r="B1395" t="n">
        <v>1.4773</v>
      </c>
      <c r="C1395" t="n">
        <v>1.6454</v>
      </c>
    </row>
    <row r="1396">
      <c r="A1396" t="n">
        <v>1.4005</v>
      </c>
      <c r="B1396" t="n">
        <v>1.6325</v>
      </c>
      <c r="C1396" t="n">
        <v>1.5262</v>
      </c>
    </row>
    <row r="1397">
      <c r="A1397" t="n">
        <v>1.43</v>
      </c>
      <c r="B1397" t="n">
        <v>1.5098</v>
      </c>
      <c r="C1397" t="n">
        <v>1.4295</v>
      </c>
    </row>
    <row r="1398">
      <c r="A1398" t="n">
        <v>1.4521</v>
      </c>
      <c r="B1398" t="n">
        <v>1.7288</v>
      </c>
      <c r="C1398" t="n">
        <v>1.721</v>
      </c>
    </row>
    <row r="1399">
      <c r="A1399" t="n">
        <v>1.4619</v>
      </c>
      <c r="B1399" t="n">
        <v>1.6735</v>
      </c>
      <c r="C1399" t="n">
        <v>1.557</v>
      </c>
    </row>
    <row r="1400">
      <c r="A1400" t="n">
        <v>1.4201</v>
      </c>
      <c r="B1400" t="n">
        <v>1.5666</v>
      </c>
      <c r="C1400" t="n">
        <v>1.6022</v>
      </c>
    </row>
    <row r="1401">
      <c r="A1401" t="n">
        <v>1.4753</v>
      </c>
      <c r="B1401" t="n">
        <v>1.6537</v>
      </c>
      <c r="C1401" t="n">
        <v>1.5198</v>
      </c>
    </row>
    <row r="1402">
      <c r="A1402" t="n">
        <v>1.6316</v>
      </c>
      <c r="B1402" t="n">
        <v>1.4927</v>
      </c>
      <c r="C1402" t="n">
        <v>1.4624</v>
      </c>
    </row>
    <row r="1403">
      <c r="A1403" t="n">
        <v>1.5034</v>
      </c>
      <c r="B1403" t="n">
        <v>1.4319</v>
      </c>
      <c r="C1403" t="n">
        <v>1.3889</v>
      </c>
    </row>
    <row r="1404">
      <c r="A1404" t="n">
        <v>1.476</v>
      </c>
      <c r="B1404" t="n">
        <v>1.4058</v>
      </c>
      <c r="C1404" t="n">
        <v>1.4379</v>
      </c>
    </row>
    <row r="1405">
      <c r="A1405" t="n">
        <v>1.3788</v>
      </c>
      <c r="B1405" t="n">
        <v>1.4404</v>
      </c>
      <c r="C1405" t="n">
        <v>1.4653</v>
      </c>
    </row>
    <row r="1406">
      <c r="A1406" t="n">
        <v>1.4487</v>
      </c>
      <c r="B1406" t="n">
        <v>1.4504</v>
      </c>
      <c r="C1406" t="n">
        <v>1.6548</v>
      </c>
    </row>
    <row r="1407">
      <c r="A1407" t="n">
        <v>1.4871</v>
      </c>
      <c r="B1407" t="n">
        <v>1.425</v>
      </c>
      <c r="C1407" t="n">
        <v>1.7432</v>
      </c>
    </row>
    <row r="1408">
      <c r="A1408" t="n">
        <v>1.4498</v>
      </c>
      <c r="B1408" t="n">
        <v>1.4882</v>
      </c>
      <c r="C1408" t="n">
        <v>1.8005</v>
      </c>
    </row>
    <row r="1409">
      <c r="A1409" t="n">
        <v>1.7234</v>
      </c>
      <c r="B1409" t="n">
        <v>1.6829</v>
      </c>
      <c r="C1409" t="n">
        <v>1.524</v>
      </c>
    </row>
    <row r="1410">
      <c r="A1410" t="n">
        <v>2.0158</v>
      </c>
      <c r="B1410" t="n">
        <v>1.4912</v>
      </c>
      <c r="C1410" t="n">
        <v>1.9781</v>
      </c>
    </row>
    <row r="1411">
      <c r="A1411" t="n">
        <v>1.5322</v>
      </c>
      <c r="B1411" t="n">
        <v>1.4469</v>
      </c>
      <c r="C1411" t="n">
        <v>1.5272</v>
      </c>
    </row>
    <row r="1412">
      <c r="A1412" t="n">
        <v>1.6423</v>
      </c>
      <c r="B1412" t="n">
        <v>1.6518</v>
      </c>
      <c r="C1412" t="n">
        <v>1.4566</v>
      </c>
    </row>
    <row r="1413">
      <c r="A1413" t="n">
        <v>1.4909</v>
      </c>
      <c r="B1413" t="n">
        <v>1.529</v>
      </c>
      <c r="C1413" t="n">
        <v>1.6847</v>
      </c>
    </row>
    <row r="1414">
      <c r="A1414" t="n">
        <v>1.421</v>
      </c>
      <c r="B1414" t="n">
        <v>1.6272</v>
      </c>
      <c r="C1414" t="n">
        <v>1.6865</v>
      </c>
    </row>
    <row r="1415">
      <c r="A1415" t="n">
        <v>1.4116</v>
      </c>
      <c r="B1415" t="n">
        <v>1.5004</v>
      </c>
      <c r="C1415" t="n">
        <v>1.4737</v>
      </c>
    </row>
    <row r="1416">
      <c r="A1416" t="n">
        <v>1.425</v>
      </c>
      <c r="B1416" t="n">
        <v>1.4318</v>
      </c>
      <c r="C1416" t="n">
        <v>1.4405</v>
      </c>
    </row>
    <row r="1417">
      <c r="A1417" t="n">
        <v>1.4182</v>
      </c>
      <c r="B1417" t="n">
        <v>1.4029</v>
      </c>
      <c r="C1417" t="n">
        <v>1.4583</v>
      </c>
    </row>
    <row r="1418">
      <c r="A1418" t="n">
        <v>1.6715</v>
      </c>
      <c r="B1418" t="n">
        <v>1.4621</v>
      </c>
      <c r="C1418" t="n">
        <v>1.6292</v>
      </c>
    </row>
    <row r="1419">
      <c r="A1419" t="n">
        <v>1.709</v>
      </c>
      <c r="B1419" t="n">
        <v>1.4303</v>
      </c>
      <c r="C1419" t="n">
        <v>1.7317</v>
      </c>
    </row>
    <row r="1420">
      <c r="A1420" t="n">
        <v>1.4743</v>
      </c>
      <c r="B1420" t="n">
        <v>1.4057</v>
      </c>
      <c r="C1420" t="n">
        <v>1.4941</v>
      </c>
    </row>
    <row r="1421">
      <c r="A1421" t="n">
        <v>1.4469</v>
      </c>
      <c r="B1421" t="n">
        <v>1.4722</v>
      </c>
      <c r="C1421" t="n">
        <v>1.4122</v>
      </c>
    </row>
    <row r="1422">
      <c r="A1422" t="n">
        <v>1.4345</v>
      </c>
      <c r="B1422" t="n">
        <v>1.69</v>
      </c>
      <c r="C1422" t="n">
        <v>1.4589</v>
      </c>
    </row>
    <row r="1423">
      <c r="A1423" t="n">
        <v>1.6715</v>
      </c>
      <c r="B1423" t="n">
        <v>1.4621</v>
      </c>
      <c r="C1423" t="n">
        <v>1.6587</v>
      </c>
    </row>
    <row r="1424">
      <c r="A1424" t="n">
        <v>1.7238</v>
      </c>
      <c r="B1424" t="n">
        <v>1.4422</v>
      </c>
      <c r="C1424" t="n">
        <v>1.5029</v>
      </c>
    </row>
    <row r="1425">
      <c r="A1425" t="n">
        <v>1.492</v>
      </c>
      <c r="B1425" t="n">
        <v>1.6422</v>
      </c>
      <c r="C1425" t="n">
        <v>1.6484</v>
      </c>
    </row>
    <row r="1426">
      <c r="A1426" t="n">
        <v>1.4345</v>
      </c>
      <c r="B1426" t="n">
        <v>2.0199</v>
      </c>
      <c r="C1426" t="n">
        <v>1.4994</v>
      </c>
    </row>
    <row r="1427">
      <c r="A1427" t="n">
        <v>1.4408</v>
      </c>
      <c r="B1427" t="n">
        <v>1.516</v>
      </c>
      <c r="C1427" t="n">
        <v>1.4597</v>
      </c>
    </row>
    <row r="1428">
      <c r="A1428" t="n">
        <v>1.6346</v>
      </c>
      <c r="B1428" t="n">
        <v>1.4898</v>
      </c>
      <c r="C1428" t="n">
        <v>1.4592</v>
      </c>
    </row>
    <row r="1429">
      <c r="A1429" t="n">
        <v>1.8037</v>
      </c>
      <c r="B1429" t="n">
        <v>1.4232</v>
      </c>
      <c r="C1429" t="n">
        <v>1.4703</v>
      </c>
    </row>
    <row r="1430">
      <c r="A1430" t="n">
        <v>1.4756</v>
      </c>
      <c r="B1430" t="n">
        <v>1.7042</v>
      </c>
      <c r="C1430" t="n">
        <v>1.6517</v>
      </c>
    </row>
    <row r="1431">
      <c r="A1431" t="n">
        <v>1.4443</v>
      </c>
      <c r="B1431" t="n">
        <v>1.6884</v>
      </c>
      <c r="C1431" t="n">
        <v>1.5432</v>
      </c>
    </row>
    <row r="1432">
      <c r="A1432" t="n">
        <v>1.4523</v>
      </c>
      <c r="B1432" t="n">
        <v>1.4674</v>
      </c>
      <c r="C1432" t="n">
        <v>1.7019</v>
      </c>
    </row>
    <row r="1433">
      <c r="A1433" t="n">
        <v>1.633</v>
      </c>
      <c r="B1433" t="n">
        <v>1.4431</v>
      </c>
      <c r="C1433" t="n">
        <v>1.6581</v>
      </c>
    </row>
    <row r="1434">
      <c r="A1434" t="n">
        <v>1.7874</v>
      </c>
      <c r="B1434" t="n">
        <v>1.4495</v>
      </c>
      <c r="C1434" t="n">
        <v>1.5414</v>
      </c>
    </row>
    <row r="1435">
      <c r="A1435" t="n">
        <v>1.4798</v>
      </c>
      <c r="B1435" t="n">
        <v>1.6191</v>
      </c>
      <c r="C1435" t="n">
        <v>1.6661</v>
      </c>
    </row>
    <row r="1436">
      <c r="A1436" t="n">
        <v>1.4535</v>
      </c>
      <c r="B1436" t="n">
        <v>1.7792</v>
      </c>
      <c r="C1436" t="n">
        <v>1.4869</v>
      </c>
    </row>
    <row r="1437">
      <c r="A1437" t="n">
        <v>1.4223</v>
      </c>
      <c r="B1437" t="n">
        <v>1.5004</v>
      </c>
      <c r="C1437" t="n">
        <v>1.4583</v>
      </c>
    </row>
    <row r="1438">
      <c r="A1438" t="n">
        <v>1.6772</v>
      </c>
      <c r="B1438" t="n">
        <v>1.453</v>
      </c>
      <c r="C1438" t="n">
        <v>1.4097</v>
      </c>
    </row>
    <row r="1439">
      <c r="A1439" t="n">
        <v>1.82</v>
      </c>
      <c r="B1439" t="n">
        <v>1.443</v>
      </c>
      <c r="C1439" t="n">
        <v>1.4327</v>
      </c>
    </row>
    <row r="1440">
      <c r="A1440" t="n">
        <v>1.4729</v>
      </c>
      <c r="B1440" t="n">
        <v>1.6367</v>
      </c>
      <c r="C1440" t="n">
        <v>1.4628</v>
      </c>
    </row>
    <row r="1441">
      <c r="A1441" t="n">
        <v>1.405</v>
      </c>
      <c r="B1441" t="n">
        <v>1.5502</v>
      </c>
      <c r="C1441" t="n">
        <v>1.4702</v>
      </c>
    </row>
    <row r="1442">
      <c r="A1442" t="n">
        <v>1.7842</v>
      </c>
      <c r="B1442" t="n">
        <v>1.42</v>
      </c>
      <c r="C1442" t="n">
        <v>2.0969</v>
      </c>
    </row>
    <row r="1443">
      <c r="A1443" t="n">
        <v>1.4068</v>
      </c>
      <c r="B1443" t="n">
        <v>1.4395</v>
      </c>
      <c r="C1443" t="n">
        <v>1.6863</v>
      </c>
    </row>
    <row r="1444">
      <c r="A1444" t="n">
        <v>1.5303</v>
      </c>
      <c r="B1444" t="n">
        <v>1.3787</v>
      </c>
      <c r="C1444" t="n">
        <v>1.5211</v>
      </c>
    </row>
    <row r="1445">
      <c r="A1445" t="n">
        <v>1.4364</v>
      </c>
      <c r="B1445" t="n">
        <v>1.4227</v>
      </c>
      <c r="C1445" t="n">
        <v>1.6471</v>
      </c>
    </row>
    <row r="1446">
      <c r="A1446" t="n">
        <v>1.4297</v>
      </c>
      <c r="B1446" t="n">
        <v>1.4607</v>
      </c>
      <c r="C1446" t="n">
        <v>1.5119</v>
      </c>
    </row>
    <row r="1447">
      <c r="A1447" t="n">
        <v>1.3952</v>
      </c>
      <c r="B1447" t="n">
        <v>1.4427</v>
      </c>
      <c r="C1447" t="n">
        <v>1.454</v>
      </c>
    </row>
    <row r="1448">
      <c r="A1448" t="n">
        <v>1.3952</v>
      </c>
      <c r="B1448" t="n">
        <v>1.7506</v>
      </c>
      <c r="C1448" t="n">
        <v>1.3892</v>
      </c>
    </row>
    <row r="1449">
      <c r="A1449" t="n">
        <v>1.4419</v>
      </c>
      <c r="B1449" t="n">
        <v>1.6575</v>
      </c>
      <c r="C1449" t="n">
        <v>1.4575</v>
      </c>
    </row>
    <row r="1450">
      <c r="A1450" t="n">
        <v>1.444</v>
      </c>
      <c r="B1450" t="n">
        <v>1.4938</v>
      </c>
      <c r="C1450" t="n">
        <v>1.4381</v>
      </c>
    </row>
    <row r="1451">
      <c r="A1451" t="n">
        <v>1.6238</v>
      </c>
      <c r="B1451" t="n">
        <v>1.483</v>
      </c>
      <c r="C1451" t="n">
        <v>1.4173</v>
      </c>
    </row>
    <row r="1452">
      <c r="A1452" t="n">
        <v>1.818</v>
      </c>
      <c r="B1452" t="n">
        <v>1.4446</v>
      </c>
      <c r="C1452" t="n">
        <v>1.4821</v>
      </c>
    </row>
    <row r="1453">
      <c r="A1453" t="n">
        <v>1.4755</v>
      </c>
      <c r="B1453" t="n">
        <v>1.6607</v>
      </c>
      <c r="C1453" t="n">
        <v>1.724</v>
      </c>
    </row>
    <row r="1454">
      <c r="A1454" t="n">
        <v>1.4181</v>
      </c>
      <c r="B1454" t="n">
        <v>1.7284</v>
      </c>
      <c r="C1454" t="n">
        <v>1.4876</v>
      </c>
    </row>
    <row r="1455">
      <c r="A1455" t="n">
        <v>1.4236</v>
      </c>
      <c r="B1455" t="n">
        <v>1.5187</v>
      </c>
      <c r="C1455" t="n">
        <v>1.4838</v>
      </c>
    </row>
    <row r="1456">
      <c r="A1456" t="n">
        <v>1.6134</v>
      </c>
      <c r="B1456" t="n">
        <v>1.4299</v>
      </c>
      <c r="C1456" t="n">
        <v>1.6451</v>
      </c>
    </row>
    <row r="1457">
      <c r="A1457" t="n">
        <v>1.5337</v>
      </c>
      <c r="B1457" t="n">
        <v>1.4417</v>
      </c>
      <c r="C1457" t="n">
        <v>1.5762</v>
      </c>
    </row>
    <row r="1458">
      <c r="A1458" t="n">
        <v>1.6783</v>
      </c>
      <c r="B1458" t="n">
        <v>2.0016</v>
      </c>
      <c r="C1458" t="n">
        <v>1.4849</v>
      </c>
    </row>
    <row r="1459">
      <c r="A1459" t="n">
        <v>1.471</v>
      </c>
      <c r="B1459" t="n">
        <v>1.6869</v>
      </c>
      <c r="C1459" t="n">
        <v>1.4545</v>
      </c>
    </row>
    <row r="1460">
      <c r="A1460" t="n">
        <v>1.5003</v>
      </c>
      <c r="B1460" t="n">
        <v>1.7704</v>
      </c>
      <c r="C1460" t="n">
        <v>1.4125</v>
      </c>
    </row>
    <row r="1461">
      <c r="A1461" t="n">
        <v>1.4484</v>
      </c>
      <c r="B1461" t="n">
        <v>1.523</v>
      </c>
      <c r="C1461" t="n">
        <v>1.4724</v>
      </c>
    </row>
    <row r="1462">
      <c r="A1462" t="n">
        <v>1.4214</v>
      </c>
      <c r="B1462" t="n">
        <v>1.6268</v>
      </c>
      <c r="C1462" t="n">
        <v>1.487</v>
      </c>
    </row>
    <row r="1463">
      <c r="A1463" t="n">
        <v>1.6659</v>
      </c>
      <c r="B1463" t="n">
        <v>1.5317</v>
      </c>
      <c r="C1463" t="n">
        <v>1.5282</v>
      </c>
    </row>
    <row r="1464">
      <c r="A1464" t="n">
        <v>1.5132</v>
      </c>
      <c r="B1464" t="n">
        <v>1.4313</v>
      </c>
      <c r="C1464" t="n">
        <v>1.532</v>
      </c>
    </row>
    <row r="1465">
      <c r="A1465" t="n">
        <v>1.6294</v>
      </c>
      <c r="B1465" t="n">
        <v>1.3787</v>
      </c>
      <c r="C1465" t="n">
        <v>1.7296</v>
      </c>
    </row>
    <row r="1466">
      <c r="A1466" t="n">
        <v>1.7405</v>
      </c>
      <c r="B1466" t="n">
        <v>1.4111</v>
      </c>
      <c r="C1466" t="n">
        <v>1.5337</v>
      </c>
    </row>
    <row r="1467">
      <c r="A1467" t="n">
        <v>1.5501</v>
      </c>
      <c r="B1467" t="n">
        <v>1.428</v>
      </c>
      <c r="C1467" t="n">
        <v>1.4983</v>
      </c>
    </row>
    <row r="1468">
      <c r="A1468" t="n">
        <v>1.597</v>
      </c>
      <c r="B1468" t="n">
        <v>1.6437</v>
      </c>
      <c r="C1468" t="n">
        <v>1.8532</v>
      </c>
    </row>
    <row r="1469">
      <c r="A1469" t="n">
        <v>1.4843</v>
      </c>
      <c r="B1469" t="n">
        <v>1.6807</v>
      </c>
      <c r="C1469" t="n">
        <v>1.5263</v>
      </c>
    </row>
    <row r="1470">
      <c r="A1470" t="n">
        <v>1.4261</v>
      </c>
      <c r="B1470" t="n">
        <v>1.4956</v>
      </c>
      <c r="C1470" t="n">
        <v>1.474</v>
      </c>
    </row>
    <row r="1471">
      <c r="A1471" t="n">
        <v>1.3818</v>
      </c>
      <c r="B1471" t="n">
        <v>1.4187</v>
      </c>
      <c r="C1471" t="n">
        <v>1.4696</v>
      </c>
    </row>
    <row r="1472">
      <c r="A1472" t="n">
        <v>1.4182</v>
      </c>
      <c r="B1472" t="n">
        <v>1.4618</v>
      </c>
      <c r="C1472" t="n">
        <v>1.4407</v>
      </c>
    </row>
    <row r="1473">
      <c r="A1473" t="n">
        <v>1.4372</v>
      </c>
      <c r="B1473" t="n">
        <v>1.6104</v>
      </c>
      <c r="C1473" t="n">
        <v>1.4657</v>
      </c>
    </row>
    <row r="1474">
      <c r="A1474" t="n">
        <v>1.7552</v>
      </c>
      <c r="B1474" t="n">
        <v>1.5189</v>
      </c>
      <c r="C1474" t="n">
        <v>2.0425</v>
      </c>
    </row>
    <row r="1475">
      <c r="A1475" t="n">
        <v>1.7234</v>
      </c>
      <c r="B1475" t="n">
        <v>1.6345</v>
      </c>
      <c r="C1475" t="n">
        <v>1.7637</v>
      </c>
    </row>
    <row r="1476">
      <c r="A1476" t="n">
        <v>1.4791</v>
      </c>
      <c r="B1476" t="n">
        <v>1.4776</v>
      </c>
      <c r="C1476" t="n">
        <v>1.6671</v>
      </c>
    </row>
    <row r="1477">
      <c r="A1477" t="n">
        <v>1.4205</v>
      </c>
      <c r="B1477" t="n">
        <v>1.4234</v>
      </c>
      <c r="C1477" t="n">
        <v>1.7755</v>
      </c>
    </row>
    <row r="1478">
      <c r="A1478" t="n">
        <v>1.4402</v>
      </c>
      <c r="B1478" t="n">
        <v>1.4013</v>
      </c>
      <c r="C1478" t="n">
        <v>1.5046</v>
      </c>
    </row>
    <row r="1479">
      <c r="A1479" t="n">
        <v>1.6527</v>
      </c>
      <c r="B1479" t="n">
        <v>1.4419</v>
      </c>
      <c r="C1479" t="n">
        <v>1.4654</v>
      </c>
    </row>
    <row r="1480">
      <c r="A1480" t="n">
        <v>1.6807</v>
      </c>
      <c r="B1480" t="n">
        <v>1.4798</v>
      </c>
      <c r="C1480" t="n">
        <v>1.4649</v>
      </c>
    </row>
    <row r="1481">
      <c r="A1481" t="n">
        <v>1.4695</v>
      </c>
      <c r="B1481" t="n">
        <v>1.4108</v>
      </c>
      <c r="C1481" t="n">
        <v>1.6622</v>
      </c>
    </row>
    <row r="1482">
      <c r="A1482" t="n">
        <v>1.4166</v>
      </c>
      <c r="B1482" t="n">
        <v>1.4887</v>
      </c>
      <c r="C1482" t="n">
        <v>1.6857</v>
      </c>
    </row>
    <row r="1483">
      <c r="A1483" t="n">
        <v>1.417</v>
      </c>
      <c r="B1483" t="n">
        <v>1.6217</v>
      </c>
      <c r="C1483" t="n">
        <v>1.499</v>
      </c>
    </row>
    <row r="1484">
      <c r="A1484" t="n">
        <v>1.6087</v>
      </c>
      <c r="B1484" t="n">
        <v>1.4984</v>
      </c>
      <c r="C1484" t="n">
        <v>1.4364</v>
      </c>
    </row>
    <row r="1485">
      <c r="A1485" t="n">
        <v>1.5262</v>
      </c>
      <c r="B1485" t="n">
        <v>1.4531</v>
      </c>
      <c r="C1485" t="n">
        <v>1.4671</v>
      </c>
    </row>
    <row r="1486">
      <c r="A1486" t="n">
        <v>1.6348</v>
      </c>
      <c r="B1486" t="n">
        <v>1.3866</v>
      </c>
      <c r="C1486" t="n">
        <v>1.6461</v>
      </c>
    </row>
    <row r="1487">
      <c r="A1487" t="n">
        <v>1.5082</v>
      </c>
      <c r="B1487" t="n">
        <v>1.4036</v>
      </c>
      <c r="C1487" t="n">
        <v>1.5008</v>
      </c>
    </row>
    <row r="1488">
      <c r="A1488" t="n">
        <v>1.4354</v>
      </c>
      <c r="B1488" t="n">
        <v>1.4101</v>
      </c>
      <c r="C1488" t="n">
        <v>1.6676</v>
      </c>
    </row>
    <row r="1489">
      <c r="A1489" t="n">
        <v>1.373</v>
      </c>
      <c r="B1489" t="n">
        <v>1.6116</v>
      </c>
      <c r="C1489" t="n">
        <v>1.4973</v>
      </c>
    </row>
    <row r="1490">
      <c r="A1490" t="n">
        <v>1.4435</v>
      </c>
      <c r="B1490" t="n">
        <v>2.0791</v>
      </c>
      <c r="C1490" t="n">
        <v>1.4431</v>
      </c>
    </row>
    <row r="1491">
      <c r="A1491" t="n">
        <v>1.4442</v>
      </c>
      <c r="B1491" t="n">
        <v>1.6762</v>
      </c>
      <c r="C1491" t="n">
        <v>1.6255</v>
      </c>
    </row>
    <row r="1492">
      <c r="A1492" t="n">
        <v>1.6568</v>
      </c>
      <c r="B1492" t="n">
        <v>1.54</v>
      </c>
      <c r="C1492" t="n">
        <v>1.5548</v>
      </c>
    </row>
    <row r="1493">
      <c r="A1493" t="n">
        <v>1.8786</v>
      </c>
      <c r="B1493" t="n">
        <v>1.6382</v>
      </c>
      <c r="C1493" t="n">
        <v>1.6434</v>
      </c>
    </row>
    <row r="1494">
      <c r="A1494" t="n">
        <v>1.6822</v>
      </c>
      <c r="B1494" t="n">
        <v>1.4849</v>
      </c>
      <c r="C1494" t="n">
        <v>1.495</v>
      </c>
    </row>
    <row r="1495">
      <c r="A1495" t="n">
        <v>1.5081</v>
      </c>
      <c r="B1495" t="n">
        <v>1.4348</v>
      </c>
      <c r="C1495" t="n">
        <v>1.4657</v>
      </c>
    </row>
    <row r="1496">
      <c r="A1496" t="n">
        <v>1.6474</v>
      </c>
      <c r="B1496" t="n">
        <v>1.6051</v>
      </c>
      <c r="C1496" t="n">
        <v>1.4188</v>
      </c>
    </row>
    <row r="1497">
      <c r="A1497" t="n">
        <v>1.4881</v>
      </c>
      <c r="B1497" t="n">
        <v>1.521</v>
      </c>
      <c r="C1497" t="n">
        <v>1.453</v>
      </c>
    </row>
    <row r="1498">
      <c r="A1498" t="n">
        <v>1.4117</v>
      </c>
      <c r="B1498" t="n">
        <v>1.5992</v>
      </c>
      <c r="C1498" t="n">
        <v>1.441</v>
      </c>
    </row>
    <row r="1499">
      <c r="A1499" t="n">
        <v>1.4203</v>
      </c>
      <c r="B1499" t="n">
        <v>1.5062</v>
      </c>
      <c r="C1499" t="n">
        <v>1.4398</v>
      </c>
    </row>
    <row r="1500">
      <c r="A1500" t="n">
        <v>1.4284</v>
      </c>
      <c r="B1500" t="n">
        <v>1.4048</v>
      </c>
      <c r="C1500" t="n">
        <v>1.8007</v>
      </c>
    </row>
    <row r="1501">
      <c r="A1501" t="n">
        <v>1.4166</v>
      </c>
      <c r="B1501" t="n">
        <v>1.4046</v>
      </c>
      <c r="C1501" t="n">
        <v>1.5183</v>
      </c>
    </row>
    <row r="1502">
      <c r="A1502" t="n">
        <v>1.7152</v>
      </c>
      <c r="B1502" t="n">
        <v>1.4157</v>
      </c>
      <c r="C1502" t="n">
        <v>1.4316</v>
      </c>
    </row>
    <row r="1503">
      <c r="A1503" t="n">
        <v>1.6518</v>
      </c>
      <c r="B1503" t="n">
        <v>1.4684</v>
      </c>
      <c r="C1503" t="n">
        <v>1.4994</v>
      </c>
    </row>
    <row r="1504">
      <c r="A1504" t="n">
        <v>1.4725</v>
      </c>
      <c r="B1504" t="n">
        <v>1.6106</v>
      </c>
      <c r="C1504" t="n">
        <v>1.6687</v>
      </c>
    </row>
    <row r="1505">
      <c r="A1505" t="n">
        <v>1.4238</v>
      </c>
      <c r="B1505" t="n">
        <v>1.7814</v>
      </c>
      <c r="C1505" t="n">
        <v>1.6825</v>
      </c>
    </row>
    <row r="1506">
      <c r="A1506" t="n">
        <v>1.7432</v>
      </c>
      <c r="B1506" t="n">
        <v>1.4932</v>
      </c>
      <c r="C1506" t="n">
        <v>2.0435</v>
      </c>
    </row>
    <row r="1507">
      <c r="A1507" t="n">
        <v>1.3942</v>
      </c>
      <c r="B1507" t="n">
        <v>1.431</v>
      </c>
      <c r="C1507" t="n">
        <v>1.5526</v>
      </c>
    </row>
    <row r="1508">
      <c r="A1508" t="n">
        <v>1.4685</v>
      </c>
      <c r="B1508" t="n">
        <v>1.4402</v>
      </c>
      <c r="C1508" t="n">
        <v>1.4131</v>
      </c>
    </row>
    <row r="1509">
      <c r="A1509" t="n">
        <v>1.64</v>
      </c>
      <c r="B1509" t="n">
        <v>1.4086</v>
      </c>
      <c r="C1509" t="n">
        <v>1.4547</v>
      </c>
    </row>
    <row r="1510">
      <c r="A1510" t="n">
        <v>1.4655</v>
      </c>
      <c r="B1510" t="n">
        <v>1.4249</v>
      </c>
      <c r="C1510" t="n">
        <v>1.6954</v>
      </c>
    </row>
    <row r="1511">
      <c r="A1511" t="n">
        <v>1.4593</v>
      </c>
      <c r="B1511" t="n">
        <v>1.6368</v>
      </c>
      <c r="C1511" t="n">
        <v>1.734</v>
      </c>
    </row>
    <row r="1512">
      <c r="A1512" t="n">
        <v>1.4045</v>
      </c>
      <c r="B1512" t="n">
        <v>1.5042</v>
      </c>
      <c r="C1512" t="n">
        <v>1.5517</v>
      </c>
    </row>
    <row r="1513">
      <c r="A1513" t="n">
        <v>1.433</v>
      </c>
      <c r="B1513" t="n">
        <v>1.6865</v>
      </c>
      <c r="C1513" t="n">
        <v>1.6385</v>
      </c>
    </row>
    <row r="1514">
      <c r="A1514" t="n">
        <v>1.4875</v>
      </c>
      <c r="B1514" t="n">
        <v>1.7886</v>
      </c>
      <c r="C1514" t="n">
        <v>1.5235</v>
      </c>
    </row>
    <row r="1515">
      <c r="A1515" t="n">
        <v>1.4607</v>
      </c>
      <c r="B1515" t="n">
        <v>1.6427</v>
      </c>
      <c r="C1515" t="n">
        <v>1.4867</v>
      </c>
    </row>
    <row r="1516">
      <c r="A1516" t="n">
        <v>1.4796</v>
      </c>
      <c r="B1516" t="n">
        <v>1.4018</v>
      </c>
      <c r="C1516" t="n">
        <v>1.4095</v>
      </c>
    </row>
    <row r="1517">
      <c r="A1517" t="n">
        <v>1.6837</v>
      </c>
      <c r="B1517" t="n">
        <v>1.4493</v>
      </c>
      <c r="C1517" t="n">
        <v>1.4353</v>
      </c>
    </row>
    <row r="1518">
      <c r="A1518" t="n">
        <v>1.4944</v>
      </c>
      <c r="B1518" t="n">
        <v>1.4037</v>
      </c>
      <c r="C1518" t="n">
        <v>1.6451</v>
      </c>
    </row>
    <row r="1519">
      <c r="A1519" t="n">
        <v>1.4554</v>
      </c>
      <c r="B1519" t="n">
        <v>1.3953</v>
      </c>
      <c r="C1519" t="n">
        <v>1.5134</v>
      </c>
    </row>
    <row r="1520">
      <c r="A1520" t="n">
        <v>1.6465</v>
      </c>
      <c r="B1520" t="n">
        <v>1.4292</v>
      </c>
      <c r="C1520" t="n">
        <v>1.6243</v>
      </c>
    </row>
    <row r="1521">
      <c r="A1521" t="n">
        <v>1.5327</v>
      </c>
      <c r="B1521" t="n">
        <v>1.4524</v>
      </c>
      <c r="C1521" t="n">
        <v>1.7271</v>
      </c>
    </row>
    <row r="1522">
      <c r="A1522" t="n">
        <v>1.6187</v>
      </c>
      <c r="B1522" t="n">
        <v>1.7166</v>
      </c>
      <c r="C1522" t="n">
        <v>1.5267</v>
      </c>
    </row>
    <row r="1523">
      <c r="A1523" t="n">
        <v>1.4849</v>
      </c>
      <c r="B1523" t="n">
        <v>1.8049</v>
      </c>
      <c r="C1523" t="n">
        <v>1.6001</v>
      </c>
    </row>
    <row r="1524">
      <c r="A1524" t="n">
        <v>1.437</v>
      </c>
      <c r="B1524" t="n">
        <v>1.5115</v>
      </c>
      <c r="C1524" t="n">
        <v>1.5146</v>
      </c>
    </row>
    <row r="1525">
      <c r="A1525" t="n">
        <v>1.4061</v>
      </c>
      <c r="B1525" t="n">
        <v>1.4539</v>
      </c>
      <c r="C1525" t="n">
        <v>1.4509</v>
      </c>
    </row>
    <row r="1526">
      <c r="A1526" t="n">
        <v>1.4344</v>
      </c>
      <c r="B1526" t="n">
        <v>1.5062</v>
      </c>
      <c r="C1526" t="n">
        <v>1.4092</v>
      </c>
    </row>
    <row r="1527">
      <c r="A1527" t="n">
        <v>1.4459</v>
      </c>
      <c r="B1527" t="n">
        <v>1.6826</v>
      </c>
      <c r="C1527" t="n">
        <v>1.4257</v>
      </c>
    </row>
    <row r="1528">
      <c r="A1528" t="n">
        <v>1.4056</v>
      </c>
      <c r="B1528" t="n">
        <v>1.6817</v>
      </c>
      <c r="C1528" t="n">
        <v>1.4333</v>
      </c>
    </row>
    <row r="1529">
      <c r="A1529" t="n">
        <v>1.5029</v>
      </c>
      <c r="B1529" t="n">
        <v>1.5213</v>
      </c>
      <c r="C1529" t="n">
        <v>1.6438</v>
      </c>
    </row>
    <row r="1530">
      <c r="A1530" t="n">
        <v>1.686</v>
      </c>
      <c r="B1530" t="n">
        <v>1.445</v>
      </c>
      <c r="C1530" t="n">
        <v>1.6894</v>
      </c>
    </row>
    <row r="1531">
      <c r="A1531" t="n">
        <v>1.4827</v>
      </c>
      <c r="B1531" t="n">
        <v>1.423</v>
      </c>
      <c r="C1531" t="n">
        <v>1.5032</v>
      </c>
    </row>
    <row r="1532">
      <c r="A1532" t="n">
        <v>1.4714</v>
      </c>
      <c r="B1532" t="n">
        <v>1.6293</v>
      </c>
      <c r="C1532" t="n">
        <v>1.4344</v>
      </c>
    </row>
    <row r="1533">
      <c r="A1533" t="n">
        <v>1.4081</v>
      </c>
      <c r="B1533" t="n">
        <v>1.7525</v>
      </c>
      <c r="C1533" t="n">
        <v>1.4458</v>
      </c>
    </row>
    <row r="1534">
      <c r="A1534" t="n">
        <v>1.4432</v>
      </c>
      <c r="B1534" t="n">
        <v>1.4743</v>
      </c>
      <c r="C1534" t="n">
        <v>1.6216</v>
      </c>
    </row>
    <row r="1535">
      <c r="A1535" t="n">
        <v>1.4588</v>
      </c>
      <c r="B1535" t="n">
        <v>1.473</v>
      </c>
      <c r="C1535" t="n">
        <v>1.5542</v>
      </c>
    </row>
    <row r="1536">
      <c r="A1536" t="n">
        <v>1.4473</v>
      </c>
      <c r="B1536" t="n">
        <v>1.4465</v>
      </c>
      <c r="C1536" t="n">
        <v>1.4791</v>
      </c>
    </row>
    <row r="1537">
      <c r="A1537" t="n">
        <v>1.7098</v>
      </c>
      <c r="B1537" t="n">
        <v>1.6332</v>
      </c>
      <c r="C1537" t="n">
        <v>1.4345</v>
      </c>
    </row>
    <row r="1538">
      <c r="A1538" t="n">
        <v>2.0466</v>
      </c>
      <c r="B1538" t="n">
        <v>1.8748</v>
      </c>
      <c r="C1538" t="n">
        <v>1.7359</v>
      </c>
    </row>
    <row r="1539">
      <c r="A1539" t="n">
        <v>1.5503</v>
      </c>
      <c r="B1539" t="n">
        <v>1.4995</v>
      </c>
      <c r="C1539" t="n">
        <v>1.6555</v>
      </c>
    </row>
    <row r="1540">
      <c r="A1540" t="n">
        <v>1.6186</v>
      </c>
      <c r="B1540" t="n">
        <v>1.4202</v>
      </c>
      <c r="C1540" t="n">
        <v>1.8401</v>
      </c>
    </row>
    <row r="1541">
      <c r="A1541" t="n">
        <v>1.4856</v>
      </c>
      <c r="B1541" t="n">
        <v>1.428</v>
      </c>
      <c r="C1541" t="n">
        <v>1.4762</v>
      </c>
    </row>
    <row r="1542">
      <c r="A1542" t="n">
        <v>1.4478</v>
      </c>
      <c r="B1542" t="n">
        <v>1.6845</v>
      </c>
      <c r="C1542" t="n">
        <v>1.4406</v>
      </c>
    </row>
    <row r="1543">
      <c r="A1543" t="n">
        <v>1.391</v>
      </c>
      <c r="B1543" t="n">
        <v>1.6825</v>
      </c>
      <c r="C1543" t="n">
        <v>1.4559</v>
      </c>
    </row>
    <row r="1544">
      <c r="A1544" t="n">
        <v>1.4316</v>
      </c>
      <c r="B1544" t="n">
        <v>1.4941</v>
      </c>
      <c r="C1544" t="n">
        <v>1.6294</v>
      </c>
    </row>
    <row r="1545">
      <c r="A1545" t="n">
        <v>1.4268</v>
      </c>
      <c r="B1545" t="n">
        <v>1.4582</v>
      </c>
      <c r="C1545" t="n">
        <v>1.7299</v>
      </c>
    </row>
    <row r="1546">
      <c r="A1546" t="n">
        <v>1.6867</v>
      </c>
      <c r="B1546" t="n">
        <v>1.4236</v>
      </c>
      <c r="C1546" t="n">
        <v>1.4997</v>
      </c>
    </row>
    <row r="1547">
      <c r="A1547" t="n">
        <v>1.7159</v>
      </c>
      <c r="B1547" t="n">
        <v>1.6058</v>
      </c>
      <c r="C1547" t="n">
        <v>1.43</v>
      </c>
    </row>
    <row r="1548">
      <c r="A1548" t="n">
        <v>1.4921</v>
      </c>
      <c r="B1548" t="n">
        <v>1.5564</v>
      </c>
      <c r="C1548" t="n">
        <v>1.4508</v>
      </c>
    </row>
    <row r="1549">
      <c r="A1549" t="n">
        <v>1.4223</v>
      </c>
      <c r="B1549" t="n">
        <v>1.6526</v>
      </c>
      <c r="C1549" t="n">
        <v>1.6803</v>
      </c>
    </row>
    <row r="1550">
      <c r="A1550" t="n">
        <v>1.451</v>
      </c>
      <c r="B1550" t="n">
        <v>1.4983</v>
      </c>
      <c r="C1550" t="n">
        <v>1.78</v>
      </c>
    </row>
    <row r="1551">
      <c r="A1551" t="n">
        <v>1.6735</v>
      </c>
      <c r="B1551" t="n">
        <v>1.4433</v>
      </c>
      <c r="C1551" t="n">
        <v>1.5203</v>
      </c>
    </row>
    <row r="1552">
      <c r="A1552" t="n">
        <v>1.6322</v>
      </c>
      <c r="B1552" t="n">
        <v>1.3865</v>
      </c>
      <c r="C1552" t="n">
        <v>1.4501</v>
      </c>
    </row>
    <row r="1553">
      <c r="A1553" t="n">
        <v>1.4816</v>
      </c>
      <c r="B1553" t="n">
        <v>1.4338</v>
      </c>
      <c r="C1553" t="n">
        <v>1.4285</v>
      </c>
    </row>
    <row r="1554">
      <c r="A1554" t="n">
        <v>1.4408</v>
      </c>
      <c r="B1554" t="n">
        <v>1.7506</v>
      </c>
      <c r="C1554" t="n">
        <v>1.6304</v>
      </c>
    </row>
    <row r="1555">
      <c r="A1555" t="n">
        <v>1.3964</v>
      </c>
      <c r="B1555" t="n">
        <v>1.4792</v>
      </c>
      <c r="C1555" t="n">
        <v>1.786</v>
      </c>
    </row>
    <row r="1556">
      <c r="A1556" t="n">
        <v>1.6259</v>
      </c>
      <c r="B1556" t="n">
        <v>1.6809</v>
      </c>
      <c r="C1556" t="n">
        <v>1.488</v>
      </c>
    </row>
    <row r="1557">
      <c r="A1557" t="n">
        <v>1.5558</v>
      </c>
      <c r="B1557" t="n">
        <v>1.7113</v>
      </c>
      <c r="C1557" t="n">
        <v>1.4563</v>
      </c>
    </row>
    <row r="1558">
      <c r="A1558" t="n">
        <v>1.6257</v>
      </c>
      <c r="B1558" t="n">
        <v>1.5242</v>
      </c>
      <c r="C1558" t="n">
        <v>1.476</v>
      </c>
    </row>
    <row r="1559">
      <c r="A1559" t="n">
        <v>1.4841</v>
      </c>
      <c r="B1559" t="n">
        <v>1.6474</v>
      </c>
      <c r="C1559" t="n">
        <v>1.6512</v>
      </c>
    </row>
    <row r="1560">
      <c r="A1560" t="n">
        <v>1.4414</v>
      </c>
      <c r="B1560" t="n">
        <v>1.5137</v>
      </c>
      <c r="C1560" t="n">
        <v>1.7629</v>
      </c>
    </row>
    <row r="1561">
      <c r="A1561" t="n">
        <v>1.3702</v>
      </c>
      <c r="B1561" t="n">
        <v>1.4161</v>
      </c>
      <c r="C1561" t="n">
        <v>1.51</v>
      </c>
    </row>
    <row r="1562">
      <c r="A1562" t="n">
        <v>1.4192</v>
      </c>
      <c r="B1562" t="n">
        <v>1.513</v>
      </c>
      <c r="C1562" t="n">
        <v>1.4233</v>
      </c>
    </row>
    <row r="1563">
      <c r="A1563" t="n">
        <v>1.4457</v>
      </c>
      <c r="B1563" t="n">
        <v>1.4471</v>
      </c>
      <c r="C1563" t="n">
        <v>1.4648</v>
      </c>
    </row>
    <row r="1564">
      <c r="A1564" t="n">
        <v>1.4279</v>
      </c>
      <c r="B1564" t="n">
        <v>1.3875</v>
      </c>
      <c r="C1564" t="n">
        <v>1.6313</v>
      </c>
    </row>
    <row r="1565">
      <c r="A1565" t="n">
        <v>1.4904</v>
      </c>
      <c r="B1565" t="n">
        <v>1.6517</v>
      </c>
      <c r="C1565" t="n">
        <v>1.5752</v>
      </c>
    </row>
    <row r="1566">
      <c r="A1566" t="n">
        <v>1.5992</v>
      </c>
      <c r="B1566" t="n">
        <v>1.6741</v>
      </c>
      <c r="C1566" t="n">
        <v>1.4552</v>
      </c>
    </row>
    <row r="1567">
      <c r="A1567" t="n">
        <v>1.4904</v>
      </c>
      <c r="B1567" t="n">
        <v>1.4753</v>
      </c>
      <c r="C1567" t="n">
        <v>1.4597</v>
      </c>
    </row>
    <row r="1568">
      <c r="A1568" t="n">
        <v>1.4516</v>
      </c>
      <c r="B1568" t="n">
        <v>1.4238</v>
      </c>
      <c r="C1568" t="n">
        <v>1.4025</v>
      </c>
    </row>
    <row r="1569">
      <c r="A1569" t="n">
        <v>1.423</v>
      </c>
      <c r="B1569" t="n">
        <v>1.4228</v>
      </c>
      <c r="C1569" t="n">
        <v>1.444</v>
      </c>
    </row>
    <row r="1570">
      <c r="A1570" t="n">
        <v>1.7274</v>
      </c>
      <c r="B1570" t="n">
        <v>1.593</v>
      </c>
      <c r="C1570" t="n">
        <v>1.8168</v>
      </c>
    </row>
    <row r="1571">
      <c r="A1571" t="n">
        <v>1.651</v>
      </c>
      <c r="B1571" t="n">
        <v>1.5519</v>
      </c>
      <c r="C1571" t="n">
        <v>1.6769</v>
      </c>
    </row>
    <row r="1572">
      <c r="A1572" t="n">
        <v>1.4998</v>
      </c>
      <c r="B1572" t="n">
        <v>1.6538</v>
      </c>
      <c r="C1572" t="n">
        <v>1.5517</v>
      </c>
    </row>
    <row r="1573">
      <c r="A1573" t="n">
        <v>1.4056</v>
      </c>
      <c r="B1573" t="n">
        <v>1.484</v>
      </c>
      <c r="C1573" t="n">
        <v>1.4276</v>
      </c>
    </row>
    <row r="1574">
      <c r="A1574" t="n">
        <v>1.4312</v>
      </c>
      <c r="B1574" t="n">
        <v>1.4492</v>
      </c>
      <c r="C1574" t="n">
        <v>1.3774</v>
      </c>
    </row>
    <row r="1575">
      <c r="A1575" t="n">
        <v>1.4372</v>
      </c>
      <c r="B1575" t="n">
        <v>1.3935</v>
      </c>
      <c r="C1575" t="n">
        <v>1.4689</v>
      </c>
    </row>
    <row r="1576">
      <c r="A1576" t="n">
        <v>1.4324</v>
      </c>
      <c r="B1576" t="n">
        <v>1.4089</v>
      </c>
      <c r="C1576" t="n">
        <v>1.4704</v>
      </c>
    </row>
    <row r="1577">
      <c r="A1577" t="n">
        <v>1.6736</v>
      </c>
      <c r="B1577" t="n">
        <v>1.4355</v>
      </c>
      <c r="C1577" t="n">
        <v>1.643</v>
      </c>
    </row>
    <row r="1578">
      <c r="A1578" t="n">
        <v>1.7914</v>
      </c>
      <c r="B1578" t="n">
        <v>1.6604</v>
      </c>
      <c r="C1578" t="n">
        <v>1.6974</v>
      </c>
    </row>
    <row r="1579">
      <c r="A1579" t="n">
        <v>1.4739</v>
      </c>
      <c r="B1579" t="n">
        <v>1.6962</v>
      </c>
      <c r="C1579" t="n">
        <v>1.4848</v>
      </c>
    </row>
    <row r="1580">
      <c r="A1580" t="n">
        <v>1.4312</v>
      </c>
      <c r="B1580" t="n">
        <v>1.4979</v>
      </c>
      <c r="C1580" t="n">
        <v>1.4473</v>
      </c>
    </row>
    <row r="1581">
      <c r="A1581" t="n">
        <v>1.424</v>
      </c>
      <c r="B1581" t="n">
        <v>1.4664</v>
      </c>
      <c r="C1581" t="n">
        <v>1.4655</v>
      </c>
    </row>
    <row r="1582">
      <c r="A1582" t="n">
        <v>1.3734</v>
      </c>
      <c r="B1582" t="n">
        <v>1.4154</v>
      </c>
      <c r="C1582" t="n">
        <v>1.7076</v>
      </c>
    </row>
    <row r="1583">
      <c r="A1583" t="n">
        <v>1.4421</v>
      </c>
      <c r="B1583" t="n">
        <v>1.6198</v>
      </c>
      <c r="C1583" t="n">
        <v>1.7094</v>
      </c>
    </row>
    <row r="1584">
      <c r="A1584" t="n">
        <v>1.669</v>
      </c>
      <c r="B1584" t="n">
        <v>1.8481</v>
      </c>
      <c r="C1584" t="n">
        <v>1.5134</v>
      </c>
    </row>
    <row r="1585">
      <c r="A1585" t="n">
        <v>1.4907</v>
      </c>
      <c r="B1585" t="n">
        <v>1.4603</v>
      </c>
      <c r="C1585" t="n">
        <v>1.4633</v>
      </c>
    </row>
    <row r="1586">
      <c r="A1586" t="n">
        <v>1.6771</v>
      </c>
      <c r="B1586" t="n">
        <v>1.7853</v>
      </c>
      <c r="C1586" t="n">
        <v>1.4062</v>
      </c>
    </row>
    <row r="1587">
      <c r="A1587" t="n">
        <v>1.7204</v>
      </c>
      <c r="B1587" t="n">
        <v>1.6488</v>
      </c>
      <c r="C1587" t="n">
        <v>1.6635</v>
      </c>
    </row>
    <row r="1588">
      <c r="A1588" t="n">
        <v>1.5136</v>
      </c>
      <c r="B1588" t="n">
        <v>1.5083</v>
      </c>
      <c r="C1588" t="n">
        <v>1.7274</v>
      </c>
    </row>
    <row r="1589">
      <c r="A1589" t="n">
        <v>1.6337</v>
      </c>
      <c r="B1589" t="n">
        <v>1.7648</v>
      </c>
      <c r="C1589" t="n">
        <v>1.4688</v>
      </c>
    </row>
    <row r="1590">
      <c r="A1590" t="n">
        <v>1.4805</v>
      </c>
      <c r="B1590" t="n">
        <v>1.6564</v>
      </c>
      <c r="C1590" t="n">
        <v>1.4719</v>
      </c>
    </row>
    <row r="1591">
      <c r="A1591" t="n">
        <v>1.39</v>
      </c>
      <c r="B1591" t="n">
        <v>1.7615</v>
      </c>
      <c r="C1591" t="n">
        <v>1.4376</v>
      </c>
    </row>
    <row r="1592">
      <c r="A1592" t="n">
        <v>1.4033</v>
      </c>
      <c r="B1592" t="n">
        <v>1.4786</v>
      </c>
      <c r="C1592" t="n">
        <v>1.5999</v>
      </c>
    </row>
    <row r="1593">
      <c r="A1593" t="n">
        <v>1.4364</v>
      </c>
      <c r="B1593" t="n">
        <v>1.4555</v>
      </c>
      <c r="C1593" t="n">
        <v>1.7918</v>
      </c>
    </row>
    <row r="1594">
      <c r="A1594" t="n">
        <v>1.431</v>
      </c>
      <c r="B1594" t="n">
        <v>1.4386</v>
      </c>
      <c r="C1594" t="n">
        <v>1.4902</v>
      </c>
    </row>
    <row r="1595">
      <c r="A1595" t="n">
        <v>1.6271</v>
      </c>
      <c r="B1595" t="n">
        <v>1.6056</v>
      </c>
      <c r="C1595" t="n">
        <v>1.4203</v>
      </c>
    </row>
    <row r="1596">
      <c r="A1596" t="n">
        <v>1.7343</v>
      </c>
      <c r="B1596" t="n">
        <v>1.5358</v>
      </c>
      <c r="C1596" t="n">
        <v>1.4329</v>
      </c>
    </row>
    <row r="1597">
      <c r="A1597" t="n">
        <v>1.4612</v>
      </c>
      <c r="B1597" t="n">
        <v>1.6389</v>
      </c>
      <c r="C1597" t="n">
        <v>1.4036</v>
      </c>
    </row>
    <row r="1598">
      <c r="A1598" t="n">
        <v>1.4215</v>
      </c>
      <c r="B1598" t="n">
        <v>1.5085</v>
      </c>
      <c r="C1598" t="n">
        <v>1.4188</v>
      </c>
    </row>
    <row r="1599">
      <c r="A1599" t="n">
        <v>1.432</v>
      </c>
      <c r="B1599" t="n">
        <v>1.464</v>
      </c>
      <c r="C1599" t="n">
        <v>1.6498</v>
      </c>
    </row>
    <row r="1600">
      <c r="A1600" t="n">
        <v>1.4093</v>
      </c>
      <c r="B1600" t="n">
        <v>1.3941</v>
      </c>
      <c r="C1600" t="n">
        <v>1.5353</v>
      </c>
    </row>
    <row r="1601">
      <c r="A1601" t="n">
        <v>1.4602</v>
      </c>
      <c r="B1601" t="n">
        <v>1.4266</v>
      </c>
      <c r="C1601" t="n">
        <v>1.6638</v>
      </c>
    </row>
    <row r="1602">
      <c r="A1602" t="n">
        <v>2.0175</v>
      </c>
      <c r="B1602" t="n">
        <v>1.413</v>
      </c>
      <c r="C1602" t="n">
        <v>2.0812</v>
      </c>
    </row>
    <row r="1603">
      <c r="A1603" t="n">
        <v>1.487</v>
      </c>
      <c r="B1603" t="n">
        <v>1.6272</v>
      </c>
      <c r="C1603" t="n">
        <v>1.6955</v>
      </c>
    </row>
    <row r="1604">
      <c r="A1604" t="n">
        <v>1.4523</v>
      </c>
      <c r="B1604" t="n">
        <v>1.6859</v>
      </c>
      <c r="C1604" t="n">
        <v>1.4958</v>
      </c>
    </row>
    <row r="1605">
      <c r="A1605" t="n">
        <v>1.4044</v>
      </c>
      <c r="B1605" t="n">
        <v>1.4749</v>
      </c>
      <c r="C1605" t="n">
        <v>1.4582</v>
      </c>
    </row>
    <row r="1606">
      <c r="A1606" t="n">
        <v>1.4755</v>
      </c>
      <c r="B1606" t="n">
        <v>1.4317</v>
      </c>
      <c r="C1606" t="n">
        <v>1.4454</v>
      </c>
    </row>
    <row r="1607">
      <c r="A1607" t="n">
        <v>1.4275</v>
      </c>
      <c r="B1607" t="n">
        <v>1.456</v>
      </c>
      <c r="C1607" t="n">
        <v>1.6725</v>
      </c>
    </row>
    <row r="1608">
      <c r="A1608" t="n">
        <v>1.431</v>
      </c>
      <c r="B1608" t="n">
        <v>1.5957</v>
      </c>
      <c r="C1608" t="n">
        <v>1.6881</v>
      </c>
    </row>
    <row r="1609">
      <c r="A1609" t="n">
        <v>1.4407</v>
      </c>
      <c r="B1609" t="n">
        <v>1.5127</v>
      </c>
      <c r="C1609" t="n">
        <v>1.5021</v>
      </c>
    </row>
    <row r="1610">
      <c r="A1610" t="n">
        <v>1.6915</v>
      </c>
      <c r="B1610" t="n">
        <v>1.6685</v>
      </c>
      <c r="C1610" t="n">
        <v>1.4259</v>
      </c>
    </row>
    <row r="1611">
      <c r="A1611" t="n">
        <v>1.4948</v>
      </c>
      <c r="B1611" t="n">
        <v>1.4903</v>
      </c>
      <c r="C1611" t="n">
        <v>1.4381</v>
      </c>
    </row>
    <row r="1612">
      <c r="A1612" t="n">
        <v>1.4448</v>
      </c>
      <c r="B1612" t="n">
        <v>1.4553</v>
      </c>
      <c r="C1612" t="n">
        <v>1.6809</v>
      </c>
    </row>
    <row r="1613">
      <c r="A1613" t="n">
        <v>1.6202</v>
      </c>
      <c r="B1613" t="n">
        <v>1.6237</v>
      </c>
      <c r="C1613" t="n">
        <v>1.7455</v>
      </c>
    </row>
    <row r="1614">
      <c r="A1614" t="n">
        <v>1.5356</v>
      </c>
      <c r="B1614" t="n">
        <v>1.5177</v>
      </c>
      <c r="C1614" t="n">
        <v>1.4947</v>
      </c>
    </row>
    <row r="1615">
      <c r="A1615" t="n">
        <v>1.5858</v>
      </c>
      <c r="B1615" t="n">
        <v>1.6043</v>
      </c>
      <c r="C1615" t="n">
        <v>1.454</v>
      </c>
    </row>
    <row r="1616">
      <c r="A1616" t="n">
        <v>1.4646</v>
      </c>
      <c r="B1616" t="n">
        <v>1.5053</v>
      </c>
      <c r="C1616" t="n">
        <v>1.4483</v>
      </c>
    </row>
    <row r="1617">
      <c r="A1617" t="n">
        <v>1.4417</v>
      </c>
      <c r="B1617" t="n">
        <v>1.443</v>
      </c>
      <c r="C1617" t="n">
        <v>1.6356</v>
      </c>
    </row>
    <row r="1618">
      <c r="A1618" t="n">
        <v>1.3736</v>
      </c>
      <c r="B1618" t="n">
        <v>1.6947</v>
      </c>
      <c r="C1618" t="n">
        <v>1.7436</v>
      </c>
    </row>
    <row r="1619">
      <c r="A1619" t="n">
        <v>1.4254</v>
      </c>
      <c r="B1619" t="n">
        <v>1.4967</v>
      </c>
      <c r="C1619" t="n">
        <v>1.4978</v>
      </c>
    </row>
    <row r="1620">
      <c r="A1620" t="n">
        <v>1.4287</v>
      </c>
      <c r="B1620" t="n">
        <v>1.6678</v>
      </c>
      <c r="C1620" t="n">
        <v>1.4699</v>
      </c>
    </row>
    <row r="1621">
      <c r="A1621" t="n">
        <v>1.6062</v>
      </c>
      <c r="B1621" t="n">
        <v>1.4861</v>
      </c>
      <c r="C1621" t="n">
        <v>1.4763</v>
      </c>
    </row>
    <row r="1622">
      <c r="A1622" t="n">
        <v>1.8039</v>
      </c>
      <c r="B1622" t="n">
        <v>1.4371</v>
      </c>
      <c r="C1622" t="n">
        <v>1.6988</v>
      </c>
    </row>
    <row r="1623">
      <c r="A1623" t="n">
        <v>1.4846</v>
      </c>
      <c r="B1623" t="n">
        <v>1.466</v>
      </c>
      <c r="C1623" t="n">
        <v>1.6946</v>
      </c>
    </row>
    <row r="1624">
      <c r="A1624" t="n">
        <v>1.4498</v>
      </c>
      <c r="B1624" t="n">
        <v>1.4235</v>
      </c>
      <c r="C1624" t="n">
        <v>1.5043</v>
      </c>
    </row>
    <row r="1625">
      <c r="A1625" t="n">
        <v>1.4418</v>
      </c>
      <c r="B1625" t="n">
        <v>1.4327</v>
      </c>
      <c r="C1625" t="n">
        <v>1.4515</v>
      </c>
    </row>
    <row r="1626">
      <c r="A1626" t="n">
        <v>1.5901</v>
      </c>
      <c r="B1626" t="n">
        <v>1.6793</v>
      </c>
      <c r="C1626" t="n">
        <v>1.4637</v>
      </c>
    </row>
    <row r="1627">
      <c r="A1627" t="n">
        <v>1.4911</v>
      </c>
      <c r="B1627" t="n">
        <v>1.7857</v>
      </c>
      <c r="C1627" t="n">
        <v>1.6407</v>
      </c>
    </row>
    <row r="1628">
      <c r="A1628" t="n">
        <v>1.6282</v>
      </c>
      <c r="B1628" t="n">
        <v>1.81</v>
      </c>
      <c r="C1628" t="n">
        <v>1.7311</v>
      </c>
    </row>
    <row r="1629">
      <c r="A1629" t="n">
        <v>1.5011</v>
      </c>
      <c r="B1629" t="n">
        <v>1.5419</v>
      </c>
      <c r="C1629" t="n">
        <v>1.5066</v>
      </c>
    </row>
    <row r="1630">
      <c r="A1630" t="n">
        <v>1.4284</v>
      </c>
      <c r="B1630" t="n">
        <v>1.6546</v>
      </c>
      <c r="C1630" t="n">
        <v>1.4761</v>
      </c>
    </row>
    <row r="1631">
      <c r="A1631" t="n">
        <v>1.616</v>
      </c>
      <c r="B1631" t="n">
        <v>1.4824</v>
      </c>
      <c r="C1631" t="n">
        <v>1.4326</v>
      </c>
    </row>
    <row r="1632">
      <c r="A1632" t="n">
        <v>1.5504</v>
      </c>
      <c r="B1632" t="n">
        <v>1.4213</v>
      </c>
      <c r="C1632" t="n">
        <v>1.6527</v>
      </c>
    </row>
    <row r="1633">
      <c r="A1633" t="n">
        <v>1.6311</v>
      </c>
      <c r="B1633" t="n">
        <v>1.3797</v>
      </c>
      <c r="C1633" t="n">
        <v>1.548</v>
      </c>
    </row>
    <row r="1634">
      <c r="A1634" t="n">
        <v>1.7882</v>
      </c>
      <c r="B1634" t="n">
        <v>1.4392</v>
      </c>
      <c r="C1634" t="n">
        <v>1.9355</v>
      </c>
    </row>
    <row r="1635">
      <c r="A1635" t="n">
        <v>1.4647</v>
      </c>
      <c r="B1635" t="n">
        <v>1.462</v>
      </c>
      <c r="C1635" t="n">
        <v>1.738</v>
      </c>
    </row>
    <row r="1636">
      <c r="A1636" t="n">
        <v>1.6095</v>
      </c>
      <c r="B1636" t="n">
        <v>1.7358</v>
      </c>
      <c r="C1636" t="n">
        <v>1.6798</v>
      </c>
    </row>
    <row r="1637">
      <c r="A1637" t="n">
        <v>1.7332</v>
      </c>
      <c r="B1637" t="n">
        <v>1.703</v>
      </c>
      <c r="C1637" t="n">
        <v>1.5036</v>
      </c>
    </row>
    <row r="1638">
      <c r="A1638" t="n">
        <v>1.4913</v>
      </c>
      <c r="B1638" t="n">
        <v>1.4859</v>
      </c>
      <c r="C1638" t="n">
        <v>1.4523</v>
      </c>
    </row>
    <row r="1639">
      <c r="A1639" t="n">
        <v>1.415</v>
      </c>
      <c r="B1639" t="n">
        <v>1.4334</v>
      </c>
      <c r="C1639" t="n">
        <v>1.4127</v>
      </c>
    </row>
    <row r="1640">
      <c r="A1640" t="n">
        <v>1.4862</v>
      </c>
      <c r="B1640" t="n">
        <v>1.4611</v>
      </c>
      <c r="C1640" t="n">
        <v>1.4035</v>
      </c>
    </row>
    <row r="1641">
      <c r="A1641" t="n">
        <v>1.7339</v>
      </c>
      <c r="B1641" t="n">
        <v>1.6614</v>
      </c>
      <c r="C1641" t="n">
        <v>1.4315</v>
      </c>
    </row>
    <row r="1642">
      <c r="A1642" t="n">
        <v>1.7022</v>
      </c>
      <c r="B1642" t="n">
        <v>1.698</v>
      </c>
      <c r="C1642" t="n">
        <v>1.6931</v>
      </c>
    </row>
    <row r="1643">
      <c r="A1643" t="n">
        <v>1.4738</v>
      </c>
      <c r="B1643" t="n">
        <v>1.4738</v>
      </c>
      <c r="C1643" t="n">
        <v>1.6899</v>
      </c>
    </row>
    <row r="1644">
      <c r="A1644" t="n">
        <v>1.4283</v>
      </c>
      <c r="B1644" t="n">
        <v>1.4472</v>
      </c>
      <c r="C1644" t="n">
        <v>1.4855</v>
      </c>
    </row>
    <row r="1645">
      <c r="A1645" t="n">
        <v>1.4189</v>
      </c>
      <c r="B1645" t="n">
        <v>1.4382</v>
      </c>
      <c r="C1645" t="n">
        <v>1.4294</v>
      </c>
    </row>
    <row r="1646">
      <c r="A1646" t="n">
        <v>1.3977</v>
      </c>
      <c r="B1646" t="n">
        <v>1.6542</v>
      </c>
      <c r="C1646" t="n">
        <v>1.4107</v>
      </c>
    </row>
    <row r="1647">
      <c r="A1647" t="n">
        <v>1.4385</v>
      </c>
      <c r="B1647" t="n">
        <v>1.7988</v>
      </c>
      <c r="C1647" t="n">
        <v>1.6317</v>
      </c>
    </row>
    <row r="1648">
      <c r="A1648" t="n">
        <v>1.7223</v>
      </c>
      <c r="B1648" t="n">
        <v>1.476</v>
      </c>
      <c r="C1648" t="n">
        <v>1.8475</v>
      </c>
    </row>
    <row r="1649">
      <c r="A1649" t="n">
        <v>1.5134</v>
      </c>
      <c r="B1649" t="n">
        <v>1.44</v>
      </c>
      <c r="C1649" t="n">
        <v>1.4903</v>
      </c>
    </row>
    <row r="1650">
      <c r="A1650" t="n">
        <v>1.7665</v>
      </c>
      <c r="B1650" t="n">
        <v>1.7884</v>
      </c>
      <c r="C1650" t="n">
        <v>1.4524</v>
      </c>
    </row>
    <row r="1651">
      <c r="A1651" t="n">
        <v>1.6234</v>
      </c>
      <c r="B1651" t="n">
        <v>1.3906</v>
      </c>
      <c r="C1651" t="n">
        <v>1.4563</v>
      </c>
    </row>
    <row r="1652">
      <c r="A1652" t="n">
        <v>1.5366</v>
      </c>
      <c r="B1652" t="n">
        <v>1.4226</v>
      </c>
      <c r="C1652" t="n">
        <v>1.6234</v>
      </c>
    </row>
    <row r="1653">
      <c r="A1653" t="n">
        <v>1.6544</v>
      </c>
      <c r="B1653" t="n">
        <v>1.4376</v>
      </c>
      <c r="C1653" t="n">
        <v>1.8525</v>
      </c>
    </row>
    <row r="1654">
      <c r="A1654" t="n">
        <v>1.4658</v>
      </c>
      <c r="B1654" t="n">
        <v>1.4444</v>
      </c>
      <c r="C1654" t="n">
        <v>1.5192</v>
      </c>
    </row>
    <row r="1655">
      <c r="A1655" t="n">
        <v>1.447</v>
      </c>
      <c r="B1655" t="n">
        <v>1.4067</v>
      </c>
      <c r="C1655" t="n">
        <v>1.4368</v>
      </c>
    </row>
    <row r="1656">
      <c r="A1656" t="n">
        <v>1.3823</v>
      </c>
      <c r="B1656" t="n">
        <v>1.4082</v>
      </c>
      <c r="C1656" t="n">
        <v>1.4523</v>
      </c>
    </row>
    <row r="1657">
      <c r="A1657" t="n">
        <v>1.4154</v>
      </c>
      <c r="B1657" t="n">
        <v>1.4289</v>
      </c>
      <c r="C1657" t="n">
        <v>1.6351</v>
      </c>
    </row>
    <row r="1658">
      <c r="A1658" t="n">
        <v>1.4552</v>
      </c>
      <c r="B1658" t="n">
        <v>1.4517</v>
      </c>
      <c r="C1658" t="n">
        <v>1.7378</v>
      </c>
    </row>
    <row r="1659">
      <c r="A1659" t="n">
        <v>1.6552</v>
      </c>
      <c r="B1659" t="n">
        <v>1.6377</v>
      </c>
      <c r="C1659" t="n">
        <v>1.5195</v>
      </c>
    </row>
    <row r="1660">
      <c r="A1660" t="n">
        <v>1.6432</v>
      </c>
      <c r="B1660" t="n">
        <v>1.5283</v>
      </c>
      <c r="C1660" t="n">
        <v>1.4559</v>
      </c>
    </row>
    <row r="1661">
      <c r="A1661" t="n">
        <v>1.4761</v>
      </c>
      <c r="B1661" t="n">
        <v>1.6568</v>
      </c>
      <c r="C1661" t="n">
        <v>1.4502</v>
      </c>
    </row>
    <row r="1662">
      <c r="A1662" t="n">
        <v>1.4395</v>
      </c>
      <c r="B1662" t="n">
        <v>1.4911</v>
      </c>
      <c r="C1662" t="n">
        <v>1.7238</v>
      </c>
    </row>
    <row r="1663">
      <c r="A1663" t="n">
        <v>1.4254</v>
      </c>
      <c r="B1663" t="n">
        <v>1.4452</v>
      </c>
      <c r="C1663" t="n">
        <v>1.7037</v>
      </c>
    </row>
    <row r="1664">
      <c r="A1664" t="n">
        <v>1.6224</v>
      </c>
      <c r="B1664" t="n">
        <v>1.6718</v>
      </c>
      <c r="C1664" t="n">
        <v>1.4915</v>
      </c>
    </row>
    <row r="1665">
      <c r="A1665" t="n">
        <v>1.5325</v>
      </c>
      <c r="B1665" t="n">
        <v>1.5241</v>
      </c>
      <c r="C1665" t="n">
        <v>1.4756</v>
      </c>
    </row>
    <row r="1666">
      <c r="A1666" t="n">
        <v>1.9309</v>
      </c>
      <c r="B1666" t="n">
        <v>1.6214</v>
      </c>
      <c r="C1666" t="n">
        <v>1.9908</v>
      </c>
    </row>
    <row r="1667">
      <c r="A1667" t="n">
        <v>1.4893</v>
      </c>
      <c r="B1667" t="n">
        <v>1.4901</v>
      </c>
      <c r="C1667" t="n">
        <v>1.5231</v>
      </c>
    </row>
    <row r="1668">
      <c r="A1668" t="n">
        <v>1.4434</v>
      </c>
      <c r="B1668" t="n">
        <v>1.4401</v>
      </c>
      <c r="C1668" t="n">
        <v>1.4564</v>
      </c>
    </row>
    <row r="1669">
      <c r="A1669" t="n">
        <v>1.6429</v>
      </c>
      <c r="B1669" t="n">
        <v>1.3724</v>
      </c>
      <c r="C1669" t="n">
        <v>1.4492</v>
      </c>
    </row>
    <row r="1670">
      <c r="A1670" t="n">
        <v>1.6735</v>
      </c>
      <c r="B1670" t="n">
        <v>1.4313</v>
      </c>
      <c r="C1670" t="n">
        <v>1.4221</v>
      </c>
    </row>
    <row r="1671">
      <c r="A1671" t="n">
        <v>1.5108</v>
      </c>
      <c r="B1671" t="n">
        <v>1.4444</v>
      </c>
      <c r="C1671" t="n">
        <v>1.4762</v>
      </c>
    </row>
    <row r="1672">
      <c r="A1672" t="n">
        <v>1.4221</v>
      </c>
      <c r="B1672" t="n">
        <v>1.4035</v>
      </c>
      <c r="C1672" t="n">
        <v>1.6927</v>
      </c>
    </row>
    <row r="1673">
      <c r="A1673" t="n">
        <v>1.4274</v>
      </c>
      <c r="B1673" t="n">
        <v>1.4623</v>
      </c>
      <c r="C1673" t="n">
        <v>1.6585</v>
      </c>
    </row>
    <row r="1674">
      <c r="A1674" t="n">
        <v>1.5962</v>
      </c>
      <c r="B1674" t="n">
        <v>1.6407</v>
      </c>
      <c r="C1674" t="n">
        <v>1.4838</v>
      </c>
    </row>
    <row r="1675">
      <c r="A1675" t="n">
        <v>1.5386</v>
      </c>
      <c r="B1675" t="n">
        <v>1.4942</v>
      </c>
      <c r="C1675" t="n">
        <v>1.4617</v>
      </c>
    </row>
    <row r="1676">
      <c r="A1676" t="n">
        <v>1.6414</v>
      </c>
      <c r="B1676" t="n">
        <v>1.445</v>
      </c>
      <c r="C1676" t="n">
        <v>1.4307</v>
      </c>
    </row>
    <row r="1677">
      <c r="A1677" t="n">
        <v>1.4767</v>
      </c>
      <c r="B1677" t="n">
        <v>1.4378</v>
      </c>
      <c r="C1677" t="n">
        <v>1.6153</v>
      </c>
    </row>
    <row r="1678">
      <c r="A1678" t="n">
        <v>1.3981</v>
      </c>
      <c r="B1678" t="n">
        <v>1.4047</v>
      </c>
      <c r="C1678" t="n">
        <v>1.573</v>
      </c>
    </row>
    <row r="1679">
      <c r="A1679" t="n">
        <v>1.3985</v>
      </c>
      <c r="B1679" t="n">
        <v>1.446</v>
      </c>
      <c r="C1679" t="n">
        <v>1.4077</v>
      </c>
    </row>
    <row r="1680">
      <c r="A1680" t="n">
        <v>1.4043</v>
      </c>
      <c r="B1680" t="n">
        <v>1.6312</v>
      </c>
      <c r="C1680" t="n">
        <v>1.4505</v>
      </c>
    </row>
    <row r="1681">
      <c r="A1681" t="n">
        <v>1.4228</v>
      </c>
      <c r="B1681" t="n">
        <v>1.6865</v>
      </c>
      <c r="C1681" t="n">
        <v>1.4176</v>
      </c>
    </row>
    <row r="1682">
      <c r="A1682" t="n">
        <v>1.6053</v>
      </c>
      <c r="B1682" t="n">
        <v>2.071</v>
      </c>
      <c r="C1682" t="n">
        <v>1.4301</v>
      </c>
    </row>
    <row r="1683">
      <c r="A1683" t="n">
        <v>1.72</v>
      </c>
      <c r="B1683" t="n">
        <v>1.5426</v>
      </c>
      <c r="C1683" t="n">
        <v>1.4884</v>
      </c>
    </row>
    <row r="1684">
      <c r="A1684" t="n">
        <v>1.4766</v>
      </c>
      <c r="B1684" t="n">
        <v>1.6247</v>
      </c>
      <c r="C1684" t="n">
        <v>1.4666</v>
      </c>
    </row>
    <row r="1685">
      <c r="A1685" t="n">
        <v>1.4539</v>
      </c>
      <c r="B1685" t="n">
        <v>1.4958</v>
      </c>
      <c r="C1685" t="n">
        <v>1.6217</v>
      </c>
    </row>
    <row r="1686">
      <c r="A1686" t="n">
        <v>1.458</v>
      </c>
      <c r="B1686" t="n">
        <v>1.4417</v>
      </c>
      <c r="C1686" t="n">
        <v>1.7543</v>
      </c>
    </row>
    <row r="1687">
      <c r="A1687" t="n">
        <v>1.3891</v>
      </c>
      <c r="B1687" t="n">
        <v>1.3865</v>
      </c>
      <c r="C1687" t="n">
        <v>1.4853</v>
      </c>
    </row>
    <row r="1688">
      <c r="A1688" t="n">
        <v>1.4439</v>
      </c>
      <c r="B1688" t="n">
        <v>1.4426</v>
      </c>
      <c r="C1688" t="n">
        <v>1.441</v>
      </c>
    </row>
    <row r="1689">
      <c r="A1689" t="n">
        <v>1.6754</v>
      </c>
      <c r="B1689" t="n">
        <v>1.4263</v>
      </c>
      <c r="C1689" t="n">
        <v>1.4285</v>
      </c>
    </row>
    <row r="1690">
      <c r="A1690" t="n">
        <v>1.4869</v>
      </c>
      <c r="B1690" t="n">
        <v>1.6944</v>
      </c>
      <c r="C1690" t="n">
        <v>1.622</v>
      </c>
    </row>
    <row r="1691">
      <c r="A1691" t="n">
        <v>1.6847</v>
      </c>
      <c r="B1691" t="n">
        <v>1.6803</v>
      </c>
      <c r="C1691" t="n">
        <v>1.7956</v>
      </c>
    </row>
    <row r="1692">
      <c r="A1692" t="n">
        <v>1.6655</v>
      </c>
      <c r="B1692" t="n">
        <v>1.4847</v>
      </c>
      <c r="C1692" t="n">
        <v>1.4945</v>
      </c>
    </row>
    <row r="1693">
      <c r="A1693" t="n">
        <v>1.5039</v>
      </c>
      <c r="B1693" t="n">
        <v>1.4311</v>
      </c>
      <c r="C1693" t="n">
        <v>1.4723</v>
      </c>
    </row>
    <row r="1694">
      <c r="A1694" t="n">
        <v>1.6014</v>
      </c>
      <c r="B1694" t="n">
        <v>1.4601</v>
      </c>
      <c r="C1694" t="n">
        <v>1.4665</v>
      </c>
    </row>
    <row r="1695">
      <c r="A1695" t="n">
        <v>1.489</v>
      </c>
      <c r="B1695" t="n">
        <v>1.6672</v>
      </c>
      <c r="C1695" t="n">
        <v>1.6453</v>
      </c>
    </row>
    <row r="1696">
      <c r="A1696" t="n">
        <v>1.3904</v>
      </c>
      <c r="B1696" t="n">
        <v>1.7744</v>
      </c>
      <c r="C1696" t="n">
        <v>1.7537</v>
      </c>
    </row>
    <row r="1697">
      <c r="A1697" t="n">
        <v>1.4106</v>
      </c>
      <c r="B1697" t="n">
        <v>1.497</v>
      </c>
      <c r="C1697" t="n">
        <v>1.4562</v>
      </c>
    </row>
    <row r="1698">
      <c r="A1698" t="n">
        <v>1.7733</v>
      </c>
      <c r="B1698" t="n">
        <v>1.4525</v>
      </c>
      <c r="C1698" t="n">
        <v>1.7831</v>
      </c>
    </row>
    <row r="1699">
      <c r="A1699" t="n">
        <v>1.6242</v>
      </c>
      <c r="B1699" t="n">
        <v>1.4556</v>
      </c>
      <c r="C1699" t="n">
        <v>1.6653</v>
      </c>
    </row>
    <row r="1700">
      <c r="A1700" t="n">
        <v>1.5485</v>
      </c>
      <c r="B1700" t="n">
        <v>1.6691</v>
      </c>
      <c r="C1700" t="n">
        <v>1.5256</v>
      </c>
    </row>
    <row r="1701">
      <c r="A1701" t="n">
        <v>1.7387</v>
      </c>
      <c r="B1701" t="n">
        <v>1.698</v>
      </c>
      <c r="C1701" t="n">
        <v>1.6877</v>
      </c>
    </row>
    <row r="1702">
      <c r="A1702" t="n">
        <v>1.6705</v>
      </c>
      <c r="B1702" t="n">
        <v>1.4694</v>
      </c>
      <c r="C1702" t="n">
        <v>1.7758</v>
      </c>
    </row>
    <row r="1703">
      <c r="A1703" t="n">
        <v>1.5281</v>
      </c>
      <c r="B1703" t="n">
        <v>1.4401</v>
      </c>
      <c r="C1703" t="n">
        <v>1.5332</v>
      </c>
    </row>
    <row r="1704">
      <c r="A1704" t="n">
        <v>1.675</v>
      </c>
      <c r="B1704" t="n">
        <v>1.4342</v>
      </c>
      <c r="C1704" t="n">
        <v>1.6725</v>
      </c>
    </row>
    <row r="1705">
      <c r="A1705" t="n">
        <v>1.4531</v>
      </c>
      <c r="B1705" t="n">
        <v>1.5978</v>
      </c>
      <c r="C1705" t="n">
        <v>1.4866</v>
      </c>
    </row>
    <row r="1706">
      <c r="A1706" t="n">
        <v>1.4507</v>
      </c>
      <c r="B1706" t="n">
        <v>1.5531</v>
      </c>
      <c r="C1706" t="n">
        <v>1.4304</v>
      </c>
    </row>
    <row r="1707">
      <c r="A1707" t="n">
        <v>1.3954</v>
      </c>
      <c r="B1707" t="n">
        <v>1.7847</v>
      </c>
      <c r="C1707" t="n">
        <v>1.6899</v>
      </c>
    </row>
    <row r="1708">
      <c r="A1708" t="n">
        <v>1.4327</v>
      </c>
      <c r="B1708" t="n">
        <v>1.4766</v>
      </c>
      <c r="C1708" t="n">
        <v>1.5587</v>
      </c>
    </row>
    <row r="1709">
      <c r="A1709" t="n">
        <v>1.4749</v>
      </c>
      <c r="B1709" t="n">
        <v>1.4737</v>
      </c>
      <c r="C1709" t="n">
        <v>1.6379</v>
      </c>
    </row>
    <row r="1710">
      <c r="A1710" t="n">
        <v>1.4152</v>
      </c>
      <c r="B1710" t="n">
        <v>1.673</v>
      </c>
      <c r="C1710" t="n">
        <v>1.5224</v>
      </c>
    </row>
    <row r="1711">
      <c r="A1711" t="n">
        <v>1.4797</v>
      </c>
      <c r="B1711" t="n">
        <v>1.7126</v>
      </c>
      <c r="C1711" t="n">
        <v>1.474</v>
      </c>
    </row>
    <row r="1712">
      <c r="A1712" t="n">
        <v>1.698</v>
      </c>
      <c r="B1712" t="n">
        <v>1.4713</v>
      </c>
      <c r="C1712" t="n">
        <v>1.6502</v>
      </c>
    </row>
    <row r="1713">
      <c r="A1713" t="n">
        <v>1.4789</v>
      </c>
      <c r="B1713" t="n">
        <v>1.447</v>
      </c>
      <c r="C1713" t="n">
        <v>1.5448</v>
      </c>
    </row>
    <row r="1714">
      <c r="A1714" t="n">
        <v>1.4173</v>
      </c>
      <c r="B1714" t="n">
        <v>1.7404</v>
      </c>
      <c r="C1714" t="n">
        <v>1.6627</v>
      </c>
    </row>
    <row r="1715">
      <c r="A1715" t="n">
        <v>1.4142</v>
      </c>
      <c r="B1715" t="n">
        <v>1.4198</v>
      </c>
      <c r="C1715" t="n">
        <v>1.4978</v>
      </c>
    </row>
    <row r="1716">
      <c r="A1716" t="n">
        <v>1.4958</v>
      </c>
      <c r="B1716" t="n">
        <v>1.4513</v>
      </c>
      <c r="C1716" t="n">
        <v>1.4676</v>
      </c>
    </row>
    <row r="1717">
      <c r="A1717" t="n">
        <v>1.4202</v>
      </c>
      <c r="B1717" t="n">
        <v>1.6463</v>
      </c>
      <c r="C1717" t="n">
        <v>1.6791</v>
      </c>
    </row>
    <row r="1718">
      <c r="A1718" t="n">
        <v>1.4451</v>
      </c>
      <c r="B1718" t="n">
        <v>1.4872</v>
      </c>
      <c r="C1718" t="n">
        <v>1.6147</v>
      </c>
    </row>
    <row r="1719">
      <c r="A1719" t="n">
        <v>1.7872</v>
      </c>
      <c r="B1719" t="n">
        <v>1.4329</v>
      </c>
      <c r="C1719" t="n">
        <v>1.4768</v>
      </c>
    </row>
    <row r="1720">
      <c r="A1720" t="n">
        <v>1.4828</v>
      </c>
      <c r="B1720" t="n">
        <v>1.671</v>
      </c>
      <c r="C1720" t="n">
        <v>1.4386</v>
      </c>
    </row>
    <row r="1721">
      <c r="A1721" t="n">
        <v>1.4848</v>
      </c>
      <c r="B1721" t="n">
        <v>1.5197</v>
      </c>
      <c r="C1721" t="n">
        <v>1.4074</v>
      </c>
    </row>
    <row r="1722">
      <c r="A1722" t="n">
        <v>1.4412</v>
      </c>
      <c r="B1722" t="n">
        <v>1.6548</v>
      </c>
      <c r="C1722" t="n">
        <v>1.4529</v>
      </c>
    </row>
    <row r="1723">
      <c r="A1723" t="n">
        <v>1.5953</v>
      </c>
      <c r="B1723" t="n">
        <v>1.4906</v>
      </c>
      <c r="C1723" t="n">
        <v>1.4605</v>
      </c>
    </row>
    <row r="1724">
      <c r="A1724" t="n">
        <v>1.7997</v>
      </c>
      <c r="B1724" t="n">
        <v>1.4494</v>
      </c>
      <c r="C1724" t="n">
        <v>1.4215</v>
      </c>
    </row>
    <row r="1725">
      <c r="A1725" t="n">
        <v>1.4883</v>
      </c>
      <c r="B1725" t="n">
        <v>1.401</v>
      </c>
      <c r="C1725" t="n">
        <v>1.6919</v>
      </c>
    </row>
    <row r="1726">
      <c r="A1726" t="n">
        <v>1.4292</v>
      </c>
      <c r="B1726" t="n">
        <v>1.3883</v>
      </c>
      <c r="C1726" t="n">
        <v>1.7278</v>
      </c>
    </row>
    <row r="1727">
      <c r="A1727" t="n">
        <v>1.4827</v>
      </c>
      <c r="B1727" t="n">
        <v>1.4306</v>
      </c>
      <c r="C1727" t="n">
        <v>1.4753</v>
      </c>
    </row>
    <row r="1728">
      <c r="A1728" t="n">
        <v>1.6529</v>
      </c>
      <c r="B1728" t="n">
        <v>1.6601</v>
      </c>
      <c r="C1728" t="n">
        <v>1.4499</v>
      </c>
    </row>
    <row r="1729">
      <c r="A1729" t="n">
        <v>1.7644</v>
      </c>
      <c r="B1729" t="n">
        <v>1.7021</v>
      </c>
      <c r="C1729" t="n">
        <v>1.452</v>
      </c>
    </row>
    <row r="1730">
      <c r="A1730" t="n">
        <v>2.0492</v>
      </c>
      <c r="B1730" t="n">
        <v>1.4931</v>
      </c>
      <c r="C1730" t="n">
        <v>1.9604</v>
      </c>
    </row>
    <row r="1731">
      <c r="A1731" t="n">
        <v>1.525</v>
      </c>
      <c r="B1731" t="n">
        <v>1.4515</v>
      </c>
      <c r="C1731" t="n">
        <v>1.7636</v>
      </c>
    </row>
    <row r="1732">
      <c r="A1732" t="n">
        <v>1.625</v>
      </c>
      <c r="B1732" t="n">
        <v>1.4331</v>
      </c>
      <c r="C1732" t="n">
        <v>1.6778</v>
      </c>
    </row>
    <row r="1733">
      <c r="A1733" t="n">
        <v>1.4855</v>
      </c>
      <c r="B1733" t="n">
        <v>1.715</v>
      </c>
      <c r="C1733" t="n">
        <v>1.5188</v>
      </c>
    </row>
    <row r="1734">
      <c r="A1734" t="n">
        <v>1.42</v>
      </c>
      <c r="B1734" t="n">
        <v>1.7563</v>
      </c>
      <c r="C1734" t="n">
        <v>1.6521</v>
      </c>
    </row>
    <row r="1735">
      <c r="A1735" t="n">
        <v>1.387</v>
      </c>
      <c r="B1735" t="n">
        <v>1.4563</v>
      </c>
      <c r="C1735" t="n">
        <v>1.7398</v>
      </c>
    </row>
    <row r="1736">
      <c r="A1736" t="n">
        <v>1.4223</v>
      </c>
      <c r="B1736" t="n">
        <v>1.4469</v>
      </c>
      <c r="C1736" t="n">
        <v>1.499</v>
      </c>
    </row>
    <row r="1737">
      <c r="A1737" t="n">
        <v>1.4592</v>
      </c>
      <c r="B1737" t="n">
        <v>1.4306</v>
      </c>
      <c r="C1737" t="n">
        <v>1.6707</v>
      </c>
    </row>
    <row r="1738">
      <c r="A1738" t="n">
        <v>1.6646</v>
      </c>
      <c r="B1738" t="n">
        <v>1.606</v>
      </c>
      <c r="C1738" t="n">
        <v>1.6687</v>
      </c>
    </row>
    <row r="1739">
      <c r="A1739" t="n">
        <v>1.7396</v>
      </c>
      <c r="B1739" t="n">
        <v>1.6053</v>
      </c>
      <c r="C1739" t="n">
        <v>1.4708</v>
      </c>
    </row>
    <row r="1740">
      <c r="A1740" t="n">
        <v>1.4879</v>
      </c>
      <c r="B1740" t="n">
        <v>1.4864</v>
      </c>
      <c r="C1740" t="n">
        <v>1.4594</v>
      </c>
    </row>
    <row r="1741">
      <c r="A1741" t="n">
        <v>1.4144</v>
      </c>
      <c r="B1741" t="n">
        <v>1.4105</v>
      </c>
      <c r="C1741" t="n">
        <v>1.4543</v>
      </c>
    </row>
    <row r="1742">
      <c r="A1742" t="n">
        <v>1.43</v>
      </c>
      <c r="B1742" t="n">
        <v>1.423</v>
      </c>
      <c r="C1742" t="n">
        <v>1.5877</v>
      </c>
    </row>
    <row r="1743">
      <c r="A1743" t="n">
        <v>1.6057</v>
      </c>
      <c r="B1743" t="n">
        <v>1.4206</v>
      </c>
      <c r="C1743" t="n">
        <v>1.7725</v>
      </c>
    </row>
    <row r="1744">
      <c r="A1744" t="n">
        <v>1.5498</v>
      </c>
      <c r="B1744" t="n">
        <v>1.4202</v>
      </c>
      <c r="C1744" t="n">
        <v>1.4806</v>
      </c>
    </row>
    <row r="1745">
      <c r="A1745" t="n">
        <v>1.6498</v>
      </c>
      <c r="B1745" t="n">
        <v>1.4624</v>
      </c>
      <c r="C1745" t="n">
        <v>1.4354</v>
      </c>
    </row>
    <row r="1746">
      <c r="A1746" t="n">
        <v>1.4802</v>
      </c>
      <c r="B1746" t="n">
        <v>2.065</v>
      </c>
      <c r="C1746" t="n">
        <v>1.4787</v>
      </c>
    </row>
    <row r="1747">
      <c r="A1747" t="n">
        <v>1.4545</v>
      </c>
      <c r="B1747" t="n">
        <v>1.715</v>
      </c>
      <c r="C1747" t="n">
        <v>1.6034</v>
      </c>
    </row>
    <row r="1748">
      <c r="A1748" t="n">
        <v>1.3985</v>
      </c>
      <c r="B1748" t="n">
        <v>1.6545</v>
      </c>
      <c r="C1748" t="n">
        <v>1.5015</v>
      </c>
    </row>
    <row r="1749">
      <c r="A1749" t="n">
        <v>1.4651</v>
      </c>
      <c r="B1749" t="n">
        <v>1.5458</v>
      </c>
      <c r="C1749" t="n">
        <v>1.6437</v>
      </c>
    </row>
    <row r="1750">
      <c r="A1750" t="n">
        <v>1.6461</v>
      </c>
      <c r="B1750" t="n">
        <v>1.6747</v>
      </c>
      <c r="C1750" t="n">
        <v>1.497</v>
      </c>
    </row>
    <row r="1751">
      <c r="A1751" t="n">
        <v>1.4912</v>
      </c>
      <c r="B1751" t="n">
        <v>1.7644</v>
      </c>
      <c r="C1751" t="n">
        <v>1.4476</v>
      </c>
    </row>
    <row r="1752">
      <c r="A1752" t="n">
        <v>1.6568</v>
      </c>
      <c r="B1752" t="n">
        <v>1.5381</v>
      </c>
      <c r="C1752" t="n">
        <v>1.4349</v>
      </c>
    </row>
    <row r="1753">
      <c r="A1753" t="n">
        <v>1.7348</v>
      </c>
      <c r="B1753" t="n">
        <v>1.4198</v>
      </c>
      <c r="C1753" t="n">
        <v>1.4364</v>
      </c>
    </row>
    <row r="1754">
      <c r="A1754" t="n">
        <v>1.5226</v>
      </c>
      <c r="B1754" t="n">
        <v>1.4465</v>
      </c>
      <c r="C1754" t="n">
        <v>1.4661</v>
      </c>
    </row>
    <row r="1755">
      <c r="A1755" t="n">
        <v>1.6911</v>
      </c>
      <c r="B1755" t="n">
        <v>1.6234</v>
      </c>
      <c r="C1755" t="n">
        <v>1.4522</v>
      </c>
    </row>
    <row r="1756">
      <c r="A1756" t="n">
        <v>1.4776</v>
      </c>
      <c r="B1756" t="n">
        <v>1.476</v>
      </c>
      <c r="C1756" t="n">
        <v>1.7691</v>
      </c>
    </row>
    <row r="1757">
      <c r="A1757" t="n">
        <v>1.4434</v>
      </c>
      <c r="B1757" t="n">
        <v>1.4531</v>
      </c>
      <c r="C1757" t="n">
        <v>1.5007</v>
      </c>
    </row>
    <row r="1758">
      <c r="A1758" t="n">
        <v>1.3862</v>
      </c>
      <c r="B1758" t="n">
        <v>1.3995</v>
      </c>
      <c r="C1758" t="n">
        <v>1.4613</v>
      </c>
    </row>
    <row r="1759">
      <c r="A1759" t="n">
        <v>1.4013</v>
      </c>
      <c r="B1759" t="n">
        <v>1.4161</v>
      </c>
      <c r="C1759" t="n">
        <v>1.4664</v>
      </c>
    </row>
    <row r="1760">
      <c r="A1760" t="n">
        <v>1.4365</v>
      </c>
      <c r="B1760" t="n">
        <v>1.4559</v>
      </c>
      <c r="C1760" t="n">
        <v>1.6182</v>
      </c>
    </row>
    <row r="1761">
      <c r="A1761" t="n">
        <v>1.6751</v>
      </c>
      <c r="B1761" t="n">
        <v>1.399</v>
      </c>
      <c r="C1761" t="n">
        <v>1.7017</v>
      </c>
    </row>
    <row r="1762">
      <c r="A1762" t="n">
        <v>2.0432</v>
      </c>
      <c r="B1762" t="n">
        <v>1.4698</v>
      </c>
      <c r="C1762" t="n">
        <v>2.0248</v>
      </c>
    </row>
    <row r="1763">
      <c r="A1763" t="n">
        <v>1.6466</v>
      </c>
      <c r="B1763" t="n">
        <v>1.7108</v>
      </c>
      <c r="C1763" t="n">
        <v>1.5567</v>
      </c>
    </row>
    <row r="1764">
      <c r="A1764" t="n">
        <v>1.5291</v>
      </c>
      <c r="B1764" t="n">
        <v>1.486</v>
      </c>
      <c r="C1764" t="n">
        <v>1.6723</v>
      </c>
    </row>
    <row r="1765">
      <c r="A1765" t="n">
        <v>1.625</v>
      </c>
      <c r="B1765" t="n">
        <v>1.4161</v>
      </c>
      <c r="C1765" t="n">
        <v>1.5241</v>
      </c>
    </row>
    <row r="1766">
      <c r="A1766" t="n">
        <v>1.7063</v>
      </c>
      <c r="B1766" t="n">
        <v>1.4038</v>
      </c>
      <c r="C1766" t="n">
        <v>1.4617</v>
      </c>
    </row>
    <row r="1767">
      <c r="A1767" t="n">
        <v>1.5314</v>
      </c>
      <c r="B1767" t="n">
        <v>1.4235</v>
      </c>
      <c r="C1767" t="n">
        <v>1.6649</v>
      </c>
    </row>
    <row r="1768">
      <c r="A1768" t="n">
        <v>1.646</v>
      </c>
      <c r="B1768" t="n">
        <v>1.4427</v>
      </c>
      <c r="C1768" t="n">
        <v>1.5505</v>
      </c>
    </row>
    <row r="1769">
      <c r="A1769" t="n">
        <v>1.6972</v>
      </c>
      <c r="B1769" t="n">
        <v>1.7014</v>
      </c>
      <c r="C1769" t="n">
        <v>1.659</v>
      </c>
    </row>
    <row r="1770">
      <c r="A1770" t="n">
        <v>1.8954</v>
      </c>
      <c r="B1770" t="n">
        <v>1.715</v>
      </c>
      <c r="C1770" t="n">
        <v>1.502</v>
      </c>
    </row>
    <row r="1771">
      <c r="A1771" t="n">
        <v>1.5131</v>
      </c>
      <c r="B1771" t="n">
        <v>1.5578</v>
      </c>
      <c r="C1771" t="n">
        <v>1.4562</v>
      </c>
    </row>
    <row r="1772">
      <c r="A1772" t="n">
        <v>1.6103</v>
      </c>
      <c r="B1772" t="n">
        <v>1.4891</v>
      </c>
      <c r="C1772" t="n">
        <v>1.6497</v>
      </c>
    </row>
    <row r="1773">
      <c r="A1773" t="n">
        <v>1.5282</v>
      </c>
      <c r="B1773" t="n">
        <v>1.6574</v>
      </c>
      <c r="C1773" t="n">
        <v>1.5694</v>
      </c>
    </row>
    <row r="1774">
      <c r="A1774" t="n">
        <v>1.4358</v>
      </c>
      <c r="B1774" t="n">
        <v>1.4823</v>
      </c>
      <c r="C1774" t="n">
        <v>1.4301</v>
      </c>
    </row>
    <row r="1775">
      <c r="A1775" t="n">
        <v>1.3939</v>
      </c>
      <c r="B1775" t="n">
        <v>1.7576</v>
      </c>
      <c r="C1775" t="n">
        <v>1.4733</v>
      </c>
    </row>
    <row r="1776">
      <c r="A1776" t="n">
        <v>1.4197</v>
      </c>
      <c r="B1776" t="n">
        <v>1.6598</v>
      </c>
      <c r="C1776" t="n">
        <v>1.4314</v>
      </c>
    </row>
    <row r="1777">
      <c r="A1777" t="n">
        <v>1.4269</v>
      </c>
      <c r="B1777" t="n">
        <v>1.5015</v>
      </c>
      <c r="C1777" t="n">
        <v>1.4532</v>
      </c>
    </row>
    <row r="1778">
      <c r="A1778" t="n">
        <v>1.4011</v>
      </c>
      <c r="B1778" t="n">
        <v>2.0051</v>
      </c>
      <c r="C1778" t="n">
        <v>1.4523</v>
      </c>
    </row>
    <row r="1779">
      <c r="A1779" t="n">
        <v>1.4607</v>
      </c>
      <c r="B1779" t="n">
        <v>1.505</v>
      </c>
      <c r="C1779" t="n">
        <v>1.4932</v>
      </c>
    </row>
    <row r="1780">
      <c r="A1780" t="n">
        <v>1.6321</v>
      </c>
      <c r="B1780" t="n">
        <v>1.4401</v>
      </c>
      <c r="C1780" t="n">
        <v>1.6878</v>
      </c>
    </row>
    <row r="1781">
      <c r="A1781" t="n">
        <v>1.5221</v>
      </c>
      <c r="B1781" t="n">
        <v>1.6741</v>
      </c>
      <c r="C1781" t="n">
        <v>1.7307</v>
      </c>
    </row>
    <row r="1782">
      <c r="A1782" t="n">
        <v>1.413</v>
      </c>
      <c r="B1782" t="n">
        <v>1.7614</v>
      </c>
      <c r="C1782" t="n">
        <v>1.5118</v>
      </c>
    </row>
    <row r="1783">
      <c r="A1783" t="n">
        <v>1.4206</v>
      </c>
      <c r="B1783" t="n">
        <v>1.4912</v>
      </c>
      <c r="C1783" t="n">
        <v>1.4574</v>
      </c>
    </row>
    <row r="1784">
      <c r="A1784" t="n">
        <v>1.4209</v>
      </c>
      <c r="B1784" t="n">
        <v>1.4486</v>
      </c>
      <c r="C1784" t="n">
        <v>1.4214</v>
      </c>
    </row>
    <row r="1785">
      <c r="A1785" t="n">
        <v>1.4653</v>
      </c>
      <c r="B1785" t="n">
        <v>1.4369</v>
      </c>
      <c r="C1785" t="n">
        <v>1.6318</v>
      </c>
    </row>
    <row r="1786">
      <c r="A1786" t="n">
        <v>1.6077</v>
      </c>
      <c r="B1786" t="n">
        <v>1.6307</v>
      </c>
      <c r="C1786" t="n">
        <v>1.7425</v>
      </c>
    </row>
    <row r="1787">
      <c r="A1787" t="n">
        <v>1.8324</v>
      </c>
      <c r="B1787" t="n">
        <v>1.6975</v>
      </c>
      <c r="C1787" t="n">
        <v>1.5132</v>
      </c>
    </row>
    <row r="1788">
      <c r="A1788" t="n">
        <v>1.4846</v>
      </c>
      <c r="B1788" t="n">
        <v>1.4904</v>
      </c>
      <c r="C1788" t="n">
        <v>1.4408</v>
      </c>
    </row>
    <row r="1789">
      <c r="A1789" t="n">
        <v>1.4127</v>
      </c>
      <c r="B1789" t="n">
        <v>1.4224</v>
      </c>
      <c r="C1789" t="n">
        <v>1.432</v>
      </c>
    </row>
    <row r="1790">
      <c r="A1790" t="n">
        <v>1.4483</v>
      </c>
      <c r="B1790" t="n">
        <v>1.4635</v>
      </c>
      <c r="C1790" t="n">
        <v>1.6139</v>
      </c>
    </row>
    <row r="1791">
      <c r="A1791" t="n">
        <v>1.6383</v>
      </c>
      <c r="B1791" t="n">
        <v>1.5891</v>
      </c>
      <c r="C1791" t="n">
        <v>1.7388</v>
      </c>
    </row>
    <row r="1792">
      <c r="A1792" t="n">
        <v>1.7551</v>
      </c>
      <c r="B1792" t="n">
        <v>1.5207</v>
      </c>
      <c r="C1792" t="n">
        <v>1.5174</v>
      </c>
    </row>
    <row r="1793">
      <c r="A1793" t="n">
        <v>1.5007</v>
      </c>
      <c r="B1793" t="n">
        <v>1.6789</v>
      </c>
      <c r="C1793" t="n">
        <v>1.4383</v>
      </c>
    </row>
    <row r="1794">
      <c r="A1794" t="n">
        <v>1.8008</v>
      </c>
      <c r="B1794" t="n">
        <v>1.475</v>
      </c>
      <c r="C1794" t="n">
        <v>1.7962</v>
      </c>
    </row>
    <row r="1795">
      <c r="A1795" t="n">
        <v>1.6518</v>
      </c>
      <c r="B1795" t="n">
        <v>1.4116</v>
      </c>
      <c r="C1795" t="n">
        <v>1.457</v>
      </c>
    </row>
    <row r="1796">
      <c r="A1796" t="n">
        <v>1.5484</v>
      </c>
      <c r="B1796" t="n">
        <v>1.4093</v>
      </c>
      <c r="C1796" t="n">
        <v>1.651</v>
      </c>
    </row>
    <row r="1797">
      <c r="A1797" t="n">
        <v>1.4438</v>
      </c>
      <c r="B1797" t="n">
        <v>1.4176</v>
      </c>
      <c r="C1797" t="n">
        <v>1.5011</v>
      </c>
    </row>
    <row r="1798">
      <c r="A1798" t="n">
        <v>1.4301</v>
      </c>
      <c r="B1798" t="n">
        <v>1.4514</v>
      </c>
      <c r="C1798" t="n">
        <v>1.464</v>
      </c>
    </row>
    <row r="1799">
      <c r="A1799" t="n">
        <v>1.4422</v>
      </c>
      <c r="B1799" t="n">
        <v>1.661</v>
      </c>
      <c r="C1799" t="n">
        <v>1.4458</v>
      </c>
    </row>
    <row r="1800">
      <c r="A1800" t="n">
        <v>1.4536</v>
      </c>
      <c r="B1800" t="n">
        <v>1.6912</v>
      </c>
      <c r="C1800" t="n">
        <v>1.7935</v>
      </c>
    </row>
    <row r="1801">
      <c r="A1801" t="n">
        <v>1.6423</v>
      </c>
      <c r="B1801" t="n">
        <v>1.477</v>
      </c>
      <c r="C1801" t="n">
        <v>1.7444</v>
      </c>
    </row>
    <row r="1802">
      <c r="A1802" t="n">
        <v>1.7268</v>
      </c>
      <c r="B1802" t="n">
        <v>1.4516</v>
      </c>
      <c r="C1802" t="n">
        <v>1.4794</v>
      </c>
    </row>
    <row r="1803">
      <c r="A1803" t="n">
        <v>1.4864</v>
      </c>
      <c r="B1803" t="n">
        <v>1.4463</v>
      </c>
      <c r="C1803" t="n">
        <v>1.4429</v>
      </c>
    </row>
    <row r="1804">
      <c r="A1804" t="n">
        <v>1.4291</v>
      </c>
      <c r="B1804" t="n">
        <v>1.5803</v>
      </c>
      <c r="C1804" t="n">
        <v>1.45</v>
      </c>
    </row>
    <row r="1805">
      <c r="A1805" t="n">
        <v>1.4348</v>
      </c>
      <c r="B1805" t="n">
        <v>1.9338</v>
      </c>
      <c r="C1805" t="n">
        <v>1.5967</v>
      </c>
    </row>
    <row r="1806">
      <c r="A1806" t="n">
        <v>1.6095</v>
      </c>
      <c r="B1806" t="n">
        <v>1.4971</v>
      </c>
      <c r="C1806" t="n">
        <v>1.7133</v>
      </c>
    </row>
    <row r="1807">
      <c r="A1807" t="n">
        <v>1.4857</v>
      </c>
      <c r="B1807" t="n">
        <v>1.4147</v>
      </c>
      <c r="C1807" t="n">
        <v>1.4877</v>
      </c>
    </row>
    <row r="1808">
      <c r="A1808" t="n">
        <v>1.6508</v>
      </c>
      <c r="B1808" t="n">
        <v>1.4331</v>
      </c>
      <c r="C1808" t="n">
        <v>1.4557</v>
      </c>
    </row>
    <row r="1809">
      <c r="A1809" t="n">
        <v>1.4927</v>
      </c>
      <c r="B1809" t="n">
        <v>1.6234</v>
      </c>
      <c r="C1809" t="n">
        <v>1.4485</v>
      </c>
    </row>
    <row r="1810">
      <c r="A1810" t="n">
        <v>1.4219</v>
      </c>
      <c r="B1810" t="n">
        <v>2.0723</v>
      </c>
      <c r="C1810" t="n">
        <v>1.6146</v>
      </c>
    </row>
    <row r="1811">
      <c r="A1811" t="n">
        <v>1.5946</v>
      </c>
      <c r="B1811" t="n">
        <v>1.6513</v>
      </c>
      <c r="C1811" t="n">
        <v>1.5279</v>
      </c>
    </row>
    <row r="1812">
      <c r="A1812" t="n">
        <v>1.5526</v>
      </c>
      <c r="B1812" t="n">
        <v>1.53</v>
      </c>
      <c r="C1812" t="n">
        <v>1.6735</v>
      </c>
    </row>
    <row r="1813">
      <c r="A1813" t="n">
        <v>1.5997</v>
      </c>
      <c r="B1813" t="n">
        <v>1.5955</v>
      </c>
      <c r="C1813" t="n">
        <v>1.4903</v>
      </c>
    </row>
    <row r="1814">
      <c r="A1814" t="n">
        <v>1.51</v>
      </c>
      <c r="B1814" t="n">
        <v>1.4996</v>
      </c>
      <c r="C1814" t="n">
        <v>1.4212</v>
      </c>
    </row>
    <row r="1815">
      <c r="A1815" t="n">
        <v>1.4114</v>
      </c>
      <c r="B1815" t="n">
        <v>1.4676</v>
      </c>
      <c r="C1815" t="n">
        <v>1.4255</v>
      </c>
    </row>
    <row r="1816">
      <c r="A1816" t="n">
        <v>1.4122</v>
      </c>
      <c r="B1816" t="n">
        <v>1.3766</v>
      </c>
      <c r="C1816" t="n">
        <v>1.4345</v>
      </c>
    </row>
    <row r="1817">
      <c r="A1817" t="n">
        <v>1.436</v>
      </c>
      <c r="B1817" t="n">
        <v>1.4245</v>
      </c>
      <c r="C1817" t="n">
        <v>1.4225</v>
      </c>
    </row>
    <row r="1818">
      <c r="A1818" t="n">
        <v>1.466</v>
      </c>
      <c r="B1818" t="n">
        <v>1.4491</v>
      </c>
      <c r="C1818" t="n">
        <v>1.4117</v>
      </c>
    </row>
    <row r="1819">
      <c r="A1819" t="n">
        <v>1.6976</v>
      </c>
      <c r="B1819" t="n">
        <v>1.643</v>
      </c>
      <c r="C1819" t="n">
        <v>1.4975</v>
      </c>
    </row>
    <row r="1820">
      <c r="A1820" t="n">
        <v>1.7187</v>
      </c>
      <c r="B1820" t="n">
        <v>1.6763</v>
      </c>
      <c r="C1820" t="n">
        <v>1.6613</v>
      </c>
    </row>
    <row r="1821">
      <c r="A1821" t="n">
        <v>1.4821</v>
      </c>
      <c r="B1821" t="n">
        <v>1.4933</v>
      </c>
      <c r="C1821" t="n">
        <v>1.5124</v>
      </c>
    </row>
    <row r="1822">
      <c r="A1822" t="n">
        <v>1.4187</v>
      </c>
      <c r="B1822" t="n">
        <v>1.4182</v>
      </c>
      <c r="C1822" t="n">
        <v>1.4309</v>
      </c>
    </row>
    <row r="1823">
      <c r="A1823" t="n">
        <v>1.4423</v>
      </c>
      <c r="B1823" t="n">
        <v>1.425</v>
      </c>
      <c r="C1823" t="n">
        <v>1.6576</v>
      </c>
    </row>
    <row r="1824">
      <c r="A1824" t="n">
        <v>1.6258</v>
      </c>
      <c r="B1824" t="n">
        <v>1.6055</v>
      </c>
      <c r="C1824" t="n">
        <v>1.5359</v>
      </c>
    </row>
    <row r="1825">
      <c r="A1825" t="n">
        <v>1.8026</v>
      </c>
      <c r="B1825" t="n">
        <v>1.5258</v>
      </c>
      <c r="C1825" t="n">
        <v>1.6889</v>
      </c>
    </row>
    <row r="1826">
      <c r="A1826" t="n">
        <v>1.9892</v>
      </c>
      <c r="B1826" t="n">
        <v>1.6488</v>
      </c>
      <c r="C1826" t="n">
        <v>1.8139</v>
      </c>
    </row>
    <row r="1827">
      <c r="A1827" t="n">
        <v>1.5408</v>
      </c>
      <c r="B1827" t="n">
        <v>1.4928</v>
      </c>
      <c r="C1827" t="n">
        <v>1.7424</v>
      </c>
    </row>
    <row r="1828">
      <c r="A1828" t="n">
        <v>1.6332</v>
      </c>
      <c r="B1828" t="n">
        <v>1.4189</v>
      </c>
      <c r="C1828" t="n">
        <v>1.5307</v>
      </c>
    </row>
    <row r="1829">
      <c r="A1829" t="n">
        <v>1.4802</v>
      </c>
      <c r="B1829" t="n">
        <v>1.4124</v>
      </c>
      <c r="C1829" t="n">
        <v>1.6334</v>
      </c>
    </row>
    <row r="1830">
      <c r="A1830" t="n">
        <v>1.4425</v>
      </c>
      <c r="B1830" t="n">
        <v>1.4391</v>
      </c>
      <c r="C1830" t="n">
        <v>1.7096</v>
      </c>
    </row>
    <row r="1831">
      <c r="A1831" t="n">
        <v>1.6548</v>
      </c>
      <c r="B1831" t="n">
        <v>1.4498</v>
      </c>
      <c r="C1831" t="n">
        <v>1.5265</v>
      </c>
    </row>
    <row r="1832">
      <c r="A1832" t="n">
        <v>1.5499</v>
      </c>
      <c r="B1832" t="n">
        <v>1.4725</v>
      </c>
      <c r="C1832" t="n">
        <v>1.643</v>
      </c>
    </row>
    <row r="1833">
      <c r="A1833" t="n">
        <v>1.7063</v>
      </c>
      <c r="B1833" t="n">
        <v>1.8264</v>
      </c>
      <c r="C1833" t="n">
        <v>1.5173</v>
      </c>
    </row>
    <row r="1834">
      <c r="A1834" t="n">
        <v>1.458</v>
      </c>
      <c r="B1834" t="n">
        <v>1.4866</v>
      </c>
      <c r="C1834" t="n">
        <v>1.4541</v>
      </c>
    </row>
    <row r="1835">
      <c r="A1835" t="n">
        <v>1.4332</v>
      </c>
      <c r="B1835" t="n">
        <v>1.4571</v>
      </c>
      <c r="C1835" t="n">
        <v>1.383</v>
      </c>
    </row>
    <row r="1836">
      <c r="A1836" t="n">
        <v>1.4166</v>
      </c>
      <c r="B1836" t="n">
        <v>1.4693</v>
      </c>
      <c r="C1836" t="n">
        <v>1.4382</v>
      </c>
    </row>
    <row r="1837">
      <c r="A1837" t="n">
        <v>1.4748</v>
      </c>
      <c r="B1837" t="n">
        <v>1.6266</v>
      </c>
      <c r="C1837" t="n">
        <v>1.4332</v>
      </c>
    </row>
    <row r="1838">
      <c r="A1838" t="n">
        <v>1.4373</v>
      </c>
      <c r="B1838" t="n">
        <v>1.7635</v>
      </c>
      <c r="C1838" t="n">
        <v>1.4655</v>
      </c>
    </row>
    <row r="1839">
      <c r="A1839" t="n">
        <v>1.4153</v>
      </c>
      <c r="B1839" t="n">
        <v>1.4762</v>
      </c>
      <c r="C1839" t="n">
        <v>1.5056</v>
      </c>
    </row>
    <row r="1840">
      <c r="A1840" t="n">
        <v>1.4489</v>
      </c>
      <c r="B1840" t="n">
        <v>1.4273</v>
      </c>
      <c r="C1840" t="n">
        <v>1.6666</v>
      </c>
    </row>
    <row r="1841">
      <c r="A1841" t="n">
        <v>1.639</v>
      </c>
      <c r="B1841" t="n">
        <v>1.4629</v>
      </c>
      <c r="C1841" t="n">
        <v>1.4695</v>
      </c>
    </row>
    <row r="1842">
      <c r="A1842" t="n">
        <v>1.4843</v>
      </c>
      <c r="B1842" t="n">
        <v>2.0164</v>
      </c>
      <c r="C1842" t="n">
        <v>1.4493</v>
      </c>
    </row>
    <row r="1843">
      <c r="A1843" t="n">
        <v>1.4322</v>
      </c>
      <c r="B1843" t="n">
        <v>1.7143</v>
      </c>
      <c r="C1843" t="n">
        <v>1.6621</v>
      </c>
    </row>
    <row r="1844">
      <c r="A1844" t="n">
        <v>1.4296</v>
      </c>
      <c r="B1844" t="n">
        <v>1.6972</v>
      </c>
      <c r="C1844" t="n">
        <v>1.56</v>
      </c>
    </row>
    <row r="1845">
      <c r="A1845" t="n">
        <v>1.4439</v>
      </c>
      <c r="B1845" t="n">
        <v>1.531</v>
      </c>
      <c r="C1845" t="n">
        <v>1.6513</v>
      </c>
    </row>
    <row r="1846">
      <c r="A1846" t="n">
        <v>1.418</v>
      </c>
      <c r="B1846" t="n">
        <v>1.6261</v>
      </c>
      <c r="C1846" t="n">
        <v>1.4806</v>
      </c>
    </row>
    <row r="1847">
      <c r="A1847" t="n">
        <v>1.402</v>
      </c>
      <c r="B1847" t="n">
        <v>1.4941</v>
      </c>
      <c r="C1847" t="n">
        <v>1.4425</v>
      </c>
    </row>
    <row r="1848">
      <c r="A1848" t="n">
        <v>1.4892</v>
      </c>
      <c r="B1848" t="n">
        <v>1.4523</v>
      </c>
      <c r="C1848" t="n">
        <v>1.4027</v>
      </c>
    </row>
    <row r="1849">
      <c r="A1849" t="n">
        <v>1.6371</v>
      </c>
      <c r="B1849" t="n">
        <v>1.6636</v>
      </c>
      <c r="C1849" t="n">
        <v>1.4314</v>
      </c>
    </row>
    <row r="1850">
      <c r="A1850" t="n">
        <v>1.4881</v>
      </c>
      <c r="B1850" t="n">
        <v>1.555</v>
      </c>
      <c r="C1850" t="n">
        <v>1.4183</v>
      </c>
    </row>
    <row r="1851">
      <c r="A1851" t="n">
        <v>1.4585</v>
      </c>
      <c r="B1851" t="n">
        <v>1.6651</v>
      </c>
      <c r="C1851" t="n">
        <v>1.4538</v>
      </c>
    </row>
    <row r="1852">
      <c r="A1852" t="n">
        <v>1.5896</v>
      </c>
      <c r="B1852" t="n">
        <v>1.4926</v>
      </c>
      <c r="C1852" t="n">
        <v>1.7677</v>
      </c>
    </row>
    <row r="1853">
      <c r="A1853" t="n">
        <v>1.5217</v>
      </c>
      <c r="B1853" t="n">
        <v>1.456</v>
      </c>
      <c r="C1853" t="n">
        <v>1.475</v>
      </c>
    </row>
    <row r="1854">
      <c r="A1854" t="n">
        <v>1.6928</v>
      </c>
      <c r="B1854" t="n">
        <v>1.4028</v>
      </c>
      <c r="C1854" t="n">
        <v>1.4428</v>
      </c>
    </row>
    <row r="1855">
      <c r="A1855" t="n">
        <v>1.4942</v>
      </c>
      <c r="B1855" t="n">
        <v>1.4047</v>
      </c>
      <c r="C1855" t="n">
        <v>1.4581</v>
      </c>
    </row>
    <row r="1856">
      <c r="A1856" t="n">
        <v>1.4327</v>
      </c>
      <c r="B1856" t="n">
        <v>1.473</v>
      </c>
      <c r="C1856" t="n">
        <v>1.3813</v>
      </c>
    </row>
    <row r="1857">
      <c r="A1857" t="n">
        <v>1.3868</v>
      </c>
      <c r="B1857" t="n">
        <v>1.6981</v>
      </c>
      <c r="C1857" t="n">
        <v>1.4504</v>
      </c>
    </row>
    <row r="1858">
      <c r="A1858" t="n">
        <v>1.7754</v>
      </c>
      <c r="B1858" t="n">
        <v>1.658</v>
      </c>
      <c r="C1858" t="n">
        <v>1.9648</v>
      </c>
    </row>
    <row r="1859">
      <c r="A1859" t="n">
        <v>1.4143</v>
      </c>
      <c r="B1859" t="n">
        <v>1.5987</v>
      </c>
      <c r="C1859" t="n">
        <v>1.5035</v>
      </c>
    </row>
    <row r="1860">
      <c r="A1860" t="n">
        <v>1.4363</v>
      </c>
      <c r="B1860" t="n">
        <v>1.4975</v>
      </c>
      <c r="C1860" t="n">
        <v>1.4624</v>
      </c>
    </row>
    <row r="1861">
      <c r="A1861" t="n">
        <v>1.6623</v>
      </c>
      <c r="B1861" t="n">
        <v>1.419</v>
      </c>
      <c r="C1861" t="n">
        <v>1.4061</v>
      </c>
    </row>
    <row r="1862">
      <c r="A1862" t="n">
        <v>1.4847</v>
      </c>
      <c r="B1862" t="n">
        <v>1.4076</v>
      </c>
      <c r="C1862" t="n">
        <v>1.4683</v>
      </c>
    </row>
    <row r="1863">
      <c r="A1863" t="n">
        <v>1.4331</v>
      </c>
      <c r="B1863" t="n">
        <v>1.4705</v>
      </c>
      <c r="C1863" t="n">
        <v>1.424</v>
      </c>
    </row>
    <row r="1864">
      <c r="A1864" t="n">
        <v>1.4085</v>
      </c>
      <c r="B1864" t="n">
        <v>1.7096</v>
      </c>
      <c r="C1864" t="n">
        <v>1.4278</v>
      </c>
    </row>
    <row r="1865">
      <c r="A1865" t="n">
        <v>1.6012</v>
      </c>
      <c r="B1865" t="n">
        <v>1.4913</v>
      </c>
      <c r="C1865" t="n">
        <v>1.4835</v>
      </c>
    </row>
    <row r="1866">
      <c r="A1866" t="n">
        <v>1.5109</v>
      </c>
      <c r="B1866" t="n">
        <v>1.4532</v>
      </c>
      <c r="C1866" t="n">
        <v>1.4425</v>
      </c>
    </row>
    <row r="1867">
      <c r="A1867" t="n">
        <v>1.6202</v>
      </c>
      <c r="B1867" t="n">
        <v>1.6512</v>
      </c>
      <c r="C1867" t="n">
        <v>1.4859</v>
      </c>
    </row>
    <row r="1868">
      <c r="A1868" t="n">
        <v>1.4779</v>
      </c>
      <c r="B1868" t="n">
        <v>1.8035</v>
      </c>
      <c r="C1868" t="n">
        <v>1.7232</v>
      </c>
    </row>
    <row r="1869">
      <c r="A1869" t="n">
        <v>1.4309</v>
      </c>
      <c r="B1869" t="n">
        <v>1.5055</v>
      </c>
      <c r="C1869" t="n">
        <v>1.6887</v>
      </c>
    </row>
    <row r="1870">
      <c r="A1870" t="n">
        <v>1.6124</v>
      </c>
      <c r="B1870" t="n">
        <v>1.4462</v>
      </c>
      <c r="C1870" t="n">
        <v>1.8251</v>
      </c>
    </row>
    <row r="1871">
      <c r="A1871" t="n">
        <v>1.5094</v>
      </c>
      <c r="B1871" t="n">
        <v>1.449</v>
      </c>
      <c r="C1871" t="n">
        <v>1.4947</v>
      </c>
    </row>
    <row r="1872">
      <c r="A1872" t="n">
        <v>1.632</v>
      </c>
      <c r="B1872" t="n">
        <v>1.6334</v>
      </c>
      <c r="C1872" t="n">
        <v>1.4835</v>
      </c>
    </row>
    <row r="1873">
      <c r="A1873" t="n">
        <v>1.4963</v>
      </c>
      <c r="B1873" t="n">
        <v>1.5295</v>
      </c>
      <c r="C1873" t="n">
        <v>1.4865</v>
      </c>
    </row>
    <row r="1874">
      <c r="A1874" t="n">
        <v>1.4035</v>
      </c>
      <c r="B1874" t="n">
        <v>1.9639</v>
      </c>
      <c r="C1874" t="n">
        <v>1.6663</v>
      </c>
    </row>
    <row r="1875">
      <c r="A1875" t="n">
        <v>1.4223</v>
      </c>
      <c r="B1875" t="n">
        <v>1.7883</v>
      </c>
      <c r="C1875" t="n">
        <v>1.6883</v>
      </c>
    </row>
    <row r="1876">
      <c r="A1876" t="n">
        <v>1.3974</v>
      </c>
      <c r="B1876" t="n">
        <v>1.6525</v>
      </c>
      <c r="C1876" t="n">
        <v>1.4854</v>
      </c>
    </row>
    <row r="1877">
      <c r="A1877" t="n">
        <v>1.4849</v>
      </c>
      <c r="B1877" t="n">
        <v>1.5002</v>
      </c>
      <c r="C1877" t="n">
        <v>1.4251</v>
      </c>
    </row>
    <row r="1878">
      <c r="A1878" t="n">
        <v>1.6548</v>
      </c>
      <c r="B1878" t="n">
        <v>1.4646</v>
      </c>
      <c r="C1878" t="n">
        <v>1.4504</v>
      </c>
    </row>
    <row r="1879">
      <c r="A1879" t="n">
        <v>1.7628</v>
      </c>
      <c r="B1879" t="n">
        <v>1.4267</v>
      </c>
      <c r="C1879" t="n">
        <v>1.6428</v>
      </c>
    </row>
    <row r="1880">
      <c r="A1880" t="n">
        <v>1.4779</v>
      </c>
      <c r="B1880" t="n">
        <v>1.4304</v>
      </c>
      <c r="C1880" t="n">
        <v>1.497</v>
      </c>
    </row>
    <row r="1881">
      <c r="A1881" t="n">
        <v>1.416</v>
      </c>
      <c r="B1881" t="n">
        <v>1.4172</v>
      </c>
      <c r="C1881" t="n">
        <v>1.6563</v>
      </c>
    </row>
    <row r="1882">
      <c r="A1882" t="n">
        <v>1.4327</v>
      </c>
      <c r="B1882" t="n">
        <v>1.656</v>
      </c>
      <c r="C1882" t="n">
        <v>1.5012</v>
      </c>
    </row>
    <row r="1883">
      <c r="A1883" t="n">
        <v>1.6264</v>
      </c>
      <c r="B1883" t="n">
        <v>1.7112</v>
      </c>
      <c r="C1883" t="n">
        <v>1.4576</v>
      </c>
    </row>
    <row r="1884">
      <c r="A1884" t="n">
        <v>1.5292</v>
      </c>
      <c r="B1884" t="n">
        <v>1.4911</v>
      </c>
      <c r="C1884" t="n">
        <v>1.6102</v>
      </c>
    </row>
    <row r="1885">
      <c r="A1885" t="n">
        <v>1.6048</v>
      </c>
      <c r="B1885" t="n">
        <v>1.4383</v>
      </c>
      <c r="C1885" t="n">
        <v>1.5486</v>
      </c>
    </row>
    <row r="1886">
      <c r="A1886" t="n">
        <v>1.5071</v>
      </c>
      <c r="B1886" t="n">
        <v>1.4435</v>
      </c>
      <c r="C1886" t="n">
        <v>1.6229</v>
      </c>
    </row>
    <row r="1887">
      <c r="A1887" t="n">
        <v>1.448</v>
      </c>
      <c r="B1887" t="n">
        <v>1.6038</v>
      </c>
      <c r="C1887" t="n">
        <v>1.4863</v>
      </c>
    </row>
    <row r="1888">
      <c r="A1888" t="n">
        <v>1.379</v>
      </c>
      <c r="B1888" t="n">
        <v>1.7807</v>
      </c>
      <c r="C1888" t="n">
        <v>1.4484</v>
      </c>
    </row>
    <row r="1889">
      <c r="A1889" t="n">
        <v>1.4244</v>
      </c>
      <c r="B1889" t="n">
        <v>1.4866</v>
      </c>
      <c r="C1889" t="n">
        <v>1.3903</v>
      </c>
    </row>
    <row r="1890">
      <c r="A1890" t="n">
        <v>1.7692</v>
      </c>
      <c r="B1890" t="n">
        <v>1.4593</v>
      </c>
      <c r="C1890" t="n">
        <v>1.8154</v>
      </c>
    </row>
    <row r="1891">
      <c r="A1891" t="n">
        <v>1.5178</v>
      </c>
      <c r="B1891" t="n">
        <v>1.4264</v>
      </c>
      <c r="C1891" t="n">
        <v>1.7079</v>
      </c>
    </row>
    <row r="1892">
      <c r="A1892" t="n">
        <v>1.4988</v>
      </c>
      <c r="B1892" t="n">
        <v>1.6261</v>
      </c>
      <c r="C1892" t="n">
        <v>1.4684</v>
      </c>
    </row>
    <row r="1893">
      <c r="A1893" t="n">
        <v>1.4387</v>
      </c>
      <c r="B1893" t="n">
        <v>1.5761</v>
      </c>
      <c r="C1893" t="n">
        <v>1.4626</v>
      </c>
    </row>
    <row r="1894">
      <c r="A1894" t="n">
        <v>1.4284</v>
      </c>
      <c r="B1894" t="n">
        <v>1.4062</v>
      </c>
      <c r="C1894" t="n">
        <v>1.3912</v>
      </c>
    </row>
    <row r="1895">
      <c r="A1895" t="n">
        <v>1.491</v>
      </c>
      <c r="B1895" t="n">
        <v>1.4453</v>
      </c>
      <c r="C1895" t="n">
        <v>1.4324</v>
      </c>
    </row>
    <row r="1896">
      <c r="A1896" t="n">
        <v>1.4582</v>
      </c>
      <c r="B1896" t="n">
        <v>1.4223</v>
      </c>
      <c r="C1896" t="n">
        <v>1.4818</v>
      </c>
    </row>
    <row r="1897">
      <c r="A1897" t="n">
        <v>1.4635</v>
      </c>
      <c r="B1897" t="n">
        <v>1.3899</v>
      </c>
      <c r="C1897" t="n">
        <v>1.666</v>
      </c>
    </row>
    <row r="1898">
      <c r="A1898" t="n">
        <v>1.6446</v>
      </c>
      <c r="B1898" t="n">
        <v>1.4458</v>
      </c>
      <c r="C1898" t="n">
        <v>1.7253</v>
      </c>
    </row>
    <row r="1899">
      <c r="A1899" t="n">
        <v>1.5236</v>
      </c>
      <c r="B1899" t="n">
        <v>1.466</v>
      </c>
      <c r="C1899" t="n">
        <v>1.4908</v>
      </c>
    </row>
    <row r="1900">
      <c r="A1900" t="n">
        <v>1.416</v>
      </c>
      <c r="B1900" t="n">
        <v>1.6001</v>
      </c>
      <c r="C1900" t="n">
        <v>1.4362</v>
      </c>
    </row>
    <row r="1901">
      <c r="A1901" t="n">
        <v>1.4124</v>
      </c>
      <c r="B1901" t="n">
        <v>1.8171</v>
      </c>
      <c r="C1901" t="n">
        <v>1.4192</v>
      </c>
    </row>
    <row r="1902">
      <c r="A1902" t="n">
        <v>1.4382</v>
      </c>
      <c r="B1902" t="n">
        <v>1.4972</v>
      </c>
      <c r="C1902" t="n">
        <v>1.7986</v>
      </c>
    </row>
    <row r="1903">
      <c r="A1903" t="n">
        <v>1.4563</v>
      </c>
      <c r="B1903" t="n">
        <v>1.4173</v>
      </c>
      <c r="C1903" t="n">
        <v>1.7077</v>
      </c>
    </row>
    <row r="1904">
      <c r="A1904" t="n">
        <v>1.6472</v>
      </c>
      <c r="B1904" t="n">
        <v>1.4847</v>
      </c>
      <c r="C1904" t="n">
        <v>1.4962</v>
      </c>
    </row>
    <row r="1905">
      <c r="A1905" t="n">
        <v>1.7583</v>
      </c>
      <c r="B1905" t="n">
        <v>1.6925</v>
      </c>
      <c r="C1905" t="n">
        <v>1.791</v>
      </c>
    </row>
    <row r="1906">
      <c r="A1906" t="n">
        <v>1.4824</v>
      </c>
      <c r="B1906" t="n">
        <v>2.0869</v>
      </c>
      <c r="C1906" t="n">
        <v>1.6842</v>
      </c>
    </row>
    <row r="1907">
      <c r="A1907" t="n">
        <v>1.4359</v>
      </c>
      <c r="B1907" t="n">
        <v>1.7181</v>
      </c>
      <c r="C1907" t="n">
        <v>1.4605</v>
      </c>
    </row>
    <row r="1908">
      <c r="A1908" t="n">
        <v>1.4269</v>
      </c>
      <c r="B1908" t="n">
        <v>1.5341</v>
      </c>
      <c r="C1908" t="n">
        <v>1.4236</v>
      </c>
    </row>
    <row r="1909">
      <c r="A1909" t="n">
        <v>1.6235</v>
      </c>
      <c r="B1909" t="n">
        <v>1.6766</v>
      </c>
      <c r="C1909" t="n">
        <v>1.4214</v>
      </c>
    </row>
    <row r="1910">
      <c r="A1910" t="n">
        <v>1.5243</v>
      </c>
      <c r="B1910" t="n">
        <v>1.5078</v>
      </c>
      <c r="C1910" t="n">
        <v>1.4083</v>
      </c>
    </row>
    <row r="1911">
      <c r="A1911" t="n">
        <v>1.6261</v>
      </c>
      <c r="B1911" t="n">
        <v>1.5007</v>
      </c>
      <c r="C1911" t="n">
        <v>1.4202</v>
      </c>
    </row>
    <row r="1912">
      <c r="A1912" t="n">
        <v>1.4874</v>
      </c>
      <c r="B1912" t="n">
        <v>1.6169</v>
      </c>
      <c r="C1912" t="n">
        <v>1.5459</v>
      </c>
    </row>
    <row r="1913">
      <c r="A1913" t="n">
        <v>1.4489</v>
      </c>
      <c r="B1913" t="n">
        <v>1.533</v>
      </c>
      <c r="C1913" t="n">
        <v>1.9965</v>
      </c>
    </row>
    <row r="1914">
      <c r="A1914" t="n">
        <v>1.383</v>
      </c>
      <c r="B1914" t="n">
        <v>1.6368</v>
      </c>
      <c r="C1914" t="n">
        <v>1.991</v>
      </c>
    </row>
    <row r="1915">
      <c r="A1915" t="n">
        <v>1.3905</v>
      </c>
      <c r="B1915" t="n">
        <v>1.4818</v>
      </c>
      <c r="C1915" t="n">
        <v>2.0227</v>
      </c>
    </row>
    <row r="1916">
      <c r="A1916" t="n">
        <v>1.4683</v>
      </c>
      <c r="B1916" t="n">
        <v>1.4517</v>
      </c>
      <c r="C1916" t="n">
        <v>2.0016</v>
      </c>
    </row>
    <row r="1917">
      <c r="A1917" t="n">
        <v>1.4193</v>
      </c>
      <c r="B1917" t="n">
        <v>1.3935</v>
      </c>
      <c r="C1917" t="n">
        <v>1.868</v>
      </c>
    </row>
    <row r="1918">
      <c r="A1918" t="n">
        <v>1.491</v>
      </c>
      <c r="B1918" t="n">
        <v>1.4273</v>
      </c>
      <c r="C1918" t="n">
        <v>1.5191</v>
      </c>
    </row>
    <row r="1919">
      <c r="A1919" t="n">
        <v>1.6435</v>
      </c>
      <c r="B1919" t="n">
        <v>1.4382</v>
      </c>
      <c r="C1919" t="n">
        <v>1.5232</v>
      </c>
    </row>
    <row r="1920">
      <c r="A1920" t="n">
        <v>1.4804</v>
      </c>
      <c r="B1920" t="n">
        <v>1.6672</v>
      </c>
      <c r="C1920" t="n">
        <v>1.464</v>
      </c>
    </row>
    <row r="1921">
      <c r="A1921" t="n">
        <v>1.4118</v>
      </c>
      <c r="B1921" t="n">
        <v>1.6682</v>
      </c>
      <c r="C1921" t="n">
        <v>1.4508</v>
      </c>
    </row>
    <row r="1922">
      <c r="A1922" t="n">
        <v>1.7352</v>
      </c>
      <c r="B1922" t="n">
        <v>1.503</v>
      </c>
      <c r="C1922" t="n">
        <v>1.7943</v>
      </c>
    </row>
    <row r="1923">
      <c r="A1923" t="n">
        <v>1.4756</v>
      </c>
      <c r="B1923" t="n">
        <v>1.4584</v>
      </c>
      <c r="C1923" t="n">
        <v>1.4843</v>
      </c>
    </row>
    <row r="1924">
      <c r="A1924" t="n">
        <v>1.6047</v>
      </c>
      <c r="B1924" t="n">
        <v>1.4339</v>
      </c>
      <c r="C1924" t="n">
        <v>1.4742</v>
      </c>
    </row>
    <row r="1925">
      <c r="A1925" t="n">
        <v>1.5258</v>
      </c>
      <c r="B1925" t="n">
        <v>1.6474</v>
      </c>
      <c r="C1925" t="n">
        <v>1.5469</v>
      </c>
    </row>
    <row r="1926">
      <c r="A1926" t="n">
        <v>1.4169</v>
      </c>
      <c r="B1926" t="n">
        <v>1.6702</v>
      </c>
      <c r="C1926" t="n">
        <v>1.484</v>
      </c>
    </row>
    <row r="1927">
      <c r="A1927" t="n">
        <v>1.4165</v>
      </c>
      <c r="B1927" t="n">
        <v>1.4792</v>
      </c>
      <c r="C1927" t="n">
        <v>1.7388</v>
      </c>
    </row>
    <row r="1928">
      <c r="A1928" t="n">
        <v>1.4244</v>
      </c>
      <c r="B1928" t="n">
        <v>1.4604</v>
      </c>
      <c r="C1928" t="n">
        <v>1.4992</v>
      </c>
    </row>
    <row r="1929">
      <c r="A1929" t="n">
        <v>1.4238</v>
      </c>
      <c r="B1929" t="n">
        <v>1.4465</v>
      </c>
      <c r="C1929" t="n">
        <v>1.4548</v>
      </c>
    </row>
    <row r="1930">
      <c r="A1930" t="n">
        <v>1.5904</v>
      </c>
      <c r="B1930" t="n">
        <v>1.587</v>
      </c>
      <c r="C1930" t="n">
        <v>1.448</v>
      </c>
    </row>
    <row r="1931">
      <c r="A1931" t="n">
        <v>1.5871</v>
      </c>
      <c r="B1931" t="n">
        <v>1.527</v>
      </c>
      <c r="C1931" t="n">
        <v>1.657</v>
      </c>
    </row>
    <row r="1932">
      <c r="A1932" t="n">
        <v>1.4342</v>
      </c>
      <c r="B1932" t="n">
        <v>1.6463</v>
      </c>
      <c r="C1932" t="n">
        <v>1.7099</v>
      </c>
    </row>
    <row r="1933">
      <c r="A1933" t="n">
        <v>1.4023</v>
      </c>
      <c r="B1933" t="n">
        <v>1.4765</v>
      </c>
      <c r="C1933" t="n">
        <v>1.4627</v>
      </c>
    </row>
    <row r="1934">
      <c r="A1934" t="n">
        <v>1.3948</v>
      </c>
      <c r="B1934" t="n">
        <v>1.436</v>
      </c>
      <c r="C1934" t="n">
        <v>1.4836</v>
      </c>
    </row>
    <row r="1935">
      <c r="A1935" t="n">
        <v>1.4203</v>
      </c>
      <c r="B1935" t="n">
        <v>1.4221</v>
      </c>
      <c r="C1935" t="n">
        <v>1.4646</v>
      </c>
    </row>
    <row r="1936">
      <c r="A1936" t="n">
        <v>1.439</v>
      </c>
      <c r="B1936" t="n">
        <v>1.4129</v>
      </c>
      <c r="C1936" t="n">
        <v>1.611</v>
      </c>
    </row>
    <row r="1937">
      <c r="A1937" t="n">
        <v>1.4279</v>
      </c>
      <c r="B1937" t="n">
        <v>1.4188</v>
      </c>
      <c r="C1937" t="n">
        <v>1.8048</v>
      </c>
    </row>
    <row r="1938">
      <c r="A1938" t="n">
        <v>1.6311</v>
      </c>
      <c r="B1938" t="n">
        <v>1.9729</v>
      </c>
      <c r="C1938" t="n">
        <v>1.5019</v>
      </c>
    </row>
    <row r="1939">
      <c r="A1939" t="n">
        <v>1.5193</v>
      </c>
      <c r="B1939" t="n">
        <v>1.7692</v>
      </c>
      <c r="C1939" t="n">
        <v>1.4392</v>
      </c>
    </row>
    <row r="1940">
      <c r="A1940" t="n">
        <v>1.6432</v>
      </c>
      <c r="B1940" t="n">
        <v>1.8298</v>
      </c>
      <c r="C1940" t="n">
        <v>1.4511</v>
      </c>
    </row>
    <row r="1941">
      <c r="A1941" t="n">
        <v>1.4879</v>
      </c>
      <c r="B1941" t="n">
        <v>1.72</v>
      </c>
      <c r="C1941" t="n">
        <v>1.6535</v>
      </c>
    </row>
    <row r="1942">
      <c r="A1942" t="n">
        <v>1.4281</v>
      </c>
      <c r="B1942" t="n">
        <v>1.4729</v>
      </c>
      <c r="C1942" t="n">
        <v>1.5315</v>
      </c>
    </row>
    <row r="1943">
      <c r="A1943" t="n">
        <v>1.3933</v>
      </c>
      <c r="B1943" t="n">
        <v>1.4605</v>
      </c>
      <c r="C1943" t="n">
        <v>1.5092</v>
      </c>
    </row>
    <row r="1944">
      <c r="A1944" t="n">
        <v>1.4084</v>
      </c>
      <c r="B1944" t="n">
        <v>1.4485</v>
      </c>
      <c r="C1944" t="n">
        <v>1.4559</v>
      </c>
    </row>
    <row r="1945">
      <c r="A1945" t="n">
        <v>1.4352</v>
      </c>
      <c r="B1945" t="n">
        <v>1.6013</v>
      </c>
      <c r="C1945" t="n">
        <v>1.4065</v>
      </c>
    </row>
    <row r="1946">
      <c r="A1946" t="n">
        <v>1.6368</v>
      </c>
      <c r="B1946" t="n">
        <v>1.5553</v>
      </c>
      <c r="C1946" t="n">
        <v>1.4381</v>
      </c>
    </row>
    <row r="1947">
      <c r="A1947" t="n">
        <v>1.7317</v>
      </c>
      <c r="B1947" t="n">
        <v>1.4432</v>
      </c>
      <c r="C1947" t="n">
        <v>1.444</v>
      </c>
    </row>
    <row r="1948">
      <c r="A1948" t="n">
        <v>1.4594</v>
      </c>
      <c r="B1948" t="n">
        <v>1.4268</v>
      </c>
      <c r="C1948" t="n">
        <v>1.4507</v>
      </c>
    </row>
    <row r="1949">
      <c r="A1949" t="n">
        <v>1.4497</v>
      </c>
      <c r="B1949" t="n">
        <v>1.3961</v>
      </c>
      <c r="C1949" t="n">
        <v>1.665</v>
      </c>
    </row>
    <row r="1950">
      <c r="A1950" t="n">
        <v>1.45</v>
      </c>
      <c r="B1950" t="n">
        <v>1.4282</v>
      </c>
      <c r="C1950" t="n">
        <v>1.7285</v>
      </c>
    </row>
    <row r="1951">
      <c r="A1951" t="n">
        <v>1.615</v>
      </c>
      <c r="B1951" t="n">
        <v>1.4409</v>
      </c>
      <c r="C1951" t="n">
        <v>1.4688</v>
      </c>
    </row>
    <row r="1952">
      <c r="A1952" t="n">
        <v>1.8456</v>
      </c>
      <c r="B1952" t="n">
        <v>1.4304</v>
      </c>
      <c r="C1952" t="n">
        <v>1.4611</v>
      </c>
    </row>
    <row r="1953">
      <c r="A1953" t="n">
        <v>1.4681</v>
      </c>
      <c r="B1953" t="n">
        <v>1.5978</v>
      </c>
      <c r="C1953" t="n">
        <v>1.4723</v>
      </c>
    </row>
    <row r="1954">
      <c r="A1954" t="n">
        <v>1.7421</v>
      </c>
      <c r="B1954" t="n">
        <v>1.48</v>
      </c>
      <c r="C1954" t="n">
        <v>1.9599</v>
      </c>
    </row>
    <row r="1955">
      <c r="A1955" t="n">
        <v>1.6144</v>
      </c>
      <c r="B1955" t="n">
        <v>1.6515</v>
      </c>
      <c r="C1955" t="n">
        <v>1.7457</v>
      </c>
    </row>
    <row r="1956">
      <c r="A1956" t="n">
        <v>1.5002</v>
      </c>
      <c r="B1956" t="n">
        <v>1.4798</v>
      </c>
      <c r="C1956" t="n">
        <v>1.7004</v>
      </c>
    </row>
    <row r="1957">
      <c r="A1957" t="n">
        <v>1.6418</v>
      </c>
      <c r="B1957" t="n">
        <v>1.4399</v>
      </c>
      <c r="C1957" t="n">
        <v>1.5169</v>
      </c>
    </row>
    <row r="1958">
      <c r="A1958" t="n">
        <v>1.6828</v>
      </c>
      <c r="B1958" t="n">
        <v>1.6883</v>
      </c>
      <c r="C1958" t="n">
        <v>1.7005</v>
      </c>
    </row>
    <row r="1959">
      <c r="A1959" t="n">
        <v>1.5168</v>
      </c>
      <c r="B1959" t="n">
        <v>1.5542</v>
      </c>
      <c r="C1959" t="n">
        <v>1.7298</v>
      </c>
    </row>
    <row r="1960">
      <c r="A1960" t="n">
        <v>1.6136</v>
      </c>
      <c r="B1960" t="n">
        <v>1.6475</v>
      </c>
      <c r="C1960" t="n">
        <v>1.4973</v>
      </c>
    </row>
    <row r="1961">
      <c r="A1961" t="n">
        <v>1.4928</v>
      </c>
      <c r="B1961" t="n">
        <v>1.4957</v>
      </c>
      <c r="C1961" t="n">
        <v>1.6806</v>
      </c>
    </row>
    <row r="1962">
      <c r="A1962" t="n">
        <v>1.4471</v>
      </c>
      <c r="B1962" t="n">
        <v>1.4603</v>
      </c>
      <c r="C1962" t="n">
        <v>1.7158</v>
      </c>
    </row>
    <row r="1963">
      <c r="A1963" t="n">
        <v>1.4349</v>
      </c>
      <c r="B1963" t="n">
        <v>1.372</v>
      </c>
      <c r="C1963" t="n">
        <v>1.5139</v>
      </c>
    </row>
    <row r="1964">
      <c r="A1964" t="n">
        <v>1.449</v>
      </c>
      <c r="B1964" t="n">
        <v>1.4324</v>
      </c>
      <c r="C1964" t="n">
        <v>1.6649</v>
      </c>
    </row>
    <row r="1965">
      <c r="A1965" t="n">
        <v>1.4371</v>
      </c>
      <c r="B1965" t="n">
        <v>1.4291</v>
      </c>
      <c r="C1965" t="n">
        <v>1.6455</v>
      </c>
    </row>
    <row r="1966">
      <c r="A1966" t="n">
        <v>1.6035</v>
      </c>
      <c r="B1966" t="n">
        <v>1.4087</v>
      </c>
      <c r="C1966" t="n">
        <v>1.4778</v>
      </c>
    </row>
    <row r="1967">
      <c r="A1967" t="n">
        <v>1.7318</v>
      </c>
      <c r="B1967" t="n">
        <v>1.4715</v>
      </c>
      <c r="C1967" t="n">
        <v>1.664</v>
      </c>
    </row>
    <row r="1968">
      <c r="A1968" t="n">
        <v>1.4937</v>
      </c>
      <c r="B1968" t="n">
        <v>1.6361</v>
      </c>
      <c r="C1968" t="n">
        <v>1.6676</v>
      </c>
    </row>
    <row r="1969">
      <c r="A1969" t="n">
        <v>1.43</v>
      </c>
      <c r="B1969" t="n">
        <v>1.4696</v>
      </c>
      <c r="C1969" t="n">
        <v>1.5161</v>
      </c>
    </row>
    <row r="1970">
      <c r="A1970" t="n">
        <v>1.4432</v>
      </c>
      <c r="B1970" t="n">
        <v>1.7592</v>
      </c>
      <c r="C1970" t="n">
        <v>1.6535</v>
      </c>
    </row>
    <row r="1971">
      <c r="A1971" t="n">
        <v>1.6027</v>
      </c>
      <c r="B1971" t="n">
        <v>1.698</v>
      </c>
      <c r="C1971" t="n">
        <v>1.5212</v>
      </c>
    </row>
    <row r="1972">
      <c r="A1972" t="n">
        <v>1.5078</v>
      </c>
      <c r="B1972" t="n">
        <v>1.6683</v>
      </c>
      <c r="C1972" t="n">
        <v>1.4398</v>
      </c>
    </row>
    <row r="1973">
      <c r="A1973" t="n">
        <v>1.6484</v>
      </c>
      <c r="B1973" t="n">
        <v>1.4822</v>
      </c>
      <c r="C1973" t="n">
        <v>1.4218</v>
      </c>
    </row>
    <row r="1974">
      <c r="A1974" t="n">
        <v>1.4767</v>
      </c>
      <c r="B1974" t="n">
        <v>1.4664</v>
      </c>
      <c r="C1974" t="n">
        <v>1.4296</v>
      </c>
    </row>
    <row r="1975">
      <c r="A1975" t="n">
        <v>1.4329</v>
      </c>
      <c r="B1975" t="n">
        <v>1.4232</v>
      </c>
      <c r="C1975" t="n">
        <v>1.4265</v>
      </c>
    </row>
    <row r="1976">
      <c r="A1976" t="n">
        <v>1.4033</v>
      </c>
      <c r="B1976" t="n">
        <v>1.6271</v>
      </c>
      <c r="C1976" t="n">
        <v>1.7055</v>
      </c>
    </row>
    <row r="1977">
      <c r="A1977" t="n">
        <v>1.4085</v>
      </c>
      <c r="B1977" t="n">
        <v>1.8444</v>
      </c>
      <c r="C1977" t="n">
        <v>1.7246</v>
      </c>
    </row>
    <row r="1978">
      <c r="A1978" t="n">
        <v>1.4147</v>
      </c>
      <c r="B1978" t="n">
        <v>1.4585</v>
      </c>
      <c r="C1978" t="n">
        <v>1.748</v>
      </c>
    </row>
    <row r="1979">
      <c r="A1979" t="n">
        <v>1.6408</v>
      </c>
      <c r="B1979" t="n">
        <v>1.4528</v>
      </c>
      <c r="C1979" t="n">
        <v>1.5274</v>
      </c>
    </row>
    <row r="1980">
      <c r="A1980" t="n">
        <v>1.745</v>
      </c>
      <c r="B1980" t="n">
        <v>1.4317</v>
      </c>
      <c r="C1980" t="n">
        <v>1.6241</v>
      </c>
    </row>
    <row r="1981">
      <c r="A1981" t="n">
        <v>1.4906</v>
      </c>
      <c r="B1981" t="n">
        <v>1.6017</v>
      </c>
      <c r="C1981" t="n">
        <v>1.4974</v>
      </c>
    </row>
    <row r="1982">
      <c r="A1982" t="n">
        <v>1.4403</v>
      </c>
      <c r="B1982" t="n">
        <v>1.53</v>
      </c>
      <c r="C1982" t="n">
        <v>1.4299</v>
      </c>
    </row>
    <row r="1983">
      <c r="A1983" t="n">
        <v>1.4538</v>
      </c>
      <c r="B1983" t="n">
        <v>1.659</v>
      </c>
      <c r="C1983" t="n">
        <v>1.4452</v>
      </c>
    </row>
    <row r="1984">
      <c r="A1984" t="n">
        <v>1.5731</v>
      </c>
      <c r="B1984" t="n">
        <v>1.4615</v>
      </c>
      <c r="C1984" t="n">
        <v>1.4331</v>
      </c>
    </row>
    <row r="1985">
      <c r="A1985" t="n">
        <v>1.5488</v>
      </c>
      <c r="B1985" t="n">
        <v>1.4345</v>
      </c>
      <c r="C1985" t="n">
        <v>1.4911</v>
      </c>
    </row>
    <row r="1986">
      <c r="A1986" t="n">
        <v>1.9866</v>
      </c>
      <c r="B1986" t="n">
        <v>1.4049</v>
      </c>
      <c r="C1986" t="n">
        <v>1.9879</v>
      </c>
    </row>
    <row r="1987">
      <c r="A1987" t="n">
        <v>1.7317</v>
      </c>
      <c r="B1987" t="n">
        <v>1.4143</v>
      </c>
      <c r="C1987" t="n">
        <v>1.7126</v>
      </c>
    </row>
    <row r="1988">
      <c r="A1988" t="n">
        <v>1.6962</v>
      </c>
      <c r="B1988" t="n">
        <v>1.4393</v>
      </c>
      <c r="C1988" t="n">
        <v>1.675</v>
      </c>
    </row>
    <row r="1989">
      <c r="A1989" t="n">
        <v>1.4785</v>
      </c>
      <c r="B1989" t="n">
        <v>1.7015</v>
      </c>
      <c r="C1989" t="n">
        <v>1.6069</v>
      </c>
    </row>
    <row r="1990">
      <c r="A1990" t="n">
        <v>1.3914</v>
      </c>
      <c r="B1990" t="n">
        <v>1.7186</v>
      </c>
      <c r="C1990" t="n">
        <v>1.4105</v>
      </c>
    </row>
    <row r="1991">
      <c r="A1991" t="n">
        <v>1.443</v>
      </c>
      <c r="B1991" t="n">
        <v>1.4875</v>
      </c>
      <c r="C1991" t="n">
        <v>1.4466</v>
      </c>
    </row>
    <row r="1992">
      <c r="A1992" t="n">
        <v>1.4384</v>
      </c>
      <c r="B1992" t="n">
        <v>1.6524</v>
      </c>
      <c r="C1992" t="n">
        <v>1.411</v>
      </c>
    </row>
    <row r="1993">
      <c r="A1993" t="n">
        <v>1.4525</v>
      </c>
      <c r="B1993" t="n">
        <v>1.6705</v>
      </c>
      <c r="C1993" t="n">
        <v>1.4328</v>
      </c>
    </row>
    <row r="1994">
      <c r="A1994" t="n">
        <v>1.6254</v>
      </c>
      <c r="B1994" t="n">
        <v>1.5385</v>
      </c>
      <c r="C1994" t="n">
        <v>1.4598</v>
      </c>
    </row>
    <row r="1995">
      <c r="A1995" t="n">
        <v>1.6946</v>
      </c>
      <c r="B1995" t="n">
        <v>1.4526</v>
      </c>
      <c r="C1995" t="n">
        <v>1.4683</v>
      </c>
    </row>
    <row r="1996">
      <c r="A1996" t="n">
        <v>1.4533</v>
      </c>
      <c r="B1996" t="n">
        <v>1.3978</v>
      </c>
      <c r="C1996" t="n">
        <v>1.6278</v>
      </c>
    </row>
    <row r="1997">
      <c r="A1997" t="n">
        <v>1.4318</v>
      </c>
      <c r="B1997" t="n">
        <v>1.4346</v>
      </c>
      <c r="C1997" t="n">
        <v>1.7325</v>
      </c>
    </row>
    <row r="1998">
      <c r="A1998" t="n">
        <v>1.4445</v>
      </c>
      <c r="B1998" t="n">
        <v>1.4116</v>
      </c>
      <c r="C1998" t="n">
        <v>1.5059</v>
      </c>
    </row>
    <row r="1999">
      <c r="A1999" t="n">
        <v>1.6027</v>
      </c>
      <c r="B1999" t="n">
        <v>1.6464</v>
      </c>
      <c r="C1999" t="n">
        <v>1.4366</v>
      </c>
    </row>
    <row r="2000">
      <c r="A2000" t="n">
        <v>1.5022</v>
      </c>
      <c r="B2000" t="n">
        <v>1.5863</v>
      </c>
      <c r="C2000" t="n">
        <v>1.4487</v>
      </c>
    </row>
    <row r="2001">
      <c r="A2001" t="n">
        <v>1.6255</v>
      </c>
      <c r="B2001" t="n">
        <v>1.4203</v>
      </c>
      <c r="C2001" t="n">
        <v>1.6865</v>
      </c>
    </row>
    <row r="2002">
      <c r="A2002" t="n">
        <v>3.9913</v>
      </c>
      <c r="B2002" t="n">
        <v>3.9946</v>
      </c>
      <c r="C2002" t="n">
        <v>4.9538</v>
      </c>
    </row>
    <row r="2003">
      <c r="A2003" t="n">
        <v>1.6806</v>
      </c>
      <c r="B2003" t="n">
        <v>1.63</v>
      </c>
      <c r="C2003" t="n">
        <v>2.1294</v>
      </c>
    </row>
    <row r="2004">
      <c r="A2004" t="n">
        <v>1.5408</v>
      </c>
      <c r="B2004" t="n">
        <v>1.5752</v>
      </c>
      <c r="C2004" t="n">
        <v>2.0629</v>
      </c>
    </row>
    <row r="2005">
      <c r="A2005" t="n">
        <v>1.4757</v>
      </c>
      <c r="B2005" t="n">
        <v>1.4782</v>
      </c>
      <c r="C2005" t="n">
        <v>2.1579</v>
      </c>
    </row>
    <row r="2006">
      <c r="A2006" t="n">
        <v>1.5359</v>
      </c>
      <c r="B2006" t="n">
        <v>1.5585</v>
      </c>
      <c r="C2006" t="n">
        <v>2.2838</v>
      </c>
    </row>
    <row r="2007">
      <c r="A2007" t="n">
        <v>1.4684</v>
      </c>
      <c r="B2007" t="n">
        <v>1.8699</v>
      </c>
      <c r="C2007" t="n">
        <v>1.9633</v>
      </c>
    </row>
    <row r="2008">
      <c r="A2008" t="n">
        <v>1.53</v>
      </c>
      <c r="B2008" t="n">
        <v>1.7802</v>
      </c>
      <c r="C2008" t="n">
        <v>1.6377</v>
      </c>
    </row>
    <row r="2009">
      <c r="A2009" t="n">
        <v>1.7651</v>
      </c>
      <c r="B2009" t="n">
        <v>1.7621</v>
      </c>
      <c r="C2009" t="n">
        <v>1.5179</v>
      </c>
    </row>
    <row r="2010">
      <c r="A2010" t="n">
        <v>1.7386</v>
      </c>
      <c r="B2010" t="n">
        <v>1.8174</v>
      </c>
      <c r="C2010" t="n">
        <v>1.499</v>
      </c>
    </row>
    <row r="2011">
      <c r="A2011" t="n">
        <v>1.8244</v>
      </c>
      <c r="B2011" t="n">
        <v>1.5858</v>
      </c>
      <c r="C2011" t="n">
        <v>1.5259</v>
      </c>
    </row>
    <row r="2012">
      <c r="A2012" t="n">
        <v>1.5319</v>
      </c>
      <c r="B2012" t="n">
        <v>1.763</v>
      </c>
      <c r="C2012" t="n">
        <v>1.5468</v>
      </c>
    </row>
    <row r="2013">
      <c r="A2013" t="n">
        <v>1.5063</v>
      </c>
      <c r="B2013" t="n">
        <v>1.5288</v>
      </c>
      <c r="C2013" t="n">
        <v>1.4961</v>
      </c>
    </row>
    <row r="2014">
      <c r="A2014" t="n">
        <v>1.444</v>
      </c>
      <c r="B2014" t="n">
        <v>1.4666</v>
      </c>
      <c r="C2014" t="n">
        <v>1.4769</v>
      </c>
    </row>
    <row r="2015">
      <c r="A2015" t="n">
        <v>1.7207</v>
      </c>
      <c r="B2015" t="n">
        <v>1.7264</v>
      </c>
      <c r="C2015" t="n">
        <v>1.4973</v>
      </c>
    </row>
    <row r="2016">
      <c r="A2016" t="n">
        <v>1.7476</v>
      </c>
      <c r="B2016" t="n">
        <v>1.7544</v>
      </c>
      <c r="C2016" t="n">
        <v>1.4874</v>
      </c>
    </row>
    <row r="2017">
      <c r="A2017" t="n">
        <v>1.5796</v>
      </c>
      <c r="B2017" t="n">
        <v>1.5055</v>
      </c>
      <c r="C2017" t="n">
        <v>1.5007</v>
      </c>
    </row>
    <row r="2018">
      <c r="A2018" t="n">
        <v>1.8294</v>
      </c>
      <c r="B2018" t="n">
        <v>1.8358</v>
      </c>
      <c r="C2018" t="n">
        <v>1.4859</v>
      </c>
    </row>
    <row r="2019">
      <c r="A2019" t="n">
        <v>1.6815</v>
      </c>
      <c r="B2019" t="n">
        <v>1.6648</v>
      </c>
      <c r="C2019" t="n">
        <v>1.5689</v>
      </c>
    </row>
    <row r="2020">
      <c r="A2020" t="n">
        <v>1.4804</v>
      </c>
      <c r="B2020" t="n">
        <v>1.541</v>
      </c>
      <c r="C2020" t="n">
        <v>1.6981</v>
      </c>
    </row>
    <row r="2021">
      <c r="A2021" t="n">
        <v>1.4643</v>
      </c>
      <c r="B2021" t="n">
        <v>1.4816</v>
      </c>
      <c r="C2021" t="n">
        <v>1.5259</v>
      </c>
    </row>
    <row r="2022">
      <c r="A2022" t="n">
        <v>1.4284</v>
      </c>
      <c r="B2022" t="n">
        <v>1.4504</v>
      </c>
      <c r="C2022" t="n">
        <v>1.4953</v>
      </c>
    </row>
    <row r="2023">
      <c r="A2023" t="n">
        <v>1.4646</v>
      </c>
      <c r="B2023" t="n">
        <v>1.4558</v>
      </c>
      <c r="C2023" t="n">
        <v>1.4407</v>
      </c>
    </row>
    <row r="2024">
      <c r="A2024" t="n">
        <v>1.44</v>
      </c>
      <c r="B2024" t="n">
        <v>1.4872</v>
      </c>
      <c r="C2024" t="n">
        <v>1.5002</v>
      </c>
    </row>
    <row r="2025">
      <c r="A2025" t="n">
        <v>1.4819</v>
      </c>
      <c r="B2025" t="n">
        <v>1.4986</v>
      </c>
      <c r="C2025" t="n">
        <v>1.725</v>
      </c>
    </row>
    <row r="2026">
      <c r="A2026" t="n">
        <v>1.7245</v>
      </c>
      <c r="B2026" t="n">
        <v>1.7089</v>
      </c>
      <c r="C2026" t="n">
        <v>1.5419</v>
      </c>
    </row>
    <row r="2027">
      <c r="A2027" t="n">
        <v>1.5595</v>
      </c>
      <c r="B2027" t="n">
        <v>1.5579</v>
      </c>
      <c r="C2027" t="n">
        <v>1.4772</v>
      </c>
    </row>
    <row r="2028">
      <c r="A2028" t="n">
        <v>1.4852</v>
      </c>
      <c r="B2028" t="n">
        <v>1.481</v>
      </c>
      <c r="C2028" t="n">
        <v>1.7242</v>
      </c>
    </row>
    <row r="2029">
      <c r="A2029" t="n">
        <v>1.4574</v>
      </c>
      <c r="B2029" t="n">
        <v>1.4509</v>
      </c>
      <c r="C2029" t="n">
        <v>1.5391</v>
      </c>
    </row>
    <row r="2030">
      <c r="A2030" t="n">
        <v>1.7139</v>
      </c>
      <c r="B2030" t="n">
        <v>1.7211</v>
      </c>
      <c r="C2030" t="n">
        <v>1.6771</v>
      </c>
    </row>
    <row r="2031">
      <c r="A2031" t="n">
        <v>1.7427</v>
      </c>
      <c r="B2031" t="n">
        <v>1.7742</v>
      </c>
      <c r="C2031" t="n">
        <v>1.5225</v>
      </c>
    </row>
    <row r="2032">
      <c r="A2032" t="n">
        <v>1.499</v>
      </c>
      <c r="B2032" t="n">
        <v>1.5009</v>
      </c>
      <c r="C2032" t="n">
        <v>1.4614</v>
      </c>
    </row>
    <row r="2033">
      <c r="A2033" t="n">
        <v>1.4804</v>
      </c>
      <c r="B2033" t="n">
        <v>1.5557</v>
      </c>
      <c r="C2033" t="n">
        <v>1.4375</v>
      </c>
    </row>
    <row r="2034">
      <c r="A2034" t="n">
        <v>1.4475</v>
      </c>
      <c r="B2034" t="n">
        <v>1.7702</v>
      </c>
      <c r="C2034" t="n">
        <v>1.7877</v>
      </c>
    </row>
    <row r="2035">
      <c r="A2035" t="n">
        <v>1.4017</v>
      </c>
      <c r="B2035" t="n">
        <v>1.5629</v>
      </c>
      <c r="C2035" t="n">
        <v>1.6938</v>
      </c>
    </row>
    <row r="2036">
      <c r="A2036" t="n">
        <v>1.4725</v>
      </c>
      <c r="B2036" t="n">
        <v>1.498</v>
      </c>
      <c r="C2036" t="n">
        <v>1.5446</v>
      </c>
    </row>
    <row r="2037">
      <c r="A2037" t="n">
        <v>1.6861</v>
      </c>
      <c r="B2037" t="n">
        <v>1.4478</v>
      </c>
      <c r="C2037" t="n">
        <v>1.4929</v>
      </c>
    </row>
    <row r="2038">
      <c r="A2038" t="n">
        <v>1.4908</v>
      </c>
      <c r="B2038" t="n">
        <v>1.4407</v>
      </c>
      <c r="C2038" t="n">
        <v>1.6415</v>
      </c>
    </row>
    <row r="2039">
      <c r="A2039" t="n">
        <v>1.4608</v>
      </c>
      <c r="B2039" t="n">
        <v>1.4733</v>
      </c>
      <c r="C2039" t="n">
        <v>1.8271</v>
      </c>
    </row>
    <row r="2040">
      <c r="A2040" t="n">
        <v>1.4078</v>
      </c>
      <c r="B2040" t="n">
        <v>1.4545</v>
      </c>
      <c r="C2040" t="n">
        <v>1.5066</v>
      </c>
    </row>
    <row r="2041">
      <c r="A2041" t="n">
        <v>1.4639</v>
      </c>
      <c r="B2041" t="n">
        <v>1.7966</v>
      </c>
      <c r="C2041" t="n">
        <v>1.4784</v>
      </c>
    </row>
    <row r="2042">
      <c r="A2042" t="n">
        <v>1.4169</v>
      </c>
      <c r="B2042" t="n">
        <v>1.5391</v>
      </c>
      <c r="C2042" t="n">
        <v>1.4685</v>
      </c>
    </row>
    <row r="2043">
      <c r="A2043" t="n">
        <v>1.409</v>
      </c>
      <c r="B2043" t="n">
        <v>1.4958</v>
      </c>
      <c r="C2043" t="n">
        <v>1.7272</v>
      </c>
    </row>
    <row r="2044">
      <c r="A2044" t="n">
        <v>1.5015</v>
      </c>
      <c r="B2044" t="n">
        <v>1.7399</v>
      </c>
      <c r="C2044" t="n">
        <v>1.7063</v>
      </c>
    </row>
    <row r="2045">
      <c r="A2045" t="n">
        <v>1.6745</v>
      </c>
      <c r="B2045" t="n">
        <v>1.5589</v>
      </c>
      <c r="C2045" t="n">
        <v>1.5181</v>
      </c>
    </row>
    <row r="2046">
      <c r="A2046" t="n">
        <v>1.4978</v>
      </c>
      <c r="B2046" t="n">
        <v>1.762</v>
      </c>
      <c r="C2046" t="n">
        <v>1.4611</v>
      </c>
    </row>
    <row r="2047">
      <c r="A2047" t="n">
        <v>1.4662</v>
      </c>
      <c r="B2047" t="n">
        <v>1.6979</v>
      </c>
      <c r="C2047" t="n">
        <v>1.4467</v>
      </c>
    </row>
    <row r="2048">
      <c r="A2048" t="n">
        <v>1.6399</v>
      </c>
      <c r="B2048" t="n">
        <v>1.8394</v>
      </c>
      <c r="C2048" t="n">
        <v>1.6607</v>
      </c>
    </row>
    <row r="2049">
      <c r="A2049" t="n">
        <v>1.8951</v>
      </c>
      <c r="B2049" t="n">
        <v>1.5156</v>
      </c>
      <c r="C2049" t="n">
        <v>1.7568</v>
      </c>
    </row>
    <row r="2050">
      <c r="A2050" t="n">
        <v>2.0509</v>
      </c>
      <c r="B2050" t="n">
        <v>1.7842</v>
      </c>
      <c r="C2050" t="n">
        <v>1.5083</v>
      </c>
    </row>
    <row r="2051">
      <c r="A2051" t="n">
        <v>1.7899</v>
      </c>
      <c r="B2051" t="n">
        <v>1.6955</v>
      </c>
      <c r="C2051" t="n">
        <v>1.463</v>
      </c>
    </row>
    <row r="2052">
      <c r="A2052" t="n">
        <v>1.4974</v>
      </c>
      <c r="B2052" t="n">
        <v>1.5418</v>
      </c>
      <c r="C2052" t="n">
        <v>1.4674</v>
      </c>
    </row>
    <row r="2053">
      <c r="A2053" t="n">
        <v>1.4635</v>
      </c>
      <c r="B2053" t="n">
        <v>1.4537</v>
      </c>
      <c r="C2053" t="n">
        <v>1.6799</v>
      </c>
    </row>
    <row r="2054">
      <c r="A2054" t="n">
        <v>1.4744</v>
      </c>
      <c r="B2054" t="n">
        <v>1.4531</v>
      </c>
      <c r="C2054" t="n">
        <v>1.7245</v>
      </c>
    </row>
    <row r="2055">
      <c r="A2055" t="n">
        <v>1.6493</v>
      </c>
      <c r="B2055" t="n">
        <v>1.456</v>
      </c>
      <c r="C2055" t="n">
        <v>1.5364</v>
      </c>
    </row>
    <row r="2056">
      <c r="A2056" t="n">
        <v>1.7473</v>
      </c>
      <c r="B2056" t="n">
        <v>1.4725</v>
      </c>
      <c r="C2056" t="n">
        <v>1.4581</v>
      </c>
    </row>
    <row r="2057">
      <c r="A2057" t="n">
        <v>1.4887</v>
      </c>
      <c r="B2057" t="n">
        <v>1.7639</v>
      </c>
      <c r="C2057" t="n">
        <v>1.454</v>
      </c>
    </row>
    <row r="2058">
      <c r="A2058" t="n">
        <v>1.4586</v>
      </c>
      <c r="B2058" t="n">
        <v>1.7644</v>
      </c>
      <c r="C2058" t="n">
        <v>1.684</v>
      </c>
    </row>
    <row r="2059">
      <c r="A2059" t="n">
        <v>1.4377</v>
      </c>
      <c r="B2059" t="n">
        <v>1.7489</v>
      </c>
      <c r="C2059" t="n">
        <v>1.6971</v>
      </c>
    </row>
    <row r="2060">
      <c r="A2060" t="n">
        <v>1.6288</v>
      </c>
      <c r="B2060" t="n">
        <v>1.5797</v>
      </c>
      <c r="C2060" t="n">
        <v>1.5154</v>
      </c>
    </row>
    <row r="2061">
      <c r="A2061" t="n">
        <v>1.5281</v>
      </c>
      <c r="B2061" t="n">
        <v>1.683</v>
      </c>
      <c r="C2061" t="n">
        <v>1.6933</v>
      </c>
    </row>
    <row r="2062">
      <c r="A2062" t="n">
        <v>1.4144</v>
      </c>
      <c r="B2062" t="n">
        <v>1.4874</v>
      </c>
      <c r="C2062" t="n">
        <v>1.7259</v>
      </c>
    </row>
    <row r="2063">
      <c r="A2063" t="n">
        <v>1.454</v>
      </c>
      <c r="B2063" t="n">
        <v>1.4741</v>
      </c>
      <c r="C2063" t="n">
        <v>1.5548</v>
      </c>
    </row>
    <row r="2064">
      <c r="A2064" t="n">
        <v>1.7219</v>
      </c>
      <c r="B2064" t="n">
        <v>1.6326</v>
      </c>
      <c r="C2064" t="n">
        <v>1.4392</v>
      </c>
    </row>
    <row r="2065">
      <c r="A2065" t="n">
        <v>1.6885</v>
      </c>
      <c r="B2065" t="n">
        <v>1.5544</v>
      </c>
      <c r="C2065" t="n">
        <v>1.4325</v>
      </c>
    </row>
    <row r="2066">
      <c r="A2066" t="n">
        <v>1.5511</v>
      </c>
      <c r="B2066" t="n">
        <v>1.6958</v>
      </c>
      <c r="C2066" t="n">
        <v>1.7648</v>
      </c>
    </row>
    <row r="2067">
      <c r="A2067" t="n">
        <v>1.6858</v>
      </c>
      <c r="B2067" t="n">
        <v>1.5146</v>
      </c>
      <c r="C2067" t="n">
        <v>1.6662</v>
      </c>
    </row>
    <row r="2068">
      <c r="A2068" t="n">
        <v>1.7429</v>
      </c>
      <c r="B2068" t="n">
        <v>1.4603</v>
      </c>
      <c r="C2068" t="n">
        <v>1.5131</v>
      </c>
    </row>
    <row r="2069">
      <c r="A2069" t="n">
        <v>1.8127</v>
      </c>
      <c r="B2069" t="n">
        <v>1.6621</v>
      </c>
      <c r="C2069" t="n">
        <v>1.4345</v>
      </c>
    </row>
    <row r="2070">
      <c r="A2070" t="n">
        <v>1.54</v>
      </c>
      <c r="B2070" t="n">
        <v>1.8282</v>
      </c>
      <c r="C2070" t="n">
        <v>1.4594</v>
      </c>
    </row>
    <row r="2071">
      <c r="A2071" t="n">
        <v>1.6678</v>
      </c>
      <c r="B2071" t="n">
        <v>1.4968</v>
      </c>
      <c r="C2071" t="n">
        <v>1.4304</v>
      </c>
    </row>
    <row r="2072">
      <c r="A2072" t="n">
        <v>1.7183</v>
      </c>
      <c r="B2072" t="n">
        <v>1.4965</v>
      </c>
      <c r="C2072" t="n">
        <v>1.4952</v>
      </c>
    </row>
    <row r="2073">
      <c r="A2073" t="n">
        <v>1.5479</v>
      </c>
      <c r="B2073" t="n">
        <v>1.489</v>
      </c>
      <c r="C2073" t="n">
        <v>1.7082</v>
      </c>
    </row>
    <row r="2074">
      <c r="A2074" t="n">
        <v>1.6421</v>
      </c>
      <c r="B2074" t="n">
        <v>1.6937</v>
      </c>
      <c r="C2074" t="n">
        <v>1.7171</v>
      </c>
    </row>
    <row r="2075">
      <c r="A2075" t="n">
        <v>1.4979</v>
      </c>
      <c r="B2075" t="n">
        <v>1.797</v>
      </c>
      <c r="C2075" t="n">
        <v>1.5063</v>
      </c>
    </row>
    <row r="2076">
      <c r="A2076" t="n">
        <v>1.4794</v>
      </c>
      <c r="B2076" t="n">
        <v>1.7863</v>
      </c>
      <c r="C2076" t="n">
        <v>1.4714</v>
      </c>
    </row>
    <row r="2077">
      <c r="A2077" t="n">
        <v>1.62</v>
      </c>
      <c r="B2077" t="n">
        <v>1.5382</v>
      </c>
      <c r="C2077" t="n">
        <v>1.45</v>
      </c>
    </row>
    <row r="2078">
      <c r="A2078" t="n">
        <v>1.5263</v>
      </c>
      <c r="B2078" t="n">
        <v>1.7416</v>
      </c>
      <c r="C2078" t="n">
        <v>1.6938</v>
      </c>
    </row>
    <row r="2079">
      <c r="A2079" t="n">
        <v>1.6926</v>
      </c>
      <c r="B2079" t="n">
        <v>1.5095</v>
      </c>
      <c r="C2079" t="n">
        <v>1.7187</v>
      </c>
    </row>
    <row r="2080">
      <c r="A2080" t="n">
        <v>1.4899</v>
      </c>
      <c r="B2080" t="n">
        <v>1.4718</v>
      </c>
      <c r="C2080" t="n">
        <v>1.5064</v>
      </c>
    </row>
    <row r="2081">
      <c r="A2081" t="n">
        <v>1.4683</v>
      </c>
      <c r="B2081" t="n">
        <v>1.7022</v>
      </c>
      <c r="C2081" t="n">
        <v>1.6875</v>
      </c>
    </row>
    <row r="2082">
      <c r="A2082" t="n">
        <v>1.7355</v>
      </c>
      <c r="B2082" t="n">
        <v>2.1215</v>
      </c>
      <c r="C2082" t="n">
        <v>1.6831</v>
      </c>
    </row>
    <row r="2083">
      <c r="A2083" t="n">
        <v>1.4636</v>
      </c>
      <c r="B2083" t="n">
        <v>1.6973</v>
      </c>
      <c r="C2083" t="n">
        <v>1.5093</v>
      </c>
    </row>
    <row r="2084">
      <c r="A2084" t="n">
        <v>1.6643</v>
      </c>
      <c r="B2084" t="n">
        <v>1.5623</v>
      </c>
      <c r="C2084" t="n">
        <v>1.4718</v>
      </c>
    </row>
    <row r="2085">
      <c r="A2085" t="n">
        <v>1.5377</v>
      </c>
      <c r="B2085" t="n">
        <v>1.6903</v>
      </c>
      <c r="C2085" t="n">
        <v>1.4582</v>
      </c>
    </row>
    <row r="2086">
      <c r="A2086" t="n">
        <v>1.4539</v>
      </c>
      <c r="B2086" t="n">
        <v>1.4884</v>
      </c>
      <c r="C2086" t="n">
        <v>1.4279</v>
      </c>
    </row>
    <row r="2087">
      <c r="A2087" t="n">
        <v>1.4116</v>
      </c>
      <c r="B2087" t="n">
        <v>1.4909</v>
      </c>
      <c r="C2087" t="n">
        <v>1.5073</v>
      </c>
    </row>
    <row r="2088">
      <c r="A2088" t="n">
        <v>1.5046</v>
      </c>
      <c r="B2088" t="n">
        <v>1.6666</v>
      </c>
      <c r="C2088" t="n">
        <v>1.7277</v>
      </c>
    </row>
    <row r="2089">
      <c r="A2089" t="n">
        <v>1.4427</v>
      </c>
      <c r="B2089" t="n">
        <v>1.5838</v>
      </c>
      <c r="C2089" t="n">
        <v>1.7034</v>
      </c>
    </row>
    <row r="2090">
      <c r="A2090" t="n">
        <v>1.47</v>
      </c>
      <c r="B2090" t="n">
        <v>1.4939</v>
      </c>
      <c r="C2090" t="n">
        <v>1.5288</v>
      </c>
    </row>
    <row r="2091">
      <c r="A2091" t="n">
        <v>1.7491</v>
      </c>
      <c r="B2091" t="n">
        <v>1.4437</v>
      </c>
      <c r="C2091" t="n">
        <v>1.6982</v>
      </c>
    </row>
    <row r="2092">
      <c r="A2092" t="n">
        <v>1.4817</v>
      </c>
      <c r="B2092" t="n">
        <v>1.4348</v>
      </c>
      <c r="C2092" t="n">
        <v>1.6924</v>
      </c>
    </row>
    <row r="2093">
      <c r="A2093" t="n">
        <v>1.4747</v>
      </c>
      <c r="B2093" t="n">
        <v>1.4431</v>
      </c>
      <c r="C2093" t="n">
        <v>1.567</v>
      </c>
    </row>
    <row r="2094">
      <c r="A2094" t="n">
        <v>1.4416</v>
      </c>
      <c r="B2094" t="n">
        <v>1.4617</v>
      </c>
      <c r="C2094" t="n">
        <v>1.4405</v>
      </c>
    </row>
    <row r="2095">
      <c r="A2095" t="n">
        <v>1.6529</v>
      </c>
      <c r="B2095" t="n">
        <v>1.477</v>
      </c>
      <c r="C2095" t="n">
        <v>1.4288</v>
      </c>
    </row>
    <row r="2096">
      <c r="A2096" t="n">
        <v>1.701</v>
      </c>
      <c r="B2096" t="n">
        <v>1.461</v>
      </c>
      <c r="C2096" t="n">
        <v>1.4532</v>
      </c>
    </row>
    <row r="2097">
      <c r="A2097" t="n">
        <v>1.5059</v>
      </c>
      <c r="B2097" t="n">
        <v>1.4991</v>
      </c>
      <c r="C2097" t="n">
        <v>1.4823</v>
      </c>
    </row>
    <row r="2098">
      <c r="A2098" t="n">
        <v>1.4438</v>
      </c>
      <c r="B2098" t="n">
        <v>1.458</v>
      </c>
      <c r="C2098" t="n">
        <v>1.9793</v>
      </c>
    </row>
    <row r="2099">
      <c r="A2099" t="n">
        <v>1.4532</v>
      </c>
      <c r="B2099" t="n">
        <v>1.4897</v>
      </c>
      <c r="C2099" t="n">
        <v>1.766</v>
      </c>
    </row>
    <row r="2100">
      <c r="A2100" t="n">
        <v>1.623</v>
      </c>
      <c r="B2100" t="n">
        <v>1.4487</v>
      </c>
      <c r="C2100" t="n">
        <v>1.7152</v>
      </c>
    </row>
    <row r="2101">
      <c r="A2101" t="n">
        <v>1.5676</v>
      </c>
      <c r="B2101" t="n">
        <v>1.4451</v>
      </c>
      <c r="C2101" t="n">
        <v>1.7591</v>
      </c>
    </row>
    <row r="2102">
      <c r="A2102" t="n">
        <v>1.436</v>
      </c>
      <c r="B2102" t="n">
        <v>1.5161</v>
      </c>
      <c r="C2102" t="n">
        <v>1.5006</v>
      </c>
    </row>
    <row r="2103">
      <c r="A2103" t="n">
        <v>1.4736</v>
      </c>
      <c r="B2103" t="n">
        <v>1.8255</v>
      </c>
      <c r="C2103" t="n">
        <v>1.459</v>
      </c>
    </row>
    <row r="2104">
      <c r="A2104" t="n">
        <v>1.4087</v>
      </c>
      <c r="B2104" t="n">
        <v>1.5417</v>
      </c>
      <c r="C2104" t="n">
        <v>1.4412</v>
      </c>
    </row>
    <row r="2105">
      <c r="A2105" t="n">
        <v>1.4144</v>
      </c>
      <c r="B2105" t="n">
        <v>1.4564</v>
      </c>
      <c r="C2105" t="n">
        <v>1.6549</v>
      </c>
    </row>
    <row r="2106">
      <c r="A2106" t="n">
        <v>1.4383</v>
      </c>
      <c r="B2106" t="n">
        <v>1.4402</v>
      </c>
      <c r="C2106" t="n">
        <v>1.7732</v>
      </c>
    </row>
    <row r="2107">
      <c r="A2107" t="n">
        <v>1.418</v>
      </c>
      <c r="B2107" t="n">
        <v>1.4229</v>
      </c>
      <c r="C2107" t="n">
        <v>1.4933</v>
      </c>
    </row>
    <row r="2108">
      <c r="A2108" t="n">
        <v>1.4194</v>
      </c>
      <c r="B2108" t="n">
        <v>1.479</v>
      </c>
      <c r="C2108" t="n">
        <v>1.4845</v>
      </c>
    </row>
    <row r="2109">
      <c r="A2109" t="n">
        <v>1.4684</v>
      </c>
      <c r="B2109" t="n">
        <v>1.6679</v>
      </c>
      <c r="C2109" t="n">
        <v>1.4528</v>
      </c>
    </row>
    <row r="2110">
      <c r="A2110" t="n">
        <v>1.6227</v>
      </c>
      <c r="B2110" t="n">
        <v>1.7786</v>
      </c>
      <c r="C2110" t="n">
        <v>1.6253</v>
      </c>
    </row>
    <row r="2111">
      <c r="A2111" t="n">
        <v>1.5469</v>
      </c>
      <c r="B2111" t="n">
        <v>1.4944</v>
      </c>
      <c r="C2111" t="n">
        <v>1.7775</v>
      </c>
    </row>
    <row r="2112">
      <c r="A2112" t="n">
        <v>1.4597</v>
      </c>
      <c r="B2112" t="n">
        <v>1.4567</v>
      </c>
      <c r="C2112" t="n">
        <v>1.505</v>
      </c>
    </row>
    <row r="2113">
      <c r="A2113" t="n">
        <v>1.3962</v>
      </c>
      <c r="B2113" t="n">
        <v>1.4459</v>
      </c>
      <c r="C2113" t="n">
        <v>1.4398</v>
      </c>
    </row>
    <row r="2114">
      <c r="A2114" t="n">
        <v>1.7594</v>
      </c>
      <c r="B2114" t="n">
        <v>2.004</v>
      </c>
      <c r="C2114" t="n">
        <v>1.4421</v>
      </c>
    </row>
    <row r="2115">
      <c r="A2115" t="n">
        <v>1.6558</v>
      </c>
      <c r="B2115" t="n">
        <v>1.7645</v>
      </c>
      <c r="C2115" t="n">
        <v>1.6075</v>
      </c>
    </row>
    <row r="2116">
      <c r="A2116" t="n">
        <v>1.5153</v>
      </c>
      <c r="B2116" t="n">
        <v>1.708</v>
      </c>
      <c r="C2116" t="n">
        <v>1.8251</v>
      </c>
    </row>
    <row r="2117">
      <c r="A2117" t="n">
        <v>1.4357</v>
      </c>
      <c r="B2117" t="n">
        <v>1.8048</v>
      </c>
      <c r="C2117" t="n">
        <v>1.4926</v>
      </c>
    </row>
    <row r="2118">
      <c r="A2118" t="n">
        <v>1.4245</v>
      </c>
      <c r="B2118" t="n">
        <v>1.497</v>
      </c>
      <c r="C2118" t="n">
        <v>1.4782</v>
      </c>
    </row>
    <row r="2119">
      <c r="A2119" t="n">
        <v>1.4333</v>
      </c>
      <c r="B2119" t="n">
        <v>1.4142</v>
      </c>
      <c r="C2119" t="n">
        <v>1.4421</v>
      </c>
    </row>
    <row r="2120">
      <c r="A2120" t="n">
        <v>1.4369</v>
      </c>
      <c r="B2120" t="n">
        <v>1.4216</v>
      </c>
      <c r="C2120" t="n">
        <v>1.6299</v>
      </c>
    </row>
    <row r="2121">
      <c r="A2121" t="n">
        <v>1.6751</v>
      </c>
      <c r="B2121" t="n">
        <v>1.6395</v>
      </c>
      <c r="C2121" t="n">
        <v>1.7732</v>
      </c>
    </row>
    <row r="2122">
      <c r="A2122" t="n">
        <v>1.7185</v>
      </c>
      <c r="B2122" t="n">
        <v>1.5084</v>
      </c>
      <c r="C2122" t="n">
        <v>1.4826</v>
      </c>
    </row>
    <row r="2123">
      <c r="A2123" t="n">
        <v>1.4784</v>
      </c>
      <c r="B2123" t="n">
        <v>1.6436</v>
      </c>
      <c r="C2123" t="n">
        <v>1.4472</v>
      </c>
    </row>
    <row r="2124">
      <c r="A2124" t="n">
        <v>1.4397</v>
      </c>
      <c r="B2124" t="n">
        <v>1.4787</v>
      </c>
      <c r="C2124" t="n">
        <v>1.455</v>
      </c>
    </row>
    <row r="2125">
      <c r="A2125" t="n">
        <v>1.4322</v>
      </c>
      <c r="B2125" t="n">
        <v>1.4273</v>
      </c>
      <c r="C2125" t="n">
        <v>1.5873</v>
      </c>
    </row>
    <row r="2126">
      <c r="A2126" t="n">
        <v>1.6242</v>
      </c>
      <c r="B2126" t="n">
        <v>1.6833</v>
      </c>
      <c r="C2126" t="n">
        <v>1.6119</v>
      </c>
    </row>
    <row r="2127">
      <c r="A2127" t="n">
        <v>1.5317</v>
      </c>
      <c r="B2127" t="n">
        <v>1.546</v>
      </c>
      <c r="C2127" t="n">
        <v>1.4337</v>
      </c>
    </row>
    <row r="2128">
      <c r="A2128" t="n">
        <v>1.6467</v>
      </c>
      <c r="B2128" t="n">
        <v>1.6681</v>
      </c>
      <c r="C2128" t="n">
        <v>1.4266</v>
      </c>
    </row>
    <row r="2129">
      <c r="A2129" t="n">
        <v>1.4978</v>
      </c>
      <c r="B2129" t="n">
        <v>1.4837</v>
      </c>
      <c r="C2129" t="n">
        <v>1.4081</v>
      </c>
    </row>
    <row r="2130">
      <c r="A2130" t="n">
        <v>1.4326</v>
      </c>
      <c r="B2130" t="n">
        <v>1.4449</v>
      </c>
      <c r="C2130" t="n">
        <v>1.9568</v>
      </c>
    </row>
    <row r="2131">
      <c r="A2131" t="n">
        <v>1.3725</v>
      </c>
      <c r="B2131" t="n">
        <v>1.3869</v>
      </c>
      <c r="C2131" t="n">
        <v>1.5777</v>
      </c>
    </row>
    <row r="2132">
      <c r="A2132" t="n">
        <v>1.431</v>
      </c>
      <c r="B2132" t="n">
        <v>1.4569</v>
      </c>
      <c r="C2132" t="n">
        <v>1.4204</v>
      </c>
    </row>
    <row r="2133">
      <c r="A2133" t="n">
        <v>1.467</v>
      </c>
      <c r="B2133" t="n">
        <v>1.4446</v>
      </c>
      <c r="C2133" t="n">
        <v>1.4516</v>
      </c>
    </row>
    <row r="2134">
      <c r="A2134" t="n">
        <v>1.4069</v>
      </c>
      <c r="B2134" t="n">
        <v>1.4099</v>
      </c>
      <c r="C2134" t="n">
        <v>1.4212</v>
      </c>
    </row>
    <row r="2135">
      <c r="A2135" t="n">
        <v>1.4784</v>
      </c>
      <c r="B2135" t="n">
        <v>1.476</v>
      </c>
      <c r="C2135" t="n">
        <v>1.4443</v>
      </c>
    </row>
    <row r="2136">
      <c r="A2136" t="n">
        <v>1.6505</v>
      </c>
      <c r="B2136" t="n">
        <v>1.6776</v>
      </c>
      <c r="C2136" t="n">
        <v>1.478</v>
      </c>
    </row>
    <row r="2137">
      <c r="A2137" t="n">
        <v>1.4812</v>
      </c>
      <c r="B2137" t="n">
        <v>1.5116</v>
      </c>
      <c r="C2137" t="n">
        <v>1.4783</v>
      </c>
    </row>
    <row r="2138">
      <c r="A2138" t="n">
        <v>1.4325</v>
      </c>
      <c r="B2138" t="n">
        <v>1.4582</v>
      </c>
      <c r="C2138" t="n">
        <v>1.6925</v>
      </c>
    </row>
    <row r="2139">
      <c r="A2139" t="n">
        <v>1.4211</v>
      </c>
      <c r="B2139" t="n">
        <v>1.6111</v>
      </c>
      <c r="C2139" t="n">
        <v>1.7194</v>
      </c>
    </row>
    <row r="2140">
      <c r="A2140" t="n">
        <v>1.4271</v>
      </c>
      <c r="B2140" t="n">
        <v>1.5382</v>
      </c>
      <c r="C2140" t="n">
        <v>1.5049</v>
      </c>
    </row>
    <row r="2141">
      <c r="A2141" t="n">
        <v>1.4152</v>
      </c>
      <c r="B2141" t="n">
        <v>1.6627</v>
      </c>
      <c r="C2141" t="n">
        <v>1.4563</v>
      </c>
    </row>
    <row r="2142">
      <c r="A2142" t="n">
        <v>1.6602</v>
      </c>
      <c r="B2142" t="n">
        <v>1.5078</v>
      </c>
      <c r="C2142" t="n">
        <v>1.4517</v>
      </c>
    </row>
    <row r="2143">
      <c r="A2143" t="n">
        <v>1.7154</v>
      </c>
      <c r="B2143" t="n">
        <v>1.4213</v>
      </c>
      <c r="C2143" t="n">
        <v>1.6622</v>
      </c>
    </row>
    <row r="2144">
      <c r="A2144" t="n">
        <v>1.4866</v>
      </c>
      <c r="B2144" t="n">
        <v>1.3879</v>
      </c>
      <c r="C2144" t="n">
        <v>1.7463</v>
      </c>
    </row>
    <row r="2145">
      <c r="A2145" t="n">
        <v>1.4653</v>
      </c>
      <c r="B2145" t="n">
        <v>1.451</v>
      </c>
      <c r="C2145" t="n">
        <v>1.5381</v>
      </c>
    </row>
    <row r="2146">
      <c r="A2146" t="n">
        <v>1.9478</v>
      </c>
      <c r="B2146" t="n">
        <v>1.7414</v>
      </c>
      <c r="C2146" t="n">
        <v>1.4399</v>
      </c>
    </row>
    <row r="2147">
      <c r="A2147" t="n">
        <v>1.5082</v>
      </c>
      <c r="B2147" t="n">
        <v>1.4972</v>
      </c>
      <c r="C2147" t="n">
        <v>1.449</v>
      </c>
    </row>
    <row r="2148">
      <c r="A2148" t="n">
        <v>1.4245</v>
      </c>
      <c r="B2148" t="n">
        <v>1.6602</v>
      </c>
      <c r="C2148" t="n">
        <v>1.6747</v>
      </c>
    </row>
    <row r="2149">
      <c r="A2149" t="n">
        <v>1.4187</v>
      </c>
      <c r="B2149" t="n">
        <v>1.6864</v>
      </c>
      <c r="C2149" t="n">
        <v>1.6813</v>
      </c>
    </row>
    <row r="2150">
      <c r="A2150" t="n">
        <v>1.4177</v>
      </c>
      <c r="B2150" t="n">
        <v>1.5348</v>
      </c>
      <c r="C2150" t="n">
        <v>1.5069</v>
      </c>
    </row>
    <row r="2151">
      <c r="A2151" t="n">
        <v>1.4212</v>
      </c>
      <c r="B2151" t="n">
        <v>1.6307</v>
      </c>
      <c r="C2151" t="n">
        <v>1.4642</v>
      </c>
    </row>
    <row r="2152">
      <c r="A2152" t="n">
        <v>1.4052</v>
      </c>
      <c r="B2152" t="n">
        <v>1.4905</v>
      </c>
      <c r="C2152" t="n">
        <v>1.4146</v>
      </c>
    </row>
    <row r="2153">
      <c r="A2153" t="n">
        <v>1.4506</v>
      </c>
      <c r="B2153" t="n">
        <v>1.438</v>
      </c>
      <c r="C2153" t="n">
        <v>1.6232</v>
      </c>
    </row>
    <row r="2154">
      <c r="A2154" t="n">
        <v>1.6841</v>
      </c>
      <c r="B2154" t="n">
        <v>1.4819</v>
      </c>
      <c r="C2154" t="n">
        <v>1.7023</v>
      </c>
    </row>
    <row r="2155">
      <c r="A2155" t="n">
        <v>1.5129</v>
      </c>
      <c r="B2155" t="n">
        <v>1.4853</v>
      </c>
      <c r="C2155" t="n">
        <v>1.4894</v>
      </c>
    </row>
    <row r="2156">
      <c r="A2156" t="n">
        <v>1.6364</v>
      </c>
      <c r="B2156" t="n">
        <v>1.4249</v>
      </c>
      <c r="C2156" t="n">
        <v>1.4731</v>
      </c>
    </row>
    <row r="2157">
      <c r="A2157" t="n">
        <v>1.7203</v>
      </c>
      <c r="B2157" t="n">
        <v>1.4231</v>
      </c>
      <c r="C2157" t="n">
        <v>1.4753</v>
      </c>
    </row>
    <row r="2158">
      <c r="A2158" t="n">
        <v>1.524</v>
      </c>
      <c r="B2158" t="n">
        <v>1.4295</v>
      </c>
      <c r="C2158" t="n">
        <v>1.601</v>
      </c>
    </row>
    <row r="2159">
      <c r="A2159" t="n">
        <v>1.6116</v>
      </c>
      <c r="B2159" t="n">
        <v>1.655</v>
      </c>
      <c r="C2159" t="n">
        <v>1.7657</v>
      </c>
    </row>
    <row r="2160">
      <c r="A2160" t="n">
        <v>1.4998</v>
      </c>
      <c r="B2160" t="n">
        <v>1.4875</v>
      </c>
      <c r="C2160" t="n">
        <v>1.5048</v>
      </c>
    </row>
    <row r="2161">
      <c r="A2161" t="n">
        <v>1.4302</v>
      </c>
      <c r="B2161" t="n">
        <v>1.429</v>
      </c>
      <c r="C2161" t="n">
        <v>1.4408</v>
      </c>
    </row>
    <row r="2162">
      <c r="A2162" t="n">
        <v>1.4021</v>
      </c>
      <c r="B2162" t="n">
        <v>1.6387</v>
      </c>
      <c r="C2162" t="n">
        <v>1.7973</v>
      </c>
    </row>
    <row r="2163">
      <c r="A2163" t="n">
        <v>1.4223</v>
      </c>
      <c r="B2163" t="n">
        <v>1.5316</v>
      </c>
      <c r="C2163" t="n">
        <v>1.4442</v>
      </c>
    </row>
    <row r="2164">
      <c r="A2164" t="n">
        <v>1.425</v>
      </c>
      <c r="B2164" t="n">
        <v>1.5831</v>
      </c>
      <c r="C2164" t="n">
        <v>1.4034</v>
      </c>
    </row>
    <row r="2165">
      <c r="A2165" t="n">
        <v>1.4078</v>
      </c>
      <c r="B2165" t="n">
        <v>1.541</v>
      </c>
      <c r="C2165" t="n">
        <v>1.4259</v>
      </c>
    </row>
    <row r="2166">
      <c r="A2166" t="n">
        <v>1.4531</v>
      </c>
      <c r="B2166" t="n">
        <v>1.4526</v>
      </c>
      <c r="C2166" t="n">
        <v>1.5167</v>
      </c>
    </row>
    <row r="2167">
      <c r="A2167" t="n">
        <v>1.5893</v>
      </c>
      <c r="B2167" t="n">
        <v>1.392</v>
      </c>
      <c r="C2167" t="n">
        <v>1.4238</v>
      </c>
    </row>
    <row r="2168">
      <c r="A2168" t="n">
        <v>1.5349</v>
      </c>
      <c r="B2168" t="n">
        <v>1.4539</v>
      </c>
      <c r="C2168" t="n">
        <v>1.4762</v>
      </c>
    </row>
    <row r="2169">
      <c r="A2169" t="n">
        <v>1.4269</v>
      </c>
      <c r="B2169" t="n">
        <v>1.4748</v>
      </c>
      <c r="C2169" t="n">
        <v>1.5092</v>
      </c>
    </row>
    <row r="2170">
      <c r="A2170" t="n">
        <v>1.3958</v>
      </c>
      <c r="B2170" t="n">
        <v>1.6515</v>
      </c>
      <c r="C2170" t="n">
        <v>1.5398</v>
      </c>
    </row>
    <row r="2171">
      <c r="A2171" t="n">
        <v>1.4434</v>
      </c>
      <c r="B2171" t="n">
        <v>1.6946</v>
      </c>
      <c r="C2171" t="n">
        <v>1.4658</v>
      </c>
    </row>
    <row r="2172">
      <c r="A2172" t="n">
        <v>1.4403</v>
      </c>
      <c r="B2172" t="n">
        <v>1.4908</v>
      </c>
      <c r="C2172" t="n">
        <v>1.4222</v>
      </c>
    </row>
    <row r="2173">
      <c r="A2173" t="n">
        <v>1.5922</v>
      </c>
      <c r="B2173" t="n">
        <v>1.4448</v>
      </c>
      <c r="C2173" t="n">
        <v>1.394</v>
      </c>
    </row>
    <row r="2174">
      <c r="A2174" t="n">
        <v>1.5806</v>
      </c>
      <c r="B2174" t="n">
        <v>1.4533</v>
      </c>
      <c r="C2174" t="n">
        <v>1.4735</v>
      </c>
    </row>
    <row r="2175">
      <c r="A2175" t="n">
        <v>1.4207</v>
      </c>
      <c r="B2175" t="n">
        <v>1.6212</v>
      </c>
      <c r="C2175" t="n">
        <v>1.4307</v>
      </c>
    </row>
    <row r="2176">
      <c r="A2176" t="n">
        <v>1.4402</v>
      </c>
      <c r="B2176" t="n">
        <v>1.767</v>
      </c>
      <c r="C2176" t="n">
        <v>1.457</v>
      </c>
    </row>
    <row r="2177">
      <c r="A2177" t="n">
        <v>1.4222</v>
      </c>
      <c r="B2177" t="n">
        <v>1.4792</v>
      </c>
      <c r="C2177" t="n">
        <v>1.4853</v>
      </c>
    </row>
    <row r="2178">
      <c r="A2178" t="n">
        <v>1.7599</v>
      </c>
      <c r="B2178" t="n">
        <v>1.7799</v>
      </c>
      <c r="C2178" t="n">
        <v>1.5012</v>
      </c>
    </row>
    <row r="2179">
      <c r="A2179" t="n">
        <v>1.4722</v>
      </c>
      <c r="B2179" t="n">
        <v>1.6477</v>
      </c>
      <c r="C2179" t="n">
        <v>1.795</v>
      </c>
    </row>
    <row r="2180">
      <c r="A2180" t="n">
        <v>1.6504</v>
      </c>
      <c r="B2180" t="n">
        <v>1.5442</v>
      </c>
      <c r="C2180" t="n">
        <v>1.7587</v>
      </c>
    </row>
    <row r="2181">
      <c r="A2181" t="n">
        <v>1.5244</v>
      </c>
      <c r="B2181" t="n">
        <v>1.6727</v>
      </c>
      <c r="C2181" t="n">
        <v>1.6731</v>
      </c>
    </row>
    <row r="2182">
      <c r="A2182" t="n">
        <v>1.4081</v>
      </c>
      <c r="B2182" t="n">
        <v>1.636</v>
      </c>
      <c r="C2182" t="n">
        <v>1.5332</v>
      </c>
    </row>
    <row r="2183">
      <c r="A2183" t="n">
        <v>1.4346</v>
      </c>
      <c r="B2183" t="n">
        <v>1.5046</v>
      </c>
      <c r="C2183" t="n">
        <v>1.6298</v>
      </c>
    </row>
    <row r="2184">
      <c r="A2184" t="n">
        <v>1.4611</v>
      </c>
      <c r="B2184" t="n">
        <v>1.6045</v>
      </c>
      <c r="C2184" t="n">
        <v>1.4923</v>
      </c>
    </row>
    <row r="2185">
      <c r="A2185" t="n">
        <v>1.4287</v>
      </c>
      <c r="B2185" t="n">
        <v>1.5132</v>
      </c>
      <c r="C2185" t="n">
        <v>1.407</v>
      </c>
    </row>
    <row r="2186">
      <c r="A2186" t="n">
        <v>1.6519</v>
      </c>
      <c r="B2186" t="n">
        <v>1.476</v>
      </c>
      <c r="C2186" t="n">
        <v>1.4469</v>
      </c>
    </row>
    <row r="2187">
      <c r="A2187" t="n">
        <v>1.7295</v>
      </c>
      <c r="B2187" t="n">
        <v>1.42</v>
      </c>
      <c r="C2187" t="n">
        <v>1.4385</v>
      </c>
    </row>
    <row r="2188">
      <c r="A2188" t="n">
        <v>1.4603</v>
      </c>
      <c r="B2188" t="n">
        <v>1.4261</v>
      </c>
      <c r="C2188" t="n">
        <v>1.4961</v>
      </c>
    </row>
    <row r="2189">
      <c r="A2189" t="n">
        <v>1.4341</v>
      </c>
      <c r="B2189" t="n">
        <v>1.4554</v>
      </c>
      <c r="C2189" t="n">
        <v>1.7403</v>
      </c>
    </row>
    <row r="2190">
      <c r="A2190" t="n">
        <v>1.4175</v>
      </c>
      <c r="B2190" t="n">
        <v>1.7156</v>
      </c>
      <c r="C2190" t="n">
        <v>1.6966</v>
      </c>
    </row>
    <row r="2191">
      <c r="A2191" t="n">
        <v>1.3868</v>
      </c>
      <c r="B2191" t="n">
        <v>1.679</v>
      </c>
      <c r="C2191" t="n">
        <v>1.5435</v>
      </c>
    </row>
    <row r="2192">
      <c r="A2192" t="n">
        <v>1.4758</v>
      </c>
      <c r="B2192" t="n">
        <v>1.4965</v>
      </c>
      <c r="C2192" t="n">
        <v>1.5038</v>
      </c>
    </row>
    <row r="2193">
      <c r="A2193" t="n">
        <v>1.6515</v>
      </c>
      <c r="B2193" t="n">
        <v>1.4371</v>
      </c>
      <c r="C2193" t="n">
        <v>1.661</v>
      </c>
    </row>
    <row r="2194">
      <c r="A2194" t="n">
        <v>1.5018</v>
      </c>
      <c r="B2194" t="n">
        <v>1.4033</v>
      </c>
      <c r="C2194" t="n">
        <v>1.8215</v>
      </c>
    </row>
    <row r="2195">
      <c r="A2195" t="n">
        <v>1.7102</v>
      </c>
      <c r="B2195" t="n">
        <v>1.6183</v>
      </c>
      <c r="C2195" t="n">
        <v>1.4556</v>
      </c>
    </row>
    <row r="2196">
      <c r="A2196" t="n">
        <v>1.6695</v>
      </c>
      <c r="B2196" t="n">
        <v>1.7999</v>
      </c>
      <c r="C2196" t="n">
        <v>1.3986</v>
      </c>
    </row>
    <row r="2197">
      <c r="A2197" t="n">
        <v>1.5367</v>
      </c>
      <c r="B2197" t="n">
        <v>1.4981</v>
      </c>
      <c r="C2197" t="n">
        <v>1.4364</v>
      </c>
    </row>
    <row r="2198">
      <c r="A2198" t="n">
        <v>1.6196</v>
      </c>
      <c r="B2198" t="n">
        <v>1.4632</v>
      </c>
      <c r="C2198" t="n">
        <v>1.4534</v>
      </c>
    </row>
    <row r="2199">
      <c r="A2199" t="n">
        <v>1.4927</v>
      </c>
      <c r="B2199" t="n">
        <v>1.4494</v>
      </c>
      <c r="C2199" t="n">
        <v>1.44</v>
      </c>
    </row>
    <row r="2200">
      <c r="A2200" t="n">
        <v>1.4142</v>
      </c>
      <c r="B2200" t="n">
        <v>1.5901</v>
      </c>
      <c r="C2200" t="n">
        <v>1.5361</v>
      </c>
    </row>
    <row r="2201">
      <c r="A2201" t="n">
        <v>1.3995</v>
      </c>
      <c r="B2201" t="n">
        <v>1.8837</v>
      </c>
      <c r="C2201" t="n">
        <v>1.4128</v>
      </c>
    </row>
    <row r="2202">
      <c r="A2202" t="n">
        <v>1.441</v>
      </c>
      <c r="B2202" t="n">
        <v>1.4739</v>
      </c>
      <c r="C2202" t="n">
        <v>1.4385</v>
      </c>
    </row>
    <row r="2203">
      <c r="A2203" t="n">
        <v>1.4433</v>
      </c>
      <c r="B2203" t="n">
        <v>1.4385</v>
      </c>
      <c r="C2203" t="n">
        <v>1.405</v>
      </c>
    </row>
    <row r="2204">
      <c r="A2204" t="n">
        <v>1.7007</v>
      </c>
      <c r="B2204" t="n">
        <v>1.4625</v>
      </c>
      <c r="C2204" t="n">
        <v>1.4596</v>
      </c>
    </row>
    <row r="2205">
      <c r="A2205" t="n">
        <v>1.6967</v>
      </c>
      <c r="B2205" t="n">
        <v>1.616</v>
      </c>
      <c r="C2205" t="n">
        <v>1.459</v>
      </c>
    </row>
    <row r="2206">
      <c r="A2206" t="n">
        <v>1.4624</v>
      </c>
      <c r="B2206" t="n">
        <v>1.7676</v>
      </c>
      <c r="C2206" t="n">
        <v>1.4561</v>
      </c>
    </row>
    <row r="2207">
      <c r="A2207" t="n">
        <v>1.4488</v>
      </c>
      <c r="B2207" t="n">
        <v>1.525</v>
      </c>
      <c r="C2207" t="n">
        <v>1.703</v>
      </c>
    </row>
    <row r="2208">
      <c r="A2208" t="n">
        <v>1.4427</v>
      </c>
      <c r="B2208" t="n">
        <v>1.4552</v>
      </c>
      <c r="C2208" t="n">
        <v>1.7171</v>
      </c>
    </row>
    <row r="2209">
      <c r="A2209" t="n">
        <v>1.7344</v>
      </c>
      <c r="B2209" t="n">
        <v>1.4582</v>
      </c>
      <c r="C2209" t="n">
        <v>1.5492</v>
      </c>
    </row>
    <row r="2210">
      <c r="A2210" t="n">
        <v>2.0585</v>
      </c>
      <c r="B2210" t="n">
        <v>1.9791</v>
      </c>
      <c r="C2210" t="n">
        <v>1.4726</v>
      </c>
    </row>
    <row r="2211">
      <c r="A2211" t="n">
        <v>1.6837</v>
      </c>
      <c r="B2211" t="n">
        <v>1.7301</v>
      </c>
      <c r="C2211" t="n">
        <v>1.4341</v>
      </c>
    </row>
    <row r="2212">
      <c r="A2212" t="n">
        <v>1.5167</v>
      </c>
      <c r="B2212" t="n">
        <v>1.6846</v>
      </c>
      <c r="C2212" t="n">
        <v>1.636</v>
      </c>
    </row>
    <row r="2213">
      <c r="A2213" t="n">
        <v>1.6463</v>
      </c>
      <c r="B2213" t="n">
        <v>1.5433</v>
      </c>
      <c r="C2213" t="n">
        <v>1.7424</v>
      </c>
    </row>
    <row r="2214">
      <c r="A2214" t="n">
        <v>1.4965</v>
      </c>
      <c r="B2214" t="n">
        <v>1.6671</v>
      </c>
      <c r="C2214" t="n">
        <v>1.5175</v>
      </c>
    </row>
    <row r="2215">
      <c r="A2215" t="n">
        <v>1.4513</v>
      </c>
      <c r="B2215" t="n">
        <v>1.6929</v>
      </c>
      <c r="C2215" t="n">
        <v>1.4547</v>
      </c>
    </row>
    <row r="2216">
      <c r="A2216" t="n">
        <v>1.4269</v>
      </c>
      <c r="B2216" t="n">
        <v>1.5071</v>
      </c>
      <c r="C2216" t="n">
        <v>1.458</v>
      </c>
    </row>
    <row r="2217">
      <c r="A2217" t="n">
        <v>1.4439</v>
      </c>
      <c r="B2217" t="n">
        <v>1.653</v>
      </c>
      <c r="C2217" t="n">
        <v>1.6602</v>
      </c>
    </row>
    <row r="2218">
      <c r="A2218" t="n">
        <v>1.7187</v>
      </c>
      <c r="B2218" t="n">
        <v>1.7258</v>
      </c>
      <c r="C2218" t="n">
        <v>1.6749</v>
      </c>
    </row>
    <row r="2219">
      <c r="A2219" t="n">
        <v>1.5241</v>
      </c>
      <c r="B2219" t="n">
        <v>1.4908</v>
      </c>
      <c r="C2219" t="n">
        <v>1.4948</v>
      </c>
    </row>
    <row r="2220">
      <c r="A2220" t="n">
        <v>1.4175</v>
      </c>
      <c r="B2220" t="n">
        <v>1.4633</v>
      </c>
      <c r="C2220" t="n">
        <v>1.4808</v>
      </c>
    </row>
    <row r="2221">
      <c r="A2221" t="n">
        <v>1.3975</v>
      </c>
      <c r="B2221" t="n">
        <v>1.4233</v>
      </c>
      <c r="C2221" t="n">
        <v>1.4374</v>
      </c>
    </row>
    <row r="2222">
      <c r="A2222" t="n">
        <v>1.4041</v>
      </c>
      <c r="B2222" t="n">
        <v>1.7465</v>
      </c>
      <c r="C2222" t="n">
        <v>1.6286</v>
      </c>
    </row>
    <row r="2223">
      <c r="A2223" t="n">
        <v>1.4314</v>
      </c>
      <c r="B2223" t="n">
        <v>1.6974</v>
      </c>
      <c r="C2223" t="n">
        <v>1.7737</v>
      </c>
    </row>
    <row r="2224">
      <c r="A2224" t="n">
        <v>1.4004</v>
      </c>
      <c r="B2224" t="n">
        <v>1.4619</v>
      </c>
      <c r="C2224" t="n">
        <v>1.4805</v>
      </c>
    </row>
    <row r="2225">
      <c r="A2225" t="n">
        <v>1.4428</v>
      </c>
      <c r="B2225" t="n">
        <v>1.4454</v>
      </c>
      <c r="C2225" t="n">
        <v>1.452</v>
      </c>
    </row>
    <row r="2226">
      <c r="A2226" t="n">
        <v>1.7592</v>
      </c>
      <c r="B2226" t="n">
        <v>1.4435</v>
      </c>
      <c r="C2226" t="n">
        <v>1.7758</v>
      </c>
    </row>
    <row r="2227">
      <c r="A2227" t="n">
        <v>1.5057</v>
      </c>
      <c r="B2227" t="n">
        <v>1.6584</v>
      </c>
      <c r="C2227" t="n">
        <v>1.4364</v>
      </c>
    </row>
    <row r="2228">
      <c r="A2228" t="n">
        <v>1.697</v>
      </c>
      <c r="B2228" t="n">
        <v>1.7801</v>
      </c>
      <c r="C2228" t="n">
        <v>1.4501</v>
      </c>
    </row>
    <row r="2229">
      <c r="A2229" t="n">
        <v>1.683</v>
      </c>
      <c r="B2229" t="n">
        <v>1.4956</v>
      </c>
      <c r="C2229" t="n">
        <v>1.4384</v>
      </c>
    </row>
    <row r="2230">
      <c r="A2230" t="n">
        <v>1.5357</v>
      </c>
      <c r="B2230" t="n">
        <v>1.4214</v>
      </c>
      <c r="C2230" t="n">
        <v>1.4985</v>
      </c>
    </row>
    <row r="2231">
      <c r="A2231" t="n">
        <v>1.6389</v>
      </c>
      <c r="B2231" t="n">
        <v>1.4348</v>
      </c>
      <c r="C2231" t="n">
        <v>1.4508</v>
      </c>
    </row>
    <row r="2232">
      <c r="A2232" t="n">
        <v>1.5045</v>
      </c>
      <c r="B2232" t="n">
        <v>1.6349</v>
      </c>
      <c r="C2232" t="n">
        <v>1.4891</v>
      </c>
    </row>
    <row r="2233">
      <c r="A2233" t="n">
        <v>1.4</v>
      </c>
      <c r="B2233" t="n">
        <v>1.5687</v>
      </c>
      <c r="C2233" t="n">
        <v>1.4538</v>
      </c>
    </row>
    <row r="2234">
      <c r="A2234" t="n">
        <v>1.401</v>
      </c>
      <c r="B2234" t="n">
        <v>1.4295</v>
      </c>
      <c r="C2234" t="n">
        <v>1.5065</v>
      </c>
    </row>
    <row r="2235">
      <c r="A2235" t="n">
        <v>1.4128</v>
      </c>
      <c r="B2235" t="n">
        <v>1.4424</v>
      </c>
      <c r="C2235" t="n">
        <v>1.4603</v>
      </c>
    </row>
    <row r="2236">
      <c r="A2236" t="n">
        <v>1.3958</v>
      </c>
      <c r="B2236" t="n">
        <v>1.4129</v>
      </c>
      <c r="C2236" t="n">
        <v>1.6754</v>
      </c>
    </row>
    <row r="2237">
      <c r="A2237" t="n">
        <v>1.6074</v>
      </c>
      <c r="B2237" t="n">
        <v>1.4594</v>
      </c>
      <c r="C2237" t="n">
        <v>1.5159</v>
      </c>
    </row>
    <row r="2238">
      <c r="A2238" t="n">
        <v>1.783</v>
      </c>
      <c r="B2238" t="n">
        <v>1.4964</v>
      </c>
      <c r="C2238" t="n">
        <v>1.4667</v>
      </c>
    </row>
    <row r="2239">
      <c r="A2239" t="n">
        <v>1.4635</v>
      </c>
      <c r="B2239" t="n">
        <v>1.4691</v>
      </c>
      <c r="C2239" t="n">
        <v>1.4526</v>
      </c>
    </row>
    <row r="2240">
      <c r="A2240" t="n">
        <v>1.4282</v>
      </c>
      <c r="B2240" t="n">
        <v>1.4899</v>
      </c>
      <c r="C2240" t="n">
        <v>1.6177</v>
      </c>
    </row>
    <row r="2241">
      <c r="A2241" t="n">
        <v>1.4256</v>
      </c>
      <c r="B2241" t="n">
        <v>1.7491</v>
      </c>
      <c r="C2241" t="n">
        <v>1.749</v>
      </c>
    </row>
    <row r="2242">
      <c r="A2242" t="n">
        <v>1.9538</v>
      </c>
      <c r="B2242" t="n">
        <v>1.9812</v>
      </c>
      <c r="C2242" t="n">
        <v>1.4922</v>
      </c>
    </row>
    <row r="2243">
      <c r="A2243" t="n">
        <v>1.71</v>
      </c>
      <c r="B2243" t="n">
        <v>1.5366</v>
      </c>
      <c r="C2243" t="n">
        <v>1.4561</v>
      </c>
    </row>
    <row r="2244">
      <c r="A2244" t="n">
        <v>1.8676</v>
      </c>
      <c r="B2244" t="n">
        <v>1.6615</v>
      </c>
      <c r="C2244" t="n">
        <v>1.4577</v>
      </c>
    </row>
    <row r="2245">
      <c r="A2245" t="n">
        <v>1.5089</v>
      </c>
      <c r="B2245" t="n">
        <v>1.4962</v>
      </c>
      <c r="C2245" t="n">
        <v>1.4237</v>
      </c>
    </row>
    <row r="2246">
      <c r="A2246" t="n">
        <v>1.6573</v>
      </c>
      <c r="B2246" t="n">
        <v>1.4647</v>
      </c>
      <c r="C2246" t="n">
        <v>1.4919</v>
      </c>
    </row>
    <row r="2247">
      <c r="A2247" t="n">
        <v>1.5026</v>
      </c>
      <c r="B2247" t="n">
        <v>1.4351</v>
      </c>
      <c r="C2247" t="n">
        <v>1.6408</v>
      </c>
    </row>
    <row r="2248">
      <c r="A2248" t="n">
        <v>1.4135</v>
      </c>
      <c r="B2248" t="n">
        <v>1.4992</v>
      </c>
      <c r="C2248" t="n">
        <v>1.5196</v>
      </c>
    </row>
    <row r="2249">
      <c r="A2249" t="n">
        <v>1.4048</v>
      </c>
      <c r="B2249" t="n">
        <v>1.6778</v>
      </c>
      <c r="C2249" t="n">
        <v>1.4564</v>
      </c>
    </row>
    <row r="2250">
      <c r="A2250" t="n">
        <v>1.4205</v>
      </c>
      <c r="B2250" t="n">
        <v>1.5199</v>
      </c>
      <c r="C2250" t="n">
        <v>1.452</v>
      </c>
    </row>
    <row r="2251">
      <c r="A2251" t="n">
        <v>1.4247</v>
      </c>
      <c r="B2251" t="n">
        <v>1.4464</v>
      </c>
      <c r="C2251" t="n">
        <v>1.4515</v>
      </c>
    </row>
    <row r="2252">
      <c r="A2252" t="n">
        <v>1.6809</v>
      </c>
      <c r="B2252" t="n">
        <v>1.4318</v>
      </c>
      <c r="C2252" t="n">
        <v>1.4938</v>
      </c>
    </row>
    <row r="2253">
      <c r="A2253" t="n">
        <v>1.6746</v>
      </c>
      <c r="B2253" t="n">
        <v>1.4854</v>
      </c>
      <c r="C2253" t="n">
        <v>1.7</v>
      </c>
    </row>
    <row r="2254">
      <c r="A2254" t="n">
        <v>1.4581</v>
      </c>
      <c r="B2254" t="n">
        <v>1.512</v>
      </c>
      <c r="C2254" t="n">
        <v>1.7235</v>
      </c>
    </row>
    <row r="2255">
      <c r="A2255" t="n">
        <v>1.4556</v>
      </c>
      <c r="B2255" t="n">
        <v>1.8334</v>
      </c>
      <c r="C2255" t="n">
        <v>1.5164</v>
      </c>
    </row>
    <row r="2256">
      <c r="A2256" t="n">
        <v>1.4417</v>
      </c>
      <c r="B2256" t="n">
        <v>1.6887</v>
      </c>
      <c r="C2256" t="n">
        <v>1.6865</v>
      </c>
    </row>
    <row r="2257">
      <c r="A2257" t="n">
        <v>1.6778</v>
      </c>
      <c r="B2257" t="n">
        <v>1.5265</v>
      </c>
      <c r="C2257" t="n">
        <v>1.6536</v>
      </c>
    </row>
    <row r="2258">
      <c r="A2258" t="n">
        <v>1.6942</v>
      </c>
      <c r="B2258" t="n">
        <v>1.4946</v>
      </c>
      <c r="C2258" t="n">
        <v>1.8611</v>
      </c>
    </row>
    <row r="2259">
      <c r="A2259" t="n">
        <v>1.4848</v>
      </c>
      <c r="B2259" t="n">
        <v>1.6661</v>
      </c>
      <c r="C2259" t="n">
        <v>1.4422</v>
      </c>
    </row>
    <row r="2260">
      <c r="A2260" t="n">
        <v>1.4366</v>
      </c>
      <c r="B2260" t="n">
        <v>1.5025</v>
      </c>
      <c r="C2260" t="n">
        <v>1.5847</v>
      </c>
    </row>
    <row r="2261">
      <c r="A2261" t="n">
        <v>1.4453</v>
      </c>
      <c r="B2261" t="n">
        <v>1.7245</v>
      </c>
      <c r="C2261" t="n">
        <v>1.5755</v>
      </c>
    </row>
    <row r="2262">
      <c r="A2262" t="n">
        <v>1.6638</v>
      </c>
      <c r="B2262" t="n">
        <v>1.6865</v>
      </c>
      <c r="C2262" t="n">
        <v>1.716</v>
      </c>
    </row>
    <row r="2263">
      <c r="A2263" t="n">
        <v>1.8519</v>
      </c>
      <c r="B2263" t="n">
        <v>1.5503</v>
      </c>
      <c r="C2263" t="n">
        <v>1.4778</v>
      </c>
    </row>
    <row r="2264">
      <c r="A2264" t="n">
        <v>1.4764</v>
      </c>
      <c r="B2264" t="n">
        <v>1.6375</v>
      </c>
      <c r="C2264" t="n">
        <v>1.4454</v>
      </c>
    </row>
    <row r="2265">
      <c r="A2265" t="n">
        <v>1.454</v>
      </c>
      <c r="B2265" t="n">
        <v>1.4949</v>
      </c>
      <c r="C2265" t="n">
        <v>1.6158</v>
      </c>
    </row>
    <row r="2266">
      <c r="A2266" t="n">
        <v>1.3996</v>
      </c>
      <c r="B2266" t="n">
        <v>1.4298</v>
      </c>
      <c r="C2266" t="n">
        <v>1.5136</v>
      </c>
    </row>
    <row r="2267">
      <c r="A2267" t="n">
        <v>1.6251</v>
      </c>
      <c r="B2267" t="n">
        <v>1.4062</v>
      </c>
      <c r="C2267" t="n">
        <v>1.6717</v>
      </c>
    </row>
    <row r="2268">
      <c r="A2268" t="n">
        <v>1.5434</v>
      </c>
      <c r="B2268" t="n">
        <v>1.4483</v>
      </c>
      <c r="C2268" t="n">
        <v>1.4892</v>
      </c>
    </row>
    <row r="2269">
      <c r="A2269" t="n">
        <v>1.3948</v>
      </c>
      <c r="B2269" t="n">
        <v>1.436</v>
      </c>
      <c r="C2269" t="n">
        <v>1.4405</v>
      </c>
    </row>
    <row r="2270">
      <c r="A2270" t="n">
        <v>1.4354</v>
      </c>
      <c r="B2270" t="n">
        <v>1.6656</v>
      </c>
      <c r="C2270" t="n">
        <v>1.4097</v>
      </c>
    </row>
    <row r="2271">
      <c r="A2271" t="n">
        <v>1.6082</v>
      </c>
      <c r="B2271" t="n">
        <v>1.6732</v>
      </c>
      <c r="C2271" t="n">
        <v>1.439</v>
      </c>
    </row>
    <row r="2272">
      <c r="A2272" t="n">
        <v>1.7276</v>
      </c>
      <c r="B2272" t="n">
        <v>1.5046</v>
      </c>
      <c r="C2272" t="n">
        <v>1.4404</v>
      </c>
    </row>
    <row r="2273">
      <c r="A2273" t="n">
        <v>1.5476</v>
      </c>
      <c r="B2273" t="n">
        <v>1.4608</v>
      </c>
      <c r="C2273" t="n">
        <v>1.4298</v>
      </c>
    </row>
    <row r="2274">
      <c r="A2274" t="n">
        <v>1.9469</v>
      </c>
      <c r="B2274" t="n">
        <v>1.9574</v>
      </c>
      <c r="C2274" t="n">
        <v>1.5438</v>
      </c>
    </row>
    <row r="2275">
      <c r="A2275" t="n">
        <v>1.722</v>
      </c>
      <c r="B2275" t="n">
        <v>1.5264</v>
      </c>
      <c r="C2275" t="n">
        <v>1.4344</v>
      </c>
    </row>
    <row r="2276">
      <c r="A2276" t="n">
        <v>1.6671</v>
      </c>
      <c r="B2276" t="n">
        <v>1.4907</v>
      </c>
      <c r="C2276" t="n">
        <v>1.4672</v>
      </c>
    </row>
    <row r="2277">
      <c r="A2277" t="n">
        <v>1.5033</v>
      </c>
      <c r="B2277" t="n">
        <v>1.4642</v>
      </c>
      <c r="C2277" t="n">
        <v>1.432</v>
      </c>
    </row>
    <row r="2278">
      <c r="A2278" t="n">
        <v>1.6993</v>
      </c>
      <c r="B2278" t="n">
        <v>1.4383</v>
      </c>
      <c r="C2278" t="n">
        <v>1.419</v>
      </c>
    </row>
    <row r="2279">
      <c r="A2279" t="n">
        <v>1.7181</v>
      </c>
      <c r="B2279" t="n">
        <v>1.4701</v>
      </c>
      <c r="C2279" t="n">
        <v>1.4561</v>
      </c>
    </row>
    <row r="2280">
      <c r="A2280" t="n">
        <v>1.5435</v>
      </c>
      <c r="B2280" t="n">
        <v>1.6842</v>
      </c>
      <c r="C2280" t="n">
        <v>1.4481</v>
      </c>
    </row>
    <row r="2281">
      <c r="A2281" t="n">
        <v>1.6214</v>
      </c>
      <c r="B2281" t="n">
        <v>1.6706</v>
      </c>
      <c r="C2281" t="n">
        <v>1.6797</v>
      </c>
    </row>
    <row r="2282">
      <c r="A2282" t="n">
        <v>1.4969</v>
      </c>
      <c r="B2282" t="n">
        <v>1.5038</v>
      </c>
      <c r="C2282" t="n">
        <v>1.7515</v>
      </c>
    </row>
    <row r="2283">
      <c r="A2283" t="n">
        <v>1.4642</v>
      </c>
      <c r="B2283" t="n">
        <v>1.458</v>
      </c>
      <c r="C2283" t="n">
        <v>1.5386</v>
      </c>
    </row>
    <row r="2284">
      <c r="A2284" t="n">
        <v>1.7272</v>
      </c>
      <c r="B2284" t="n">
        <v>1.4239</v>
      </c>
      <c r="C2284" t="n">
        <v>1.4645</v>
      </c>
    </row>
    <row r="2285">
      <c r="A2285" t="n">
        <v>1.5088</v>
      </c>
      <c r="B2285" t="n">
        <v>1.6599</v>
      </c>
      <c r="C2285" t="n">
        <v>1.4493</v>
      </c>
    </row>
    <row r="2286">
      <c r="A2286" t="n">
        <v>1.623</v>
      </c>
      <c r="B2286" t="n">
        <v>1.7552</v>
      </c>
      <c r="C2286" t="n">
        <v>1.6664</v>
      </c>
    </row>
    <row r="2287">
      <c r="A2287" t="n">
        <v>1.4804</v>
      </c>
      <c r="B2287" t="n">
        <v>1.4927</v>
      </c>
      <c r="C2287" t="n">
        <v>1.6832</v>
      </c>
    </row>
    <row r="2288">
      <c r="A2288" t="n">
        <v>1.4667</v>
      </c>
      <c r="B2288" t="n">
        <v>1.4561</v>
      </c>
      <c r="C2288" t="n">
        <v>1.5105</v>
      </c>
    </row>
    <row r="2289">
      <c r="A2289" t="n">
        <v>1.4071</v>
      </c>
      <c r="B2289" t="n">
        <v>1.4336</v>
      </c>
      <c r="C2289" t="n">
        <v>1.4519</v>
      </c>
    </row>
    <row r="2290">
      <c r="A2290" t="n">
        <v>1.4245</v>
      </c>
      <c r="B2290" t="n">
        <v>1.6302</v>
      </c>
      <c r="C2290" t="n">
        <v>1.9696</v>
      </c>
    </row>
    <row r="2291">
      <c r="A2291" t="n">
        <v>1.4533</v>
      </c>
      <c r="B2291" t="n">
        <v>1.7735</v>
      </c>
      <c r="C2291" t="n">
        <v>1.5363</v>
      </c>
    </row>
    <row r="2292">
      <c r="A2292" t="n">
        <v>1.6725</v>
      </c>
      <c r="B2292" t="n">
        <v>1.4902</v>
      </c>
      <c r="C2292" t="n">
        <v>1.4452</v>
      </c>
    </row>
    <row r="2293">
      <c r="A2293" t="n">
        <v>1.6536</v>
      </c>
      <c r="B2293" t="n">
        <v>1.4323</v>
      </c>
      <c r="C2293" t="n">
        <v>1.4467</v>
      </c>
    </row>
    <row r="2294">
      <c r="A2294" t="n">
        <v>1.4717</v>
      </c>
      <c r="B2294" t="n">
        <v>1.4686</v>
      </c>
      <c r="C2294" t="n">
        <v>1.4518</v>
      </c>
    </row>
    <row r="2295">
      <c r="A2295" t="n">
        <v>1.4478</v>
      </c>
      <c r="B2295" t="n">
        <v>1.6759</v>
      </c>
      <c r="C2295" t="n">
        <v>1.4786</v>
      </c>
    </row>
    <row r="2296">
      <c r="A2296" t="n">
        <v>1.4183</v>
      </c>
      <c r="B2296" t="n">
        <v>1.8135</v>
      </c>
      <c r="C2296" t="n">
        <v>1.443</v>
      </c>
    </row>
    <row r="2297">
      <c r="A2297" t="n">
        <v>1.596</v>
      </c>
      <c r="B2297" t="n">
        <v>1.4821</v>
      </c>
      <c r="C2297" t="n">
        <v>1.5119</v>
      </c>
    </row>
    <row r="2298">
      <c r="A2298" t="n">
        <v>1.5216</v>
      </c>
      <c r="B2298" t="n">
        <v>1.4443</v>
      </c>
      <c r="C2298" t="n">
        <v>1.6173</v>
      </c>
    </row>
    <row r="2299">
      <c r="A2299" t="n">
        <v>1.6211</v>
      </c>
      <c r="B2299" t="n">
        <v>1.429</v>
      </c>
      <c r="C2299" t="n">
        <v>1.4863</v>
      </c>
    </row>
    <row r="2300">
      <c r="A2300" t="n">
        <v>1.5012</v>
      </c>
      <c r="B2300" t="n">
        <v>1.6023</v>
      </c>
      <c r="C2300" t="n">
        <v>1.4554</v>
      </c>
    </row>
    <row r="2301">
      <c r="A2301" t="n">
        <v>1.4615</v>
      </c>
      <c r="B2301" t="n">
        <v>1.5704</v>
      </c>
      <c r="C2301" t="n">
        <v>1.4229</v>
      </c>
    </row>
    <row r="2302">
      <c r="A2302" t="n">
        <v>1.3709</v>
      </c>
      <c r="B2302" t="n">
        <v>1.4173</v>
      </c>
      <c r="C2302" t="n">
        <v>1.4243</v>
      </c>
    </row>
    <row r="2303">
      <c r="A2303" t="n">
        <v>1.4125</v>
      </c>
      <c r="B2303" t="n">
        <v>1.4646</v>
      </c>
      <c r="C2303" t="n">
        <v>1.4518</v>
      </c>
    </row>
    <row r="2304">
      <c r="A2304" t="n">
        <v>1.4382</v>
      </c>
      <c r="B2304" t="n">
        <v>1.4096</v>
      </c>
      <c r="C2304" t="n">
        <v>1.6794</v>
      </c>
    </row>
    <row r="2305">
      <c r="A2305" t="n">
        <v>1.6152</v>
      </c>
      <c r="B2305" t="n">
        <v>1.4015</v>
      </c>
      <c r="C2305" t="n">
        <v>1.6604</v>
      </c>
    </row>
    <row r="2306">
      <c r="A2306" t="n">
        <v>2.0522</v>
      </c>
      <c r="B2306" t="n">
        <v>1.8013</v>
      </c>
      <c r="C2306" t="n">
        <v>1.5303</v>
      </c>
    </row>
    <row r="2307">
      <c r="A2307" t="n">
        <v>1.7109</v>
      </c>
      <c r="B2307" t="n">
        <v>1.68</v>
      </c>
      <c r="C2307" t="n">
        <v>1.4561</v>
      </c>
    </row>
    <row r="2308">
      <c r="A2308" t="n">
        <v>1.4869</v>
      </c>
      <c r="B2308" t="n">
        <v>1.5091</v>
      </c>
      <c r="C2308" t="n">
        <v>1.4191</v>
      </c>
    </row>
    <row r="2309">
      <c r="A2309" t="n">
        <v>1.6512</v>
      </c>
      <c r="B2309" t="n">
        <v>1.4518</v>
      </c>
      <c r="C2309" t="n">
        <v>1.6876</v>
      </c>
    </row>
    <row r="2310">
      <c r="A2310" t="n">
        <v>1.4861</v>
      </c>
      <c r="B2310" t="n">
        <v>1.4345</v>
      </c>
      <c r="C2310" t="n">
        <v>1.6594</v>
      </c>
    </row>
    <row r="2311">
      <c r="A2311" t="n">
        <v>1.4237</v>
      </c>
      <c r="B2311" t="n">
        <v>1.4551</v>
      </c>
      <c r="C2311" t="n">
        <v>1.4837</v>
      </c>
    </row>
    <row r="2312">
      <c r="A2312" t="n">
        <v>1.6532</v>
      </c>
      <c r="B2312" t="n">
        <v>1.4676</v>
      </c>
      <c r="C2312" t="n">
        <v>1.4368</v>
      </c>
    </row>
    <row r="2313">
      <c r="A2313" t="n">
        <v>1.5563</v>
      </c>
      <c r="B2313" t="n">
        <v>1.7793</v>
      </c>
      <c r="C2313" t="n">
        <v>1.4502</v>
      </c>
    </row>
    <row r="2314">
      <c r="A2314" t="n">
        <v>1.6348</v>
      </c>
      <c r="B2314" t="n">
        <v>1.6826</v>
      </c>
      <c r="C2314" t="n">
        <v>1.5943</v>
      </c>
    </row>
    <row r="2315">
      <c r="A2315" t="n">
        <v>1.511</v>
      </c>
      <c r="B2315" t="n">
        <v>1.5173</v>
      </c>
      <c r="C2315" t="n">
        <v>1.5559</v>
      </c>
    </row>
    <row r="2316">
      <c r="A2316" t="n">
        <v>1.4654</v>
      </c>
      <c r="B2316" t="n">
        <v>1.4527</v>
      </c>
      <c r="C2316" t="n">
        <v>1.696</v>
      </c>
    </row>
    <row r="2317">
      <c r="A2317" t="n">
        <v>1.392</v>
      </c>
      <c r="B2317" t="n">
        <v>1.426</v>
      </c>
      <c r="C2317" t="n">
        <v>1.4671</v>
      </c>
    </row>
    <row r="2318">
      <c r="A2318" t="n">
        <v>1.4463</v>
      </c>
      <c r="B2318" t="n">
        <v>1.7414</v>
      </c>
      <c r="C2318" t="n">
        <v>1.4326</v>
      </c>
    </row>
    <row r="2319">
      <c r="A2319" t="n">
        <v>1.4451</v>
      </c>
      <c r="B2319" t="n">
        <v>1.6823</v>
      </c>
      <c r="C2319" t="n">
        <v>1.6135</v>
      </c>
    </row>
    <row r="2320">
      <c r="A2320" t="n">
        <v>1.3893</v>
      </c>
      <c r="B2320" t="n">
        <v>1.4576</v>
      </c>
      <c r="C2320" t="n">
        <v>1.5107</v>
      </c>
    </row>
    <row r="2321">
      <c r="A2321" t="n">
        <v>1.4424</v>
      </c>
      <c r="B2321" t="n">
        <v>1.6195</v>
      </c>
      <c r="C2321" t="n">
        <v>1.6164</v>
      </c>
    </row>
    <row r="2322">
      <c r="A2322" t="n">
        <v>1.613</v>
      </c>
      <c r="B2322" t="n">
        <v>1.6826</v>
      </c>
      <c r="C2322" t="n">
        <v>1.8483</v>
      </c>
    </row>
    <row r="2323">
      <c r="A2323" t="n">
        <v>1.5021</v>
      </c>
      <c r="B2323" t="n">
        <v>1.5002</v>
      </c>
      <c r="C2323" t="n">
        <v>1.4449</v>
      </c>
    </row>
    <row r="2324">
      <c r="A2324" t="n">
        <v>1.4467</v>
      </c>
      <c r="B2324" t="n">
        <v>1.6881</v>
      </c>
      <c r="C2324" t="n">
        <v>1.6496</v>
      </c>
    </row>
    <row r="2325">
      <c r="A2325" t="n">
        <v>1.4093</v>
      </c>
      <c r="B2325" t="n">
        <v>1.673</v>
      </c>
      <c r="C2325" t="n">
        <v>1.7032</v>
      </c>
    </row>
    <row r="2326">
      <c r="A2326" t="n">
        <v>1.3989</v>
      </c>
      <c r="B2326" t="n">
        <v>1.5108</v>
      </c>
      <c r="C2326" t="n">
        <v>1.4741</v>
      </c>
    </row>
    <row r="2327">
      <c r="A2327" t="n">
        <v>1.4334</v>
      </c>
      <c r="B2327" t="n">
        <v>1.6184</v>
      </c>
      <c r="C2327" t="n">
        <v>1.4457</v>
      </c>
    </row>
    <row r="2328">
      <c r="A2328" t="n">
        <v>1.6218</v>
      </c>
      <c r="B2328" t="n">
        <v>1.5293</v>
      </c>
      <c r="C2328" t="n">
        <v>1.4398</v>
      </c>
    </row>
    <row r="2329">
      <c r="A2329" t="n">
        <v>1.7255</v>
      </c>
      <c r="B2329" t="n">
        <v>1.4287</v>
      </c>
      <c r="C2329" t="n">
        <v>1.6344</v>
      </c>
    </row>
    <row r="2330">
      <c r="A2330" t="n">
        <v>1.4819</v>
      </c>
      <c r="B2330" t="n">
        <v>1.4285</v>
      </c>
      <c r="C2330" t="n">
        <v>1.5762</v>
      </c>
    </row>
    <row r="2331">
      <c r="A2331" t="n">
        <v>1.4283</v>
      </c>
      <c r="B2331" t="n">
        <v>1.4402</v>
      </c>
      <c r="C2331" t="n">
        <v>1.42</v>
      </c>
    </row>
    <row r="2332">
      <c r="A2332" t="n">
        <v>1.4158</v>
      </c>
      <c r="B2332" t="n">
        <v>1.4269</v>
      </c>
      <c r="C2332" t="n">
        <v>1.4346</v>
      </c>
    </row>
    <row r="2333">
      <c r="A2333" t="n">
        <v>1.4075</v>
      </c>
      <c r="B2333" t="n">
        <v>1.7532</v>
      </c>
      <c r="C2333" t="n">
        <v>1.406</v>
      </c>
    </row>
    <row r="2334">
      <c r="A2334" t="n">
        <v>1.4642</v>
      </c>
      <c r="B2334" t="n">
        <v>1.7282</v>
      </c>
      <c r="C2334" t="n">
        <v>1.4271</v>
      </c>
    </row>
    <row r="2335">
      <c r="A2335" t="n">
        <v>1.663</v>
      </c>
      <c r="B2335" t="n">
        <v>1.4825</v>
      </c>
      <c r="C2335" t="n">
        <v>1.4656</v>
      </c>
    </row>
    <row r="2336">
      <c r="A2336" t="n">
        <v>1.5508</v>
      </c>
      <c r="B2336" t="n">
        <v>1.6979</v>
      </c>
      <c r="C2336" t="n">
        <v>1.5173</v>
      </c>
    </row>
    <row r="2337">
      <c r="A2337" t="n">
        <v>1.6695</v>
      </c>
      <c r="B2337" t="n">
        <v>1.6663</v>
      </c>
      <c r="C2337" t="n">
        <v>1.4265</v>
      </c>
    </row>
    <row r="2338">
      <c r="A2338" t="n">
        <v>1.9866</v>
      </c>
      <c r="B2338" t="n">
        <v>1.8253</v>
      </c>
      <c r="C2338" t="n">
        <v>1.4638</v>
      </c>
    </row>
    <row r="2339">
      <c r="A2339" t="n">
        <v>1.6929</v>
      </c>
      <c r="B2339" t="n">
        <v>1.466</v>
      </c>
      <c r="C2339" t="n">
        <v>1.6235</v>
      </c>
    </row>
    <row r="2340">
      <c r="A2340" t="n">
        <v>1.4724</v>
      </c>
      <c r="B2340" t="n">
        <v>1.4226</v>
      </c>
      <c r="C2340" t="n">
        <v>1.5376</v>
      </c>
    </row>
    <row r="2341">
      <c r="A2341" t="n">
        <v>1.4196</v>
      </c>
      <c r="B2341" t="n">
        <v>1.4576</v>
      </c>
      <c r="C2341" t="n">
        <v>1.4237</v>
      </c>
    </row>
    <row r="2342">
      <c r="A2342" t="n">
        <v>1.4233</v>
      </c>
      <c r="B2342" t="n">
        <v>1.7017</v>
      </c>
      <c r="C2342" t="n">
        <v>1.4235</v>
      </c>
    </row>
    <row r="2343">
      <c r="A2343" t="n">
        <v>1.6351</v>
      </c>
      <c r="B2343" t="n">
        <v>1.5347</v>
      </c>
      <c r="C2343" t="n">
        <v>1.437</v>
      </c>
    </row>
    <row r="2344">
      <c r="A2344" t="n">
        <v>1.5659</v>
      </c>
      <c r="B2344" t="n">
        <v>1.4154</v>
      </c>
      <c r="C2344" t="n">
        <v>1.4309</v>
      </c>
    </row>
    <row r="2345">
      <c r="A2345" t="n">
        <v>1.4335</v>
      </c>
      <c r="B2345" t="n">
        <v>1.4198</v>
      </c>
      <c r="C2345" t="n">
        <v>1.4063</v>
      </c>
    </row>
    <row r="2346">
      <c r="A2346" t="n">
        <v>1.4344</v>
      </c>
      <c r="B2346" t="n">
        <v>1.4338</v>
      </c>
      <c r="C2346" t="n">
        <v>1.4607</v>
      </c>
    </row>
    <row r="2347">
      <c r="A2347" t="n">
        <v>1.3789</v>
      </c>
      <c r="B2347" t="n">
        <v>1.4753</v>
      </c>
      <c r="C2347" t="n">
        <v>1.5813</v>
      </c>
    </row>
    <row r="2348">
      <c r="A2348" t="n">
        <v>1.4287</v>
      </c>
      <c r="B2348" t="n">
        <v>1.692</v>
      </c>
      <c r="C2348" t="n">
        <v>1.5496</v>
      </c>
    </row>
    <row r="2349">
      <c r="A2349" t="n">
        <v>1.4722</v>
      </c>
      <c r="B2349" t="n">
        <v>1.6563</v>
      </c>
      <c r="C2349" t="n">
        <v>1.4202</v>
      </c>
    </row>
    <row r="2350">
      <c r="A2350" t="n">
        <v>1.4541</v>
      </c>
      <c r="B2350" t="n">
        <v>1.4766</v>
      </c>
      <c r="C2350" t="n">
        <v>1.4022</v>
      </c>
    </row>
    <row r="2351">
      <c r="A2351" t="n">
        <v>1.7224</v>
      </c>
      <c r="B2351" t="n">
        <v>1.4577</v>
      </c>
      <c r="C2351" t="n">
        <v>1.4312</v>
      </c>
    </row>
    <row r="2352">
      <c r="A2352" t="n">
        <v>1.7224</v>
      </c>
      <c r="B2352" t="n">
        <v>1.4364</v>
      </c>
      <c r="C2352" t="n">
        <v>1.4452</v>
      </c>
    </row>
    <row r="2353">
      <c r="A2353" t="n">
        <v>1.4806</v>
      </c>
      <c r="B2353" t="n">
        <v>1.4032</v>
      </c>
      <c r="C2353" t="n">
        <v>1.6536</v>
      </c>
    </row>
    <row r="2354">
      <c r="A2354" t="n">
        <v>1.4469</v>
      </c>
      <c r="B2354" t="n">
        <v>1.5374</v>
      </c>
      <c r="C2354" t="n">
        <v>2.0329</v>
      </c>
    </row>
    <row r="2355">
      <c r="A2355" t="n">
        <v>1.436</v>
      </c>
      <c r="B2355" t="n">
        <v>1.6583</v>
      </c>
      <c r="C2355" t="n">
        <v>1.6808</v>
      </c>
    </row>
    <row r="2356">
      <c r="A2356" t="n">
        <v>1.6638</v>
      </c>
      <c r="B2356" t="n">
        <v>1.5074</v>
      </c>
      <c r="C2356" t="n">
        <v>1.5084</v>
      </c>
    </row>
    <row r="2357">
      <c r="A2357" t="n">
        <v>1.6843</v>
      </c>
      <c r="B2357" t="n">
        <v>1.445</v>
      </c>
      <c r="C2357" t="n">
        <v>1.6085</v>
      </c>
    </row>
    <row r="2358">
      <c r="A2358" t="n">
        <v>1.4813</v>
      </c>
      <c r="B2358" t="n">
        <v>1.4372</v>
      </c>
      <c r="C2358" t="n">
        <v>1.5209</v>
      </c>
    </row>
    <row r="2359">
      <c r="A2359" t="n">
        <v>1.4265</v>
      </c>
      <c r="B2359" t="n">
        <v>1.4396</v>
      </c>
      <c r="C2359" t="n">
        <v>1.4541</v>
      </c>
    </row>
    <row r="2360">
      <c r="A2360" t="n">
        <v>1.4228</v>
      </c>
      <c r="B2360" t="n">
        <v>1.4295</v>
      </c>
      <c r="C2360" t="n">
        <v>1.411</v>
      </c>
    </row>
    <row r="2361">
      <c r="A2361" t="n">
        <v>1.6465</v>
      </c>
      <c r="B2361" t="n">
        <v>1.6904</v>
      </c>
      <c r="C2361" t="n">
        <v>1.4288</v>
      </c>
    </row>
    <row r="2362">
      <c r="A2362" t="n">
        <v>1.5268</v>
      </c>
      <c r="B2362" t="n">
        <v>1.6884</v>
      </c>
      <c r="C2362" t="n">
        <v>1.4474</v>
      </c>
    </row>
    <row r="2363">
      <c r="A2363" t="n">
        <v>1.631</v>
      </c>
      <c r="B2363" t="n">
        <v>1.4819</v>
      </c>
      <c r="C2363" t="n">
        <v>1.4021</v>
      </c>
    </row>
    <row r="2364">
      <c r="A2364" t="n">
        <v>1.4882</v>
      </c>
      <c r="B2364" t="n">
        <v>1.4338</v>
      </c>
      <c r="C2364" t="n">
        <v>1.4803</v>
      </c>
    </row>
    <row r="2365">
      <c r="A2365" t="n">
        <v>1.4391</v>
      </c>
      <c r="B2365" t="n">
        <v>1.4344</v>
      </c>
      <c r="C2365" t="n">
        <v>1.65</v>
      </c>
    </row>
    <row r="2366">
      <c r="A2366" t="n">
        <v>1.4048</v>
      </c>
      <c r="B2366" t="n">
        <v>1.7117</v>
      </c>
      <c r="C2366" t="n">
        <v>1.4834</v>
      </c>
    </row>
    <row r="2367">
      <c r="A2367" t="n">
        <v>1.4311</v>
      </c>
      <c r="B2367" t="n">
        <v>1.8277</v>
      </c>
      <c r="C2367" t="n">
        <v>1.4517</v>
      </c>
    </row>
    <row r="2368">
      <c r="A2368" t="n">
        <v>1.4432</v>
      </c>
      <c r="B2368" t="n">
        <v>1.4772</v>
      </c>
      <c r="C2368" t="n">
        <v>1.4092</v>
      </c>
    </row>
    <row r="2369">
      <c r="A2369" t="n">
        <v>1.6758</v>
      </c>
      <c r="B2369" t="n">
        <v>1.4705</v>
      </c>
      <c r="C2369" t="n">
        <v>1.4566</v>
      </c>
    </row>
    <row r="2370">
      <c r="A2370" t="n">
        <v>2.0287</v>
      </c>
      <c r="B2370" t="n">
        <v>2.0094</v>
      </c>
      <c r="C2370" t="n">
        <v>1.4212</v>
      </c>
    </row>
    <row r="2371">
      <c r="A2371" t="n">
        <v>1.6656</v>
      </c>
      <c r="B2371" t="n">
        <v>1.515</v>
      </c>
      <c r="C2371" t="n">
        <v>1.3816</v>
      </c>
    </row>
    <row r="2372">
      <c r="A2372" t="n">
        <v>1.7809</v>
      </c>
      <c r="B2372" t="n">
        <v>1.4452</v>
      </c>
      <c r="C2372" t="n">
        <v>1.4706</v>
      </c>
    </row>
    <row r="2373">
      <c r="A2373" t="n">
        <v>1.4905</v>
      </c>
      <c r="B2373" t="n">
        <v>1.4065</v>
      </c>
      <c r="C2373" t="n">
        <v>1.6607</v>
      </c>
    </row>
    <row r="2374">
      <c r="A2374" t="n">
        <v>1.4297</v>
      </c>
      <c r="B2374" t="n">
        <v>1.4232</v>
      </c>
      <c r="C2374" t="n">
        <v>1.4976</v>
      </c>
    </row>
    <row r="2375">
      <c r="A2375" t="n">
        <v>1.4238</v>
      </c>
      <c r="B2375" t="n">
        <v>1.4205</v>
      </c>
      <c r="C2375" t="n">
        <v>1.4313</v>
      </c>
    </row>
    <row r="2376">
      <c r="A2376" t="n">
        <v>1.6385</v>
      </c>
      <c r="B2376" t="n">
        <v>1.6074</v>
      </c>
      <c r="C2376" t="n">
        <v>1.4302</v>
      </c>
    </row>
    <row r="2377">
      <c r="A2377" t="n">
        <v>1.5308</v>
      </c>
      <c r="B2377" t="n">
        <v>1.5228</v>
      </c>
      <c r="C2377" t="n">
        <v>1.4354</v>
      </c>
    </row>
    <row r="2378">
      <c r="A2378" t="n">
        <v>1.6607</v>
      </c>
      <c r="B2378" t="n">
        <v>1.6932</v>
      </c>
      <c r="C2378" t="n">
        <v>1.448</v>
      </c>
    </row>
    <row r="2379">
      <c r="A2379" t="n">
        <v>1.4879</v>
      </c>
      <c r="B2379" t="n">
        <v>1.5145</v>
      </c>
      <c r="C2379" t="n">
        <v>1.4108</v>
      </c>
    </row>
    <row r="2380">
      <c r="A2380" t="n">
        <v>1.4159</v>
      </c>
      <c r="B2380" t="n">
        <v>1.4488</v>
      </c>
      <c r="C2380" t="n">
        <v>1.4656</v>
      </c>
    </row>
    <row r="2381">
      <c r="A2381" t="n">
        <v>1.3955</v>
      </c>
      <c r="B2381" t="n">
        <v>1.5941</v>
      </c>
      <c r="C2381" t="n">
        <v>1.6622</v>
      </c>
    </row>
    <row r="2382">
      <c r="A2382" t="n">
        <v>1.4413</v>
      </c>
      <c r="B2382" t="n">
        <v>1.5405</v>
      </c>
      <c r="C2382" t="n">
        <v>1.5032</v>
      </c>
    </row>
    <row r="2383">
      <c r="A2383" t="n">
        <v>1.414</v>
      </c>
      <c r="B2383" t="n">
        <v>1.6525</v>
      </c>
      <c r="C2383" t="n">
        <v>1.4431</v>
      </c>
    </row>
    <row r="2384">
      <c r="A2384" t="n">
        <v>1.7006</v>
      </c>
      <c r="B2384" t="n">
        <v>1.4999</v>
      </c>
      <c r="C2384" t="n">
        <v>1.4019</v>
      </c>
    </row>
    <row r="2385">
      <c r="A2385" t="n">
        <v>1.6625</v>
      </c>
      <c r="B2385" t="n">
        <v>1.4336</v>
      </c>
      <c r="C2385" t="n">
        <v>1.4301</v>
      </c>
    </row>
    <row r="2386">
      <c r="A2386" t="n">
        <v>1.47</v>
      </c>
      <c r="B2386" t="n">
        <v>1.3637</v>
      </c>
      <c r="C2386" t="n">
        <v>1.7331</v>
      </c>
    </row>
    <row r="2387">
      <c r="A2387" t="n">
        <v>1.4243</v>
      </c>
      <c r="B2387" t="n">
        <v>1.4334</v>
      </c>
      <c r="C2387" t="n">
        <v>1.4782</v>
      </c>
    </row>
    <row r="2388">
      <c r="A2388" t="n">
        <v>1.4217</v>
      </c>
      <c r="B2388" t="n">
        <v>1.4445</v>
      </c>
      <c r="C2388" t="n">
        <v>1.6748</v>
      </c>
    </row>
    <row r="2389">
      <c r="A2389" t="n">
        <v>1.6269</v>
      </c>
      <c r="B2389" t="n">
        <v>1.7138</v>
      </c>
      <c r="C2389" t="n">
        <v>1.4855</v>
      </c>
    </row>
    <row r="2390">
      <c r="A2390" t="n">
        <v>1.7589</v>
      </c>
      <c r="B2390" t="n">
        <v>1.7026</v>
      </c>
      <c r="C2390" t="n">
        <v>1.466</v>
      </c>
    </row>
    <row r="2391">
      <c r="A2391" t="n">
        <v>1.4762</v>
      </c>
      <c r="B2391" t="n">
        <v>1.4934</v>
      </c>
      <c r="C2391" t="n">
        <v>1.4392</v>
      </c>
    </row>
    <row r="2392">
      <c r="A2392" t="n">
        <v>1.4129</v>
      </c>
      <c r="B2392" t="n">
        <v>1.4111</v>
      </c>
      <c r="C2392" t="n">
        <v>1.6441</v>
      </c>
    </row>
    <row r="2393">
      <c r="A2393" t="n">
        <v>1.4469</v>
      </c>
      <c r="B2393" t="n">
        <v>1.4378</v>
      </c>
      <c r="C2393" t="n">
        <v>1.7145</v>
      </c>
    </row>
    <row r="2394">
      <c r="A2394" t="n">
        <v>1.3975</v>
      </c>
      <c r="B2394" t="n">
        <v>1.6915</v>
      </c>
      <c r="C2394" t="n">
        <v>1.5205</v>
      </c>
    </row>
    <row r="2395">
      <c r="A2395" t="n">
        <v>1.4377</v>
      </c>
      <c r="B2395" t="n">
        <v>1.649</v>
      </c>
      <c r="C2395" t="n">
        <v>1.4489</v>
      </c>
    </row>
    <row r="2396">
      <c r="A2396" t="n">
        <v>1.3984</v>
      </c>
      <c r="B2396" t="n">
        <v>1.4774</v>
      </c>
      <c r="C2396" t="n">
        <v>1.4438</v>
      </c>
    </row>
    <row r="2397">
      <c r="A2397" t="n">
        <v>1.3851</v>
      </c>
      <c r="B2397" t="n">
        <v>1.4372</v>
      </c>
      <c r="C2397" t="n">
        <v>1.6268</v>
      </c>
    </row>
    <row r="2398">
      <c r="A2398" t="n">
        <v>1.4669</v>
      </c>
      <c r="B2398" t="n">
        <v>1.4306</v>
      </c>
      <c r="C2398" t="n">
        <v>1.7142</v>
      </c>
    </row>
    <row r="2399">
      <c r="A2399" t="n">
        <v>1.605</v>
      </c>
      <c r="B2399" t="n">
        <v>1.6147</v>
      </c>
      <c r="C2399" t="n">
        <v>1.5081</v>
      </c>
    </row>
    <row r="2400">
      <c r="A2400" t="n">
        <v>1.5164</v>
      </c>
      <c r="B2400" t="n">
        <v>1.5369</v>
      </c>
      <c r="C2400" t="n">
        <v>1.4468</v>
      </c>
    </row>
    <row r="2401">
      <c r="A2401" t="n">
        <v>1.4196</v>
      </c>
      <c r="B2401" t="n">
        <v>1.6541</v>
      </c>
      <c r="C2401" t="n">
        <v>1.4213</v>
      </c>
    </row>
    <row r="2402">
      <c r="A2402" t="n">
        <v>1.7263</v>
      </c>
      <c r="B2402" t="n">
        <v>1.8352</v>
      </c>
      <c r="C2402" t="n">
        <v>1.5972</v>
      </c>
    </row>
    <row r="2403">
      <c r="A2403" t="n">
        <v>1.4676</v>
      </c>
      <c r="B2403" t="n">
        <v>1.5173</v>
      </c>
      <c r="C2403" t="n">
        <v>1.5766</v>
      </c>
    </row>
    <row r="2404">
      <c r="A2404" t="n">
        <v>1.5984</v>
      </c>
      <c r="B2404" t="n">
        <v>1.413</v>
      </c>
      <c r="C2404" t="n">
        <v>1.4012</v>
      </c>
    </row>
    <row r="2405">
      <c r="A2405" t="n">
        <v>1.5419</v>
      </c>
      <c r="B2405" t="n">
        <v>1.5387</v>
      </c>
      <c r="C2405" t="n">
        <v>1.4749</v>
      </c>
    </row>
    <row r="2406">
      <c r="A2406" t="n">
        <v>1.4217</v>
      </c>
      <c r="B2406" t="n">
        <v>1.6625</v>
      </c>
      <c r="C2406" t="n">
        <v>1.4127</v>
      </c>
    </row>
    <row r="2407">
      <c r="A2407" t="n">
        <v>1.397</v>
      </c>
      <c r="B2407" t="n">
        <v>1.4764</v>
      </c>
      <c r="C2407" t="n">
        <v>1.4045</v>
      </c>
    </row>
    <row r="2408">
      <c r="A2408" t="n">
        <v>1.4465</v>
      </c>
      <c r="B2408" t="n">
        <v>1.4483</v>
      </c>
      <c r="C2408" t="n">
        <v>1.4411</v>
      </c>
    </row>
    <row r="2409">
      <c r="A2409" t="n">
        <v>1.44</v>
      </c>
      <c r="B2409" t="n">
        <v>1.6543</v>
      </c>
      <c r="C2409" t="n">
        <v>1.4505</v>
      </c>
    </row>
    <row r="2410">
      <c r="A2410" t="n">
        <v>1.629</v>
      </c>
      <c r="B2410" t="n">
        <v>1.5512</v>
      </c>
      <c r="C2410" t="n">
        <v>1.6673</v>
      </c>
    </row>
    <row r="2411">
      <c r="A2411" t="n">
        <v>1.7952</v>
      </c>
      <c r="B2411" t="n">
        <v>1.4369</v>
      </c>
      <c r="C2411" t="n">
        <v>1.7</v>
      </c>
    </row>
    <row r="2412">
      <c r="A2412" t="n">
        <v>1.4759</v>
      </c>
      <c r="B2412" t="n">
        <v>1.4474</v>
      </c>
      <c r="C2412" t="n">
        <v>1.4922</v>
      </c>
    </row>
    <row r="2413">
      <c r="A2413" t="n">
        <v>1.4353</v>
      </c>
      <c r="B2413" t="n">
        <v>1.3918</v>
      </c>
      <c r="C2413" t="n">
        <v>1.4443</v>
      </c>
    </row>
    <row r="2414">
      <c r="A2414" t="n">
        <v>1.4301</v>
      </c>
      <c r="B2414" t="n">
        <v>1.4015</v>
      </c>
      <c r="C2414" t="n">
        <v>1.4516</v>
      </c>
    </row>
    <row r="2415">
      <c r="A2415" t="n">
        <v>1.5973</v>
      </c>
      <c r="B2415" t="n">
        <v>1.4252</v>
      </c>
      <c r="C2415" t="n">
        <v>1.6154</v>
      </c>
    </row>
    <row r="2416">
      <c r="A2416" t="n">
        <v>1.503</v>
      </c>
      <c r="B2416" t="n">
        <v>1.4265</v>
      </c>
      <c r="C2416" t="n">
        <v>1.5185</v>
      </c>
    </row>
    <row r="2417">
      <c r="A2417" t="n">
        <v>1.6825</v>
      </c>
      <c r="B2417" t="n">
        <v>1.6178</v>
      </c>
      <c r="C2417" t="n">
        <v>1.6877</v>
      </c>
    </row>
    <row r="2418">
      <c r="A2418" t="n">
        <v>1.4646</v>
      </c>
      <c r="B2418" t="n">
        <v>1.5198</v>
      </c>
      <c r="C2418" t="n">
        <v>1.7985</v>
      </c>
    </row>
    <row r="2419">
      <c r="A2419" t="n">
        <v>1.4032</v>
      </c>
      <c r="B2419" t="n">
        <v>1.6425</v>
      </c>
      <c r="C2419" t="n">
        <v>1.7771</v>
      </c>
    </row>
    <row r="2420">
      <c r="A2420" t="n">
        <v>1.4005</v>
      </c>
      <c r="B2420" t="n">
        <v>1.4961</v>
      </c>
      <c r="C2420" t="n">
        <v>1.5338</v>
      </c>
    </row>
    <row r="2421">
      <c r="A2421" t="n">
        <v>1.4471</v>
      </c>
      <c r="B2421" t="n">
        <v>1.4677</v>
      </c>
      <c r="C2421" t="n">
        <v>1.4394</v>
      </c>
    </row>
    <row r="2422">
      <c r="A2422" t="n">
        <v>1.4233</v>
      </c>
      <c r="B2422" t="n">
        <v>1.6006</v>
      </c>
      <c r="C2422" t="n">
        <v>1.4249</v>
      </c>
    </row>
    <row r="2423">
      <c r="A2423" t="n">
        <v>1.6811</v>
      </c>
      <c r="B2423" t="n">
        <v>1.5468</v>
      </c>
      <c r="C2423" t="n">
        <v>1.451</v>
      </c>
    </row>
    <row r="2424">
      <c r="A2424" t="n">
        <v>1.6958</v>
      </c>
      <c r="B2424" t="n">
        <v>1.646</v>
      </c>
      <c r="C2424" t="n">
        <v>1.4547</v>
      </c>
    </row>
    <row r="2425">
      <c r="A2425" t="n">
        <v>1.4726</v>
      </c>
      <c r="B2425" t="n">
        <v>1.4891</v>
      </c>
      <c r="C2425" t="n">
        <v>1.6114</v>
      </c>
    </row>
    <row r="2426">
      <c r="A2426" t="n">
        <v>1.455</v>
      </c>
      <c r="B2426" t="n">
        <v>1.4429</v>
      </c>
      <c r="C2426" t="n">
        <v>1.7575</v>
      </c>
    </row>
    <row r="2427">
      <c r="A2427" t="n">
        <v>1.4407</v>
      </c>
      <c r="B2427" t="n">
        <v>1.3993</v>
      </c>
      <c r="C2427" t="n">
        <v>1.4906</v>
      </c>
    </row>
    <row r="2428">
      <c r="A2428" t="n">
        <v>1.6116</v>
      </c>
      <c r="B2428" t="n">
        <v>1.4242</v>
      </c>
      <c r="C2428" t="n">
        <v>1.4534</v>
      </c>
    </row>
    <row r="2429">
      <c r="A2429" t="n">
        <v>1.8048</v>
      </c>
      <c r="B2429" t="n">
        <v>1.4869</v>
      </c>
      <c r="C2429" t="n">
        <v>1.4387</v>
      </c>
    </row>
    <row r="2430">
      <c r="A2430" t="n">
        <v>1.4781</v>
      </c>
      <c r="B2430" t="n">
        <v>1.4088</v>
      </c>
      <c r="C2430" t="n">
        <v>1.6783</v>
      </c>
    </row>
    <row r="2431">
      <c r="A2431" t="n">
        <v>1.4559</v>
      </c>
      <c r="B2431" t="n">
        <v>1.4373</v>
      </c>
      <c r="C2431" t="n">
        <v>1.8658</v>
      </c>
    </row>
    <row r="2432">
      <c r="A2432" t="n">
        <v>1.4448</v>
      </c>
      <c r="B2432" t="n">
        <v>1.6075</v>
      </c>
      <c r="C2432" t="n">
        <v>1.5193</v>
      </c>
    </row>
    <row r="2433">
      <c r="A2433" t="n">
        <v>1.6001</v>
      </c>
      <c r="B2433" t="n">
        <v>1.5115</v>
      </c>
      <c r="C2433" t="n">
        <v>1.449</v>
      </c>
    </row>
    <row r="2434">
      <c r="A2434" t="n">
        <v>2.053</v>
      </c>
      <c r="B2434" t="n">
        <v>1.7447</v>
      </c>
      <c r="C2434" t="n">
        <v>1.4378</v>
      </c>
    </row>
    <row r="2435">
      <c r="A2435" t="n">
        <v>1.6668</v>
      </c>
      <c r="B2435" t="n">
        <v>1.3918</v>
      </c>
      <c r="C2435" t="n">
        <v>1.6341</v>
      </c>
    </row>
    <row r="2436">
      <c r="A2436" t="n">
        <v>1.5223</v>
      </c>
      <c r="B2436" t="n">
        <v>1.4792</v>
      </c>
      <c r="C2436" t="n">
        <v>1.6774</v>
      </c>
    </row>
    <row r="2437">
      <c r="A2437" t="n">
        <v>1.6236</v>
      </c>
      <c r="B2437" t="n">
        <v>1.6492</v>
      </c>
      <c r="C2437" t="n">
        <v>1.4753</v>
      </c>
    </row>
    <row r="2438">
      <c r="A2438" t="n">
        <v>1.5086</v>
      </c>
      <c r="B2438" t="n">
        <v>1.5645</v>
      </c>
      <c r="C2438" t="n">
        <v>1.4475</v>
      </c>
    </row>
    <row r="2439">
      <c r="A2439" t="n">
        <v>1.4247</v>
      </c>
      <c r="B2439" t="n">
        <v>1.4347</v>
      </c>
      <c r="C2439" t="n">
        <v>1.4292</v>
      </c>
    </row>
    <row r="2440">
      <c r="A2440" t="n">
        <v>1.4005</v>
      </c>
      <c r="B2440" t="n">
        <v>1.3956</v>
      </c>
      <c r="C2440" t="n">
        <v>1.6125</v>
      </c>
    </row>
    <row r="2441">
      <c r="A2441" t="n">
        <v>1.4099</v>
      </c>
      <c r="B2441" t="n">
        <v>1.4227</v>
      </c>
      <c r="C2441" t="n">
        <v>1.5582</v>
      </c>
    </row>
    <row r="2442">
      <c r="A2442" t="n">
        <v>1.429</v>
      </c>
      <c r="B2442" t="n">
        <v>1.416</v>
      </c>
      <c r="C2442" t="n">
        <v>1.6536</v>
      </c>
    </row>
    <row r="2443">
      <c r="A2443" t="n">
        <v>1.597</v>
      </c>
      <c r="B2443" t="n">
        <v>1.396</v>
      </c>
      <c r="C2443" t="n">
        <v>1.4703</v>
      </c>
    </row>
    <row r="2444">
      <c r="A2444" t="n">
        <v>1.5733</v>
      </c>
      <c r="B2444" t="n">
        <v>1.5052</v>
      </c>
      <c r="C2444" t="n">
        <v>1.4374</v>
      </c>
    </row>
    <row r="2445">
      <c r="A2445" t="n">
        <v>1.4111</v>
      </c>
      <c r="B2445" t="n">
        <v>1.6539</v>
      </c>
      <c r="C2445" t="n">
        <v>1.4259</v>
      </c>
    </row>
    <row r="2446">
      <c r="A2446" t="n">
        <v>1.4714</v>
      </c>
      <c r="B2446" t="n">
        <v>1.5078</v>
      </c>
      <c r="C2446" t="n">
        <v>1.4309</v>
      </c>
    </row>
    <row r="2447">
      <c r="A2447" t="n">
        <v>1.4099</v>
      </c>
      <c r="B2447" t="n">
        <v>1.4542</v>
      </c>
      <c r="C2447" t="n">
        <v>1.4271</v>
      </c>
    </row>
    <row r="2448">
      <c r="A2448" t="n">
        <v>1.4289</v>
      </c>
      <c r="B2448" t="n">
        <v>1.4024</v>
      </c>
      <c r="C2448" t="n">
        <v>1.3991</v>
      </c>
    </row>
    <row r="2449">
      <c r="A2449" t="n">
        <v>1.4195</v>
      </c>
      <c r="B2449" t="n">
        <v>1.426</v>
      </c>
      <c r="C2449" t="n">
        <v>1.4594</v>
      </c>
    </row>
    <row r="2450">
      <c r="A2450" t="n">
        <v>1.4192</v>
      </c>
      <c r="B2450" t="n">
        <v>1.4357</v>
      </c>
      <c r="C2450" t="n">
        <v>2.063</v>
      </c>
    </row>
    <row r="2451">
      <c r="A2451" t="n">
        <v>1.6012</v>
      </c>
      <c r="B2451" t="n">
        <v>1.4242</v>
      </c>
      <c r="C2451" t="n">
        <v>1.7753</v>
      </c>
    </row>
    <row r="2452">
      <c r="A2452" t="n">
        <v>1.5741</v>
      </c>
      <c r="B2452" t="n">
        <v>1.4691</v>
      </c>
      <c r="C2452" t="n">
        <v>1.7086</v>
      </c>
    </row>
    <row r="2453">
      <c r="A2453" t="n">
        <v>1.4364</v>
      </c>
      <c r="B2453" t="n">
        <v>1.6108</v>
      </c>
      <c r="C2453" t="n">
        <v>1.5009</v>
      </c>
    </row>
    <row r="2454">
      <c r="A2454" t="n">
        <v>1.4296</v>
      </c>
      <c r="B2454" t="n">
        <v>1.5227</v>
      </c>
      <c r="C2454" t="n">
        <v>1.4681</v>
      </c>
    </row>
    <row r="2455">
      <c r="A2455" t="n">
        <v>1.4292</v>
      </c>
      <c r="B2455" t="n">
        <v>1.4184</v>
      </c>
      <c r="C2455" t="n">
        <v>1.3937</v>
      </c>
    </row>
    <row r="2456">
      <c r="A2456" t="n">
        <v>1.4211</v>
      </c>
      <c r="B2456" t="n">
        <v>1.4191</v>
      </c>
      <c r="C2456" t="n">
        <v>1.422</v>
      </c>
    </row>
    <row r="2457">
      <c r="A2457" t="n">
        <v>1.4464</v>
      </c>
      <c r="B2457" t="n">
        <v>1.4382</v>
      </c>
      <c r="C2457" t="n">
        <v>1.4376</v>
      </c>
    </row>
    <row r="2458">
      <c r="A2458" t="n">
        <v>1.4149</v>
      </c>
      <c r="B2458" t="n">
        <v>1.4144</v>
      </c>
      <c r="C2458" t="n">
        <v>1.6414</v>
      </c>
    </row>
    <row r="2459">
      <c r="A2459" t="n">
        <v>1.6546</v>
      </c>
      <c r="B2459" t="n">
        <v>1.699</v>
      </c>
      <c r="C2459" t="n">
        <v>1.6974</v>
      </c>
    </row>
    <row r="2460">
      <c r="A2460" t="n">
        <v>1.7184</v>
      </c>
      <c r="B2460" t="n">
        <v>1.6924</v>
      </c>
      <c r="C2460" t="n">
        <v>1.4944</v>
      </c>
    </row>
    <row r="2461">
      <c r="A2461" t="n">
        <v>1.4696</v>
      </c>
      <c r="B2461" t="n">
        <v>1.4805</v>
      </c>
      <c r="C2461" t="n">
        <v>1.4346</v>
      </c>
    </row>
    <row r="2462">
      <c r="A2462" t="n">
        <v>1.47</v>
      </c>
      <c r="B2462" t="n">
        <v>1.4723</v>
      </c>
      <c r="C2462" t="n">
        <v>1.4287</v>
      </c>
    </row>
    <row r="2463">
      <c r="A2463" t="n">
        <v>1.4595</v>
      </c>
      <c r="B2463" t="n">
        <v>1.4612</v>
      </c>
      <c r="C2463" t="n">
        <v>1.7136</v>
      </c>
    </row>
    <row r="2464">
      <c r="A2464" t="n">
        <v>1.693</v>
      </c>
      <c r="B2464" t="n">
        <v>1.6511</v>
      </c>
      <c r="C2464" t="n">
        <v>1.6568</v>
      </c>
    </row>
    <row r="2465">
      <c r="A2465" t="n">
        <v>1.7111</v>
      </c>
      <c r="B2465" t="n">
        <v>1.7426</v>
      </c>
      <c r="C2465" t="n">
        <v>1.5054</v>
      </c>
    </row>
    <row r="2466">
      <c r="A2466" t="n">
        <v>2.0355</v>
      </c>
      <c r="B2466" t="n">
        <v>2.0268</v>
      </c>
      <c r="C2466" t="n">
        <v>1.4527</v>
      </c>
    </row>
    <row r="2467">
      <c r="A2467" t="n">
        <v>1.5325</v>
      </c>
      <c r="B2467" t="n">
        <v>1.5441</v>
      </c>
      <c r="C2467" t="n">
        <v>1.455</v>
      </c>
    </row>
    <row r="2468">
      <c r="A2468" t="n">
        <v>1.6517</v>
      </c>
      <c r="B2468" t="n">
        <v>1.6744</v>
      </c>
      <c r="C2468" t="n">
        <v>1.6654</v>
      </c>
    </row>
    <row r="2469">
      <c r="A2469" t="n">
        <v>1.5202</v>
      </c>
      <c r="B2469" t="n">
        <v>1.5076</v>
      </c>
      <c r="C2469" t="n">
        <v>1.7891</v>
      </c>
    </row>
    <row r="2470">
      <c r="A2470" t="n">
        <v>1.4428</v>
      </c>
      <c r="B2470" t="n">
        <v>1.4405</v>
      </c>
      <c r="C2470" t="n">
        <v>1.5001</v>
      </c>
    </row>
    <row r="2471">
      <c r="A2471" t="n">
        <v>1.4197</v>
      </c>
      <c r="B2471" t="n">
        <v>1.6461</v>
      </c>
      <c r="C2471" t="n">
        <v>1.4717</v>
      </c>
    </row>
    <row r="2472">
      <c r="A2472" t="n">
        <v>1.468</v>
      </c>
      <c r="B2472" t="n">
        <v>1.5292</v>
      </c>
      <c r="C2472" t="n">
        <v>1.4374</v>
      </c>
    </row>
    <row r="2473">
      <c r="A2473" t="n">
        <v>1.4357</v>
      </c>
      <c r="B2473" t="n">
        <v>1.6638</v>
      </c>
      <c r="C2473" t="n">
        <v>1.6677</v>
      </c>
    </row>
    <row r="2474">
      <c r="A2474" t="n">
        <v>1.4634</v>
      </c>
      <c r="B2474" t="n">
        <v>1.5338</v>
      </c>
      <c r="C2474" t="n">
        <v>1.7396</v>
      </c>
    </row>
    <row r="2475">
      <c r="A2475" t="n">
        <v>1.7111</v>
      </c>
      <c r="B2475" t="n">
        <v>1.4795</v>
      </c>
      <c r="C2475" t="n">
        <v>1.5255</v>
      </c>
    </row>
    <row r="2476">
      <c r="A2476" t="n">
        <v>1.4733</v>
      </c>
      <c r="B2476" t="n">
        <v>1.3898</v>
      </c>
      <c r="C2476" t="n">
        <v>1.4491</v>
      </c>
    </row>
    <row r="2477">
      <c r="A2477" t="n">
        <v>1.4561</v>
      </c>
      <c r="B2477" t="n">
        <v>1.4823</v>
      </c>
      <c r="C2477" t="n">
        <v>1.4495</v>
      </c>
    </row>
    <row r="2478">
      <c r="A2478" t="n">
        <v>1.4308</v>
      </c>
      <c r="B2478" t="n">
        <v>1.6934</v>
      </c>
      <c r="C2478" t="n">
        <v>1.6317</v>
      </c>
    </row>
    <row r="2479">
      <c r="A2479" t="n">
        <v>1.6022</v>
      </c>
      <c r="B2479" t="n">
        <v>1.5166</v>
      </c>
      <c r="C2479" t="n">
        <v>1.6871</v>
      </c>
    </row>
    <row r="2480">
      <c r="A2480" t="n">
        <v>1.5844</v>
      </c>
      <c r="B2480" t="n">
        <v>1.4329</v>
      </c>
      <c r="C2480" t="n">
        <v>1.5229</v>
      </c>
    </row>
    <row r="2481">
      <c r="A2481" t="n">
        <v>1.4284</v>
      </c>
      <c r="B2481" t="n">
        <v>1.4287</v>
      </c>
      <c r="C2481" t="n">
        <v>1.484</v>
      </c>
    </row>
    <row r="2482">
      <c r="A2482" t="n">
        <v>1.4274</v>
      </c>
      <c r="B2482" t="n">
        <v>1.4391</v>
      </c>
      <c r="C2482" t="n">
        <v>2.0076</v>
      </c>
    </row>
    <row r="2483">
      <c r="A2483" t="n">
        <v>1.4155</v>
      </c>
      <c r="B2483" t="n">
        <v>1.4303</v>
      </c>
      <c r="C2483" t="n">
        <v>1.5405</v>
      </c>
    </row>
    <row r="2484">
      <c r="A2484" t="n">
        <v>1.4143</v>
      </c>
      <c r="B2484" t="n">
        <v>1.6245</v>
      </c>
      <c r="C2484" t="n">
        <v>1.4215</v>
      </c>
    </row>
    <row r="2485">
      <c r="A2485" t="n">
        <v>1.4369</v>
      </c>
      <c r="B2485" t="n">
        <v>1.5256</v>
      </c>
      <c r="C2485" t="n">
        <v>1.4147</v>
      </c>
    </row>
    <row r="2486">
      <c r="A2486" t="n">
        <v>1.4541</v>
      </c>
      <c r="B2486" t="n">
        <v>1.7251</v>
      </c>
      <c r="C2486" t="n">
        <v>1.4843</v>
      </c>
    </row>
    <row r="2487">
      <c r="A2487" t="n">
        <v>1.6285</v>
      </c>
      <c r="B2487" t="n">
        <v>1.488</v>
      </c>
      <c r="C2487" t="n">
        <v>1.4804</v>
      </c>
    </row>
    <row r="2488">
      <c r="A2488" t="n">
        <v>1.5099</v>
      </c>
      <c r="B2488" t="n">
        <v>1.4274</v>
      </c>
      <c r="C2488" t="n">
        <v>1.6747</v>
      </c>
    </row>
    <row r="2489">
      <c r="A2489" t="n">
        <v>1.6912</v>
      </c>
      <c r="B2489" t="n">
        <v>1.6699</v>
      </c>
      <c r="C2489" t="n">
        <v>1.693</v>
      </c>
    </row>
    <row r="2490">
      <c r="A2490" t="n">
        <v>1.4869</v>
      </c>
      <c r="B2490" t="n">
        <v>1.5349</v>
      </c>
      <c r="C2490" t="n">
        <v>1.5068</v>
      </c>
    </row>
    <row r="2491">
      <c r="A2491" t="n">
        <v>1.4208</v>
      </c>
      <c r="B2491" t="n">
        <v>1.6513</v>
      </c>
      <c r="C2491" t="n">
        <v>1.4308</v>
      </c>
    </row>
    <row r="2492">
      <c r="A2492" t="n">
        <v>1.389</v>
      </c>
      <c r="B2492" t="n">
        <v>1.5</v>
      </c>
      <c r="C2492" t="n">
        <v>1.4836</v>
      </c>
    </row>
    <row r="2493">
      <c r="A2493" t="n">
        <v>1.4315</v>
      </c>
      <c r="B2493" t="n">
        <v>1.4358</v>
      </c>
      <c r="C2493" t="n">
        <v>1.6649</v>
      </c>
    </row>
    <row r="2494">
      <c r="A2494" t="n">
        <v>1.4595</v>
      </c>
      <c r="B2494" t="n">
        <v>1.6111</v>
      </c>
      <c r="C2494" t="n">
        <v>1.7133</v>
      </c>
    </row>
    <row r="2495">
      <c r="A2495" t="n">
        <v>1.6572</v>
      </c>
      <c r="B2495" t="n">
        <v>1.5159</v>
      </c>
      <c r="C2495" t="n">
        <v>1.5288</v>
      </c>
    </row>
    <row r="2496">
      <c r="A2496" t="n">
        <v>1.6834</v>
      </c>
      <c r="B2496" t="n">
        <v>1.6329</v>
      </c>
      <c r="C2496" t="n">
        <v>1.4596</v>
      </c>
    </row>
    <row r="2497">
      <c r="A2497" t="n">
        <v>1.4731</v>
      </c>
      <c r="B2497" t="n">
        <v>1.4928</v>
      </c>
      <c r="C2497" t="n">
        <v>1.4094</v>
      </c>
    </row>
    <row r="2498">
      <c r="A2498" t="n">
        <v>1.8084</v>
      </c>
      <c r="B2498" t="n">
        <v>1.7658</v>
      </c>
      <c r="C2498" t="n">
        <v>1.6884</v>
      </c>
    </row>
    <row r="2499">
      <c r="A2499" t="n">
        <v>1.6383</v>
      </c>
      <c r="B2499" t="n">
        <v>1.4153</v>
      </c>
      <c r="C2499" t="n">
        <v>1.7188</v>
      </c>
    </row>
    <row r="2500">
      <c r="A2500" t="n">
        <v>1.5029</v>
      </c>
      <c r="B2500" t="n">
        <v>1.4471</v>
      </c>
      <c r="C2500" t="n">
        <v>1.4876</v>
      </c>
    </row>
    <row r="2501">
      <c r="A2501" t="n">
        <v>1.669</v>
      </c>
      <c r="B2501" t="n">
        <v>1.6135</v>
      </c>
      <c r="C2501" t="n">
        <v>1.4385</v>
      </c>
    </row>
    <row r="2502">
      <c r="A2502" t="n">
        <v>1.7713</v>
      </c>
      <c r="B2502" t="n">
        <v>1.5191</v>
      </c>
      <c r="C2502" t="n">
        <v>1.4263</v>
      </c>
    </row>
    <row r="2503">
      <c r="A2503" t="n">
        <v>1.5539</v>
      </c>
      <c r="B2503" t="n">
        <v>1.4146</v>
      </c>
      <c r="C2503" t="n">
        <v>1.6231</v>
      </c>
    </row>
    <row r="2504">
      <c r="A2504" t="n">
        <v>1.4334</v>
      </c>
      <c r="B2504" t="n">
        <v>1.4276</v>
      </c>
      <c r="C2504" t="n">
        <v>1.9282</v>
      </c>
    </row>
    <row r="2505">
      <c r="A2505" t="n">
        <v>1.4276</v>
      </c>
      <c r="B2505" t="n">
        <v>1.4186</v>
      </c>
      <c r="C2505" t="n">
        <v>1.4994</v>
      </c>
    </row>
    <row r="2506">
      <c r="A2506" t="n">
        <v>1.3919</v>
      </c>
      <c r="B2506" t="n">
        <v>1.4223</v>
      </c>
      <c r="C2506" t="n">
        <v>1.4426</v>
      </c>
    </row>
    <row r="2507">
      <c r="A2507" t="n">
        <v>1.4245</v>
      </c>
      <c r="B2507" t="n">
        <v>1.6272</v>
      </c>
      <c r="C2507" t="n">
        <v>1.4535</v>
      </c>
    </row>
    <row r="2508">
      <c r="A2508" t="n">
        <v>1.4639</v>
      </c>
      <c r="B2508" t="n">
        <v>1.8064</v>
      </c>
      <c r="C2508" t="n">
        <v>1.7317</v>
      </c>
    </row>
    <row r="2509">
      <c r="A2509" t="n">
        <v>1.4412</v>
      </c>
      <c r="B2509" t="n">
        <v>1.4841</v>
      </c>
      <c r="C2509" t="n">
        <v>1.6721</v>
      </c>
    </row>
    <row r="2510">
      <c r="A2510" t="n">
        <v>1.6484</v>
      </c>
      <c r="B2510" t="n">
        <v>1.4619</v>
      </c>
      <c r="C2510" t="n">
        <v>1.5135</v>
      </c>
    </row>
    <row r="2511">
      <c r="A2511" t="n">
        <v>1.811</v>
      </c>
      <c r="B2511" t="n">
        <v>1.4623</v>
      </c>
      <c r="C2511" t="n">
        <v>1.4599</v>
      </c>
    </row>
    <row r="2512">
      <c r="A2512" t="n">
        <v>1.4851</v>
      </c>
      <c r="B2512" t="n">
        <v>1.5922</v>
      </c>
      <c r="C2512" t="n">
        <v>1.4461</v>
      </c>
    </row>
    <row r="2513">
      <c r="A2513" t="n">
        <v>1.4326</v>
      </c>
      <c r="B2513" t="n">
        <v>1.8174</v>
      </c>
      <c r="C2513" t="n">
        <v>1.6396</v>
      </c>
    </row>
    <row r="2514">
      <c r="A2514" t="n">
        <v>1.4214</v>
      </c>
      <c r="B2514" t="n">
        <v>1.4981</v>
      </c>
      <c r="C2514" t="n">
        <v>2.0981</v>
      </c>
    </row>
    <row r="2515">
      <c r="A2515" t="n">
        <v>1.6624</v>
      </c>
      <c r="B2515" t="n">
        <v>1.4565</v>
      </c>
      <c r="C2515" t="n">
        <v>1.6555</v>
      </c>
    </row>
    <row r="2516">
      <c r="A2516" t="n">
        <v>1.692</v>
      </c>
      <c r="B2516" t="n">
        <v>1.4379</v>
      </c>
      <c r="C2516" t="n">
        <v>1.5223</v>
      </c>
    </row>
    <row r="2517">
      <c r="A2517" t="n">
        <v>1.4909</v>
      </c>
      <c r="B2517" t="n">
        <v>1.6141</v>
      </c>
      <c r="C2517" t="n">
        <v>1.6213</v>
      </c>
    </row>
    <row r="2518">
      <c r="A2518" t="n">
        <v>1.4525</v>
      </c>
      <c r="B2518" t="n">
        <v>1.8261</v>
      </c>
      <c r="C2518" t="n">
        <v>1.4874</v>
      </c>
    </row>
    <row r="2519">
      <c r="A2519" t="n">
        <v>1.4461</v>
      </c>
      <c r="B2519" t="n">
        <v>1.4902</v>
      </c>
      <c r="C2519" t="n">
        <v>1.4275</v>
      </c>
    </row>
    <row r="2520">
      <c r="A2520" t="n">
        <v>1.6405</v>
      </c>
      <c r="B2520" t="n">
        <v>1.4659</v>
      </c>
      <c r="C2520" t="n">
        <v>1.3987</v>
      </c>
    </row>
    <row r="2521">
      <c r="A2521" t="n">
        <v>1.8881</v>
      </c>
      <c r="B2521" t="n">
        <v>1.4412</v>
      </c>
      <c r="C2521" t="n">
        <v>1.4221</v>
      </c>
    </row>
    <row r="2522">
      <c r="A2522" t="n">
        <v>1.5194</v>
      </c>
      <c r="B2522" t="n">
        <v>1.6388</v>
      </c>
      <c r="C2522" t="n">
        <v>1.4625</v>
      </c>
    </row>
    <row r="2523">
      <c r="A2523" t="n">
        <v>1.4464</v>
      </c>
      <c r="B2523" t="n">
        <v>1.7926</v>
      </c>
      <c r="C2523" t="n">
        <v>1.4437</v>
      </c>
    </row>
    <row r="2524">
      <c r="A2524" t="n">
        <v>1.4204</v>
      </c>
      <c r="B2524" t="n">
        <v>1.458</v>
      </c>
      <c r="C2524" t="n">
        <v>1.4805</v>
      </c>
    </row>
    <row r="2525">
      <c r="A2525" t="n">
        <v>1.7042</v>
      </c>
      <c r="B2525" t="n">
        <v>1.4409</v>
      </c>
      <c r="C2525" t="n">
        <v>1.7002</v>
      </c>
    </row>
    <row r="2526">
      <c r="A2526" t="n">
        <v>1.8289</v>
      </c>
      <c r="B2526" t="n">
        <v>1.4519</v>
      </c>
      <c r="C2526" t="n">
        <v>1.4971</v>
      </c>
    </row>
    <row r="2527">
      <c r="A2527" t="n">
        <v>1.7999</v>
      </c>
      <c r="B2527" t="n">
        <v>1.6629</v>
      </c>
      <c r="C2527" t="n">
        <v>1.4487</v>
      </c>
    </row>
    <row r="2528">
      <c r="A2528" t="n">
        <v>1.5654</v>
      </c>
      <c r="B2528" t="n">
        <v>1.7829</v>
      </c>
      <c r="C2528" t="n">
        <v>1.4088</v>
      </c>
    </row>
    <row r="2529">
      <c r="A2529" t="n">
        <v>1.7008</v>
      </c>
      <c r="B2529" t="n">
        <v>1.4984</v>
      </c>
      <c r="C2529" t="n">
        <v>1.4708</v>
      </c>
    </row>
    <row r="2530">
      <c r="A2530" t="n">
        <v>1.8506</v>
      </c>
      <c r="B2530" t="n">
        <v>1.7578</v>
      </c>
      <c r="C2530" t="n">
        <v>1.688</v>
      </c>
    </row>
    <row r="2531">
      <c r="A2531" t="n">
        <v>1.7474</v>
      </c>
      <c r="B2531" t="n">
        <v>1.6447</v>
      </c>
      <c r="C2531" t="n">
        <v>1.5388</v>
      </c>
    </row>
    <row r="2532">
      <c r="A2532" t="n">
        <v>1.5281</v>
      </c>
      <c r="B2532" t="n">
        <v>1.5309</v>
      </c>
      <c r="C2532" t="n">
        <v>1.7341</v>
      </c>
    </row>
    <row r="2533">
      <c r="A2533" t="n">
        <v>1.652</v>
      </c>
      <c r="B2533" t="n">
        <v>1.6766</v>
      </c>
      <c r="C2533" t="n">
        <v>1.6733</v>
      </c>
    </row>
    <row r="2534">
      <c r="A2534" t="n">
        <v>1.7713</v>
      </c>
      <c r="B2534" t="n">
        <v>1.6992</v>
      </c>
      <c r="C2534" t="n">
        <v>1.556</v>
      </c>
    </row>
    <row r="2535">
      <c r="A2535" t="n">
        <v>1.5324</v>
      </c>
      <c r="B2535" t="n">
        <v>1.5692</v>
      </c>
      <c r="C2535" t="n">
        <v>1.6975</v>
      </c>
    </row>
    <row r="2536">
      <c r="A2536" t="n">
        <v>1.6889</v>
      </c>
      <c r="B2536" t="n">
        <v>1.7103</v>
      </c>
      <c r="C2536" t="n">
        <v>1.4962</v>
      </c>
    </row>
    <row r="2537">
      <c r="A2537" t="n">
        <v>1.5649</v>
      </c>
      <c r="B2537" t="n">
        <v>1.4871</v>
      </c>
      <c r="C2537" t="n">
        <v>1.4706</v>
      </c>
    </row>
    <row r="2538">
      <c r="A2538" t="n">
        <v>1.4694</v>
      </c>
      <c r="B2538" t="n">
        <v>1.476</v>
      </c>
      <c r="C2538" t="n">
        <v>1.642</v>
      </c>
    </row>
    <row r="2539">
      <c r="A2539" t="n">
        <v>1.6387</v>
      </c>
      <c r="B2539" t="n">
        <v>1.6118</v>
      </c>
      <c r="C2539" t="n">
        <v>1.5265</v>
      </c>
    </row>
    <row r="2540">
      <c r="A2540" t="n">
        <v>1.58</v>
      </c>
      <c r="B2540" t="n">
        <v>1.5564</v>
      </c>
      <c r="C2540" t="n">
        <v>1.7082</v>
      </c>
    </row>
    <row r="2541">
      <c r="A2541" t="n">
        <v>1.5689</v>
      </c>
      <c r="B2541" t="n">
        <v>1.6974</v>
      </c>
      <c r="C2541" t="n">
        <v>1.5301</v>
      </c>
    </row>
    <row r="2542">
      <c r="A2542" t="n">
        <v>1.4826</v>
      </c>
      <c r="B2542" t="n">
        <v>1.4697</v>
      </c>
      <c r="C2542" t="n">
        <v>1.4387</v>
      </c>
    </row>
    <row r="2543">
      <c r="A2543" t="n">
        <v>1.4612</v>
      </c>
      <c r="B2543" t="n">
        <v>1.4656</v>
      </c>
      <c r="C2543" t="n">
        <v>1.622</v>
      </c>
    </row>
    <row r="2544">
      <c r="A2544" t="n">
        <v>1.4252</v>
      </c>
      <c r="B2544" t="n">
        <v>1.6245</v>
      </c>
      <c r="C2544" t="n">
        <v>1.56</v>
      </c>
    </row>
    <row r="2545">
      <c r="A2545" t="n">
        <v>1.4985</v>
      </c>
      <c r="B2545" t="n">
        <v>1.5485</v>
      </c>
      <c r="C2545" t="n">
        <v>1.6567</v>
      </c>
    </row>
    <row r="2546">
      <c r="A2546" t="n">
        <v>1.6936</v>
      </c>
      <c r="B2546" t="n">
        <v>1.6683</v>
      </c>
      <c r="C2546" t="n">
        <v>1.8171</v>
      </c>
    </row>
    <row r="2547">
      <c r="A2547" t="n">
        <v>1.5231</v>
      </c>
      <c r="B2547" t="n">
        <v>1.5058</v>
      </c>
      <c r="C2547" t="n">
        <v>1.6977</v>
      </c>
    </row>
    <row r="2548">
      <c r="A2548" t="n">
        <v>1.414</v>
      </c>
      <c r="B2548" t="n">
        <v>1.4216</v>
      </c>
      <c r="C2548" t="n">
        <v>1.5068</v>
      </c>
    </row>
    <row r="2549">
      <c r="A2549" t="n">
        <v>1.4424</v>
      </c>
      <c r="B2549" t="n">
        <v>1.6457</v>
      </c>
      <c r="C2549" t="n">
        <v>1.7165</v>
      </c>
    </row>
    <row r="2550">
      <c r="A2550" t="n">
        <v>1.4982</v>
      </c>
      <c r="B2550" t="n">
        <v>1.5491</v>
      </c>
      <c r="C2550" t="n">
        <v>1.7501</v>
      </c>
    </row>
    <row r="2551">
      <c r="A2551" t="n">
        <v>1.4571</v>
      </c>
      <c r="B2551" t="n">
        <v>1.6494</v>
      </c>
      <c r="C2551" t="n">
        <v>1.5347</v>
      </c>
    </row>
    <row r="2552">
      <c r="A2552" t="n">
        <v>1.6733</v>
      </c>
      <c r="B2552" t="n">
        <v>1.5101</v>
      </c>
      <c r="C2552" t="n">
        <v>1.6708</v>
      </c>
    </row>
    <row r="2553">
      <c r="A2553" t="n">
        <v>1.7504</v>
      </c>
      <c r="B2553" t="n">
        <v>1.4366</v>
      </c>
      <c r="C2553" t="n">
        <v>1.4873</v>
      </c>
    </row>
    <row r="2554">
      <c r="A2554" t="n">
        <v>1.4795</v>
      </c>
      <c r="B2554" t="n">
        <v>1.3715</v>
      </c>
      <c r="C2554" t="n">
        <v>1.4397</v>
      </c>
    </row>
    <row r="2555">
      <c r="A2555" t="n">
        <v>1.4786</v>
      </c>
      <c r="B2555" t="n">
        <v>1.4665</v>
      </c>
      <c r="C2555" t="n">
        <v>1.6369</v>
      </c>
    </row>
    <row r="2556">
      <c r="A2556" t="n">
        <v>1.4507</v>
      </c>
      <c r="B2556" t="n">
        <v>1.513</v>
      </c>
      <c r="C2556" t="n">
        <v>1.5453</v>
      </c>
    </row>
    <row r="2557">
      <c r="A2557" t="n">
        <v>1.6312</v>
      </c>
      <c r="B2557" t="n">
        <v>1.4707</v>
      </c>
      <c r="C2557" t="n">
        <v>1.6095</v>
      </c>
    </row>
    <row r="2558">
      <c r="A2558" t="n">
        <v>1.7298</v>
      </c>
      <c r="B2558" t="n">
        <v>1.4768</v>
      </c>
      <c r="C2558" t="n">
        <v>1.5412</v>
      </c>
    </row>
    <row r="2559">
      <c r="A2559" t="n">
        <v>1.4938</v>
      </c>
      <c r="B2559" t="n">
        <v>1.6222</v>
      </c>
      <c r="C2559" t="n">
        <v>1.4553</v>
      </c>
    </row>
    <row r="2560">
      <c r="A2560" t="n">
        <v>1.4656</v>
      </c>
      <c r="B2560" t="n">
        <v>1.5051</v>
      </c>
      <c r="C2560" t="n">
        <v>1.3884</v>
      </c>
    </row>
    <row r="2561">
      <c r="A2561" t="n">
        <v>1.4566</v>
      </c>
      <c r="B2561" t="n">
        <v>1.5101</v>
      </c>
      <c r="C2561" t="n">
        <v>1.4569</v>
      </c>
    </row>
    <row r="2562">
      <c r="A2562" t="n">
        <v>1.995</v>
      </c>
      <c r="B2562" t="n">
        <v>2.0415</v>
      </c>
      <c r="C2562" t="n">
        <v>1.4615</v>
      </c>
    </row>
    <row r="2563">
      <c r="A2563" t="n">
        <v>1.726</v>
      </c>
      <c r="B2563" t="n">
        <v>1.7217</v>
      </c>
      <c r="C2563" t="n">
        <v>1.4205</v>
      </c>
    </row>
    <row r="2564">
      <c r="A2564" t="n">
        <v>1.7402</v>
      </c>
      <c r="B2564" t="n">
        <v>1.6988</v>
      </c>
      <c r="C2564" t="n">
        <v>1.4562</v>
      </c>
    </row>
    <row r="2565">
      <c r="A2565" t="n">
        <v>1.5417</v>
      </c>
      <c r="B2565" t="n">
        <v>1.526</v>
      </c>
      <c r="C2565" t="n">
        <v>1.6663</v>
      </c>
    </row>
    <row r="2566">
      <c r="A2566" t="n">
        <v>1.6682</v>
      </c>
      <c r="B2566" t="n">
        <v>1.6314</v>
      </c>
      <c r="C2566" t="n">
        <v>1.4641</v>
      </c>
    </row>
    <row r="2567">
      <c r="A2567" t="n">
        <v>1.7652</v>
      </c>
      <c r="B2567" t="n">
        <v>1.4995</v>
      </c>
      <c r="C2567" t="n">
        <v>1.4638</v>
      </c>
    </row>
    <row r="2568">
      <c r="A2568" t="n">
        <v>1.5456</v>
      </c>
      <c r="B2568" t="n">
        <v>1.4357</v>
      </c>
      <c r="C2568" t="n">
        <v>1.4055</v>
      </c>
    </row>
    <row r="2569">
      <c r="A2569" t="n">
        <v>1.4295</v>
      </c>
      <c r="B2569" t="n">
        <v>1.6547</v>
      </c>
      <c r="C2569" t="n">
        <v>1.4616</v>
      </c>
    </row>
    <row r="2570">
      <c r="A2570" t="n">
        <v>1.4471</v>
      </c>
      <c r="B2570" t="n">
        <v>1.5431</v>
      </c>
      <c r="C2570" t="n">
        <v>1.4656</v>
      </c>
    </row>
    <row r="2571">
      <c r="A2571" t="n">
        <v>1.4178</v>
      </c>
      <c r="B2571" t="n">
        <v>1.7064</v>
      </c>
      <c r="C2571" t="n">
        <v>1.4392</v>
      </c>
    </row>
    <row r="2572">
      <c r="A2572" t="n">
        <v>1.443</v>
      </c>
      <c r="B2572" t="n">
        <v>1.4825</v>
      </c>
      <c r="C2572" t="n">
        <v>1.4854</v>
      </c>
    </row>
    <row r="2573">
      <c r="A2573" t="n">
        <v>1.4316</v>
      </c>
      <c r="B2573" t="n">
        <v>1.4644</v>
      </c>
      <c r="C2573" t="n">
        <v>1.6786</v>
      </c>
    </row>
    <row r="2574">
      <c r="A2574" t="n">
        <v>1.4392</v>
      </c>
      <c r="B2574" t="n">
        <v>1.425</v>
      </c>
      <c r="C2574" t="n">
        <v>1.4943</v>
      </c>
    </row>
    <row r="2575">
      <c r="A2575" t="n">
        <v>1.4646</v>
      </c>
      <c r="B2575" t="n">
        <v>1.4487</v>
      </c>
      <c r="C2575" t="n">
        <v>1.4476</v>
      </c>
    </row>
    <row r="2576">
      <c r="A2576" t="n">
        <v>1.4292</v>
      </c>
      <c r="B2576" t="n">
        <v>1.4309</v>
      </c>
      <c r="C2576" t="n">
        <v>1.6248</v>
      </c>
    </row>
    <row r="2577">
      <c r="A2577" t="n">
        <v>1.7397</v>
      </c>
      <c r="B2577" t="n">
        <v>1.4403</v>
      </c>
      <c r="C2577" t="n">
        <v>1.8369</v>
      </c>
    </row>
    <row r="2578">
      <c r="A2578" t="n">
        <v>1.7141</v>
      </c>
      <c r="B2578" t="n">
        <v>1.4577</v>
      </c>
      <c r="C2578" t="n">
        <v>1.9796</v>
      </c>
    </row>
    <row r="2579">
      <c r="A2579" t="n">
        <v>1.5297</v>
      </c>
      <c r="B2579" t="n">
        <v>1.6899</v>
      </c>
      <c r="C2579" t="n">
        <v>1.5749</v>
      </c>
    </row>
    <row r="2580">
      <c r="A2580" t="n">
        <v>1.5098</v>
      </c>
      <c r="B2580" t="n">
        <v>1.5075</v>
      </c>
      <c r="C2580" t="n">
        <v>1.6839</v>
      </c>
    </row>
    <row r="2581">
      <c r="A2581" t="n">
        <v>1.4482</v>
      </c>
      <c r="B2581" t="n">
        <v>1.5026</v>
      </c>
      <c r="C2581" t="n">
        <v>1.4923</v>
      </c>
    </row>
    <row r="2582">
      <c r="A2582" t="n">
        <v>1.6658</v>
      </c>
      <c r="B2582" t="n">
        <v>1.7892</v>
      </c>
      <c r="C2582" t="n">
        <v>1.4741</v>
      </c>
    </row>
    <row r="2583">
      <c r="A2583" t="n">
        <v>1.7023</v>
      </c>
      <c r="B2583" t="n">
        <v>1.7088</v>
      </c>
      <c r="C2583" t="n">
        <v>1.6238</v>
      </c>
    </row>
    <row r="2584">
      <c r="A2584" t="n">
        <v>1.4758</v>
      </c>
      <c r="B2584" t="n">
        <v>1.5228</v>
      </c>
      <c r="C2584" t="n">
        <v>1.5751</v>
      </c>
    </row>
    <row r="2585">
      <c r="A2585" t="n">
        <v>1.5164</v>
      </c>
      <c r="B2585" t="n">
        <v>1.8487</v>
      </c>
      <c r="C2585" t="n">
        <v>3.3686</v>
      </c>
    </row>
    <row r="2586">
      <c r="A2586" t="n">
        <v>1.4474</v>
      </c>
      <c r="B2586" t="n">
        <v>1.5322</v>
      </c>
      <c r="C2586" t="n">
        <v>1.5877</v>
      </c>
    </row>
    <row r="2587">
      <c r="A2587" t="n">
        <v>1.6429</v>
      </c>
      <c r="B2587" t="n">
        <v>1.5567</v>
      </c>
      <c r="C2587" t="n">
        <v>1.6395</v>
      </c>
    </row>
    <row r="2588">
      <c r="A2588" t="n">
        <v>1.8299</v>
      </c>
      <c r="B2588" t="n">
        <v>1.5106</v>
      </c>
      <c r="C2588" t="n">
        <v>1.5777</v>
      </c>
    </row>
    <row r="2589">
      <c r="A2589" t="n">
        <v>1.567</v>
      </c>
      <c r="B2589" t="n">
        <v>1.8192</v>
      </c>
      <c r="C2589" t="n">
        <v>1.5287</v>
      </c>
    </row>
    <row r="2590">
      <c r="A2590" t="n">
        <v>1.5174</v>
      </c>
      <c r="B2590" t="n">
        <v>1.5276</v>
      </c>
      <c r="C2590" t="n">
        <v>1.5194</v>
      </c>
    </row>
    <row r="2591">
      <c r="A2591" t="n">
        <v>1.8018</v>
      </c>
      <c r="B2591" t="n">
        <v>1.6856</v>
      </c>
      <c r="C2591" t="n">
        <v>1.4793</v>
      </c>
    </row>
    <row r="2592">
      <c r="A2592" t="n">
        <v>1.5724</v>
      </c>
      <c r="B2592" t="n">
        <v>1.5011</v>
      </c>
      <c r="C2592" t="n">
        <v>1.4305</v>
      </c>
    </row>
    <row r="2593">
      <c r="A2593" t="n">
        <v>1.5295</v>
      </c>
      <c r="B2593" t="n">
        <v>1.4418</v>
      </c>
      <c r="C2593" t="n">
        <v>1.5542</v>
      </c>
    </row>
    <row r="2594">
      <c r="A2594" t="n">
        <v>1.785</v>
      </c>
      <c r="B2594" t="n">
        <v>1.7433</v>
      </c>
      <c r="C2594" t="n">
        <v>1.716</v>
      </c>
    </row>
    <row r="2595">
      <c r="A2595" t="n">
        <v>1.5726</v>
      </c>
      <c r="B2595" t="n">
        <v>1.4979</v>
      </c>
      <c r="C2595" t="n">
        <v>1.5022</v>
      </c>
    </row>
    <row r="2596">
      <c r="A2596" t="n">
        <v>1.4843</v>
      </c>
      <c r="B2596" t="n">
        <v>1.7067</v>
      </c>
      <c r="C2596" t="n">
        <v>1.4936</v>
      </c>
    </row>
    <row r="2597">
      <c r="A2597" t="n">
        <v>1.4892</v>
      </c>
      <c r="B2597" t="n">
        <v>1.5325</v>
      </c>
      <c r="C2597" t="n">
        <v>1.6853</v>
      </c>
    </row>
    <row r="2598">
      <c r="A2598" t="n">
        <v>1.4735</v>
      </c>
      <c r="B2598" t="n">
        <v>1.5119</v>
      </c>
      <c r="C2598" t="n">
        <v>1.7583</v>
      </c>
    </row>
    <row r="2599">
      <c r="A2599" t="n">
        <v>1.8151</v>
      </c>
      <c r="B2599" t="n">
        <v>1.7273</v>
      </c>
      <c r="C2599" t="n">
        <v>1.5176</v>
      </c>
    </row>
    <row r="2600">
      <c r="A2600" t="n">
        <v>1.8479</v>
      </c>
      <c r="B2600" t="n">
        <v>1.7015</v>
      </c>
      <c r="C2600" t="n">
        <v>1.4813</v>
      </c>
    </row>
    <row r="2601">
      <c r="A2601" t="n">
        <v>1.5054</v>
      </c>
      <c r="B2601" t="n">
        <v>1.5492</v>
      </c>
      <c r="C2601" t="n">
        <v>1.4725</v>
      </c>
    </row>
    <row r="2602">
      <c r="A2602" t="n">
        <v>1.4575</v>
      </c>
      <c r="B2602" t="n">
        <v>1.4833</v>
      </c>
      <c r="C2602" t="n">
        <v>1.7215</v>
      </c>
    </row>
    <row r="2603">
      <c r="A2603" t="n">
        <v>1.4886</v>
      </c>
      <c r="B2603" t="n">
        <v>1.492</v>
      </c>
      <c r="C2603" t="n">
        <v>1.7112</v>
      </c>
    </row>
    <row r="2604">
      <c r="A2604" t="n">
        <v>1.6813</v>
      </c>
      <c r="B2604" t="n">
        <v>1.6679</v>
      </c>
      <c r="C2604" t="n">
        <v>1.5038</v>
      </c>
    </row>
    <row r="2605">
      <c r="A2605" t="n">
        <v>1.7902</v>
      </c>
      <c r="B2605" t="n">
        <v>1.7694</v>
      </c>
      <c r="C2605" t="n">
        <v>1.4667</v>
      </c>
    </row>
    <row r="2606">
      <c r="A2606" t="n">
        <v>1.8159</v>
      </c>
      <c r="B2606" t="n">
        <v>1.8959</v>
      </c>
      <c r="C2606" t="n">
        <v>1.4809</v>
      </c>
    </row>
    <row r="2607">
      <c r="A2607" t="n">
        <v>1.5505</v>
      </c>
      <c r="B2607" t="n">
        <v>1.5957</v>
      </c>
      <c r="C2607" t="n">
        <v>1.6801</v>
      </c>
    </row>
    <row r="2608">
      <c r="A2608" t="n">
        <v>1.6652</v>
      </c>
      <c r="B2608" t="n">
        <v>1.4286</v>
      </c>
      <c r="C2608" t="n">
        <v>1.7465</v>
      </c>
    </row>
    <row r="2609">
      <c r="A2609" t="n">
        <v>1.5256</v>
      </c>
      <c r="B2609" t="n">
        <v>1.4598</v>
      </c>
      <c r="C2609" t="n">
        <v>1.8013</v>
      </c>
    </row>
    <row r="2610">
      <c r="A2610" t="n">
        <v>1.4715</v>
      </c>
      <c r="B2610" t="n">
        <v>1.4378</v>
      </c>
      <c r="C2610" t="n">
        <v>2.1133</v>
      </c>
    </row>
    <row r="2611">
      <c r="A2611" t="n">
        <v>1.7323</v>
      </c>
      <c r="B2611" t="n">
        <v>1.4607</v>
      </c>
      <c r="C2611" t="n">
        <v>1.8274</v>
      </c>
    </row>
    <row r="2612">
      <c r="A2612" t="n">
        <v>1.7746</v>
      </c>
      <c r="B2612" t="n">
        <v>1.4783</v>
      </c>
      <c r="C2612" t="n">
        <v>1.6059</v>
      </c>
    </row>
    <row r="2613">
      <c r="A2613" t="n">
        <v>1.4985</v>
      </c>
      <c r="B2613" t="n">
        <v>1.4704</v>
      </c>
      <c r="C2613" t="n">
        <v>1.6888</v>
      </c>
    </row>
    <row r="2614">
      <c r="A2614" t="n">
        <v>1.4653</v>
      </c>
      <c r="B2614" t="n">
        <v>1.5068</v>
      </c>
      <c r="C2614" t="n">
        <v>1.5312</v>
      </c>
    </row>
    <row r="2615">
      <c r="A2615" t="n">
        <v>1.4934</v>
      </c>
      <c r="B2615" t="n">
        <v>1.7165</v>
      </c>
      <c r="C2615" t="n">
        <v>1.4853</v>
      </c>
    </row>
    <row r="2616">
      <c r="A2616" t="n">
        <v>1.6831</v>
      </c>
      <c r="B2616" t="n">
        <v>1.5381</v>
      </c>
      <c r="C2616" t="n">
        <v>1.621</v>
      </c>
    </row>
    <row r="2617">
      <c r="A2617" t="n">
        <v>1.7015</v>
      </c>
      <c r="B2617" t="n">
        <v>1.4744</v>
      </c>
      <c r="C2617" t="n">
        <v>1.7925</v>
      </c>
    </row>
    <row r="2618">
      <c r="A2618" t="n">
        <v>1.4988</v>
      </c>
      <c r="B2618" t="n">
        <v>1.5153</v>
      </c>
      <c r="C2618" t="n">
        <v>1.5015</v>
      </c>
    </row>
    <row r="2619">
      <c r="A2619" t="n">
        <v>1.4934</v>
      </c>
      <c r="B2619" t="n">
        <v>1.7272</v>
      </c>
      <c r="C2619" t="n">
        <v>1.4666</v>
      </c>
    </row>
    <row r="2620">
      <c r="A2620" t="n">
        <v>1.4442</v>
      </c>
      <c r="B2620" t="n">
        <v>1.7429</v>
      </c>
      <c r="C2620" t="n">
        <v>1.4706</v>
      </c>
    </row>
    <row r="2621">
      <c r="A2621" t="n">
        <v>1.706</v>
      </c>
      <c r="B2621" t="n">
        <v>1.7302</v>
      </c>
      <c r="C2621" t="n">
        <v>1.7156</v>
      </c>
    </row>
    <row r="2622">
      <c r="A2622" t="n">
        <v>1.7056</v>
      </c>
      <c r="B2622" t="n">
        <v>1.5429</v>
      </c>
      <c r="C2622" t="n">
        <v>1.7428</v>
      </c>
    </row>
    <row r="2623">
      <c r="A2623" t="n">
        <v>1.498</v>
      </c>
      <c r="B2623" t="n">
        <v>1.6974</v>
      </c>
      <c r="C2623" t="n">
        <v>1.5364</v>
      </c>
    </row>
    <row r="2624">
      <c r="A2624" t="n">
        <v>1.4819</v>
      </c>
      <c r="B2624" t="n">
        <v>1.49</v>
      </c>
      <c r="C2624" t="n">
        <v>1.4577</v>
      </c>
    </row>
    <row r="2625">
      <c r="A2625" t="n">
        <v>1.4796</v>
      </c>
      <c r="B2625" t="n">
        <v>1.4858</v>
      </c>
      <c r="C2625" t="n">
        <v>1.4536</v>
      </c>
    </row>
    <row r="2626">
      <c r="A2626" t="n">
        <v>2.0018</v>
      </c>
      <c r="B2626" t="n">
        <v>2.0099</v>
      </c>
      <c r="C2626" t="n">
        <v>1.686</v>
      </c>
    </row>
    <row r="2627">
      <c r="A2627" t="n">
        <v>1.8183</v>
      </c>
      <c r="B2627" t="n">
        <v>1.756</v>
      </c>
      <c r="C2627" t="n">
        <v>1.7288</v>
      </c>
    </row>
    <row r="2628">
      <c r="A2628" t="n">
        <v>1.8345</v>
      </c>
      <c r="B2628" t="n">
        <v>1.7163</v>
      </c>
      <c r="C2628" t="n">
        <v>1.4869</v>
      </c>
    </row>
    <row r="2629">
      <c r="A2629" t="n">
        <v>1.9598</v>
      </c>
      <c r="B2629" t="n">
        <v>1.5224</v>
      </c>
      <c r="C2629" t="n">
        <v>1.4775</v>
      </c>
    </row>
    <row r="2630">
      <c r="A2630" t="n">
        <v>1.4802</v>
      </c>
      <c r="B2630" t="n">
        <v>1.7453</v>
      </c>
      <c r="C2630" t="n">
        <v>1.4743</v>
      </c>
    </row>
    <row r="2631">
      <c r="A2631" t="n">
        <v>1.4895</v>
      </c>
      <c r="B2631" t="n">
        <v>1.5251</v>
      </c>
      <c r="C2631" t="n">
        <v>1.4293</v>
      </c>
    </row>
    <row r="2632">
      <c r="A2632" t="n">
        <v>1.4037</v>
      </c>
      <c r="B2632" t="n">
        <v>1.4637</v>
      </c>
      <c r="C2632" t="n">
        <v>1.5757</v>
      </c>
    </row>
    <row r="2633">
      <c r="A2633" t="n">
        <v>1.6849</v>
      </c>
      <c r="B2633" t="n">
        <v>1.658</v>
      </c>
      <c r="C2633" t="n">
        <v>1.4723</v>
      </c>
    </row>
    <row r="2634">
      <c r="A2634" t="n">
        <v>1.7322</v>
      </c>
      <c r="B2634" t="n">
        <v>1.8238</v>
      </c>
      <c r="C2634" t="n">
        <v>1.4406</v>
      </c>
    </row>
    <row r="2635">
      <c r="A2635" t="n">
        <v>1.6873</v>
      </c>
      <c r="B2635" t="n">
        <v>1.5046</v>
      </c>
      <c r="C2635" t="n">
        <v>1.4704</v>
      </c>
    </row>
    <row r="2636">
      <c r="A2636" t="n">
        <v>1.5383</v>
      </c>
      <c r="B2636" t="n">
        <v>1.4883</v>
      </c>
      <c r="C2636" t="n">
        <v>1.4311</v>
      </c>
    </row>
    <row r="2637">
      <c r="A2637" t="n">
        <v>1.6662</v>
      </c>
      <c r="B2637" t="n">
        <v>1.4793</v>
      </c>
      <c r="C2637" t="n">
        <v>1.4583</v>
      </c>
    </row>
    <row r="2638">
      <c r="A2638" t="n">
        <v>1.7073</v>
      </c>
      <c r="B2638" t="n">
        <v>1.7109</v>
      </c>
      <c r="C2638" t="n">
        <v>1.4702</v>
      </c>
    </row>
    <row r="2639">
      <c r="A2639" t="n">
        <v>1.5837</v>
      </c>
      <c r="B2639" t="n">
        <v>1.781</v>
      </c>
      <c r="C2639" t="n">
        <v>1.6235</v>
      </c>
    </row>
    <row r="2640">
      <c r="A2640" t="n">
        <v>1.4392</v>
      </c>
      <c r="B2640" t="n">
        <v>1.7811</v>
      </c>
      <c r="C2640" t="n">
        <v>2.454</v>
      </c>
    </row>
    <row r="2641">
      <c r="A2641" t="n">
        <v>1.4201</v>
      </c>
      <c r="B2641" t="n">
        <v>1.5209</v>
      </c>
      <c r="C2641" t="n">
        <v>2.0634</v>
      </c>
    </row>
    <row r="2642">
      <c r="A2642" t="n">
        <v>1.4233</v>
      </c>
      <c r="B2642" t="n">
        <v>1.6709</v>
      </c>
      <c r="C2642" t="n">
        <v>2.4626</v>
      </c>
    </row>
    <row r="2643">
      <c r="A2643" t="n">
        <v>1.4495</v>
      </c>
      <c r="B2643" t="n">
        <v>1.5344</v>
      </c>
      <c r="C2643" t="n">
        <v>2.0213</v>
      </c>
    </row>
    <row r="2644">
      <c r="A2644" t="n">
        <v>1.4158</v>
      </c>
      <c r="B2644" t="n">
        <v>1.4492</v>
      </c>
      <c r="C2644" t="n">
        <v>2.051</v>
      </c>
    </row>
    <row r="2645">
      <c r="A2645" t="n">
        <v>1.4311</v>
      </c>
      <c r="B2645" t="n">
        <v>1.42</v>
      </c>
      <c r="C2645" t="n">
        <v>1.7593</v>
      </c>
    </row>
    <row r="2646">
      <c r="A2646" t="n">
        <v>1.4581</v>
      </c>
      <c r="B2646" t="n">
        <v>1.4665</v>
      </c>
      <c r="C2646" t="n">
        <v>1.5414</v>
      </c>
    </row>
    <row r="2647">
      <c r="A2647" t="n">
        <v>1.4463</v>
      </c>
      <c r="B2647" t="n">
        <v>1.4276</v>
      </c>
      <c r="C2647" t="n">
        <v>1.5164</v>
      </c>
    </row>
    <row r="2648">
      <c r="A2648" t="n">
        <v>1.7383</v>
      </c>
      <c r="B2648" t="n">
        <v>1.4532</v>
      </c>
      <c r="C2648" t="n">
        <v>1.5277</v>
      </c>
    </row>
    <row r="2649">
      <c r="A2649" t="n">
        <v>1.6914</v>
      </c>
      <c r="B2649" t="n">
        <v>1.7481</v>
      </c>
      <c r="C2649" t="n">
        <v>1.4978</v>
      </c>
    </row>
    <row r="2650">
      <c r="A2650" t="n">
        <v>1.4804</v>
      </c>
      <c r="B2650" t="n">
        <v>1.5008</v>
      </c>
      <c r="C2650" t="n">
        <v>1.475</v>
      </c>
    </row>
    <row r="2651">
      <c r="A2651" t="n">
        <v>1.4674</v>
      </c>
      <c r="B2651" t="n">
        <v>1.4695</v>
      </c>
      <c r="C2651" t="n">
        <v>1.4973</v>
      </c>
    </row>
    <row r="2652">
      <c r="A2652" t="n">
        <v>1.4392</v>
      </c>
      <c r="B2652" t="n">
        <v>1.4782</v>
      </c>
      <c r="C2652" t="n">
        <v>1.4639</v>
      </c>
    </row>
    <row r="2653">
      <c r="A2653" t="n">
        <v>1.606</v>
      </c>
      <c r="B2653" t="n">
        <v>1.7029</v>
      </c>
      <c r="C2653" t="n">
        <v>1.5395</v>
      </c>
    </row>
    <row r="2654">
      <c r="A2654" t="n">
        <v>1.7907</v>
      </c>
      <c r="B2654" t="n">
        <v>1.7409</v>
      </c>
      <c r="C2654" t="n">
        <v>1.5172</v>
      </c>
    </row>
    <row r="2655">
      <c r="A2655" t="n">
        <v>1.5026</v>
      </c>
      <c r="B2655" t="n">
        <v>1.513</v>
      </c>
      <c r="C2655" t="n">
        <v>1.4851</v>
      </c>
    </row>
    <row r="2656">
      <c r="A2656" t="n">
        <v>1.4493</v>
      </c>
      <c r="B2656" t="n">
        <v>1.4629</v>
      </c>
      <c r="C2656" t="n">
        <v>1.4909</v>
      </c>
    </row>
    <row r="2657">
      <c r="A2657" t="n">
        <v>1.4641</v>
      </c>
      <c r="B2657" t="n">
        <v>1.5469</v>
      </c>
      <c r="C2657" t="n">
        <v>1.497</v>
      </c>
    </row>
    <row r="2658">
      <c r="A2658" t="n">
        <v>2.0025</v>
      </c>
      <c r="B2658" t="n">
        <v>1.82</v>
      </c>
      <c r="C2658" t="n">
        <v>1.5519</v>
      </c>
    </row>
    <row r="2659">
      <c r="A2659" t="n">
        <v>1.7058</v>
      </c>
      <c r="B2659" t="n">
        <v>1.733</v>
      </c>
      <c r="C2659" t="n">
        <v>1.4435</v>
      </c>
    </row>
    <row r="2660">
      <c r="A2660" t="n">
        <v>1.7272</v>
      </c>
      <c r="B2660" t="n">
        <v>1.7222</v>
      </c>
      <c r="C2660" t="n">
        <v>1.5548</v>
      </c>
    </row>
    <row r="2661">
      <c r="A2661" t="n">
        <v>1.5508</v>
      </c>
      <c r="B2661" t="n">
        <v>1.8632</v>
      </c>
      <c r="C2661" t="n">
        <v>1.7277</v>
      </c>
    </row>
    <row r="2662">
      <c r="A2662" t="n">
        <v>1.6505</v>
      </c>
      <c r="B2662" t="n">
        <v>1.4778</v>
      </c>
      <c r="C2662" t="n">
        <v>1.6732</v>
      </c>
    </row>
    <row r="2663">
      <c r="A2663" t="n">
        <v>1.5047</v>
      </c>
      <c r="B2663" t="n">
        <v>1.4906</v>
      </c>
      <c r="C2663" t="n">
        <v>1.5408</v>
      </c>
    </row>
    <row r="2664">
      <c r="A2664" t="n">
        <v>1.4676</v>
      </c>
      <c r="B2664" t="n">
        <v>1.467</v>
      </c>
      <c r="C2664" t="n">
        <v>1.7129</v>
      </c>
    </row>
    <row r="2665">
      <c r="A2665" t="n">
        <v>1.6758</v>
      </c>
      <c r="B2665" t="n">
        <v>1.6614</v>
      </c>
      <c r="C2665" t="n">
        <v>1.5172</v>
      </c>
    </row>
    <row r="2666">
      <c r="A2666" t="n">
        <v>1.5642</v>
      </c>
      <c r="B2666" t="n">
        <v>1.7192</v>
      </c>
      <c r="C2666" t="n">
        <v>1.4901</v>
      </c>
    </row>
    <row r="2667">
      <c r="A2667" t="n">
        <v>1.4296</v>
      </c>
      <c r="B2667" t="n">
        <v>1.4962</v>
      </c>
      <c r="C2667" t="n">
        <v>1.6451</v>
      </c>
    </row>
    <row r="2668">
      <c r="A2668" t="n">
        <v>1.4374</v>
      </c>
      <c r="B2668" t="n">
        <v>1.4501</v>
      </c>
      <c r="C2668" t="n">
        <v>1.5411</v>
      </c>
    </row>
    <row r="2669">
      <c r="A2669" t="n">
        <v>1.4103</v>
      </c>
      <c r="B2669" t="n">
        <v>1.4549</v>
      </c>
      <c r="C2669" t="n">
        <v>1.4342</v>
      </c>
    </row>
    <row r="2670">
      <c r="A2670" t="n">
        <v>1.4519</v>
      </c>
      <c r="B2670" t="n">
        <v>1.6731</v>
      </c>
      <c r="C2670" t="n">
        <v>1.4645</v>
      </c>
    </row>
    <row r="2671">
      <c r="A2671" t="n">
        <v>1.4333</v>
      </c>
      <c r="B2671" t="n">
        <v>1.7612</v>
      </c>
      <c r="C2671" t="n">
        <v>1.4254</v>
      </c>
    </row>
    <row r="2672">
      <c r="A2672" t="n">
        <v>1.438</v>
      </c>
      <c r="B2672" t="n">
        <v>1.5296</v>
      </c>
      <c r="C2672" t="n">
        <v>1.4755</v>
      </c>
    </row>
    <row r="2673">
      <c r="A2673" t="n">
        <v>1.6397</v>
      </c>
      <c r="B2673" t="n">
        <v>1.4785</v>
      </c>
      <c r="C2673" t="n">
        <v>1.4779</v>
      </c>
    </row>
    <row r="2674">
      <c r="A2674" t="n">
        <v>1.7722</v>
      </c>
      <c r="B2674" t="n">
        <v>1.4322</v>
      </c>
      <c r="C2674" t="n">
        <v>2.0049</v>
      </c>
    </row>
    <row r="2675">
      <c r="A2675" t="n">
        <v>1.4888</v>
      </c>
      <c r="B2675" t="n">
        <v>1.6593</v>
      </c>
      <c r="C2675" t="n">
        <v>1.534</v>
      </c>
    </row>
    <row r="2676">
      <c r="A2676" t="n">
        <v>1.4215</v>
      </c>
      <c r="B2676" t="n">
        <v>1.7137</v>
      </c>
      <c r="C2676" t="n">
        <v>1.4299</v>
      </c>
    </row>
    <row r="2677">
      <c r="A2677" t="n">
        <v>1.4158</v>
      </c>
      <c r="B2677" t="n">
        <v>1.4806</v>
      </c>
      <c r="C2677" t="n">
        <v>1.4496</v>
      </c>
    </row>
    <row r="2678">
      <c r="A2678" t="n">
        <v>1.6228</v>
      </c>
      <c r="B2678" t="n">
        <v>1.6697</v>
      </c>
      <c r="C2678" t="n">
        <v>1.4384</v>
      </c>
    </row>
    <row r="2679">
      <c r="A2679" t="n">
        <v>1.5394</v>
      </c>
      <c r="B2679" t="n">
        <v>1.6696</v>
      </c>
      <c r="C2679" t="n">
        <v>1.4401</v>
      </c>
    </row>
    <row r="2680">
      <c r="A2680" t="n">
        <v>1.6157</v>
      </c>
      <c r="B2680" t="n">
        <v>1.5021</v>
      </c>
      <c r="C2680" t="n">
        <v>1.6591</v>
      </c>
    </row>
    <row r="2681">
      <c r="A2681" t="n">
        <v>1.4771</v>
      </c>
      <c r="B2681" t="n">
        <v>1.6326</v>
      </c>
      <c r="C2681" t="n">
        <v>1.7185</v>
      </c>
    </row>
    <row r="2682">
      <c r="A2682" t="n">
        <v>1.4364</v>
      </c>
      <c r="B2682" t="n">
        <v>1.7667</v>
      </c>
      <c r="C2682" t="n">
        <v>1.5191</v>
      </c>
    </row>
    <row r="2683">
      <c r="A2683" t="n">
        <v>1.3801</v>
      </c>
      <c r="B2683" t="n">
        <v>1.5268</v>
      </c>
      <c r="C2683" t="n">
        <v>1.4605</v>
      </c>
    </row>
    <row r="2684">
      <c r="A2684" t="n">
        <v>1.4131</v>
      </c>
      <c r="B2684" t="n">
        <v>1.6659</v>
      </c>
      <c r="C2684" t="n">
        <v>1.4706</v>
      </c>
    </row>
    <row r="2685">
      <c r="A2685" t="n">
        <v>1.4266</v>
      </c>
      <c r="B2685" t="n">
        <v>1.5034</v>
      </c>
      <c r="C2685" t="n">
        <v>1.6872</v>
      </c>
    </row>
    <row r="2686">
      <c r="A2686" t="n">
        <v>1.4054</v>
      </c>
      <c r="B2686" t="n">
        <v>1.4808</v>
      </c>
      <c r="C2686" t="n">
        <v>1.6622</v>
      </c>
    </row>
    <row r="2687">
      <c r="A2687" t="n">
        <v>1.5158</v>
      </c>
      <c r="B2687" t="n">
        <v>1.6897</v>
      </c>
      <c r="C2687" t="n">
        <v>1.514</v>
      </c>
    </row>
    <row r="2688">
      <c r="A2688" t="n">
        <v>1.6371</v>
      </c>
      <c r="B2688" t="n">
        <v>1.5684</v>
      </c>
      <c r="C2688" t="n">
        <v>1.4596</v>
      </c>
    </row>
    <row r="2689">
      <c r="A2689" t="n">
        <v>1.4998</v>
      </c>
      <c r="B2689" t="n">
        <v>1.4166</v>
      </c>
      <c r="C2689" t="n">
        <v>1.4307</v>
      </c>
    </row>
    <row r="2690">
      <c r="A2690" t="n">
        <v>1.7622</v>
      </c>
      <c r="B2690" t="n">
        <v>1.8052</v>
      </c>
      <c r="C2690" t="n">
        <v>1.6712</v>
      </c>
    </row>
    <row r="2691">
      <c r="A2691" t="n">
        <v>1.7094</v>
      </c>
      <c r="B2691" t="n">
        <v>1.4511</v>
      </c>
      <c r="C2691" t="n">
        <v>1.7386</v>
      </c>
    </row>
    <row r="2692">
      <c r="A2692" t="n">
        <v>1.7327</v>
      </c>
      <c r="B2692" t="n">
        <v>1.4149</v>
      </c>
      <c r="C2692" t="n">
        <v>1.4712</v>
      </c>
    </row>
    <row r="2693">
      <c r="A2693" t="n">
        <v>1.4777</v>
      </c>
      <c r="B2693" t="n">
        <v>1.4795</v>
      </c>
      <c r="C2693" t="n">
        <v>1.4329</v>
      </c>
    </row>
    <row r="2694">
      <c r="A2694" t="n">
        <v>1.4726</v>
      </c>
      <c r="B2694" t="n">
        <v>1.6895</v>
      </c>
      <c r="C2694" t="n">
        <v>1.4492</v>
      </c>
    </row>
    <row r="2695">
      <c r="A2695" t="n">
        <v>1.4227</v>
      </c>
      <c r="B2695" t="n">
        <v>1.5086</v>
      </c>
      <c r="C2695" t="n">
        <v>1.5927</v>
      </c>
    </row>
    <row r="2696">
      <c r="A2696" t="n">
        <v>1.6532</v>
      </c>
      <c r="B2696" t="n">
        <v>1.4133</v>
      </c>
      <c r="C2696" t="n">
        <v>1.539</v>
      </c>
    </row>
    <row r="2697">
      <c r="A2697" t="n">
        <v>1.6536</v>
      </c>
      <c r="B2697" t="n">
        <v>1.4181</v>
      </c>
      <c r="C2697" t="n">
        <v>1.6533</v>
      </c>
    </row>
    <row r="2698">
      <c r="A2698" t="n">
        <v>1.4692</v>
      </c>
      <c r="B2698" t="n">
        <v>1.4243</v>
      </c>
      <c r="C2698" t="n">
        <v>1.4704</v>
      </c>
    </row>
    <row r="2699">
      <c r="A2699" t="n">
        <v>1.4482</v>
      </c>
      <c r="B2699" t="n">
        <v>1.4441</v>
      </c>
      <c r="C2699" t="n">
        <v>1.4614</v>
      </c>
    </row>
    <row r="2700">
      <c r="A2700" t="n">
        <v>1.4527</v>
      </c>
      <c r="B2700" t="n">
        <v>1.7369</v>
      </c>
      <c r="C2700" t="n">
        <v>1.6194</v>
      </c>
    </row>
    <row r="2701">
      <c r="A2701" t="n">
        <v>1.6112</v>
      </c>
      <c r="B2701" t="n">
        <v>1.723</v>
      </c>
      <c r="C2701" t="n">
        <v>1.5149</v>
      </c>
    </row>
    <row r="2702">
      <c r="A2702" t="n">
        <v>1.5351</v>
      </c>
      <c r="B2702" t="n">
        <v>1.4842</v>
      </c>
      <c r="C2702" t="n">
        <v>1.698</v>
      </c>
    </row>
    <row r="2703">
      <c r="A2703" t="n">
        <v>1.6504</v>
      </c>
      <c r="B2703" t="n">
        <v>1.4355</v>
      </c>
      <c r="C2703" t="n">
        <v>1.4919</v>
      </c>
    </row>
    <row r="2704">
      <c r="A2704" t="n">
        <v>1.4693</v>
      </c>
      <c r="B2704" t="n">
        <v>1.4028</v>
      </c>
      <c r="C2704" t="n">
        <v>1.4318</v>
      </c>
    </row>
    <row r="2705">
      <c r="A2705" t="n">
        <v>1.4376</v>
      </c>
      <c r="B2705" t="n">
        <v>1.5998</v>
      </c>
      <c r="C2705" t="n">
        <v>1.4229</v>
      </c>
    </row>
    <row r="2706">
      <c r="A2706" t="n">
        <v>1.4271</v>
      </c>
      <c r="B2706" t="n">
        <v>1.5172</v>
      </c>
      <c r="C2706" t="n">
        <v>1.7476</v>
      </c>
    </row>
    <row r="2707">
      <c r="A2707" t="n">
        <v>1.4233</v>
      </c>
      <c r="B2707" t="n">
        <v>1.7214</v>
      </c>
      <c r="C2707" t="n">
        <v>1.5993</v>
      </c>
    </row>
    <row r="2708">
      <c r="A2708" t="n">
        <v>1.4179</v>
      </c>
      <c r="B2708" t="n">
        <v>1.4998</v>
      </c>
      <c r="C2708" t="n">
        <v>1.552</v>
      </c>
    </row>
    <row r="2709">
      <c r="A2709" t="n">
        <v>1.6541</v>
      </c>
      <c r="B2709" t="n">
        <v>1.4387</v>
      </c>
      <c r="C2709" t="n">
        <v>1.4516</v>
      </c>
    </row>
    <row r="2710">
      <c r="A2710" t="n">
        <v>1.7015</v>
      </c>
      <c r="B2710" t="n">
        <v>1.6063</v>
      </c>
      <c r="C2710" t="n">
        <v>1.4209</v>
      </c>
    </row>
    <row r="2711">
      <c r="A2711" t="n">
        <v>1.4915</v>
      </c>
      <c r="B2711" t="n">
        <v>1.5372</v>
      </c>
      <c r="C2711" t="n">
        <v>1.4291</v>
      </c>
    </row>
    <row r="2712">
      <c r="A2712" t="n">
        <v>1.4506</v>
      </c>
      <c r="B2712" t="n">
        <v>1.6626</v>
      </c>
      <c r="C2712" t="n">
        <v>1.4259</v>
      </c>
    </row>
    <row r="2713">
      <c r="A2713" t="n">
        <v>1.4209</v>
      </c>
      <c r="B2713" t="n">
        <v>1.4792</v>
      </c>
      <c r="C2713" t="n">
        <v>1.6323</v>
      </c>
    </row>
    <row r="2714">
      <c r="A2714" t="n">
        <v>1.6053</v>
      </c>
      <c r="B2714" t="n">
        <v>1.4703</v>
      </c>
      <c r="C2714" t="n">
        <v>1.6769</v>
      </c>
    </row>
    <row r="2715">
      <c r="A2715" t="n">
        <v>1.7874</v>
      </c>
      <c r="B2715" t="n">
        <v>1.4204</v>
      </c>
      <c r="C2715" t="n">
        <v>1.4947</v>
      </c>
    </row>
    <row r="2716">
      <c r="A2716" t="n">
        <v>1.4865</v>
      </c>
      <c r="B2716" t="n">
        <v>1.4376</v>
      </c>
      <c r="C2716" t="n">
        <v>1.4259</v>
      </c>
    </row>
    <row r="2717">
      <c r="A2717" t="n">
        <v>1.431</v>
      </c>
      <c r="B2717" t="n">
        <v>1.7101</v>
      </c>
      <c r="C2717" t="n">
        <v>1.4521</v>
      </c>
    </row>
    <row r="2718">
      <c r="A2718" t="n">
        <v>1.4317</v>
      </c>
      <c r="B2718" t="n">
        <v>1.5323</v>
      </c>
      <c r="C2718" t="n">
        <v>1.6497</v>
      </c>
    </row>
    <row r="2719">
      <c r="A2719" t="n">
        <v>1.6534</v>
      </c>
      <c r="B2719" t="n">
        <v>1.7182</v>
      </c>
      <c r="C2719" t="n">
        <v>1.5322</v>
      </c>
    </row>
    <row r="2720">
      <c r="A2720" t="n">
        <v>1.5663</v>
      </c>
      <c r="B2720" t="n">
        <v>1.6774</v>
      </c>
      <c r="C2720" t="n">
        <v>1.6523</v>
      </c>
    </row>
    <row r="2721">
      <c r="A2721" t="n">
        <v>1.4299</v>
      </c>
      <c r="B2721" t="n">
        <v>1.5358</v>
      </c>
      <c r="C2721" t="n">
        <v>1.4769</v>
      </c>
    </row>
    <row r="2722">
      <c r="A2722" t="n">
        <v>1.7337</v>
      </c>
      <c r="B2722" t="n">
        <v>1.9343</v>
      </c>
      <c r="C2722" t="n">
        <v>1.4314</v>
      </c>
    </row>
    <row r="2723">
      <c r="A2723" t="n">
        <v>1.4404</v>
      </c>
      <c r="B2723" t="n">
        <v>1.7303</v>
      </c>
      <c r="C2723" t="n">
        <v>1.6323</v>
      </c>
    </row>
    <row r="2724">
      <c r="A2724" t="n">
        <v>1.6856</v>
      </c>
      <c r="B2724" t="n">
        <v>1.6645</v>
      </c>
      <c r="C2724" t="n">
        <v>1.5183</v>
      </c>
    </row>
    <row r="2725">
      <c r="A2725" t="n">
        <v>1.4819</v>
      </c>
      <c r="B2725" t="n">
        <v>1.5049</v>
      </c>
      <c r="C2725" t="n">
        <v>1.6016</v>
      </c>
    </row>
    <row r="2726">
      <c r="A2726" t="n">
        <v>1.6377</v>
      </c>
      <c r="B2726" t="n">
        <v>1.4446</v>
      </c>
      <c r="C2726" t="n">
        <v>1.5117</v>
      </c>
    </row>
    <row r="2727">
      <c r="A2727" t="n">
        <v>1.4764</v>
      </c>
      <c r="B2727" t="n">
        <v>1.4469</v>
      </c>
      <c r="C2727" t="n">
        <v>1.4246</v>
      </c>
    </row>
    <row r="2728">
      <c r="A2728" t="n">
        <v>1.4124</v>
      </c>
      <c r="B2728" t="n">
        <v>1.4184</v>
      </c>
      <c r="C2728" t="n">
        <v>1.409</v>
      </c>
    </row>
    <row r="2729">
      <c r="A2729" t="n">
        <v>1.4014</v>
      </c>
      <c r="B2729" t="n">
        <v>1.4431</v>
      </c>
      <c r="C2729" t="n">
        <v>1.4432</v>
      </c>
    </row>
    <row r="2730">
      <c r="A2730" t="n">
        <v>1.4127</v>
      </c>
      <c r="B2730" t="n">
        <v>1.664</v>
      </c>
      <c r="C2730" t="n">
        <v>1.4609</v>
      </c>
    </row>
    <row r="2731">
      <c r="A2731" t="n">
        <v>1.4414</v>
      </c>
      <c r="B2731" t="n">
        <v>1.7332</v>
      </c>
      <c r="C2731" t="n">
        <v>1.6275</v>
      </c>
    </row>
    <row r="2732">
      <c r="A2732" t="n">
        <v>1.6924</v>
      </c>
      <c r="B2732" t="n">
        <v>1.4736</v>
      </c>
      <c r="C2732" t="n">
        <v>1.6961</v>
      </c>
    </row>
    <row r="2733">
      <c r="A2733" t="n">
        <v>1.7029</v>
      </c>
      <c r="B2733" t="n">
        <v>1.4486</v>
      </c>
      <c r="C2733" t="n">
        <v>1.4768</v>
      </c>
    </row>
    <row r="2734">
      <c r="A2734" t="n">
        <v>1.4793</v>
      </c>
      <c r="B2734" t="n">
        <v>1.4127</v>
      </c>
      <c r="C2734" t="n">
        <v>1.4216</v>
      </c>
    </row>
    <row r="2735">
      <c r="A2735" t="n">
        <v>1.4382</v>
      </c>
      <c r="B2735" t="n">
        <v>1.4311</v>
      </c>
      <c r="C2735" t="n">
        <v>1.4525</v>
      </c>
    </row>
    <row r="2736">
      <c r="A2736" t="n">
        <v>1.4088</v>
      </c>
      <c r="B2736" t="n">
        <v>1.5016</v>
      </c>
      <c r="C2736" t="n">
        <v>1.6168</v>
      </c>
    </row>
    <row r="2737">
      <c r="A2737" t="n">
        <v>1.6849</v>
      </c>
      <c r="B2737" t="n">
        <v>1.6763</v>
      </c>
      <c r="C2737" t="n">
        <v>1.5175</v>
      </c>
    </row>
    <row r="2738">
      <c r="A2738" t="n">
        <v>1.7182</v>
      </c>
      <c r="B2738" t="n">
        <v>1.5347</v>
      </c>
      <c r="C2738" t="n">
        <v>1.967</v>
      </c>
    </row>
    <row r="2739">
      <c r="A2739" t="n">
        <v>1.505</v>
      </c>
      <c r="B2739" t="n">
        <v>1.4666</v>
      </c>
      <c r="C2739" t="n">
        <v>1.7195</v>
      </c>
    </row>
    <row r="2740">
      <c r="A2740" t="n">
        <v>1.4081</v>
      </c>
      <c r="B2740" t="n">
        <v>1.4171</v>
      </c>
      <c r="C2740" t="n">
        <v>1.6686</v>
      </c>
    </row>
    <row r="2741">
      <c r="A2741" t="n">
        <v>1.4423</v>
      </c>
      <c r="B2741" t="n">
        <v>1.4597</v>
      </c>
      <c r="C2741" t="n">
        <v>1.5081</v>
      </c>
    </row>
    <row r="2742">
      <c r="A2742" t="n">
        <v>1.583</v>
      </c>
      <c r="B2742" t="n">
        <v>1.4564</v>
      </c>
      <c r="C2742" t="n">
        <v>1.7054</v>
      </c>
    </row>
    <row r="2743">
      <c r="A2743" t="n">
        <v>1.5067</v>
      </c>
      <c r="B2743" t="n">
        <v>1.6674</v>
      </c>
      <c r="C2743" t="n">
        <v>1.6375</v>
      </c>
    </row>
    <row r="2744">
      <c r="A2744" t="n">
        <v>1.6235</v>
      </c>
      <c r="B2744" t="n">
        <v>1.7483</v>
      </c>
      <c r="C2744" t="n">
        <v>1.5317</v>
      </c>
    </row>
    <row r="2745">
      <c r="A2745" t="n">
        <v>1.5052</v>
      </c>
      <c r="B2745" t="n">
        <v>1.4923</v>
      </c>
      <c r="C2745" t="n">
        <v>1.6511</v>
      </c>
    </row>
    <row r="2746">
      <c r="A2746" t="n">
        <v>1.4413</v>
      </c>
      <c r="B2746" t="n">
        <v>1.4451</v>
      </c>
      <c r="C2746" t="n">
        <v>1.4953</v>
      </c>
    </row>
    <row r="2747">
      <c r="A2747" t="n">
        <v>1.415</v>
      </c>
      <c r="B2747" t="n">
        <v>1.443</v>
      </c>
      <c r="C2747" t="n">
        <v>1.4807</v>
      </c>
    </row>
    <row r="2748">
      <c r="A2748" t="n">
        <v>1.4219</v>
      </c>
      <c r="B2748" t="n">
        <v>1.6528</v>
      </c>
      <c r="C2748" t="n">
        <v>1.7366</v>
      </c>
    </row>
    <row r="2749">
      <c r="A2749" t="n">
        <v>1.4319</v>
      </c>
      <c r="B2749" t="n">
        <v>1.6592</v>
      </c>
      <c r="C2749" t="n">
        <v>1.4736</v>
      </c>
    </row>
    <row r="2750">
      <c r="A2750" t="n">
        <v>1.7709</v>
      </c>
      <c r="B2750" t="n">
        <v>1.4894</v>
      </c>
      <c r="C2750" t="n">
        <v>1.6407</v>
      </c>
    </row>
    <row r="2751">
      <c r="A2751" t="n">
        <v>1.7202</v>
      </c>
      <c r="B2751" t="n">
        <v>1.4469</v>
      </c>
      <c r="C2751" t="n">
        <v>1.4883</v>
      </c>
    </row>
    <row r="2752">
      <c r="A2752" t="n">
        <v>1.777</v>
      </c>
      <c r="B2752" t="n">
        <v>1.4316</v>
      </c>
      <c r="C2752" t="n">
        <v>1.4332</v>
      </c>
    </row>
    <row r="2753">
      <c r="A2753" t="n">
        <v>1.5347</v>
      </c>
      <c r="B2753" t="n">
        <v>1.6549</v>
      </c>
      <c r="C2753" t="n">
        <v>1.4162</v>
      </c>
    </row>
    <row r="2754">
      <c r="A2754" t="n">
        <v>1.9471</v>
      </c>
      <c r="B2754" t="n">
        <v>2.137</v>
      </c>
      <c r="C2754" t="n">
        <v>1.4292</v>
      </c>
    </row>
    <row r="2755">
      <c r="A2755" t="n">
        <v>1.6996</v>
      </c>
      <c r="B2755" t="n">
        <v>1.6848</v>
      </c>
      <c r="C2755" t="n">
        <v>1.4125</v>
      </c>
    </row>
    <row r="2756">
      <c r="A2756" t="n">
        <v>1.7091</v>
      </c>
      <c r="B2756" t="n">
        <v>1.5206</v>
      </c>
      <c r="C2756" t="n">
        <v>1.4107</v>
      </c>
    </row>
    <row r="2757">
      <c r="A2757" t="n">
        <v>1.5201</v>
      </c>
      <c r="B2757" t="n">
        <v>1.7164</v>
      </c>
      <c r="C2757" t="n">
        <v>1.4923</v>
      </c>
    </row>
    <row r="2758">
      <c r="A2758" t="n">
        <v>1.4153</v>
      </c>
      <c r="B2758" t="n">
        <v>1.4776</v>
      </c>
      <c r="C2758" t="n">
        <v>1.659</v>
      </c>
    </row>
    <row r="2759">
      <c r="A2759" t="n">
        <v>1.4158</v>
      </c>
      <c r="B2759" t="n">
        <v>1.4223</v>
      </c>
      <c r="C2759" t="n">
        <v>1.4989</v>
      </c>
    </row>
    <row r="2760">
      <c r="A2760" t="n">
        <v>1.4131</v>
      </c>
      <c r="B2760" t="n">
        <v>1.395</v>
      </c>
      <c r="C2760" t="n">
        <v>1.4332</v>
      </c>
    </row>
    <row r="2761">
      <c r="A2761" t="n">
        <v>1.406</v>
      </c>
      <c r="B2761" t="n">
        <v>1.4315</v>
      </c>
      <c r="C2761" t="n">
        <v>1.4083</v>
      </c>
    </row>
    <row r="2762">
      <c r="A2762" t="n">
        <v>1.6541</v>
      </c>
      <c r="B2762" t="n">
        <v>1.4479</v>
      </c>
      <c r="C2762" t="n">
        <v>1.4193</v>
      </c>
    </row>
    <row r="2763">
      <c r="A2763" t="n">
        <v>1.5254</v>
      </c>
      <c r="B2763" t="n">
        <v>1.6588</v>
      </c>
      <c r="C2763" t="n">
        <v>1.4074</v>
      </c>
    </row>
    <row r="2764">
      <c r="A2764" t="n">
        <v>1.6222</v>
      </c>
      <c r="B2764" t="n">
        <v>1.6759</v>
      </c>
      <c r="C2764" t="n">
        <v>1.4198</v>
      </c>
    </row>
    <row r="2765">
      <c r="A2765" t="n">
        <v>1.4904</v>
      </c>
      <c r="B2765" t="n">
        <v>1.4966</v>
      </c>
      <c r="C2765" t="n">
        <v>1.453</v>
      </c>
    </row>
    <row r="2766">
      <c r="A2766" t="n">
        <v>1.4245</v>
      </c>
      <c r="B2766" t="n">
        <v>1.4286</v>
      </c>
      <c r="C2766" t="n">
        <v>1.6748</v>
      </c>
    </row>
    <row r="2767">
      <c r="A2767" t="n">
        <v>1.3693</v>
      </c>
      <c r="B2767" t="n">
        <v>1.4206</v>
      </c>
      <c r="C2767" t="n">
        <v>1.4934</v>
      </c>
    </row>
    <row r="2768">
      <c r="A2768" t="n">
        <v>1.454</v>
      </c>
      <c r="B2768" t="n">
        <v>1.6212</v>
      </c>
      <c r="C2768" t="n">
        <v>1.4518</v>
      </c>
    </row>
    <row r="2769">
      <c r="A2769" t="n">
        <v>1.4367</v>
      </c>
      <c r="B2769" t="n">
        <v>1.7571</v>
      </c>
      <c r="C2769" t="n">
        <v>1.4292</v>
      </c>
    </row>
    <row r="2770">
      <c r="A2770" t="n">
        <v>1.64</v>
      </c>
      <c r="B2770" t="n">
        <v>1.4773</v>
      </c>
      <c r="C2770" t="n">
        <v>1.7439</v>
      </c>
    </row>
    <row r="2771">
      <c r="A2771" t="n">
        <v>1.6633</v>
      </c>
      <c r="B2771" t="n">
        <v>1.4629</v>
      </c>
      <c r="C2771" t="n">
        <v>1.628</v>
      </c>
    </row>
    <row r="2772">
      <c r="A2772" t="n">
        <v>1.4779</v>
      </c>
      <c r="B2772" t="n">
        <v>1.4383</v>
      </c>
      <c r="C2772" t="n">
        <v>1.5236</v>
      </c>
    </row>
    <row r="2773">
      <c r="A2773" t="n">
        <v>1.4284</v>
      </c>
      <c r="B2773" t="n">
        <v>1.5818</v>
      </c>
      <c r="C2773" t="n">
        <v>1.4663</v>
      </c>
    </row>
    <row r="2774">
      <c r="A2774" t="n">
        <v>1.4372</v>
      </c>
      <c r="B2774" t="n">
        <v>1.5279</v>
      </c>
      <c r="C2774" t="n">
        <v>1.7658</v>
      </c>
    </row>
    <row r="2775">
      <c r="A2775" t="n">
        <v>1.6727</v>
      </c>
      <c r="B2775" t="n">
        <v>1.678</v>
      </c>
      <c r="C2775" t="n">
        <v>1.5404</v>
      </c>
    </row>
    <row r="2776">
      <c r="A2776" t="n">
        <v>1.559</v>
      </c>
      <c r="B2776" t="n">
        <v>1.4775</v>
      </c>
      <c r="C2776" t="n">
        <v>1.6173</v>
      </c>
    </row>
    <row r="2777">
      <c r="A2777" t="n">
        <v>1.4064</v>
      </c>
      <c r="B2777" t="n">
        <v>1.4326</v>
      </c>
      <c r="C2777" t="n">
        <v>1.4957</v>
      </c>
    </row>
    <row r="2778">
      <c r="A2778" t="n">
        <v>1.4609</v>
      </c>
      <c r="B2778" t="n">
        <v>1.4023</v>
      </c>
      <c r="C2778" t="n">
        <v>1.4411</v>
      </c>
    </row>
    <row r="2779">
      <c r="A2779" t="n">
        <v>1.3852</v>
      </c>
      <c r="B2779" t="n">
        <v>1.4239</v>
      </c>
      <c r="C2779" t="n">
        <v>1.395</v>
      </c>
    </row>
    <row r="2780">
      <c r="A2780" t="n">
        <v>1.4008</v>
      </c>
      <c r="B2780" t="n">
        <v>1.4273</v>
      </c>
      <c r="C2780" t="n">
        <v>1.4548</v>
      </c>
    </row>
    <row r="2781">
      <c r="A2781" t="n">
        <v>1.4801</v>
      </c>
      <c r="B2781" t="n">
        <v>1.4396</v>
      </c>
      <c r="C2781" t="n">
        <v>1.4587</v>
      </c>
    </row>
    <row r="2782">
      <c r="A2782" t="n">
        <v>1.459</v>
      </c>
      <c r="B2782" t="n">
        <v>1.4715</v>
      </c>
      <c r="C2782" t="n">
        <v>1.3871</v>
      </c>
    </row>
    <row r="2783">
      <c r="A2783" t="n">
        <v>1.4561</v>
      </c>
      <c r="B2783" t="n">
        <v>1.6709</v>
      </c>
      <c r="C2783" t="n">
        <v>1.4968</v>
      </c>
    </row>
    <row r="2784">
      <c r="A2784" t="n">
        <v>1.5382</v>
      </c>
      <c r="B2784" t="n">
        <v>1.5043</v>
      </c>
      <c r="C2784" t="n">
        <v>1.6768</v>
      </c>
    </row>
    <row r="2785">
      <c r="A2785" t="n">
        <v>1.633</v>
      </c>
      <c r="B2785" t="n">
        <v>1.4444</v>
      </c>
      <c r="C2785" t="n">
        <v>1.469</v>
      </c>
    </row>
    <row r="2786">
      <c r="A2786" t="n">
        <v>1.8152</v>
      </c>
      <c r="B2786" t="n">
        <v>1.7386</v>
      </c>
      <c r="C2786" t="n">
        <v>1.431</v>
      </c>
    </row>
    <row r="2787">
      <c r="A2787" t="n">
        <v>1.4618</v>
      </c>
      <c r="B2787" t="n">
        <v>1.4822</v>
      </c>
      <c r="C2787" t="n">
        <v>1.4367</v>
      </c>
    </row>
    <row r="2788">
      <c r="A2788" t="n">
        <v>1.6684</v>
      </c>
      <c r="B2788" t="n">
        <v>1.5918</v>
      </c>
      <c r="C2788" t="n">
        <v>1.4424</v>
      </c>
    </row>
    <row r="2789">
      <c r="A2789" t="n">
        <v>1.6802</v>
      </c>
      <c r="B2789" t="n">
        <v>1.4909</v>
      </c>
      <c r="C2789" t="n">
        <v>1.42</v>
      </c>
    </row>
    <row r="2790">
      <c r="A2790" t="n">
        <v>1.4787</v>
      </c>
      <c r="B2790" t="n">
        <v>1.4395</v>
      </c>
      <c r="C2790" t="n">
        <v>1.4005</v>
      </c>
    </row>
    <row r="2791">
      <c r="A2791" t="n">
        <v>1.4216</v>
      </c>
      <c r="B2791" t="n">
        <v>1.4036</v>
      </c>
      <c r="C2791" t="n">
        <v>1.5111</v>
      </c>
    </row>
    <row r="2792">
      <c r="A2792" t="n">
        <v>1.445</v>
      </c>
      <c r="B2792" t="n">
        <v>1.446</v>
      </c>
      <c r="C2792" t="n">
        <v>1.6662</v>
      </c>
    </row>
    <row r="2793">
      <c r="A2793" t="n">
        <v>1.6168</v>
      </c>
      <c r="B2793" t="n">
        <v>1.4587</v>
      </c>
      <c r="C2793" t="n">
        <v>1.5217</v>
      </c>
    </row>
    <row r="2794">
      <c r="A2794" t="n">
        <v>1.5592</v>
      </c>
      <c r="B2794" t="n">
        <v>1.3829</v>
      </c>
      <c r="C2794" t="n">
        <v>1.4597</v>
      </c>
    </row>
    <row r="2795">
      <c r="A2795" t="n">
        <v>1.6544</v>
      </c>
      <c r="B2795" t="n">
        <v>1.4664</v>
      </c>
      <c r="C2795" t="n">
        <v>1.6408</v>
      </c>
    </row>
    <row r="2796">
      <c r="A2796" t="n">
        <v>1.4891</v>
      </c>
      <c r="B2796" t="n">
        <v>1.6405</v>
      </c>
      <c r="C2796" t="n">
        <v>1.5527</v>
      </c>
    </row>
    <row r="2797">
      <c r="A2797" t="n">
        <v>1.419</v>
      </c>
      <c r="B2797" t="n">
        <v>1.4897</v>
      </c>
      <c r="C2797" t="n">
        <v>1.6452</v>
      </c>
    </row>
    <row r="2798">
      <c r="A2798" t="n">
        <v>1.4026</v>
      </c>
      <c r="B2798" t="n">
        <v>1.4745</v>
      </c>
      <c r="C2798" t="n">
        <v>1.5082</v>
      </c>
    </row>
    <row r="2799">
      <c r="A2799" t="n">
        <v>1.4427</v>
      </c>
      <c r="B2799" t="n">
        <v>1.4209</v>
      </c>
      <c r="C2799" t="n">
        <v>1.4614</v>
      </c>
    </row>
    <row r="2800">
      <c r="A2800" t="n">
        <v>1.6167</v>
      </c>
      <c r="B2800" t="n">
        <v>1.4076</v>
      </c>
      <c r="C2800" t="n">
        <v>1.6562</v>
      </c>
    </row>
    <row r="2801">
      <c r="A2801" t="n">
        <v>1.5197</v>
      </c>
      <c r="B2801" t="n">
        <v>1.4223</v>
      </c>
      <c r="C2801" t="n">
        <v>1.5348</v>
      </c>
    </row>
    <row r="2802">
      <c r="A2802" t="n">
        <v>1.6578</v>
      </c>
      <c r="B2802" t="n">
        <v>1.6654</v>
      </c>
      <c r="C2802" t="n">
        <v>2.012</v>
      </c>
    </row>
    <row r="2803">
      <c r="A2803" t="n">
        <v>1.7653</v>
      </c>
      <c r="B2803" t="n">
        <v>1.7174</v>
      </c>
      <c r="C2803" t="n">
        <v>1.7001</v>
      </c>
    </row>
    <row r="2804">
      <c r="A2804" t="n">
        <v>1.5531</v>
      </c>
      <c r="B2804" t="n">
        <v>1.4988</v>
      </c>
      <c r="C2804" t="n">
        <v>1.6985</v>
      </c>
    </row>
    <row r="2805">
      <c r="A2805" t="n">
        <v>1.6159</v>
      </c>
      <c r="B2805" t="n">
        <v>1.4608</v>
      </c>
      <c r="C2805" t="n">
        <v>1.5252</v>
      </c>
    </row>
    <row r="2806">
      <c r="A2806" t="n">
        <v>1.4597</v>
      </c>
      <c r="B2806" t="n">
        <v>1.4159</v>
      </c>
      <c r="C2806" t="n">
        <v>1.4112</v>
      </c>
    </row>
    <row r="2807">
      <c r="A2807" t="n">
        <v>1.4118</v>
      </c>
      <c r="B2807" t="n">
        <v>1.6271</v>
      </c>
      <c r="C2807" t="n">
        <v>1.422</v>
      </c>
    </row>
    <row r="2808">
      <c r="A2808" t="n">
        <v>1.4131</v>
      </c>
      <c r="B2808" t="n">
        <v>1.8003</v>
      </c>
      <c r="C2808" t="n">
        <v>1.4138</v>
      </c>
    </row>
    <row r="2809">
      <c r="A2809" t="n">
        <v>1.4016</v>
      </c>
      <c r="B2809" t="n">
        <v>1.4718</v>
      </c>
      <c r="C2809" t="n">
        <v>1.4446</v>
      </c>
    </row>
    <row r="2810">
      <c r="A2810" t="n">
        <v>1.4454</v>
      </c>
      <c r="B2810" t="n">
        <v>1.4667</v>
      </c>
      <c r="C2810" t="n">
        <v>1.656</v>
      </c>
    </row>
    <row r="2811">
      <c r="A2811" t="n">
        <v>1.6173</v>
      </c>
      <c r="B2811" t="n">
        <v>1.4294</v>
      </c>
      <c r="C2811" t="n">
        <v>1.7214</v>
      </c>
    </row>
    <row r="2812">
      <c r="A2812" t="n">
        <v>1.7631</v>
      </c>
      <c r="B2812" t="n">
        <v>1.6317</v>
      </c>
      <c r="C2812" t="n">
        <v>1.4744</v>
      </c>
    </row>
    <row r="2813">
      <c r="A2813" t="n">
        <v>1.4794</v>
      </c>
      <c r="B2813" t="n">
        <v>1.7482</v>
      </c>
      <c r="C2813" t="n">
        <v>1.4536</v>
      </c>
    </row>
    <row r="2814">
      <c r="A2814" t="n">
        <v>1.436</v>
      </c>
      <c r="B2814" t="n">
        <v>1.5065</v>
      </c>
      <c r="C2814" t="n">
        <v>1.4718</v>
      </c>
    </row>
    <row r="2815">
      <c r="A2815" t="n">
        <v>1.4372</v>
      </c>
      <c r="B2815" t="n">
        <v>1.4513</v>
      </c>
      <c r="C2815" t="n">
        <v>1.6006</v>
      </c>
    </row>
    <row r="2816">
      <c r="A2816" t="n">
        <v>1.6603</v>
      </c>
      <c r="B2816" t="n">
        <v>1.4477</v>
      </c>
      <c r="C2816" t="n">
        <v>1.5763</v>
      </c>
    </row>
    <row r="2817">
      <c r="A2817" t="n">
        <v>1.7915</v>
      </c>
      <c r="B2817" t="n">
        <v>1.6613</v>
      </c>
      <c r="C2817" t="n">
        <v>1.4344</v>
      </c>
    </row>
    <row r="2818">
      <c r="A2818" t="n">
        <v>1.9726</v>
      </c>
      <c r="B2818" t="n">
        <v>2.02</v>
      </c>
      <c r="C2818" t="n">
        <v>1.4032</v>
      </c>
    </row>
    <row r="2819">
      <c r="A2819" t="n">
        <v>1.5267</v>
      </c>
      <c r="B2819" t="n">
        <v>1.739</v>
      </c>
      <c r="C2819" t="n">
        <v>1.7115</v>
      </c>
    </row>
    <row r="2820">
      <c r="A2820" t="n">
        <v>1.6221</v>
      </c>
      <c r="B2820" t="n">
        <v>1.5393</v>
      </c>
      <c r="C2820" t="n">
        <v>1.6541</v>
      </c>
    </row>
    <row r="2821">
      <c r="A2821" t="n">
        <v>1.4793</v>
      </c>
      <c r="B2821" t="n">
        <v>1.6301</v>
      </c>
      <c r="C2821" t="n">
        <v>1.4895</v>
      </c>
    </row>
    <row r="2822">
      <c r="A2822" t="n">
        <v>1.4417</v>
      </c>
      <c r="B2822" t="n">
        <v>1.52</v>
      </c>
      <c r="C2822" t="n">
        <v>1.656</v>
      </c>
    </row>
    <row r="2823">
      <c r="A2823" t="n">
        <v>1.3852</v>
      </c>
      <c r="B2823" t="n">
        <v>1.4478</v>
      </c>
      <c r="C2823" t="n">
        <v>1.4861</v>
      </c>
    </row>
    <row r="2824">
      <c r="A2824" t="n">
        <v>1.4179</v>
      </c>
      <c r="B2824" t="n">
        <v>1.3756</v>
      </c>
      <c r="C2824" t="n">
        <v>1.4291</v>
      </c>
    </row>
    <row r="2825">
      <c r="A2825" t="n">
        <v>1.4338</v>
      </c>
      <c r="B2825" t="n">
        <v>1.437</v>
      </c>
      <c r="C2825" t="n">
        <v>1.3992</v>
      </c>
    </row>
    <row r="2826">
      <c r="A2826" t="n">
        <v>1.3961</v>
      </c>
      <c r="B2826" t="n">
        <v>1.4545</v>
      </c>
      <c r="C2826" t="n">
        <v>1.4351</v>
      </c>
    </row>
    <row r="2827">
      <c r="A2827" t="n">
        <v>1.4732</v>
      </c>
      <c r="B2827" t="n">
        <v>1.4273</v>
      </c>
      <c r="C2827" t="n">
        <v>1.4583</v>
      </c>
    </row>
    <row r="2828">
      <c r="A2828" t="n">
        <v>1.6246</v>
      </c>
      <c r="B2828" t="n">
        <v>1.5024</v>
      </c>
      <c r="C2828" t="n">
        <v>1.6579</v>
      </c>
    </row>
    <row r="2829">
      <c r="A2829" t="n">
        <v>1.5263</v>
      </c>
      <c r="B2829" t="n">
        <v>1.6604</v>
      </c>
      <c r="C2829" t="n">
        <v>1.697</v>
      </c>
    </row>
    <row r="2830">
      <c r="A2830" t="n">
        <v>1.4025</v>
      </c>
      <c r="B2830" t="n">
        <v>1.4872</v>
      </c>
      <c r="C2830" t="n">
        <v>1.4743</v>
      </c>
    </row>
    <row r="2831">
      <c r="A2831" t="n">
        <v>1.4098</v>
      </c>
      <c r="B2831" t="n">
        <v>1.4594</v>
      </c>
      <c r="C2831" t="n">
        <v>1.4636</v>
      </c>
    </row>
    <row r="2832">
      <c r="A2832" t="n">
        <v>1.441</v>
      </c>
      <c r="B2832" t="n">
        <v>1.4114</v>
      </c>
      <c r="C2832" t="n">
        <v>1.4521</v>
      </c>
    </row>
    <row r="2833">
      <c r="A2833" t="n">
        <v>1.4386</v>
      </c>
      <c r="B2833" t="n">
        <v>1.4968</v>
      </c>
      <c r="C2833" t="n">
        <v>1.6268</v>
      </c>
    </row>
    <row r="2834">
      <c r="A2834" t="n">
        <v>1.6074</v>
      </c>
      <c r="B2834" t="n">
        <v>1.6615</v>
      </c>
      <c r="C2834" t="n">
        <v>2.0924</v>
      </c>
    </row>
    <row r="2835">
      <c r="A2835" t="n">
        <v>1.8195</v>
      </c>
      <c r="B2835" t="n">
        <v>1.5252</v>
      </c>
      <c r="C2835" t="n">
        <v>1.6776</v>
      </c>
    </row>
    <row r="2836">
      <c r="A2836" t="n">
        <v>1.4698</v>
      </c>
      <c r="B2836" t="n">
        <v>1.6955</v>
      </c>
      <c r="C2836" t="n">
        <v>1.5231</v>
      </c>
    </row>
    <row r="2837">
      <c r="A2837" t="n">
        <v>1.4531</v>
      </c>
      <c r="B2837" t="n">
        <v>1.7045</v>
      </c>
      <c r="C2837" t="n">
        <v>1.633</v>
      </c>
    </row>
    <row r="2838">
      <c r="A2838" t="n">
        <v>1.4199</v>
      </c>
      <c r="B2838" t="n">
        <v>1.5373</v>
      </c>
      <c r="C2838" t="n">
        <v>1.5071</v>
      </c>
    </row>
    <row r="2839">
      <c r="A2839" t="n">
        <v>1.7244</v>
      </c>
      <c r="B2839" t="n">
        <v>1.6575</v>
      </c>
      <c r="C2839" t="n">
        <v>1.4596</v>
      </c>
    </row>
    <row r="2840">
      <c r="A2840" t="n">
        <v>1.6844</v>
      </c>
      <c r="B2840" t="n">
        <v>1.4975</v>
      </c>
      <c r="C2840" t="n">
        <v>1.6932</v>
      </c>
    </row>
    <row r="2841">
      <c r="A2841" t="n">
        <v>1.486</v>
      </c>
      <c r="B2841" t="n">
        <v>1.4394</v>
      </c>
      <c r="C2841" t="n">
        <v>1.5191</v>
      </c>
    </row>
    <row r="2842">
      <c r="A2842" t="n">
        <v>1.4121</v>
      </c>
      <c r="B2842" t="n">
        <v>1.6354</v>
      </c>
      <c r="C2842" t="n">
        <v>1.5872</v>
      </c>
    </row>
    <row r="2843">
      <c r="A2843" t="n">
        <v>1.4319</v>
      </c>
      <c r="B2843" t="n">
        <v>1.5222</v>
      </c>
      <c r="C2843" t="n">
        <v>1.526</v>
      </c>
    </row>
    <row r="2844">
      <c r="A2844" t="n">
        <v>1.393</v>
      </c>
      <c r="B2844" t="n">
        <v>1.6411</v>
      </c>
      <c r="C2844" t="n">
        <v>1.4639</v>
      </c>
    </row>
    <row r="2845">
      <c r="A2845" t="n">
        <v>1.453</v>
      </c>
      <c r="B2845" t="n">
        <v>1.507</v>
      </c>
      <c r="C2845" t="n">
        <v>1.4077</v>
      </c>
    </row>
    <row r="2846">
      <c r="A2846" t="n">
        <v>1.6329</v>
      </c>
      <c r="B2846" t="n">
        <v>1.4643</v>
      </c>
      <c r="C2846" t="n">
        <v>1.4406</v>
      </c>
    </row>
    <row r="2847">
      <c r="A2847" t="n">
        <v>1.4951</v>
      </c>
      <c r="B2847" t="n">
        <v>1.3993</v>
      </c>
      <c r="C2847" t="n">
        <v>1.4462</v>
      </c>
    </row>
    <row r="2848">
      <c r="A2848" t="n">
        <v>1.6394</v>
      </c>
      <c r="B2848" t="n">
        <v>1.4128</v>
      </c>
      <c r="C2848" t="n">
        <v>1.4114</v>
      </c>
    </row>
    <row r="2849">
      <c r="A2849" t="n">
        <v>1.5492</v>
      </c>
      <c r="B2849" t="n">
        <v>1.4301</v>
      </c>
      <c r="C2849" t="n">
        <v>1.4785</v>
      </c>
    </row>
    <row r="2850">
      <c r="A2850" t="n">
        <v>1.803</v>
      </c>
      <c r="B2850" t="n">
        <v>2.0193</v>
      </c>
      <c r="C2850" t="n">
        <v>1.7128</v>
      </c>
    </row>
    <row r="2851">
      <c r="A2851" t="n">
        <v>1.7158</v>
      </c>
      <c r="B2851" t="n">
        <v>1.6975</v>
      </c>
      <c r="C2851" t="n">
        <v>1.4695</v>
      </c>
    </row>
    <row r="2852">
      <c r="A2852" t="n">
        <v>1.4893</v>
      </c>
      <c r="B2852" t="n">
        <v>1.666</v>
      </c>
      <c r="C2852" t="n">
        <v>1.4604</v>
      </c>
    </row>
    <row r="2853">
      <c r="A2853" t="n">
        <v>1.4332</v>
      </c>
      <c r="B2853" t="n">
        <v>1.5816</v>
      </c>
      <c r="C2853" t="n">
        <v>1.6333</v>
      </c>
    </row>
    <row r="2854">
      <c r="A2854" t="n">
        <v>1.3836</v>
      </c>
      <c r="B2854" t="n">
        <v>1.4074</v>
      </c>
      <c r="C2854" t="n">
        <v>1.496</v>
      </c>
    </row>
    <row r="2855">
      <c r="A2855" t="n">
        <v>1.4478</v>
      </c>
      <c r="B2855" t="n">
        <v>1.4565</v>
      </c>
      <c r="C2855" t="n">
        <v>1.6435</v>
      </c>
    </row>
    <row r="2856">
      <c r="A2856" t="n">
        <v>1.4695</v>
      </c>
      <c r="B2856" t="n">
        <v>1.4071</v>
      </c>
      <c r="C2856" t="n">
        <v>1.4982</v>
      </c>
    </row>
    <row r="2857">
      <c r="A2857" t="n">
        <v>1.4398</v>
      </c>
      <c r="B2857" t="n">
        <v>1.3822</v>
      </c>
      <c r="C2857" t="n">
        <v>1.4208</v>
      </c>
    </row>
    <row r="2858">
      <c r="A2858" t="n">
        <v>1.5542</v>
      </c>
      <c r="B2858" t="n">
        <v>1.4341</v>
      </c>
      <c r="C2858" t="n">
        <v>1.397</v>
      </c>
    </row>
    <row r="2859">
      <c r="A2859" t="n">
        <v>1.4384</v>
      </c>
      <c r="B2859" t="n">
        <v>1.4591</v>
      </c>
      <c r="C2859" t="n">
        <v>1.4219</v>
      </c>
    </row>
    <row r="2860">
      <c r="A2860" t="n">
        <v>1.4384</v>
      </c>
      <c r="B2860" t="n">
        <v>1.6468</v>
      </c>
      <c r="C2860" t="n">
        <v>1.4391</v>
      </c>
    </row>
    <row r="2861">
      <c r="A2861" t="n">
        <v>1.4194</v>
      </c>
      <c r="B2861" t="n">
        <v>1.7363</v>
      </c>
      <c r="C2861" t="n">
        <v>1.3988</v>
      </c>
    </row>
    <row r="2862">
      <c r="A2862" t="n">
        <v>1.4188</v>
      </c>
      <c r="B2862" t="n">
        <v>1.4775</v>
      </c>
      <c r="C2862" t="n">
        <v>1.4818</v>
      </c>
    </row>
    <row r="2863">
      <c r="A2863" t="n">
        <v>1.4487</v>
      </c>
      <c r="B2863" t="n">
        <v>1.4368</v>
      </c>
      <c r="C2863" t="n">
        <v>1.6453</v>
      </c>
    </row>
    <row r="2864">
      <c r="A2864" t="n">
        <v>1.4512</v>
      </c>
      <c r="B2864" t="n">
        <v>1.4325</v>
      </c>
      <c r="C2864" t="n">
        <v>1.5141</v>
      </c>
    </row>
    <row r="2865">
      <c r="A2865" t="n">
        <v>1.7297</v>
      </c>
      <c r="B2865" t="n">
        <v>1.3903</v>
      </c>
      <c r="C2865" t="n">
        <v>1.4423</v>
      </c>
    </row>
    <row r="2866">
      <c r="A2866" t="n">
        <v>1.6848</v>
      </c>
      <c r="B2866" t="n">
        <v>1.4445</v>
      </c>
      <c r="C2866" t="n">
        <v>1.7022</v>
      </c>
    </row>
    <row r="2867">
      <c r="A2867" t="n">
        <v>1.4732</v>
      </c>
      <c r="B2867" t="n">
        <v>1.7304</v>
      </c>
      <c r="C2867" t="n">
        <v>1.4591</v>
      </c>
    </row>
    <row r="2868">
      <c r="A2868" t="n">
        <v>1.4472</v>
      </c>
      <c r="B2868" t="n">
        <v>1.5457</v>
      </c>
      <c r="C2868" t="n">
        <v>1.6313</v>
      </c>
    </row>
    <row r="2869">
      <c r="A2869" t="n">
        <v>1.4293</v>
      </c>
      <c r="B2869" t="n">
        <v>1.409</v>
      </c>
      <c r="C2869" t="n">
        <v>1.501</v>
      </c>
    </row>
    <row r="2870">
      <c r="A2870" t="n">
        <v>1.6056</v>
      </c>
      <c r="B2870" t="n">
        <v>1.4064</v>
      </c>
      <c r="C2870" t="n">
        <v>1.4182</v>
      </c>
    </row>
    <row r="2871">
      <c r="A2871" t="n">
        <v>1.5635</v>
      </c>
      <c r="B2871" t="n">
        <v>1.4314</v>
      </c>
      <c r="C2871" t="n">
        <v>1.4262</v>
      </c>
    </row>
    <row r="2872">
      <c r="A2872" t="n">
        <v>1.6561</v>
      </c>
      <c r="B2872" t="n">
        <v>1.4209</v>
      </c>
      <c r="C2872" t="n">
        <v>1.4177</v>
      </c>
    </row>
    <row r="2873">
      <c r="A2873" t="n">
        <v>1.4891</v>
      </c>
      <c r="B2873" t="n">
        <v>1.5995</v>
      </c>
      <c r="C2873" t="n">
        <v>1.4536</v>
      </c>
    </row>
    <row r="2874">
      <c r="A2874" t="n">
        <v>1.4411</v>
      </c>
      <c r="B2874" t="n">
        <v>1.5275</v>
      </c>
      <c r="C2874" t="n">
        <v>1.6535</v>
      </c>
    </row>
    <row r="2875">
      <c r="A2875" t="n">
        <v>1.5934</v>
      </c>
      <c r="B2875" t="n">
        <v>1.5949</v>
      </c>
      <c r="C2875" t="n">
        <v>1.7864</v>
      </c>
    </row>
    <row r="2876">
      <c r="A2876" t="n">
        <v>1.5367</v>
      </c>
      <c r="B2876" t="n">
        <v>1.4962</v>
      </c>
      <c r="C2876" t="n">
        <v>1.5117</v>
      </c>
    </row>
    <row r="2877">
      <c r="A2877" t="n">
        <v>1.6354</v>
      </c>
      <c r="B2877" t="n">
        <v>1.4447</v>
      </c>
      <c r="C2877" t="n">
        <v>1.4453</v>
      </c>
    </row>
    <row r="2878">
      <c r="A2878" t="n">
        <v>1.4729</v>
      </c>
      <c r="B2878" t="n">
        <v>1.3933</v>
      </c>
      <c r="C2878" t="n">
        <v>1.4179</v>
      </c>
    </row>
    <row r="2879">
      <c r="A2879" t="n">
        <v>1.4537</v>
      </c>
      <c r="B2879" t="n">
        <v>1.4667</v>
      </c>
      <c r="C2879" t="n">
        <v>1.6865</v>
      </c>
    </row>
    <row r="2880">
      <c r="A2880" t="n">
        <v>1.3924</v>
      </c>
      <c r="B2880" t="n">
        <v>1.4374</v>
      </c>
      <c r="C2880" t="n">
        <v>1.7276</v>
      </c>
    </row>
    <row r="2881">
      <c r="A2881" t="n">
        <v>1.4082</v>
      </c>
      <c r="B2881" t="n">
        <v>1.3795</v>
      </c>
      <c r="C2881" t="n">
        <v>1.4842</v>
      </c>
    </row>
    <row r="2882">
      <c r="A2882" t="n">
        <v>1.7607</v>
      </c>
      <c r="B2882" t="n">
        <v>1.7911</v>
      </c>
      <c r="C2882" t="n">
        <v>1.4609</v>
      </c>
    </row>
    <row r="2883">
      <c r="A2883" t="n">
        <v>1.4688</v>
      </c>
      <c r="B2883" t="n">
        <v>1.4257</v>
      </c>
      <c r="C2883" t="n">
        <v>1.4485</v>
      </c>
    </row>
    <row r="2884">
      <c r="A2884" t="n">
        <v>1.6748</v>
      </c>
      <c r="B2884" t="n">
        <v>1.4536</v>
      </c>
      <c r="C2884" t="n">
        <v>1.6074</v>
      </c>
    </row>
    <row r="2885">
      <c r="A2885" t="n">
        <v>1.4926</v>
      </c>
      <c r="B2885" t="n">
        <v>1.4762</v>
      </c>
      <c r="C2885" t="n">
        <v>1.5682</v>
      </c>
    </row>
    <row r="2886">
      <c r="A2886" t="n">
        <v>1.4457</v>
      </c>
      <c r="B2886" t="n">
        <v>1.4246</v>
      </c>
      <c r="C2886" t="n">
        <v>1.4269</v>
      </c>
    </row>
    <row r="2887">
      <c r="A2887" t="n">
        <v>1.4232</v>
      </c>
      <c r="B2887" t="n">
        <v>1.4233</v>
      </c>
      <c r="C2887" t="n">
        <v>1.4136</v>
      </c>
    </row>
    <row r="2888">
      <c r="A2888" t="n">
        <v>1.6298</v>
      </c>
      <c r="B2888" t="n">
        <v>1.4374</v>
      </c>
      <c r="C2888" t="n">
        <v>1.4159</v>
      </c>
    </row>
    <row r="2889">
      <c r="A2889" t="n">
        <v>1.6768</v>
      </c>
      <c r="B2889" t="n">
        <v>1.4318</v>
      </c>
      <c r="C2889" t="n">
        <v>1.4243</v>
      </c>
    </row>
    <row r="2890">
      <c r="A2890" t="n">
        <v>1.4616</v>
      </c>
      <c r="B2890" t="n">
        <v>1.4781</v>
      </c>
      <c r="C2890" t="n">
        <v>1.4113</v>
      </c>
    </row>
    <row r="2891">
      <c r="A2891" t="n">
        <v>1.4487</v>
      </c>
      <c r="B2891" t="n">
        <v>1.6909</v>
      </c>
      <c r="C2891" t="n">
        <v>1.437</v>
      </c>
    </row>
    <row r="2892">
      <c r="A2892" t="n">
        <v>1.4232</v>
      </c>
      <c r="B2892" t="n">
        <v>1.4965</v>
      </c>
      <c r="C2892" t="n">
        <v>1.3974</v>
      </c>
    </row>
    <row r="2893">
      <c r="A2893" t="n">
        <v>1.6383</v>
      </c>
      <c r="B2893" t="n">
        <v>1.4416</v>
      </c>
      <c r="C2893" t="n">
        <v>1.4424</v>
      </c>
    </row>
    <row r="2894">
      <c r="A2894" t="n">
        <v>1.5179</v>
      </c>
      <c r="B2894" t="n">
        <v>1.6389</v>
      </c>
      <c r="C2894" t="n">
        <v>1.6054</v>
      </c>
    </row>
    <row r="2895">
      <c r="A2895" t="n">
        <v>1.6427</v>
      </c>
      <c r="B2895" t="n">
        <v>1.5352</v>
      </c>
      <c r="C2895" t="n">
        <v>1.5002</v>
      </c>
    </row>
    <row r="2896">
      <c r="A2896" t="n">
        <v>1.459</v>
      </c>
      <c r="B2896" t="n">
        <v>1.6269</v>
      </c>
      <c r="C2896" t="n">
        <v>1.6319</v>
      </c>
    </row>
    <row r="2897">
      <c r="A2897" t="n">
        <v>1.4419</v>
      </c>
      <c r="B2897" t="n">
        <v>1.5075</v>
      </c>
      <c r="C2897" t="n">
        <v>1.7914</v>
      </c>
    </row>
    <row r="2898">
      <c r="A2898" t="n">
        <v>1.4067</v>
      </c>
      <c r="B2898" t="n">
        <v>1.4582</v>
      </c>
      <c r="C2898" t="n">
        <v>2.0658</v>
      </c>
    </row>
    <row r="2899">
      <c r="A2899" t="n">
        <v>1.4182</v>
      </c>
      <c r="B2899" t="n">
        <v>1.4007</v>
      </c>
      <c r="C2899" t="n">
        <v>1.5035</v>
      </c>
    </row>
    <row r="2900">
      <c r="A2900" t="n">
        <v>1.417</v>
      </c>
      <c r="B2900" t="n">
        <v>1.4263</v>
      </c>
      <c r="C2900" t="n">
        <v>1.4488</v>
      </c>
    </row>
    <row r="2901">
      <c r="A2901" t="n">
        <v>1.6167</v>
      </c>
      <c r="B2901" t="n">
        <v>1.4405</v>
      </c>
      <c r="C2901" t="n">
        <v>1.4758</v>
      </c>
    </row>
    <row r="2902">
      <c r="A2902" t="n">
        <v>1.7767</v>
      </c>
      <c r="B2902" t="n">
        <v>1.397</v>
      </c>
      <c r="C2902" t="n">
        <v>1.4321</v>
      </c>
    </row>
    <row r="2903">
      <c r="A2903" t="n">
        <v>1.478</v>
      </c>
      <c r="B2903" t="n">
        <v>1.478</v>
      </c>
      <c r="C2903" t="n">
        <v>1.4887</v>
      </c>
    </row>
    <row r="2904">
      <c r="A2904" t="n">
        <v>1.4397</v>
      </c>
      <c r="B2904" t="n">
        <v>1.675</v>
      </c>
      <c r="C2904" t="n">
        <v>1.6406</v>
      </c>
    </row>
    <row r="2905">
      <c r="A2905" t="n">
        <v>1.4021</v>
      </c>
      <c r="B2905" t="n">
        <v>1.4708</v>
      </c>
      <c r="C2905" t="n">
        <v>1.6839</v>
      </c>
    </row>
    <row r="2906">
      <c r="A2906" t="n">
        <v>1.5959</v>
      </c>
      <c r="B2906" t="n">
        <v>1.4298</v>
      </c>
      <c r="C2906" t="n">
        <v>1.5238</v>
      </c>
    </row>
    <row r="2907">
      <c r="A2907" t="n">
        <v>1.5104</v>
      </c>
      <c r="B2907" t="n">
        <v>1.3942</v>
      </c>
      <c r="C2907" t="n">
        <v>1.6292</v>
      </c>
    </row>
    <row r="2908">
      <c r="A2908" t="n">
        <v>1.6457</v>
      </c>
      <c r="B2908" t="n">
        <v>1.4519</v>
      </c>
      <c r="C2908" t="n">
        <v>1.7661</v>
      </c>
    </row>
    <row r="2909">
      <c r="A2909" t="n">
        <v>1.4825</v>
      </c>
      <c r="B2909" t="n">
        <v>1.4394</v>
      </c>
      <c r="C2909" t="n">
        <v>1.475</v>
      </c>
    </row>
    <row r="2910">
      <c r="A2910" t="n">
        <v>1.4375</v>
      </c>
      <c r="B2910" t="n">
        <v>1.6522</v>
      </c>
      <c r="C2910" t="n">
        <v>1.4291</v>
      </c>
    </row>
    <row r="2911">
      <c r="A2911" t="n">
        <v>1.3975</v>
      </c>
      <c r="B2911" t="n">
        <v>1.6562</v>
      </c>
      <c r="C2911" t="n">
        <v>1.4377</v>
      </c>
    </row>
    <row r="2912">
      <c r="A2912" t="n">
        <v>1.449</v>
      </c>
      <c r="B2912" t="n">
        <v>1.4794</v>
      </c>
      <c r="C2912" t="n">
        <v>1.5956</v>
      </c>
    </row>
    <row r="2913">
      <c r="A2913" t="n">
        <v>1.4316</v>
      </c>
      <c r="B2913" t="n">
        <v>1.4418</v>
      </c>
      <c r="C2913" t="n">
        <v>1.5595</v>
      </c>
    </row>
    <row r="2914">
      <c r="A2914" t="n">
        <v>1.7428</v>
      </c>
      <c r="B2914" t="n">
        <v>1.747</v>
      </c>
      <c r="C2914" t="n">
        <v>1.4118</v>
      </c>
    </row>
    <row r="2915">
      <c r="A2915" t="n">
        <v>1.6631</v>
      </c>
      <c r="B2915" t="n">
        <v>1.4127</v>
      </c>
      <c r="C2915" t="n">
        <v>1.4658</v>
      </c>
    </row>
    <row r="2916">
      <c r="A2916" t="n">
        <v>1.8479</v>
      </c>
      <c r="B2916" t="n">
        <v>1.7674</v>
      </c>
      <c r="C2916" t="n">
        <v>1.4258</v>
      </c>
    </row>
    <row r="2917">
      <c r="A2917" t="n">
        <v>1.5166</v>
      </c>
      <c r="B2917" t="n">
        <v>1.465</v>
      </c>
      <c r="C2917" t="n">
        <v>1.4217</v>
      </c>
    </row>
    <row r="2918">
      <c r="A2918" t="n">
        <v>1.6341</v>
      </c>
      <c r="B2918" t="n">
        <v>1.455</v>
      </c>
      <c r="C2918" t="n">
        <v>1.4619</v>
      </c>
    </row>
    <row r="2919">
      <c r="A2919" t="n">
        <v>1.5026</v>
      </c>
      <c r="B2919" t="n">
        <v>1.4669</v>
      </c>
      <c r="C2919" t="n">
        <v>1.4461</v>
      </c>
    </row>
    <row r="2920">
      <c r="A2920" t="n">
        <v>1.4324</v>
      </c>
      <c r="B2920" t="n">
        <v>1.6367</v>
      </c>
      <c r="C2920" t="n">
        <v>1.635</v>
      </c>
    </row>
    <row r="2921">
      <c r="A2921" t="n">
        <v>1.3888</v>
      </c>
      <c r="B2921" t="n">
        <v>1.7854</v>
      </c>
      <c r="C2921" t="n">
        <v>1.7604</v>
      </c>
    </row>
    <row r="2922">
      <c r="A2922" t="n">
        <v>1.41</v>
      </c>
      <c r="B2922" t="n">
        <v>1.5145</v>
      </c>
      <c r="C2922" t="n">
        <v>1.4829</v>
      </c>
    </row>
    <row r="2923">
      <c r="A2923" t="n">
        <v>1.414</v>
      </c>
      <c r="B2923" t="n">
        <v>1.4338</v>
      </c>
      <c r="C2923" t="n">
        <v>1.4128</v>
      </c>
    </row>
    <row r="2924">
      <c r="A2924" t="n">
        <v>1.6659</v>
      </c>
      <c r="B2924" t="n">
        <v>1.4458</v>
      </c>
      <c r="C2924" t="n">
        <v>1.444</v>
      </c>
    </row>
    <row r="2925">
      <c r="A2925" t="n">
        <v>1.6908</v>
      </c>
      <c r="B2925" t="n">
        <v>1.6065</v>
      </c>
      <c r="C2925" t="n">
        <v>1.6783</v>
      </c>
    </row>
    <row r="2926">
      <c r="A2926" t="n">
        <v>1.4634</v>
      </c>
      <c r="B2926" t="n">
        <v>1.5771</v>
      </c>
      <c r="C2926" t="n">
        <v>1.7203</v>
      </c>
    </row>
    <row r="2927">
      <c r="A2927" t="n">
        <v>1.422</v>
      </c>
      <c r="B2927" t="n">
        <v>1.4347</v>
      </c>
      <c r="C2927" t="n">
        <v>1.4778</v>
      </c>
    </row>
    <row r="2928">
      <c r="A2928" t="n">
        <v>1.4227</v>
      </c>
      <c r="B2928" t="n">
        <v>1.4591</v>
      </c>
      <c r="C2928" t="n">
        <v>1.4431</v>
      </c>
    </row>
    <row r="2929">
      <c r="A2929" t="n">
        <v>1.6254</v>
      </c>
      <c r="B2929" t="n">
        <v>1.3925</v>
      </c>
      <c r="C2929" t="n">
        <v>1.4435</v>
      </c>
    </row>
    <row r="2930">
      <c r="A2930" t="n">
        <v>1.5473</v>
      </c>
      <c r="B2930" t="n">
        <v>1.4026</v>
      </c>
      <c r="C2930" t="n">
        <v>2.0689</v>
      </c>
    </row>
    <row r="2931">
      <c r="A2931" t="n">
        <v>1.6741</v>
      </c>
      <c r="B2931" t="n">
        <v>1.4677</v>
      </c>
      <c r="C2931" t="n">
        <v>1.7238</v>
      </c>
    </row>
    <row r="2932">
      <c r="A2932" t="n">
        <v>1.4496</v>
      </c>
      <c r="B2932" t="n">
        <v>1.4279</v>
      </c>
      <c r="C2932" t="n">
        <v>1.6753</v>
      </c>
    </row>
    <row r="2933">
      <c r="A2933" t="n">
        <v>1.4205</v>
      </c>
      <c r="B2933" t="n">
        <v>1.6499</v>
      </c>
      <c r="C2933" t="n">
        <v>1.5412</v>
      </c>
    </row>
    <row r="2934">
      <c r="A2934" t="n">
        <v>1.3843</v>
      </c>
      <c r="B2934" t="n">
        <v>1.7394</v>
      </c>
      <c r="C2934" t="n">
        <v>1.6252</v>
      </c>
    </row>
    <row r="2935">
      <c r="A2935" t="n">
        <v>1.4195</v>
      </c>
      <c r="B2935" t="n">
        <v>1.4747</v>
      </c>
      <c r="C2935" t="n">
        <v>1.5175</v>
      </c>
    </row>
    <row r="2936">
      <c r="A2936" t="n">
        <v>1.4367</v>
      </c>
      <c r="B2936" t="n">
        <v>1.4596</v>
      </c>
      <c r="C2936" t="n">
        <v>1.4654</v>
      </c>
    </row>
    <row r="2937">
      <c r="A2937" t="n">
        <v>1.6724</v>
      </c>
      <c r="B2937" t="n">
        <v>1.4696</v>
      </c>
      <c r="C2937" t="n">
        <v>1.4246</v>
      </c>
    </row>
    <row r="2938">
      <c r="A2938" t="n">
        <v>1.7002</v>
      </c>
      <c r="B2938" t="n">
        <v>1.3921</v>
      </c>
      <c r="C2938" t="n">
        <v>1.4212</v>
      </c>
    </row>
    <row r="2939">
      <c r="A2939" t="n">
        <v>1.4863</v>
      </c>
      <c r="B2939" t="n">
        <v>1.477</v>
      </c>
      <c r="C2939" t="n">
        <v>1.4444</v>
      </c>
    </row>
    <row r="2940">
      <c r="A2940" t="n">
        <v>1.4468</v>
      </c>
      <c r="B2940" t="n">
        <v>1.6975</v>
      </c>
      <c r="C2940" t="n">
        <v>1.4392</v>
      </c>
    </row>
    <row r="2941">
      <c r="A2941" t="n">
        <v>1.409</v>
      </c>
      <c r="B2941" t="n">
        <v>1.4982</v>
      </c>
      <c r="C2941" t="n">
        <v>1.4517</v>
      </c>
    </row>
    <row r="2942">
      <c r="A2942" t="n">
        <v>1.6447</v>
      </c>
      <c r="B2942" t="n">
        <v>1.4177</v>
      </c>
      <c r="C2942" t="n">
        <v>1.6256</v>
      </c>
    </row>
    <row r="2943">
      <c r="A2943" t="n">
        <v>1.7538</v>
      </c>
      <c r="B2943" t="n">
        <v>1.4574</v>
      </c>
      <c r="C2943" t="n">
        <v>1.5103</v>
      </c>
    </row>
    <row r="2944">
      <c r="A2944" t="n">
        <v>1.4753</v>
      </c>
      <c r="B2944" t="n">
        <v>1.4383</v>
      </c>
      <c r="C2944" t="n">
        <v>1.4447</v>
      </c>
    </row>
    <row r="2945">
      <c r="A2945" t="n">
        <v>1.4173</v>
      </c>
      <c r="B2945" t="n">
        <v>1.4387</v>
      </c>
      <c r="C2945" t="n">
        <v>1.4068</v>
      </c>
    </row>
    <row r="2946">
      <c r="A2946" t="n">
        <v>1.8087</v>
      </c>
      <c r="B2946" t="n">
        <v>1.9953</v>
      </c>
      <c r="C2946" t="n">
        <v>1.4297</v>
      </c>
    </row>
    <row r="2947">
      <c r="A2947" t="n">
        <v>1.4345</v>
      </c>
      <c r="B2947" t="n">
        <v>1.6932</v>
      </c>
      <c r="C2947" t="n">
        <v>1.447</v>
      </c>
    </row>
    <row r="2948">
      <c r="A2948" t="n">
        <v>1.711</v>
      </c>
      <c r="B2948" t="n">
        <v>1.6544</v>
      </c>
      <c r="C2948" t="n">
        <v>1.4113</v>
      </c>
    </row>
    <row r="2949">
      <c r="A2949" t="n">
        <v>1.5041</v>
      </c>
      <c r="B2949" t="n">
        <v>1.5444</v>
      </c>
      <c r="C2949" t="n">
        <v>1.5264</v>
      </c>
    </row>
    <row r="2950">
      <c r="A2950" t="n">
        <v>1.4378</v>
      </c>
      <c r="B2950" t="n">
        <v>1.6229</v>
      </c>
      <c r="C2950" t="n">
        <v>1.6553</v>
      </c>
    </row>
    <row r="2951">
      <c r="A2951" t="n">
        <v>1.4478</v>
      </c>
      <c r="B2951" t="n">
        <v>1.5143</v>
      </c>
      <c r="C2951" t="n">
        <v>1.5029</v>
      </c>
    </row>
    <row r="2952">
      <c r="A2952" t="n">
        <v>1.6201</v>
      </c>
      <c r="B2952" t="n">
        <v>1.4259</v>
      </c>
      <c r="C2952" t="n">
        <v>1.466</v>
      </c>
    </row>
    <row r="2953">
      <c r="A2953" t="n">
        <v>1.4915</v>
      </c>
      <c r="B2953" t="n">
        <v>1.3885</v>
      </c>
      <c r="C2953" t="n">
        <v>1.6618</v>
      </c>
    </row>
    <row r="2954">
      <c r="A2954" t="n">
        <v>1.6796</v>
      </c>
      <c r="B2954" t="n">
        <v>1.428</v>
      </c>
      <c r="C2954" t="n">
        <v>1.6335</v>
      </c>
    </row>
    <row r="2955">
      <c r="A2955" t="n">
        <v>1.4788</v>
      </c>
      <c r="B2955" t="n">
        <v>1.4295</v>
      </c>
      <c r="C2955" t="n">
        <v>1.4321</v>
      </c>
    </row>
    <row r="2956">
      <c r="A2956" t="n">
        <v>1.4196</v>
      </c>
      <c r="B2956" t="n">
        <v>1.4006</v>
      </c>
      <c r="C2956" t="n">
        <v>1.4202</v>
      </c>
    </row>
    <row r="2957">
      <c r="A2957" t="n">
        <v>1.6513</v>
      </c>
      <c r="B2957" t="n">
        <v>1.4652</v>
      </c>
      <c r="C2957" t="n">
        <v>1.394</v>
      </c>
    </row>
    <row r="2958">
      <c r="A2958" t="n">
        <v>1.5317</v>
      </c>
      <c r="B2958" t="n">
        <v>1.6399</v>
      </c>
      <c r="C2958" t="n">
        <v>1.4123</v>
      </c>
    </row>
    <row r="2959">
      <c r="A2959" t="n">
        <v>1.5817</v>
      </c>
      <c r="B2959" t="n">
        <v>1.516</v>
      </c>
      <c r="C2959" t="n">
        <v>1.4202</v>
      </c>
    </row>
    <row r="2960">
      <c r="A2960" t="n">
        <v>1.5332</v>
      </c>
      <c r="B2960" t="n">
        <v>1.4397</v>
      </c>
      <c r="C2960" t="n">
        <v>1.4776</v>
      </c>
    </row>
    <row r="2961">
      <c r="A2961" t="n">
        <v>1.4275</v>
      </c>
      <c r="B2961" t="n">
        <v>1.4182</v>
      </c>
      <c r="C2961" t="n">
        <v>1.4198</v>
      </c>
    </row>
    <row r="2962">
      <c r="A2962" t="n">
        <v>1.3753</v>
      </c>
      <c r="B2962" t="n">
        <v>1.4189</v>
      </c>
      <c r="C2962" t="n">
        <v>2.0005</v>
      </c>
    </row>
    <row r="2963">
      <c r="A2963" t="n">
        <v>1.4289</v>
      </c>
      <c r="B2963" t="n">
        <v>1.472</v>
      </c>
      <c r="C2963" t="n">
        <v>1.5005</v>
      </c>
    </row>
    <row r="2964">
      <c r="A2964" t="n">
        <v>1.4073</v>
      </c>
      <c r="B2964" t="n">
        <v>1.6673</v>
      </c>
      <c r="C2964" t="n">
        <v>1.4344</v>
      </c>
    </row>
    <row r="2965">
      <c r="A2965" t="n">
        <v>1.5943</v>
      </c>
      <c r="B2965" t="n">
        <v>1.6886</v>
      </c>
      <c r="C2965" t="n">
        <v>1.422</v>
      </c>
    </row>
    <row r="2966">
      <c r="A2966" t="n">
        <v>1.7692</v>
      </c>
      <c r="B2966" t="n">
        <v>1.4894</v>
      </c>
      <c r="C2966" t="n">
        <v>1.6476</v>
      </c>
    </row>
    <row r="2967">
      <c r="A2967" t="n">
        <v>1.4776</v>
      </c>
      <c r="B2967" t="n">
        <v>1.4593</v>
      </c>
      <c r="C2967" t="n">
        <v>1.6071</v>
      </c>
    </row>
    <row r="2968">
      <c r="A2968" t="n">
        <v>1.4188</v>
      </c>
      <c r="B2968" t="n">
        <v>1.4218</v>
      </c>
      <c r="C2968" t="n">
        <v>1.4059</v>
      </c>
    </row>
    <row r="2969">
      <c r="A2969" t="n">
        <v>1.4227</v>
      </c>
      <c r="B2969" t="n">
        <v>1.6094</v>
      </c>
      <c r="C2969" t="n">
        <v>1.4529</v>
      </c>
    </row>
    <row r="2970">
      <c r="A2970" t="n">
        <v>1.3812</v>
      </c>
      <c r="B2970" t="n">
        <v>1.5965</v>
      </c>
      <c r="C2970" t="n">
        <v>1.3945</v>
      </c>
    </row>
    <row r="2971">
      <c r="A2971" t="n">
        <v>1.4316</v>
      </c>
      <c r="B2971" t="n">
        <v>1.4109</v>
      </c>
      <c r="C2971" t="n">
        <v>1.4128</v>
      </c>
    </row>
    <row r="2972">
      <c r="A2972" t="n">
        <v>1.6726</v>
      </c>
      <c r="B2972" t="n">
        <v>1.455</v>
      </c>
      <c r="C2972" t="n">
        <v>1.4606</v>
      </c>
    </row>
    <row r="2973">
      <c r="A2973" t="n">
        <v>1.5387</v>
      </c>
      <c r="B2973" t="n">
        <v>1.4023</v>
      </c>
      <c r="C2973" t="n">
        <v>1.4656</v>
      </c>
    </row>
    <row r="2974">
      <c r="A2974" t="n">
        <v>1.7651</v>
      </c>
      <c r="B2974" t="n">
        <v>1.3994</v>
      </c>
      <c r="C2974" t="n">
        <v>1.6081</v>
      </c>
    </row>
    <row r="2975">
      <c r="A2975" t="n">
        <v>1.7029</v>
      </c>
      <c r="B2975" t="n">
        <v>1.4729</v>
      </c>
      <c r="C2975" t="n">
        <v>1.8079</v>
      </c>
    </row>
    <row r="2976">
      <c r="A2976" t="n">
        <v>1.5384</v>
      </c>
      <c r="B2976" t="n">
        <v>1.497</v>
      </c>
      <c r="C2976" t="n">
        <v>1.4856</v>
      </c>
    </row>
    <row r="2977">
      <c r="A2977" t="n">
        <v>1.6261</v>
      </c>
      <c r="B2977" t="n">
        <v>1.6391</v>
      </c>
      <c r="C2977" t="n">
        <v>1.4404</v>
      </c>
    </row>
    <row r="2978">
      <c r="A2978" t="n">
        <v>1.8041</v>
      </c>
      <c r="B2978" t="n">
        <v>2.0359</v>
      </c>
      <c r="C2978" t="n">
        <v>1.449</v>
      </c>
    </row>
    <row r="2979">
      <c r="A2979" t="n">
        <v>1.4803</v>
      </c>
      <c r="B2979" t="n">
        <v>1.6688</v>
      </c>
      <c r="C2979" t="n">
        <v>1.6911</v>
      </c>
    </row>
    <row r="2980">
      <c r="A2980" t="n">
        <v>1.398</v>
      </c>
      <c r="B2980" t="n">
        <v>1.5261</v>
      </c>
      <c r="C2980" t="n">
        <v>1.7165</v>
      </c>
    </row>
    <row r="2981">
      <c r="A2981" t="n">
        <v>1.4298</v>
      </c>
      <c r="B2981" t="n">
        <v>1.6674</v>
      </c>
      <c r="C2981" t="n">
        <v>1.497</v>
      </c>
    </row>
    <row r="2982">
      <c r="A2982" t="n">
        <v>1.6086</v>
      </c>
      <c r="B2982" t="n">
        <v>1.4916</v>
      </c>
      <c r="C2982" t="n">
        <v>1.4525</v>
      </c>
    </row>
    <row r="2983">
      <c r="A2983" t="n">
        <v>1.5444</v>
      </c>
      <c r="B2983" t="n">
        <v>1.4685</v>
      </c>
      <c r="C2983" t="n">
        <v>1.4438</v>
      </c>
    </row>
    <row r="2984">
      <c r="A2984" t="n">
        <v>1.4332</v>
      </c>
      <c r="B2984" t="n">
        <v>1.6291</v>
      </c>
      <c r="C2984" t="n">
        <v>1.6127</v>
      </c>
    </row>
    <row r="2985">
      <c r="A2985" t="n">
        <v>1.4647</v>
      </c>
      <c r="B2985" t="n">
        <v>1.5244</v>
      </c>
      <c r="C2985" t="n">
        <v>1.7919</v>
      </c>
    </row>
    <row r="2986">
      <c r="A2986" t="n">
        <v>1.4075</v>
      </c>
      <c r="B2986" t="n">
        <v>1.581</v>
      </c>
      <c r="C2986" t="n">
        <v>1.4755</v>
      </c>
    </row>
    <row r="2987">
      <c r="A2987" t="n">
        <v>1.4123</v>
      </c>
      <c r="B2987" t="n">
        <v>1.526</v>
      </c>
      <c r="C2987" t="n">
        <v>1.4386</v>
      </c>
    </row>
    <row r="2988">
      <c r="A2988" t="n">
        <v>1.6496</v>
      </c>
      <c r="B2988" t="n">
        <v>1.4363</v>
      </c>
      <c r="C2988" t="n">
        <v>1.4585</v>
      </c>
    </row>
    <row r="2989">
      <c r="A2989" t="n">
        <v>1.701</v>
      </c>
      <c r="B2989" t="n">
        <v>1.4086</v>
      </c>
      <c r="C2989" t="n">
        <v>1.4144</v>
      </c>
    </row>
    <row r="2990">
      <c r="A2990" t="n">
        <v>1.4687</v>
      </c>
      <c r="B2990" t="n">
        <v>1.4259</v>
      </c>
      <c r="C2990" t="n">
        <v>1.4535</v>
      </c>
    </row>
    <row r="2991">
      <c r="A2991" t="n">
        <v>1.44</v>
      </c>
      <c r="B2991" t="n">
        <v>1.4255</v>
      </c>
      <c r="C2991" t="n">
        <v>1.698</v>
      </c>
    </row>
    <row r="2992">
      <c r="A2992" t="n">
        <v>1.4019</v>
      </c>
      <c r="B2992" t="n">
        <v>1.5754</v>
      </c>
      <c r="C2992" t="n">
        <v>1.5026</v>
      </c>
    </row>
    <row r="2993">
      <c r="A2993" t="n">
        <v>1.6262</v>
      </c>
      <c r="B2993" t="n">
        <v>1.7556</v>
      </c>
      <c r="C2993" t="n">
        <v>1.4246</v>
      </c>
    </row>
    <row r="2994">
      <c r="A2994" t="n">
        <v>1.5043</v>
      </c>
      <c r="B2994" t="n">
        <v>1.4985</v>
      </c>
      <c r="C2994" t="n">
        <v>1.9634</v>
      </c>
    </row>
    <row r="2995">
      <c r="A2995" t="n">
        <v>1.6648</v>
      </c>
      <c r="B2995" t="n">
        <v>1.4465</v>
      </c>
      <c r="C2995" t="n">
        <v>1.5482</v>
      </c>
    </row>
    <row r="2996">
      <c r="A2996" t="n">
        <v>1.4756</v>
      </c>
      <c r="B2996" t="n">
        <v>1.443</v>
      </c>
      <c r="C2996" t="n">
        <v>1.6548</v>
      </c>
    </row>
    <row r="2997">
      <c r="A2997" t="n">
        <v>1.4354</v>
      </c>
      <c r="B2997" t="n">
        <v>1.6041</v>
      </c>
      <c r="C2997" t="n">
        <v>1.515</v>
      </c>
    </row>
    <row r="2998">
      <c r="A2998" t="n">
        <v>1.6469</v>
      </c>
      <c r="B2998" t="n">
        <v>1.5264</v>
      </c>
      <c r="C2998" t="n">
        <v>1.4423</v>
      </c>
    </row>
    <row r="2999">
      <c r="A2999" t="n">
        <v>1.5329</v>
      </c>
      <c r="B2999" t="n">
        <v>1.6471</v>
      </c>
      <c r="C2999" t="n">
        <v>1.62</v>
      </c>
    </row>
    <row r="3000">
      <c r="A3000" t="n">
        <v>1.6139</v>
      </c>
      <c r="B3000" t="n">
        <v>1.5037</v>
      </c>
      <c r="C3000" t="n">
        <v>1.5576</v>
      </c>
    </row>
    <row r="3001">
      <c r="A3001" t="n">
        <v>1.5066</v>
      </c>
      <c r="B3001" t="n">
        <v>1.4288</v>
      </c>
      <c r="C3001" t="n">
        <v>1.6367</v>
      </c>
    </row>
    <row r="3002">
      <c r="A3002" t="n">
        <v>1.4472</v>
      </c>
      <c r="B3002" t="n">
        <v>1.39</v>
      </c>
      <c r="C3002" t="n">
        <v>1.4761</v>
      </c>
    </row>
    <row r="3003">
      <c r="A3003" t="n">
        <v>1.3997</v>
      </c>
      <c r="B3003" t="n">
        <v>1.4375</v>
      </c>
      <c r="C3003" t="n">
        <v>1.4561</v>
      </c>
    </row>
    <row r="3004">
      <c r="A3004" t="n">
        <v>1.4518</v>
      </c>
      <c r="B3004" t="n">
        <v>1.4424</v>
      </c>
      <c r="C3004" t="n">
        <v>1.4265</v>
      </c>
    </row>
    <row r="3005">
      <c r="A3005" t="n">
        <v>1.43</v>
      </c>
      <c r="B3005" t="n">
        <v>1.4402</v>
      </c>
      <c r="C3005" t="n">
        <v>1.4489</v>
      </c>
    </row>
    <row r="3006">
      <c r="A3006" t="n">
        <v>1.6583</v>
      </c>
      <c r="B3006" t="n">
        <v>1.4556</v>
      </c>
      <c r="C3006" t="n">
        <v>1.4745</v>
      </c>
    </row>
    <row r="3007">
      <c r="A3007" t="n">
        <v>1.6531</v>
      </c>
      <c r="B3007" t="n">
        <v>1.6353</v>
      </c>
      <c r="C3007" t="n">
        <v>1.4522</v>
      </c>
    </row>
    <row r="3008">
      <c r="A3008" t="n">
        <v>1.4762</v>
      </c>
      <c r="B3008" t="n">
        <v>1.4854</v>
      </c>
      <c r="C3008" t="n">
        <v>1.7474</v>
      </c>
    </row>
    <row r="3009">
      <c r="A3009" t="n">
        <v>1.4173</v>
      </c>
      <c r="B3009" t="n">
        <v>1.4298</v>
      </c>
      <c r="C3009" t="n">
        <v>1.5158</v>
      </c>
    </row>
    <row r="3010">
      <c r="A3010" t="n">
        <v>1.7301</v>
      </c>
      <c r="B3010" t="n">
        <v>1.6876</v>
      </c>
      <c r="C3010" t="n">
        <v>1.4332</v>
      </c>
    </row>
    <row r="3011">
      <c r="A3011" t="n">
        <v>1.4349</v>
      </c>
      <c r="B3011" t="n">
        <v>1.4449</v>
      </c>
      <c r="C3011" t="n">
        <v>1.4588</v>
      </c>
    </row>
    <row r="3012">
      <c r="A3012" t="n">
        <v>1.7561</v>
      </c>
      <c r="B3012" t="n">
        <v>1.6362</v>
      </c>
      <c r="C3012" t="n">
        <v>1.6653</v>
      </c>
    </row>
    <row r="3013">
      <c r="A3013" t="n">
        <v>1.4722</v>
      </c>
      <c r="B3013" t="n">
        <v>1.4961</v>
      </c>
      <c r="C3013" t="n">
        <v>1.7514</v>
      </c>
    </row>
    <row r="3014">
      <c r="A3014" t="n">
        <v>1.4547</v>
      </c>
      <c r="B3014" t="n">
        <v>1.4415</v>
      </c>
      <c r="C3014" t="n">
        <v>1.5009</v>
      </c>
    </row>
    <row r="3015">
      <c r="A3015" t="n">
        <v>1.4263</v>
      </c>
      <c r="B3015" t="n">
        <v>1.4544</v>
      </c>
      <c r="C3015" t="n">
        <v>1.4439</v>
      </c>
    </row>
    <row r="3016">
      <c r="A3016" t="n">
        <v>1.6228</v>
      </c>
      <c r="B3016" t="n">
        <v>1.4195</v>
      </c>
      <c r="C3016" t="n">
        <v>1.4377</v>
      </c>
    </row>
    <row r="3017">
      <c r="A3017" t="n">
        <v>1.5341</v>
      </c>
      <c r="B3017" t="n">
        <v>1.4131</v>
      </c>
      <c r="C3017" t="n">
        <v>1.6273</v>
      </c>
    </row>
    <row r="3018">
      <c r="A3018" t="n">
        <v>1.6584</v>
      </c>
      <c r="B3018" t="n">
        <v>1.6854</v>
      </c>
      <c r="C3018" t="n">
        <v>1.6234</v>
      </c>
    </row>
    <row r="3019">
      <c r="A3019" t="n">
        <v>1.5026</v>
      </c>
      <c r="B3019" t="n">
        <v>1.68</v>
      </c>
      <c r="C3019" t="n">
        <v>1.4162</v>
      </c>
    </row>
    <row r="3020">
      <c r="A3020" t="n">
        <v>1.4433</v>
      </c>
      <c r="B3020" t="n">
        <v>1.4977</v>
      </c>
      <c r="C3020" t="n">
        <v>1.4311</v>
      </c>
    </row>
    <row r="3021">
      <c r="A3021" t="n">
        <v>1.6052</v>
      </c>
      <c r="B3021" t="n">
        <v>1.425</v>
      </c>
      <c r="C3021" t="n">
        <v>1.4238</v>
      </c>
    </row>
    <row r="3022">
      <c r="A3022" t="n">
        <v>1.5005</v>
      </c>
      <c r="B3022" t="n">
        <v>1.4079</v>
      </c>
      <c r="C3022" t="n">
        <v>1.4266</v>
      </c>
    </row>
    <row r="3023">
      <c r="A3023" t="n">
        <v>1.6054</v>
      </c>
      <c r="B3023" t="n">
        <v>1.6215</v>
      </c>
      <c r="C3023" t="n">
        <v>1.4425</v>
      </c>
    </row>
    <row r="3024">
      <c r="A3024" t="n">
        <v>1.5135</v>
      </c>
      <c r="B3024" t="n">
        <v>1.5348</v>
      </c>
      <c r="C3024" t="n">
        <v>1.4857</v>
      </c>
    </row>
    <row r="3025">
      <c r="A3025" t="n">
        <v>1.414</v>
      </c>
      <c r="B3025" t="n">
        <v>1.6722</v>
      </c>
      <c r="C3025" t="n">
        <v>1.7303</v>
      </c>
    </row>
    <row r="3026">
      <c r="A3026" t="n">
        <v>1.4252</v>
      </c>
      <c r="B3026" t="n">
        <v>1.5052</v>
      </c>
      <c r="C3026" t="n">
        <v>2.0548</v>
      </c>
    </row>
    <row r="3027">
      <c r="A3027" t="n">
        <v>1.4213</v>
      </c>
      <c r="B3027" t="n">
        <v>1.4449</v>
      </c>
      <c r="C3027" t="n">
        <v>1.4793</v>
      </c>
    </row>
    <row r="3028">
      <c r="A3028" t="n">
        <v>1.4083</v>
      </c>
      <c r="B3028" t="n">
        <v>1.3722</v>
      </c>
      <c r="C3028" t="n">
        <v>1.4739</v>
      </c>
    </row>
    <row r="3029">
      <c r="A3029" t="n">
        <v>1.6167</v>
      </c>
      <c r="B3029" t="n">
        <v>1.441</v>
      </c>
      <c r="C3029" t="n">
        <v>1.6497</v>
      </c>
    </row>
    <row r="3030">
      <c r="A3030" t="n">
        <v>1.7541</v>
      </c>
      <c r="B3030" t="n">
        <v>1.4761</v>
      </c>
      <c r="C3030" t="n">
        <v>1.5563</v>
      </c>
    </row>
    <row r="3031">
      <c r="A3031" t="n">
        <v>1.4602</v>
      </c>
      <c r="B3031" t="n">
        <v>1.3819</v>
      </c>
      <c r="C3031" t="n">
        <v>1.4273</v>
      </c>
    </row>
    <row r="3032">
      <c r="A3032" t="n">
        <v>1.4236</v>
      </c>
      <c r="B3032" t="n">
        <v>1.467</v>
      </c>
      <c r="C3032" t="n">
        <v>1.4276</v>
      </c>
    </row>
    <row r="3033">
      <c r="A3033" t="n">
        <v>1.4238</v>
      </c>
      <c r="B3033" t="n">
        <v>1.6536</v>
      </c>
      <c r="C3033" t="n">
        <v>1.4401</v>
      </c>
    </row>
    <row r="3034">
      <c r="A3034" t="n">
        <v>1.3794</v>
      </c>
      <c r="B3034" t="n">
        <v>1.4744</v>
      </c>
      <c r="C3034" t="n">
        <v>1.4346</v>
      </c>
    </row>
    <row r="3035">
      <c r="A3035" t="n">
        <v>1.4284</v>
      </c>
      <c r="B3035" t="n">
        <v>1.469</v>
      </c>
      <c r="C3035" t="n">
        <v>1.686</v>
      </c>
    </row>
    <row r="3036">
      <c r="A3036" t="n">
        <v>1.4458</v>
      </c>
      <c r="B3036" t="n">
        <v>1.3968</v>
      </c>
      <c r="C3036" t="n">
        <v>1.6894</v>
      </c>
    </row>
    <row r="3037">
      <c r="A3037" t="n">
        <v>1.4156</v>
      </c>
      <c r="B3037" t="n">
        <v>1.4252</v>
      </c>
      <c r="C3037" t="n">
        <v>1.4773</v>
      </c>
    </row>
    <row r="3038">
      <c r="A3038" t="n">
        <v>1.4634</v>
      </c>
      <c r="B3038" t="n">
        <v>1.4691</v>
      </c>
      <c r="C3038" t="n">
        <v>1.4523</v>
      </c>
    </row>
    <row r="3039">
      <c r="A3039" t="n">
        <v>1.6394</v>
      </c>
      <c r="B3039" t="n">
        <v>1.4331</v>
      </c>
      <c r="C3039" t="n">
        <v>1.4563</v>
      </c>
    </row>
    <row r="3040">
      <c r="A3040" t="n">
        <v>1.4739</v>
      </c>
      <c r="B3040" t="n">
        <v>1.4659</v>
      </c>
      <c r="C3040" t="n">
        <v>1.6108</v>
      </c>
    </row>
    <row r="3041">
      <c r="A3041" t="n">
        <v>1.4426</v>
      </c>
      <c r="B3041" t="n">
        <v>1.6619</v>
      </c>
      <c r="C3041" t="n">
        <v>1.8426</v>
      </c>
    </row>
    <row r="3042">
      <c r="A3042" t="n">
        <v>1.708</v>
      </c>
      <c r="B3042" t="n">
        <v>1.8185</v>
      </c>
      <c r="C3042" t="n">
        <v>1.4845</v>
      </c>
    </row>
    <row r="3043">
      <c r="A3043" t="n">
        <v>1.4405</v>
      </c>
      <c r="B3043" t="n">
        <v>1.422</v>
      </c>
      <c r="C3043" t="n">
        <v>1.437</v>
      </c>
    </row>
    <row r="3044">
      <c r="A3044" t="n">
        <v>1.6043</v>
      </c>
      <c r="B3044" t="n">
        <v>1.7092</v>
      </c>
      <c r="C3044" t="n">
        <v>1.472</v>
      </c>
    </row>
    <row r="3045">
      <c r="A3045" t="n">
        <v>1.5067</v>
      </c>
      <c r="B3045" t="n">
        <v>1.7107</v>
      </c>
      <c r="C3045" t="n">
        <v>1.6455</v>
      </c>
    </row>
    <row r="3046">
      <c r="A3046" t="n">
        <v>1.412</v>
      </c>
      <c r="B3046" t="n">
        <v>1.4694</v>
      </c>
      <c r="C3046" t="n">
        <v>1.6916</v>
      </c>
    </row>
    <row r="3047">
      <c r="A3047" t="n">
        <v>1.4202</v>
      </c>
      <c r="B3047" t="n">
        <v>1.68</v>
      </c>
      <c r="C3047" t="n">
        <v>1.4939</v>
      </c>
    </row>
    <row r="3048">
      <c r="A3048" t="n">
        <v>1.4109</v>
      </c>
      <c r="B3048" t="n">
        <v>1.6809</v>
      </c>
      <c r="C3048" t="n">
        <v>1.4534</v>
      </c>
    </row>
    <row r="3049">
      <c r="A3049" t="n">
        <v>1.403</v>
      </c>
      <c r="B3049" t="n">
        <v>1.5158</v>
      </c>
      <c r="C3049" t="n">
        <v>1.4375</v>
      </c>
    </row>
    <row r="3050">
      <c r="A3050" t="n">
        <v>1.6165</v>
      </c>
      <c r="B3050" t="n">
        <v>1.4185</v>
      </c>
      <c r="C3050" t="n">
        <v>1.6243</v>
      </c>
    </row>
    <row r="3051">
      <c r="A3051" t="n">
        <v>1.5151</v>
      </c>
      <c r="B3051" t="n">
        <v>1.4109</v>
      </c>
      <c r="C3051" t="n">
        <v>1.6118</v>
      </c>
    </row>
    <row r="3052">
      <c r="A3052" t="n">
        <v>1.6644</v>
      </c>
      <c r="B3052" t="n">
        <v>1.4383</v>
      </c>
      <c r="C3052" t="n">
        <v>1.4204</v>
      </c>
    </row>
    <row r="3053">
      <c r="A3053" t="n">
        <v>1.488</v>
      </c>
      <c r="B3053" t="n">
        <v>1.4538</v>
      </c>
      <c r="C3053" t="n">
        <v>1.4467</v>
      </c>
    </row>
    <row r="3054">
      <c r="A3054" t="n">
        <v>1.4368</v>
      </c>
      <c r="B3054" t="n">
        <v>1.6017</v>
      </c>
      <c r="C3054" t="n">
        <v>1.4241</v>
      </c>
    </row>
    <row r="3055">
      <c r="A3055" t="n">
        <v>1.3915</v>
      </c>
      <c r="B3055" t="n">
        <v>1.5176</v>
      </c>
      <c r="C3055" t="n">
        <v>1.4434</v>
      </c>
    </row>
    <row r="3056">
      <c r="A3056" t="n">
        <v>1.4243</v>
      </c>
      <c r="B3056" t="n">
        <v>1.7241</v>
      </c>
      <c r="C3056" t="n">
        <v>1.4492</v>
      </c>
    </row>
    <row r="3057">
      <c r="A3057" t="n">
        <v>1.4438</v>
      </c>
      <c r="B3057" t="n">
        <v>1.518</v>
      </c>
      <c r="C3057" t="n">
        <v>1.4451</v>
      </c>
    </row>
    <row r="3058">
      <c r="A3058" t="n">
        <v>1.6754</v>
      </c>
      <c r="B3058" t="n">
        <v>1.4528</v>
      </c>
      <c r="C3058" t="n">
        <v>2.0318</v>
      </c>
    </row>
    <row r="3059">
      <c r="A3059" t="n">
        <v>1.4745</v>
      </c>
      <c r="B3059" t="n">
        <v>1.6375</v>
      </c>
      <c r="C3059" t="n">
        <v>1.709</v>
      </c>
    </row>
    <row r="3060">
      <c r="A3060" t="n">
        <v>1.4498</v>
      </c>
      <c r="B3060" t="n">
        <v>1.8871</v>
      </c>
      <c r="C3060" t="n">
        <v>1.7245</v>
      </c>
    </row>
    <row r="3061">
      <c r="A3061" t="n">
        <v>1.4241</v>
      </c>
      <c r="B3061" t="n">
        <v>1.472</v>
      </c>
      <c r="C3061" t="n">
        <v>1.6005</v>
      </c>
    </row>
    <row r="3062">
      <c r="A3062" t="n">
        <v>1.3958</v>
      </c>
      <c r="B3062" t="n">
        <v>1.4444</v>
      </c>
      <c r="C3062" t="n">
        <v>1.4939</v>
      </c>
    </row>
    <row r="3063">
      <c r="A3063" t="n">
        <v>1.4252</v>
      </c>
      <c r="B3063" t="n">
        <v>1.4628</v>
      </c>
      <c r="C3063" t="n">
        <v>1.435</v>
      </c>
    </row>
    <row r="3064">
      <c r="A3064" t="n">
        <v>1.4193</v>
      </c>
      <c r="B3064" t="n">
        <v>1.6295</v>
      </c>
      <c r="C3064" t="n">
        <v>1.4063</v>
      </c>
    </row>
    <row r="3065">
      <c r="A3065" t="n">
        <v>1.4157</v>
      </c>
      <c r="B3065" t="n">
        <v>1.7715</v>
      </c>
      <c r="C3065" t="n">
        <v>1.4336</v>
      </c>
    </row>
    <row r="3066">
      <c r="A3066" t="n">
        <v>1.5939</v>
      </c>
      <c r="B3066" t="n">
        <v>1.4942</v>
      </c>
      <c r="C3066" t="n">
        <v>1.4381</v>
      </c>
    </row>
    <row r="3067">
      <c r="A3067" t="n">
        <v>1.5538</v>
      </c>
      <c r="B3067" t="n">
        <v>1.4324</v>
      </c>
      <c r="C3067" t="n">
        <v>1.4452</v>
      </c>
    </row>
    <row r="3068">
      <c r="A3068" t="n">
        <v>1.4185</v>
      </c>
      <c r="B3068" t="n">
        <v>1.428</v>
      </c>
      <c r="C3068" t="n">
        <v>1.6449</v>
      </c>
    </row>
    <row r="3069">
      <c r="A3069" t="n">
        <v>1.4429</v>
      </c>
      <c r="B3069" t="n">
        <v>1.5991</v>
      </c>
      <c r="C3069" t="n">
        <v>1.6853</v>
      </c>
    </row>
    <row r="3070">
      <c r="A3070" t="n">
        <v>1.4143</v>
      </c>
      <c r="B3070" t="n">
        <v>1.5375</v>
      </c>
      <c r="C3070" t="n">
        <v>1.4823</v>
      </c>
    </row>
    <row r="3071">
      <c r="A3071" t="n">
        <v>1.3927</v>
      </c>
      <c r="B3071" t="n">
        <v>1.6617</v>
      </c>
      <c r="C3071" t="n">
        <v>1.4175</v>
      </c>
    </row>
    <row r="3072">
      <c r="A3072" t="n">
        <v>1.4402</v>
      </c>
      <c r="B3072" t="n">
        <v>1.4966</v>
      </c>
      <c r="C3072" t="n">
        <v>1.4466</v>
      </c>
    </row>
    <row r="3073">
      <c r="A3073" t="n">
        <v>1.4519</v>
      </c>
      <c r="B3073" t="n">
        <v>1.4211</v>
      </c>
      <c r="C3073" t="n">
        <v>1.6194</v>
      </c>
    </row>
    <row r="3074">
      <c r="A3074" t="n">
        <v>1.9727</v>
      </c>
      <c r="B3074" t="n">
        <v>1.9608</v>
      </c>
      <c r="C3074" t="n">
        <v>1.524</v>
      </c>
    </row>
    <row r="3075">
      <c r="A3075" t="n">
        <v>1.6954</v>
      </c>
      <c r="B3075" t="n">
        <v>1.6928</v>
      </c>
      <c r="C3075" t="n">
        <v>1.7107</v>
      </c>
    </row>
    <row r="3076">
      <c r="A3076" t="n">
        <v>1.7383</v>
      </c>
      <c r="B3076" t="n">
        <v>1.4751</v>
      </c>
      <c r="C3076" t="n">
        <v>1.4999</v>
      </c>
    </row>
    <row r="3077">
      <c r="A3077" t="n">
        <v>1.517</v>
      </c>
      <c r="B3077" t="n">
        <v>1.4572</v>
      </c>
      <c r="C3077" t="n">
        <v>1.4481</v>
      </c>
    </row>
    <row r="3078">
      <c r="A3078" t="n">
        <v>1.6012</v>
      </c>
      <c r="B3078" t="n">
        <v>1.457</v>
      </c>
      <c r="C3078" t="n">
        <v>1.598</v>
      </c>
    </row>
    <row r="3079">
      <c r="A3079" t="n">
        <v>1.4937</v>
      </c>
      <c r="B3079" t="n">
        <v>1.6082</v>
      </c>
      <c r="C3079" t="n">
        <v>1.5455</v>
      </c>
    </row>
    <row r="3080">
      <c r="A3080" t="n">
        <v>1.4115</v>
      </c>
      <c r="B3080" t="n">
        <v>1.8134</v>
      </c>
      <c r="C3080" t="n">
        <v>1.6258</v>
      </c>
    </row>
    <row r="3081">
      <c r="A3081" t="n">
        <v>1.4144</v>
      </c>
      <c r="B3081" t="n">
        <v>1.4979</v>
      </c>
      <c r="C3081" t="n">
        <v>1.5152</v>
      </c>
    </row>
    <row r="3082">
      <c r="A3082" t="n">
        <v>1.4211</v>
      </c>
      <c r="B3082" t="n">
        <v>1.4586</v>
      </c>
      <c r="C3082" t="n">
        <v>1.4773</v>
      </c>
    </row>
    <row r="3083">
      <c r="A3083" t="n">
        <v>1.415</v>
      </c>
      <c r="B3083" t="n">
        <v>1.4467</v>
      </c>
      <c r="C3083" t="n">
        <v>1.3964</v>
      </c>
    </row>
    <row r="3084">
      <c r="A3084" t="n">
        <v>1.6853</v>
      </c>
      <c r="B3084" t="n">
        <v>1.7064</v>
      </c>
      <c r="C3084" t="n">
        <v>1.4299</v>
      </c>
    </row>
    <row r="3085">
      <c r="A3085" t="n">
        <v>1.7845</v>
      </c>
      <c r="B3085" t="n">
        <v>1.7253</v>
      </c>
      <c r="C3085" t="n">
        <v>1.4298</v>
      </c>
    </row>
    <row r="3086">
      <c r="A3086" t="n">
        <v>1.4925</v>
      </c>
      <c r="B3086" t="n">
        <v>1.4881</v>
      </c>
      <c r="C3086" t="n">
        <v>1.4117</v>
      </c>
    </row>
    <row r="3087">
      <c r="A3087" t="n">
        <v>1.465</v>
      </c>
      <c r="B3087" t="n">
        <v>1.4516</v>
      </c>
      <c r="C3087" t="n">
        <v>1.4965</v>
      </c>
    </row>
    <row r="3088">
      <c r="A3088" t="n">
        <v>1.4081</v>
      </c>
      <c r="B3088" t="n">
        <v>1.3983</v>
      </c>
      <c r="C3088" t="n">
        <v>1.6317</v>
      </c>
    </row>
    <row r="3089">
      <c r="A3089" t="n">
        <v>1.5909</v>
      </c>
      <c r="B3089" t="n">
        <v>1.6122</v>
      </c>
      <c r="C3089" t="n">
        <v>1.4785</v>
      </c>
    </row>
    <row r="3090">
      <c r="A3090" t="n">
        <v>1.7816</v>
      </c>
      <c r="B3090" t="n">
        <v>1.7751</v>
      </c>
      <c r="C3090" t="n">
        <v>1.765</v>
      </c>
    </row>
    <row r="3091">
      <c r="A3091" t="n">
        <v>1.4824</v>
      </c>
      <c r="B3091" t="n">
        <v>1.4672</v>
      </c>
      <c r="C3091" t="n">
        <v>1.6858</v>
      </c>
    </row>
    <row r="3092">
      <c r="A3092" t="n">
        <v>1.4404</v>
      </c>
      <c r="B3092" t="n">
        <v>1.4541</v>
      </c>
      <c r="C3092" t="n">
        <v>1.6648</v>
      </c>
    </row>
    <row r="3093">
      <c r="A3093" t="n">
        <v>1.4277</v>
      </c>
      <c r="B3093" t="n">
        <v>1.4524</v>
      </c>
      <c r="C3093" t="n">
        <v>1.5328</v>
      </c>
    </row>
    <row r="3094">
      <c r="A3094" t="n">
        <v>1.616</v>
      </c>
      <c r="B3094" t="n">
        <v>1.603</v>
      </c>
      <c r="C3094" t="n">
        <v>1.4407</v>
      </c>
    </row>
    <row r="3095">
      <c r="A3095" t="n">
        <v>1.5429</v>
      </c>
      <c r="B3095" t="n">
        <v>1.5305</v>
      </c>
      <c r="C3095" t="n">
        <v>1.4144</v>
      </c>
    </row>
    <row r="3096">
      <c r="A3096" t="n">
        <v>1.6445</v>
      </c>
      <c r="B3096" t="n">
        <v>1.6519</v>
      </c>
      <c r="C3096" t="n">
        <v>1.6077</v>
      </c>
    </row>
    <row r="3097">
      <c r="A3097" t="n">
        <v>1.4729</v>
      </c>
      <c r="B3097" t="n">
        <v>1.4747</v>
      </c>
      <c r="C3097" t="n">
        <v>1.8851</v>
      </c>
    </row>
    <row r="3098">
      <c r="A3098" t="n">
        <v>1.4286</v>
      </c>
      <c r="B3098" t="n">
        <v>1.4337</v>
      </c>
      <c r="C3098" t="n">
        <v>1.4956</v>
      </c>
    </row>
    <row r="3099">
      <c r="A3099" t="n">
        <v>1.3936</v>
      </c>
      <c r="B3099" t="n">
        <v>1.4094</v>
      </c>
      <c r="C3099" t="n">
        <v>1.4689</v>
      </c>
    </row>
    <row r="3100">
      <c r="A3100" t="n">
        <v>1.3973</v>
      </c>
      <c r="B3100" t="n">
        <v>1.4268</v>
      </c>
      <c r="C3100" t="n">
        <v>1.4523</v>
      </c>
    </row>
    <row r="3101">
      <c r="A3101" t="n">
        <v>1.426</v>
      </c>
      <c r="B3101" t="n">
        <v>1.4294</v>
      </c>
      <c r="C3101" t="n">
        <v>1.6214</v>
      </c>
    </row>
    <row r="3102">
      <c r="A3102" t="n">
        <v>1.6241</v>
      </c>
      <c r="B3102" t="n">
        <v>1.7414</v>
      </c>
      <c r="C3102" t="n">
        <v>1.6903</v>
      </c>
    </row>
    <row r="3103">
      <c r="A3103" t="n">
        <v>1.6456</v>
      </c>
      <c r="B3103" t="n">
        <v>1.7272</v>
      </c>
      <c r="C3103" t="n">
        <v>1.4813</v>
      </c>
    </row>
    <row r="3104">
      <c r="A3104" t="n">
        <v>1.4793</v>
      </c>
      <c r="B3104" t="n">
        <v>1.742</v>
      </c>
      <c r="C3104" t="n">
        <v>1.4476</v>
      </c>
    </row>
    <row r="3105">
      <c r="A3105" t="n">
        <v>1.4241</v>
      </c>
      <c r="B3105" t="n">
        <v>1.5423</v>
      </c>
      <c r="C3105" t="n">
        <v>1.4589</v>
      </c>
    </row>
    <row r="3106">
      <c r="A3106" t="n">
        <v>1.7308</v>
      </c>
      <c r="B3106" t="n">
        <v>1.9453</v>
      </c>
      <c r="C3106" t="n">
        <v>1.6349</v>
      </c>
    </row>
    <row r="3107">
      <c r="A3107" t="n">
        <v>1.4079</v>
      </c>
      <c r="B3107" t="n">
        <v>1.5146</v>
      </c>
      <c r="C3107" t="n">
        <v>1.5511</v>
      </c>
    </row>
    <row r="3108">
      <c r="A3108" t="n">
        <v>1.45</v>
      </c>
      <c r="B3108" t="n">
        <v>1.4495</v>
      </c>
      <c r="C3108" t="n">
        <v>1.4255</v>
      </c>
    </row>
    <row r="3109">
      <c r="A3109" t="n">
        <v>1.6455</v>
      </c>
      <c r="B3109" t="n">
        <v>1.7078</v>
      </c>
      <c r="C3109" t="n">
        <v>1.4316</v>
      </c>
    </row>
    <row r="3110">
      <c r="A3110" t="n">
        <v>1.5184</v>
      </c>
      <c r="B3110" t="n">
        <v>1.771</v>
      </c>
      <c r="C3110" t="n">
        <v>1.4241</v>
      </c>
    </row>
    <row r="3111">
      <c r="A3111" t="n">
        <v>1.4409</v>
      </c>
      <c r="B3111" t="n">
        <v>1.5143</v>
      </c>
      <c r="C3111" t="n">
        <v>1.4517</v>
      </c>
    </row>
    <row r="3112">
      <c r="A3112" t="n">
        <v>1.3695</v>
      </c>
      <c r="B3112" t="n">
        <v>1.4263</v>
      </c>
      <c r="C3112" t="n">
        <v>1.4611</v>
      </c>
    </row>
    <row r="3113">
      <c r="A3113" t="n">
        <v>1.4118</v>
      </c>
      <c r="B3113" t="n">
        <v>1.4308</v>
      </c>
      <c r="C3113" t="n">
        <v>1.4684</v>
      </c>
    </row>
    <row r="3114">
      <c r="A3114" t="n">
        <v>1.3987</v>
      </c>
      <c r="B3114" t="n">
        <v>1.6755</v>
      </c>
      <c r="C3114" t="n">
        <v>1.7105</v>
      </c>
    </row>
    <row r="3115">
      <c r="A3115" t="n">
        <v>1.3903</v>
      </c>
      <c r="B3115" t="n">
        <v>1.713</v>
      </c>
      <c r="C3115" t="n">
        <v>1.7148</v>
      </c>
    </row>
    <row r="3116">
      <c r="A3116" t="n">
        <v>1.504</v>
      </c>
      <c r="B3116" t="n">
        <v>1.5083</v>
      </c>
      <c r="C3116" t="n">
        <v>1.5014</v>
      </c>
    </row>
    <row r="3117">
      <c r="A3117" t="n">
        <v>1.6293</v>
      </c>
      <c r="B3117" t="n">
        <v>1.4479</v>
      </c>
      <c r="C3117" t="n">
        <v>1.4387</v>
      </c>
    </row>
    <row r="3118">
      <c r="A3118" t="n">
        <v>1.5058</v>
      </c>
      <c r="B3118" t="n">
        <v>1.4209</v>
      </c>
      <c r="C3118" t="n">
        <v>1.4569</v>
      </c>
    </row>
    <row r="3119">
      <c r="A3119" t="n">
        <v>1.4091</v>
      </c>
      <c r="B3119" t="n">
        <v>1.5968</v>
      </c>
      <c r="C3119" t="n">
        <v>1.6865</v>
      </c>
    </row>
    <row r="3120">
      <c r="A3120" t="n">
        <v>1.4124</v>
      </c>
      <c r="B3120" t="n">
        <v>1.7965</v>
      </c>
      <c r="C3120" t="n">
        <v>1.7205</v>
      </c>
    </row>
    <row r="3121">
      <c r="A3121" t="n">
        <v>1.414</v>
      </c>
      <c r="B3121" t="n">
        <v>1.4806</v>
      </c>
      <c r="C3121" t="n">
        <v>1.4787</v>
      </c>
    </row>
    <row r="3122">
      <c r="A3122" t="n">
        <v>1.4316</v>
      </c>
      <c r="B3122" t="n">
        <v>1.4725</v>
      </c>
      <c r="C3122" t="n">
        <v>1.76</v>
      </c>
    </row>
    <row r="3123">
      <c r="A3123" t="n">
        <v>1.6057</v>
      </c>
      <c r="B3123" t="n">
        <v>1.4422</v>
      </c>
      <c r="C3123" t="n">
        <v>1.6307</v>
      </c>
    </row>
    <row r="3124">
      <c r="A3124" t="n">
        <v>1.5083</v>
      </c>
      <c r="B3124" t="n">
        <v>1.6459</v>
      </c>
      <c r="C3124" t="n">
        <v>1.5145</v>
      </c>
    </row>
    <row r="3125">
      <c r="A3125" t="n">
        <v>1.6303</v>
      </c>
      <c r="B3125" t="n">
        <v>1.7424</v>
      </c>
      <c r="C3125" t="n">
        <v>1.6466</v>
      </c>
    </row>
    <row r="3126">
      <c r="A3126" t="n">
        <v>1.4771</v>
      </c>
      <c r="B3126" t="n">
        <v>1.4839</v>
      </c>
      <c r="C3126" t="n">
        <v>1.6464</v>
      </c>
    </row>
    <row r="3127">
      <c r="A3127" t="n">
        <v>1.4114</v>
      </c>
      <c r="B3127" t="n">
        <v>1.4374</v>
      </c>
      <c r="C3127" t="n">
        <v>1.5444</v>
      </c>
    </row>
    <row r="3128">
      <c r="A3128" t="n">
        <v>1.6883</v>
      </c>
      <c r="B3128" t="n">
        <v>1.4407</v>
      </c>
      <c r="C3128" t="n">
        <v>1.6166</v>
      </c>
    </row>
    <row r="3129">
      <c r="A3129" t="n">
        <v>1.5032</v>
      </c>
      <c r="B3129" t="n">
        <v>1.3961</v>
      </c>
      <c r="C3129" t="n">
        <v>1.5132</v>
      </c>
    </row>
    <row r="3130">
      <c r="A3130" t="n">
        <v>1.5947</v>
      </c>
      <c r="B3130" t="n">
        <v>1.4265</v>
      </c>
      <c r="C3130" t="n">
        <v>1.4283</v>
      </c>
    </row>
    <row r="3131">
      <c r="A3131" t="n">
        <v>1.5053</v>
      </c>
      <c r="B3131" t="n">
        <v>1.6791</v>
      </c>
      <c r="C3131" t="n">
        <v>1.4212</v>
      </c>
    </row>
    <row r="3132">
      <c r="A3132" t="n">
        <v>1.4284</v>
      </c>
      <c r="B3132" t="n">
        <v>1.5354</v>
      </c>
      <c r="C3132" t="n">
        <v>1.4414</v>
      </c>
    </row>
    <row r="3133">
      <c r="A3133" t="n">
        <v>1.4071</v>
      </c>
      <c r="B3133" t="n">
        <v>1.6272</v>
      </c>
      <c r="C3133" t="n">
        <v>1.5038</v>
      </c>
    </row>
    <row r="3134">
      <c r="A3134" t="n">
        <v>1.4326</v>
      </c>
      <c r="B3134" t="n">
        <v>1.6721</v>
      </c>
      <c r="C3134" t="n">
        <v>1.6506</v>
      </c>
    </row>
    <row r="3135">
      <c r="A3135" t="n">
        <v>1.4148</v>
      </c>
      <c r="B3135" t="n">
        <v>1.5265</v>
      </c>
      <c r="C3135" t="n">
        <v>1.6815</v>
      </c>
    </row>
    <row r="3136">
      <c r="A3136" t="n">
        <v>1.6045</v>
      </c>
      <c r="B3136" t="n">
        <v>1.6237</v>
      </c>
      <c r="C3136" t="n">
        <v>1.4879</v>
      </c>
    </row>
    <row r="3137">
      <c r="A3137" t="n">
        <v>1.564</v>
      </c>
      <c r="B3137" t="n">
        <v>1.526</v>
      </c>
      <c r="C3137" t="n">
        <v>1.4187</v>
      </c>
    </row>
    <row r="3138">
      <c r="A3138" t="n">
        <v>1.743</v>
      </c>
      <c r="B3138" t="n">
        <v>1.7581</v>
      </c>
      <c r="C3138" t="n">
        <v>1.4485</v>
      </c>
    </row>
    <row r="3139">
      <c r="A3139" t="n">
        <v>1.4388</v>
      </c>
      <c r="B3139" t="n">
        <v>1.6378</v>
      </c>
      <c r="C3139" t="n">
        <v>1.6423</v>
      </c>
    </row>
    <row r="3140">
      <c r="A3140" t="n">
        <v>1.4302</v>
      </c>
      <c r="B3140" t="n">
        <v>1.6926</v>
      </c>
      <c r="C3140" t="n">
        <v>1.8224</v>
      </c>
    </row>
    <row r="3141">
      <c r="A3141" t="n">
        <v>1.6018</v>
      </c>
      <c r="B3141" t="n">
        <v>1.4871</v>
      </c>
      <c r="C3141" t="n">
        <v>1.5075</v>
      </c>
    </row>
    <row r="3142">
      <c r="A3142" t="n">
        <v>1.5383</v>
      </c>
      <c r="B3142" t="n">
        <v>1.412</v>
      </c>
      <c r="C3142" t="n">
        <v>1.4519</v>
      </c>
    </row>
    <row r="3143">
      <c r="A3143" t="n">
        <v>1.6491</v>
      </c>
      <c r="B3143" t="n">
        <v>1.4554</v>
      </c>
      <c r="C3143" t="n">
        <v>1.4245</v>
      </c>
    </row>
    <row r="3144">
      <c r="A3144" t="n">
        <v>1.4854</v>
      </c>
      <c r="B3144" t="n">
        <v>1.6139</v>
      </c>
      <c r="C3144" t="n">
        <v>1.6667</v>
      </c>
    </row>
    <row r="3145">
      <c r="A3145" t="n">
        <v>1.4424</v>
      </c>
      <c r="B3145" t="n">
        <v>1.5411</v>
      </c>
      <c r="C3145" t="n">
        <v>1.7347</v>
      </c>
    </row>
    <row r="3146">
      <c r="A3146" t="n">
        <v>1.632</v>
      </c>
      <c r="B3146" t="n">
        <v>1.6752</v>
      </c>
      <c r="C3146" t="n">
        <v>1.4819</v>
      </c>
    </row>
    <row r="3147">
      <c r="A3147" t="n">
        <v>1.5387</v>
      </c>
      <c r="B3147" t="n">
        <v>1.4826</v>
      </c>
      <c r="C3147" t="n">
        <v>1.4396</v>
      </c>
    </row>
    <row r="3148">
      <c r="A3148" t="n">
        <v>1.5903</v>
      </c>
      <c r="B3148" t="n">
        <v>1.4202</v>
      </c>
      <c r="C3148" t="n">
        <v>1.4417</v>
      </c>
    </row>
    <row r="3149">
      <c r="A3149" t="n">
        <v>1.5079</v>
      </c>
      <c r="B3149" t="n">
        <v>1.3997</v>
      </c>
      <c r="C3149" t="n">
        <v>1.6064</v>
      </c>
    </row>
    <row r="3150">
      <c r="A3150" t="n">
        <v>1.4173</v>
      </c>
      <c r="B3150" t="n">
        <v>1.4323</v>
      </c>
      <c r="C3150" t="n">
        <v>1.8682</v>
      </c>
    </row>
    <row r="3151">
      <c r="A3151" t="n">
        <v>1.4095</v>
      </c>
      <c r="B3151" t="n">
        <v>1.4238</v>
      </c>
      <c r="C3151" t="n">
        <v>1.5076</v>
      </c>
    </row>
    <row r="3152">
      <c r="A3152" t="n">
        <v>1.4211</v>
      </c>
      <c r="B3152" t="n">
        <v>1.6688</v>
      </c>
      <c r="C3152" t="n">
        <v>1.4536</v>
      </c>
    </row>
    <row r="3153">
      <c r="A3153" t="n">
        <v>1.4236</v>
      </c>
      <c r="B3153" t="n">
        <v>1.729</v>
      </c>
      <c r="C3153" t="n">
        <v>1.4533</v>
      </c>
    </row>
    <row r="3154">
      <c r="A3154" t="n">
        <v>1.6023</v>
      </c>
      <c r="B3154" t="n">
        <v>1.4815</v>
      </c>
      <c r="C3154" t="n">
        <v>1.9626</v>
      </c>
    </row>
    <row r="3155">
      <c r="A3155" t="n">
        <v>1.7462</v>
      </c>
      <c r="B3155" t="n">
        <v>1.4501</v>
      </c>
      <c r="C3155" t="n">
        <v>1.7524</v>
      </c>
    </row>
    <row r="3156">
      <c r="A3156" t="n">
        <v>1.4817</v>
      </c>
      <c r="B3156" t="n">
        <v>1.4544</v>
      </c>
      <c r="C3156" t="n">
        <v>1.7554</v>
      </c>
    </row>
    <row r="3157">
      <c r="A3157" t="n">
        <v>1.409</v>
      </c>
      <c r="B3157" t="n">
        <v>1.6531</v>
      </c>
      <c r="C3157" t="n">
        <v>1.8537</v>
      </c>
    </row>
    <row r="3158">
      <c r="A3158" t="n">
        <v>1.4326</v>
      </c>
      <c r="B3158" t="n">
        <v>1.6821</v>
      </c>
      <c r="C3158" t="n">
        <v>1.4737</v>
      </c>
    </row>
    <row r="3159">
      <c r="A3159" t="n">
        <v>1.3954</v>
      </c>
      <c r="B3159" t="n">
        <v>1.497</v>
      </c>
      <c r="C3159" t="n">
        <v>1.4305</v>
      </c>
    </row>
    <row r="3160">
      <c r="A3160" t="n">
        <v>1.4455</v>
      </c>
      <c r="B3160" t="n">
        <v>1.4304</v>
      </c>
      <c r="C3160" t="n">
        <v>1.433</v>
      </c>
    </row>
    <row r="3161">
      <c r="A3161" t="n">
        <v>1.6599</v>
      </c>
      <c r="B3161" t="n">
        <v>1.4104</v>
      </c>
      <c r="C3161" t="n">
        <v>1.5905</v>
      </c>
    </row>
    <row r="3162">
      <c r="A3162" t="n">
        <v>1.5181</v>
      </c>
      <c r="B3162" t="n">
        <v>1.6468</v>
      </c>
      <c r="C3162" t="n">
        <v>1.8545</v>
      </c>
    </row>
    <row r="3163">
      <c r="A3163" t="n">
        <v>1.6669</v>
      </c>
      <c r="B3163" t="n">
        <v>1.5598</v>
      </c>
      <c r="C3163" t="n">
        <v>1.4997</v>
      </c>
    </row>
    <row r="3164">
      <c r="A3164" t="n">
        <v>1.8014</v>
      </c>
      <c r="B3164" t="n">
        <v>1.4348</v>
      </c>
      <c r="C3164" t="n">
        <v>1.4352</v>
      </c>
    </row>
    <row r="3165">
      <c r="A3165" t="n">
        <v>1.5347</v>
      </c>
      <c r="B3165" t="n">
        <v>1.4408</v>
      </c>
      <c r="C3165" t="n">
        <v>1.4372</v>
      </c>
    </row>
    <row r="3166">
      <c r="A3166" t="n">
        <v>1.6201</v>
      </c>
      <c r="B3166" t="n">
        <v>1.4182</v>
      </c>
      <c r="C3166" t="n">
        <v>1.6413</v>
      </c>
    </row>
    <row r="3167">
      <c r="A3167" t="n">
        <v>1.4777</v>
      </c>
      <c r="B3167" t="n">
        <v>1.4146</v>
      </c>
      <c r="C3167" t="n">
        <v>1.8087</v>
      </c>
    </row>
    <row r="3168">
      <c r="A3168" t="n">
        <v>1.4671</v>
      </c>
      <c r="B3168" t="n">
        <v>1.4661</v>
      </c>
      <c r="C3168" t="n">
        <v>1.5218</v>
      </c>
    </row>
    <row r="3169">
      <c r="A3169" t="n">
        <v>1.4215</v>
      </c>
      <c r="B3169" t="n">
        <v>1.4276</v>
      </c>
      <c r="C3169" t="n">
        <v>1.4428</v>
      </c>
    </row>
    <row r="3170">
      <c r="A3170" t="n">
        <v>1.7773</v>
      </c>
      <c r="B3170" t="n">
        <v>1.9966</v>
      </c>
      <c r="C3170" t="n">
        <v>1.4222</v>
      </c>
    </row>
    <row r="3171">
      <c r="A3171" t="n">
        <v>1.6229</v>
      </c>
      <c r="B3171" t="n">
        <v>1.705</v>
      </c>
      <c r="C3171" t="n">
        <v>1.6212</v>
      </c>
    </row>
    <row r="3172">
      <c r="A3172" t="n">
        <v>1.486</v>
      </c>
      <c r="B3172" t="n">
        <v>1.6537</v>
      </c>
      <c r="C3172" t="n">
        <v>1.924</v>
      </c>
    </row>
    <row r="3173">
      <c r="A3173" t="n">
        <v>1.4241</v>
      </c>
      <c r="B3173" t="n">
        <v>1.5355</v>
      </c>
      <c r="C3173" t="n">
        <v>1.4742</v>
      </c>
    </row>
    <row r="3174">
      <c r="A3174" t="n">
        <v>1.4031</v>
      </c>
      <c r="B3174" t="n">
        <v>1.7558</v>
      </c>
      <c r="C3174" t="n">
        <v>1.4417</v>
      </c>
    </row>
    <row r="3175">
      <c r="A3175" t="n">
        <v>1.4031</v>
      </c>
      <c r="B3175" t="n">
        <v>1.4647</v>
      </c>
      <c r="C3175" t="n">
        <v>1.4468</v>
      </c>
    </row>
    <row r="3176">
      <c r="A3176" t="n">
        <v>1.4112</v>
      </c>
      <c r="B3176" t="n">
        <v>1.4515</v>
      </c>
      <c r="C3176" t="n">
        <v>1.6237</v>
      </c>
    </row>
    <row r="3177">
      <c r="A3177" t="n">
        <v>1.4022</v>
      </c>
      <c r="B3177" t="n">
        <v>1.6744</v>
      </c>
      <c r="C3177" t="n">
        <v>1.6966</v>
      </c>
    </row>
    <row r="3178">
      <c r="A3178" t="n">
        <v>1.4503</v>
      </c>
      <c r="B3178" t="n">
        <v>1.4831</v>
      </c>
      <c r="C3178" t="n">
        <v>1.4917</v>
      </c>
    </row>
    <row r="3179">
      <c r="A3179" t="n">
        <v>1.602</v>
      </c>
      <c r="B3179" t="n">
        <v>1.7297</v>
      </c>
      <c r="C3179" t="n">
        <v>1.4222</v>
      </c>
    </row>
    <row r="3180">
      <c r="A3180" t="n">
        <v>1.505</v>
      </c>
      <c r="B3180" t="n">
        <v>1.52</v>
      </c>
      <c r="C3180" t="n">
        <v>1.4578</v>
      </c>
    </row>
    <row r="3181">
      <c r="A3181" t="n">
        <v>1.4255</v>
      </c>
      <c r="B3181" t="n">
        <v>1.4328</v>
      </c>
      <c r="C3181" t="n">
        <v>1.6337</v>
      </c>
    </row>
    <row r="3182">
      <c r="A3182" t="n">
        <v>1.4255</v>
      </c>
      <c r="B3182" t="n">
        <v>1.6537</v>
      </c>
      <c r="C3182" t="n">
        <v>1.5164</v>
      </c>
    </row>
    <row r="3183">
      <c r="A3183" t="n">
        <v>1.4206</v>
      </c>
      <c r="B3183" t="n">
        <v>1.5385</v>
      </c>
      <c r="C3183" t="n">
        <v>1.4245</v>
      </c>
    </row>
    <row r="3184">
      <c r="A3184" t="n">
        <v>1.4111</v>
      </c>
      <c r="B3184" t="n">
        <v>1.6444</v>
      </c>
      <c r="C3184" t="n">
        <v>1.4601</v>
      </c>
    </row>
    <row r="3185">
      <c r="A3185" t="n">
        <v>1.6375</v>
      </c>
      <c r="B3185" t="n">
        <v>1.5035</v>
      </c>
      <c r="C3185" t="n">
        <v>1.6918</v>
      </c>
    </row>
    <row r="3186">
      <c r="A3186" t="n">
        <v>1.5476</v>
      </c>
      <c r="B3186" t="n">
        <v>1.4533</v>
      </c>
      <c r="C3186" t="n">
        <v>2.0477</v>
      </c>
    </row>
    <row r="3187">
      <c r="A3187" t="n">
        <v>1.6178</v>
      </c>
      <c r="B3187" t="n">
        <v>1.3754</v>
      </c>
      <c r="C3187" t="n">
        <v>1.8225</v>
      </c>
    </row>
    <row r="3188">
      <c r="A3188" t="n">
        <v>1.4817</v>
      </c>
      <c r="B3188" t="n">
        <v>1.4164</v>
      </c>
      <c r="C3188" t="n">
        <v>1.4547</v>
      </c>
    </row>
    <row r="3189">
      <c r="A3189" t="n">
        <v>1.4367</v>
      </c>
      <c r="B3189" t="n">
        <v>1.4193</v>
      </c>
      <c r="C3189" t="n">
        <v>1.4521</v>
      </c>
    </row>
    <row r="3190">
      <c r="A3190" t="n">
        <v>1.3794</v>
      </c>
      <c r="B3190" t="n">
        <v>1.6235</v>
      </c>
      <c r="C3190" t="n">
        <v>1.6634</v>
      </c>
    </row>
    <row r="3191">
      <c r="A3191" t="n">
        <v>1.4149</v>
      </c>
      <c r="B3191" t="n">
        <v>1.7605</v>
      </c>
      <c r="C3191" t="n">
        <v>1.5093</v>
      </c>
    </row>
    <row r="3192">
      <c r="A3192" t="n">
        <v>1.4452</v>
      </c>
      <c r="B3192" t="n">
        <v>1.5172</v>
      </c>
      <c r="C3192" t="n">
        <v>1.6413</v>
      </c>
    </row>
    <row r="3193">
      <c r="A3193" t="n">
        <v>1.6611</v>
      </c>
      <c r="B3193" t="n">
        <v>1.437</v>
      </c>
      <c r="C3193" t="n">
        <v>1.6872</v>
      </c>
    </row>
    <row r="3194">
      <c r="A3194" t="n">
        <v>1.6834</v>
      </c>
      <c r="B3194" t="n">
        <v>1.4356</v>
      </c>
      <c r="C3194" t="n">
        <v>1.5115</v>
      </c>
    </row>
    <row r="3195">
      <c r="A3195" t="n">
        <v>1.4788</v>
      </c>
      <c r="B3195" t="n">
        <v>1.6329</v>
      </c>
      <c r="C3195" t="n">
        <v>1.6295</v>
      </c>
    </row>
    <row r="3196">
      <c r="A3196" t="n">
        <v>1.4086</v>
      </c>
      <c r="B3196" t="n">
        <v>1.646</v>
      </c>
      <c r="C3196" t="n">
        <v>1.5013</v>
      </c>
    </row>
    <row r="3197">
      <c r="A3197" t="n">
        <v>1.4528</v>
      </c>
      <c r="B3197" t="n">
        <v>1.5051</v>
      </c>
      <c r="C3197" t="n">
        <v>1.4179</v>
      </c>
    </row>
    <row r="3198">
      <c r="A3198" t="n">
        <v>1.6549</v>
      </c>
      <c r="B3198" t="n">
        <v>1.4403</v>
      </c>
      <c r="C3198" t="n">
        <v>1.4272</v>
      </c>
    </row>
    <row r="3199">
      <c r="A3199" t="n">
        <v>1.5656</v>
      </c>
      <c r="B3199" t="n">
        <v>1.43</v>
      </c>
      <c r="C3199" t="n">
        <v>1.4401</v>
      </c>
    </row>
    <row r="3200">
      <c r="A3200" t="n">
        <v>1.4199</v>
      </c>
      <c r="B3200" t="n">
        <v>1.6614</v>
      </c>
      <c r="C3200" t="n">
        <v>1.4213</v>
      </c>
    </row>
    <row r="3201">
      <c r="A3201" t="n">
        <v>1.4296</v>
      </c>
      <c r="B3201" t="n">
        <v>1.5211</v>
      </c>
      <c r="C3201" t="n">
        <v>1.6431</v>
      </c>
    </row>
    <row r="3202">
      <c r="A3202" t="n">
        <v>1.7329</v>
      </c>
      <c r="B3202" t="n">
        <v>1.7042</v>
      </c>
      <c r="C3202" t="n">
        <v>1.5016</v>
      </c>
    </row>
    <row r="3203">
      <c r="A3203" t="n">
        <v>1.627</v>
      </c>
      <c r="B3203" t="n">
        <v>1.4624</v>
      </c>
      <c r="C3203" t="n">
        <v>1.5764</v>
      </c>
    </row>
    <row r="3204">
      <c r="A3204" t="n">
        <v>1.584</v>
      </c>
      <c r="B3204" t="n">
        <v>1.4554</v>
      </c>
      <c r="C3204" t="n">
        <v>1.5013</v>
      </c>
    </row>
    <row r="3205">
      <c r="A3205" t="n">
        <v>1.3995</v>
      </c>
      <c r="B3205" t="n">
        <v>1.651</v>
      </c>
      <c r="C3205" t="n">
        <v>1.4774</v>
      </c>
    </row>
    <row r="3206">
      <c r="A3206" t="n">
        <v>1.4308</v>
      </c>
      <c r="B3206" t="n">
        <v>1.5351</v>
      </c>
      <c r="C3206" t="n">
        <v>1.3959</v>
      </c>
    </row>
    <row r="3207">
      <c r="A3207" t="n">
        <v>1.4274</v>
      </c>
      <c r="B3207" t="n">
        <v>1.6682</v>
      </c>
      <c r="C3207" t="n">
        <v>1.4791</v>
      </c>
    </row>
    <row r="3208">
      <c r="A3208" t="n">
        <v>1.3893</v>
      </c>
      <c r="B3208" t="n">
        <v>1.4633</v>
      </c>
      <c r="C3208" t="n">
        <v>1.445</v>
      </c>
    </row>
    <row r="3209">
      <c r="A3209" t="n">
        <v>1.4155</v>
      </c>
      <c r="B3209" t="n">
        <v>1.4498</v>
      </c>
      <c r="C3209" t="n">
        <v>1.452</v>
      </c>
    </row>
    <row r="3210">
      <c r="A3210" t="n">
        <v>1.4549</v>
      </c>
      <c r="B3210" t="n">
        <v>1.4362</v>
      </c>
      <c r="C3210" t="n">
        <v>1.4616</v>
      </c>
    </row>
    <row r="3211">
      <c r="A3211" t="n">
        <v>1.3799</v>
      </c>
      <c r="B3211" t="n">
        <v>1.4036</v>
      </c>
      <c r="C3211" t="n">
        <v>1.4213</v>
      </c>
    </row>
    <row r="3212">
      <c r="A3212" t="n">
        <v>1.4454</v>
      </c>
      <c r="B3212" t="n">
        <v>1.4177</v>
      </c>
      <c r="C3212" t="n">
        <v>1.4826</v>
      </c>
    </row>
    <row r="3213">
      <c r="A3213" t="n">
        <v>1.6265</v>
      </c>
      <c r="B3213" t="n">
        <v>1.4059</v>
      </c>
      <c r="C3213" t="n">
        <v>1.5103</v>
      </c>
    </row>
    <row r="3214">
      <c r="A3214" t="n">
        <v>1.5085</v>
      </c>
      <c r="B3214" t="n">
        <v>1.4916</v>
      </c>
      <c r="C3214" t="n">
        <v>1.4751</v>
      </c>
    </row>
    <row r="3215">
      <c r="A3215" t="n">
        <v>1.6753</v>
      </c>
      <c r="B3215" t="n">
        <v>1.6674</v>
      </c>
      <c r="C3215" t="n">
        <v>1.4698</v>
      </c>
    </row>
    <row r="3216">
      <c r="A3216" t="n">
        <v>1.7639</v>
      </c>
      <c r="B3216" t="n">
        <v>1.5057</v>
      </c>
      <c r="C3216" t="n">
        <v>1.4996</v>
      </c>
    </row>
    <row r="3217">
      <c r="A3217" t="n">
        <v>1.5386</v>
      </c>
      <c r="B3217" t="n">
        <v>1.4352</v>
      </c>
      <c r="C3217" t="n">
        <v>1.4954</v>
      </c>
    </row>
    <row r="3218">
      <c r="A3218" t="n">
        <v>1.6429</v>
      </c>
      <c r="B3218" t="n">
        <v>1.4111</v>
      </c>
      <c r="C3218" t="n">
        <v>2.0037</v>
      </c>
    </row>
    <row r="3219">
      <c r="A3219" t="n">
        <v>1.4938</v>
      </c>
      <c r="B3219" t="n">
        <v>1.433</v>
      </c>
      <c r="C3219" t="n">
        <v>1.6827</v>
      </c>
    </row>
    <row r="3220">
      <c r="A3220" t="n">
        <v>1.4362</v>
      </c>
      <c r="B3220" t="n">
        <v>1.4089</v>
      </c>
      <c r="C3220" t="n">
        <v>1.59</v>
      </c>
    </row>
    <row r="3221">
      <c r="A3221" t="n">
        <v>1.4007</v>
      </c>
      <c r="B3221" t="n">
        <v>1.6451</v>
      </c>
      <c r="C3221" t="n">
        <v>1.4022</v>
      </c>
    </row>
    <row r="3222">
      <c r="A3222" t="n">
        <v>1.4284</v>
      </c>
      <c r="B3222" t="n">
        <v>1.6696</v>
      </c>
      <c r="C3222" t="n">
        <v>1.4719</v>
      </c>
    </row>
    <row r="3223">
      <c r="A3223" t="n">
        <v>1.4069</v>
      </c>
      <c r="B3223" t="n">
        <v>1.4591</v>
      </c>
      <c r="C3223" t="n">
        <v>1.4222</v>
      </c>
    </row>
    <row r="3224">
      <c r="A3224" t="n">
        <v>1.652</v>
      </c>
      <c r="B3224" t="n">
        <v>1.4416</v>
      </c>
      <c r="C3224" t="n">
        <v>1.4284</v>
      </c>
    </row>
    <row r="3225">
      <c r="A3225" t="n">
        <v>1.6778</v>
      </c>
      <c r="B3225" t="n">
        <v>1.424</v>
      </c>
      <c r="C3225" t="n">
        <v>1.4562</v>
      </c>
    </row>
    <row r="3226">
      <c r="A3226" t="n">
        <v>1.4685</v>
      </c>
      <c r="B3226" t="n">
        <v>1.6728</v>
      </c>
      <c r="C3226" t="n">
        <v>1.4913</v>
      </c>
    </row>
    <row r="3227">
      <c r="A3227" t="n">
        <v>1.4346</v>
      </c>
      <c r="B3227" t="n">
        <v>1.7601</v>
      </c>
      <c r="C3227" t="n">
        <v>1.4073</v>
      </c>
    </row>
    <row r="3228">
      <c r="A3228" t="n">
        <v>1.4234</v>
      </c>
      <c r="B3228" t="n">
        <v>1.4944</v>
      </c>
      <c r="C3228" t="n">
        <v>1.4784</v>
      </c>
    </row>
    <row r="3229">
      <c r="A3229" t="n">
        <v>1.5999</v>
      </c>
      <c r="B3229" t="n">
        <v>1.4498</v>
      </c>
      <c r="C3229" t="n">
        <v>1.6609</v>
      </c>
    </row>
    <row r="3230">
      <c r="A3230" t="n">
        <v>1.5181</v>
      </c>
      <c r="B3230" t="n">
        <v>1.4604</v>
      </c>
      <c r="C3230" t="n">
        <v>1.4784</v>
      </c>
    </row>
    <row r="3231">
      <c r="A3231" t="n">
        <v>1.593</v>
      </c>
      <c r="B3231" t="n">
        <v>1.6081</v>
      </c>
      <c r="C3231" t="n">
        <v>1.4184</v>
      </c>
    </row>
    <row r="3232">
      <c r="A3232" t="n">
        <v>1.4693</v>
      </c>
      <c r="B3232" t="n">
        <v>1.5408</v>
      </c>
      <c r="C3232" t="n">
        <v>1.4158</v>
      </c>
    </row>
    <row r="3233">
      <c r="A3233" t="n">
        <v>1.4368</v>
      </c>
      <c r="B3233" t="n">
        <v>1.7034</v>
      </c>
      <c r="C3233" t="n">
        <v>1.4227</v>
      </c>
    </row>
    <row r="3234">
      <c r="A3234" t="n">
        <v>1.7252</v>
      </c>
      <c r="B3234" t="n">
        <v>1.8446</v>
      </c>
      <c r="C3234" t="n">
        <v>1.477</v>
      </c>
    </row>
    <row r="3235">
      <c r="A3235" t="n">
        <v>1.4552</v>
      </c>
      <c r="B3235" t="n">
        <v>1.6612</v>
      </c>
      <c r="C3235" t="n">
        <v>1.4048</v>
      </c>
    </row>
    <row r="3236">
      <c r="A3236" t="n">
        <v>1.6001</v>
      </c>
      <c r="B3236" t="n">
        <v>1.5543</v>
      </c>
      <c r="C3236" t="n">
        <v>1.4613</v>
      </c>
    </row>
    <row r="3237">
      <c r="A3237" t="n">
        <v>1.5149</v>
      </c>
      <c r="B3237" t="n">
        <v>1.7225</v>
      </c>
      <c r="C3237" t="n">
        <v>1.612</v>
      </c>
    </row>
    <row r="3238">
      <c r="A3238" t="n">
        <v>1.4148</v>
      </c>
      <c r="B3238" t="n">
        <v>1.6622</v>
      </c>
      <c r="C3238" t="n">
        <v>1.497</v>
      </c>
    </row>
    <row r="3239">
      <c r="A3239" t="n">
        <v>1.4317</v>
      </c>
      <c r="B3239" t="n">
        <v>1.5419</v>
      </c>
      <c r="C3239" t="n">
        <v>1.4163</v>
      </c>
    </row>
    <row r="3240">
      <c r="A3240" t="n">
        <v>1.428</v>
      </c>
      <c r="B3240" t="n">
        <v>1.7011</v>
      </c>
      <c r="C3240" t="n">
        <v>1.424</v>
      </c>
    </row>
    <row r="3241">
      <c r="A3241" t="n">
        <v>1.3978</v>
      </c>
      <c r="B3241" t="n">
        <v>1.4623</v>
      </c>
      <c r="C3241" t="n">
        <v>1.4346</v>
      </c>
    </row>
    <row r="3242">
      <c r="A3242" t="n">
        <v>1.6284</v>
      </c>
      <c r="B3242" t="n">
        <v>1.4393</v>
      </c>
      <c r="C3242" t="n">
        <v>1.4173</v>
      </c>
    </row>
    <row r="3243">
      <c r="A3243" t="n">
        <v>1.5411</v>
      </c>
      <c r="B3243" t="n">
        <v>1.6381</v>
      </c>
      <c r="C3243" t="n">
        <v>1.6798</v>
      </c>
    </row>
    <row r="3244">
      <c r="A3244" t="n">
        <v>1.3847</v>
      </c>
      <c r="B3244" t="n">
        <v>1.5057</v>
      </c>
      <c r="C3244" t="n">
        <v>1.7376</v>
      </c>
    </row>
    <row r="3245">
      <c r="A3245" t="n">
        <v>1.436</v>
      </c>
      <c r="B3245" t="n">
        <v>1.6191</v>
      </c>
      <c r="C3245" t="n">
        <v>1.4808</v>
      </c>
    </row>
    <row r="3246">
      <c r="A3246" t="n">
        <v>1.6976</v>
      </c>
      <c r="B3246" t="n">
        <v>1.5232</v>
      </c>
      <c r="C3246" t="n">
        <v>1.4581</v>
      </c>
    </row>
    <row r="3247">
      <c r="A3247" t="n">
        <v>1.669</v>
      </c>
      <c r="B3247" t="n">
        <v>1.4228</v>
      </c>
      <c r="C3247" t="n">
        <v>1.475</v>
      </c>
    </row>
    <row r="3248">
      <c r="A3248" t="n">
        <v>1.5319</v>
      </c>
      <c r="B3248" t="n">
        <v>1.4494</v>
      </c>
      <c r="C3248" t="n">
        <v>1.6876</v>
      </c>
    </row>
    <row r="3249">
      <c r="A3249" t="n">
        <v>1.6656</v>
      </c>
      <c r="B3249" t="n">
        <v>1.4412</v>
      </c>
      <c r="C3249" t="n">
        <v>1.7498</v>
      </c>
    </row>
    <row r="3250">
      <c r="A3250" t="n">
        <v>1.4724</v>
      </c>
      <c r="B3250" t="n">
        <v>1.3898</v>
      </c>
      <c r="C3250" t="n">
        <v>2.0278</v>
      </c>
    </row>
    <row r="3251">
      <c r="A3251" t="n">
        <v>1.4354</v>
      </c>
      <c r="B3251" t="n">
        <v>1.6477</v>
      </c>
      <c r="C3251" t="n">
        <v>1.6893</v>
      </c>
    </row>
    <row r="3252">
      <c r="A3252" t="n">
        <v>1.3955</v>
      </c>
      <c r="B3252" t="n">
        <v>1.6974</v>
      </c>
      <c r="C3252" t="n">
        <v>1.508</v>
      </c>
    </row>
    <row r="3253">
      <c r="A3253" t="n">
        <v>1.4382</v>
      </c>
      <c r="B3253" t="n">
        <v>1.4599</v>
      </c>
      <c r="C3253" t="n">
        <v>1.4586</v>
      </c>
    </row>
    <row r="3254">
      <c r="A3254" t="n">
        <v>1.4292</v>
      </c>
      <c r="B3254" t="n">
        <v>1.4486</v>
      </c>
      <c r="C3254" t="n">
        <v>1.4342</v>
      </c>
    </row>
    <row r="3255">
      <c r="A3255" t="n">
        <v>1.6646</v>
      </c>
      <c r="B3255" t="n">
        <v>1.4445</v>
      </c>
      <c r="C3255" t="n">
        <v>1.4215</v>
      </c>
    </row>
    <row r="3256">
      <c r="A3256" t="n">
        <v>1.6383</v>
      </c>
      <c r="B3256" t="n">
        <v>1.59</v>
      </c>
      <c r="C3256" t="n">
        <v>1.4834</v>
      </c>
    </row>
    <row r="3257">
      <c r="A3257" t="n">
        <v>1.5216</v>
      </c>
      <c r="B3257" t="n">
        <v>1.5232</v>
      </c>
      <c r="C3257" t="n">
        <v>1.6257</v>
      </c>
    </row>
    <row r="3258">
      <c r="A3258" t="n">
        <v>1.4464</v>
      </c>
      <c r="B3258" t="n">
        <v>1.6491</v>
      </c>
      <c r="C3258" t="n">
        <v>1.5771</v>
      </c>
    </row>
    <row r="3259">
      <c r="A3259" t="n">
        <v>1.4156</v>
      </c>
      <c r="B3259" t="n">
        <v>1.4936</v>
      </c>
      <c r="C3259" t="n">
        <v>1.442</v>
      </c>
    </row>
    <row r="3260">
      <c r="A3260" t="n">
        <v>1.6095</v>
      </c>
      <c r="B3260" t="n">
        <v>1.4455</v>
      </c>
      <c r="C3260" t="n">
        <v>1.4188</v>
      </c>
    </row>
    <row r="3261">
      <c r="A3261" t="n">
        <v>1.5387</v>
      </c>
      <c r="B3261" t="n">
        <v>1.4091</v>
      </c>
      <c r="C3261" t="n">
        <v>1.4228</v>
      </c>
    </row>
    <row r="3262">
      <c r="A3262" t="n">
        <v>1.5987</v>
      </c>
      <c r="B3262" t="n">
        <v>1.4226</v>
      </c>
      <c r="C3262" t="n">
        <v>1.4489</v>
      </c>
    </row>
    <row r="3263">
      <c r="A3263" t="n">
        <v>1.4793</v>
      </c>
      <c r="B3263" t="n">
        <v>1.4064</v>
      </c>
      <c r="C3263" t="n">
        <v>1.6397</v>
      </c>
    </row>
    <row r="3264">
      <c r="A3264" t="n">
        <v>1.4595</v>
      </c>
      <c r="B3264" t="n">
        <v>1.3985</v>
      </c>
      <c r="C3264" t="n">
        <v>1.6871</v>
      </c>
    </row>
    <row r="3265">
      <c r="A3265" t="n">
        <v>1.4047</v>
      </c>
      <c r="B3265" t="n">
        <v>1.5189</v>
      </c>
      <c r="C3265" t="n">
        <v>1.5043</v>
      </c>
    </row>
    <row r="3266">
      <c r="A3266" t="n">
        <v>1.7838</v>
      </c>
      <c r="B3266" t="n">
        <v>2.0087</v>
      </c>
      <c r="C3266" t="n">
        <v>1.4345</v>
      </c>
    </row>
    <row r="3267">
      <c r="A3267" t="n">
        <v>1.6276</v>
      </c>
      <c r="B3267" t="n">
        <v>1.725</v>
      </c>
      <c r="C3267" t="n">
        <v>1.449</v>
      </c>
    </row>
    <row r="3268">
      <c r="A3268" t="n">
        <v>1.4997</v>
      </c>
      <c r="B3268" t="n">
        <v>1.7306</v>
      </c>
      <c r="C3268" t="n">
        <v>1.608</v>
      </c>
    </row>
    <row r="3269">
      <c r="A3269" t="n">
        <v>1.4224</v>
      </c>
      <c r="B3269" t="n">
        <v>1.5344</v>
      </c>
      <c r="C3269" t="n">
        <v>1.5201</v>
      </c>
    </row>
    <row r="3270">
      <c r="A3270" t="n">
        <v>1.4287</v>
      </c>
      <c r="B3270" t="n">
        <v>1.4587</v>
      </c>
      <c r="C3270" t="n">
        <v>1.6582</v>
      </c>
    </row>
    <row r="3271">
      <c r="A3271" t="n">
        <v>1.4275</v>
      </c>
      <c r="B3271" t="n">
        <v>1.381</v>
      </c>
      <c r="C3271" t="n">
        <v>1.5006</v>
      </c>
    </row>
    <row r="3272">
      <c r="A3272" t="n">
        <v>1.4313</v>
      </c>
      <c r="B3272" t="n">
        <v>1.4425</v>
      </c>
      <c r="C3272" t="n">
        <v>1.4562</v>
      </c>
    </row>
    <row r="3273">
      <c r="A3273" t="n">
        <v>1.6181</v>
      </c>
      <c r="B3273" t="n">
        <v>1.4611</v>
      </c>
      <c r="C3273" t="n">
        <v>1.6204</v>
      </c>
    </row>
    <row r="3274">
      <c r="A3274" t="n">
        <v>1.7245</v>
      </c>
      <c r="B3274" t="n">
        <v>1.6478</v>
      </c>
      <c r="C3274" t="n">
        <v>1.5262</v>
      </c>
    </row>
    <row r="3275">
      <c r="A3275" t="n">
        <v>1.4933</v>
      </c>
      <c r="B3275" t="n">
        <v>1.6786</v>
      </c>
      <c r="C3275" t="n">
        <v>1.6106</v>
      </c>
    </row>
    <row r="3276">
      <c r="A3276" t="n">
        <v>1.423</v>
      </c>
      <c r="B3276" t="n">
        <v>1.4778</v>
      </c>
      <c r="C3276" t="n">
        <v>1.501</v>
      </c>
    </row>
    <row r="3277">
      <c r="A3277" t="n">
        <v>1.4052</v>
      </c>
      <c r="B3277" t="n">
        <v>1.4291</v>
      </c>
      <c r="C3277" t="n">
        <v>1.4246</v>
      </c>
    </row>
    <row r="3278">
      <c r="A3278" t="n">
        <v>1.6706</v>
      </c>
      <c r="B3278" t="n">
        <v>1.4537</v>
      </c>
      <c r="C3278" t="n">
        <v>1.4167</v>
      </c>
    </row>
    <row r="3279">
      <c r="A3279" t="n">
        <v>1.5586</v>
      </c>
      <c r="B3279" t="n">
        <v>1.6881</v>
      </c>
      <c r="C3279" t="n">
        <v>1.4389</v>
      </c>
    </row>
    <row r="3280">
      <c r="A3280" t="n">
        <v>1.6787</v>
      </c>
      <c r="B3280" t="n">
        <v>1.6667</v>
      </c>
      <c r="C3280" t="n">
        <v>1.4418</v>
      </c>
    </row>
    <row r="3281">
      <c r="A3281" t="n">
        <v>1.5005</v>
      </c>
      <c r="B3281" t="n">
        <v>1.4854</v>
      </c>
      <c r="C3281" t="n">
        <v>1.6311</v>
      </c>
    </row>
    <row r="3282">
      <c r="A3282" t="n">
        <v>1.4403</v>
      </c>
      <c r="B3282" t="n">
        <v>1.4631</v>
      </c>
      <c r="C3282" t="n">
        <v>2.0088</v>
      </c>
    </row>
    <row r="3283">
      <c r="A3283" t="n">
        <v>1.596</v>
      </c>
      <c r="B3283" t="n">
        <v>1.4297</v>
      </c>
      <c r="C3283" t="n">
        <v>2.0071</v>
      </c>
    </row>
    <row r="3284">
      <c r="A3284" t="n">
        <v>1.5309</v>
      </c>
      <c r="B3284" t="n">
        <v>1.6635</v>
      </c>
      <c r="C3284" t="n">
        <v>2.0442</v>
      </c>
    </row>
    <row r="3285">
      <c r="A3285" t="n">
        <v>1.6043</v>
      </c>
      <c r="B3285" t="n">
        <v>1.7852</v>
      </c>
      <c r="C3285" t="n">
        <v>2.027</v>
      </c>
    </row>
    <row r="3286">
      <c r="A3286" t="n">
        <v>1.4708</v>
      </c>
      <c r="B3286" t="n">
        <v>1.461</v>
      </c>
      <c r="C3286" t="n">
        <v>1.9858</v>
      </c>
    </row>
    <row r="3287">
      <c r="A3287" t="n">
        <v>1.4153</v>
      </c>
      <c r="B3287" t="n">
        <v>1.4352</v>
      </c>
      <c r="C3287" t="n">
        <v>1.8313</v>
      </c>
    </row>
    <row r="3288">
      <c r="A3288" t="n">
        <v>1.4158</v>
      </c>
      <c r="B3288" t="n">
        <v>1.4242</v>
      </c>
      <c r="C3288" t="n">
        <v>1.561</v>
      </c>
    </row>
    <row r="3289">
      <c r="A3289" t="n">
        <v>1.4248</v>
      </c>
      <c r="B3289" t="n">
        <v>1.395</v>
      </c>
      <c r="C3289" t="n">
        <v>1.4887</v>
      </c>
    </row>
    <row r="3290">
      <c r="A3290" t="n">
        <v>1.4487</v>
      </c>
      <c r="B3290" t="n">
        <v>1.4613</v>
      </c>
      <c r="C3290" t="n">
        <v>1.445</v>
      </c>
    </row>
    <row r="3291">
      <c r="A3291" t="n">
        <v>1.728</v>
      </c>
      <c r="B3291" t="n">
        <v>1.4341</v>
      </c>
      <c r="C3291" t="n">
        <v>1.4847</v>
      </c>
    </row>
    <row r="3292">
      <c r="A3292" t="n">
        <v>1.6561</v>
      </c>
      <c r="B3292" t="n">
        <v>1.4474</v>
      </c>
      <c r="C3292" t="n">
        <v>1.4586</v>
      </c>
    </row>
    <row r="3293">
      <c r="A3293" t="n">
        <v>1.4818</v>
      </c>
      <c r="B3293" t="n">
        <v>1.6938</v>
      </c>
      <c r="C3293" t="n">
        <v>1.463</v>
      </c>
    </row>
    <row r="3294">
      <c r="A3294" t="n">
        <v>1.4184</v>
      </c>
      <c r="B3294" t="n">
        <v>1.4908</v>
      </c>
      <c r="C3294" t="n">
        <v>1.4511</v>
      </c>
    </row>
    <row r="3295">
      <c r="A3295" t="n">
        <v>1.4218</v>
      </c>
      <c r="B3295" t="n">
        <v>1.4337</v>
      </c>
      <c r="C3295" t="n">
        <v>1.5309</v>
      </c>
    </row>
    <row r="3296">
      <c r="A3296" t="n">
        <v>1.6566</v>
      </c>
      <c r="B3296" t="n">
        <v>1.4392</v>
      </c>
      <c r="C3296" t="n">
        <v>1.6786</v>
      </c>
    </row>
    <row r="3297">
      <c r="A3297" t="n">
        <v>1.4918</v>
      </c>
      <c r="B3297" t="n">
        <v>1.6122</v>
      </c>
      <c r="C3297" t="n">
        <v>1.7554</v>
      </c>
    </row>
    <row r="3298">
      <c r="A3298" t="n">
        <v>1.9178</v>
      </c>
      <c r="B3298" t="n">
        <v>2.0982</v>
      </c>
      <c r="C3298" t="n">
        <v>1.5367</v>
      </c>
    </row>
    <row r="3299">
      <c r="A3299" t="n">
        <v>1.7133</v>
      </c>
      <c r="B3299" t="n">
        <v>1.7772</v>
      </c>
      <c r="C3299" t="n">
        <v>1.6489</v>
      </c>
    </row>
    <row r="3300">
      <c r="A3300" t="n">
        <v>1.6893</v>
      </c>
      <c r="B3300" t="n">
        <v>1.5683</v>
      </c>
      <c r="C3300" t="n">
        <v>1.4901</v>
      </c>
    </row>
    <row r="3301">
      <c r="A3301" t="n">
        <v>1.5049</v>
      </c>
      <c r="B3301" t="n">
        <v>1.6581</v>
      </c>
      <c r="C3301" t="n">
        <v>1.4447</v>
      </c>
    </row>
    <row r="3302">
      <c r="A3302" t="n">
        <v>1.4039</v>
      </c>
      <c r="B3302" t="n">
        <v>1.4895</v>
      </c>
      <c r="C3302" t="n">
        <v>1.3788</v>
      </c>
    </row>
    <row r="3303">
      <c r="A3303" t="n">
        <v>1.4184</v>
      </c>
      <c r="B3303" t="n">
        <v>1.4599</v>
      </c>
      <c r="C3303" t="n">
        <v>1.436</v>
      </c>
    </row>
    <row r="3304">
      <c r="A3304" t="n">
        <v>1.4234</v>
      </c>
      <c r="B3304" t="n">
        <v>1.5989</v>
      </c>
      <c r="C3304" t="n">
        <v>1.4762</v>
      </c>
    </row>
    <row r="3305">
      <c r="A3305" t="n">
        <v>1.4226</v>
      </c>
      <c r="B3305" t="n">
        <v>1.5551</v>
      </c>
      <c r="C3305" t="n">
        <v>1.4156</v>
      </c>
    </row>
    <row r="3306">
      <c r="A3306" t="n">
        <v>1.6306</v>
      </c>
      <c r="B3306" t="n">
        <v>1.6736</v>
      </c>
      <c r="C3306" t="n">
        <v>1.4687</v>
      </c>
    </row>
    <row r="3307">
      <c r="A3307" t="n">
        <v>1.5279</v>
      </c>
      <c r="B3307" t="n">
        <v>1.484</v>
      </c>
      <c r="C3307" t="n">
        <v>1.6888</v>
      </c>
    </row>
    <row r="3308">
      <c r="A3308" t="n">
        <v>1.6496</v>
      </c>
      <c r="B3308" t="n">
        <v>1.4415</v>
      </c>
      <c r="C3308" t="n">
        <v>1.4893</v>
      </c>
    </row>
    <row r="3309">
      <c r="A3309" t="n">
        <v>1.479</v>
      </c>
      <c r="B3309" t="n">
        <v>1.4111</v>
      </c>
      <c r="C3309" t="n">
        <v>1.4675</v>
      </c>
    </row>
    <row r="3310">
      <c r="A3310" t="n">
        <v>1.4275</v>
      </c>
      <c r="B3310" t="n">
        <v>1.4091</v>
      </c>
      <c r="C3310" t="n">
        <v>1.6232</v>
      </c>
    </row>
    <row r="3311">
      <c r="A3311" t="n">
        <v>1.4222</v>
      </c>
      <c r="B3311" t="n">
        <v>1.4545</v>
      </c>
      <c r="C3311" t="n">
        <v>1.5207</v>
      </c>
    </row>
    <row r="3312">
      <c r="A3312" t="n">
        <v>1.4166</v>
      </c>
      <c r="B3312" t="n">
        <v>1.6961</v>
      </c>
      <c r="C3312" t="n">
        <v>1.6826</v>
      </c>
    </row>
    <row r="3313">
      <c r="A3313" t="n">
        <v>1.4053</v>
      </c>
      <c r="B3313" t="n">
        <v>1.6851</v>
      </c>
      <c r="C3313" t="n">
        <v>1.5041</v>
      </c>
    </row>
    <row r="3314">
      <c r="A3314" t="n">
        <v>1.6287</v>
      </c>
      <c r="B3314" t="n">
        <v>1.4789</v>
      </c>
      <c r="C3314" t="n">
        <v>1.7566</v>
      </c>
    </row>
    <row r="3315">
      <c r="A3315" t="n">
        <v>1.6404</v>
      </c>
      <c r="B3315" t="n">
        <v>1.4372</v>
      </c>
      <c r="C3315" t="n">
        <v>1.7206</v>
      </c>
    </row>
    <row r="3316">
      <c r="A3316" t="n">
        <v>1.4558</v>
      </c>
      <c r="B3316" t="n">
        <v>1.4158</v>
      </c>
      <c r="C3316" t="n">
        <v>1.6946</v>
      </c>
    </row>
    <row r="3317">
      <c r="A3317" t="n">
        <v>1.4237</v>
      </c>
      <c r="B3317" t="n">
        <v>1.6185</v>
      </c>
      <c r="C3317" t="n">
        <v>1.481</v>
      </c>
    </row>
    <row r="3318">
      <c r="A3318" t="n">
        <v>1.4331</v>
      </c>
      <c r="B3318" t="n">
        <v>1.7795</v>
      </c>
      <c r="C3318" t="n">
        <v>1.4634</v>
      </c>
    </row>
    <row r="3319">
      <c r="A3319" t="n">
        <v>1.368</v>
      </c>
      <c r="B3319" t="n">
        <v>1.4724</v>
      </c>
      <c r="C3319" t="n">
        <v>1.4413</v>
      </c>
    </row>
    <row r="3320">
      <c r="A3320" t="n">
        <v>1.4049</v>
      </c>
      <c r="B3320" t="n">
        <v>1.452</v>
      </c>
      <c r="C3320" t="n">
        <v>1.6327</v>
      </c>
    </row>
    <row r="3321">
      <c r="A3321" t="n">
        <v>1.4511</v>
      </c>
      <c r="B3321" t="n">
        <v>1.4614</v>
      </c>
      <c r="C3321" t="n">
        <v>1.6995</v>
      </c>
    </row>
    <row r="3322">
      <c r="A3322" t="n">
        <v>1.6782</v>
      </c>
      <c r="B3322" t="n">
        <v>1.6191</v>
      </c>
      <c r="C3322" t="n">
        <v>1.5142</v>
      </c>
    </row>
    <row r="3323">
      <c r="A3323" t="n">
        <v>1.6568</v>
      </c>
      <c r="B3323" t="n">
        <v>1.7745</v>
      </c>
      <c r="C3323" t="n">
        <v>1.4328</v>
      </c>
    </row>
    <row r="3324">
      <c r="A3324" t="n">
        <v>1.4984</v>
      </c>
      <c r="B3324" t="n">
        <v>1.5086</v>
      </c>
      <c r="C3324" t="n">
        <v>1.4533</v>
      </c>
    </row>
    <row r="3325">
      <c r="A3325" t="n">
        <v>1.4493</v>
      </c>
      <c r="B3325" t="n">
        <v>1.4413</v>
      </c>
      <c r="C3325" t="n">
        <v>1.6335</v>
      </c>
    </row>
    <row r="3326">
      <c r="A3326" t="n">
        <v>1.4306</v>
      </c>
      <c r="B3326" t="n">
        <v>1.4475</v>
      </c>
      <c r="C3326" t="n">
        <v>1.8546</v>
      </c>
    </row>
    <row r="3327">
      <c r="A3327" t="n">
        <v>1.6372</v>
      </c>
      <c r="B3327" t="n">
        <v>1.5946</v>
      </c>
      <c r="C3327" t="n">
        <v>1.4884</v>
      </c>
    </row>
    <row r="3328">
      <c r="A3328" t="n">
        <v>1.7473</v>
      </c>
      <c r="B3328" t="n">
        <v>1.5125</v>
      </c>
      <c r="C3328" t="n">
        <v>1.4494</v>
      </c>
    </row>
    <row r="3329">
      <c r="A3329" t="n">
        <v>1.5424</v>
      </c>
      <c r="B3329" t="n">
        <v>1.6588</v>
      </c>
      <c r="C3329" t="n">
        <v>1.4371</v>
      </c>
    </row>
    <row r="3330">
      <c r="A3330" t="n">
        <v>1.7879</v>
      </c>
      <c r="B3330" t="n">
        <v>1.8313</v>
      </c>
      <c r="C3330" t="n">
        <v>1.6654</v>
      </c>
    </row>
    <row r="3331">
      <c r="A3331" t="n">
        <v>1.6322</v>
      </c>
      <c r="B3331" t="n">
        <v>1.5114</v>
      </c>
      <c r="C3331" t="n">
        <v>1.7742</v>
      </c>
    </row>
    <row r="3332">
      <c r="A3332" t="n">
        <v>1.509</v>
      </c>
      <c r="B3332" t="n">
        <v>1.4445</v>
      </c>
      <c r="C3332" t="n">
        <v>1.4735</v>
      </c>
    </row>
    <row r="3333">
      <c r="A3333" t="n">
        <v>1.4144</v>
      </c>
      <c r="B3333" t="n">
        <v>1.5106</v>
      </c>
      <c r="C3333" t="n">
        <v>1.448</v>
      </c>
    </row>
    <row r="3334">
      <c r="A3334" t="n">
        <v>1.3999</v>
      </c>
      <c r="B3334" t="n">
        <v>1.6238</v>
      </c>
      <c r="C3334" t="n">
        <v>1.4585</v>
      </c>
    </row>
    <row r="3335">
      <c r="A3335" t="n">
        <v>1.4308</v>
      </c>
      <c r="B3335" t="n">
        <v>1.497</v>
      </c>
      <c r="C3335" t="n">
        <v>1.6039</v>
      </c>
    </row>
    <row r="3336">
      <c r="A3336" t="n">
        <v>1.4394</v>
      </c>
      <c r="B3336" t="n">
        <v>1.486</v>
      </c>
      <c r="C3336" t="n">
        <v>1.7983</v>
      </c>
    </row>
    <row r="3337">
      <c r="A3337" t="n">
        <v>1.6244</v>
      </c>
      <c r="B3337" t="n">
        <v>1.6437</v>
      </c>
      <c r="C3337" t="n">
        <v>1.5014</v>
      </c>
    </row>
    <row r="3338">
      <c r="A3338" t="n">
        <v>1.5364</v>
      </c>
      <c r="B3338" t="n">
        <v>1.7806</v>
      </c>
      <c r="C3338" t="n">
        <v>1.4207</v>
      </c>
    </row>
    <row r="3339">
      <c r="A3339" t="n">
        <v>1.637</v>
      </c>
      <c r="B3339" t="n">
        <v>1.4863</v>
      </c>
      <c r="C3339" t="n">
        <v>1.4547</v>
      </c>
    </row>
    <row r="3340">
      <c r="A3340" t="n">
        <v>1.4824</v>
      </c>
      <c r="B3340" t="n">
        <v>1.4183</v>
      </c>
      <c r="C3340" t="n">
        <v>1.6005</v>
      </c>
    </row>
    <row r="3341">
      <c r="A3341" t="n">
        <v>1.4341</v>
      </c>
      <c r="B3341" t="n">
        <v>1.4428</v>
      </c>
      <c r="C3341" t="n">
        <v>1.5835</v>
      </c>
    </row>
    <row r="3342">
      <c r="A3342" t="n">
        <v>1.3951</v>
      </c>
      <c r="B3342" t="n">
        <v>1.4344</v>
      </c>
      <c r="C3342" t="n">
        <v>1.4706</v>
      </c>
    </row>
    <row r="3343">
      <c r="A3343" t="n">
        <v>1.4382</v>
      </c>
      <c r="B3343" t="n">
        <v>1.4791</v>
      </c>
      <c r="C3343" t="n">
        <v>1.432</v>
      </c>
    </row>
    <row r="3344">
      <c r="A3344" t="n">
        <v>1.4472</v>
      </c>
      <c r="B3344" t="n">
        <v>1.6253</v>
      </c>
      <c r="C3344" t="n">
        <v>1.3985</v>
      </c>
    </row>
    <row r="3345">
      <c r="A3345" t="n">
        <v>1.6413</v>
      </c>
      <c r="B3345" t="n">
        <v>1.5301</v>
      </c>
      <c r="C3345" t="n">
        <v>1.4178</v>
      </c>
    </row>
    <row r="3346">
      <c r="A3346" t="n">
        <v>1.6703</v>
      </c>
      <c r="B3346" t="n">
        <v>1.6623</v>
      </c>
      <c r="C3346" t="n">
        <v>1.795</v>
      </c>
    </row>
    <row r="3347">
      <c r="A3347" t="n">
        <v>1.4992</v>
      </c>
      <c r="B3347" t="n">
        <v>1.6945</v>
      </c>
      <c r="C3347" t="n">
        <v>1.6639</v>
      </c>
    </row>
    <row r="3348">
      <c r="A3348" t="n">
        <v>1.4295</v>
      </c>
      <c r="B3348" t="n">
        <v>1.5615</v>
      </c>
      <c r="C3348" t="n">
        <v>1.5684</v>
      </c>
    </row>
    <row r="3349">
      <c r="A3349" t="n">
        <v>1.4174</v>
      </c>
      <c r="B3349" t="n">
        <v>1.589</v>
      </c>
      <c r="C3349" t="n">
        <v>1.4534</v>
      </c>
    </row>
    <row r="3350">
      <c r="A3350" t="n">
        <v>1.6365</v>
      </c>
      <c r="B3350" t="n">
        <v>1.4832</v>
      </c>
      <c r="C3350" t="n">
        <v>1.4236</v>
      </c>
    </row>
    <row r="3351">
      <c r="A3351" t="n">
        <v>1.5479</v>
      </c>
      <c r="B3351" t="n">
        <v>1.4707</v>
      </c>
      <c r="C3351" t="n">
        <v>1.4466</v>
      </c>
    </row>
    <row r="3352">
      <c r="A3352" t="n">
        <v>1.389</v>
      </c>
      <c r="B3352" t="n">
        <v>1.3816</v>
      </c>
      <c r="C3352" t="n">
        <v>1.4846</v>
      </c>
    </row>
    <row r="3353">
      <c r="A3353" t="n">
        <v>1.4529</v>
      </c>
      <c r="B3353" t="n">
        <v>1.4504</v>
      </c>
      <c r="C3353" t="n">
        <v>1.6973</v>
      </c>
    </row>
    <row r="3354">
      <c r="A3354" t="n">
        <v>1.4107</v>
      </c>
      <c r="B3354" t="n">
        <v>1.4868</v>
      </c>
      <c r="C3354" t="n">
        <v>1.6753</v>
      </c>
    </row>
    <row r="3355">
      <c r="A3355" t="n">
        <v>1.3831</v>
      </c>
      <c r="B3355" t="n">
        <v>1.3854</v>
      </c>
      <c r="C3355" t="n">
        <v>1.4834</v>
      </c>
    </row>
    <row r="3356">
      <c r="A3356" t="n">
        <v>1.4289</v>
      </c>
      <c r="B3356" t="n">
        <v>1.4658</v>
      </c>
      <c r="C3356" t="n">
        <v>1.4276</v>
      </c>
    </row>
    <row r="3357">
      <c r="A3357" t="n">
        <v>1.4247</v>
      </c>
      <c r="B3357" t="n">
        <v>1.6052</v>
      </c>
      <c r="C3357" t="n">
        <v>1.4538</v>
      </c>
    </row>
    <row r="3358">
      <c r="A3358" t="n">
        <v>1.3724</v>
      </c>
      <c r="B3358" t="n">
        <v>1.4711</v>
      </c>
      <c r="C3358" t="n">
        <v>1.6426</v>
      </c>
    </row>
    <row r="3359">
      <c r="A3359" t="n">
        <v>1.437</v>
      </c>
      <c r="B3359" t="n">
        <v>1.4315</v>
      </c>
      <c r="C3359" t="n">
        <v>1.7593</v>
      </c>
    </row>
    <row r="3360">
      <c r="A3360" t="n">
        <v>1.4158</v>
      </c>
      <c r="B3360" t="n">
        <v>1.4088</v>
      </c>
      <c r="C3360" t="n">
        <v>1.5018</v>
      </c>
    </row>
    <row r="3361">
      <c r="A3361" t="n">
        <v>1.4158</v>
      </c>
      <c r="B3361" t="n">
        <v>1.4049</v>
      </c>
      <c r="C3361" t="n">
        <v>1.4584</v>
      </c>
    </row>
    <row r="3362">
      <c r="A3362" t="n">
        <v>1.9937</v>
      </c>
      <c r="B3362" t="n">
        <v>2.0158</v>
      </c>
      <c r="C3362" t="n">
        <v>1.4654</v>
      </c>
    </row>
    <row r="3363">
      <c r="A3363" t="n">
        <v>1.8072</v>
      </c>
      <c r="B3363" t="n">
        <v>1.5451</v>
      </c>
      <c r="C3363" t="n">
        <v>1.7161</v>
      </c>
    </row>
    <row r="3364">
      <c r="A3364" t="n">
        <v>1.5356</v>
      </c>
      <c r="B3364" t="n">
        <v>1.4025</v>
      </c>
      <c r="C3364" t="n">
        <v>1.5968</v>
      </c>
    </row>
    <row r="3365">
      <c r="A3365" t="n">
        <v>1.6213</v>
      </c>
      <c r="B3365" t="n">
        <v>1.4214</v>
      </c>
      <c r="C3365" t="n">
        <v>1.5046</v>
      </c>
    </row>
    <row r="3366">
      <c r="A3366" t="n">
        <v>1.5321</v>
      </c>
      <c r="B3366" t="n">
        <v>1.4242</v>
      </c>
      <c r="C3366" t="n">
        <v>1.4768</v>
      </c>
    </row>
    <row r="3367">
      <c r="A3367" t="n">
        <v>1.4294</v>
      </c>
      <c r="B3367" t="n">
        <v>1.4256</v>
      </c>
      <c r="C3367" t="n">
        <v>1.4812</v>
      </c>
    </row>
    <row r="3368">
      <c r="A3368" t="n">
        <v>1.4073</v>
      </c>
      <c r="B3368" t="n">
        <v>1.6312</v>
      </c>
      <c r="C3368" t="n">
        <v>1.6213</v>
      </c>
    </row>
    <row r="3369">
      <c r="A3369" t="n">
        <v>1.4253</v>
      </c>
      <c r="B3369" t="n">
        <v>1.7578</v>
      </c>
      <c r="C3369" t="n">
        <v>1.7565</v>
      </c>
    </row>
    <row r="3370">
      <c r="A3370" t="n">
        <v>1.4243</v>
      </c>
      <c r="B3370" t="n">
        <v>1.4796</v>
      </c>
      <c r="C3370" t="n">
        <v>1.536</v>
      </c>
    </row>
    <row r="3371">
      <c r="A3371" t="n">
        <v>1.6374</v>
      </c>
      <c r="B3371" t="n">
        <v>1.431</v>
      </c>
      <c r="C3371" t="n">
        <v>1.4344</v>
      </c>
    </row>
    <row r="3372">
      <c r="A3372" t="n">
        <v>1.6696</v>
      </c>
      <c r="B3372" t="n">
        <v>1.47</v>
      </c>
      <c r="C3372" t="n">
        <v>1.4407</v>
      </c>
    </row>
    <row r="3373">
      <c r="A3373" t="n">
        <v>1.4568</v>
      </c>
      <c r="B3373" t="n">
        <v>1.3806</v>
      </c>
      <c r="C3373" t="n">
        <v>1.6063</v>
      </c>
    </row>
    <row r="3374">
      <c r="A3374" t="n">
        <v>1.4609</v>
      </c>
      <c r="B3374" t="n">
        <v>1.434</v>
      </c>
      <c r="C3374" t="n">
        <v>1.512</v>
      </c>
    </row>
    <row r="3375">
      <c r="A3375" t="n">
        <v>1.4544</v>
      </c>
      <c r="B3375" t="n">
        <v>1.6341</v>
      </c>
      <c r="C3375" t="n">
        <v>1.6451</v>
      </c>
    </row>
    <row r="3376">
      <c r="A3376" t="n">
        <v>1.4535</v>
      </c>
      <c r="B3376" t="n">
        <v>1.5516</v>
      </c>
      <c r="C3376" t="n">
        <v>1.5098</v>
      </c>
    </row>
    <row r="3377">
      <c r="A3377" t="n">
        <v>1.4961</v>
      </c>
      <c r="B3377" t="n">
        <v>1.692</v>
      </c>
      <c r="C3377" t="n">
        <v>1.4317</v>
      </c>
    </row>
    <row r="3378">
      <c r="A3378" t="n">
        <v>1.6125</v>
      </c>
      <c r="B3378" t="n">
        <v>1.7069</v>
      </c>
      <c r="C3378" t="n">
        <v>1.7142</v>
      </c>
    </row>
    <row r="3379">
      <c r="A3379" t="n">
        <v>1.4949</v>
      </c>
      <c r="B3379" t="n">
        <v>1.5122</v>
      </c>
      <c r="C3379" t="n">
        <v>1.4725</v>
      </c>
    </row>
    <row r="3380">
      <c r="A3380" t="n">
        <v>1.4096</v>
      </c>
      <c r="B3380" t="n">
        <v>1.6602</v>
      </c>
      <c r="C3380" t="n">
        <v>1.6297</v>
      </c>
    </row>
    <row r="3381">
      <c r="A3381" t="n">
        <v>1.4279</v>
      </c>
      <c r="B3381" t="n">
        <v>1.482</v>
      </c>
      <c r="C3381" t="n">
        <v>1.5098</v>
      </c>
    </row>
    <row r="3382">
      <c r="A3382" t="n">
        <v>1.4411</v>
      </c>
      <c r="B3382" t="n">
        <v>1.4495</v>
      </c>
      <c r="C3382" t="n">
        <v>1.4853</v>
      </c>
    </row>
    <row r="3383">
      <c r="A3383" t="n">
        <v>1.4537</v>
      </c>
      <c r="B3383" t="n">
        <v>1.4264</v>
      </c>
      <c r="C3383" t="n">
        <v>1.3924</v>
      </c>
    </row>
    <row r="3384">
      <c r="A3384" t="n">
        <v>1.6216</v>
      </c>
      <c r="B3384" t="n">
        <v>1.418</v>
      </c>
      <c r="C3384" t="n">
        <v>1.4443</v>
      </c>
    </row>
    <row r="3385">
      <c r="A3385" t="n">
        <v>1.7569</v>
      </c>
      <c r="B3385" t="n">
        <v>1.4125</v>
      </c>
      <c r="C3385" t="n">
        <v>1.4678</v>
      </c>
    </row>
    <row r="3386">
      <c r="A3386" t="n">
        <v>1.4886</v>
      </c>
      <c r="B3386" t="n">
        <v>1.6521</v>
      </c>
      <c r="C3386" t="n">
        <v>1.4353</v>
      </c>
    </row>
    <row r="3387">
      <c r="A3387" t="n">
        <v>1.4489</v>
      </c>
      <c r="B3387" t="n">
        <v>1.7394</v>
      </c>
      <c r="C3387" t="n">
        <v>1.4526</v>
      </c>
    </row>
    <row r="3388">
      <c r="A3388" t="n">
        <v>1.4227</v>
      </c>
      <c r="B3388" t="n">
        <v>1.4636</v>
      </c>
      <c r="C3388" t="n">
        <v>1.6888</v>
      </c>
    </row>
    <row r="3389">
      <c r="A3389" t="n">
        <v>1.386</v>
      </c>
      <c r="B3389" t="n">
        <v>1.4659</v>
      </c>
      <c r="C3389" t="n">
        <v>1.4741</v>
      </c>
    </row>
    <row r="3390">
      <c r="A3390" t="n">
        <v>1.4353</v>
      </c>
      <c r="B3390" t="n">
        <v>1.4524</v>
      </c>
      <c r="C3390" t="n">
        <v>1.4692</v>
      </c>
    </row>
    <row r="3391">
      <c r="A3391" t="n">
        <v>1.6345</v>
      </c>
      <c r="B3391" t="n">
        <v>1.6045</v>
      </c>
      <c r="C3391" t="n">
        <v>1.604</v>
      </c>
    </row>
    <row r="3392">
      <c r="A3392" t="n">
        <v>1.5278</v>
      </c>
      <c r="B3392" t="n">
        <v>1.7364</v>
      </c>
      <c r="C3392" t="n">
        <v>1.5128</v>
      </c>
    </row>
    <row r="3393">
      <c r="A3393" t="n">
        <v>1.6826</v>
      </c>
      <c r="B3393" t="n">
        <v>1.4897</v>
      </c>
      <c r="C3393" t="n">
        <v>1.6958</v>
      </c>
    </row>
    <row r="3394">
      <c r="A3394" t="n">
        <v>2.0257</v>
      </c>
      <c r="B3394" t="n">
        <v>1.7696</v>
      </c>
      <c r="C3394" t="n">
        <v>1.4883</v>
      </c>
    </row>
    <row r="3395">
      <c r="A3395" t="n">
        <v>1.7223</v>
      </c>
      <c r="B3395" t="n">
        <v>1.6406</v>
      </c>
      <c r="C3395" t="n">
        <v>1.4225</v>
      </c>
    </row>
    <row r="3396">
      <c r="A3396" t="n">
        <v>1.4853</v>
      </c>
      <c r="B3396" t="n">
        <v>1.5006</v>
      </c>
      <c r="C3396" t="n">
        <v>1.3906</v>
      </c>
    </row>
    <row r="3397">
      <c r="A3397" t="n">
        <v>1.419</v>
      </c>
      <c r="B3397" t="n">
        <v>1.6266</v>
      </c>
      <c r="C3397" t="n">
        <v>1.4211</v>
      </c>
    </row>
    <row r="3398">
      <c r="A3398" t="n">
        <v>1.4106</v>
      </c>
      <c r="B3398" t="n">
        <v>1.8446</v>
      </c>
      <c r="C3398" t="n">
        <v>1.4158</v>
      </c>
    </row>
    <row r="3399">
      <c r="A3399" t="n">
        <v>1.6197</v>
      </c>
      <c r="B3399" t="n">
        <v>1.5463</v>
      </c>
      <c r="C3399" t="n">
        <v>1.6871</v>
      </c>
    </row>
    <row r="3400">
      <c r="A3400" t="n">
        <v>1.76</v>
      </c>
      <c r="B3400" t="n">
        <v>1.6131</v>
      </c>
      <c r="C3400" t="n">
        <v>1.7297</v>
      </c>
    </row>
    <row r="3401">
      <c r="A3401" t="n">
        <v>1.4572</v>
      </c>
      <c r="B3401" t="n">
        <v>1.4794</v>
      </c>
      <c r="C3401" t="n">
        <v>1.4895</v>
      </c>
    </row>
    <row r="3402">
      <c r="A3402" t="n">
        <v>1.4217</v>
      </c>
      <c r="B3402" t="n">
        <v>1.4187</v>
      </c>
      <c r="C3402" t="n">
        <v>1.4606</v>
      </c>
    </row>
    <row r="3403">
      <c r="A3403" t="n">
        <v>1.4309</v>
      </c>
      <c r="B3403" t="n">
        <v>1.3842</v>
      </c>
      <c r="C3403" t="n">
        <v>1.4615</v>
      </c>
    </row>
    <row r="3404">
      <c r="A3404" t="n">
        <v>1.3803</v>
      </c>
      <c r="B3404" t="n">
        <v>1.4653</v>
      </c>
      <c r="C3404" t="n">
        <v>1.6363</v>
      </c>
    </row>
    <row r="3405">
      <c r="A3405" t="n">
        <v>1.4785</v>
      </c>
      <c r="B3405" t="n">
        <v>1.468</v>
      </c>
      <c r="C3405" t="n">
        <v>1.6773</v>
      </c>
    </row>
    <row r="3406">
      <c r="A3406" t="n">
        <v>1.412</v>
      </c>
      <c r="B3406" t="n">
        <v>1.6321</v>
      </c>
      <c r="C3406" t="n">
        <v>1.4767</v>
      </c>
    </row>
    <row r="3407">
      <c r="A3407" t="n">
        <v>1.3796</v>
      </c>
      <c r="B3407" t="n">
        <v>1.7534</v>
      </c>
      <c r="C3407" t="n">
        <v>1.424</v>
      </c>
    </row>
    <row r="3408">
      <c r="A3408" t="n">
        <v>1.4472</v>
      </c>
      <c r="B3408" t="n">
        <v>1.4835</v>
      </c>
      <c r="C3408" t="n">
        <v>1.4612</v>
      </c>
    </row>
    <row r="3409">
      <c r="A3409" t="n">
        <v>1.591</v>
      </c>
      <c r="B3409" t="n">
        <v>1.4172</v>
      </c>
      <c r="C3409" t="n">
        <v>1.687</v>
      </c>
    </row>
    <row r="3410">
      <c r="A3410" t="n">
        <v>1.4655</v>
      </c>
      <c r="B3410" t="n">
        <v>1.4288</v>
      </c>
      <c r="C3410" t="n">
        <v>2.0764</v>
      </c>
    </row>
    <row r="3411">
      <c r="A3411" t="n">
        <v>1.4227</v>
      </c>
      <c r="B3411" t="n">
        <v>1.6378</v>
      </c>
      <c r="C3411" t="n">
        <v>1.6811</v>
      </c>
    </row>
    <row r="3412">
      <c r="A3412" t="n">
        <v>1.4078</v>
      </c>
      <c r="B3412" t="n">
        <v>1.6799</v>
      </c>
      <c r="C3412" t="n">
        <v>1.5291</v>
      </c>
    </row>
    <row r="3413">
      <c r="A3413" t="n">
        <v>1.398</v>
      </c>
      <c r="B3413" t="n">
        <v>1.4933</v>
      </c>
      <c r="C3413" t="n">
        <v>1.6062</v>
      </c>
    </row>
    <row r="3414">
      <c r="A3414" t="n">
        <v>1.4298</v>
      </c>
      <c r="B3414" t="n">
        <v>1.4333</v>
      </c>
      <c r="C3414" t="n">
        <v>1.4969</v>
      </c>
    </row>
    <row r="3415">
      <c r="A3415" t="n">
        <v>1.6154</v>
      </c>
      <c r="B3415" t="n">
        <v>1.4153</v>
      </c>
      <c r="C3415" t="n">
        <v>1.4606</v>
      </c>
    </row>
    <row r="3416">
      <c r="A3416" t="n">
        <v>1.5349</v>
      </c>
      <c r="B3416" t="n">
        <v>1.6376</v>
      </c>
      <c r="C3416" t="n">
        <v>1.3744</v>
      </c>
    </row>
    <row r="3417">
      <c r="A3417" t="n">
        <v>1.4237</v>
      </c>
      <c r="B3417" t="n">
        <v>1.5443</v>
      </c>
      <c r="C3417" t="n">
        <v>1.4279</v>
      </c>
    </row>
    <row r="3418">
      <c r="A3418" t="n">
        <v>1.4419</v>
      </c>
      <c r="B3418" t="n">
        <v>1.6377</v>
      </c>
      <c r="C3418" t="n">
        <v>1.4646</v>
      </c>
    </row>
    <row r="3419">
      <c r="A3419" t="n">
        <v>1.3867</v>
      </c>
      <c r="B3419" t="n">
        <v>1.5035</v>
      </c>
      <c r="C3419" t="n">
        <v>1.3993</v>
      </c>
    </row>
    <row r="3420">
      <c r="A3420" t="n">
        <v>1.391</v>
      </c>
      <c r="B3420" t="n">
        <v>1.4526</v>
      </c>
      <c r="C3420" t="n">
        <v>1.5001</v>
      </c>
    </row>
    <row r="3421">
      <c r="A3421" t="n">
        <v>1.4232</v>
      </c>
      <c r="B3421" t="n">
        <v>1.3714</v>
      </c>
      <c r="C3421" t="n">
        <v>1.6845</v>
      </c>
    </row>
    <row r="3422">
      <c r="A3422" t="n">
        <v>1.4724</v>
      </c>
      <c r="B3422" t="n">
        <v>1.4414</v>
      </c>
      <c r="C3422" t="n">
        <v>1.4885</v>
      </c>
    </row>
    <row r="3423">
      <c r="A3423" t="n">
        <v>1.4128</v>
      </c>
      <c r="B3423" t="n">
        <v>1.4257</v>
      </c>
      <c r="C3423" t="n">
        <v>1.4382</v>
      </c>
    </row>
    <row r="3424">
      <c r="A3424" t="n">
        <v>1.4466</v>
      </c>
      <c r="B3424" t="n">
        <v>1.358</v>
      </c>
      <c r="C3424" t="n">
        <v>1.4095</v>
      </c>
    </row>
    <row r="3425">
      <c r="A3425" t="n">
        <v>1.6327</v>
      </c>
      <c r="B3425" t="n">
        <v>1.4992</v>
      </c>
      <c r="C3425" t="n">
        <v>1.4187</v>
      </c>
    </row>
    <row r="3426">
      <c r="A3426" t="n">
        <v>1.8257</v>
      </c>
      <c r="B3426" t="n">
        <v>1.9671</v>
      </c>
      <c r="C3426" t="n">
        <v>1.4506</v>
      </c>
    </row>
    <row r="3427">
      <c r="A3427" t="n">
        <v>1.46</v>
      </c>
      <c r="B3427" t="n">
        <v>1.5118</v>
      </c>
      <c r="C3427" t="n">
        <v>1.6824</v>
      </c>
    </row>
    <row r="3428">
      <c r="A3428" t="n">
        <v>1.4082</v>
      </c>
      <c r="B3428" t="n">
        <v>1.4847</v>
      </c>
      <c r="C3428" t="n">
        <v>1.7155</v>
      </c>
    </row>
    <row r="3429">
      <c r="A3429" t="n">
        <v>1.4351</v>
      </c>
      <c r="B3429" t="n">
        <v>1.6634</v>
      </c>
      <c r="C3429" t="n">
        <v>1.5099</v>
      </c>
    </row>
    <row r="3430">
      <c r="A3430" t="n">
        <v>1.393</v>
      </c>
      <c r="B3430" t="n">
        <v>1.7007</v>
      </c>
      <c r="C3430" t="n">
        <v>1.4585</v>
      </c>
    </row>
    <row r="3431">
      <c r="A3431" t="n">
        <v>1.3956</v>
      </c>
      <c r="B3431" t="n">
        <v>1.4845</v>
      </c>
      <c r="C3431" t="n">
        <v>1.4334</v>
      </c>
    </row>
    <row r="3432">
      <c r="A3432" t="n">
        <v>1.4996</v>
      </c>
      <c r="B3432" t="n">
        <v>1.4417</v>
      </c>
      <c r="C3432" t="n">
        <v>1.6154</v>
      </c>
    </row>
    <row r="3433">
      <c r="A3433" t="n">
        <v>1.6651</v>
      </c>
      <c r="B3433" t="n">
        <v>1.4281</v>
      </c>
      <c r="C3433" t="n">
        <v>1.7201</v>
      </c>
    </row>
    <row r="3434">
      <c r="A3434" t="n">
        <v>1.481</v>
      </c>
      <c r="B3434" t="n">
        <v>1.6745</v>
      </c>
      <c r="C3434" t="n">
        <v>1.5004</v>
      </c>
    </row>
    <row r="3435">
      <c r="A3435" t="n">
        <v>1.4579</v>
      </c>
      <c r="B3435" t="n">
        <v>1.749</v>
      </c>
      <c r="C3435" t="n">
        <v>1.4407</v>
      </c>
    </row>
    <row r="3436">
      <c r="A3436" t="n">
        <v>1.6262</v>
      </c>
      <c r="B3436" t="n">
        <v>1.4581</v>
      </c>
      <c r="C3436" t="n">
        <v>1.4314</v>
      </c>
    </row>
    <row r="3437">
      <c r="A3437" t="n">
        <v>1.5114</v>
      </c>
      <c r="B3437" t="n">
        <v>1.4455</v>
      </c>
      <c r="C3437" t="n">
        <v>1.6051</v>
      </c>
    </row>
    <row r="3438">
      <c r="A3438" t="n">
        <v>1.6065</v>
      </c>
      <c r="B3438" t="n">
        <v>1.4502</v>
      </c>
      <c r="C3438" t="n">
        <v>1.8383</v>
      </c>
    </row>
    <row r="3439">
      <c r="A3439" t="n">
        <v>1.5193</v>
      </c>
      <c r="B3439" t="n">
        <v>1.6105</v>
      </c>
      <c r="C3439" t="n">
        <v>1.551</v>
      </c>
    </row>
    <row r="3440">
      <c r="A3440" t="n">
        <v>1.4174</v>
      </c>
      <c r="B3440" t="n">
        <v>1.5286</v>
      </c>
      <c r="C3440" t="n">
        <v>1.4569</v>
      </c>
    </row>
    <row r="3441">
      <c r="A3441" t="n">
        <v>1.4304</v>
      </c>
      <c r="B3441" t="n">
        <v>1.6423</v>
      </c>
      <c r="C3441" t="n">
        <v>1.4633</v>
      </c>
    </row>
    <row r="3442">
      <c r="A3442" t="n">
        <v>1.4455</v>
      </c>
      <c r="B3442" t="n">
        <v>1.463</v>
      </c>
      <c r="C3442" t="n">
        <v>1.9677</v>
      </c>
    </row>
    <row r="3443">
      <c r="A3443" t="n">
        <v>1.4244</v>
      </c>
      <c r="B3443" t="n">
        <v>1.4369</v>
      </c>
      <c r="C3443" t="n">
        <v>1.6739</v>
      </c>
    </row>
    <row r="3444">
      <c r="A3444" t="n">
        <v>1.6074</v>
      </c>
      <c r="B3444" t="n">
        <v>1.6742</v>
      </c>
      <c r="C3444" t="n">
        <v>1.6645</v>
      </c>
    </row>
    <row r="3445">
      <c r="A3445" t="n">
        <v>1.7299</v>
      </c>
      <c r="B3445" t="n">
        <v>1.5175</v>
      </c>
      <c r="C3445" t="n">
        <v>1.5599</v>
      </c>
    </row>
    <row r="3446">
      <c r="A3446" t="n">
        <v>1.478</v>
      </c>
      <c r="B3446" t="n">
        <v>1.6173</v>
      </c>
      <c r="C3446" t="n">
        <v>1.6649</v>
      </c>
    </row>
    <row r="3447">
      <c r="A3447" t="n">
        <v>1.4382</v>
      </c>
      <c r="B3447" t="n">
        <v>1.4868</v>
      </c>
      <c r="C3447" t="n">
        <v>1.5061</v>
      </c>
    </row>
    <row r="3448">
      <c r="A3448" t="n">
        <v>1.4112</v>
      </c>
      <c r="B3448" t="n">
        <v>1.4028</v>
      </c>
      <c r="C3448" t="n">
        <v>1.46</v>
      </c>
    </row>
    <row r="3449">
      <c r="A3449" t="n">
        <v>1.595</v>
      </c>
      <c r="B3449" t="n">
        <v>1.4146</v>
      </c>
      <c r="C3449" t="n">
        <v>1.5798</v>
      </c>
    </row>
    <row r="3450">
      <c r="A3450" t="n">
        <v>1.5246</v>
      </c>
      <c r="B3450" t="n">
        <v>1.4263</v>
      </c>
      <c r="C3450" t="n">
        <v>1.5252</v>
      </c>
    </row>
    <row r="3451">
      <c r="A3451" t="n">
        <v>1.6315</v>
      </c>
      <c r="B3451" t="n">
        <v>1.4348</v>
      </c>
      <c r="C3451" t="n">
        <v>1.6361</v>
      </c>
    </row>
    <row r="3452">
      <c r="A3452" t="n">
        <v>1.4569</v>
      </c>
      <c r="B3452" t="n">
        <v>1.4196</v>
      </c>
      <c r="C3452" t="n">
        <v>1.4904</v>
      </c>
    </row>
    <row r="3453">
      <c r="A3453" t="n">
        <v>1.4353</v>
      </c>
      <c r="B3453" t="n">
        <v>1.4578</v>
      </c>
      <c r="C3453" t="n">
        <v>1.4318</v>
      </c>
    </row>
    <row r="3454">
      <c r="A3454" t="n">
        <v>1.4026</v>
      </c>
      <c r="B3454" t="n">
        <v>1.599</v>
      </c>
      <c r="C3454" t="n">
        <v>1.4229</v>
      </c>
    </row>
    <row r="3455">
      <c r="A3455" t="n">
        <v>1.412</v>
      </c>
      <c r="B3455" t="n">
        <v>1.5253</v>
      </c>
      <c r="C3455" t="n">
        <v>1.4403</v>
      </c>
    </row>
    <row r="3456">
      <c r="A3456" t="n">
        <v>1.4154</v>
      </c>
      <c r="B3456" t="n">
        <v>1.4434</v>
      </c>
      <c r="C3456" t="n">
        <v>1.4663</v>
      </c>
    </row>
    <row r="3457">
      <c r="A3457" t="n">
        <v>1.6368</v>
      </c>
      <c r="B3457" t="n">
        <v>1.4204</v>
      </c>
      <c r="C3457" t="n">
        <v>1.7551</v>
      </c>
    </row>
    <row r="3458">
      <c r="A3458" t="n">
        <v>2.0899</v>
      </c>
      <c r="B3458" t="n">
        <v>1.7616</v>
      </c>
      <c r="C3458" t="n">
        <v>1.662</v>
      </c>
    </row>
    <row r="3459">
      <c r="A3459" t="n">
        <v>1.7108</v>
      </c>
      <c r="B3459" t="n">
        <v>1.6443</v>
      </c>
      <c r="C3459" t="n">
        <v>1.492</v>
      </c>
    </row>
    <row r="3460">
      <c r="A3460" t="n">
        <v>1.5371</v>
      </c>
      <c r="B3460" t="n">
        <v>1.5083</v>
      </c>
      <c r="C3460" t="n">
        <v>1.4305</v>
      </c>
    </row>
    <row r="3461">
      <c r="A3461" t="n">
        <v>1.6177</v>
      </c>
      <c r="B3461" t="n">
        <v>1.4446</v>
      </c>
      <c r="C3461" t="n">
        <v>1.4252</v>
      </c>
    </row>
    <row r="3462">
      <c r="A3462" t="n">
        <v>1.4773</v>
      </c>
      <c r="B3462" t="n">
        <v>1.434</v>
      </c>
      <c r="C3462" t="n">
        <v>1.5999</v>
      </c>
    </row>
    <row r="3463">
      <c r="A3463" t="n">
        <v>1.4624</v>
      </c>
      <c r="B3463" t="n">
        <v>1.4693</v>
      </c>
      <c r="C3463" t="n">
        <v>1.8304</v>
      </c>
    </row>
    <row r="3464">
      <c r="A3464" t="n">
        <v>1.3889</v>
      </c>
      <c r="B3464" t="n">
        <v>1.4499</v>
      </c>
      <c r="C3464" t="n">
        <v>1.474</v>
      </c>
    </row>
    <row r="3465">
      <c r="A3465" t="n">
        <v>1.4012</v>
      </c>
      <c r="B3465" t="n">
        <v>1.6292</v>
      </c>
      <c r="C3465" t="n">
        <v>1.4333</v>
      </c>
    </row>
    <row r="3466">
      <c r="A3466" t="n">
        <v>1.3987</v>
      </c>
      <c r="B3466" t="n">
        <v>1.7372</v>
      </c>
      <c r="C3466" t="n">
        <v>1.4578</v>
      </c>
    </row>
    <row r="3467">
      <c r="A3467" t="n">
        <v>1.6015</v>
      </c>
      <c r="B3467" t="n">
        <v>1.4761</v>
      </c>
      <c r="C3467" t="n">
        <v>1.5944</v>
      </c>
    </row>
    <row r="3468">
      <c r="A3468" t="n">
        <v>1.7657</v>
      </c>
      <c r="B3468" t="n">
        <v>1.4408</v>
      </c>
      <c r="C3468" t="n">
        <v>1.4932</v>
      </c>
    </row>
    <row r="3469">
      <c r="A3469" t="n">
        <v>1.5111</v>
      </c>
      <c r="B3469" t="n">
        <v>1.4369</v>
      </c>
      <c r="C3469" t="n">
        <v>1.4278</v>
      </c>
    </row>
    <row r="3470">
      <c r="A3470" t="n">
        <v>1.4165</v>
      </c>
      <c r="B3470" t="n">
        <v>1.6146</v>
      </c>
      <c r="C3470" t="n">
        <v>1.4198</v>
      </c>
    </row>
    <row r="3471">
      <c r="A3471" t="n">
        <v>1.4141</v>
      </c>
      <c r="B3471" t="n">
        <v>1.5347</v>
      </c>
      <c r="C3471" t="n">
        <v>1.6321</v>
      </c>
    </row>
    <row r="3472">
      <c r="A3472" t="n">
        <v>1.6559</v>
      </c>
      <c r="B3472" t="n">
        <v>1.629</v>
      </c>
      <c r="C3472" t="n">
        <v>1.7151</v>
      </c>
    </row>
    <row r="3473">
      <c r="A3473" t="n">
        <v>1.4869</v>
      </c>
      <c r="B3473" t="n">
        <v>1.5053</v>
      </c>
      <c r="C3473" t="n">
        <v>1.5337</v>
      </c>
    </row>
    <row r="3474">
      <c r="A3474" t="n">
        <v>1.4027</v>
      </c>
      <c r="B3474" t="n">
        <v>1.4514</v>
      </c>
      <c r="C3474" t="n">
        <v>2.0453</v>
      </c>
    </row>
    <row r="3475">
      <c r="A3475" t="n">
        <v>1.4508</v>
      </c>
      <c r="B3475" t="n">
        <v>1.3878</v>
      </c>
      <c r="C3475" t="n">
        <v>1.7049</v>
      </c>
    </row>
    <row r="3476">
      <c r="A3476" t="n">
        <v>1.7044</v>
      </c>
      <c r="B3476" t="n">
        <v>1.4077</v>
      </c>
      <c r="C3476" t="n">
        <v>1.6223</v>
      </c>
    </row>
    <row r="3477">
      <c r="A3477" t="n">
        <v>1.655</v>
      </c>
      <c r="B3477" t="n">
        <v>1.4154</v>
      </c>
      <c r="C3477" t="n">
        <v>1.5525</v>
      </c>
    </row>
    <row r="3478">
      <c r="A3478" t="n">
        <v>1.5037</v>
      </c>
      <c r="B3478" t="n">
        <v>1.683</v>
      </c>
      <c r="C3478" t="n">
        <v>1.6548</v>
      </c>
    </row>
    <row r="3479">
      <c r="A3479" t="n">
        <v>1.5748</v>
      </c>
      <c r="B3479" t="n">
        <v>1.7061</v>
      </c>
      <c r="C3479" t="n">
        <v>1.6508</v>
      </c>
    </row>
    <row r="3480">
      <c r="A3480" t="n">
        <v>1.5365</v>
      </c>
      <c r="B3480" t="n">
        <v>1.5058</v>
      </c>
      <c r="C3480" t="n">
        <v>1.5502</v>
      </c>
    </row>
    <row r="3481">
      <c r="A3481" t="n">
        <v>1.4293</v>
      </c>
      <c r="B3481" t="n">
        <v>1.4453</v>
      </c>
      <c r="C3481" t="n">
        <v>1.6643</v>
      </c>
    </row>
    <row r="3482">
      <c r="A3482" t="n">
        <v>1.3979</v>
      </c>
      <c r="B3482" t="n">
        <v>1.4664</v>
      </c>
      <c r="C3482" t="n">
        <v>1.4878</v>
      </c>
    </row>
    <row r="3483">
      <c r="A3483" t="n">
        <v>1.4054</v>
      </c>
      <c r="B3483" t="n">
        <v>1.6513</v>
      </c>
      <c r="C3483" t="n">
        <v>1.4388</v>
      </c>
    </row>
    <row r="3484">
      <c r="A3484" t="n">
        <v>1.4202</v>
      </c>
      <c r="B3484" t="n">
        <v>1.6376</v>
      </c>
      <c r="C3484" t="n">
        <v>1.4076</v>
      </c>
    </row>
    <row r="3485">
      <c r="A3485" t="n">
        <v>1.7027</v>
      </c>
      <c r="B3485" t="n">
        <v>1.5076</v>
      </c>
      <c r="C3485" t="n">
        <v>1.4669</v>
      </c>
    </row>
    <row r="3486">
      <c r="A3486" t="n">
        <v>1.6967</v>
      </c>
      <c r="B3486" t="n">
        <v>1.477</v>
      </c>
      <c r="C3486" t="n">
        <v>1.4951</v>
      </c>
    </row>
    <row r="3487">
      <c r="A3487" t="n">
        <v>1.493</v>
      </c>
      <c r="B3487" t="n">
        <v>1.4201</v>
      </c>
      <c r="C3487" t="n">
        <v>1.4909</v>
      </c>
    </row>
    <row r="3488">
      <c r="A3488" t="n">
        <v>1.4187</v>
      </c>
      <c r="B3488" t="n">
        <v>1.6289</v>
      </c>
      <c r="C3488" t="n">
        <v>1.7177</v>
      </c>
    </row>
    <row r="3489">
      <c r="A3489" t="n">
        <v>1.4341</v>
      </c>
      <c r="B3489" t="n">
        <v>1.5242</v>
      </c>
      <c r="C3489" t="n">
        <v>1.5005</v>
      </c>
    </row>
    <row r="3490">
      <c r="A3490" t="n">
        <v>1.7228</v>
      </c>
      <c r="B3490" t="n">
        <v>1.9194</v>
      </c>
      <c r="C3490" t="n">
        <v>1.4544</v>
      </c>
    </row>
    <row r="3491">
      <c r="A3491" t="n">
        <v>1.4414</v>
      </c>
      <c r="B3491" t="n">
        <v>1.7087</v>
      </c>
      <c r="C3491" t="n">
        <v>1.4066</v>
      </c>
    </row>
    <row r="3492">
      <c r="A3492" t="n">
        <v>1.6488</v>
      </c>
      <c r="B3492" t="n">
        <v>1.6727</v>
      </c>
      <c r="C3492" t="n">
        <v>1.6644</v>
      </c>
    </row>
    <row r="3493">
      <c r="A3493" t="n">
        <v>1.5021</v>
      </c>
      <c r="B3493" t="n">
        <v>1.5098</v>
      </c>
      <c r="C3493" t="n">
        <v>1.7886</v>
      </c>
    </row>
    <row r="3494">
      <c r="A3494" t="n">
        <v>1.4256</v>
      </c>
      <c r="B3494" t="n">
        <v>1.4346</v>
      </c>
      <c r="C3494" t="n">
        <v>1.4725</v>
      </c>
    </row>
    <row r="3495">
      <c r="A3495" t="n">
        <v>1.6802</v>
      </c>
      <c r="B3495" t="n">
        <v>1.4094</v>
      </c>
      <c r="C3495" t="n">
        <v>1.4452</v>
      </c>
    </row>
    <row r="3496">
      <c r="A3496" t="n">
        <v>1.5312</v>
      </c>
      <c r="B3496" t="n">
        <v>1.404</v>
      </c>
      <c r="C3496" t="n">
        <v>1.4388</v>
      </c>
    </row>
    <row r="3497">
      <c r="A3497" t="n">
        <v>1.6362</v>
      </c>
      <c r="B3497" t="n">
        <v>1.4824</v>
      </c>
      <c r="C3497" t="n">
        <v>1.66</v>
      </c>
    </row>
    <row r="3498">
      <c r="A3498" t="n">
        <v>1.4825</v>
      </c>
      <c r="B3498" t="n">
        <v>1.6269</v>
      </c>
      <c r="C3498" t="n">
        <v>1.8538</v>
      </c>
    </row>
    <row r="3499">
      <c r="A3499" t="n">
        <v>1.4103</v>
      </c>
      <c r="B3499" t="n">
        <v>1.5594</v>
      </c>
      <c r="C3499" t="n">
        <v>1.4811</v>
      </c>
    </row>
    <row r="3500">
      <c r="A3500" t="n">
        <v>1.3663</v>
      </c>
      <c r="B3500" t="n">
        <v>1.4251</v>
      </c>
      <c r="C3500" t="n">
        <v>1.4354</v>
      </c>
    </row>
    <row r="3501">
      <c r="A3501" t="n">
        <v>1.4283</v>
      </c>
      <c r="B3501" t="n">
        <v>1.45</v>
      </c>
      <c r="C3501" t="n">
        <v>1.4357</v>
      </c>
    </row>
    <row r="3502">
      <c r="A3502" t="n">
        <v>1.4483</v>
      </c>
      <c r="B3502" t="n">
        <v>1.3934</v>
      </c>
      <c r="C3502" t="n">
        <v>1.6659</v>
      </c>
    </row>
    <row r="3503">
      <c r="A3503" t="n">
        <v>1.6359</v>
      </c>
      <c r="B3503" t="n">
        <v>1.4332</v>
      </c>
      <c r="C3503" t="n">
        <v>1.7131</v>
      </c>
    </row>
    <row r="3504">
      <c r="A3504" t="n">
        <v>1.7597</v>
      </c>
      <c r="B3504" t="n">
        <v>1.4271</v>
      </c>
      <c r="C3504" t="n">
        <v>1.4794</v>
      </c>
    </row>
    <row r="3505">
      <c r="A3505" t="n">
        <v>1.4973</v>
      </c>
      <c r="B3505" t="n">
        <v>1.4349</v>
      </c>
      <c r="C3505" t="n">
        <v>1.4533</v>
      </c>
    </row>
    <row r="3506">
      <c r="A3506" t="n">
        <v>1.4355</v>
      </c>
      <c r="B3506" t="n">
        <v>1.412</v>
      </c>
      <c r="C3506" t="n">
        <v>1.7495</v>
      </c>
    </row>
    <row r="3507">
      <c r="A3507" t="n">
        <v>1.4254</v>
      </c>
      <c r="B3507" t="n">
        <v>1.4467</v>
      </c>
      <c r="C3507" t="n">
        <v>1.4282</v>
      </c>
    </row>
    <row r="3508">
      <c r="A3508" t="n">
        <v>1.593</v>
      </c>
      <c r="B3508" t="n">
        <v>1.5988</v>
      </c>
      <c r="C3508" t="n">
        <v>1.7278</v>
      </c>
    </row>
    <row r="3509">
      <c r="A3509" t="n">
        <v>1.8382</v>
      </c>
      <c r="B3509" t="n">
        <v>1.5249</v>
      </c>
      <c r="C3509" t="n">
        <v>1.4807</v>
      </c>
    </row>
    <row r="3510">
      <c r="A3510" t="n">
        <v>1.5024</v>
      </c>
      <c r="B3510" t="n">
        <v>1.7087</v>
      </c>
      <c r="C3510" t="n">
        <v>1.4858</v>
      </c>
    </row>
    <row r="3511">
      <c r="A3511" t="n">
        <v>1.459</v>
      </c>
      <c r="B3511" t="n">
        <v>1.6932</v>
      </c>
      <c r="C3511" t="n">
        <v>1.5426</v>
      </c>
    </row>
    <row r="3512">
      <c r="A3512" t="n">
        <v>1.4206</v>
      </c>
      <c r="B3512" t="n">
        <v>1.5225</v>
      </c>
      <c r="C3512" t="n">
        <v>1.4269</v>
      </c>
    </row>
    <row r="3513">
      <c r="A3513" t="n">
        <v>1.607</v>
      </c>
      <c r="B3513" t="n">
        <v>1.6409</v>
      </c>
      <c r="C3513" t="n">
        <v>1.4674</v>
      </c>
    </row>
    <row r="3514">
      <c r="A3514" t="n">
        <v>1.7514</v>
      </c>
      <c r="B3514" t="n">
        <v>1.4717</v>
      </c>
      <c r="C3514" t="n">
        <v>1.6558</v>
      </c>
    </row>
    <row r="3515">
      <c r="A3515" t="n">
        <v>1.4722</v>
      </c>
      <c r="B3515" t="n">
        <v>1.4583</v>
      </c>
      <c r="C3515" t="n">
        <v>1.505</v>
      </c>
    </row>
    <row r="3516">
      <c r="A3516" t="n">
        <v>1.45</v>
      </c>
      <c r="B3516" t="n">
        <v>1.4336</v>
      </c>
      <c r="C3516" t="n">
        <v>1.4605</v>
      </c>
    </row>
    <row r="3517">
      <c r="A3517" t="n">
        <v>1.4435</v>
      </c>
      <c r="B3517" t="n">
        <v>1.4398</v>
      </c>
      <c r="C3517" t="n">
        <v>1.4067</v>
      </c>
    </row>
    <row r="3518">
      <c r="A3518" t="n">
        <v>1.3735</v>
      </c>
      <c r="B3518" t="n">
        <v>1.4814</v>
      </c>
      <c r="C3518" t="n">
        <v>1.4178</v>
      </c>
    </row>
    <row r="3519">
      <c r="A3519" t="n">
        <v>1.4477</v>
      </c>
      <c r="B3519" t="n">
        <v>1.4099</v>
      </c>
      <c r="C3519" t="n">
        <v>1.4581</v>
      </c>
    </row>
    <row r="3520">
      <c r="A3520" t="n">
        <v>1.6373</v>
      </c>
      <c r="B3520" t="n">
        <v>1.46</v>
      </c>
      <c r="C3520" t="n">
        <v>1.759</v>
      </c>
    </row>
    <row r="3521">
      <c r="A3521" t="n">
        <v>1.4966</v>
      </c>
      <c r="B3521" t="n">
        <v>1.6353</v>
      </c>
      <c r="C3521" t="n">
        <v>1.6664</v>
      </c>
    </row>
    <row r="3522">
      <c r="A3522" t="n">
        <v>2.0139</v>
      </c>
      <c r="B3522" t="n">
        <v>1.8331</v>
      </c>
      <c r="C3522" t="n">
        <v>1.5578</v>
      </c>
    </row>
    <row r="3523">
      <c r="A3523" t="n">
        <v>1.6939</v>
      </c>
      <c r="B3523" t="n">
        <v>1.4362</v>
      </c>
      <c r="C3523" t="n">
        <v>1.5012</v>
      </c>
    </row>
    <row r="3524">
      <c r="A3524" t="n">
        <v>1.6635</v>
      </c>
      <c r="B3524" t="n">
        <v>1.6712</v>
      </c>
      <c r="C3524" t="n">
        <v>1.4015</v>
      </c>
    </row>
    <row r="3525">
      <c r="A3525" t="n">
        <v>1.4809</v>
      </c>
      <c r="B3525" t="n">
        <v>1.6846</v>
      </c>
      <c r="C3525" t="n">
        <v>1.4137</v>
      </c>
    </row>
    <row r="3526">
      <c r="A3526" t="n">
        <v>1.4533</v>
      </c>
      <c r="B3526" t="n">
        <v>1.4913</v>
      </c>
      <c r="C3526" t="n">
        <v>1.4677</v>
      </c>
    </row>
    <row r="3527">
      <c r="A3527" t="n">
        <v>1.4126</v>
      </c>
      <c r="B3527" t="n">
        <v>1.4306</v>
      </c>
      <c r="C3527" t="n">
        <v>1.6554</v>
      </c>
    </row>
    <row r="3528">
      <c r="A3528" t="n">
        <v>1.623</v>
      </c>
      <c r="B3528" t="n">
        <v>1.4276</v>
      </c>
      <c r="C3528" t="n">
        <v>1.501</v>
      </c>
    </row>
    <row r="3529">
      <c r="A3529" t="n">
        <v>1.5184</v>
      </c>
      <c r="B3529" t="n">
        <v>1.6663</v>
      </c>
      <c r="C3529" t="n">
        <v>1.4717</v>
      </c>
    </row>
    <row r="3530">
      <c r="A3530" t="n">
        <v>1.6291</v>
      </c>
      <c r="B3530" t="n">
        <v>1.6982</v>
      </c>
      <c r="C3530" t="n">
        <v>1.6136</v>
      </c>
    </row>
    <row r="3531">
      <c r="A3531" t="n">
        <v>1.4899</v>
      </c>
      <c r="B3531" t="n">
        <v>1.4767</v>
      </c>
      <c r="C3531" t="n">
        <v>1.535</v>
      </c>
    </row>
    <row r="3532">
      <c r="A3532" t="n">
        <v>1.4469</v>
      </c>
      <c r="B3532" t="n">
        <v>1.424</v>
      </c>
      <c r="C3532" t="n">
        <v>1.6206</v>
      </c>
    </row>
    <row r="3533">
      <c r="A3533" t="n">
        <v>1.3762</v>
      </c>
      <c r="B3533" t="n">
        <v>1.4794</v>
      </c>
      <c r="C3533" t="n">
        <v>1.4669</v>
      </c>
    </row>
    <row r="3534">
      <c r="A3534" t="n">
        <v>1.4495</v>
      </c>
      <c r="B3534" t="n">
        <v>1.6403</v>
      </c>
      <c r="C3534" t="n">
        <v>1.4414</v>
      </c>
    </row>
    <row r="3535">
      <c r="A3535" t="n">
        <v>1.4364</v>
      </c>
      <c r="B3535" t="n">
        <v>1.5191</v>
      </c>
      <c r="C3535" t="n">
        <v>1.4112</v>
      </c>
    </row>
    <row r="3536">
      <c r="A3536" t="n">
        <v>1.6749</v>
      </c>
      <c r="B3536" t="n">
        <v>1.633</v>
      </c>
      <c r="C3536" t="n">
        <v>1.4181</v>
      </c>
    </row>
    <row r="3537">
      <c r="A3537" t="n">
        <v>1.699</v>
      </c>
      <c r="B3537" t="n">
        <v>1.482</v>
      </c>
      <c r="C3537" t="n">
        <v>1.4568</v>
      </c>
    </row>
    <row r="3538">
      <c r="A3538" t="n">
        <v>1.4961</v>
      </c>
      <c r="B3538" t="n">
        <v>1.439</v>
      </c>
      <c r="C3538" t="n">
        <v>1.8101</v>
      </c>
    </row>
    <row r="3539">
      <c r="A3539" t="n">
        <v>1.4245</v>
      </c>
      <c r="B3539" t="n">
        <v>1.4041</v>
      </c>
      <c r="C3539" t="n">
        <v>1.6605</v>
      </c>
    </row>
    <row r="3540">
      <c r="A3540" t="n">
        <v>1.4409</v>
      </c>
      <c r="B3540" t="n">
        <v>1.4349</v>
      </c>
      <c r="C3540" t="n">
        <v>1.5569</v>
      </c>
    </row>
    <row r="3541">
      <c r="A3541" t="n">
        <v>1.6296</v>
      </c>
      <c r="B3541" t="n">
        <v>1.4375</v>
      </c>
      <c r="C3541" t="n">
        <v>1.4924</v>
      </c>
    </row>
    <row r="3542">
      <c r="A3542" t="n">
        <v>1.7305</v>
      </c>
      <c r="B3542" t="n">
        <v>1.4415</v>
      </c>
      <c r="C3542" t="n">
        <v>1.6521</v>
      </c>
    </row>
    <row r="3543">
      <c r="A3543" t="n">
        <v>1.4942</v>
      </c>
      <c r="B3543" t="n">
        <v>1.4435</v>
      </c>
      <c r="C3543" t="n">
        <v>1.5034</v>
      </c>
    </row>
    <row r="3544">
      <c r="A3544" t="n">
        <v>1.4295</v>
      </c>
      <c r="B3544" t="n">
        <v>1.6233</v>
      </c>
      <c r="C3544" t="n">
        <v>1.6766</v>
      </c>
    </row>
    <row r="3545">
      <c r="A3545" t="n">
        <v>1.4136</v>
      </c>
      <c r="B3545" t="n">
        <v>1.5045</v>
      </c>
      <c r="C3545" t="n">
        <v>1.7299</v>
      </c>
    </row>
    <row r="3546">
      <c r="A3546" t="n">
        <v>1.6571</v>
      </c>
      <c r="B3546" t="n">
        <v>1.4373</v>
      </c>
      <c r="C3546" t="n">
        <v>1.5663</v>
      </c>
    </row>
    <row r="3547">
      <c r="A3547" t="n">
        <v>1.52</v>
      </c>
      <c r="B3547" t="n">
        <v>1.3788</v>
      </c>
      <c r="C3547" t="n">
        <v>1.653</v>
      </c>
    </row>
    <row r="3548">
      <c r="A3548" t="n">
        <v>1.5747</v>
      </c>
      <c r="B3548" t="n">
        <v>1.4428</v>
      </c>
      <c r="C3548" t="n">
        <v>1.4636</v>
      </c>
    </row>
    <row r="3549">
      <c r="A3549" t="n">
        <v>1.4996</v>
      </c>
      <c r="B3549" t="n">
        <v>1.4682</v>
      </c>
      <c r="C3549" t="n">
        <v>1.418</v>
      </c>
    </row>
    <row r="3550">
      <c r="A3550" t="n">
        <v>1.4342</v>
      </c>
      <c r="B3550" t="n">
        <v>1.6771</v>
      </c>
      <c r="C3550" t="n">
        <v>1.5334</v>
      </c>
    </row>
    <row r="3551">
      <c r="A3551" t="n">
        <v>1.3617</v>
      </c>
      <c r="B3551" t="n">
        <v>1.7281</v>
      </c>
      <c r="C3551" t="n">
        <v>1.4734</v>
      </c>
    </row>
    <row r="3552">
      <c r="A3552" t="n">
        <v>1.4271</v>
      </c>
      <c r="B3552" t="n">
        <v>1.5753</v>
      </c>
      <c r="C3552" t="n">
        <v>1.7282</v>
      </c>
    </row>
    <row r="3553">
      <c r="A3553" t="n">
        <v>1.457</v>
      </c>
      <c r="B3553" t="n">
        <v>1.445</v>
      </c>
      <c r="C3553" t="n">
        <v>1.5473</v>
      </c>
    </row>
    <row r="3554">
      <c r="A3554" t="n">
        <v>1.7285</v>
      </c>
      <c r="B3554" t="n">
        <v>2.0053</v>
      </c>
      <c r="C3554" t="n">
        <v>1.4313</v>
      </c>
    </row>
    <row r="3555">
      <c r="A3555" t="n">
        <v>1.6702</v>
      </c>
      <c r="B3555" t="n">
        <v>1.5195</v>
      </c>
      <c r="C3555" t="n">
        <v>1.438</v>
      </c>
    </row>
    <row r="3556">
      <c r="A3556" t="n">
        <v>1.481</v>
      </c>
      <c r="B3556" t="n">
        <v>1.4244</v>
      </c>
      <c r="C3556" t="n">
        <v>1.4257</v>
      </c>
    </row>
    <row r="3557">
      <c r="A3557" t="n">
        <v>1.4265</v>
      </c>
      <c r="B3557" t="n">
        <v>1.3903</v>
      </c>
      <c r="C3557" t="n">
        <v>1.4144</v>
      </c>
    </row>
    <row r="3558">
      <c r="A3558" t="n">
        <v>1.4506</v>
      </c>
      <c r="B3558" t="n">
        <v>1.4183</v>
      </c>
      <c r="C3558" t="n">
        <v>1.6053</v>
      </c>
    </row>
    <row r="3559">
      <c r="A3559" t="n">
        <v>1.6075</v>
      </c>
      <c r="B3559" t="n">
        <v>1.4343</v>
      </c>
      <c r="C3559" t="n">
        <v>1.5301</v>
      </c>
    </row>
    <row r="3560">
      <c r="A3560" t="n">
        <v>1.5655</v>
      </c>
      <c r="B3560" t="n">
        <v>1.7523</v>
      </c>
      <c r="C3560" t="n">
        <v>1.6266</v>
      </c>
    </row>
    <row r="3561">
      <c r="A3561" t="n">
        <v>1.4278</v>
      </c>
      <c r="B3561" t="n">
        <v>1.7352</v>
      </c>
      <c r="C3561" t="n">
        <v>1.5081</v>
      </c>
    </row>
    <row r="3562">
      <c r="A3562" t="n">
        <v>1.4203</v>
      </c>
      <c r="B3562" t="n">
        <v>1.7592</v>
      </c>
      <c r="C3562" t="n">
        <v>1.4333</v>
      </c>
    </row>
    <row r="3563">
      <c r="A3563" t="n">
        <v>1.3882</v>
      </c>
      <c r="B3563" t="n">
        <v>1.5066</v>
      </c>
      <c r="C3563" t="n">
        <v>1.615</v>
      </c>
    </row>
    <row r="3564">
      <c r="A3564" t="n">
        <v>1.4271</v>
      </c>
      <c r="B3564" t="n">
        <v>1.6409</v>
      </c>
      <c r="C3564" t="n">
        <v>1.5567</v>
      </c>
    </row>
    <row r="3565">
      <c r="A3565" t="n">
        <v>1.4138</v>
      </c>
      <c r="B3565" t="n">
        <v>1.5005</v>
      </c>
      <c r="C3565" t="n">
        <v>1.71</v>
      </c>
    </row>
    <row r="3566">
      <c r="A3566" t="n">
        <v>1.4275</v>
      </c>
      <c r="B3566" t="n">
        <v>1.4235</v>
      </c>
      <c r="C3566" t="n">
        <v>1.4796</v>
      </c>
    </row>
    <row r="3567">
      <c r="A3567" t="n">
        <v>1.6203</v>
      </c>
      <c r="B3567" t="n">
        <v>1.8256</v>
      </c>
      <c r="C3567" t="n">
        <v>1.4699</v>
      </c>
    </row>
    <row r="3568">
      <c r="A3568" t="n">
        <v>1.5059</v>
      </c>
      <c r="B3568" t="n">
        <v>1.5051</v>
      </c>
      <c r="C3568" t="n">
        <v>1.4036</v>
      </c>
    </row>
    <row r="3569">
      <c r="A3569" t="n">
        <v>1.5998</v>
      </c>
      <c r="B3569" t="n">
        <v>1.6541</v>
      </c>
      <c r="C3569" t="n">
        <v>1.4234</v>
      </c>
    </row>
    <row r="3570">
      <c r="A3570" t="n">
        <v>1.5042</v>
      </c>
      <c r="B3570" t="n">
        <v>1.4948</v>
      </c>
      <c r="C3570" t="n">
        <v>1.7772</v>
      </c>
    </row>
    <row r="3571">
      <c r="A3571" t="n">
        <v>1.4614</v>
      </c>
      <c r="B3571" t="n">
        <v>1.4249</v>
      </c>
      <c r="C3571" t="n">
        <v>1.4656</v>
      </c>
    </row>
    <row r="3572">
      <c r="A3572" t="n">
        <v>1.3685</v>
      </c>
      <c r="B3572" t="n">
        <v>1.3959</v>
      </c>
      <c r="C3572" t="n">
        <v>1.629</v>
      </c>
    </row>
    <row r="3573">
      <c r="A3573" t="n">
        <v>1.4112</v>
      </c>
      <c r="B3573" t="n">
        <v>1.4271</v>
      </c>
      <c r="C3573" t="n">
        <v>1.7714</v>
      </c>
    </row>
    <row r="3574">
      <c r="A3574" t="n">
        <v>1.4387</v>
      </c>
      <c r="B3574" t="n">
        <v>1.4226</v>
      </c>
      <c r="C3574" t="n">
        <v>1.5538</v>
      </c>
    </row>
    <row r="3575">
      <c r="A3575" t="n">
        <v>1.6556</v>
      </c>
      <c r="B3575" t="n">
        <v>1.6541</v>
      </c>
      <c r="C3575" t="n">
        <v>1.6189</v>
      </c>
    </row>
    <row r="3576">
      <c r="A3576" t="n">
        <v>1.7135</v>
      </c>
      <c r="B3576" t="n">
        <v>1.7189</v>
      </c>
      <c r="C3576" t="n">
        <v>1.4929</v>
      </c>
    </row>
    <row r="3577">
      <c r="A3577" t="n">
        <v>1.488</v>
      </c>
      <c r="B3577" t="n">
        <v>1.4602</v>
      </c>
      <c r="C3577" t="n">
        <v>1.4265</v>
      </c>
    </row>
    <row r="3578">
      <c r="A3578" t="n">
        <v>1.4349</v>
      </c>
      <c r="B3578" t="n">
        <v>1.454</v>
      </c>
      <c r="C3578" t="n">
        <v>1.3985</v>
      </c>
    </row>
    <row r="3579">
      <c r="A3579" t="n">
        <v>1.4326</v>
      </c>
      <c r="B3579" t="n">
        <v>1.456</v>
      </c>
      <c r="C3579" t="n">
        <v>1.4423</v>
      </c>
    </row>
    <row r="3580">
      <c r="A3580" t="n">
        <v>1.6002</v>
      </c>
      <c r="B3580" t="n">
        <v>1.6062</v>
      </c>
      <c r="C3580" t="n">
        <v>1.4449</v>
      </c>
    </row>
    <row r="3581">
      <c r="A3581" t="n">
        <v>1.8565</v>
      </c>
      <c r="B3581" t="n">
        <v>1.7343</v>
      </c>
      <c r="C3581" t="n">
        <v>1.6501</v>
      </c>
    </row>
    <row r="3582">
      <c r="A3582" t="n">
        <v>1.4873</v>
      </c>
      <c r="B3582" t="n">
        <v>1.4804</v>
      </c>
      <c r="C3582" t="n">
        <v>1.7313</v>
      </c>
    </row>
    <row r="3583">
      <c r="A3583" t="n">
        <v>1.4428</v>
      </c>
      <c r="B3583" t="n">
        <v>1.4142</v>
      </c>
      <c r="C3583" t="n">
        <v>1.4791</v>
      </c>
    </row>
    <row r="3584">
      <c r="A3584" t="n">
        <v>1.4167</v>
      </c>
      <c r="B3584" t="n">
        <v>1.4532</v>
      </c>
      <c r="C3584" t="n">
        <v>1.4321</v>
      </c>
    </row>
    <row r="3585">
      <c r="A3585" t="n">
        <v>1.5993</v>
      </c>
      <c r="B3585" t="n">
        <v>1.389</v>
      </c>
      <c r="C3585" t="n">
        <v>1.4301</v>
      </c>
    </row>
    <row r="3586">
      <c r="A3586" t="n">
        <v>2.1066</v>
      </c>
      <c r="B3586" t="n">
        <v>1.7582</v>
      </c>
      <c r="C3586" t="n">
        <v>1.6114</v>
      </c>
    </row>
    <row r="3587">
      <c r="A3587" t="n">
        <v>1.7159</v>
      </c>
      <c r="B3587" t="n">
        <v>1.709</v>
      </c>
      <c r="C3587" t="n">
        <v>1.4745</v>
      </c>
    </row>
    <row r="3588">
      <c r="A3588" t="n">
        <v>1.5379</v>
      </c>
      <c r="B3588" t="n">
        <v>1.5116</v>
      </c>
      <c r="C3588" t="n">
        <v>1.7361</v>
      </c>
    </row>
    <row r="3589">
      <c r="A3589" t="n">
        <v>1.6343</v>
      </c>
      <c r="B3589" t="n">
        <v>1.4385</v>
      </c>
      <c r="C3589" t="n">
        <v>1.5029</v>
      </c>
    </row>
    <row r="3590">
      <c r="A3590" t="n">
        <v>1.495</v>
      </c>
      <c r="B3590" t="n">
        <v>1.7017</v>
      </c>
      <c r="C3590" t="n">
        <v>1.457</v>
      </c>
    </row>
    <row r="3591">
      <c r="A3591" t="n">
        <v>1.4357</v>
      </c>
      <c r="B3591" t="n">
        <v>1.5169</v>
      </c>
      <c r="C3591" t="n">
        <v>1.6226</v>
      </c>
    </row>
    <row r="3592">
      <c r="A3592" t="n">
        <v>1.3939</v>
      </c>
      <c r="B3592" t="n">
        <v>1.6125</v>
      </c>
      <c r="C3592" t="n">
        <v>1.8804</v>
      </c>
    </row>
    <row r="3593">
      <c r="A3593" t="n">
        <v>1.4181</v>
      </c>
      <c r="B3593" t="n">
        <v>1.4705</v>
      </c>
      <c r="C3593" t="n">
        <v>1.4593</v>
      </c>
    </row>
    <row r="3594">
      <c r="A3594" t="n">
        <v>1.459</v>
      </c>
      <c r="B3594" t="n">
        <v>1.4069</v>
      </c>
      <c r="C3594" t="n">
        <v>1.4354</v>
      </c>
    </row>
    <row r="3595">
      <c r="A3595" t="n">
        <v>1.391</v>
      </c>
      <c r="B3595" t="n">
        <v>1.3861</v>
      </c>
      <c r="C3595" t="n">
        <v>1.4354</v>
      </c>
    </row>
    <row r="3596">
      <c r="A3596" t="n">
        <v>1.4378</v>
      </c>
      <c r="B3596" t="n">
        <v>1.4303</v>
      </c>
      <c r="C3596" t="n">
        <v>1.6125</v>
      </c>
    </row>
    <row r="3597">
      <c r="A3597" t="n">
        <v>1.5952</v>
      </c>
      <c r="B3597" t="n">
        <v>1.4293</v>
      </c>
      <c r="C3597" t="n">
        <v>1.9208</v>
      </c>
    </row>
    <row r="3598">
      <c r="A3598" t="n">
        <v>1.5323</v>
      </c>
      <c r="B3598" t="n">
        <v>1.4266</v>
      </c>
      <c r="C3598" t="n">
        <v>1.5032</v>
      </c>
    </row>
    <row r="3599">
      <c r="A3599" t="n">
        <v>1.4066</v>
      </c>
      <c r="B3599" t="n">
        <v>1.4791</v>
      </c>
      <c r="C3599" t="n">
        <v>1.4468</v>
      </c>
    </row>
    <row r="3600">
      <c r="A3600" t="n">
        <v>1.4116</v>
      </c>
      <c r="B3600" t="n">
        <v>1.646</v>
      </c>
      <c r="C3600" t="n">
        <v>1.4868</v>
      </c>
    </row>
    <row r="3601">
      <c r="A3601" t="n">
        <v>1.4298</v>
      </c>
      <c r="B3601" t="n">
        <v>1.4897</v>
      </c>
      <c r="C3601" t="n">
        <v>1.6874</v>
      </c>
    </row>
    <row r="3602">
      <c r="A3602" t="n">
        <v>1.4382</v>
      </c>
      <c r="B3602" t="n">
        <v>1.428</v>
      </c>
      <c r="C3602" t="n">
        <v>1.9906</v>
      </c>
    </row>
    <row r="3603">
      <c r="A3603" t="n">
        <v>1.6405</v>
      </c>
      <c r="B3603" t="n">
        <v>1.3965</v>
      </c>
      <c r="C3603" t="n">
        <v>1.6559</v>
      </c>
    </row>
    <row r="3604">
      <c r="A3604" t="n">
        <v>1.7355</v>
      </c>
      <c r="B3604" t="n">
        <v>1.4158</v>
      </c>
      <c r="C3604" t="n">
        <v>1.535</v>
      </c>
    </row>
    <row r="3605">
      <c r="A3605" t="n">
        <v>1.4661</v>
      </c>
      <c r="B3605" t="n">
        <v>1.4946</v>
      </c>
      <c r="C3605" t="n">
        <v>1.6287</v>
      </c>
    </row>
    <row r="3606">
      <c r="A3606" t="n">
        <v>1.4177</v>
      </c>
      <c r="B3606" t="n">
        <v>1.4212</v>
      </c>
      <c r="C3606" t="n">
        <v>1.6827</v>
      </c>
    </row>
    <row r="3607">
      <c r="A3607" t="n">
        <v>1.4253</v>
      </c>
      <c r="B3607" t="n">
        <v>1.4823</v>
      </c>
      <c r="C3607" t="n">
        <v>1.5257</v>
      </c>
    </row>
    <row r="3608">
      <c r="A3608" t="n">
        <v>1.3941</v>
      </c>
      <c r="B3608" t="n">
        <v>1.6512</v>
      </c>
      <c r="C3608" t="n">
        <v>1.603</v>
      </c>
    </row>
    <row r="3609">
      <c r="A3609" t="n">
        <v>1.4735</v>
      </c>
      <c r="B3609" t="n">
        <v>1.4911</v>
      </c>
      <c r="C3609" t="n">
        <v>1.7012</v>
      </c>
    </row>
    <row r="3610">
      <c r="A3610" t="n">
        <v>1.401</v>
      </c>
      <c r="B3610" t="n">
        <v>1.4366</v>
      </c>
      <c r="C3610" t="n">
        <v>1.4918</v>
      </c>
    </row>
    <row r="3611">
      <c r="A3611" t="n">
        <v>1.386</v>
      </c>
      <c r="B3611" t="n">
        <v>1.4105</v>
      </c>
      <c r="C3611" t="n">
        <v>1.4368</v>
      </c>
    </row>
    <row r="3612">
      <c r="A3612" t="n">
        <v>1.4908</v>
      </c>
      <c r="B3612" t="n">
        <v>1.4492</v>
      </c>
      <c r="C3612" t="n">
        <v>1.4569</v>
      </c>
    </row>
    <row r="3613">
      <c r="A3613" t="n">
        <v>1.675</v>
      </c>
      <c r="B3613" t="n">
        <v>1.4829</v>
      </c>
      <c r="C3613" t="n">
        <v>1.6422</v>
      </c>
    </row>
    <row r="3614">
      <c r="A3614" t="n">
        <v>1.4582</v>
      </c>
      <c r="B3614" t="n">
        <v>1.4284</v>
      </c>
      <c r="C3614" t="n">
        <v>1.5475</v>
      </c>
    </row>
    <row r="3615">
      <c r="A3615" t="n">
        <v>1.4461</v>
      </c>
      <c r="B3615" t="n">
        <v>1.4862</v>
      </c>
      <c r="C3615" t="n">
        <v>1.4266</v>
      </c>
    </row>
    <row r="3616">
      <c r="A3616" t="n">
        <v>1.6489</v>
      </c>
      <c r="B3616" t="n">
        <v>1.7363</v>
      </c>
      <c r="C3616" t="n">
        <v>1.4471</v>
      </c>
    </row>
    <row r="3617">
      <c r="A3617" t="n">
        <v>1.5028</v>
      </c>
      <c r="B3617" t="n">
        <v>1.4925</v>
      </c>
      <c r="C3617" t="n">
        <v>1.4115</v>
      </c>
    </row>
    <row r="3618">
      <c r="A3618" t="n">
        <v>1.9515</v>
      </c>
      <c r="B3618" t="n">
        <v>2.0148</v>
      </c>
      <c r="C3618" t="n">
        <v>1.4215</v>
      </c>
    </row>
    <row r="3619">
      <c r="A3619" t="n">
        <v>1.5215</v>
      </c>
      <c r="B3619" t="n">
        <v>1.5322</v>
      </c>
      <c r="C3619" t="n">
        <v>1.4359</v>
      </c>
    </row>
    <row r="3620">
      <c r="A3620" t="n">
        <v>1.4158</v>
      </c>
      <c r="B3620" t="n">
        <v>1.7462</v>
      </c>
      <c r="C3620" t="n">
        <v>1.4525</v>
      </c>
    </row>
    <row r="3621">
      <c r="A3621" t="n">
        <v>1.6055</v>
      </c>
      <c r="B3621" t="n">
        <v>1.6695</v>
      </c>
      <c r="C3621" t="n">
        <v>1.6467</v>
      </c>
    </row>
    <row r="3622">
      <c r="A3622" t="n">
        <v>1.7535</v>
      </c>
      <c r="B3622" t="n">
        <v>1.5367</v>
      </c>
      <c r="C3622" t="n">
        <v>1.6909</v>
      </c>
    </row>
    <row r="3623">
      <c r="A3623" t="n">
        <v>1.471</v>
      </c>
      <c r="B3623" t="n">
        <v>1.6699</v>
      </c>
      <c r="C3623" t="n">
        <v>1.4702</v>
      </c>
    </row>
    <row r="3624">
      <c r="A3624" t="n">
        <v>1.4419</v>
      </c>
      <c r="B3624" t="n">
        <v>1.5111</v>
      </c>
      <c r="C3624" t="n">
        <v>1.4439</v>
      </c>
    </row>
    <row r="3625">
      <c r="A3625" t="n">
        <v>1.4551</v>
      </c>
      <c r="B3625" t="n">
        <v>1.508</v>
      </c>
      <c r="C3625" t="n">
        <v>1.4787</v>
      </c>
    </row>
    <row r="3626">
      <c r="A3626" t="n">
        <v>1.6192</v>
      </c>
      <c r="B3626" t="n">
        <v>1.6471</v>
      </c>
      <c r="C3626" t="n">
        <v>1.6077</v>
      </c>
    </row>
    <row r="3627">
      <c r="A3627" t="n">
        <v>1.5304</v>
      </c>
      <c r="B3627" t="n">
        <v>1.7812</v>
      </c>
      <c r="C3627" t="n">
        <v>1.5311</v>
      </c>
    </row>
    <row r="3628">
      <c r="A3628" t="n">
        <v>1.629</v>
      </c>
      <c r="B3628" t="n">
        <v>1.488</v>
      </c>
      <c r="C3628" t="n">
        <v>1.634</v>
      </c>
    </row>
    <row r="3629">
      <c r="A3629" t="n">
        <v>1.4592</v>
      </c>
      <c r="B3629" t="n">
        <v>1.4476</v>
      </c>
      <c r="C3629" t="n">
        <v>1.4828</v>
      </c>
    </row>
    <row r="3630">
      <c r="A3630" t="n">
        <v>1.4704</v>
      </c>
      <c r="B3630" t="n">
        <v>1.4652</v>
      </c>
      <c r="C3630" t="n">
        <v>1.4879</v>
      </c>
    </row>
    <row r="3631">
      <c r="A3631" t="n">
        <v>1.4141</v>
      </c>
      <c r="B3631" t="n">
        <v>1.6174</v>
      </c>
      <c r="C3631" t="n">
        <v>1.4016</v>
      </c>
    </row>
    <row r="3632">
      <c r="A3632" t="n">
        <v>1.4041</v>
      </c>
      <c r="B3632" t="n">
        <v>1.5779</v>
      </c>
      <c r="C3632" t="n">
        <v>1.4155</v>
      </c>
    </row>
    <row r="3633">
      <c r="A3633" t="n">
        <v>1.4204</v>
      </c>
      <c r="B3633" t="n">
        <v>1.4409</v>
      </c>
      <c r="C3633" t="n">
        <v>1.4351</v>
      </c>
    </row>
    <row r="3634">
      <c r="A3634" t="n">
        <v>1.6049</v>
      </c>
      <c r="B3634" t="n">
        <v>1.4281</v>
      </c>
      <c r="C3634" t="n">
        <v>1.79</v>
      </c>
    </row>
    <row r="3635">
      <c r="A3635" t="n">
        <v>1.6578</v>
      </c>
      <c r="B3635" t="n">
        <v>1.411</v>
      </c>
      <c r="C3635" t="n">
        <v>1.7559</v>
      </c>
    </row>
    <row r="3636">
      <c r="A3636" t="n">
        <v>1.4902</v>
      </c>
      <c r="B3636" t="n">
        <v>1.4427</v>
      </c>
      <c r="C3636" t="n">
        <v>1.7185</v>
      </c>
    </row>
    <row r="3637">
      <c r="A3637" t="n">
        <v>1.4471</v>
      </c>
      <c r="B3637" t="n">
        <v>1.4237</v>
      </c>
      <c r="C3637" t="n">
        <v>1.5456</v>
      </c>
    </row>
    <row r="3638">
      <c r="A3638" t="n">
        <v>1.4134</v>
      </c>
      <c r="B3638" t="n">
        <v>1.4607</v>
      </c>
      <c r="C3638" t="n">
        <v>1.4168</v>
      </c>
    </row>
    <row r="3639">
      <c r="A3639" t="n">
        <v>1.3971</v>
      </c>
      <c r="B3639" t="n">
        <v>1.6713</v>
      </c>
      <c r="C3639" t="n">
        <v>1.4944</v>
      </c>
    </row>
    <row r="3640">
      <c r="A3640" t="n">
        <v>1.4601</v>
      </c>
      <c r="B3640" t="n">
        <v>1.679</v>
      </c>
      <c r="C3640" t="n">
        <v>1.6969</v>
      </c>
    </row>
    <row r="3641">
      <c r="A3641" t="n">
        <v>1.6202</v>
      </c>
      <c r="B3641" t="n">
        <v>1.5162</v>
      </c>
      <c r="C3641" t="n">
        <v>1.6372</v>
      </c>
    </row>
    <row r="3642">
      <c r="A3642" t="n">
        <v>1.512</v>
      </c>
      <c r="B3642" t="n">
        <v>1.4456</v>
      </c>
      <c r="C3642" t="n">
        <v>1.5639</v>
      </c>
    </row>
    <row r="3643">
      <c r="A3643" t="n">
        <v>1.658</v>
      </c>
      <c r="B3643" t="n">
        <v>1.4288</v>
      </c>
      <c r="C3643" t="n">
        <v>1.6366</v>
      </c>
    </row>
    <row r="3644">
      <c r="A3644" t="n">
        <v>1.4901</v>
      </c>
      <c r="B3644" t="n">
        <v>1.6476</v>
      </c>
      <c r="C3644" t="n">
        <v>1.7486</v>
      </c>
    </row>
    <row r="3645">
      <c r="A3645" t="n">
        <v>1.4574</v>
      </c>
      <c r="B3645" t="n">
        <v>1.8696</v>
      </c>
      <c r="C3645" t="n">
        <v>1.5145</v>
      </c>
    </row>
    <row r="3646">
      <c r="A3646" t="n">
        <v>1.4394</v>
      </c>
      <c r="B3646" t="n">
        <v>1.4538</v>
      </c>
      <c r="C3646" t="n">
        <v>1.6959</v>
      </c>
    </row>
    <row r="3647">
      <c r="A3647" t="n">
        <v>1.3624</v>
      </c>
      <c r="B3647" t="n">
        <v>1.439</v>
      </c>
      <c r="C3647" t="n">
        <v>1.6752</v>
      </c>
    </row>
    <row r="3648">
      <c r="A3648" t="n">
        <v>1.4702</v>
      </c>
      <c r="B3648" t="n">
        <v>1.4531</v>
      </c>
      <c r="C3648" t="n">
        <v>1.4877</v>
      </c>
    </row>
    <row r="3649">
      <c r="A3649" t="n">
        <v>1.604</v>
      </c>
      <c r="B3649" t="n">
        <v>1.6016</v>
      </c>
      <c r="C3649" t="n">
        <v>1.4338</v>
      </c>
    </row>
    <row r="3650">
      <c r="A3650" t="n">
        <v>1.8124</v>
      </c>
      <c r="B3650" t="n">
        <v>2.124</v>
      </c>
      <c r="C3650" t="n">
        <v>1.4199</v>
      </c>
    </row>
    <row r="3651">
      <c r="A3651" t="n">
        <v>1.4565</v>
      </c>
      <c r="B3651" t="n">
        <v>1.6941</v>
      </c>
      <c r="C3651" t="n">
        <v>1.6821</v>
      </c>
    </row>
    <row r="3652">
      <c r="A3652" t="n">
        <v>1.662</v>
      </c>
      <c r="B3652" t="n">
        <v>1.5252</v>
      </c>
      <c r="C3652" t="n">
        <v>1.7237</v>
      </c>
    </row>
    <row r="3653">
      <c r="A3653" t="n">
        <v>1.6938</v>
      </c>
      <c r="B3653" t="n">
        <v>1.7315</v>
      </c>
      <c r="C3653" t="n">
        <v>1.4819</v>
      </c>
    </row>
    <row r="3654">
      <c r="A3654" t="n">
        <v>1.4799</v>
      </c>
      <c r="B3654" t="n">
        <v>1.4693</v>
      </c>
      <c r="C3654" t="n">
        <v>1.4735</v>
      </c>
    </row>
    <row r="3655">
      <c r="A3655" t="n">
        <v>1.4248</v>
      </c>
      <c r="B3655" t="n">
        <v>1.4101</v>
      </c>
      <c r="C3655" t="n">
        <v>1.4432</v>
      </c>
    </row>
    <row r="3656">
      <c r="A3656" t="n">
        <v>1.4062</v>
      </c>
      <c r="B3656" t="n">
        <v>1.4066</v>
      </c>
      <c r="C3656" t="n">
        <v>1.5814</v>
      </c>
    </row>
    <row r="3657">
      <c r="A3657" t="n">
        <v>1.3899</v>
      </c>
      <c r="B3657" t="n">
        <v>1.4255</v>
      </c>
      <c r="C3657" t="n">
        <v>1.5296</v>
      </c>
    </row>
    <row r="3658">
      <c r="A3658" t="n">
        <v>1.462</v>
      </c>
      <c r="B3658" t="n">
        <v>1.4308</v>
      </c>
      <c r="C3658" t="n">
        <v>1.6367</v>
      </c>
    </row>
    <row r="3659">
      <c r="A3659" t="n">
        <v>1.6793</v>
      </c>
      <c r="B3659" t="n">
        <v>1.7197</v>
      </c>
      <c r="C3659" t="n">
        <v>1.4952</v>
      </c>
    </row>
    <row r="3660">
      <c r="A3660" t="n">
        <v>1.5095</v>
      </c>
      <c r="B3660" t="n">
        <v>1.7303</v>
      </c>
      <c r="C3660" t="n">
        <v>1.5106</v>
      </c>
    </row>
    <row r="3661">
      <c r="A3661" t="n">
        <v>1.628</v>
      </c>
      <c r="B3661" t="n">
        <v>1.4711</v>
      </c>
      <c r="C3661" t="n">
        <v>1.7293</v>
      </c>
    </row>
    <row r="3662">
      <c r="A3662" t="n">
        <v>1.736</v>
      </c>
      <c r="B3662" t="n">
        <v>1.438</v>
      </c>
      <c r="C3662" t="n">
        <v>1.8274</v>
      </c>
    </row>
    <row r="3663">
      <c r="A3663" t="n">
        <v>1.5429</v>
      </c>
      <c r="B3663" t="n">
        <v>1.4613</v>
      </c>
      <c r="C3663" t="n">
        <v>1.4903</v>
      </c>
    </row>
    <row r="3664">
      <c r="A3664" t="n">
        <v>1.6296</v>
      </c>
      <c r="B3664" t="n">
        <v>1.6488</v>
      </c>
      <c r="C3664" t="n">
        <v>1.4451</v>
      </c>
    </row>
    <row r="3665">
      <c r="A3665" t="n">
        <v>1.4912</v>
      </c>
      <c r="B3665" t="n">
        <v>1.6883</v>
      </c>
      <c r="C3665" t="n">
        <v>1.448</v>
      </c>
    </row>
    <row r="3666">
      <c r="A3666" t="n">
        <v>1.4623</v>
      </c>
      <c r="B3666" t="n">
        <v>1.4856</v>
      </c>
      <c r="C3666" t="n">
        <v>1.9823</v>
      </c>
    </row>
    <row r="3667">
      <c r="A3667" t="n">
        <v>1.4091</v>
      </c>
      <c r="B3667" t="n">
        <v>1.424</v>
      </c>
      <c r="C3667" t="n">
        <v>1.7528</v>
      </c>
    </row>
    <row r="3668">
      <c r="A3668" t="n">
        <v>1.4192</v>
      </c>
      <c r="B3668" t="n">
        <v>1.4396</v>
      </c>
      <c r="C3668" t="n">
        <v>1.6411</v>
      </c>
    </row>
    <row r="3669">
      <c r="A3669" t="n">
        <v>1.4478</v>
      </c>
      <c r="B3669" t="n">
        <v>1.6349</v>
      </c>
      <c r="C3669" t="n">
        <v>1.5201</v>
      </c>
    </row>
    <row r="3670">
      <c r="A3670" t="n">
        <v>1.6581</v>
      </c>
      <c r="B3670" t="n">
        <v>1.5091</v>
      </c>
      <c r="C3670" t="n">
        <v>1.6268</v>
      </c>
    </row>
    <row r="3671">
      <c r="A3671" t="n">
        <v>1.7121</v>
      </c>
      <c r="B3671" t="n">
        <v>1.6702</v>
      </c>
      <c r="C3671" t="n">
        <v>1.486</v>
      </c>
    </row>
    <row r="3672">
      <c r="A3672" t="n">
        <v>1.485</v>
      </c>
      <c r="B3672" t="n">
        <v>1.4778</v>
      </c>
      <c r="C3672" t="n">
        <v>1.4546</v>
      </c>
    </row>
    <row r="3673">
      <c r="A3673" t="n">
        <v>1.4579</v>
      </c>
      <c r="B3673" t="n">
        <v>1.4327</v>
      </c>
      <c r="C3673" t="n">
        <v>1.4223</v>
      </c>
    </row>
    <row r="3674">
      <c r="A3674" t="n">
        <v>1.4181</v>
      </c>
      <c r="B3674" t="n">
        <v>1.6607</v>
      </c>
      <c r="C3674" t="n">
        <v>1.4095</v>
      </c>
    </row>
    <row r="3675">
      <c r="A3675" t="n">
        <v>1.7022</v>
      </c>
      <c r="B3675" t="n">
        <v>1.5568</v>
      </c>
      <c r="C3675" t="n">
        <v>1.4116</v>
      </c>
    </row>
    <row r="3676">
      <c r="A3676" t="n">
        <v>1.6841</v>
      </c>
      <c r="B3676" t="n">
        <v>1.6655</v>
      </c>
      <c r="C3676" t="n">
        <v>1.6453</v>
      </c>
    </row>
    <row r="3677">
      <c r="A3677" t="n">
        <v>1.4766</v>
      </c>
      <c r="B3677" t="n">
        <v>1.5353</v>
      </c>
      <c r="C3677" t="n">
        <v>1.7009</v>
      </c>
    </row>
    <row r="3678">
      <c r="A3678" t="n">
        <v>1.4322</v>
      </c>
      <c r="B3678" t="n">
        <v>1.4427</v>
      </c>
      <c r="C3678" t="n">
        <v>1.4776</v>
      </c>
    </row>
    <row r="3679">
      <c r="A3679" t="n">
        <v>1.4287</v>
      </c>
      <c r="B3679" t="n">
        <v>1.6133</v>
      </c>
      <c r="C3679" t="n">
        <v>1.4571</v>
      </c>
    </row>
    <row r="3680">
      <c r="A3680" t="n">
        <v>1.6113</v>
      </c>
      <c r="B3680" t="n">
        <v>1.5903</v>
      </c>
      <c r="C3680" t="n">
        <v>1.4381</v>
      </c>
    </row>
    <row r="3681">
      <c r="A3681" t="n">
        <v>1.523</v>
      </c>
      <c r="B3681" t="n">
        <v>1.6612</v>
      </c>
      <c r="C3681" t="n">
        <v>1.6256</v>
      </c>
    </row>
    <row r="3682">
      <c r="A3682" t="n">
        <v>1.9892</v>
      </c>
      <c r="B3682" t="n">
        <v>1.803</v>
      </c>
      <c r="C3682" t="n">
        <v>1.5753</v>
      </c>
    </row>
    <row r="3683">
      <c r="A3683" t="n">
        <v>1.7013</v>
      </c>
      <c r="B3683" t="n">
        <v>1.7751</v>
      </c>
      <c r="C3683" t="n">
        <v>1.4038</v>
      </c>
    </row>
    <row r="3684">
      <c r="A3684" t="n">
        <v>1.6963</v>
      </c>
      <c r="B3684" t="n">
        <v>1.5332</v>
      </c>
      <c r="C3684" t="n">
        <v>1.4444</v>
      </c>
    </row>
    <row r="3685">
      <c r="A3685" t="n">
        <v>1.5197</v>
      </c>
      <c r="B3685" t="n">
        <v>1.6828</v>
      </c>
      <c r="C3685" t="n">
        <v>1.4025</v>
      </c>
    </row>
    <row r="3686">
      <c r="A3686" t="n">
        <v>1.41</v>
      </c>
      <c r="B3686" t="n">
        <v>1.6637</v>
      </c>
      <c r="C3686" t="n">
        <v>1.3929</v>
      </c>
    </row>
    <row r="3687">
      <c r="A3687" t="n">
        <v>1.4292</v>
      </c>
      <c r="B3687" t="n">
        <v>1.5492</v>
      </c>
      <c r="C3687" t="n">
        <v>1.4592</v>
      </c>
    </row>
    <row r="3688">
      <c r="A3688" t="n">
        <v>1.4352</v>
      </c>
      <c r="B3688" t="n">
        <v>1.615</v>
      </c>
      <c r="C3688" t="n">
        <v>1.457</v>
      </c>
    </row>
    <row r="3689">
      <c r="A3689" t="n">
        <v>1.4194</v>
      </c>
      <c r="B3689" t="n">
        <v>1.4788</v>
      </c>
      <c r="C3689" t="n">
        <v>1.6493</v>
      </c>
    </row>
    <row r="3690">
      <c r="A3690" t="n">
        <v>1.608</v>
      </c>
      <c r="B3690" t="n">
        <v>1.4309</v>
      </c>
      <c r="C3690" t="n">
        <v>1.7404</v>
      </c>
    </row>
    <row r="3691">
      <c r="A3691" t="n">
        <v>1.8247</v>
      </c>
      <c r="B3691" t="n">
        <v>1.3718</v>
      </c>
      <c r="C3691" t="n">
        <v>1.4968</v>
      </c>
    </row>
    <row r="3692">
      <c r="A3692" t="n">
        <v>1.4864</v>
      </c>
      <c r="B3692" t="n">
        <v>1.4479</v>
      </c>
      <c r="C3692" t="n">
        <v>1.4266</v>
      </c>
    </row>
    <row r="3693">
      <c r="A3693" t="n">
        <v>1.4476</v>
      </c>
      <c r="B3693" t="n">
        <v>1.5147</v>
      </c>
      <c r="C3693" t="n">
        <v>1.4665</v>
      </c>
    </row>
    <row r="3694">
      <c r="A3694" t="n">
        <v>1.4698</v>
      </c>
      <c r="B3694" t="n">
        <v>1.4498</v>
      </c>
      <c r="C3694" t="n">
        <v>1.4369</v>
      </c>
    </row>
    <row r="3695">
      <c r="A3695" t="n">
        <v>1.5892</v>
      </c>
      <c r="B3695" t="n">
        <v>1.5336</v>
      </c>
      <c r="C3695" t="n">
        <v>1.4586</v>
      </c>
    </row>
    <row r="3696">
      <c r="A3696" t="n">
        <v>1.5823</v>
      </c>
      <c r="B3696" t="n">
        <v>1.4371</v>
      </c>
      <c r="C3696" t="n">
        <v>1.6418</v>
      </c>
    </row>
    <row r="3697">
      <c r="A3697" t="n">
        <v>1.4301</v>
      </c>
      <c r="B3697" t="n">
        <v>1.4856</v>
      </c>
      <c r="C3697" t="n">
        <v>1.5169</v>
      </c>
    </row>
    <row r="3698">
      <c r="A3698" t="n">
        <v>1.4078</v>
      </c>
      <c r="B3698" t="n">
        <v>1.4892</v>
      </c>
      <c r="C3698" t="n">
        <v>1.7545</v>
      </c>
    </row>
    <row r="3699">
      <c r="A3699" t="n">
        <v>1.4385</v>
      </c>
      <c r="B3699" t="n">
        <v>1.7096</v>
      </c>
      <c r="C3699" t="n">
        <v>1.647</v>
      </c>
    </row>
    <row r="3700">
      <c r="A3700" t="n">
        <v>1.4216</v>
      </c>
      <c r="B3700" t="n">
        <v>1.5476</v>
      </c>
      <c r="C3700" t="n">
        <v>1.5537</v>
      </c>
    </row>
    <row r="3701">
      <c r="A3701" t="n">
        <v>1.424</v>
      </c>
      <c r="B3701" t="n">
        <v>1.6874</v>
      </c>
      <c r="C3701" t="n">
        <v>1.6569</v>
      </c>
    </row>
    <row r="3702">
      <c r="A3702" t="n">
        <v>1.4531</v>
      </c>
      <c r="B3702" t="n">
        <v>1.4873</v>
      </c>
      <c r="C3702" t="n">
        <v>1.4911</v>
      </c>
    </row>
    <row r="3703">
      <c r="A3703" t="n">
        <v>1.6088</v>
      </c>
      <c r="B3703" t="n">
        <v>1.4333</v>
      </c>
      <c r="C3703" t="n">
        <v>1.4494</v>
      </c>
    </row>
    <row r="3704">
      <c r="A3704" t="n">
        <v>1.7568</v>
      </c>
      <c r="B3704" t="n">
        <v>1.3901</v>
      </c>
      <c r="C3704" t="n">
        <v>1.6207</v>
      </c>
    </row>
    <row r="3705">
      <c r="A3705" t="n">
        <v>1.4962</v>
      </c>
      <c r="B3705" t="n">
        <v>1.4301</v>
      </c>
      <c r="C3705" t="n">
        <v>1.5395</v>
      </c>
    </row>
    <row r="3706">
      <c r="A3706" t="n">
        <v>1.4559</v>
      </c>
      <c r="B3706" t="n">
        <v>1.4685</v>
      </c>
      <c r="C3706" t="n">
        <v>1.6551</v>
      </c>
    </row>
    <row r="3707">
      <c r="A3707" t="n">
        <v>1.4083</v>
      </c>
      <c r="B3707" t="n">
        <v>1.7309</v>
      </c>
      <c r="C3707" t="n">
        <v>1.4752</v>
      </c>
    </row>
    <row r="3708">
      <c r="A3708" t="n">
        <v>1.3872</v>
      </c>
      <c r="B3708" t="n">
        <v>1.7119</v>
      </c>
      <c r="C3708" t="n">
        <v>1.4704</v>
      </c>
    </row>
    <row r="3709">
      <c r="A3709" t="n">
        <v>1.4688</v>
      </c>
      <c r="B3709" t="n">
        <v>1.5372</v>
      </c>
      <c r="C3709" t="n">
        <v>1.4242</v>
      </c>
    </row>
    <row r="3710">
      <c r="A3710" t="n">
        <v>1.6199</v>
      </c>
      <c r="B3710" t="n">
        <v>1.4555</v>
      </c>
      <c r="C3710" t="n">
        <v>1.4389</v>
      </c>
    </row>
    <row r="3711">
      <c r="A3711" t="n">
        <v>1.5439</v>
      </c>
      <c r="B3711" t="n">
        <v>1.4318</v>
      </c>
      <c r="C3711" t="n">
        <v>1.4745</v>
      </c>
    </row>
    <row r="3712">
      <c r="A3712" t="n">
        <v>1.6901</v>
      </c>
      <c r="B3712" t="n">
        <v>1.3658</v>
      </c>
      <c r="C3712" t="n">
        <v>1.4532</v>
      </c>
    </row>
    <row r="3713">
      <c r="A3713" t="n">
        <v>1.7019</v>
      </c>
      <c r="B3713" t="n">
        <v>1.5514</v>
      </c>
      <c r="C3713" t="n">
        <v>1.475</v>
      </c>
    </row>
    <row r="3714">
      <c r="A3714" t="n">
        <v>2.0765</v>
      </c>
      <c r="B3714" t="n">
        <v>1.9944</v>
      </c>
      <c r="C3714" t="n">
        <v>1.4376</v>
      </c>
    </row>
    <row r="3715">
      <c r="A3715" t="n">
        <v>1.5756</v>
      </c>
      <c r="B3715" t="n">
        <v>1.7284</v>
      </c>
      <c r="C3715" t="n">
        <v>1.4738</v>
      </c>
    </row>
    <row r="3716">
      <c r="A3716" t="n">
        <v>1.4462</v>
      </c>
      <c r="B3716" t="n">
        <v>1.6864</v>
      </c>
      <c r="C3716" t="n">
        <v>1.4701</v>
      </c>
    </row>
    <row r="3717">
      <c r="A3717" t="n">
        <v>1.4206</v>
      </c>
      <c r="B3717" t="n">
        <v>1.5358</v>
      </c>
      <c r="C3717" t="n">
        <v>1.4825</v>
      </c>
    </row>
    <row r="3718">
      <c r="A3718" t="n">
        <v>1.3899</v>
      </c>
      <c r="B3718" t="n">
        <v>1.4191</v>
      </c>
      <c r="C3718" t="n">
        <v>1.4785</v>
      </c>
    </row>
    <row r="3719">
      <c r="A3719" t="n">
        <v>1.483</v>
      </c>
      <c r="B3719" t="n">
        <v>1.4277</v>
      </c>
      <c r="C3719" t="n">
        <v>1.4613</v>
      </c>
    </row>
    <row r="3720">
      <c r="A3720" t="n">
        <v>1.6666</v>
      </c>
      <c r="B3720" t="n">
        <v>1.4344</v>
      </c>
      <c r="C3720" t="n">
        <v>1.7099</v>
      </c>
    </row>
    <row r="3721">
      <c r="A3721" t="n">
        <v>1.4959</v>
      </c>
      <c r="B3721" t="n">
        <v>1.4723</v>
      </c>
      <c r="C3721" t="n">
        <v>1.6981</v>
      </c>
    </row>
    <row r="3722">
      <c r="A3722" t="n">
        <v>1.4096</v>
      </c>
      <c r="B3722" t="n">
        <v>1.7632</v>
      </c>
      <c r="C3722" t="n">
        <v>1.4741</v>
      </c>
    </row>
    <row r="3723">
      <c r="A3723" t="n">
        <v>1.4241</v>
      </c>
      <c r="B3723" t="n">
        <v>1.8094</v>
      </c>
      <c r="C3723" t="n">
        <v>1.6897</v>
      </c>
    </row>
    <row r="3724">
      <c r="A3724" t="n">
        <v>1.4258</v>
      </c>
      <c r="B3724" t="n">
        <v>1.7399</v>
      </c>
      <c r="C3724" t="n">
        <v>1.6521</v>
      </c>
    </row>
    <row r="3725">
      <c r="A3725" t="n">
        <v>1.413</v>
      </c>
      <c r="B3725" t="n">
        <v>1.5469</v>
      </c>
      <c r="C3725" t="n">
        <v>1.4931</v>
      </c>
    </row>
    <row r="3726">
      <c r="A3726" t="n">
        <v>1.6346</v>
      </c>
      <c r="B3726" t="n">
        <v>1.67</v>
      </c>
      <c r="C3726" t="n">
        <v>1.7311</v>
      </c>
    </row>
    <row r="3727">
      <c r="A3727" t="n">
        <v>1.7388</v>
      </c>
      <c r="B3727" t="n">
        <v>1.4921</v>
      </c>
      <c r="C3727" t="n">
        <v>1.6715</v>
      </c>
    </row>
    <row r="3728">
      <c r="A3728" t="n">
        <v>1.4808</v>
      </c>
      <c r="B3728" t="n">
        <v>1.4588</v>
      </c>
      <c r="C3728" t="n">
        <v>1.5187</v>
      </c>
    </row>
    <row r="3729">
      <c r="A3729" t="n">
        <v>1.444</v>
      </c>
      <c r="B3729" t="n">
        <v>1.6618</v>
      </c>
      <c r="C3729" t="n">
        <v>1.6697</v>
      </c>
    </row>
    <row r="3730">
      <c r="A3730" t="n">
        <v>1.4247</v>
      </c>
      <c r="B3730" t="n">
        <v>1.5395</v>
      </c>
      <c r="C3730" t="n">
        <v>1.8316</v>
      </c>
    </row>
    <row r="3731">
      <c r="A3731" t="n">
        <v>1.5956</v>
      </c>
      <c r="B3731" t="n">
        <v>1.6946</v>
      </c>
      <c r="C3731" t="n">
        <v>1.7966</v>
      </c>
    </row>
    <row r="3732">
      <c r="A3732" t="n">
        <v>1.7747</v>
      </c>
      <c r="B3732" t="n">
        <v>1.5014</v>
      </c>
      <c r="C3732" t="n">
        <v>1.5243</v>
      </c>
    </row>
    <row r="3733">
      <c r="A3733" t="n">
        <v>1.504</v>
      </c>
      <c r="B3733" t="n">
        <v>1.4515</v>
      </c>
      <c r="C3733" t="n">
        <v>1.6575</v>
      </c>
    </row>
    <row r="3734">
      <c r="A3734" t="n">
        <v>1.4182</v>
      </c>
      <c r="B3734" t="n">
        <v>1.6729</v>
      </c>
      <c r="C3734" t="n">
        <v>1.6945</v>
      </c>
    </row>
    <row r="3735">
      <c r="A3735" t="n">
        <v>1.4464</v>
      </c>
      <c r="B3735" t="n">
        <v>1.5535</v>
      </c>
      <c r="C3735" t="n">
        <v>1.516</v>
      </c>
    </row>
    <row r="3736">
      <c r="A3736" t="n">
        <v>1.663</v>
      </c>
      <c r="B3736" t="n">
        <v>1.6547</v>
      </c>
      <c r="C3736" t="n">
        <v>1.6191</v>
      </c>
    </row>
    <row r="3737">
      <c r="A3737" t="n">
        <v>1.5071</v>
      </c>
      <c r="B3737" t="n">
        <v>1.4998</v>
      </c>
      <c r="C3737" t="n">
        <v>1.4881</v>
      </c>
    </row>
    <row r="3738">
      <c r="A3738" t="n">
        <v>1.6548</v>
      </c>
      <c r="B3738" t="n">
        <v>1.4681</v>
      </c>
      <c r="C3738" t="n">
        <v>1.4191</v>
      </c>
    </row>
    <row r="3739">
      <c r="A3739" t="n">
        <v>1.4923</v>
      </c>
      <c r="B3739" t="n">
        <v>1.6736</v>
      </c>
      <c r="C3739" t="n">
        <v>1.4081</v>
      </c>
    </row>
    <row r="3740">
      <c r="A3740" t="n">
        <v>1.4402</v>
      </c>
      <c r="B3740" t="n">
        <v>1.5618</v>
      </c>
      <c r="C3740" t="n">
        <v>1.4287</v>
      </c>
    </row>
    <row r="3741">
      <c r="A3741" t="n">
        <v>1.631</v>
      </c>
      <c r="B3741" t="n">
        <v>1.6543</v>
      </c>
      <c r="C3741" t="n">
        <v>1.4813</v>
      </c>
    </row>
    <row r="3742">
      <c r="A3742" t="n">
        <v>1.5383</v>
      </c>
      <c r="B3742" t="n">
        <v>1.4822</v>
      </c>
      <c r="C3742" t="n">
        <v>1.452</v>
      </c>
    </row>
    <row r="3743">
      <c r="A3743" t="n">
        <v>1.5906</v>
      </c>
      <c r="B3743" t="n">
        <v>1.4773</v>
      </c>
      <c r="C3743" t="n">
        <v>1.4899</v>
      </c>
    </row>
    <row r="3744">
      <c r="A3744" t="n">
        <v>1.4972</v>
      </c>
      <c r="B3744" t="n">
        <v>1.6567</v>
      </c>
      <c r="C3744" t="n">
        <v>1.6826</v>
      </c>
    </row>
    <row r="3745">
      <c r="A3745" t="n">
        <v>1.403</v>
      </c>
      <c r="B3745" t="n">
        <v>1.5481</v>
      </c>
      <c r="C3745" t="n">
        <v>1.5127</v>
      </c>
    </row>
    <row r="3746">
      <c r="A3746" t="n">
        <v>1.7353</v>
      </c>
      <c r="B3746" t="n">
        <v>2.1295</v>
      </c>
      <c r="C3746" t="n">
        <v>1.4959</v>
      </c>
    </row>
    <row r="3747">
      <c r="A3747" t="n">
        <v>1.4781</v>
      </c>
      <c r="B3747" t="n">
        <v>1.7574</v>
      </c>
      <c r="C3747" t="n">
        <v>1.6903</v>
      </c>
    </row>
    <row r="3748">
      <c r="A3748" t="n">
        <v>1.6295</v>
      </c>
      <c r="B3748" t="n">
        <v>1.6881</v>
      </c>
      <c r="C3748" t="n">
        <v>1.753</v>
      </c>
    </row>
    <row r="3749">
      <c r="A3749" t="n">
        <v>1.512</v>
      </c>
      <c r="B3749" t="n">
        <v>1.7509</v>
      </c>
      <c r="C3749" t="n">
        <v>1.4753</v>
      </c>
    </row>
    <row r="3750">
      <c r="A3750" t="n">
        <v>1.4459</v>
      </c>
      <c r="B3750" t="n">
        <v>1.7288</v>
      </c>
      <c r="C3750" t="n">
        <v>1.4435</v>
      </c>
    </row>
    <row r="3751">
      <c r="A3751" t="n">
        <v>1.4284</v>
      </c>
      <c r="B3751" t="n">
        <v>1.519</v>
      </c>
      <c r="C3751" t="n">
        <v>1.4642</v>
      </c>
    </row>
    <row r="3752">
      <c r="A3752" t="n">
        <v>1.4189</v>
      </c>
      <c r="B3752" t="n">
        <v>1.6586</v>
      </c>
      <c r="C3752" t="n">
        <v>1.408</v>
      </c>
    </row>
    <row r="3753">
      <c r="A3753" t="n">
        <v>1.47</v>
      </c>
      <c r="B3753" t="n">
        <v>1.8163</v>
      </c>
      <c r="C3753" t="n">
        <v>1.5006</v>
      </c>
    </row>
    <row r="3754">
      <c r="A3754" t="n">
        <v>1.6909</v>
      </c>
      <c r="B3754" t="n">
        <v>1.5042</v>
      </c>
      <c r="C3754" t="n">
        <v>1.6721</v>
      </c>
    </row>
    <row r="3755">
      <c r="A3755" t="n">
        <v>1.7333</v>
      </c>
      <c r="B3755" t="n">
        <v>1.6717</v>
      </c>
      <c r="C3755" t="n">
        <v>1.4907</v>
      </c>
    </row>
    <row r="3756">
      <c r="A3756" t="n">
        <v>1.5172</v>
      </c>
      <c r="B3756" t="n">
        <v>1.4966</v>
      </c>
      <c r="C3756" t="n">
        <v>1.4365</v>
      </c>
    </row>
    <row r="3757">
      <c r="A3757" t="n">
        <v>1.4518</v>
      </c>
      <c r="B3757" t="n">
        <v>1.4371</v>
      </c>
      <c r="C3757" t="n">
        <v>1.4396</v>
      </c>
    </row>
    <row r="3758">
      <c r="A3758" t="n">
        <v>1.4335</v>
      </c>
      <c r="B3758" t="n">
        <v>1.4319</v>
      </c>
      <c r="C3758" t="n">
        <v>1.4557</v>
      </c>
    </row>
    <row r="3759">
      <c r="A3759" t="n">
        <v>1.6148</v>
      </c>
      <c r="B3759" t="n">
        <v>1.4323</v>
      </c>
      <c r="C3759" t="n">
        <v>1.4587</v>
      </c>
    </row>
    <row r="3760">
      <c r="A3760" t="n">
        <v>1.8209</v>
      </c>
      <c r="B3760" t="n">
        <v>1.45</v>
      </c>
      <c r="C3760" t="n">
        <v>1.657</v>
      </c>
    </row>
    <row r="3761">
      <c r="A3761" t="n">
        <v>1.4657</v>
      </c>
      <c r="B3761" t="n">
        <v>1.4502</v>
      </c>
      <c r="C3761" t="n">
        <v>1.7247</v>
      </c>
    </row>
    <row r="3762">
      <c r="A3762" t="n">
        <v>1.4368</v>
      </c>
      <c r="B3762" t="n">
        <v>1.8233</v>
      </c>
      <c r="C3762" t="n">
        <v>2.0144</v>
      </c>
    </row>
    <row r="3763">
      <c r="A3763" t="n">
        <v>1.438</v>
      </c>
      <c r="B3763" t="n">
        <v>1.5259</v>
      </c>
      <c r="C3763" t="n">
        <v>1.5781</v>
      </c>
    </row>
    <row r="3764">
      <c r="A3764" t="n">
        <v>1.587</v>
      </c>
      <c r="B3764" t="n">
        <v>1.4572</v>
      </c>
      <c r="C3764" t="n">
        <v>1.6397</v>
      </c>
    </row>
    <row r="3765">
      <c r="A3765" t="n">
        <v>1.5198</v>
      </c>
      <c r="B3765" t="n">
        <v>1.4815</v>
      </c>
      <c r="C3765" t="n">
        <v>1.5039</v>
      </c>
    </row>
    <row r="3766">
      <c r="A3766" t="n">
        <v>1.6358</v>
      </c>
      <c r="B3766" t="n">
        <v>1.6673</v>
      </c>
      <c r="C3766" t="n">
        <v>1.5029</v>
      </c>
    </row>
    <row r="3767">
      <c r="A3767" t="n">
        <v>1.4952</v>
      </c>
      <c r="B3767" t="n">
        <v>1.729</v>
      </c>
      <c r="C3767" t="n">
        <v>1.6105</v>
      </c>
    </row>
    <row r="3768">
      <c r="A3768" t="n">
        <v>1.4255</v>
      </c>
      <c r="B3768" t="n">
        <v>1.5084</v>
      </c>
      <c r="C3768" t="n">
        <v>1.5557</v>
      </c>
    </row>
    <row r="3769">
      <c r="A3769" t="n">
        <v>1.3985</v>
      </c>
      <c r="B3769" t="n">
        <v>1.4477</v>
      </c>
      <c r="C3769" t="n">
        <v>1.692</v>
      </c>
    </row>
    <row r="3770">
      <c r="A3770" t="n">
        <v>1.4141</v>
      </c>
      <c r="B3770" t="n">
        <v>1.4526</v>
      </c>
      <c r="C3770" t="n">
        <v>1.4833</v>
      </c>
    </row>
    <row r="3771">
      <c r="A3771" t="n">
        <v>1.4329</v>
      </c>
      <c r="B3771" t="n">
        <v>1.6845</v>
      </c>
      <c r="C3771" t="n">
        <v>1.4624</v>
      </c>
    </row>
    <row r="3772">
      <c r="A3772" t="n">
        <v>1.6522</v>
      </c>
      <c r="B3772" t="n">
        <v>1.6961</v>
      </c>
      <c r="C3772" t="n">
        <v>1.6117</v>
      </c>
    </row>
    <row r="3773">
      <c r="A3773" t="n">
        <v>1.6607</v>
      </c>
      <c r="B3773" t="n">
        <v>1.4994</v>
      </c>
      <c r="C3773" t="n">
        <v>1.5444</v>
      </c>
    </row>
    <row r="3774">
      <c r="A3774" t="n">
        <v>1.5324</v>
      </c>
      <c r="B3774" t="n">
        <v>1.4446</v>
      </c>
      <c r="C3774" t="n">
        <v>1.6551</v>
      </c>
    </row>
    <row r="3775">
      <c r="A3775" t="n">
        <v>1.4664</v>
      </c>
      <c r="B3775" t="n">
        <v>1.4583</v>
      </c>
      <c r="C3775" t="n">
        <v>1.5067</v>
      </c>
    </row>
    <row r="3776">
      <c r="A3776" t="n">
        <v>1.4232</v>
      </c>
      <c r="B3776" t="n">
        <v>1.6413</v>
      </c>
      <c r="C3776" t="n">
        <v>1.4339</v>
      </c>
    </row>
    <row r="3777">
      <c r="A3777" t="n">
        <v>1.6846</v>
      </c>
      <c r="B3777" t="n">
        <v>1.7351</v>
      </c>
      <c r="C3777" t="n">
        <v>1.4017</v>
      </c>
    </row>
    <row r="3778">
      <c r="A3778" t="n">
        <v>2.0341</v>
      </c>
      <c r="B3778" t="n">
        <v>2.039</v>
      </c>
      <c r="C3778" t="n">
        <v>1.434</v>
      </c>
    </row>
    <row r="3779">
      <c r="A3779" t="n">
        <v>1.6993</v>
      </c>
      <c r="B3779" t="n">
        <v>1.5468</v>
      </c>
      <c r="C3779" t="n">
        <v>1.4269</v>
      </c>
    </row>
    <row r="3780">
      <c r="A3780" t="n">
        <v>1.5253</v>
      </c>
      <c r="B3780" t="n">
        <v>1.681</v>
      </c>
      <c r="C3780" t="n">
        <v>1.4266</v>
      </c>
    </row>
    <row r="3781">
      <c r="A3781" t="n">
        <v>1.6513</v>
      </c>
      <c r="B3781" t="n">
        <v>1.5188</v>
      </c>
      <c r="C3781" t="n">
        <v>1.5377</v>
      </c>
    </row>
    <row r="3782">
      <c r="A3782" t="n">
        <v>1.4592</v>
      </c>
      <c r="B3782" t="n">
        <v>1.4759</v>
      </c>
      <c r="C3782" t="n">
        <v>1.6532</v>
      </c>
    </row>
    <row r="3783">
      <c r="A3783" t="n">
        <v>1.4371</v>
      </c>
      <c r="B3783" t="n">
        <v>1.6907</v>
      </c>
      <c r="C3783" t="n">
        <v>1.4816</v>
      </c>
    </row>
    <row r="3784">
      <c r="A3784" t="n">
        <v>1.3984</v>
      </c>
      <c r="B3784" t="n">
        <v>1.7629</v>
      </c>
      <c r="C3784" t="n">
        <v>1.468</v>
      </c>
    </row>
    <row r="3785">
      <c r="A3785" t="n">
        <v>1.4212</v>
      </c>
      <c r="B3785" t="n">
        <v>1.5347</v>
      </c>
      <c r="C3785" t="n">
        <v>1.6175</v>
      </c>
    </row>
    <row r="3786">
      <c r="A3786" t="n">
        <v>1.4336</v>
      </c>
      <c r="B3786" t="n">
        <v>1.4837</v>
      </c>
      <c r="C3786" t="n">
        <v>1.5426</v>
      </c>
    </row>
    <row r="3787">
      <c r="A3787" t="n">
        <v>1.3936</v>
      </c>
      <c r="B3787" t="n">
        <v>1.4266</v>
      </c>
      <c r="C3787" t="n">
        <v>1.6499</v>
      </c>
    </row>
    <row r="3788">
      <c r="A3788" t="n">
        <v>1.4674</v>
      </c>
      <c r="B3788" t="n">
        <v>1.6171</v>
      </c>
      <c r="C3788" t="n">
        <v>1.4759</v>
      </c>
    </row>
    <row r="3789">
      <c r="A3789" t="n">
        <v>1.6092</v>
      </c>
      <c r="B3789" t="n">
        <v>1.7477</v>
      </c>
      <c r="C3789" t="n">
        <v>1.467</v>
      </c>
    </row>
    <row r="3790">
      <c r="A3790" t="n">
        <v>1.5165</v>
      </c>
      <c r="B3790" t="n">
        <v>1.4867</v>
      </c>
      <c r="C3790" t="n">
        <v>1.4041</v>
      </c>
    </row>
    <row r="3791">
      <c r="A3791" t="n">
        <v>1.3967</v>
      </c>
      <c r="B3791" t="n">
        <v>1.4474</v>
      </c>
      <c r="C3791" t="n">
        <v>1.407</v>
      </c>
    </row>
    <row r="3792">
      <c r="A3792" t="n">
        <v>1.4556</v>
      </c>
      <c r="B3792" t="n">
        <v>1.4584</v>
      </c>
      <c r="C3792" t="n">
        <v>1.454</v>
      </c>
    </row>
    <row r="3793">
      <c r="A3793" t="n">
        <v>1.4359</v>
      </c>
      <c r="B3793" t="n">
        <v>1.6248</v>
      </c>
      <c r="C3793" t="n">
        <v>1.6582</v>
      </c>
    </row>
    <row r="3794">
      <c r="A3794" t="n">
        <v>1.4025</v>
      </c>
      <c r="B3794" t="n">
        <v>1.7755</v>
      </c>
      <c r="C3794" t="n">
        <v>2.0345</v>
      </c>
    </row>
    <row r="3795">
      <c r="A3795" t="n">
        <v>1.6095</v>
      </c>
      <c r="B3795" t="n">
        <v>1.5084</v>
      </c>
      <c r="C3795" t="n">
        <v>1.6526</v>
      </c>
    </row>
    <row r="3796">
      <c r="A3796" t="n">
        <v>1.753</v>
      </c>
      <c r="B3796" t="n">
        <v>1.4492</v>
      </c>
      <c r="C3796" t="n">
        <v>1.799</v>
      </c>
    </row>
    <row r="3797">
      <c r="A3797" t="n">
        <v>1.4734</v>
      </c>
      <c r="B3797" t="n">
        <v>1.4596</v>
      </c>
      <c r="C3797" t="n">
        <v>1.5032</v>
      </c>
    </row>
    <row r="3798">
      <c r="A3798" t="n">
        <v>1.4372</v>
      </c>
      <c r="B3798" t="n">
        <v>1.6428</v>
      </c>
      <c r="C3798" t="n">
        <v>1.4771</v>
      </c>
    </row>
    <row r="3799">
      <c r="A3799" t="n">
        <v>1.4531</v>
      </c>
      <c r="B3799" t="n">
        <v>1.7737</v>
      </c>
      <c r="C3799" t="n">
        <v>1.4738</v>
      </c>
    </row>
    <row r="3800">
      <c r="A3800" t="n">
        <v>1.4162</v>
      </c>
      <c r="B3800" t="n">
        <v>1.528</v>
      </c>
      <c r="C3800" t="n">
        <v>1.6323</v>
      </c>
    </row>
    <row r="3801">
      <c r="A3801" t="n">
        <v>1.4527</v>
      </c>
      <c r="B3801" t="n">
        <v>1.4544</v>
      </c>
      <c r="C3801" t="n">
        <v>1.7507</v>
      </c>
    </row>
    <row r="3802">
      <c r="A3802" t="n">
        <v>1.6121</v>
      </c>
      <c r="B3802" t="n">
        <v>1.44</v>
      </c>
      <c r="C3802" t="n">
        <v>1.5105</v>
      </c>
    </row>
    <row r="3803">
      <c r="A3803" t="n">
        <v>1.483</v>
      </c>
      <c r="B3803" t="n">
        <v>1.6332</v>
      </c>
      <c r="C3803" t="n">
        <v>1.4245</v>
      </c>
    </row>
    <row r="3804">
      <c r="A3804" t="n">
        <v>1.6858</v>
      </c>
      <c r="B3804" t="n">
        <v>1.7606</v>
      </c>
      <c r="C3804" t="n">
        <v>1.4801</v>
      </c>
    </row>
    <row r="3805">
      <c r="A3805" t="n">
        <v>1.7692</v>
      </c>
      <c r="B3805" t="n">
        <v>1.4956</v>
      </c>
      <c r="C3805" t="n">
        <v>1.6322</v>
      </c>
    </row>
    <row r="3806">
      <c r="A3806" t="n">
        <v>1.494</v>
      </c>
      <c r="B3806" t="n">
        <v>1.4463</v>
      </c>
      <c r="C3806" t="n">
        <v>1.759</v>
      </c>
    </row>
    <row r="3807">
      <c r="A3807" t="n">
        <v>1.6578</v>
      </c>
      <c r="B3807" t="n">
        <v>1.4692</v>
      </c>
      <c r="C3807" t="n">
        <v>1.4787</v>
      </c>
    </row>
    <row r="3808">
      <c r="A3808" t="n">
        <v>1.4901</v>
      </c>
      <c r="B3808" t="n">
        <v>1.6937</v>
      </c>
      <c r="C3808" t="n">
        <v>1.4418</v>
      </c>
    </row>
    <row r="3809">
      <c r="A3809" t="n">
        <v>1.4306</v>
      </c>
      <c r="B3809" t="n">
        <v>1.7124</v>
      </c>
      <c r="C3809" t="n">
        <v>1.4575</v>
      </c>
    </row>
    <row r="3810">
      <c r="A3810" t="n">
        <v>1.7384</v>
      </c>
      <c r="B3810" t="n">
        <v>2.017</v>
      </c>
      <c r="C3810" t="n">
        <v>1.6115</v>
      </c>
    </row>
    <row r="3811">
      <c r="A3811" t="n">
        <v>1.4633</v>
      </c>
      <c r="B3811" t="n">
        <v>1.5419</v>
      </c>
      <c r="C3811" t="n">
        <v>1.5387</v>
      </c>
    </row>
    <row r="3812">
      <c r="A3812" t="n">
        <v>1.5818</v>
      </c>
      <c r="B3812" t="n">
        <v>1.672</v>
      </c>
      <c r="C3812" t="n">
        <v>1.6181</v>
      </c>
    </row>
    <row r="3813">
      <c r="A3813" t="n">
        <v>1.5095</v>
      </c>
      <c r="B3813" t="n">
        <v>1.5003</v>
      </c>
      <c r="C3813" t="n">
        <v>1.5002</v>
      </c>
    </row>
    <row r="3814">
      <c r="A3814" t="n">
        <v>1.6638</v>
      </c>
      <c r="B3814" t="n">
        <v>1.4506</v>
      </c>
      <c r="C3814" t="n">
        <v>1.4698</v>
      </c>
    </row>
    <row r="3815">
      <c r="A3815" t="n">
        <v>1.6703</v>
      </c>
      <c r="B3815" t="n">
        <v>1.448</v>
      </c>
      <c r="C3815" t="n">
        <v>1.4249</v>
      </c>
    </row>
    <row r="3816">
      <c r="A3816" t="n">
        <v>1.5074</v>
      </c>
      <c r="B3816" t="n">
        <v>1.4824</v>
      </c>
      <c r="C3816" t="n">
        <v>1.4587</v>
      </c>
    </row>
    <row r="3817">
      <c r="A3817" t="n">
        <v>1.6439</v>
      </c>
      <c r="B3817" t="n">
        <v>1.4314</v>
      </c>
      <c r="C3817" t="n">
        <v>1.6468</v>
      </c>
    </row>
    <row r="3818">
      <c r="A3818" t="n">
        <v>1.4734</v>
      </c>
      <c r="B3818" t="n">
        <v>1.4704</v>
      </c>
      <c r="C3818" t="n">
        <v>1.4921</v>
      </c>
    </row>
    <row r="3819">
      <c r="A3819" t="n">
        <v>1.4325</v>
      </c>
      <c r="B3819" t="n">
        <v>1.6377</v>
      </c>
      <c r="C3819" t="n">
        <v>1.6874</v>
      </c>
    </row>
    <row r="3820">
      <c r="A3820" t="n">
        <v>1.3996</v>
      </c>
      <c r="B3820" t="n">
        <v>1.4764</v>
      </c>
      <c r="C3820" t="n">
        <v>1.7454</v>
      </c>
    </row>
    <row r="3821">
      <c r="A3821" t="n">
        <v>1.4378</v>
      </c>
      <c r="B3821" t="n">
        <v>1.4622</v>
      </c>
      <c r="C3821" t="n">
        <v>1.524</v>
      </c>
    </row>
    <row r="3822">
      <c r="A3822" t="n">
        <v>1.4224</v>
      </c>
      <c r="B3822" t="n">
        <v>1.4391</v>
      </c>
      <c r="C3822" t="n">
        <v>1.6403</v>
      </c>
    </row>
    <row r="3823">
      <c r="A3823" t="n">
        <v>1.6296</v>
      </c>
      <c r="B3823" t="n">
        <v>1.4028</v>
      </c>
      <c r="C3823" t="n">
        <v>1.4968</v>
      </c>
    </row>
    <row r="3824">
      <c r="A3824" t="n">
        <v>1.6451</v>
      </c>
      <c r="B3824" t="n">
        <v>1.4615</v>
      </c>
      <c r="C3824" t="n">
        <v>1.4245</v>
      </c>
    </row>
    <row r="3825">
      <c r="A3825" t="n">
        <v>1.4808</v>
      </c>
      <c r="B3825" t="n">
        <v>1.6528</v>
      </c>
      <c r="C3825" t="n">
        <v>1.409</v>
      </c>
    </row>
    <row r="3826">
      <c r="A3826" t="n">
        <v>1.4391</v>
      </c>
      <c r="B3826" t="n">
        <v>1.5203</v>
      </c>
      <c r="C3826" t="n">
        <v>1.792</v>
      </c>
    </row>
    <row r="3827">
      <c r="A3827" t="n">
        <v>1.4411</v>
      </c>
      <c r="B3827" t="n">
        <v>1.7554</v>
      </c>
      <c r="C3827" t="n">
        <v>1.4217</v>
      </c>
    </row>
    <row r="3828">
      <c r="A3828" t="n">
        <v>1.4225</v>
      </c>
      <c r="B3828" t="n">
        <v>1.7044</v>
      </c>
      <c r="C3828" t="n">
        <v>1.4765</v>
      </c>
    </row>
    <row r="3829">
      <c r="A3829" t="n">
        <v>1.4571</v>
      </c>
      <c r="B3829" t="n">
        <v>1.8881</v>
      </c>
      <c r="C3829" t="n">
        <v>1.7125</v>
      </c>
    </row>
    <row r="3830">
      <c r="A3830" t="n">
        <v>1.591</v>
      </c>
      <c r="B3830" t="n">
        <v>1.5061</v>
      </c>
      <c r="C3830" t="n">
        <v>1.6786</v>
      </c>
    </row>
    <row r="3831">
      <c r="A3831" t="n">
        <v>1.5035</v>
      </c>
      <c r="B3831" t="n">
        <v>1.4579</v>
      </c>
      <c r="C3831" t="n">
        <v>1.5464</v>
      </c>
    </row>
    <row r="3832">
      <c r="A3832" t="n">
        <v>1.6725</v>
      </c>
      <c r="B3832" t="n">
        <v>1.4292</v>
      </c>
      <c r="C3832" t="n">
        <v>1.622</v>
      </c>
    </row>
    <row r="3833">
      <c r="A3833" t="n">
        <v>1.7279</v>
      </c>
      <c r="B3833" t="n">
        <v>1.6726</v>
      </c>
      <c r="C3833" t="n">
        <v>1.5544</v>
      </c>
    </row>
    <row r="3834">
      <c r="A3834" t="n">
        <v>1.5095</v>
      </c>
      <c r="B3834" t="n">
        <v>1.7196</v>
      </c>
      <c r="C3834" t="n">
        <v>1.4632</v>
      </c>
    </row>
    <row r="3835">
      <c r="A3835" t="n">
        <v>1.5961</v>
      </c>
      <c r="B3835" t="n">
        <v>1.464</v>
      </c>
      <c r="C3835" t="n">
        <v>1.4236</v>
      </c>
    </row>
    <row r="3836">
      <c r="A3836" t="n">
        <v>1.4997</v>
      </c>
      <c r="B3836" t="n">
        <v>1.4301</v>
      </c>
      <c r="C3836" t="n">
        <v>1.4252</v>
      </c>
    </row>
    <row r="3837">
      <c r="A3837" t="n">
        <v>1.4248</v>
      </c>
      <c r="B3837" t="n">
        <v>1.4853</v>
      </c>
      <c r="C3837" t="n">
        <v>1.4215</v>
      </c>
    </row>
    <row r="3838">
      <c r="A3838" t="n">
        <v>1.4196</v>
      </c>
      <c r="B3838" t="n">
        <v>1.6721</v>
      </c>
      <c r="C3838" t="n">
        <v>1.7435</v>
      </c>
    </row>
    <row r="3839">
      <c r="A3839" t="n">
        <v>1.415</v>
      </c>
      <c r="B3839" t="n">
        <v>1.6915</v>
      </c>
      <c r="C3839" t="n">
        <v>1.6698</v>
      </c>
    </row>
    <row r="3840">
      <c r="A3840" t="n">
        <v>1.4201</v>
      </c>
      <c r="B3840" t="n">
        <v>1.4855</v>
      </c>
      <c r="C3840" t="n">
        <v>1.4963</v>
      </c>
    </row>
    <row r="3841">
      <c r="A3841" t="n">
        <v>1.6041</v>
      </c>
      <c r="B3841" t="n">
        <v>1.419</v>
      </c>
      <c r="C3841" t="n">
        <v>1.4906</v>
      </c>
    </row>
    <row r="3842">
      <c r="A3842" t="n">
        <v>2.0281</v>
      </c>
      <c r="B3842" t="n">
        <v>1.7712</v>
      </c>
      <c r="C3842" t="n">
        <v>1.4241</v>
      </c>
    </row>
    <row r="3843">
      <c r="A3843" t="n">
        <v>1.786</v>
      </c>
      <c r="B3843" t="n">
        <v>1.4383</v>
      </c>
      <c r="C3843" t="n">
        <v>1.6598</v>
      </c>
    </row>
    <row r="3844">
      <c r="A3844" t="n">
        <v>1.5509</v>
      </c>
      <c r="B3844" t="n">
        <v>1.752</v>
      </c>
      <c r="C3844" t="n">
        <v>1.7524</v>
      </c>
    </row>
    <row r="3845">
      <c r="A3845" t="n">
        <v>1.6775</v>
      </c>
      <c r="B3845" t="n">
        <v>1.4829</v>
      </c>
      <c r="C3845" t="n">
        <v>1.4677</v>
      </c>
    </row>
    <row r="3846">
      <c r="A3846" t="n">
        <v>1.4934</v>
      </c>
      <c r="B3846" t="n">
        <v>1.4443</v>
      </c>
      <c r="C3846" t="n">
        <v>1.4332</v>
      </c>
    </row>
    <row r="3847">
      <c r="A3847" t="n">
        <v>1.4397</v>
      </c>
      <c r="B3847" t="n">
        <v>1.4473</v>
      </c>
      <c r="C3847" t="n">
        <v>1.4366</v>
      </c>
    </row>
    <row r="3848">
      <c r="A3848" t="n">
        <v>1.6749</v>
      </c>
      <c r="B3848" t="n">
        <v>1.61</v>
      </c>
      <c r="C3848" t="n">
        <v>1.5912</v>
      </c>
    </row>
    <row r="3849">
      <c r="A3849" t="n">
        <v>1.5291</v>
      </c>
      <c r="B3849" t="n">
        <v>1.5471</v>
      </c>
      <c r="C3849" t="n">
        <v>1.819</v>
      </c>
    </row>
    <row r="3850">
      <c r="A3850" t="n">
        <v>1.6468</v>
      </c>
      <c r="B3850" t="n">
        <v>1.6509</v>
      </c>
      <c r="C3850" t="n">
        <v>1.5023</v>
      </c>
    </row>
    <row r="3851">
      <c r="A3851" t="n">
        <v>1.4738</v>
      </c>
      <c r="B3851" t="n">
        <v>1.5106</v>
      </c>
      <c r="C3851" t="n">
        <v>1.4617</v>
      </c>
    </row>
    <row r="3852">
      <c r="A3852" t="n">
        <v>1.4438</v>
      </c>
      <c r="B3852" t="n">
        <v>1.4779</v>
      </c>
      <c r="C3852" t="n">
        <v>1.4705</v>
      </c>
    </row>
    <row r="3853">
      <c r="A3853" t="n">
        <v>1.4008</v>
      </c>
      <c r="B3853" t="n">
        <v>1.6209</v>
      </c>
      <c r="C3853" t="n">
        <v>1.6281</v>
      </c>
    </row>
    <row r="3854">
      <c r="A3854" t="n">
        <v>1.414</v>
      </c>
      <c r="B3854" t="n">
        <v>1.5087</v>
      </c>
      <c r="C3854" t="n">
        <v>1.6902</v>
      </c>
    </row>
    <row r="3855">
      <c r="A3855" t="n">
        <v>1.427</v>
      </c>
      <c r="B3855" t="n">
        <v>1.636</v>
      </c>
      <c r="C3855" t="n">
        <v>1.4986</v>
      </c>
    </row>
    <row r="3856">
      <c r="A3856" t="n">
        <v>1.6655</v>
      </c>
      <c r="B3856" t="n">
        <v>1.4994</v>
      </c>
      <c r="C3856" t="n">
        <v>1.453</v>
      </c>
    </row>
    <row r="3857">
      <c r="A3857" t="n">
        <v>1.686</v>
      </c>
      <c r="B3857" t="n">
        <v>1.4639</v>
      </c>
      <c r="C3857" t="n">
        <v>1.4339</v>
      </c>
    </row>
    <row r="3858">
      <c r="A3858" t="n">
        <v>1.4746</v>
      </c>
      <c r="B3858" t="n">
        <v>1.3962</v>
      </c>
      <c r="C3858" t="n">
        <v>1.9713</v>
      </c>
    </row>
    <row r="3859">
      <c r="A3859" t="n">
        <v>1.4345</v>
      </c>
      <c r="B3859" t="n">
        <v>1.4041</v>
      </c>
      <c r="C3859" t="n">
        <v>1.6942</v>
      </c>
    </row>
    <row r="3860">
      <c r="A3860" t="n">
        <v>1.4182</v>
      </c>
      <c r="B3860" t="n">
        <v>1.4225</v>
      </c>
      <c r="C3860" t="n">
        <v>1.7918</v>
      </c>
    </row>
    <row r="3861">
      <c r="A3861" t="n">
        <v>1.6047</v>
      </c>
      <c r="B3861" t="n">
        <v>1.6723</v>
      </c>
      <c r="C3861" t="n">
        <v>1.5329</v>
      </c>
    </row>
    <row r="3862">
      <c r="A3862" t="n">
        <v>1.5119</v>
      </c>
      <c r="B3862" t="n">
        <v>1.6942</v>
      </c>
      <c r="C3862" t="n">
        <v>1.6591</v>
      </c>
    </row>
    <row r="3863">
      <c r="A3863" t="n">
        <v>1.605</v>
      </c>
      <c r="B3863" t="n">
        <v>1.4894</v>
      </c>
      <c r="C3863" t="n">
        <v>1.4653</v>
      </c>
    </row>
    <row r="3864">
      <c r="A3864" t="n">
        <v>1.5094</v>
      </c>
      <c r="B3864" t="n">
        <v>1.4426</v>
      </c>
      <c r="C3864" t="n">
        <v>1.4223</v>
      </c>
    </row>
    <row r="3865">
      <c r="A3865" t="n">
        <v>1.4444</v>
      </c>
      <c r="B3865" t="n">
        <v>1.4277</v>
      </c>
      <c r="C3865" t="n">
        <v>1.3866</v>
      </c>
    </row>
    <row r="3866">
      <c r="A3866" t="n">
        <v>1.3664</v>
      </c>
      <c r="B3866" t="n">
        <v>1.6275</v>
      </c>
      <c r="C3866" t="n">
        <v>1.419</v>
      </c>
    </row>
    <row r="3867">
      <c r="A3867" t="n">
        <v>1.4318</v>
      </c>
      <c r="B3867" t="n">
        <v>1.8237</v>
      </c>
      <c r="C3867" t="n">
        <v>1.453</v>
      </c>
    </row>
    <row r="3868">
      <c r="A3868" t="n">
        <v>1.4264</v>
      </c>
      <c r="B3868" t="n">
        <v>1.4731</v>
      </c>
      <c r="C3868" t="n">
        <v>1.4266</v>
      </c>
    </row>
    <row r="3869">
      <c r="A3869" t="n">
        <v>1.6784</v>
      </c>
      <c r="B3869" t="n">
        <v>1.489</v>
      </c>
      <c r="C3869" t="n">
        <v>1.4816</v>
      </c>
    </row>
    <row r="3870">
      <c r="A3870" t="n">
        <v>1.654</v>
      </c>
      <c r="B3870" t="n">
        <v>1.4621</v>
      </c>
      <c r="C3870" t="n">
        <v>1.6242</v>
      </c>
    </row>
    <row r="3871">
      <c r="A3871" t="n">
        <v>1.4855</v>
      </c>
      <c r="B3871" t="n">
        <v>1.6069</v>
      </c>
      <c r="C3871" t="n">
        <v>1.5178</v>
      </c>
    </row>
    <row r="3872">
      <c r="A3872" t="n">
        <v>1.4147</v>
      </c>
      <c r="B3872" t="n">
        <v>1.7006</v>
      </c>
      <c r="C3872" t="n">
        <v>1.4041</v>
      </c>
    </row>
    <row r="3873">
      <c r="A3873" t="n">
        <v>1.4297</v>
      </c>
      <c r="B3873" t="n">
        <v>1.5042</v>
      </c>
      <c r="C3873" t="n">
        <v>1.4308</v>
      </c>
    </row>
    <row r="3874">
      <c r="A3874" t="n">
        <v>1.9661</v>
      </c>
      <c r="B3874" t="n">
        <v>1.7678</v>
      </c>
      <c r="C3874" t="n">
        <v>1.4359</v>
      </c>
    </row>
    <row r="3875">
      <c r="A3875" t="n">
        <v>1.6649</v>
      </c>
      <c r="B3875" t="n">
        <v>1.6698</v>
      </c>
      <c r="C3875" t="n">
        <v>1.4174</v>
      </c>
    </row>
    <row r="3876">
      <c r="A3876" t="n">
        <v>1.4841</v>
      </c>
      <c r="B3876" t="n">
        <v>1.5471</v>
      </c>
      <c r="C3876" t="n">
        <v>1.6682</v>
      </c>
    </row>
    <row r="3877">
      <c r="A3877" t="n">
        <v>1.4809</v>
      </c>
      <c r="B3877" t="n">
        <v>1.6652</v>
      </c>
      <c r="C3877" t="n">
        <v>1.7298</v>
      </c>
    </row>
    <row r="3878">
      <c r="A3878" t="n">
        <v>1.4153</v>
      </c>
      <c r="B3878" t="n">
        <v>1.7156</v>
      </c>
      <c r="C3878" t="n">
        <v>1.491</v>
      </c>
    </row>
    <row r="3879">
      <c r="A3879" t="n">
        <v>1.6769</v>
      </c>
      <c r="B3879" t="n">
        <v>1.5744</v>
      </c>
      <c r="C3879" t="n">
        <v>1.4743</v>
      </c>
    </row>
    <row r="3880">
      <c r="A3880" t="n">
        <v>1.6473</v>
      </c>
      <c r="B3880" t="n">
        <v>1.6423</v>
      </c>
      <c r="C3880" t="n">
        <v>1.4392</v>
      </c>
    </row>
    <row r="3881">
      <c r="A3881" t="n">
        <v>1.4744</v>
      </c>
      <c r="B3881" t="n">
        <v>1.4924</v>
      </c>
      <c r="C3881" t="n">
        <v>1.6078</v>
      </c>
    </row>
    <row r="3882">
      <c r="A3882" t="n">
        <v>1.4621</v>
      </c>
      <c r="B3882" t="n">
        <v>1.4482</v>
      </c>
      <c r="C3882" t="n">
        <v>1.7808</v>
      </c>
    </row>
    <row r="3883">
      <c r="A3883" t="n">
        <v>1.4279</v>
      </c>
      <c r="B3883" t="n">
        <v>1.6147</v>
      </c>
      <c r="C3883" t="n">
        <v>1.5281</v>
      </c>
    </row>
    <row r="3884">
      <c r="A3884" t="n">
        <v>1.6014</v>
      </c>
      <c r="B3884" t="n">
        <v>1.5605</v>
      </c>
      <c r="C3884" t="n">
        <v>1.4435</v>
      </c>
    </row>
    <row r="3885">
      <c r="A3885" t="n">
        <v>1.5207</v>
      </c>
      <c r="B3885" t="n">
        <v>1.6576</v>
      </c>
      <c r="C3885" t="n">
        <v>1.4314</v>
      </c>
    </row>
    <row r="3886">
      <c r="A3886" t="n">
        <v>1.6403</v>
      </c>
      <c r="B3886" t="n">
        <v>1.4721</v>
      </c>
      <c r="C3886" t="n">
        <v>1.6733</v>
      </c>
    </row>
    <row r="3887">
      <c r="A3887" t="n">
        <v>1.4706</v>
      </c>
      <c r="B3887" t="n">
        <v>1.4623</v>
      </c>
      <c r="C3887" t="n">
        <v>1.6782</v>
      </c>
    </row>
    <row r="3888">
      <c r="A3888" t="n">
        <v>1.4367</v>
      </c>
      <c r="B3888" t="n">
        <v>1.4199</v>
      </c>
      <c r="C3888" t="n">
        <v>1.5053</v>
      </c>
    </row>
    <row r="3889">
      <c r="A3889" t="n">
        <v>1.3865</v>
      </c>
      <c r="B3889" t="n">
        <v>1.4217</v>
      </c>
      <c r="C3889" t="n">
        <v>1.4434</v>
      </c>
    </row>
    <row r="3890">
      <c r="A3890" t="n">
        <v>1.4181</v>
      </c>
      <c r="B3890" t="n">
        <v>1.4509</v>
      </c>
      <c r="C3890" t="n">
        <v>1.7882</v>
      </c>
    </row>
    <row r="3891">
      <c r="A3891" t="n">
        <v>1.43</v>
      </c>
      <c r="B3891" t="n">
        <v>1.6846</v>
      </c>
      <c r="C3891" t="n">
        <v>1.4501</v>
      </c>
    </row>
    <row r="3892">
      <c r="A3892" t="n">
        <v>1.6128</v>
      </c>
      <c r="B3892" t="n">
        <v>1.7085</v>
      </c>
      <c r="C3892" t="n">
        <v>1.4765</v>
      </c>
    </row>
    <row r="3893">
      <c r="A3893" t="n">
        <v>1.6908</v>
      </c>
      <c r="B3893" t="n">
        <v>1.5619</v>
      </c>
      <c r="C3893" t="n">
        <v>1.4488</v>
      </c>
    </row>
    <row r="3894">
      <c r="A3894" t="n">
        <v>1.4959</v>
      </c>
      <c r="B3894" t="n">
        <v>1.4757</v>
      </c>
      <c r="C3894" t="n">
        <v>1.4944</v>
      </c>
    </row>
    <row r="3895">
      <c r="A3895" t="n">
        <v>1.4244</v>
      </c>
      <c r="B3895" t="n">
        <v>1.6499</v>
      </c>
      <c r="C3895" t="n">
        <v>1.4955</v>
      </c>
    </row>
    <row r="3896">
      <c r="A3896" t="n">
        <v>1.4148</v>
      </c>
      <c r="B3896" t="n">
        <v>1.5288</v>
      </c>
      <c r="C3896" t="n">
        <v>1.4618</v>
      </c>
    </row>
    <row r="3897">
      <c r="A3897" t="n">
        <v>1.3921</v>
      </c>
      <c r="B3897" t="n">
        <v>1.6859</v>
      </c>
      <c r="C3897" t="n">
        <v>1.5101</v>
      </c>
    </row>
    <row r="3898">
      <c r="A3898" t="n">
        <v>1.4397</v>
      </c>
      <c r="B3898" t="n">
        <v>1.7192</v>
      </c>
      <c r="C3898" t="n">
        <v>1.4552</v>
      </c>
    </row>
    <row r="3899">
      <c r="A3899" t="n">
        <v>1.6369</v>
      </c>
      <c r="B3899" t="n">
        <v>1.5515</v>
      </c>
      <c r="C3899" t="n">
        <v>1.434</v>
      </c>
    </row>
    <row r="3900">
      <c r="A3900" t="n">
        <v>1.5425</v>
      </c>
      <c r="B3900" t="n">
        <v>1.6714</v>
      </c>
      <c r="C3900" t="n">
        <v>1.4771</v>
      </c>
    </row>
    <row r="3901">
      <c r="A3901" t="n">
        <v>1.7808</v>
      </c>
      <c r="B3901" t="n">
        <v>1.4839</v>
      </c>
      <c r="C3901" t="n">
        <v>1.4622</v>
      </c>
    </row>
    <row r="3902">
      <c r="A3902" t="n">
        <v>1.7014</v>
      </c>
      <c r="B3902" t="n">
        <v>1.4679</v>
      </c>
      <c r="C3902" t="n">
        <v>1.4776</v>
      </c>
    </row>
    <row r="3903">
      <c r="A3903" t="n">
        <v>1.5167</v>
      </c>
      <c r="B3903" t="n">
        <v>1.4125</v>
      </c>
      <c r="C3903" t="n">
        <v>1.4903</v>
      </c>
    </row>
    <row r="3904">
      <c r="A3904" t="n">
        <v>1.6505</v>
      </c>
      <c r="B3904" t="n">
        <v>1.485</v>
      </c>
      <c r="C3904" t="n">
        <v>1.4692</v>
      </c>
    </row>
    <row r="3905">
      <c r="A3905" t="n">
        <v>1.4933</v>
      </c>
      <c r="B3905" t="n">
        <v>1.531</v>
      </c>
      <c r="C3905" t="n">
        <v>1.5032</v>
      </c>
    </row>
    <row r="3906">
      <c r="A3906" t="n">
        <v>1.7606</v>
      </c>
      <c r="B3906" t="n">
        <v>1.8983</v>
      </c>
      <c r="C3906" t="n">
        <v>1.4804</v>
      </c>
    </row>
    <row r="3907">
      <c r="A3907" t="n">
        <v>1.6901</v>
      </c>
      <c r="B3907" t="n">
        <v>1.5642</v>
      </c>
      <c r="C3907" t="n">
        <v>1.4984</v>
      </c>
    </row>
    <row r="3908">
      <c r="A3908" t="n">
        <v>1.7305</v>
      </c>
      <c r="B3908" t="n">
        <v>1.5</v>
      </c>
      <c r="C3908" t="n">
        <v>1.4887</v>
      </c>
    </row>
    <row r="3909">
      <c r="A3909" t="n">
        <v>1.5197</v>
      </c>
      <c r="B3909" t="n">
        <v>1.5516</v>
      </c>
      <c r="C3909" t="n">
        <v>1.4537</v>
      </c>
    </row>
    <row r="3910">
      <c r="A3910" t="n">
        <v>1.4535</v>
      </c>
      <c r="B3910" t="n">
        <v>1.4737</v>
      </c>
      <c r="C3910" t="n">
        <v>1.481</v>
      </c>
    </row>
    <row r="3911">
      <c r="A3911" t="n">
        <v>1.4134</v>
      </c>
      <c r="B3911" t="n">
        <v>1.5523</v>
      </c>
      <c r="C3911" t="n">
        <v>1.4423</v>
      </c>
    </row>
    <row r="3912">
      <c r="A3912" t="n">
        <v>1.6944</v>
      </c>
      <c r="B3912" t="n">
        <v>1.7712</v>
      </c>
      <c r="C3912" t="n">
        <v>1.4364</v>
      </c>
    </row>
    <row r="3913">
      <c r="A3913" t="n">
        <v>1.7022</v>
      </c>
      <c r="B3913" t="n">
        <v>1.6969</v>
      </c>
      <c r="C3913" t="n">
        <v>1.5315</v>
      </c>
    </row>
    <row r="3914">
      <c r="A3914" t="n">
        <v>1.4724</v>
      </c>
      <c r="B3914" t="n">
        <v>1.8924</v>
      </c>
      <c r="C3914" t="n">
        <v>1.4669</v>
      </c>
    </row>
    <row r="3915">
      <c r="A3915" t="n">
        <v>1.6589</v>
      </c>
      <c r="B3915" t="n">
        <v>1.4972</v>
      </c>
      <c r="C3915" t="n">
        <v>1.5098</v>
      </c>
    </row>
    <row r="3916">
      <c r="A3916" t="n">
        <v>1.6607</v>
      </c>
      <c r="B3916" t="n">
        <v>1.4401</v>
      </c>
      <c r="C3916" t="n">
        <v>1.5005</v>
      </c>
    </row>
    <row r="3917">
      <c r="A3917" t="n">
        <v>1.4693</v>
      </c>
      <c r="B3917" t="n">
        <v>1.4425</v>
      </c>
      <c r="C3917" t="n">
        <v>1.4424</v>
      </c>
    </row>
    <row r="3918">
      <c r="A3918" t="n">
        <v>1.697</v>
      </c>
      <c r="B3918" t="n">
        <v>1.6472</v>
      </c>
      <c r="C3918" t="n">
        <v>1.4841</v>
      </c>
    </row>
    <row r="3919">
      <c r="A3919" t="n">
        <v>1.7939</v>
      </c>
      <c r="B3919" t="n">
        <v>1.6818</v>
      </c>
      <c r="C3919" t="n">
        <v>1.4868</v>
      </c>
    </row>
    <row r="3920">
      <c r="A3920" t="n">
        <v>1.4928</v>
      </c>
      <c r="B3920" t="n">
        <v>1.4855</v>
      </c>
      <c r="C3920" t="n">
        <v>1.4442</v>
      </c>
    </row>
    <row r="3921">
      <c r="A3921" t="n">
        <v>1.6396</v>
      </c>
      <c r="B3921" t="n">
        <v>1.4438</v>
      </c>
      <c r="C3921" t="n">
        <v>1.7708</v>
      </c>
    </row>
    <row r="3922">
      <c r="A3922" t="n">
        <v>1.4961</v>
      </c>
      <c r="B3922" t="n">
        <v>1.4198</v>
      </c>
      <c r="C3922" t="n">
        <v>2.4127</v>
      </c>
    </row>
    <row r="3923">
      <c r="A3923" t="n">
        <v>1.4109</v>
      </c>
      <c r="B3923" t="n">
        <v>1.6579</v>
      </c>
      <c r="C3923" t="n">
        <v>1.9322</v>
      </c>
    </row>
    <row r="3924">
      <c r="A3924" t="n">
        <v>1.3898</v>
      </c>
      <c r="B3924" t="n">
        <v>1.7882</v>
      </c>
      <c r="C3924" t="n">
        <v>1.9187</v>
      </c>
    </row>
    <row r="3925">
      <c r="A3925" t="n">
        <v>1.4184</v>
      </c>
      <c r="B3925" t="n">
        <v>1.4832</v>
      </c>
      <c r="C3925" t="n">
        <v>2.0466</v>
      </c>
    </row>
    <row r="3926">
      <c r="A3926" t="n">
        <v>1.4421</v>
      </c>
      <c r="B3926" t="n">
        <v>1.4437</v>
      </c>
      <c r="C3926" t="n">
        <v>1.8372</v>
      </c>
    </row>
    <row r="3927">
      <c r="A3927" t="n">
        <v>1.6215</v>
      </c>
      <c r="B3927" t="n">
        <v>1.429</v>
      </c>
      <c r="C3927" t="n">
        <v>1.5979</v>
      </c>
    </row>
    <row r="3928">
      <c r="A3928" t="n">
        <v>1.6591</v>
      </c>
      <c r="B3928" t="n">
        <v>1.6139</v>
      </c>
      <c r="C3928" t="n">
        <v>1.4686</v>
      </c>
    </row>
    <row r="3929">
      <c r="A3929" t="n">
        <v>1.4583</v>
      </c>
      <c r="B3929" t="n">
        <v>1.5686</v>
      </c>
      <c r="C3929" t="n">
        <v>1.4635</v>
      </c>
    </row>
    <row r="3930">
      <c r="A3930" t="n">
        <v>1.4285</v>
      </c>
      <c r="B3930" t="n">
        <v>1.6547</v>
      </c>
      <c r="C3930" t="n">
        <v>1.4627</v>
      </c>
    </row>
    <row r="3931">
      <c r="A3931" t="n">
        <v>1.459</v>
      </c>
      <c r="B3931" t="n">
        <v>1.4917</v>
      </c>
      <c r="C3931" t="n">
        <v>1.5023</v>
      </c>
    </row>
    <row r="3932">
      <c r="A3932" t="n">
        <v>1.3837</v>
      </c>
      <c r="B3932" t="n">
        <v>1.4515</v>
      </c>
      <c r="C3932" t="n">
        <v>1.5128</v>
      </c>
    </row>
    <row r="3933">
      <c r="A3933" t="n">
        <v>1.4454</v>
      </c>
      <c r="B3933" t="n">
        <v>1.6633</v>
      </c>
      <c r="C3933" t="n">
        <v>1.5269</v>
      </c>
    </row>
    <row r="3934">
      <c r="A3934" t="n">
        <v>1.4418</v>
      </c>
      <c r="B3934" t="n">
        <v>1.5004</v>
      </c>
      <c r="C3934" t="n">
        <v>1.4965</v>
      </c>
    </row>
    <row r="3935">
      <c r="A3935" t="n">
        <v>1.4108</v>
      </c>
      <c r="B3935" t="n">
        <v>1.6451</v>
      </c>
      <c r="C3935" t="n">
        <v>1.7068</v>
      </c>
    </row>
    <row r="3936">
      <c r="A3936" t="n">
        <v>1.7519</v>
      </c>
      <c r="B3936" t="n">
        <v>1.5219</v>
      </c>
      <c r="C3936" t="n">
        <v>1.5178</v>
      </c>
    </row>
    <row r="3937">
      <c r="A3937" t="n">
        <v>1.4898</v>
      </c>
      <c r="B3937" t="n">
        <v>1.4422</v>
      </c>
      <c r="C3937" t="n">
        <v>1.4688</v>
      </c>
    </row>
    <row r="3938">
      <c r="A3938" t="n">
        <v>1.7371</v>
      </c>
      <c r="B3938" t="n">
        <v>1.7357</v>
      </c>
      <c r="C3938" t="n">
        <v>1.4339</v>
      </c>
    </row>
    <row r="3939">
      <c r="A3939" t="n">
        <v>1.7189</v>
      </c>
      <c r="B3939" t="n">
        <v>1.4776</v>
      </c>
      <c r="C3939" t="n">
        <v>1.6665</v>
      </c>
    </row>
    <row r="3940">
      <c r="A3940" t="n">
        <v>1.5123</v>
      </c>
      <c r="B3940" t="n">
        <v>1.5971</v>
      </c>
      <c r="C3940" t="n">
        <v>1.6993</v>
      </c>
    </row>
    <row r="3941">
      <c r="A3941" t="n">
        <v>1.6177</v>
      </c>
      <c r="B3941" t="n">
        <v>1.5113</v>
      </c>
      <c r="C3941" t="n">
        <v>1.48</v>
      </c>
    </row>
    <row r="3942">
      <c r="A3942" t="n">
        <v>1.7483</v>
      </c>
      <c r="B3942" t="n">
        <v>1.4653</v>
      </c>
      <c r="C3942" t="n">
        <v>1.4404</v>
      </c>
    </row>
    <row r="3943">
      <c r="A3943" t="n">
        <v>1.5189</v>
      </c>
      <c r="B3943" t="n">
        <v>1.3855</v>
      </c>
      <c r="C3943" t="n">
        <v>1.4184</v>
      </c>
    </row>
    <row r="3944">
      <c r="A3944" t="n">
        <v>1.6051</v>
      </c>
      <c r="B3944" t="n">
        <v>1.4471</v>
      </c>
      <c r="C3944" t="n">
        <v>1.6156</v>
      </c>
    </row>
    <row r="3945">
      <c r="A3945" t="n">
        <v>1.4953</v>
      </c>
      <c r="B3945" t="n">
        <v>1.4374</v>
      </c>
      <c r="C3945" t="n">
        <v>1.5422</v>
      </c>
    </row>
    <row r="3946">
      <c r="A3946" t="n">
        <v>1.417</v>
      </c>
      <c r="B3946" t="n">
        <v>1.6502</v>
      </c>
      <c r="C3946" t="n">
        <v>1.6777</v>
      </c>
    </row>
    <row r="3947">
      <c r="A3947" t="n">
        <v>1.3704</v>
      </c>
      <c r="B3947" t="n">
        <v>1.7486</v>
      </c>
      <c r="C3947" t="n">
        <v>1.4658</v>
      </c>
    </row>
    <row r="3948">
      <c r="A3948" t="n">
        <v>1.4344</v>
      </c>
      <c r="B3948" t="n">
        <v>1.5104</v>
      </c>
      <c r="C3948" t="n">
        <v>1.4626</v>
      </c>
    </row>
    <row r="3949">
      <c r="A3949" t="n">
        <v>1.4146</v>
      </c>
      <c r="B3949" t="n">
        <v>1.4226</v>
      </c>
      <c r="C3949" t="n">
        <v>1.6284</v>
      </c>
    </row>
    <row r="3950">
      <c r="A3950" t="n">
        <v>1.7337</v>
      </c>
      <c r="B3950" t="n">
        <v>1.4504</v>
      </c>
      <c r="C3950" t="n">
        <v>1.5428</v>
      </c>
    </row>
    <row r="3951">
      <c r="A3951" t="n">
        <v>1.7239</v>
      </c>
      <c r="B3951" t="n">
        <v>1.6667</v>
      </c>
      <c r="C3951" t="n">
        <v>1.636</v>
      </c>
    </row>
    <row r="3952">
      <c r="A3952" t="n">
        <v>1.4796</v>
      </c>
      <c r="B3952" t="n">
        <v>1.6497</v>
      </c>
      <c r="C3952" t="n">
        <v>1.5233</v>
      </c>
    </row>
    <row r="3953">
      <c r="A3953" t="n">
        <v>1.423</v>
      </c>
      <c r="B3953" t="n">
        <v>1.4912</v>
      </c>
      <c r="C3953" t="n">
        <v>1.4443</v>
      </c>
    </row>
    <row r="3954">
      <c r="A3954" t="n">
        <v>1.4532</v>
      </c>
      <c r="B3954" t="n">
        <v>1.4618</v>
      </c>
      <c r="C3954" t="n">
        <v>1.7491</v>
      </c>
    </row>
    <row r="3955">
      <c r="A3955" t="n">
        <v>1.6057</v>
      </c>
      <c r="B3955" t="n">
        <v>1.4392</v>
      </c>
      <c r="C3955" t="n">
        <v>1.4793</v>
      </c>
    </row>
    <row r="3956">
      <c r="A3956" t="n">
        <v>1.5346</v>
      </c>
      <c r="B3956" t="n">
        <v>1.6249</v>
      </c>
      <c r="C3956" t="n">
        <v>1.6077</v>
      </c>
    </row>
    <row r="3957">
      <c r="A3957" t="n">
        <v>1.6656</v>
      </c>
      <c r="B3957" t="n">
        <v>1.6095</v>
      </c>
      <c r="C3957" t="n">
        <v>1.5098</v>
      </c>
    </row>
    <row r="3958">
      <c r="A3958" t="n">
        <v>1.5012</v>
      </c>
      <c r="B3958" t="n">
        <v>1.4437</v>
      </c>
      <c r="C3958" t="n">
        <v>1.4801</v>
      </c>
    </row>
    <row r="3959">
      <c r="A3959" t="n">
        <v>1.43</v>
      </c>
      <c r="B3959" t="n">
        <v>1.4676</v>
      </c>
      <c r="C3959" t="n">
        <v>1.4157</v>
      </c>
    </row>
    <row r="3960">
      <c r="A3960" t="n">
        <v>1.6031</v>
      </c>
      <c r="B3960" t="n">
        <v>1.467</v>
      </c>
      <c r="C3960" t="n">
        <v>1.4296</v>
      </c>
    </row>
    <row r="3961">
      <c r="A3961" t="n">
        <v>1.5248</v>
      </c>
      <c r="B3961" t="n">
        <v>1.404</v>
      </c>
      <c r="C3961" t="n">
        <v>1.4257</v>
      </c>
    </row>
    <row r="3962">
      <c r="A3962" t="n">
        <v>1.6213</v>
      </c>
      <c r="B3962" t="n">
        <v>1.4796</v>
      </c>
      <c r="C3962" t="n">
        <v>1.4077</v>
      </c>
    </row>
    <row r="3963">
      <c r="A3963" t="n">
        <v>1.4676</v>
      </c>
      <c r="B3963" t="n">
        <v>1.4817</v>
      </c>
      <c r="C3963" t="n">
        <v>1.5084</v>
      </c>
    </row>
    <row r="3964">
      <c r="A3964" t="n">
        <v>1.4071</v>
      </c>
      <c r="B3964" t="n">
        <v>1.4416</v>
      </c>
      <c r="C3964" t="n">
        <v>1.6706</v>
      </c>
    </row>
    <row r="3965">
      <c r="A3965" t="n">
        <v>1.38</v>
      </c>
      <c r="B3965" t="n">
        <v>1.6317</v>
      </c>
      <c r="C3965" t="n">
        <v>1.4789</v>
      </c>
    </row>
    <row r="3966">
      <c r="A3966" t="n">
        <v>1.408</v>
      </c>
      <c r="B3966" t="n">
        <v>1.5045</v>
      </c>
      <c r="C3966" t="n">
        <v>1.4613</v>
      </c>
    </row>
    <row r="3967">
      <c r="A3967" t="n">
        <v>1.4051</v>
      </c>
      <c r="B3967" t="n">
        <v>1.4983</v>
      </c>
      <c r="C3967" t="n">
        <v>1.4117</v>
      </c>
    </row>
    <row r="3968">
      <c r="A3968" t="n">
        <v>1.6219</v>
      </c>
      <c r="B3968" t="n">
        <v>1.522</v>
      </c>
      <c r="C3968" t="n">
        <v>1.423</v>
      </c>
    </row>
    <row r="3969">
      <c r="A3969" t="n">
        <v>1.7397</v>
      </c>
      <c r="B3969" t="n">
        <v>1.4591</v>
      </c>
      <c r="C3969" t="n">
        <v>1.4151</v>
      </c>
    </row>
    <row r="3970">
      <c r="A3970" t="n">
        <v>2.0509</v>
      </c>
      <c r="B3970" t="n">
        <v>1.8838</v>
      </c>
      <c r="C3970" t="n">
        <v>1.4434</v>
      </c>
    </row>
    <row r="3971">
      <c r="A3971" t="n">
        <v>1.5313</v>
      </c>
      <c r="B3971" t="n">
        <v>1.5131</v>
      </c>
      <c r="C3971" t="n">
        <v>1.8563</v>
      </c>
    </row>
    <row r="3972">
      <c r="A3972" t="n">
        <v>1.6562</v>
      </c>
      <c r="B3972" t="n">
        <v>1.5001</v>
      </c>
      <c r="C3972" t="n">
        <v>1.5011</v>
      </c>
    </row>
    <row r="3973">
      <c r="A3973" t="n">
        <v>1.5135</v>
      </c>
      <c r="B3973" t="n">
        <v>1.5042</v>
      </c>
      <c r="C3973" t="n">
        <v>1.4441</v>
      </c>
    </row>
    <row r="3974">
      <c r="A3974" t="n">
        <v>1.4321</v>
      </c>
      <c r="B3974" t="n">
        <v>1.4777</v>
      </c>
      <c r="C3974" t="n">
        <v>1.4372</v>
      </c>
    </row>
    <row r="3975">
      <c r="A3975" t="n">
        <v>1.4184</v>
      </c>
      <c r="B3975" t="n">
        <v>1.5587</v>
      </c>
      <c r="C3975" t="n">
        <v>1.6655</v>
      </c>
    </row>
    <row r="3976">
      <c r="A3976" t="n">
        <v>1.4205</v>
      </c>
      <c r="B3976" t="n">
        <v>1.7164</v>
      </c>
      <c r="C3976" t="n">
        <v>1.6989</v>
      </c>
    </row>
    <row r="3977">
      <c r="A3977" t="n">
        <v>1.4339</v>
      </c>
      <c r="B3977" t="n">
        <v>1.5717</v>
      </c>
      <c r="C3977" t="n">
        <v>1.4993</v>
      </c>
    </row>
    <row r="3978">
      <c r="A3978" t="n">
        <v>1.6524</v>
      </c>
      <c r="B3978" t="n">
        <v>1.4467</v>
      </c>
      <c r="C3978" t="n">
        <v>1.4543</v>
      </c>
    </row>
    <row r="3979">
      <c r="A3979" t="n">
        <v>1.7073</v>
      </c>
      <c r="B3979" t="n">
        <v>1.4009</v>
      </c>
      <c r="C3979" t="n">
        <v>1.441</v>
      </c>
    </row>
    <row r="3980">
      <c r="A3980" t="n">
        <v>1.46</v>
      </c>
      <c r="B3980" t="n">
        <v>1.4713</v>
      </c>
      <c r="C3980" t="n">
        <v>1.6409</v>
      </c>
    </row>
    <row r="3981">
      <c r="A3981" t="n">
        <v>1.4439</v>
      </c>
      <c r="B3981" t="n">
        <v>1.6351</v>
      </c>
      <c r="C3981" t="n">
        <v>1.8548</v>
      </c>
    </row>
    <row r="3982">
      <c r="A3982" t="n">
        <v>1.4233</v>
      </c>
      <c r="B3982" t="n">
        <v>1.5109</v>
      </c>
      <c r="C3982" t="n">
        <v>1.4903</v>
      </c>
    </row>
    <row r="3983">
      <c r="A3983" t="n">
        <v>1.6305</v>
      </c>
      <c r="B3983" t="n">
        <v>1.8026</v>
      </c>
      <c r="C3983" t="n">
        <v>1.4411</v>
      </c>
    </row>
    <row r="3984">
      <c r="A3984" t="n">
        <v>1.7333</v>
      </c>
      <c r="B3984" t="n">
        <v>1.6953</v>
      </c>
      <c r="C3984" t="n">
        <v>1.4902</v>
      </c>
    </row>
    <row r="3985">
      <c r="A3985" t="n">
        <v>1.495</v>
      </c>
      <c r="B3985" t="n">
        <v>1.5301</v>
      </c>
      <c r="C3985" t="n">
        <v>1.6948</v>
      </c>
    </row>
    <row r="3986">
      <c r="A3986" t="n">
        <v>1.427</v>
      </c>
      <c r="B3986" t="n">
        <v>1.6594</v>
      </c>
      <c r="C3986" t="n">
        <v>2.0529</v>
      </c>
    </row>
    <row r="3987">
      <c r="A3987" t="n">
        <v>1.4317</v>
      </c>
      <c r="B3987" t="n">
        <v>1.5084</v>
      </c>
      <c r="C3987" t="n">
        <v>1.6695</v>
      </c>
    </row>
    <row r="3988">
      <c r="A3988" t="n">
        <v>1.6245</v>
      </c>
      <c r="B3988" t="n">
        <v>1.4486</v>
      </c>
      <c r="C3988" t="n">
        <v>1.5765</v>
      </c>
    </row>
    <row r="3989">
      <c r="A3989" t="n">
        <v>1.4986</v>
      </c>
      <c r="B3989" t="n">
        <v>1.6357</v>
      </c>
      <c r="C3989" t="n">
        <v>1.4288</v>
      </c>
    </row>
    <row r="3990">
      <c r="A3990" t="n">
        <v>1.6171</v>
      </c>
      <c r="B3990" t="n">
        <v>1.5227</v>
      </c>
      <c r="C3990" t="n">
        <v>1.4743</v>
      </c>
    </row>
    <row r="3991">
      <c r="A3991" t="n">
        <v>1.5032</v>
      </c>
      <c r="B3991" t="n">
        <v>1.6315</v>
      </c>
      <c r="C3991" t="n">
        <v>1.4099</v>
      </c>
    </row>
    <row r="3992">
      <c r="A3992" t="n">
        <v>1.4274</v>
      </c>
      <c r="B3992" t="n">
        <v>1.488</v>
      </c>
      <c r="C3992" t="n">
        <v>1.3926</v>
      </c>
    </row>
    <row r="3993">
      <c r="A3993" t="n">
        <v>1.6018</v>
      </c>
      <c r="B3993" t="n">
        <v>1.4459</v>
      </c>
      <c r="C3993" t="n">
        <v>1.4489</v>
      </c>
    </row>
    <row r="3994">
      <c r="A3994" t="n">
        <v>1.5392</v>
      </c>
      <c r="B3994" t="n">
        <v>1.3944</v>
      </c>
      <c r="C3994" t="n">
        <v>1.4511</v>
      </c>
    </row>
    <row r="3995">
      <c r="A3995" t="n">
        <v>1.5905</v>
      </c>
      <c r="B3995" t="n">
        <v>1.4389</v>
      </c>
      <c r="C3995" t="n">
        <v>1.6779</v>
      </c>
    </row>
    <row r="3996">
      <c r="A3996" t="n">
        <v>1.4728</v>
      </c>
      <c r="B3996" t="n">
        <v>1.4332</v>
      </c>
      <c r="C3996" t="n">
        <v>1.7196</v>
      </c>
    </row>
    <row r="3997">
      <c r="A3997" t="n">
        <v>1.4214</v>
      </c>
      <c r="B3997" t="n">
        <v>1.6584</v>
      </c>
      <c r="C3997" t="n">
        <v>1.4919</v>
      </c>
    </row>
    <row r="3998">
      <c r="A3998" t="n">
        <v>1.3659</v>
      </c>
      <c r="B3998" t="n">
        <v>1.7264</v>
      </c>
      <c r="C3998" t="n">
        <v>1.4533</v>
      </c>
    </row>
    <row r="3999">
      <c r="A3999" t="n">
        <v>1.418</v>
      </c>
      <c r="B3999" t="n">
        <v>1.5057</v>
      </c>
      <c r="C3999" t="n">
        <v>1.4739</v>
      </c>
    </row>
    <row r="4000">
      <c r="A4000" t="n">
        <v>1.4284</v>
      </c>
      <c r="B4000" t="n">
        <v>1.4467</v>
      </c>
      <c r="C4000" t="n">
        <v>1.6626</v>
      </c>
    </row>
    <row r="4001">
      <c r="A4001" t="n">
        <v>1.5774</v>
      </c>
      <c r="B4001" t="n">
        <v>1.4742</v>
      </c>
      <c r="C4001" t="n">
        <v>1.6893</v>
      </c>
    </row>
    <row r="4002">
      <c r="A4002" t="n">
        <v>3.7996</v>
      </c>
      <c r="B4002" t="n">
        <v>4.2232</v>
      </c>
      <c r="C4002" t="n">
        <v>4.5012</v>
      </c>
    </row>
    <row r="4003">
      <c r="A4003" t="n">
        <v>1.9318</v>
      </c>
      <c r="B4003" t="n">
        <v>1.6826</v>
      </c>
      <c r="C4003" t="n">
        <v>2.2235</v>
      </c>
    </row>
    <row r="4004">
      <c r="A4004" t="n">
        <v>1.5629</v>
      </c>
      <c r="B4004" t="n">
        <v>1.5533</v>
      </c>
      <c r="C4004" t="n">
        <v>2.1391</v>
      </c>
    </row>
    <row r="4005">
      <c r="A4005" t="n">
        <v>1.5289</v>
      </c>
      <c r="B4005" t="n">
        <v>1.4883</v>
      </c>
      <c r="C4005" t="n">
        <v>2.2372</v>
      </c>
    </row>
    <row r="4006">
      <c r="A4006" t="n">
        <v>1.5559</v>
      </c>
      <c r="B4006" t="n">
        <v>1.4915</v>
      </c>
      <c r="C4006" t="n">
        <v>1.9828</v>
      </c>
    </row>
    <row r="4007">
      <c r="A4007" t="n">
        <v>1.5176</v>
      </c>
      <c r="B4007" t="n">
        <v>1.492</v>
      </c>
      <c r="C4007" t="n">
        <v>1.6425</v>
      </c>
    </row>
    <row r="4008">
      <c r="A4008" t="n">
        <v>1.4949</v>
      </c>
      <c r="B4008" t="n">
        <v>1.4861</v>
      </c>
      <c r="C4008" t="n">
        <v>1.5631</v>
      </c>
    </row>
    <row r="4009">
      <c r="A4009" t="n">
        <v>1.4699</v>
      </c>
      <c r="B4009" t="n">
        <v>1.522</v>
      </c>
      <c r="C4009" t="n">
        <v>1.5073</v>
      </c>
    </row>
    <row r="4010">
      <c r="A4010" t="n">
        <v>1.4787</v>
      </c>
      <c r="B4010" t="n">
        <v>1.5601</v>
      </c>
      <c r="C4010" t="n">
        <v>1.5162</v>
      </c>
    </row>
    <row r="4011">
      <c r="A4011" t="n">
        <v>1.5142</v>
      </c>
      <c r="B4011" t="n">
        <v>1.6933</v>
      </c>
      <c r="C4011" t="n">
        <v>1.4826</v>
      </c>
    </row>
    <row r="4012">
      <c r="A4012" t="n">
        <v>1.5251</v>
      </c>
      <c r="B4012" t="n">
        <v>1.5535</v>
      </c>
      <c r="C4012" t="n">
        <v>1.5498</v>
      </c>
    </row>
    <row r="4013">
      <c r="A4013" t="n">
        <v>1.4494</v>
      </c>
      <c r="B4013" t="n">
        <v>1.5248</v>
      </c>
      <c r="C4013" t="n">
        <v>1.4907</v>
      </c>
    </row>
    <row r="4014">
      <c r="A4014" t="n">
        <v>1.7545</v>
      </c>
      <c r="B4014" t="n">
        <v>1.6773</v>
      </c>
      <c r="C4014" t="n">
        <v>1.5092</v>
      </c>
    </row>
    <row r="4015">
      <c r="A4015" t="n">
        <v>1.512</v>
      </c>
      <c r="B4015" t="n">
        <v>1.6883</v>
      </c>
      <c r="C4015" t="n">
        <v>1.4932</v>
      </c>
    </row>
    <row r="4016">
      <c r="A4016" t="n">
        <v>1.4583</v>
      </c>
      <c r="B4016" t="n">
        <v>1.5154</v>
      </c>
      <c r="C4016" t="n">
        <v>1.5252</v>
      </c>
    </row>
    <row r="4017">
      <c r="A4017" t="n">
        <v>1.4535</v>
      </c>
      <c r="B4017" t="n">
        <v>1.4587</v>
      </c>
      <c r="C4017" t="n">
        <v>1.5307</v>
      </c>
    </row>
    <row r="4018">
      <c r="A4018" t="n">
        <v>2.0215</v>
      </c>
      <c r="B4018" t="n">
        <v>1.4669</v>
      </c>
      <c r="C4018" t="n">
        <v>1.5362</v>
      </c>
    </row>
    <row r="4019">
      <c r="A4019" t="n">
        <v>1.7634</v>
      </c>
      <c r="B4019" t="n">
        <v>1.6576</v>
      </c>
      <c r="C4019" t="n">
        <v>1.756</v>
      </c>
    </row>
    <row r="4020">
      <c r="A4020" t="n">
        <v>1.6691</v>
      </c>
      <c r="B4020" t="n">
        <v>1.7476</v>
      </c>
      <c r="C4020" t="n">
        <v>1.8208</v>
      </c>
    </row>
    <row r="4021">
      <c r="A4021" t="n">
        <v>1.845</v>
      </c>
      <c r="B4021" t="n">
        <v>1.5016</v>
      </c>
      <c r="C4021" t="n">
        <v>1.754</v>
      </c>
    </row>
    <row r="4022">
      <c r="A4022" t="n">
        <v>1.5027</v>
      </c>
      <c r="B4022" t="n">
        <v>1.4527</v>
      </c>
      <c r="C4022" t="n">
        <v>1.7975</v>
      </c>
    </row>
    <row r="4023">
      <c r="A4023" t="n">
        <v>1.4562</v>
      </c>
      <c r="B4023" t="n">
        <v>1.4363</v>
      </c>
      <c r="C4023" t="n">
        <v>1.5258</v>
      </c>
    </row>
    <row r="4024">
      <c r="A4024" t="n">
        <v>1.458</v>
      </c>
      <c r="B4024" t="n">
        <v>1.6614</v>
      </c>
      <c r="C4024" t="n">
        <v>1.4764</v>
      </c>
    </row>
    <row r="4025">
      <c r="A4025" t="n">
        <v>1.7204</v>
      </c>
      <c r="B4025" t="n">
        <v>1.7047</v>
      </c>
      <c r="C4025" t="n">
        <v>1.5025</v>
      </c>
    </row>
    <row r="4026">
      <c r="A4026" t="n">
        <v>1.6931</v>
      </c>
      <c r="B4026" t="n">
        <v>1.4806</v>
      </c>
      <c r="C4026" t="n">
        <v>1.7186</v>
      </c>
    </row>
    <row r="4027">
      <c r="A4027" t="n">
        <v>1.5042</v>
      </c>
      <c r="B4027" t="n">
        <v>1.4612</v>
      </c>
      <c r="C4027" t="n">
        <v>1.7158</v>
      </c>
    </row>
    <row r="4028">
      <c r="A4028" t="n">
        <v>1.4495</v>
      </c>
      <c r="B4028" t="n">
        <v>1.4625</v>
      </c>
      <c r="C4028" t="n">
        <v>1.5443</v>
      </c>
    </row>
    <row r="4029">
      <c r="A4029" t="n">
        <v>1.4399</v>
      </c>
      <c r="B4029" t="n">
        <v>1.6326</v>
      </c>
      <c r="C4029" t="n">
        <v>1.4777</v>
      </c>
    </row>
    <row r="4030">
      <c r="A4030" t="n">
        <v>1.6382</v>
      </c>
      <c r="B4030" t="n">
        <v>1.8597</v>
      </c>
      <c r="C4030" t="n">
        <v>1.5377</v>
      </c>
    </row>
    <row r="4031">
      <c r="A4031" t="n">
        <v>1.8056</v>
      </c>
      <c r="B4031" t="n">
        <v>1.5031</v>
      </c>
      <c r="C4031" t="n">
        <v>1.4785</v>
      </c>
    </row>
    <row r="4032">
      <c r="A4032" t="n">
        <v>1.4819</v>
      </c>
      <c r="B4032" t="n">
        <v>1.4721</v>
      </c>
      <c r="C4032" t="n">
        <v>1.6886</v>
      </c>
    </row>
    <row r="4033">
      <c r="A4033" t="n">
        <v>1.4604</v>
      </c>
      <c r="B4033" t="n">
        <v>1.4911</v>
      </c>
      <c r="C4033" t="n">
        <v>1.5299</v>
      </c>
    </row>
    <row r="4034">
      <c r="A4034" t="n">
        <v>1.4661</v>
      </c>
      <c r="B4034" t="n">
        <v>2.0019</v>
      </c>
      <c r="C4034" t="n">
        <v>1.8381</v>
      </c>
    </row>
    <row r="4035">
      <c r="A4035" t="n">
        <v>1.6668</v>
      </c>
      <c r="B4035" t="n">
        <v>1.7672</v>
      </c>
      <c r="C4035" t="n">
        <v>1.7066</v>
      </c>
    </row>
    <row r="4036">
      <c r="A4036" t="n">
        <v>1.7267</v>
      </c>
      <c r="B4036" t="n">
        <v>1.5249</v>
      </c>
      <c r="C4036" t="n">
        <v>1.5421</v>
      </c>
    </row>
    <row r="4037">
      <c r="A4037" t="n">
        <v>1.4845</v>
      </c>
      <c r="B4037" t="n">
        <v>1.4934</v>
      </c>
      <c r="C4037" t="n">
        <v>1.4884</v>
      </c>
    </row>
    <row r="4038">
      <c r="A4038" t="n">
        <v>1.4549</v>
      </c>
      <c r="B4038" t="n">
        <v>1.6095</v>
      </c>
      <c r="C4038" t="n">
        <v>1.442</v>
      </c>
    </row>
    <row r="4039">
      <c r="A4039" t="n">
        <v>1.4633</v>
      </c>
      <c r="B4039" t="n">
        <v>1.5136</v>
      </c>
      <c r="C4039" t="n">
        <v>1.4598</v>
      </c>
    </row>
    <row r="4040">
      <c r="A4040" t="n">
        <v>1.6298</v>
      </c>
      <c r="B4040" t="n">
        <v>1.4523</v>
      </c>
      <c r="C4040" t="n">
        <v>1.4753</v>
      </c>
    </row>
    <row r="4041">
      <c r="A4041" t="n">
        <v>1.7646</v>
      </c>
      <c r="B4041" t="n">
        <v>1.7263</v>
      </c>
      <c r="C4041" t="n">
        <v>1.4626</v>
      </c>
    </row>
    <row r="4042">
      <c r="A4042" t="n">
        <v>1.4856</v>
      </c>
      <c r="B4042" t="n">
        <v>1.552</v>
      </c>
      <c r="C4042" t="n">
        <v>1.6999</v>
      </c>
    </row>
    <row r="4043">
      <c r="A4043" t="n">
        <v>1.4732</v>
      </c>
      <c r="B4043" t="n">
        <v>1.686</v>
      </c>
      <c r="C4043" t="n">
        <v>1.5397</v>
      </c>
    </row>
    <row r="4044">
      <c r="A4044" t="n">
        <v>1.4344</v>
      </c>
      <c r="B4044" t="n">
        <v>1.4816</v>
      </c>
      <c r="C4044" t="n">
        <v>1.4765</v>
      </c>
    </row>
    <row r="4045">
      <c r="A4045" t="n">
        <v>1.6346</v>
      </c>
      <c r="B4045" t="n">
        <v>1.4473</v>
      </c>
      <c r="C4045" t="n">
        <v>1.4758</v>
      </c>
    </row>
    <row r="4046">
      <c r="A4046" t="n">
        <v>1.8641</v>
      </c>
      <c r="B4046" t="n">
        <v>1.4178</v>
      </c>
      <c r="C4046" t="n">
        <v>1.6793</v>
      </c>
    </row>
    <row r="4047">
      <c r="A4047" t="n">
        <v>1.4976</v>
      </c>
      <c r="B4047" t="n">
        <v>1.4205</v>
      </c>
      <c r="C4047" t="n">
        <v>1.7285</v>
      </c>
    </row>
    <row r="4048">
      <c r="A4048" t="n">
        <v>1.4813</v>
      </c>
      <c r="B4048" t="n">
        <v>1.427</v>
      </c>
      <c r="C4048" t="n">
        <v>1.488</v>
      </c>
    </row>
    <row r="4049">
      <c r="A4049" t="n">
        <v>1.4755</v>
      </c>
      <c r="B4049" t="n">
        <v>1.4373</v>
      </c>
      <c r="C4049" t="n">
        <v>1.4584</v>
      </c>
    </row>
    <row r="4050">
      <c r="A4050" t="n">
        <v>1.9518</v>
      </c>
      <c r="B4050" t="n">
        <v>1.5459</v>
      </c>
      <c r="C4050" t="n">
        <v>1.45</v>
      </c>
    </row>
    <row r="4051">
      <c r="A4051" t="n">
        <v>1.7345</v>
      </c>
      <c r="B4051" t="n">
        <v>1.4389</v>
      </c>
      <c r="C4051" t="n">
        <v>1.6941</v>
      </c>
    </row>
    <row r="4052">
      <c r="A4052" t="n">
        <v>1.6664</v>
      </c>
      <c r="B4052" t="n">
        <v>1.443</v>
      </c>
      <c r="C4052" t="n">
        <v>1.6941</v>
      </c>
    </row>
    <row r="4053">
      <c r="A4053" t="n">
        <v>1.5216</v>
      </c>
      <c r="B4053" t="n">
        <v>1.4429</v>
      </c>
      <c r="C4053" t="n">
        <v>1.5144</v>
      </c>
    </row>
    <row r="4054">
      <c r="A4054" t="n">
        <v>1.6549</v>
      </c>
      <c r="B4054" t="n">
        <v>1.4303</v>
      </c>
      <c r="C4054" t="n">
        <v>1.4452</v>
      </c>
    </row>
    <row r="4055">
      <c r="A4055" t="n">
        <v>1.7462</v>
      </c>
      <c r="B4055" t="n">
        <v>1.4332</v>
      </c>
      <c r="C4055" t="n">
        <v>1.4703</v>
      </c>
    </row>
    <row r="4056">
      <c r="A4056" t="n">
        <v>1.5159</v>
      </c>
      <c r="B4056" t="n">
        <v>1.4512</v>
      </c>
      <c r="C4056" t="n">
        <v>1.6493</v>
      </c>
    </row>
    <row r="4057">
      <c r="A4057" t="n">
        <v>1.6674</v>
      </c>
      <c r="B4057" t="n">
        <v>1.6487</v>
      </c>
      <c r="C4057" t="n">
        <v>1.7026</v>
      </c>
    </row>
    <row r="4058">
      <c r="A4058" t="n">
        <v>1.7874</v>
      </c>
      <c r="B4058" t="n">
        <v>1.7838</v>
      </c>
      <c r="C4058" t="n">
        <v>1.4997</v>
      </c>
    </row>
    <row r="4059">
      <c r="A4059" t="n">
        <v>1.7261</v>
      </c>
      <c r="B4059" t="n">
        <v>1.4812</v>
      </c>
      <c r="C4059" t="n">
        <v>1.4757</v>
      </c>
    </row>
    <row r="4060">
      <c r="A4060" t="n">
        <v>1.546</v>
      </c>
      <c r="B4060" t="n">
        <v>1.4531</v>
      </c>
      <c r="C4060" t="n">
        <v>1.4604</v>
      </c>
    </row>
    <row r="4061">
      <c r="A4061" t="n">
        <v>1.6335</v>
      </c>
      <c r="B4061" t="n">
        <v>1.4625</v>
      </c>
      <c r="C4061" t="n">
        <v>1.6912</v>
      </c>
    </row>
    <row r="4062">
      <c r="A4062" t="n">
        <v>1.4968</v>
      </c>
      <c r="B4062" t="n">
        <v>1.6283</v>
      </c>
      <c r="C4062" t="n">
        <v>1.715</v>
      </c>
    </row>
    <row r="4063">
      <c r="A4063" t="n">
        <v>1.4795</v>
      </c>
      <c r="B4063" t="n">
        <v>1.6909</v>
      </c>
      <c r="C4063" t="n">
        <v>1.4819</v>
      </c>
    </row>
    <row r="4064">
      <c r="A4064" t="n">
        <v>1.4179</v>
      </c>
      <c r="B4064" t="n">
        <v>1.5155</v>
      </c>
      <c r="C4064" t="n">
        <v>1.4621</v>
      </c>
    </row>
    <row r="4065">
      <c r="A4065" t="n">
        <v>1.4256</v>
      </c>
      <c r="B4065" t="n">
        <v>1.4526</v>
      </c>
      <c r="C4065" t="n">
        <v>1.459</v>
      </c>
    </row>
    <row r="4066">
      <c r="A4066" t="n">
        <v>1.4481</v>
      </c>
      <c r="B4066" t="n">
        <v>1.9836</v>
      </c>
      <c r="C4066" t="n">
        <v>1.9839</v>
      </c>
    </row>
    <row r="4067">
      <c r="A4067" t="n">
        <v>1.6782</v>
      </c>
      <c r="B4067" t="n">
        <v>1.5285</v>
      </c>
      <c r="C4067" t="n">
        <v>1.8132</v>
      </c>
    </row>
    <row r="4068">
      <c r="A4068" t="n">
        <v>1.6693</v>
      </c>
      <c r="B4068" t="n">
        <v>1.4388</v>
      </c>
      <c r="C4068" t="n">
        <v>1.6925</v>
      </c>
    </row>
    <row r="4069">
      <c r="A4069" t="n">
        <v>1.5089</v>
      </c>
      <c r="B4069" t="n">
        <v>1.4434</v>
      </c>
      <c r="C4069" t="n">
        <v>1.8978</v>
      </c>
    </row>
    <row r="4070">
      <c r="A4070" t="n">
        <v>1.4728</v>
      </c>
      <c r="B4070" t="n">
        <v>1.4886</v>
      </c>
      <c r="C4070" t="n">
        <v>1.5273</v>
      </c>
    </row>
    <row r="4071">
      <c r="A4071" t="n">
        <v>1.4307</v>
      </c>
      <c r="B4071" t="n">
        <v>1.472</v>
      </c>
      <c r="C4071" t="n">
        <v>1.519</v>
      </c>
    </row>
    <row r="4072">
      <c r="A4072" t="n">
        <v>1.6598</v>
      </c>
      <c r="B4072" t="n">
        <v>1.6867</v>
      </c>
      <c r="C4072" t="n">
        <v>1.5184</v>
      </c>
    </row>
    <row r="4073">
      <c r="A4073" t="n">
        <v>1.7513</v>
      </c>
      <c r="B4073" t="n">
        <v>1.6986</v>
      </c>
      <c r="C4073" t="n">
        <v>1.6852</v>
      </c>
    </row>
    <row r="4074">
      <c r="A4074" t="n">
        <v>1.4961</v>
      </c>
      <c r="B4074" t="n">
        <v>1.4923</v>
      </c>
      <c r="C4074" t="n">
        <v>1.7655</v>
      </c>
    </row>
    <row r="4075">
      <c r="A4075" t="n">
        <v>1.4445</v>
      </c>
      <c r="B4075" t="n">
        <v>1.4528</v>
      </c>
      <c r="C4075" t="n">
        <v>1.694</v>
      </c>
    </row>
    <row r="4076">
      <c r="A4076" t="n">
        <v>1.4489</v>
      </c>
      <c r="B4076" t="n">
        <v>1.4578</v>
      </c>
      <c r="C4076" t="n">
        <v>1.5717</v>
      </c>
    </row>
    <row r="4077">
      <c r="A4077" t="n">
        <v>1.6193</v>
      </c>
      <c r="B4077" t="n">
        <v>1.6073</v>
      </c>
      <c r="C4077" t="n">
        <v>1.6859</v>
      </c>
    </row>
    <row r="4078">
      <c r="A4078" t="n">
        <v>1.7804</v>
      </c>
      <c r="B4078" t="n">
        <v>1.8018</v>
      </c>
      <c r="C4078" t="n">
        <v>1.4816</v>
      </c>
    </row>
    <row r="4079">
      <c r="A4079" t="n">
        <v>1.4986</v>
      </c>
      <c r="B4079" t="n">
        <v>1.49</v>
      </c>
      <c r="C4079" t="n">
        <v>1.5168</v>
      </c>
    </row>
    <row r="4080">
      <c r="A4080" t="n">
        <v>1.444</v>
      </c>
      <c r="B4080" t="n">
        <v>1.4582</v>
      </c>
      <c r="C4080" t="n">
        <v>1.6595</v>
      </c>
    </row>
    <row r="4081">
      <c r="A4081" t="n">
        <v>1.4556</v>
      </c>
      <c r="B4081" t="n">
        <v>1.4645</v>
      </c>
      <c r="C4081" t="n">
        <v>1.5459</v>
      </c>
    </row>
    <row r="4082">
      <c r="A4082" t="n">
        <v>1.9706</v>
      </c>
      <c r="B4082" t="n">
        <v>1.6535</v>
      </c>
      <c r="C4082" t="n">
        <v>1.6824</v>
      </c>
    </row>
    <row r="4083">
      <c r="A4083" t="n">
        <v>1.7026</v>
      </c>
      <c r="B4083" t="n">
        <v>1.7981</v>
      </c>
      <c r="C4083" t="n">
        <v>1.5247</v>
      </c>
    </row>
    <row r="4084">
      <c r="A4084" t="n">
        <v>1.7043</v>
      </c>
      <c r="B4084" t="n">
        <v>1.4968</v>
      </c>
      <c r="C4084" t="n">
        <v>1.4461</v>
      </c>
    </row>
    <row r="4085">
      <c r="A4085" t="n">
        <v>1.5643</v>
      </c>
      <c r="B4085" t="n">
        <v>1.4699</v>
      </c>
      <c r="C4085" t="n">
        <v>1.6469</v>
      </c>
    </row>
    <row r="4086">
      <c r="A4086" t="n">
        <v>1.6875</v>
      </c>
      <c r="B4086" t="n">
        <v>1.4652</v>
      </c>
      <c r="C4086" t="n">
        <v>1.5831</v>
      </c>
    </row>
    <row r="4087">
      <c r="A4087" t="n">
        <v>1.5088</v>
      </c>
      <c r="B4087" t="n">
        <v>1.6459</v>
      </c>
      <c r="C4087" t="n">
        <v>1.4511</v>
      </c>
    </row>
    <row r="4088">
      <c r="A4088" t="n">
        <v>1.4635</v>
      </c>
      <c r="B4088" t="n">
        <v>1.6972</v>
      </c>
      <c r="C4088" t="n">
        <v>1.4514</v>
      </c>
    </row>
    <row r="4089">
      <c r="A4089" t="n">
        <v>1.5986</v>
      </c>
      <c r="B4089" t="n">
        <v>1.4698</v>
      </c>
      <c r="C4089" t="n">
        <v>1.4216</v>
      </c>
    </row>
    <row r="4090">
      <c r="A4090" t="n">
        <v>1.5357</v>
      </c>
      <c r="B4090" t="n">
        <v>1.4789</v>
      </c>
      <c r="C4090" t="n">
        <v>1.415</v>
      </c>
    </row>
    <row r="4091">
      <c r="A4091" t="n">
        <v>1.6624</v>
      </c>
      <c r="B4091" t="n">
        <v>1.4724</v>
      </c>
      <c r="C4091" t="n">
        <v>1.4738</v>
      </c>
    </row>
    <row r="4092">
      <c r="A4092" t="n">
        <v>1.5136</v>
      </c>
      <c r="B4092" t="n">
        <v>1.6696</v>
      </c>
      <c r="C4092" t="n">
        <v>1.4774</v>
      </c>
    </row>
    <row r="4093">
      <c r="A4093" t="n">
        <v>1.4714</v>
      </c>
      <c r="B4093" t="n">
        <v>1.5683</v>
      </c>
      <c r="C4093" t="n">
        <v>1.6853</v>
      </c>
    </row>
    <row r="4094">
      <c r="A4094" t="n">
        <v>1.4095</v>
      </c>
      <c r="B4094" t="n">
        <v>1.4881</v>
      </c>
      <c r="C4094" t="n">
        <v>1.7595</v>
      </c>
    </row>
    <row r="4095">
      <c r="A4095" t="n">
        <v>1.4328</v>
      </c>
      <c r="B4095" t="n">
        <v>1.426</v>
      </c>
      <c r="C4095" t="n">
        <v>1.5813</v>
      </c>
    </row>
    <row r="4096">
      <c r="A4096" t="n">
        <v>1.4661</v>
      </c>
      <c r="B4096" t="n">
        <v>1.4261</v>
      </c>
      <c r="C4096" t="n">
        <v>1.4852</v>
      </c>
    </row>
    <row r="4097">
      <c r="A4097" t="n">
        <v>1.4377</v>
      </c>
      <c r="B4097" t="n">
        <v>1.451</v>
      </c>
      <c r="C4097" t="n">
        <v>1.7317</v>
      </c>
    </row>
    <row r="4098">
      <c r="A4098" t="n">
        <v>1.4414</v>
      </c>
      <c r="B4098" t="n">
        <v>1.7583</v>
      </c>
      <c r="C4098" t="n">
        <v>1.8696</v>
      </c>
    </row>
    <row r="4099">
      <c r="A4099" t="n">
        <v>1.6593</v>
      </c>
      <c r="B4099" t="n">
        <v>1.431</v>
      </c>
      <c r="C4099" t="n">
        <v>1.4944</v>
      </c>
    </row>
    <row r="4100">
      <c r="A4100" t="n">
        <v>1.5068</v>
      </c>
      <c r="B4100" t="n">
        <v>1.4372</v>
      </c>
      <c r="C4100" t="n">
        <v>1.4222</v>
      </c>
    </row>
    <row r="4101">
      <c r="A4101" t="n">
        <v>1.4565</v>
      </c>
      <c r="B4101" t="n">
        <v>1.6626</v>
      </c>
      <c r="C4101" t="n">
        <v>1.5053</v>
      </c>
    </row>
    <row r="4102">
      <c r="A4102" t="n">
        <v>1.6601</v>
      </c>
      <c r="B4102" t="n">
        <v>1.4997</v>
      </c>
      <c r="C4102" t="n">
        <v>1.7072</v>
      </c>
    </row>
    <row r="4103">
      <c r="A4103" t="n">
        <v>1.5544</v>
      </c>
      <c r="B4103" t="n">
        <v>1.4541</v>
      </c>
      <c r="C4103" t="n">
        <v>1.5516</v>
      </c>
    </row>
    <row r="4104">
      <c r="A4104" t="n">
        <v>1.6675</v>
      </c>
      <c r="B4104" t="n">
        <v>1.4777</v>
      </c>
      <c r="C4104" t="n">
        <v>1.4984</v>
      </c>
    </row>
    <row r="4105">
      <c r="A4105" t="n">
        <v>1.4964</v>
      </c>
      <c r="B4105" t="n">
        <v>1.6801</v>
      </c>
      <c r="C4105" t="n">
        <v>1.3994</v>
      </c>
    </row>
    <row r="4106">
      <c r="A4106" t="n">
        <v>1.4459</v>
      </c>
      <c r="B4106" t="n">
        <v>1.692</v>
      </c>
      <c r="C4106" t="n">
        <v>1.4256</v>
      </c>
    </row>
    <row r="4107">
      <c r="A4107" t="n">
        <v>1.598</v>
      </c>
      <c r="B4107" t="n">
        <v>1.476</v>
      </c>
      <c r="C4107" t="n">
        <v>1.4594</v>
      </c>
    </row>
    <row r="4108">
      <c r="A4108" t="n">
        <v>1.5412</v>
      </c>
      <c r="B4108" t="n">
        <v>1.4513</v>
      </c>
      <c r="C4108" t="n">
        <v>1.4138</v>
      </c>
    </row>
    <row r="4109">
      <c r="A4109" t="n">
        <v>1.6224</v>
      </c>
      <c r="B4109" t="n">
        <v>1.4351</v>
      </c>
      <c r="C4109" t="n">
        <v>1.4573</v>
      </c>
    </row>
    <row r="4110">
      <c r="A4110" t="n">
        <v>1.4989</v>
      </c>
      <c r="B4110" t="n">
        <v>1.6061</v>
      </c>
      <c r="C4110" t="n">
        <v>1.6178</v>
      </c>
    </row>
    <row r="4111">
      <c r="A4111" t="n">
        <v>1.4603</v>
      </c>
      <c r="B4111" t="n">
        <v>1.8261</v>
      </c>
      <c r="C4111" t="n">
        <v>1.4929</v>
      </c>
    </row>
    <row r="4112">
      <c r="A4112" t="n">
        <v>1.4248</v>
      </c>
      <c r="B4112" t="n">
        <v>1.4858</v>
      </c>
      <c r="C4112" t="n">
        <v>1.4671</v>
      </c>
    </row>
    <row r="4113">
      <c r="A4113" t="n">
        <v>1.413</v>
      </c>
      <c r="B4113" t="n">
        <v>1.421</v>
      </c>
      <c r="C4113" t="n">
        <v>1.421</v>
      </c>
    </row>
    <row r="4114">
      <c r="A4114" t="n">
        <v>1.7607</v>
      </c>
      <c r="B4114" t="n">
        <v>1.4472</v>
      </c>
      <c r="C4114" t="n">
        <v>1.3944</v>
      </c>
    </row>
    <row r="4115">
      <c r="A4115" t="n">
        <v>1.4357</v>
      </c>
      <c r="B4115" t="n">
        <v>1.6294</v>
      </c>
      <c r="C4115" t="n">
        <v>1.4736</v>
      </c>
    </row>
    <row r="4116">
      <c r="A4116" t="n">
        <v>1.4399</v>
      </c>
      <c r="B4116" t="n">
        <v>1.5505</v>
      </c>
      <c r="C4116" t="n">
        <v>1.6856</v>
      </c>
    </row>
    <row r="4117">
      <c r="A4117" t="n">
        <v>1.4402</v>
      </c>
      <c r="B4117" t="n">
        <v>1.4481</v>
      </c>
      <c r="C4117" t="n">
        <v>1.6846</v>
      </c>
    </row>
    <row r="4118">
      <c r="A4118" t="n">
        <v>1.4064</v>
      </c>
      <c r="B4118" t="n">
        <v>1.472</v>
      </c>
      <c r="C4118" t="n">
        <v>1.4904</v>
      </c>
    </row>
    <row r="4119">
      <c r="A4119" t="n">
        <v>1.3899</v>
      </c>
      <c r="B4119" t="n">
        <v>1.4731</v>
      </c>
      <c r="C4119" t="n">
        <v>1.4752</v>
      </c>
    </row>
    <row r="4120">
      <c r="A4120" t="n">
        <v>1.4238</v>
      </c>
      <c r="B4120" t="n">
        <v>1.4328</v>
      </c>
      <c r="C4120" t="n">
        <v>1.4317</v>
      </c>
    </row>
    <row r="4121">
      <c r="A4121" t="n">
        <v>1.4585</v>
      </c>
      <c r="B4121" t="n">
        <v>1.4268</v>
      </c>
      <c r="C4121" t="n">
        <v>1.651</v>
      </c>
    </row>
    <row r="4122">
      <c r="A4122" t="n">
        <v>1.4658</v>
      </c>
      <c r="B4122" t="n">
        <v>1.4385</v>
      </c>
      <c r="C4122" t="n">
        <v>1.6743</v>
      </c>
    </row>
    <row r="4123">
      <c r="A4123" t="n">
        <v>1.6508</v>
      </c>
      <c r="B4123" t="n">
        <v>1.6678</v>
      </c>
      <c r="C4123" t="n">
        <v>1.4803</v>
      </c>
    </row>
    <row r="4124">
      <c r="A4124" t="n">
        <v>1.7301</v>
      </c>
      <c r="B4124" t="n">
        <v>1.7122</v>
      </c>
      <c r="C4124" t="n">
        <v>1.4533</v>
      </c>
    </row>
    <row r="4125">
      <c r="A4125" t="n">
        <v>1.4596</v>
      </c>
      <c r="B4125" t="n">
        <v>1.4833</v>
      </c>
      <c r="C4125" t="n">
        <v>1.4423</v>
      </c>
    </row>
    <row r="4126">
      <c r="A4126" t="n">
        <v>1.4432</v>
      </c>
      <c r="B4126" t="n">
        <v>1.4568</v>
      </c>
      <c r="C4126" t="n">
        <v>1.6364</v>
      </c>
    </row>
    <row r="4127">
      <c r="A4127" t="n">
        <v>1.4218</v>
      </c>
      <c r="B4127" t="n">
        <v>1.4611</v>
      </c>
      <c r="C4127" t="n">
        <v>1.8482</v>
      </c>
    </row>
    <row r="4128">
      <c r="A4128" t="n">
        <v>1.6291</v>
      </c>
      <c r="B4128" t="n">
        <v>1.6805</v>
      </c>
      <c r="C4128" t="n">
        <v>1.4986</v>
      </c>
    </row>
    <row r="4129">
      <c r="A4129" t="n">
        <v>1.5823</v>
      </c>
      <c r="B4129" t="n">
        <v>1.7302</v>
      </c>
      <c r="C4129" t="n">
        <v>1.4295</v>
      </c>
    </row>
    <row r="4130">
      <c r="A4130" t="n">
        <v>1.4321</v>
      </c>
      <c r="B4130" t="n">
        <v>2.0003</v>
      </c>
      <c r="C4130" t="n">
        <v>1.7752</v>
      </c>
    </row>
    <row r="4131">
      <c r="A4131" t="n">
        <v>1.3957</v>
      </c>
      <c r="B4131" t="n">
        <v>1.5199</v>
      </c>
      <c r="C4131" t="n">
        <v>1.4319</v>
      </c>
    </row>
    <row r="4132">
      <c r="A4132" t="n">
        <v>1.4224</v>
      </c>
      <c r="B4132" t="n">
        <v>1.6431</v>
      </c>
      <c r="C4132" t="n">
        <v>1.6448</v>
      </c>
    </row>
    <row r="4133">
      <c r="A4133" t="n">
        <v>1.419</v>
      </c>
      <c r="B4133" t="n">
        <v>1.5061</v>
      </c>
      <c r="C4133" t="n">
        <v>1.5239</v>
      </c>
    </row>
    <row r="4134">
      <c r="A4134" t="n">
        <v>1.441</v>
      </c>
      <c r="B4134" t="n">
        <v>1.4431</v>
      </c>
      <c r="C4134" t="n">
        <v>1.4682</v>
      </c>
    </row>
    <row r="4135">
      <c r="A4135" t="n">
        <v>1.4489</v>
      </c>
      <c r="B4135" t="n">
        <v>1.6068</v>
      </c>
      <c r="C4135" t="n">
        <v>1.4177</v>
      </c>
    </row>
    <row r="4136">
      <c r="A4136" t="n">
        <v>1.6329</v>
      </c>
      <c r="B4136" t="n">
        <v>1.5212</v>
      </c>
      <c r="C4136" t="n">
        <v>1.6018</v>
      </c>
    </row>
    <row r="4137">
      <c r="A4137" t="n">
        <v>1.8157</v>
      </c>
      <c r="B4137" t="n">
        <v>1.5974</v>
      </c>
      <c r="C4137" t="n">
        <v>1.5418</v>
      </c>
    </row>
    <row r="4138">
      <c r="A4138" t="n">
        <v>1.4804</v>
      </c>
      <c r="B4138" t="n">
        <v>1.5334</v>
      </c>
      <c r="C4138" t="n">
        <v>1.6348</v>
      </c>
    </row>
    <row r="4139">
      <c r="A4139" t="n">
        <v>1.4331</v>
      </c>
      <c r="B4139" t="n">
        <v>1.4515</v>
      </c>
      <c r="C4139" t="n">
        <v>1.4912</v>
      </c>
    </row>
    <row r="4140">
      <c r="A4140" t="n">
        <v>1.4193</v>
      </c>
      <c r="B4140" t="n">
        <v>1.743</v>
      </c>
      <c r="C4140" t="n">
        <v>1.4572</v>
      </c>
    </row>
    <row r="4141">
      <c r="A4141" t="n">
        <v>1.647</v>
      </c>
      <c r="B4141" t="n">
        <v>1.5267</v>
      </c>
      <c r="C4141" t="n">
        <v>1.3843</v>
      </c>
    </row>
    <row r="4142">
      <c r="A4142" t="n">
        <v>1.5711</v>
      </c>
      <c r="B4142" t="n">
        <v>1.6277</v>
      </c>
      <c r="C4142" t="n">
        <v>1.4115</v>
      </c>
    </row>
    <row r="4143">
      <c r="A4143" t="n">
        <v>1.4006</v>
      </c>
      <c r="B4143" t="n">
        <v>1.484</v>
      </c>
      <c r="C4143" t="n">
        <v>1.4093</v>
      </c>
    </row>
    <row r="4144">
      <c r="A4144" t="n">
        <v>1.4671</v>
      </c>
      <c r="B4144" t="n">
        <v>1.4456</v>
      </c>
      <c r="C4144" t="n">
        <v>1.653</v>
      </c>
    </row>
    <row r="4145">
      <c r="A4145" t="n">
        <v>1.4557</v>
      </c>
      <c r="B4145" t="n">
        <v>1.4181</v>
      </c>
      <c r="C4145" t="n">
        <v>1.7672</v>
      </c>
    </row>
    <row r="4146">
      <c r="A4146" t="n">
        <v>1.7221</v>
      </c>
      <c r="B4146" t="n">
        <v>1.4102</v>
      </c>
      <c r="C4146" t="n">
        <v>1.4892</v>
      </c>
    </row>
    <row r="4147">
      <c r="A4147" t="n">
        <v>1.4611</v>
      </c>
      <c r="B4147" t="n">
        <v>1.45</v>
      </c>
      <c r="C4147" t="n">
        <v>1.4154</v>
      </c>
    </row>
    <row r="4148">
      <c r="A4148" t="n">
        <v>1.6843</v>
      </c>
      <c r="B4148" t="n">
        <v>1.6584</v>
      </c>
      <c r="C4148" t="n">
        <v>1.4428</v>
      </c>
    </row>
    <row r="4149">
      <c r="A4149" t="n">
        <v>1.5039</v>
      </c>
      <c r="B4149" t="n">
        <v>1.6919</v>
      </c>
      <c r="C4149" t="n">
        <v>1.6256</v>
      </c>
    </row>
    <row r="4150">
      <c r="A4150" t="n">
        <v>1.4505</v>
      </c>
      <c r="B4150" t="n">
        <v>1.4831</v>
      </c>
      <c r="C4150" t="n">
        <v>1.6709</v>
      </c>
    </row>
    <row r="4151">
      <c r="A4151" t="n">
        <v>1.4383</v>
      </c>
      <c r="B4151" t="n">
        <v>1.4517</v>
      </c>
      <c r="C4151" t="n">
        <v>1.5212</v>
      </c>
    </row>
    <row r="4152">
      <c r="A4152" t="n">
        <v>1.4089</v>
      </c>
      <c r="B4152" t="n">
        <v>1.4201</v>
      </c>
      <c r="C4152" t="n">
        <v>1.4271</v>
      </c>
    </row>
    <row r="4153">
      <c r="A4153" t="n">
        <v>1.4235</v>
      </c>
      <c r="B4153" t="n">
        <v>1.6084</v>
      </c>
      <c r="C4153" t="n">
        <v>1.4386</v>
      </c>
    </row>
    <row r="4154">
      <c r="A4154" t="n">
        <v>1.6265</v>
      </c>
      <c r="B4154" t="n">
        <v>1.8956</v>
      </c>
      <c r="C4154" t="n">
        <v>1.602</v>
      </c>
    </row>
    <row r="4155">
      <c r="A4155" t="n">
        <v>1.5483</v>
      </c>
      <c r="B4155" t="n">
        <v>1.4705</v>
      </c>
      <c r="C4155" t="n">
        <v>1.5361</v>
      </c>
    </row>
    <row r="4156">
      <c r="A4156" t="n">
        <v>1.4232</v>
      </c>
      <c r="B4156" t="n">
        <v>1.4634</v>
      </c>
      <c r="C4156" t="n">
        <v>1.6605</v>
      </c>
    </row>
    <row r="4157">
      <c r="A4157" t="n">
        <v>1.4693</v>
      </c>
      <c r="B4157" t="n">
        <v>1.4554</v>
      </c>
      <c r="C4157" t="n">
        <v>1.5307</v>
      </c>
    </row>
    <row r="4158">
      <c r="A4158" t="n">
        <v>1.3948</v>
      </c>
      <c r="B4158" t="n">
        <v>1.6291</v>
      </c>
      <c r="C4158" t="n">
        <v>1.4971</v>
      </c>
    </row>
    <row r="4159">
      <c r="A4159" t="n">
        <v>1.4204</v>
      </c>
      <c r="B4159" t="n">
        <v>1.699</v>
      </c>
      <c r="C4159" t="n">
        <v>1.5924</v>
      </c>
    </row>
    <row r="4160">
      <c r="A4160" t="n">
        <v>1.4279</v>
      </c>
      <c r="B4160" t="n">
        <v>1.5178</v>
      </c>
      <c r="C4160" t="n">
        <v>1.5445</v>
      </c>
    </row>
    <row r="4161">
      <c r="A4161" t="n">
        <v>1.4395</v>
      </c>
      <c r="B4161" t="n">
        <v>1.4751</v>
      </c>
      <c r="C4161" t="n">
        <v>1.703</v>
      </c>
    </row>
    <row r="4162">
      <c r="A4162" t="n">
        <v>1.6089</v>
      </c>
      <c r="B4162" t="n">
        <v>1.8048</v>
      </c>
      <c r="C4162" t="n">
        <v>1.8037</v>
      </c>
    </row>
    <row r="4163">
      <c r="A4163" t="n">
        <v>1.8371</v>
      </c>
      <c r="B4163" t="n">
        <v>1.4491</v>
      </c>
      <c r="C4163" t="n">
        <v>1.7569</v>
      </c>
    </row>
    <row r="4164">
      <c r="A4164" t="n">
        <v>1.4822</v>
      </c>
      <c r="B4164" t="n">
        <v>1.6301</v>
      </c>
      <c r="C4164" t="n">
        <v>1.506</v>
      </c>
    </row>
    <row r="4165">
      <c r="A4165" t="n">
        <v>1.4377</v>
      </c>
      <c r="B4165" t="n">
        <v>1.4861</v>
      </c>
      <c r="C4165" t="n">
        <v>1.6143</v>
      </c>
    </row>
    <row r="4166">
      <c r="A4166" t="n">
        <v>1.4345</v>
      </c>
      <c r="B4166" t="n">
        <v>1.4549</v>
      </c>
      <c r="C4166" t="n">
        <v>1.7165</v>
      </c>
    </row>
    <row r="4167">
      <c r="A4167" t="n">
        <v>1.5791</v>
      </c>
      <c r="B4167" t="n">
        <v>1.4266</v>
      </c>
      <c r="C4167" t="n">
        <v>1.5395</v>
      </c>
    </row>
    <row r="4168">
      <c r="A4168" t="n">
        <v>1.5424</v>
      </c>
      <c r="B4168" t="n">
        <v>1.6273</v>
      </c>
      <c r="C4168" t="n">
        <v>1.6099</v>
      </c>
    </row>
    <row r="4169">
      <c r="A4169" t="n">
        <v>1.6476</v>
      </c>
      <c r="B4169" t="n">
        <v>1.5382</v>
      </c>
      <c r="C4169" t="n">
        <v>1.5038</v>
      </c>
    </row>
    <row r="4170">
      <c r="A4170" t="n">
        <v>1.4667</v>
      </c>
      <c r="B4170" t="n">
        <v>1.6148</v>
      </c>
      <c r="C4170" t="n">
        <v>1.4537</v>
      </c>
    </row>
    <row r="4171">
      <c r="A4171" t="n">
        <v>1.4967</v>
      </c>
      <c r="B4171" t="n">
        <v>1.4897</v>
      </c>
      <c r="C4171" t="n">
        <v>1.4108</v>
      </c>
    </row>
    <row r="4172">
      <c r="A4172" t="n">
        <v>1.4048</v>
      </c>
      <c r="B4172" t="n">
        <v>1.4301</v>
      </c>
      <c r="C4172" t="n">
        <v>1.4275</v>
      </c>
    </row>
    <row r="4173">
      <c r="A4173" t="n">
        <v>1.4184</v>
      </c>
      <c r="B4173" t="n">
        <v>1.7178</v>
      </c>
      <c r="C4173" t="n">
        <v>1.447</v>
      </c>
    </row>
    <row r="4174">
      <c r="A4174" t="n">
        <v>1.4303</v>
      </c>
      <c r="B4174" t="n">
        <v>1.5382</v>
      </c>
      <c r="C4174" t="n">
        <v>1.6634</v>
      </c>
    </row>
    <row r="4175">
      <c r="A4175" t="n">
        <v>1.4506</v>
      </c>
      <c r="B4175" t="n">
        <v>1.6312</v>
      </c>
      <c r="C4175" t="n">
        <v>1.6946</v>
      </c>
    </row>
    <row r="4176">
      <c r="A4176" t="n">
        <v>1.5496</v>
      </c>
      <c r="B4176" t="n">
        <v>1.4916</v>
      </c>
      <c r="C4176" t="n">
        <v>1.5136</v>
      </c>
    </row>
    <row r="4177">
      <c r="A4177" t="n">
        <v>1.4188</v>
      </c>
      <c r="B4177" t="n">
        <v>1.464</v>
      </c>
      <c r="C4177" t="n">
        <v>1.4176</v>
      </c>
    </row>
    <row r="4178">
      <c r="A4178" t="n">
        <v>1.7388</v>
      </c>
      <c r="B4178" t="n">
        <v>1.3956</v>
      </c>
      <c r="C4178" t="n">
        <v>1.4332</v>
      </c>
    </row>
    <row r="4179">
      <c r="A4179" t="n">
        <v>1.4399</v>
      </c>
      <c r="B4179" t="n">
        <v>1.4121</v>
      </c>
      <c r="C4179" t="n">
        <v>1.5945</v>
      </c>
    </row>
    <row r="4180">
      <c r="A4180" t="n">
        <v>1.423</v>
      </c>
      <c r="B4180" t="n">
        <v>1.4501</v>
      </c>
      <c r="C4180" t="n">
        <v>1.7726</v>
      </c>
    </row>
    <row r="4181">
      <c r="A4181" t="n">
        <v>1.4376</v>
      </c>
      <c r="B4181" t="n">
        <v>1.3983</v>
      </c>
      <c r="C4181" t="n">
        <v>1.4822</v>
      </c>
    </row>
    <row r="4182">
      <c r="A4182" t="n">
        <v>1.6588</v>
      </c>
      <c r="B4182" t="n">
        <v>1.4584</v>
      </c>
      <c r="C4182" t="n">
        <v>1.43</v>
      </c>
    </row>
    <row r="4183">
      <c r="A4183" t="n">
        <v>1.5052</v>
      </c>
      <c r="B4183" t="n">
        <v>1.6326</v>
      </c>
      <c r="C4183" t="n">
        <v>1.4186</v>
      </c>
    </row>
    <row r="4184">
      <c r="A4184" t="n">
        <v>1.4287</v>
      </c>
      <c r="B4184" t="n">
        <v>1.4777</v>
      </c>
      <c r="C4184" t="n">
        <v>1.5956</v>
      </c>
    </row>
    <row r="4185">
      <c r="A4185" t="n">
        <v>1.4076</v>
      </c>
      <c r="B4185" t="n">
        <v>1.4051</v>
      </c>
      <c r="C4185" t="n">
        <v>1.5257</v>
      </c>
    </row>
    <row r="4186">
      <c r="A4186" t="n">
        <v>1.4737</v>
      </c>
      <c r="B4186" t="n">
        <v>1.4148</v>
      </c>
      <c r="C4186" t="n">
        <v>1.6444</v>
      </c>
    </row>
    <row r="4187">
      <c r="A4187" t="n">
        <v>1.4311</v>
      </c>
      <c r="B4187" t="n">
        <v>1.4254</v>
      </c>
      <c r="C4187" t="n">
        <v>1.4876</v>
      </c>
    </row>
    <row r="4188">
      <c r="A4188" t="n">
        <v>1.5877</v>
      </c>
      <c r="B4188" t="n">
        <v>1.4205</v>
      </c>
      <c r="C4188" t="n">
        <v>1.4435</v>
      </c>
    </row>
    <row r="4189">
      <c r="A4189" t="n">
        <v>1.5266</v>
      </c>
      <c r="B4189" t="n">
        <v>1.6215</v>
      </c>
      <c r="C4189" t="n">
        <v>1.4061</v>
      </c>
    </row>
    <row r="4190">
      <c r="A4190" t="n">
        <v>1.6411</v>
      </c>
      <c r="B4190" t="n">
        <v>1.7738</v>
      </c>
      <c r="C4190" t="n">
        <v>1.4217</v>
      </c>
    </row>
    <row r="4191">
      <c r="A4191" t="n">
        <v>1.4548</v>
      </c>
      <c r="B4191" t="n">
        <v>1.4567</v>
      </c>
      <c r="C4191" t="n">
        <v>1.4411</v>
      </c>
    </row>
    <row r="4192">
      <c r="A4192" t="n">
        <v>1.4103</v>
      </c>
      <c r="B4192" t="n">
        <v>1.4545</v>
      </c>
      <c r="C4192" t="n">
        <v>1.637</v>
      </c>
    </row>
    <row r="4193">
      <c r="A4193" t="n">
        <v>1.4103</v>
      </c>
      <c r="B4193" t="n">
        <v>1.4468</v>
      </c>
      <c r="C4193" t="n">
        <v>1.67</v>
      </c>
    </row>
    <row r="4194">
      <c r="A4194" t="n">
        <v>1.4243</v>
      </c>
      <c r="B4194" t="n">
        <v>1.9493</v>
      </c>
      <c r="C4194" t="n">
        <v>1.9989</v>
      </c>
    </row>
    <row r="4195">
      <c r="A4195" t="n">
        <v>1.4571</v>
      </c>
      <c r="B4195" t="n">
        <v>1.6695</v>
      </c>
      <c r="C4195" t="n">
        <v>1.5079</v>
      </c>
    </row>
    <row r="4196">
      <c r="A4196" t="n">
        <v>1.6504</v>
      </c>
      <c r="B4196" t="n">
        <v>1.5499</v>
      </c>
      <c r="C4196" t="n">
        <v>1.6259</v>
      </c>
    </row>
    <row r="4197">
      <c r="A4197" t="n">
        <v>1.7424</v>
      </c>
      <c r="B4197" t="n">
        <v>1.4572</v>
      </c>
      <c r="C4197" t="n">
        <v>1.4991</v>
      </c>
    </row>
    <row r="4198">
      <c r="A4198" t="n">
        <v>1.4763</v>
      </c>
      <c r="B4198" t="n">
        <v>1.6672</v>
      </c>
      <c r="C4198" t="n">
        <v>1.403</v>
      </c>
    </row>
    <row r="4199">
      <c r="A4199" t="n">
        <v>1.4431</v>
      </c>
      <c r="B4199" t="n">
        <v>1.5162</v>
      </c>
      <c r="C4199" t="n">
        <v>1.4076</v>
      </c>
    </row>
    <row r="4200">
      <c r="A4200" t="n">
        <v>1.4384</v>
      </c>
      <c r="B4200" t="n">
        <v>1.646</v>
      </c>
      <c r="C4200" t="n">
        <v>1.426</v>
      </c>
    </row>
    <row r="4201">
      <c r="A4201" t="n">
        <v>1.611</v>
      </c>
      <c r="B4201" t="n">
        <v>1.7262</v>
      </c>
      <c r="C4201" t="n">
        <v>1.4186</v>
      </c>
    </row>
    <row r="4202">
      <c r="A4202" t="n">
        <v>1.779</v>
      </c>
      <c r="B4202" t="n">
        <v>1.5389</v>
      </c>
      <c r="C4202" t="n">
        <v>1.3981</v>
      </c>
    </row>
    <row r="4203">
      <c r="A4203" t="n">
        <v>1.4707</v>
      </c>
      <c r="B4203" t="n">
        <v>1.6545</v>
      </c>
      <c r="C4203" t="n">
        <v>1.4925</v>
      </c>
    </row>
    <row r="4204">
      <c r="A4204" t="n">
        <v>1.425</v>
      </c>
      <c r="B4204" t="n">
        <v>1.5337</v>
      </c>
      <c r="C4204" t="n">
        <v>1.6234</v>
      </c>
    </row>
    <row r="4205">
      <c r="A4205" t="n">
        <v>1.4879</v>
      </c>
      <c r="B4205" t="n">
        <v>1.472</v>
      </c>
      <c r="C4205" t="n">
        <v>1.5193</v>
      </c>
    </row>
    <row r="4206">
      <c r="A4206" t="n">
        <v>1.6109</v>
      </c>
      <c r="B4206" t="n">
        <v>1.6478</v>
      </c>
      <c r="C4206" t="n">
        <v>1.4194</v>
      </c>
    </row>
    <row r="4207">
      <c r="A4207" t="n">
        <v>1.549</v>
      </c>
      <c r="B4207" t="n">
        <v>1.5301</v>
      </c>
      <c r="C4207" t="n">
        <v>1.4459</v>
      </c>
    </row>
    <row r="4208">
      <c r="A4208" t="n">
        <v>1.4214</v>
      </c>
      <c r="B4208" t="n">
        <v>1.6609</v>
      </c>
      <c r="C4208" t="n">
        <v>1.4466</v>
      </c>
    </row>
    <row r="4209">
      <c r="A4209" t="n">
        <v>1.4493</v>
      </c>
      <c r="B4209" t="n">
        <v>1.5119</v>
      </c>
      <c r="C4209" t="n">
        <v>1.4791</v>
      </c>
    </row>
    <row r="4210">
      <c r="A4210" t="n">
        <v>1.9826</v>
      </c>
      <c r="B4210" t="n">
        <v>1.4653</v>
      </c>
      <c r="C4210" t="n">
        <v>1.6377</v>
      </c>
    </row>
    <row r="4211">
      <c r="A4211" t="n">
        <v>1.7123</v>
      </c>
      <c r="B4211" t="n">
        <v>1.3966</v>
      </c>
      <c r="C4211" t="n">
        <v>1.6904</v>
      </c>
    </row>
    <row r="4212">
      <c r="A4212" t="n">
        <v>1.6962</v>
      </c>
      <c r="B4212" t="n">
        <v>1.4284</v>
      </c>
      <c r="C4212" t="n">
        <v>1.5089</v>
      </c>
    </row>
    <row r="4213">
      <c r="A4213" t="n">
        <v>1.7547</v>
      </c>
      <c r="B4213" t="n">
        <v>1.4505</v>
      </c>
      <c r="C4213" t="n">
        <v>1.4207</v>
      </c>
    </row>
    <row r="4214">
      <c r="A4214" t="n">
        <v>1.5215</v>
      </c>
      <c r="B4214" t="n">
        <v>1.4282</v>
      </c>
      <c r="C4214" t="n">
        <v>1.4546</v>
      </c>
    </row>
    <row r="4215">
      <c r="A4215" t="n">
        <v>1.6214</v>
      </c>
      <c r="B4215" t="n">
        <v>1.4563</v>
      </c>
      <c r="C4215" t="n">
        <v>1.6866</v>
      </c>
    </row>
    <row r="4216">
      <c r="A4216" t="n">
        <v>1.521</v>
      </c>
      <c r="B4216" t="n">
        <v>1.646</v>
      </c>
      <c r="C4216" t="n">
        <v>1.6739</v>
      </c>
    </row>
    <row r="4217">
      <c r="A4217" t="n">
        <v>1.4261</v>
      </c>
      <c r="B4217" t="n">
        <v>1.4975</v>
      </c>
      <c r="C4217" t="n">
        <v>1.4908</v>
      </c>
    </row>
    <row r="4218">
      <c r="A4218" t="n">
        <v>1.4226</v>
      </c>
      <c r="B4218" t="n">
        <v>1.4237</v>
      </c>
      <c r="C4218" t="n">
        <v>1.4594</v>
      </c>
    </row>
    <row r="4219">
      <c r="A4219" t="n">
        <v>1.433</v>
      </c>
      <c r="B4219" t="n">
        <v>1.3929</v>
      </c>
      <c r="C4219" t="n">
        <v>1.4319</v>
      </c>
    </row>
    <row r="4220">
      <c r="A4220" t="n">
        <v>1.4492</v>
      </c>
      <c r="B4220" t="n">
        <v>1.4205</v>
      </c>
      <c r="C4220" t="n">
        <v>1.6017</v>
      </c>
    </row>
    <row r="4221">
      <c r="A4221" t="n">
        <v>1.6738</v>
      </c>
      <c r="B4221" t="n">
        <v>1.4298</v>
      </c>
      <c r="C4221" t="n">
        <v>1.5377</v>
      </c>
    </row>
    <row r="4222">
      <c r="A4222" t="n">
        <v>1.7529</v>
      </c>
      <c r="B4222" t="n">
        <v>1.4057</v>
      </c>
      <c r="C4222" t="n">
        <v>1.6344</v>
      </c>
    </row>
    <row r="4223">
      <c r="A4223" t="n">
        <v>1.4944</v>
      </c>
      <c r="B4223" t="n">
        <v>1.4781</v>
      </c>
      <c r="C4223" t="n">
        <v>1.4929</v>
      </c>
    </row>
    <row r="4224">
      <c r="A4224" t="n">
        <v>1.4361</v>
      </c>
      <c r="B4224" t="n">
        <v>1.6736</v>
      </c>
      <c r="C4224" t="n">
        <v>1.4448</v>
      </c>
    </row>
    <row r="4225">
      <c r="A4225" t="n">
        <v>1.432</v>
      </c>
      <c r="B4225" t="n">
        <v>1.506</v>
      </c>
      <c r="C4225" t="n">
        <v>1.3789</v>
      </c>
    </row>
    <row r="4226">
      <c r="A4226" t="n">
        <v>1.6193</v>
      </c>
      <c r="B4226" t="n">
        <v>1.7949</v>
      </c>
      <c r="C4226" t="n">
        <v>1.7516</v>
      </c>
    </row>
    <row r="4227">
      <c r="A4227" t="n">
        <v>1.7719</v>
      </c>
      <c r="B4227" t="n">
        <v>1.6535</v>
      </c>
      <c r="C4227" t="n">
        <v>1.3987</v>
      </c>
    </row>
    <row r="4228">
      <c r="A4228" t="n">
        <v>1.4761</v>
      </c>
      <c r="B4228" t="n">
        <v>1.7238</v>
      </c>
      <c r="C4228" t="n">
        <v>1.3969</v>
      </c>
    </row>
    <row r="4229">
      <c r="A4229" t="n">
        <v>1.4277</v>
      </c>
      <c r="B4229" t="n">
        <v>1.4745</v>
      </c>
      <c r="C4229" t="n">
        <v>1.6845</v>
      </c>
    </row>
    <row r="4230">
      <c r="A4230" t="n">
        <v>1.4383</v>
      </c>
      <c r="B4230" t="n">
        <v>1.4494</v>
      </c>
      <c r="C4230" t="n">
        <v>1.489</v>
      </c>
    </row>
    <row r="4231">
      <c r="A4231" t="n">
        <v>1.6174</v>
      </c>
      <c r="B4231" t="n">
        <v>1.439</v>
      </c>
      <c r="C4231" t="n">
        <v>1.4314</v>
      </c>
    </row>
    <row r="4232">
      <c r="A4232" t="n">
        <v>1.5433</v>
      </c>
      <c r="B4232" t="n">
        <v>1.6883</v>
      </c>
      <c r="C4232" t="n">
        <v>1.4486</v>
      </c>
    </row>
    <row r="4233">
      <c r="A4233" t="n">
        <v>1.6067</v>
      </c>
      <c r="B4233" t="n">
        <v>1.805</v>
      </c>
      <c r="C4233" t="n">
        <v>1.6053</v>
      </c>
    </row>
    <row r="4234">
      <c r="A4234" t="n">
        <v>1.4769</v>
      </c>
      <c r="B4234" t="n">
        <v>1.5141</v>
      </c>
      <c r="C4234" t="n">
        <v>1.7772</v>
      </c>
    </row>
    <row r="4235">
      <c r="A4235" t="n">
        <v>1.4545</v>
      </c>
      <c r="B4235" t="n">
        <v>1.4912</v>
      </c>
      <c r="C4235" t="n">
        <v>1.5081</v>
      </c>
    </row>
    <row r="4236">
      <c r="A4236" t="n">
        <v>1.3802</v>
      </c>
      <c r="B4236" t="n">
        <v>1.4147</v>
      </c>
      <c r="C4236" t="n">
        <v>1.4507</v>
      </c>
    </row>
    <row r="4237">
      <c r="A4237" t="n">
        <v>1.4392</v>
      </c>
      <c r="B4237" t="n">
        <v>1.6851</v>
      </c>
      <c r="C4237" t="n">
        <v>1.4356</v>
      </c>
    </row>
    <row r="4238">
      <c r="A4238" t="n">
        <v>1.4726</v>
      </c>
      <c r="B4238" t="n">
        <v>1.749</v>
      </c>
      <c r="C4238" t="n">
        <v>1.6331</v>
      </c>
    </row>
    <row r="4239">
      <c r="A4239" t="n">
        <v>1.4164</v>
      </c>
      <c r="B4239" t="n">
        <v>1.4601</v>
      </c>
      <c r="C4239" t="n">
        <v>1.7678</v>
      </c>
    </row>
    <row r="4240">
      <c r="A4240" t="n">
        <v>1.4531</v>
      </c>
      <c r="B4240" t="n">
        <v>1.6941</v>
      </c>
      <c r="C4240" t="n">
        <v>1.4961</v>
      </c>
    </row>
    <row r="4241">
      <c r="A4241" t="n">
        <v>1.651</v>
      </c>
      <c r="B4241" t="n">
        <v>1.6907</v>
      </c>
      <c r="C4241" t="n">
        <v>1.4794</v>
      </c>
    </row>
    <row r="4242">
      <c r="A4242" t="n">
        <v>1.7855</v>
      </c>
      <c r="B4242" t="n">
        <v>1.4759</v>
      </c>
      <c r="C4242" t="n">
        <v>1.4418</v>
      </c>
    </row>
    <row r="4243">
      <c r="A4243" t="n">
        <v>1.4595</v>
      </c>
      <c r="B4243" t="n">
        <v>1.4342</v>
      </c>
      <c r="C4243" t="n">
        <v>1.5771</v>
      </c>
    </row>
    <row r="4244">
      <c r="A4244" t="n">
        <v>1.6531</v>
      </c>
      <c r="B4244" t="n">
        <v>1.433</v>
      </c>
      <c r="C4244" t="n">
        <v>1.5282</v>
      </c>
    </row>
    <row r="4245">
      <c r="A4245" t="n">
        <v>1.6517</v>
      </c>
      <c r="B4245" t="n">
        <v>1.418</v>
      </c>
      <c r="C4245" t="n">
        <v>1.6582</v>
      </c>
    </row>
    <row r="4246">
      <c r="A4246" t="n">
        <v>1.4882</v>
      </c>
      <c r="B4246" t="n">
        <v>1.4479</v>
      </c>
      <c r="C4246" t="n">
        <v>1.4718</v>
      </c>
    </row>
    <row r="4247">
      <c r="A4247" t="n">
        <v>1.4278</v>
      </c>
      <c r="B4247" t="n">
        <v>1.6034</v>
      </c>
      <c r="C4247" t="n">
        <v>1.4585</v>
      </c>
    </row>
    <row r="4248">
      <c r="A4248" t="n">
        <v>1.4302</v>
      </c>
      <c r="B4248" t="n">
        <v>1.5296</v>
      </c>
      <c r="C4248" t="n">
        <v>1.3895</v>
      </c>
    </row>
    <row r="4249">
      <c r="A4249" t="n">
        <v>1.6505</v>
      </c>
      <c r="B4249" t="n">
        <v>1.6659</v>
      </c>
      <c r="C4249" t="n">
        <v>1.432</v>
      </c>
    </row>
    <row r="4250">
      <c r="A4250" t="n">
        <v>1.5191</v>
      </c>
      <c r="B4250" t="n">
        <v>1.5116</v>
      </c>
      <c r="C4250" t="n">
        <v>1.4444</v>
      </c>
    </row>
    <row r="4251">
      <c r="A4251" t="n">
        <v>1.6354</v>
      </c>
      <c r="B4251" t="n">
        <v>1.4412</v>
      </c>
      <c r="C4251" t="n">
        <v>1.4008</v>
      </c>
    </row>
    <row r="4252">
      <c r="A4252" t="n">
        <v>1.4897</v>
      </c>
      <c r="B4252" t="n">
        <v>1.6001</v>
      </c>
      <c r="C4252" t="n">
        <v>1.4446</v>
      </c>
    </row>
    <row r="4253">
      <c r="A4253" t="n">
        <v>1.4335</v>
      </c>
      <c r="B4253" t="n">
        <v>1.5356</v>
      </c>
      <c r="C4253" t="n">
        <v>1.6325</v>
      </c>
    </row>
    <row r="4254">
      <c r="A4254" t="n">
        <v>1.4</v>
      </c>
      <c r="B4254" t="n">
        <v>1.6756</v>
      </c>
      <c r="C4254" t="n">
        <v>1.4889</v>
      </c>
    </row>
    <row r="4255">
      <c r="A4255" t="n">
        <v>1.446</v>
      </c>
      <c r="B4255" t="n">
        <v>1.5163</v>
      </c>
      <c r="C4255" t="n">
        <v>1.4689</v>
      </c>
    </row>
    <row r="4256">
      <c r="A4256" t="n">
        <v>1.4224</v>
      </c>
      <c r="B4256" t="n">
        <v>1.4637</v>
      </c>
      <c r="C4256" t="n">
        <v>1.3988</v>
      </c>
    </row>
    <row r="4257">
      <c r="A4257" t="n">
        <v>1.6475</v>
      </c>
      <c r="B4257" t="n">
        <v>1.3894</v>
      </c>
      <c r="C4257" t="n">
        <v>1.4228</v>
      </c>
    </row>
    <row r="4258">
      <c r="A4258" t="n">
        <v>1.7031</v>
      </c>
      <c r="B4258" t="n">
        <v>1.783</v>
      </c>
      <c r="C4258" t="n">
        <v>1.7475</v>
      </c>
    </row>
    <row r="4259">
      <c r="A4259" t="n">
        <v>1.48</v>
      </c>
      <c r="B4259" t="n">
        <v>1.6393</v>
      </c>
      <c r="C4259" t="n">
        <v>1.4565</v>
      </c>
    </row>
    <row r="4260">
      <c r="A4260" t="n">
        <v>1.4225</v>
      </c>
      <c r="B4260" t="n">
        <v>1.4878</v>
      </c>
      <c r="C4260" t="n">
        <v>1.5114</v>
      </c>
    </row>
    <row r="4261">
      <c r="A4261" t="n">
        <v>1.4782</v>
      </c>
      <c r="B4261" t="n">
        <v>1.462</v>
      </c>
      <c r="C4261" t="n">
        <v>1.4496</v>
      </c>
    </row>
    <row r="4262">
      <c r="A4262" t="n">
        <v>1.6349</v>
      </c>
      <c r="B4262" t="n">
        <v>1.4084</v>
      </c>
      <c r="C4262" t="n">
        <v>1.4406</v>
      </c>
    </row>
    <row r="4263">
      <c r="A4263" t="n">
        <v>1.6972</v>
      </c>
      <c r="B4263" t="n">
        <v>1.4199</v>
      </c>
      <c r="C4263" t="n">
        <v>1.4475</v>
      </c>
    </row>
    <row r="4264">
      <c r="A4264" t="n">
        <v>1.4748</v>
      </c>
      <c r="B4264" t="n">
        <v>1.4497</v>
      </c>
      <c r="C4264" t="n">
        <v>1.3905</v>
      </c>
    </row>
    <row r="4265">
      <c r="A4265" t="n">
        <v>1.4241</v>
      </c>
      <c r="B4265" t="n">
        <v>1.6891</v>
      </c>
      <c r="C4265" t="n">
        <v>1.477</v>
      </c>
    </row>
    <row r="4266">
      <c r="A4266" t="n">
        <v>1.4017</v>
      </c>
      <c r="B4266" t="n">
        <v>1.6985</v>
      </c>
      <c r="C4266" t="n">
        <v>1.4405</v>
      </c>
    </row>
    <row r="4267">
      <c r="A4267" t="n">
        <v>1.6068</v>
      </c>
      <c r="B4267" t="n">
        <v>1.4885</v>
      </c>
      <c r="C4267" t="n">
        <v>1.4037</v>
      </c>
    </row>
    <row r="4268">
      <c r="A4268" t="n">
        <v>1.5239</v>
      </c>
      <c r="B4268" t="n">
        <v>1.4296</v>
      </c>
      <c r="C4268" t="n">
        <v>1.5044</v>
      </c>
    </row>
    <row r="4269">
      <c r="A4269" t="n">
        <v>1.6322</v>
      </c>
      <c r="B4269" t="n">
        <v>1.4285</v>
      </c>
      <c r="C4269" t="n">
        <v>1.4347</v>
      </c>
    </row>
    <row r="4270">
      <c r="A4270" t="n">
        <v>1.4624</v>
      </c>
      <c r="B4270" t="n">
        <v>1.62</v>
      </c>
      <c r="C4270" t="n">
        <v>1.4437</v>
      </c>
    </row>
    <row r="4271">
      <c r="A4271" t="n">
        <v>1.3994</v>
      </c>
      <c r="B4271" t="n">
        <v>1.74</v>
      </c>
      <c r="C4271" t="n">
        <v>1.4106</v>
      </c>
    </row>
    <row r="4272">
      <c r="A4272" t="n">
        <v>1.4378</v>
      </c>
      <c r="B4272" t="n">
        <v>1.4887</v>
      </c>
      <c r="C4272" t="n">
        <v>1.4153</v>
      </c>
    </row>
    <row r="4273">
      <c r="A4273" t="n">
        <v>1.447</v>
      </c>
      <c r="B4273" t="n">
        <v>1.4463</v>
      </c>
      <c r="C4273" t="n">
        <v>1.408</v>
      </c>
    </row>
    <row r="4274">
      <c r="A4274" t="n">
        <v>1.9881</v>
      </c>
      <c r="B4274" t="n">
        <v>1.4896</v>
      </c>
      <c r="C4274" t="n">
        <v>1.4646</v>
      </c>
    </row>
    <row r="4275">
      <c r="A4275" t="n">
        <v>1.5005</v>
      </c>
      <c r="B4275" t="n">
        <v>1.4328</v>
      </c>
      <c r="C4275" t="n">
        <v>1.6065</v>
      </c>
    </row>
    <row r="4276">
      <c r="A4276" t="n">
        <v>1.4259</v>
      </c>
      <c r="B4276" t="n">
        <v>1.5072</v>
      </c>
      <c r="C4276" t="n">
        <v>1.4953</v>
      </c>
    </row>
    <row r="4277">
      <c r="A4277" t="n">
        <v>1.4188</v>
      </c>
      <c r="B4277" t="n">
        <v>1.6346</v>
      </c>
      <c r="C4277" t="n">
        <v>1.6545</v>
      </c>
    </row>
    <row r="4278">
      <c r="A4278" t="n">
        <v>1.4067</v>
      </c>
      <c r="B4278" t="n">
        <v>1.4931</v>
      </c>
      <c r="C4278" t="n">
        <v>1.5036</v>
      </c>
    </row>
    <row r="4279">
      <c r="A4279" t="n">
        <v>1.4178</v>
      </c>
      <c r="B4279" t="n">
        <v>1.4225</v>
      </c>
      <c r="C4279" t="n">
        <v>1.4239</v>
      </c>
    </row>
    <row r="4280">
      <c r="A4280" t="n">
        <v>1.6076</v>
      </c>
      <c r="B4280" t="n">
        <v>1.4158</v>
      </c>
      <c r="C4280" t="n">
        <v>1.661</v>
      </c>
    </row>
    <row r="4281">
      <c r="A4281" t="n">
        <v>1.5068</v>
      </c>
      <c r="B4281" t="n">
        <v>1.4232</v>
      </c>
      <c r="C4281" t="n">
        <v>1.5259</v>
      </c>
    </row>
    <row r="4282">
      <c r="A4282" t="n">
        <v>1.6902</v>
      </c>
      <c r="B4282" t="n">
        <v>1.4522</v>
      </c>
      <c r="C4282" t="n">
        <v>1.6125</v>
      </c>
    </row>
    <row r="4283">
      <c r="A4283" t="n">
        <v>1.4674</v>
      </c>
      <c r="B4283" t="n">
        <v>1.6148</v>
      </c>
      <c r="C4283" t="n">
        <v>1.4874</v>
      </c>
    </row>
    <row r="4284">
      <c r="A4284" t="n">
        <v>1.4347</v>
      </c>
      <c r="B4284" t="n">
        <v>1.7876</v>
      </c>
      <c r="C4284" t="n">
        <v>1.4505</v>
      </c>
    </row>
    <row r="4285">
      <c r="A4285" t="n">
        <v>1.3861</v>
      </c>
      <c r="B4285" t="n">
        <v>1.4887</v>
      </c>
      <c r="C4285" t="n">
        <v>1.378</v>
      </c>
    </row>
    <row r="4286">
      <c r="A4286" t="n">
        <v>1.42</v>
      </c>
      <c r="B4286" t="n">
        <v>1.4469</v>
      </c>
      <c r="C4286" t="n">
        <v>1.421</v>
      </c>
    </row>
    <row r="4287">
      <c r="A4287" t="n">
        <v>1.4934</v>
      </c>
      <c r="B4287" t="n">
        <v>1.4487</v>
      </c>
      <c r="C4287" t="n">
        <v>1.4575</v>
      </c>
    </row>
    <row r="4288">
      <c r="A4288" t="n">
        <v>1.4229</v>
      </c>
      <c r="B4288" t="n">
        <v>1.6291</v>
      </c>
      <c r="C4288" t="n">
        <v>1.6573</v>
      </c>
    </row>
    <row r="4289">
      <c r="A4289" t="n">
        <v>1.4712</v>
      </c>
      <c r="B4289" t="n">
        <v>1.5165</v>
      </c>
      <c r="C4289" t="n">
        <v>1.6631</v>
      </c>
    </row>
    <row r="4290">
      <c r="A4290" t="n">
        <v>1.6157</v>
      </c>
      <c r="B4290" t="n">
        <v>1.9531</v>
      </c>
      <c r="C4290" t="n">
        <v>2.0235</v>
      </c>
    </row>
    <row r="4291">
      <c r="A4291" t="n">
        <v>1.4844</v>
      </c>
      <c r="B4291" t="n">
        <v>1.748</v>
      </c>
      <c r="C4291" t="n">
        <v>1.5351</v>
      </c>
    </row>
    <row r="4292">
      <c r="A4292" t="n">
        <v>1.4227</v>
      </c>
      <c r="B4292" t="n">
        <v>1.7327</v>
      </c>
      <c r="C4292" t="n">
        <v>1.6696</v>
      </c>
    </row>
    <row r="4293">
      <c r="A4293" t="n">
        <v>1.3673</v>
      </c>
      <c r="B4293" t="n">
        <v>1.499</v>
      </c>
      <c r="C4293" t="n">
        <v>1.5029</v>
      </c>
    </row>
    <row r="4294">
      <c r="A4294" t="n">
        <v>1.3977</v>
      </c>
      <c r="B4294" t="n">
        <v>1.4489</v>
      </c>
      <c r="C4294" t="n">
        <v>1.4531</v>
      </c>
    </row>
    <row r="4295">
      <c r="A4295" t="n">
        <v>1.4098</v>
      </c>
      <c r="B4295" t="n">
        <v>1.4936</v>
      </c>
      <c r="C4295" t="n">
        <v>1.6519</v>
      </c>
    </row>
    <row r="4296">
      <c r="A4296" t="n">
        <v>1.4045</v>
      </c>
      <c r="B4296" t="n">
        <v>1.4288</v>
      </c>
      <c r="C4296" t="n">
        <v>1.5457</v>
      </c>
    </row>
    <row r="4297">
      <c r="A4297" t="n">
        <v>1.4551</v>
      </c>
      <c r="B4297" t="n">
        <v>1.4345</v>
      </c>
      <c r="C4297" t="n">
        <v>1.6383</v>
      </c>
    </row>
    <row r="4298">
      <c r="A4298" t="n">
        <v>1.6196</v>
      </c>
      <c r="B4298" t="n">
        <v>1.6555</v>
      </c>
      <c r="C4298" t="n">
        <v>1.4944</v>
      </c>
    </row>
    <row r="4299">
      <c r="A4299" t="n">
        <v>1.4902</v>
      </c>
      <c r="B4299" t="n">
        <v>1.695</v>
      </c>
      <c r="C4299" t="n">
        <v>1.4653</v>
      </c>
    </row>
    <row r="4300">
      <c r="A4300" t="n">
        <v>1.7121</v>
      </c>
      <c r="B4300" t="n">
        <v>1.4699</v>
      </c>
      <c r="C4300" t="n">
        <v>1.4234</v>
      </c>
    </row>
    <row r="4301">
      <c r="A4301" t="n">
        <v>1.5328</v>
      </c>
      <c r="B4301" t="n">
        <v>1.455</v>
      </c>
      <c r="C4301" t="n">
        <v>1.4826</v>
      </c>
    </row>
    <row r="4302">
      <c r="A4302" t="n">
        <v>1.4616</v>
      </c>
      <c r="B4302" t="n">
        <v>1.4216</v>
      </c>
      <c r="C4302" t="n">
        <v>1.443</v>
      </c>
    </row>
    <row r="4303">
      <c r="A4303" t="n">
        <v>1.6729</v>
      </c>
      <c r="B4303" t="n">
        <v>1.6001</v>
      </c>
      <c r="C4303" t="n">
        <v>1.3936</v>
      </c>
    </row>
    <row r="4304">
      <c r="A4304" t="n">
        <v>1.5045</v>
      </c>
      <c r="B4304" t="n">
        <v>1.5627</v>
      </c>
      <c r="C4304" t="n">
        <v>1.45</v>
      </c>
    </row>
    <row r="4305">
      <c r="A4305" t="n">
        <v>1.7093</v>
      </c>
      <c r="B4305" t="n">
        <v>1.4062</v>
      </c>
      <c r="C4305" t="n">
        <v>1.6547</v>
      </c>
    </row>
    <row r="4306">
      <c r="A4306" t="n">
        <v>2.046</v>
      </c>
      <c r="B4306" t="n">
        <v>1.4666</v>
      </c>
      <c r="C4306" t="n">
        <v>1.4728</v>
      </c>
    </row>
    <row r="4307">
      <c r="A4307" t="n">
        <v>1.7536</v>
      </c>
      <c r="B4307" t="n">
        <v>1.4278</v>
      </c>
      <c r="C4307" t="n">
        <v>1.462</v>
      </c>
    </row>
    <row r="4308">
      <c r="A4308" t="n">
        <v>1.6906</v>
      </c>
      <c r="B4308" t="n">
        <v>1.3865</v>
      </c>
      <c r="C4308" t="n">
        <v>1.5996</v>
      </c>
    </row>
    <row r="4309">
      <c r="A4309" t="n">
        <v>1.5299</v>
      </c>
      <c r="B4309" t="n">
        <v>1.4546</v>
      </c>
      <c r="C4309" t="n">
        <v>1.5171</v>
      </c>
    </row>
    <row r="4310">
      <c r="A4310" t="n">
        <v>1.6632</v>
      </c>
      <c r="B4310" t="n">
        <v>1.4401</v>
      </c>
      <c r="C4310" t="n">
        <v>1.6289</v>
      </c>
    </row>
    <row r="4311">
      <c r="A4311" t="n">
        <v>1.467</v>
      </c>
      <c r="B4311" t="n">
        <v>1.6146</v>
      </c>
      <c r="C4311" t="n">
        <v>1.5053</v>
      </c>
    </row>
    <row r="4312">
      <c r="A4312" t="n">
        <v>1.4287</v>
      </c>
      <c r="B4312" t="n">
        <v>1.7501</v>
      </c>
      <c r="C4312" t="n">
        <v>1.4198</v>
      </c>
    </row>
    <row r="4313">
      <c r="A4313" t="n">
        <v>1.4012</v>
      </c>
      <c r="B4313" t="n">
        <v>1.503</v>
      </c>
      <c r="C4313" t="n">
        <v>1.435</v>
      </c>
    </row>
    <row r="4314">
      <c r="A4314" t="n">
        <v>1.4396</v>
      </c>
      <c r="B4314" t="n">
        <v>1.4291</v>
      </c>
      <c r="C4314" t="n">
        <v>1.4431</v>
      </c>
    </row>
    <row r="4315">
      <c r="A4315" t="n">
        <v>1.4407</v>
      </c>
      <c r="B4315" t="n">
        <v>1.4505</v>
      </c>
      <c r="C4315" t="n">
        <v>1.4594</v>
      </c>
    </row>
    <row r="4316">
      <c r="A4316" t="n">
        <v>1.6552</v>
      </c>
      <c r="B4316" t="n">
        <v>1.3909</v>
      </c>
      <c r="C4316" t="n">
        <v>1.6923</v>
      </c>
    </row>
    <row r="4317">
      <c r="A4317" t="n">
        <v>1.6584</v>
      </c>
      <c r="B4317" t="n">
        <v>1.4462</v>
      </c>
      <c r="C4317" t="n">
        <v>1.6901</v>
      </c>
    </row>
    <row r="4318">
      <c r="A4318" t="n">
        <v>1.4862</v>
      </c>
      <c r="B4318" t="n">
        <v>1.6682</v>
      </c>
      <c r="C4318" t="n">
        <v>1.4935</v>
      </c>
    </row>
    <row r="4319">
      <c r="A4319" t="n">
        <v>1.4427</v>
      </c>
      <c r="B4319" t="n">
        <v>1.5176</v>
      </c>
      <c r="C4319" t="n">
        <v>1.6775</v>
      </c>
    </row>
    <row r="4320">
      <c r="A4320" t="n">
        <v>1.3975</v>
      </c>
      <c r="B4320" t="n">
        <v>1.7399</v>
      </c>
      <c r="C4320" t="n">
        <v>1.6692</v>
      </c>
    </row>
    <row r="4321">
      <c r="A4321" t="n">
        <v>1.5906</v>
      </c>
      <c r="B4321" t="n">
        <v>1.673</v>
      </c>
      <c r="C4321" t="n">
        <v>1.4852</v>
      </c>
    </row>
    <row r="4322">
      <c r="A4322" t="n">
        <v>1.5227</v>
      </c>
      <c r="B4322" t="n">
        <v>2.0575</v>
      </c>
      <c r="C4322" t="n">
        <v>1.99</v>
      </c>
    </row>
    <row r="4323">
      <c r="A4323" t="n">
        <v>1.5922</v>
      </c>
      <c r="B4323" t="n">
        <v>1.5457</v>
      </c>
      <c r="C4323" t="n">
        <v>1.7699</v>
      </c>
    </row>
    <row r="4324">
      <c r="A4324" t="n">
        <v>1.5038</v>
      </c>
      <c r="B4324" t="n">
        <v>1.4922</v>
      </c>
      <c r="C4324" t="n">
        <v>1.7444</v>
      </c>
    </row>
    <row r="4325">
      <c r="A4325" t="n">
        <v>1.4654</v>
      </c>
      <c r="B4325" t="n">
        <v>1.7029</v>
      </c>
      <c r="C4325" t="n">
        <v>1.566</v>
      </c>
    </row>
    <row r="4326">
      <c r="A4326" t="n">
        <v>1.3767</v>
      </c>
      <c r="B4326" t="n">
        <v>1.495</v>
      </c>
      <c r="C4326" t="n">
        <v>1.5057</v>
      </c>
    </row>
    <row r="4327">
      <c r="A4327" t="n">
        <v>1.4362</v>
      </c>
      <c r="B4327" t="n">
        <v>1.6309</v>
      </c>
      <c r="C4327" t="n">
        <v>1.6445</v>
      </c>
    </row>
    <row r="4328">
      <c r="A4328" t="n">
        <v>1.4195</v>
      </c>
      <c r="B4328" t="n">
        <v>1.6827</v>
      </c>
      <c r="C4328" t="n">
        <v>1.5124</v>
      </c>
    </row>
    <row r="4329">
      <c r="A4329" t="n">
        <v>1.5981</v>
      </c>
      <c r="B4329" t="n">
        <v>1.5103</v>
      </c>
      <c r="C4329" t="n">
        <v>1.6435</v>
      </c>
    </row>
    <row r="4330">
      <c r="A4330" t="n">
        <v>1.7857</v>
      </c>
      <c r="B4330" t="n">
        <v>1.6804</v>
      </c>
      <c r="C4330" t="n">
        <v>1.8729</v>
      </c>
    </row>
    <row r="4331">
      <c r="A4331" t="n">
        <v>1.4814</v>
      </c>
      <c r="B4331" t="n">
        <v>1.4696</v>
      </c>
      <c r="C4331" t="n">
        <v>1.5981</v>
      </c>
    </row>
    <row r="4332">
      <c r="A4332" t="n">
        <v>1.4419</v>
      </c>
      <c r="B4332" t="n">
        <v>1.4103</v>
      </c>
      <c r="C4332" t="n">
        <v>1.4724</v>
      </c>
    </row>
    <row r="4333">
      <c r="A4333" t="n">
        <v>1.4493</v>
      </c>
      <c r="B4333" t="n">
        <v>1.4147</v>
      </c>
      <c r="C4333" t="n">
        <v>1.4135</v>
      </c>
    </row>
    <row r="4334">
      <c r="A4334" t="n">
        <v>1.6137</v>
      </c>
      <c r="B4334" t="n">
        <v>1.4215</v>
      </c>
      <c r="C4334" t="n">
        <v>1.4112</v>
      </c>
    </row>
    <row r="4335">
      <c r="A4335" t="n">
        <v>1.7929</v>
      </c>
      <c r="B4335" t="n">
        <v>1.4434</v>
      </c>
      <c r="C4335" t="n">
        <v>1.4168</v>
      </c>
    </row>
    <row r="4336">
      <c r="A4336" t="n">
        <v>1.5173</v>
      </c>
      <c r="B4336" t="n">
        <v>1.642</v>
      </c>
      <c r="C4336" t="n">
        <v>1.4329</v>
      </c>
    </row>
    <row r="4337">
      <c r="A4337" t="n">
        <v>1.4556</v>
      </c>
      <c r="B4337" t="n">
        <v>1.6938</v>
      </c>
      <c r="C4337" t="n">
        <v>1.4585</v>
      </c>
    </row>
    <row r="4338">
      <c r="A4338" t="n">
        <v>2.0159</v>
      </c>
      <c r="B4338" t="n">
        <v>1.4755</v>
      </c>
      <c r="C4338" t="n">
        <v>1.6272</v>
      </c>
    </row>
    <row r="4339">
      <c r="A4339" t="n">
        <v>1.5184</v>
      </c>
      <c r="B4339" t="n">
        <v>1.4501</v>
      </c>
      <c r="C4339" t="n">
        <v>1.7864</v>
      </c>
    </row>
    <row r="4340">
      <c r="A4340" t="n">
        <v>1.4298</v>
      </c>
      <c r="B4340" t="n">
        <v>1.4509</v>
      </c>
      <c r="C4340" t="n">
        <v>1.5298</v>
      </c>
    </row>
    <row r="4341">
      <c r="A4341" t="n">
        <v>1.4287</v>
      </c>
      <c r="B4341" t="n">
        <v>1.6258</v>
      </c>
      <c r="C4341" t="n">
        <v>1.4494</v>
      </c>
    </row>
    <row r="4342">
      <c r="A4342" t="n">
        <v>1.4411</v>
      </c>
      <c r="B4342" t="n">
        <v>1.5513</v>
      </c>
      <c r="C4342" t="n">
        <v>1.4284</v>
      </c>
    </row>
    <row r="4343">
      <c r="A4343" t="n">
        <v>1.4681</v>
      </c>
      <c r="B4343" t="n">
        <v>1.6531</v>
      </c>
      <c r="C4343" t="n">
        <v>1.6884</v>
      </c>
    </row>
    <row r="4344">
      <c r="A4344" t="n">
        <v>1.6481</v>
      </c>
      <c r="B4344" t="n">
        <v>1.4687</v>
      </c>
      <c r="C4344" t="n">
        <v>1.6758</v>
      </c>
    </row>
    <row r="4345">
      <c r="A4345" t="n">
        <v>1.6868</v>
      </c>
      <c r="B4345" t="n">
        <v>1.4531</v>
      </c>
      <c r="C4345" t="n">
        <v>1.4683</v>
      </c>
    </row>
    <row r="4346">
      <c r="A4346" t="n">
        <v>1.5028</v>
      </c>
      <c r="B4346" t="n">
        <v>1.6023</v>
      </c>
      <c r="C4346" t="n">
        <v>1.4403</v>
      </c>
    </row>
    <row r="4347">
      <c r="A4347" t="n">
        <v>1.4304</v>
      </c>
      <c r="B4347" t="n">
        <v>1.515</v>
      </c>
      <c r="C4347" t="n">
        <v>1.4542</v>
      </c>
    </row>
    <row r="4348">
      <c r="A4348" t="n">
        <v>1.4603</v>
      </c>
      <c r="B4348" t="n">
        <v>1.6244</v>
      </c>
      <c r="C4348" t="n">
        <v>1.6005</v>
      </c>
    </row>
    <row r="4349">
      <c r="A4349" t="n">
        <v>1.6634</v>
      </c>
      <c r="B4349" t="n">
        <v>1.4815</v>
      </c>
      <c r="C4349" t="n">
        <v>1.5357</v>
      </c>
    </row>
    <row r="4350">
      <c r="A4350" t="n">
        <v>1.8319</v>
      </c>
      <c r="B4350" t="n">
        <v>1.4102</v>
      </c>
      <c r="C4350" t="n">
        <v>1.6617</v>
      </c>
    </row>
    <row r="4351">
      <c r="A4351" t="n">
        <v>1.5056</v>
      </c>
      <c r="B4351" t="n">
        <v>1.4383</v>
      </c>
      <c r="C4351" t="n">
        <v>1.4826</v>
      </c>
    </row>
    <row r="4352">
      <c r="A4352" t="n">
        <v>1.472</v>
      </c>
      <c r="B4352" t="n">
        <v>1.4417</v>
      </c>
      <c r="C4352" t="n">
        <v>1.4592</v>
      </c>
    </row>
    <row r="4353">
      <c r="A4353" t="n">
        <v>1.4368</v>
      </c>
      <c r="B4353" t="n">
        <v>1.4528</v>
      </c>
      <c r="C4353" t="n">
        <v>1.4057</v>
      </c>
    </row>
    <row r="4354">
      <c r="A4354" t="n">
        <v>1.6575</v>
      </c>
      <c r="B4354" t="n">
        <v>1.9754</v>
      </c>
      <c r="C4354" t="n">
        <v>1.7668</v>
      </c>
    </row>
    <row r="4355">
      <c r="A4355" t="n">
        <v>1.6931</v>
      </c>
      <c r="B4355" t="n">
        <v>1.7049</v>
      </c>
      <c r="C4355" t="n">
        <v>1.6794</v>
      </c>
    </row>
    <row r="4356">
      <c r="A4356" t="n">
        <v>1.492</v>
      </c>
      <c r="B4356" t="n">
        <v>1.6589</v>
      </c>
      <c r="C4356" t="n">
        <v>1.496</v>
      </c>
    </row>
    <row r="4357">
      <c r="A4357" t="n">
        <v>1.4642</v>
      </c>
      <c r="B4357" t="n">
        <v>1.5435</v>
      </c>
      <c r="C4357" t="n">
        <v>1.424</v>
      </c>
    </row>
    <row r="4358">
      <c r="A4358" t="n">
        <v>1.4519</v>
      </c>
      <c r="B4358" t="n">
        <v>1.6361</v>
      </c>
      <c r="C4358" t="n">
        <v>1.4108</v>
      </c>
    </row>
    <row r="4359">
      <c r="A4359" t="n">
        <v>1.671</v>
      </c>
      <c r="B4359" t="n">
        <v>1.6915</v>
      </c>
      <c r="C4359" t="n">
        <v>1.4295</v>
      </c>
    </row>
    <row r="4360">
      <c r="A4360" t="n">
        <v>1.8678</v>
      </c>
      <c r="B4360" t="n">
        <v>1.4998</v>
      </c>
      <c r="C4360" t="n">
        <v>1.4251</v>
      </c>
    </row>
    <row r="4361">
      <c r="A4361" t="n">
        <v>1.7888</v>
      </c>
      <c r="B4361" t="n">
        <v>1.649</v>
      </c>
      <c r="C4361" t="n">
        <v>1.4058</v>
      </c>
    </row>
    <row r="4362">
      <c r="A4362" t="n">
        <v>1.5277</v>
      </c>
      <c r="B4362" t="n">
        <v>1.68</v>
      </c>
      <c r="C4362" t="n">
        <v>1.4905</v>
      </c>
    </row>
    <row r="4363">
      <c r="A4363" t="n">
        <v>1.7056</v>
      </c>
      <c r="B4363" t="n">
        <v>1.4754</v>
      </c>
      <c r="C4363" t="n">
        <v>1.6177</v>
      </c>
    </row>
    <row r="4364">
      <c r="A4364" t="n">
        <v>1.5005</v>
      </c>
      <c r="B4364" t="n">
        <v>1.439</v>
      </c>
      <c r="C4364" t="n">
        <v>1.4859</v>
      </c>
    </row>
    <row r="4365">
      <c r="A4365" t="n">
        <v>1.4557</v>
      </c>
      <c r="B4365" t="n">
        <v>1.4437</v>
      </c>
      <c r="C4365" t="n">
        <v>1.4379</v>
      </c>
    </row>
    <row r="4366">
      <c r="A4366" t="n">
        <v>1.4176</v>
      </c>
      <c r="B4366" t="n">
        <v>1.6403</v>
      </c>
      <c r="C4366" t="n">
        <v>1.3915</v>
      </c>
    </row>
    <row r="4367">
      <c r="A4367" t="n">
        <v>1.4676</v>
      </c>
      <c r="B4367" t="n">
        <v>1.5863</v>
      </c>
      <c r="C4367" t="n">
        <v>1.449</v>
      </c>
    </row>
    <row r="4368">
      <c r="A4368" t="n">
        <v>1.4358</v>
      </c>
      <c r="B4368" t="n">
        <v>1.4298</v>
      </c>
      <c r="C4368" t="n">
        <v>1.4599</v>
      </c>
    </row>
    <row r="4369">
      <c r="A4369" t="n">
        <v>1.4031</v>
      </c>
      <c r="B4369" t="n">
        <v>1.4447</v>
      </c>
      <c r="C4369" t="n">
        <v>1.6619</v>
      </c>
    </row>
    <row r="4370">
      <c r="A4370" t="n">
        <v>2.0419</v>
      </c>
      <c r="B4370" t="n">
        <v>1.4085</v>
      </c>
      <c r="C4370" t="n">
        <v>1.7025</v>
      </c>
    </row>
    <row r="4371">
      <c r="A4371" t="n">
        <v>1.6752</v>
      </c>
      <c r="B4371" t="n">
        <v>1.3991</v>
      </c>
      <c r="C4371" t="n">
        <v>1.5171</v>
      </c>
    </row>
    <row r="4372">
      <c r="A4372" t="n">
        <v>1.5062</v>
      </c>
      <c r="B4372" t="n">
        <v>1.4283</v>
      </c>
      <c r="C4372" t="n">
        <v>1.4324</v>
      </c>
    </row>
    <row r="4373">
      <c r="A4373" t="n">
        <v>1.622</v>
      </c>
      <c r="B4373" t="n">
        <v>1.4375</v>
      </c>
      <c r="C4373" t="n">
        <v>1.4662</v>
      </c>
    </row>
    <row r="4374">
      <c r="A4374" t="n">
        <v>1.5034</v>
      </c>
      <c r="B4374" t="n">
        <v>1.6004</v>
      </c>
      <c r="C4374" t="n">
        <v>1.6436</v>
      </c>
    </row>
    <row r="4375">
      <c r="A4375" t="n">
        <v>1.4242</v>
      </c>
      <c r="B4375" t="n">
        <v>1.5699</v>
      </c>
      <c r="C4375" t="n">
        <v>1.6552</v>
      </c>
    </row>
    <row r="4376">
      <c r="A4376" t="n">
        <v>1.431</v>
      </c>
      <c r="B4376" t="n">
        <v>1.4398</v>
      </c>
      <c r="C4376" t="n">
        <v>1.508</v>
      </c>
    </row>
    <row r="4377">
      <c r="A4377" t="n">
        <v>1.421</v>
      </c>
      <c r="B4377" t="n">
        <v>1.4117</v>
      </c>
      <c r="C4377" t="n">
        <v>1.5112</v>
      </c>
    </row>
    <row r="4378">
      <c r="A4378" t="n">
        <v>1.4382</v>
      </c>
      <c r="B4378" t="n">
        <v>1.4217</v>
      </c>
      <c r="C4378" t="n">
        <v>1.4465</v>
      </c>
    </row>
    <row r="4379">
      <c r="A4379" t="n">
        <v>1.6532</v>
      </c>
      <c r="B4379" t="n">
        <v>1.4017</v>
      </c>
      <c r="C4379" t="n">
        <v>1.6037</v>
      </c>
    </row>
    <row r="4380">
      <c r="A4380" t="n">
        <v>1.7158</v>
      </c>
      <c r="B4380" t="n">
        <v>1.4358</v>
      </c>
      <c r="C4380" t="n">
        <v>1.7596</v>
      </c>
    </row>
    <row r="4381">
      <c r="A4381" t="n">
        <v>1.5016</v>
      </c>
      <c r="B4381" t="n">
        <v>1.4361</v>
      </c>
      <c r="C4381" t="n">
        <v>1.4932</v>
      </c>
    </row>
    <row r="4382">
      <c r="A4382" t="n">
        <v>1.4605</v>
      </c>
      <c r="B4382" t="n">
        <v>1.6657</v>
      </c>
      <c r="C4382" t="n">
        <v>1.4608</v>
      </c>
    </row>
    <row r="4383">
      <c r="A4383" t="n">
        <v>1.4139</v>
      </c>
      <c r="B4383" t="n">
        <v>1.7325</v>
      </c>
      <c r="C4383" t="n">
        <v>1.4395</v>
      </c>
    </row>
    <row r="4384">
      <c r="A4384" t="n">
        <v>1.5976</v>
      </c>
      <c r="B4384" t="n">
        <v>1.482</v>
      </c>
      <c r="C4384" t="n">
        <v>1.6262</v>
      </c>
    </row>
    <row r="4385">
      <c r="A4385" t="n">
        <v>1.5169</v>
      </c>
      <c r="B4385" t="n">
        <v>1.4265</v>
      </c>
      <c r="C4385" t="n">
        <v>1.6136</v>
      </c>
    </row>
    <row r="4386">
      <c r="A4386" t="n">
        <v>1.6859</v>
      </c>
      <c r="B4386" t="n">
        <v>1.7281</v>
      </c>
      <c r="C4386" t="n">
        <v>1.7595</v>
      </c>
    </row>
    <row r="4387">
      <c r="A4387" t="n">
        <v>1.4842</v>
      </c>
      <c r="B4387" t="n">
        <v>1.394</v>
      </c>
      <c r="C4387" t="n">
        <v>1.4297</v>
      </c>
    </row>
    <row r="4388">
      <c r="A4388" t="n">
        <v>1.4657</v>
      </c>
      <c r="B4388" t="n">
        <v>1.5004</v>
      </c>
      <c r="C4388" t="n">
        <v>1.4519</v>
      </c>
    </row>
    <row r="4389">
      <c r="A4389" t="n">
        <v>1.5772</v>
      </c>
      <c r="B4389" t="n">
        <v>1.6291</v>
      </c>
      <c r="C4389" t="n">
        <v>1.6007</v>
      </c>
    </row>
    <row r="4390">
      <c r="A4390" t="n">
        <v>1.533</v>
      </c>
      <c r="B4390" t="n">
        <v>1.4795</v>
      </c>
      <c r="C4390" t="n">
        <v>1.8446</v>
      </c>
    </row>
    <row r="4391">
      <c r="A4391" t="n">
        <v>1.6893</v>
      </c>
      <c r="B4391" t="n">
        <v>1.4376</v>
      </c>
      <c r="C4391" t="n">
        <v>1.5119</v>
      </c>
    </row>
    <row r="4392">
      <c r="A4392" t="n">
        <v>1.4698</v>
      </c>
      <c r="B4392" t="n">
        <v>1.3898</v>
      </c>
      <c r="C4392" t="n">
        <v>1.4656</v>
      </c>
    </row>
    <row r="4393">
      <c r="A4393" t="n">
        <v>1.4399</v>
      </c>
      <c r="B4393" t="n">
        <v>1.4336</v>
      </c>
      <c r="C4393" t="n">
        <v>1.4393</v>
      </c>
    </row>
    <row r="4394">
      <c r="A4394" t="n">
        <v>1.4064</v>
      </c>
      <c r="B4394" t="n">
        <v>1.4575</v>
      </c>
      <c r="C4394" t="n">
        <v>1.6491</v>
      </c>
    </row>
    <row r="4395">
      <c r="A4395" t="n">
        <v>1.4088</v>
      </c>
      <c r="B4395" t="n">
        <v>1.6573</v>
      </c>
      <c r="C4395" t="n">
        <v>1.7896</v>
      </c>
    </row>
    <row r="4396">
      <c r="A4396" t="n">
        <v>1.442</v>
      </c>
      <c r="B4396" t="n">
        <v>1.6919</v>
      </c>
      <c r="C4396" t="n">
        <v>1.4901</v>
      </c>
    </row>
    <row r="4397">
      <c r="A4397" t="n">
        <v>1.6573</v>
      </c>
      <c r="B4397" t="n">
        <v>1.4931</v>
      </c>
      <c r="C4397" t="n">
        <v>1.4543</v>
      </c>
    </row>
    <row r="4398">
      <c r="A4398" t="n">
        <v>1.6745</v>
      </c>
      <c r="B4398" t="n">
        <v>1.43</v>
      </c>
      <c r="C4398" t="n">
        <v>1.4332</v>
      </c>
    </row>
    <row r="4399">
      <c r="A4399" t="n">
        <v>1.5156</v>
      </c>
      <c r="B4399" t="n">
        <v>1.4339</v>
      </c>
      <c r="C4399" t="n">
        <v>1.6159</v>
      </c>
    </row>
    <row r="4400">
      <c r="A4400" t="n">
        <v>1.4529</v>
      </c>
      <c r="B4400" t="n">
        <v>1.6014</v>
      </c>
      <c r="C4400" t="n">
        <v>1.8157</v>
      </c>
    </row>
    <row r="4401">
      <c r="A4401" t="n">
        <v>1.425</v>
      </c>
      <c r="B4401" t="n">
        <v>1.8107</v>
      </c>
      <c r="C4401" t="n">
        <v>1.4947</v>
      </c>
    </row>
    <row r="4402">
      <c r="A4402" t="n">
        <v>2.0046</v>
      </c>
      <c r="B4402" t="n">
        <v>1.48</v>
      </c>
      <c r="C4402" t="n">
        <v>1.4315</v>
      </c>
    </row>
    <row r="4403">
      <c r="A4403" t="n">
        <v>1.7217</v>
      </c>
      <c r="B4403" t="n">
        <v>1.4412</v>
      </c>
      <c r="C4403" t="n">
        <v>1.4461</v>
      </c>
    </row>
    <row r="4404">
      <c r="A4404" t="n">
        <v>1.6479</v>
      </c>
      <c r="B4404" t="n">
        <v>1.4173</v>
      </c>
      <c r="C4404" t="n">
        <v>1.6098</v>
      </c>
    </row>
    <row r="4405">
      <c r="A4405" t="n">
        <v>1.5312</v>
      </c>
      <c r="B4405" t="n">
        <v>1.6266</v>
      </c>
      <c r="C4405" t="n">
        <v>1.5536</v>
      </c>
    </row>
    <row r="4406">
      <c r="A4406" t="n">
        <v>1.6644</v>
      </c>
      <c r="B4406" t="n">
        <v>1.5018</v>
      </c>
      <c r="C4406" t="n">
        <v>1.436</v>
      </c>
    </row>
    <row r="4407">
      <c r="A4407" t="n">
        <v>1.4748</v>
      </c>
      <c r="B4407" t="n">
        <v>1.6238</v>
      </c>
      <c r="C4407" t="n">
        <v>1.431</v>
      </c>
    </row>
    <row r="4408">
      <c r="A4408" t="n">
        <v>1.4165</v>
      </c>
      <c r="B4408" t="n">
        <v>1.491</v>
      </c>
      <c r="C4408" t="n">
        <v>1.3877</v>
      </c>
    </row>
    <row r="4409">
      <c r="A4409" t="n">
        <v>1.3967</v>
      </c>
      <c r="B4409" t="n">
        <v>1.497</v>
      </c>
      <c r="C4409" t="n">
        <v>1.4131</v>
      </c>
    </row>
    <row r="4410">
      <c r="A4410" t="n">
        <v>1.4084</v>
      </c>
      <c r="B4410" t="n">
        <v>1.6302</v>
      </c>
      <c r="C4410" t="n">
        <v>1.4465</v>
      </c>
    </row>
    <row r="4411">
      <c r="A4411" t="n">
        <v>1.418</v>
      </c>
      <c r="B4411" t="n">
        <v>1.5155</v>
      </c>
      <c r="C4411" t="n">
        <v>1.4572</v>
      </c>
    </row>
    <row r="4412">
      <c r="A4412" t="n">
        <v>1.3972</v>
      </c>
      <c r="B4412" t="n">
        <v>1.6361</v>
      </c>
      <c r="C4412" t="n">
        <v>1.6094</v>
      </c>
    </row>
    <row r="4413">
      <c r="A4413" t="n">
        <v>1.4559</v>
      </c>
      <c r="B4413" t="n">
        <v>1.4675</v>
      </c>
      <c r="C4413" t="n">
        <v>1.861</v>
      </c>
    </row>
    <row r="4414">
      <c r="A4414" t="n">
        <v>1.6316</v>
      </c>
      <c r="B4414" t="n">
        <v>1.4238</v>
      </c>
      <c r="C4414" t="n">
        <v>1.4833</v>
      </c>
    </row>
    <row r="4415">
      <c r="A4415" t="n">
        <v>1.5277</v>
      </c>
      <c r="B4415" t="n">
        <v>1.4057</v>
      </c>
      <c r="C4415" t="n">
        <v>1.441</v>
      </c>
    </row>
    <row r="4416">
      <c r="A4416" t="n">
        <v>1.4039</v>
      </c>
      <c r="B4416" t="n">
        <v>1.4039</v>
      </c>
      <c r="C4416" t="n">
        <v>1.453</v>
      </c>
    </row>
    <row r="4417">
      <c r="A4417" t="n">
        <v>1.4528</v>
      </c>
      <c r="B4417" t="n">
        <v>1.4557</v>
      </c>
      <c r="C4417" t="n">
        <v>1.644</v>
      </c>
    </row>
    <row r="4418">
      <c r="A4418" t="n">
        <v>1.4187</v>
      </c>
      <c r="B4418" t="n">
        <v>1.7695</v>
      </c>
      <c r="C4418" t="n">
        <v>2.0493</v>
      </c>
    </row>
    <row r="4419">
      <c r="A4419" t="n">
        <v>1.4227</v>
      </c>
      <c r="B4419" t="n">
        <v>1.651</v>
      </c>
      <c r="C4419" t="n">
        <v>1.6789</v>
      </c>
    </row>
    <row r="4420">
      <c r="A4420" t="n">
        <v>1.6895</v>
      </c>
      <c r="B4420" t="n">
        <v>1.5009</v>
      </c>
      <c r="C4420" t="n">
        <v>1.5405</v>
      </c>
    </row>
    <row r="4421">
      <c r="A4421" t="n">
        <v>1.7646</v>
      </c>
      <c r="B4421" t="n">
        <v>1.4599</v>
      </c>
      <c r="C4421" t="n">
        <v>1.7134</v>
      </c>
    </row>
    <row r="4422">
      <c r="A4422" t="n">
        <v>1.4792</v>
      </c>
      <c r="B4422" t="n">
        <v>1.4045</v>
      </c>
      <c r="C4422" t="n">
        <v>1.5128</v>
      </c>
    </row>
    <row r="4423">
      <c r="A4423" t="n">
        <v>1.4566</v>
      </c>
      <c r="B4423" t="n">
        <v>1.5973</v>
      </c>
      <c r="C4423" t="n">
        <v>1.4243</v>
      </c>
    </row>
    <row r="4424">
      <c r="A4424" t="n">
        <v>1.4355</v>
      </c>
      <c r="B4424" t="n">
        <v>1.7562</v>
      </c>
      <c r="C4424" t="n">
        <v>1.6153</v>
      </c>
    </row>
    <row r="4425">
      <c r="A4425" t="n">
        <v>1.6145</v>
      </c>
      <c r="B4425" t="n">
        <v>1.472</v>
      </c>
      <c r="C4425" t="n">
        <v>1.526</v>
      </c>
    </row>
    <row r="4426">
      <c r="A4426" t="n">
        <v>1.5277</v>
      </c>
      <c r="B4426" t="n">
        <v>1.4435</v>
      </c>
      <c r="C4426" t="n">
        <v>1.6113</v>
      </c>
    </row>
    <row r="4427">
      <c r="A4427" t="n">
        <v>1.6453</v>
      </c>
      <c r="B4427" t="n">
        <v>1.4201</v>
      </c>
      <c r="C4427" t="n">
        <v>1.4912</v>
      </c>
    </row>
    <row r="4428">
      <c r="A4428" t="n">
        <v>1.4879</v>
      </c>
      <c r="B4428" t="n">
        <v>1.6558</v>
      </c>
      <c r="C4428" t="n">
        <v>1.4414</v>
      </c>
    </row>
    <row r="4429">
      <c r="A4429" t="n">
        <v>1.445</v>
      </c>
      <c r="B4429" t="n">
        <v>1.5353</v>
      </c>
      <c r="C4429" t="n">
        <v>1.3957</v>
      </c>
    </row>
    <row r="4430">
      <c r="A4430" t="n">
        <v>1.673</v>
      </c>
      <c r="B4430" t="n">
        <v>1.6377</v>
      </c>
      <c r="C4430" t="n">
        <v>1.4266</v>
      </c>
    </row>
    <row r="4431">
      <c r="A4431" t="n">
        <v>1.5261</v>
      </c>
      <c r="B4431" t="n">
        <v>1.5127</v>
      </c>
      <c r="C4431" t="n">
        <v>1.4286</v>
      </c>
    </row>
    <row r="4432">
      <c r="A4432" t="n">
        <v>1.634</v>
      </c>
      <c r="B4432" t="n">
        <v>1.4752</v>
      </c>
      <c r="C4432" t="n">
        <v>1.4053</v>
      </c>
    </row>
    <row r="4433">
      <c r="A4433" t="n">
        <v>1.7061</v>
      </c>
      <c r="B4433" t="n">
        <v>1.617</v>
      </c>
      <c r="C4433" t="n">
        <v>1.4732</v>
      </c>
    </row>
    <row r="4434">
      <c r="A4434" t="n">
        <v>1.7869</v>
      </c>
      <c r="B4434" t="n">
        <v>1.543</v>
      </c>
      <c r="C4434" t="n">
        <v>1.6656</v>
      </c>
    </row>
    <row r="4435">
      <c r="A4435" t="n">
        <v>1.4656</v>
      </c>
      <c r="B4435" t="n">
        <v>1.6343</v>
      </c>
      <c r="C4435" t="n">
        <v>1.4706</v>
      </c>
    </row>
    <row r="4436">
      <c r="A4436" t="n">
        <v>1.6889</v>
      </c>
      <c r="B4436" t="n">
        <v>1.4908</v>
      </c>
      <c r="C4436" t="n">
        <v>1.4061</v>
      </c>
    </row>
    <row r="4437">
      <c r="A4437" t="n">
        <v>1.4627</v>
      </c>
      <c r="B4437" t="n">
        <v>1.4062</v>
      </c>
      <c r="C4437" t="n">
        <v>1.4442</v>
      </c>
    </row>
    <row r="4438">
      <c r="A4438" t="n">
        <v>1.4213</v>
      </c>
      <c r="B4438" t="n">
        <v>1.4276</v>
      </c>
      <c r="C4438" t="n">
        <v>1.4258</v>
      </c>
    </row>
    <row r="4439">
      <c r="A4439" t="n">
        <v>1.4369</v>
      </c>
      <c r="B4439" t="n">
        <v>1.436</v>
      </c>
      <c r="C4439" t="n">
        <v>1.4533</v>
      </c>
    </row>
    <row r="4440">
      <c r="A4440" t="n">
        <v>1.648</v>
      </c>
      <c r="B4440" t="n">
        <v>1.421</v>
      </c>
      <c r="C4440" t="n">
        <v>1.6696</v>
      </c>
    </row>
    <row r="4441">
      <c r="A4441" t="n">
        <v>1.765</v>
      </c>
      <c r="B4441" t="n">
        <v>1.656</v>
      </c>
      <c r="C4441" t="n">
        <v>1.6868</v>
      </c>
    </row>
    <row r="4442">
      <c r="A4442" t="n">
        <v>1.4695</v>
      </c>
      <c r="B4442" t="n">
        <v>1.7237</v>
      </c>
      <c r="C4442" t="n">
        <v>1.4903</v>
      </c>
    </row>
    <row r="4443">
      <c r="A4443" t="n">
        <v>1.4229</v>
      </c>
      <c r="B4443" t="n">
        <v>1.461</v>
      </c>
      <c r="C4443" t="n">
        <v>1.4412</v>
      </c>
    </row>
    <row r="4444">
      <c r="A4444" t="n">
        <v>1.4256</v>
      </c>
      <c r="B4444" t="n">
        <v>1.4252</v>
      </c>
      <c r="C4444" t="n">
        <v>1.4109</v>
      </c>
    </row>
    <row r="4445">
      <c r="A4445" t="n">
        <v>1.3898</v>
      </c>
      <c r="B4445" t="n">
        <v>1.4145</v>
      </c>
      <c r="C4445" t="n">
        <v>1.6007</v>
      </c>
    </row>
    <row r="4446">
      <c r="A4446" t="n">
        <v>1.465</v>
      </c>
      <c r="B4446" t="n">
        <v>1.6348</v>
      </c>
      <c r="C4446" t="n">
        <v>1.5205</v>
      </c>
    </row>
    <row r="4447">
      <c r="A4447" t="n">
        <v>1.7475</v>
      </c>
      <c r="B4447" t="n">
        <v>1.8332</v>
      </c>
      <c r="C4447" t="n">
        <v>1.6135</v>
      </c>
    </row>
    <row r="4448">
      <c r="A4448" t="n">
        <v>1.5006</v>
      </c>
      <c r="B4448" t="n">
        <v>1.4803</v>
      </c>
      <c r="C4448" t="n">
        <v>1.4895</v>
      </c>
    </row>
    <row r="4449">
      <c r="A4449" t="n">
        <v>1.4026</v>
      </c>
      <c r="B4449" t="n">
        <v>1.4317</v>
      </c>
      <c r="C4449" t="n">
        <v>1.474</v>
      </c>
    </row>
    <row r="4450">
      <c r="A4450" t="n">
        <v>1.3986</v>
      </c>
      <c r="B4450" t="n">
        <v>1.7601</v>
      </c>
      <c r="C4450" t="n">
        <v>1.6867</v>
      </c>
    </row>
    <row r="4451">
      <c r="A4451" t="n">
        <v>1.4448</v>
      </c>
      <c r="B4451" t="n">
        <v>1.4035</v>
      </c>
      <c r="C4451" t="n">
        <v>1.4444</v>
      </c>
    </row>
    <row r="4452">
      <c r="A4452" t="n">
        <v>1.4688</v>
      </c>
      <c r="B4452" t="n">
        <v>1.4232</v>
      </c>
      <c r="C4452" t="n">
        <v>1.6171</v>
      </c>
    </row>
    <row r="4453">
      <c r="A4453" t="n">
        <v>1.3995</v>
      </c>
      <c r="B4453" t="n">
        <v>1.3943</v>
      </c>
      <c r="C4453" t="n">
        <v>1.5347</v>
      </c>
    </row>
    <row r="4454">
      <c r="A4454" t="n">
        <v>1.4597</v>
      </c>
      <c r="B4454" t="n">
        <v>1.4739</v>
      </c>
      <c r="C4454" t="n">
        <v>1.4301</v>
      </c>
    </row>
    <row r="4455">
      <c r="A4455" t="n">
        <v>1.6306</v>
      </c>
      <c r="B4455" t="n">
        <v>1.4015</v>
      </c>
      <c r="C4455" t="n">
        <v>1.4385</v>
      </c>
    </row>
    <row r="4456">
      <c r="A4456" t="n">
        <v>1.5017</v>
      </c>
      <c r="B4456" t="n">
        <v>1.4282</v>
      </c>
      <c r="C4456" t="n">
        <v>1.4126</v>
      </c>
    </row>
    <row r="4457">
      <c r="A4457" t="n">
        <v>1.7221</v>
      </c>
      <c r="B4457" t="n">
        <v>1.4621</v>
      </c>
      <c r="C4457" t="n">
        <v>1.4695</v>
      </c>
    </row>
    <row r="4458">
      <c r="A4458" t="n">
        <v>1.7072</v>
      </c>
      <c r="B4458" t="n">
        <v>1.4307</v>
      </c>
      <c r="C4458" t="n">
        <v>1.6312</v>
      </c>
    </row>
    <row r="4459">
      <c r="A4459" t="n">
        <v>1.5276</v>
      </c>
      <c r="B4459" t="n">
        <v>1.6366</v>
      </c>
      <c r="C4459" t="n">
        <v>1.729</v>
      </c>
    </row>
    <row r="4460">
      <c r="A4460" t="n">
        <v>1.6601</v>
      </c>
      <c r="B4460" t="n">
        <v>1.5366</v>
      </c>
      <c r="C4460" t="n">
        <v>1.4982</v>
      </c>
    </row>
    <row r="4461">
      <c r="A4461" t="n">
        <v>1.4929</v>
      </c>
      <c r="B4461" t="n">
        <v>1.6418</v>
      </c>
      <c r="C4461" t="n">
        <v>1.4536</v>
      </c>
    </row>
    <row r="4462">
      <c r="A4462" t="n">
        <v>1.4538</v>
      </c>
      <c r="B4462" t="n">
        <v>1.5079</v>
      </c>
      <c r="C4462" t="n">
        <v>1.4463</v>
      </c>
    </row>
    <row r="4463">
      <c r="A4463" t="n">
        <v>1.4415</v>
      </c>
      <c r="B4463" t="n">
        <v>1.4999</v>
      </c>
      <c r="C4463" t="n">
        <v>1.7683</v>
      </c>
    </row>
    <row r="4464">
      <c r="A4464" t="n">
        <v>1.4589</v>
      </c>
      <c r="B4464" t="n">
        <v>1.629</v>
      </c>
      <c r="C4464" t="n">
        <v>1.7798</v>
      </c>
    </row>
    <row r="4465">
      <c r="A4465" t="n">
        <v>1.4278</v>
      </c>
      <c r="B4465" t="n">
        <v>1.542</v>
      </c>
      <c r="C4465" t="n">
        <v>1.4846</v>
      </c>
    </row>
    <row r="4466">
      <c r="A4466" t="n">
        <v>1.7623</v>
      </c>
      <c r="B4466" t="n">
        <v>1.6961</v>
      </c>
      <c r="C4466" t="n">
        <v>1.4571</v>
      </c>
    </row>
    <row r="4467">
      <c r="A4467" t="n">
        <v>1.6703</v>
      </c>
      <c r="B4467" t="n">
        <v>1.4927</v>
      </c>
      <c r="C4467" t="n">
        <v>1.4595</v>
      </c>
    </row>
    <row r="4468">
      <c r="A4468" t="n">
        <v>1.7306</v>
      </c>
      <c r="B4468" t="n">
        <v>1.4726</v>
      </c>
      <c r="C4468" t="n">
        <v>1.6785</v>
      </c>
    </row>
    <row r="4469">
      <c r="A4469" t="n">
        <v>1.5606</v>
      </c>
      <c r="B4469" t="n">
        <v>1.6484</v>
      </c>
      <c r="C4469" t="n">
        <v>1.7273</v>
      </c>
    </row>
    <row r="4470">
      <c r="A4470" t="n">
        <v>1.6427</v>
      </c>
      <c r="B4470" t="n">
        <v>1.5403</v>
      </c>
      <c r="C4470" t="n">
        <v>1.5403</v>
      </c>
    </row>
    <row r="4471">
      <c r="A4471" t="n">
        <v>1.5117</v>
      </c>
      <c r="B4471" t="n">
        <v>1.6884</v>
      </c>
      <c r="C4471" t="n">
        <v>1.4513</v>
      </c>
    </row>
    <row r="4472">
      <c r="A4472" t="n">
        <v>1.4432</v>
      </c>
      <c r="B4472" t="n">
        <v>1.4865</v>
      </c>
      <c r="C4472" t="n">
        <v>1.4411</v>
      </c>
    </row>
    <row r="4473">
      <c r="A4473" t="n">
        <v>1.6566</v>
      </c>
      <c r="B4473" t="n">
        <v>1.4666</v>
      </c>
      <c r="C4473" t="n">
        <v>1.6737</v>
      </c>
    </row>
    <row r="4474">
      <c r="A4474" t="n">
        <v>1.5538</v>
      </c>
      <c r="B4474" t="n">
        <v>1.6508</v>
      </c>
      <c r="C4474" t="n">
        <v>1.7444</v>
      </c>
    </row>
    <row r="4475">
      <c r="A4475" t="n">
        <v>1.6664</v>
      </c>
      <c r="B4475" t="n">
        <v>1.5386</v>
      </c>
      <c r="C4475" t="n">
        <v>1.5374</v>
      </c>
    </row>
    <row r="4476">
      <c r="A4476" t="n">
        <v>1.4817</v>
      </c>
      <c r="B4476" t="n">
        <v>1.6325</v>
      </c>
      <c r="C4476" t="n">
        <v>1.4744</v>
      </c>
    </row>
    <row r="4477">
      <c r="A4477" t="n">
        <v>1.4495</v>
      </c>
      <c r="B4477" t="n">
        <v>1.4989</v>
      </c>
      <c r="C4477" t="n">
        <v>1.4257</v>
      </c>
    </row>
    <row r="4478">
      <c r="A4478" t="n">
        <v>1.4244</v>
      </c>
      <c r="B4478" t="n">
        <v>1.4457</v>
      </c>
      <c r="C4478" t="n">
        <v>1.6718</v>
      </c>
    </row>
    <row r="4479">
      <c r="A4479" t="n">
        <v>1.4183</v>
      </c>
      <c r="B4479" t="n">
        <v>1.4066</v>
      </c>
      <c r="C4479" t="n">
        <v>1.7108</v>
      </c>
    </row>
    <row r="4480">
      <c r="A4480" t="n">
        <v>1.4439</v>
      </c>
      <c r="B4480" t="n">
        <v>1.4289</v>
      </c>
      <c r="C4480" t="n">
        <v>1.4913</v>
      </c>
    </row>
    <row r="4481">
      <c r="A4481" t="n">
        <v>1.4524</v>
      </c>
      <c r="B4481" t="n">
        <v>1.4156</v>
      </c>
      <c r="C4481" t="n">
        <v>1.4719</v>
      </c>
    </row>
    <row r="4482">
      <c r="A4482" t="n">
        <v>1.4747</v>
      </c>
      <c r="B4482" t="n">
        <v>1.7463</v>
      </c>
      <c r="C4482" t="n">
        <v>2.026</v>
      </c>
    </row>
    <row r="4483">
      <c r="A4483" t="n">
        <v>1.6829</v>
      </c>
      <c r="B4483" t="n">
        <v>1.6824</v>
      </c>
      <c r="C4483" t="n">
        <v>1.5218</v>
      </c>
    </row>
    <row r="4484">
      <c r="A4484" t="n">
        <v>1.5044</v>
      </c>
      <c r="B4484" t="n">
        <v>1.7658</v>
      </c>
      <c r="C4484" t="n">
        <v>1.4217</v>
      </c>
    </row>
    <row r="4485">
      <c r="A4485" t="n">
        <v>1.4541</v>
      </c>
      <c r="B4485" t="n">
        <v>1.5115</v>
      </c>
      <c r="C4485" t="n">
        <v>1.7764</v>
      </c>
    </row>
    <row r="4486">
      <c r="A4486" t="n">
        <v>1.676</v>
      </c>
      <c r="B4486" t="n">
        <v>1.6453</v>
      </c>
      <c r="C4486" t="n">
        <v>1.5196</v>
      </c>
    </row>
    <row r="4487">
      <c r="A4487" t="n">
        <v>1.5579</v>
      </c>
      <c r="B4487" t="n">
        <v>1.5089</v>
      </c>
      <c r="C4487" t="n">
        <v>1.6211</v>
      </c>
    </row>
    <row r="4488">
      <c r="A4488" t="n">
        <v>1.6773</v>
      </c>
      <c r="B4488" t="n">
        <v>1.4145</v>
      </c>
      <c r="C4488" t="n">
        <v>1.526</v>
      </c>
    </row>
    <row r="4489">
      <c r="A4489" t="n">
        <v>1.5153</v>
      </c>
      <c r="B4489" t="n">
        <v>1.4388</v>
      </c>
      <c r="C4489" t="n">
        <v>1.4131</v>
      </c>
    </row>
    <row r="4490">
      <c r="A4490" t="n">
        <v>1.4557</v>
      </c>
      <c r="B4490" t="n">
        <v>1.4379</v>
      </c>
      <c r="C4490" t="n">
        <v>1.4391</v>
      </c>
    </row>
    <row r="4491">
      <c r="A4491" t="n">
        <v>1.6423</v>
      </c>
      <c r="B4491" t="n">
        <v>1.4467</v>
      </c>
      <c r="C4491" t="n">
        <v>1.4335</v>
      </c>
    </row>
    <row r="4492">
      <c r="A4492" t="n">
        <v>1.5389</v>
      </c>
      <c r="B4492" t="n">
        <v>1.6934</v>
      </c>
      <c r="C4492" t="n">
        <v>1.4269</v>
      </c>
    </row>
    <row r="4493">
      <c r="A4493" t="n">
        <v>1.6474</v>
      </c>
      <c r="B4493" t="n">
        <v>1.6924</v>
      </c>
      <c r="C4493" t="n">
        <v>1.468</v>
      </c>
    </row>
    <row r="4494">
      <c r="A4494" t="n">
        <v>1.4818</v>
      </c>
      <c r="B4494" t="n">
        <v>1.4882</v>
      </c>
      <c r="C4494" t="n">
        <v>1.5061</v>
      </c>
    </row>
    <row r="4495">
      <c r="A4495" t="n">
        <v>1.444</v>
      </c>
      <c r="B4495" t="n">
        <v>1.445</v>
      </c>
      <c r="C4495" t="n">
        <v>1.6785</v>
      </c>
    </row>
    <row r="4496">
      <c r="A4496" t="n">
        <v>1.6902</v>
      </c>
      <c r="B4496" t="n">
        <v>1.4446</v>
      </c>
      <c r="C4496" t="n">
        <v>1.5016</v>
      </c>
    </row>
    <row r="4497">
      <c r="A4497" t="n">
        <v>1.5138</v>
      </c>
      <c r="B4497" t="n">
        <v>1.6363</v>
      </c>
      <c r="C4497" t="n">
        <v>1.4523</v>
      </c>
    </row>
    <row r="4498">
      <c r="A4498" t="n">
        <v>1.9655</v>
      </c>
      <c r="B4498" t="n">
        <v>1.7656</v>
      </c>
      <c r="C4498" t="n">
        <v>1.6856</v>
      </c>
    </row>
    <row r="4499">
      <c r="A4499" t="n">
        <v>1.5144</v>
      </c>
      <c r="B4499" t="n">
        <v>1.48</v>
      </c>
      <c r="C4499" t="n">
        <v>1.5275</v>
      </c>
    </row>
    <row r="4500">
      <c r="A4500" t="n">
        <v>1.4237</v>
      </c>
      <c r="B4500" t="n">
        <v>1.458</v>
      </c>
      <c r="C4500" t="n">
        <v>1.674</v>
      </c>
    </row>
    <row r="4501">
      <c r="A4501" t="n">
        <v>1.6609</v>
      </c>
      <c r="B4501" t="n">
        <v>1.4652</v>
      </c>
      <c r="C4501" t="n">
        <v>1.5412</v>
      </c>
    </row>
    <row r="4502">
      <c r="A4502" t="n">
        <v>1.7254</v>
      </c>
      <c r="B4502" t="n">
        <v>1.6248</v>
      </c>
      <c r="C4502" t="n">
        <v>1.4696</v>
      </c>
    </row>
    <row r="4503">
      <c r="A4503" t="n">
        <v>1.4635</v>
      </c>
      <c r="B4503" t="n">
        <v>1.5477</v>
      </c>
      <c r="C4503" t="n">
        <v>1.6479</v>
      </c>
    </row>
    <row r="4504">
      <c r="A4504" t="n">
        <v>1.4714</v>
      </c>
      <c r="B4504" t="n">
        <v>1.4694</v>
      </c>
      <c r="C4504" t="n">
        <v>1.5277</v>
      </c>
    </row>
    <row r="4505">
      <c r="A4505" t="n">
        <v>1.4788</v>
      </c>
      <c r="B4505" t="n">
        <v>1.4396</v>
      </c>
      <c r="C4505" t="n">
        <v>1.7034</v>
      </c>
    </row>
    <row r="4506">
      <c r="A4506" t="n">
        <v>1.6694</v>
      </c>
      <c r="B4506" t="n">
        <v>1.4004</v>
      </c>
      <c r="C4506" t="n">
        <v>1.5115</v>
      </c>
    </row>
    <row r="4507">
      <c r="A4507" t="n">
        <v>1.6806</v>
      </c>
      <c r="B4507" t="n">
        <v>1.4197</v>
      </c>
      <c r="C4507" t="n">
        <v>1.4454</v>
      </c>
    </row>
    <row r="4508">
      <c r="A4508" t="n">
        <v>1.4846</v>
      </c>
      <c r="B4508" t="n">
        <v>1.4623</v>
      </c>
      <c r="C4508" t="n">
        <v>1.724</v>
      </c>
    </row>
    <row r="4509">
      <c r="A4509" t="n">
        <v>1.4417</v>
      </c>
      <c r="B4509" t="n">
        <v>1.4369</v>
      </c>
      <c r="C4509" t="n">
        <v>1.7647</v>
      </c>
    </row>
    <row r="4510">
      <c r="A4510" t="n">
        <v>1.4463</v>
      </c>
      <c r="B4510" t="n">
        <v>1.7089</v>
      </c>
      <c r="C4510" t="n">
        <v>1.4724</v>
      </c>
    </row>
    <row r="4511">
      <c r="A4511" t="n">
        <v>1.6057</v>
      </c>
      <c r="B4511" t="n">
        <v>1.6976</v>
      </c>
      <c r="C4511" t="n">
        <v>1.4683</v>
      </c>
    </row>
    <row r="4512">
      <c r="A4512" t="n">
        <v>1.4981</v>
      </c>
      <c r="B4512" t="n">
        <v>1.4663</v>
      </c>
      <c r="C4512" t="n">
        <v>1.454</v>
      </c>
    </row>
    <row r="4513">
      <c r="A4513" t="n">
        <v>1.662</v>
      </c>
      <c r="B4513" t="n">
        <v>1.4723</v>
      </c>
      <c r="C4513" t="n">
        <v>1.4177</v>
      </c>
    </row>
    <row r="4514">
      <c r="A4514" t="n">
        <v>1.4838</v>
      </c>
      <c r="B4514" t="n">
        <v>1.7704</v>
      </c>
      <c r="C4514" t="n">
        <v>2.1047</v>
      </c>
    </row>
    <row r="4515">
      <c r="A4515" t="n">
        <v>1.4275</v>
      </c>
      <c r="B4515" t="n">
        <v>1.4308</v>
      </c>
      <c r="C4515" t="n">
        <v>1.538</v>
      </c>
    </row>
    <row r="4516">
      <c r="A4516" t="n">
        <v>1.3867</v>
      </c>
      <c r="B4516" t="n">
        <v>1.4734</v>
      </c>
      <c r="C4516" t="n">
        <v>1.4377</v>
      </c>
    </row>
    <row r="4517">
      <c r="A4517" t="n">
        <v>1.4183</v>
      </c>
      <c r="B4517" t="n">
        <v>1.416</v>
      </c>
      <c r="C4517" t="n">
        <v>1.4587</v>
      </c>
    </row>
    <row r="4518">
      <c r="A4518" t="n">
        <v>1.4199</v>
      </c>
      <c r="B4518" t="n">
        <v>1.457</v>
      </c>
      <c r="C4518" t="n">
        <v>1.6837</v>
      </c>
    </row>
    <row r="4519">
      <c r="A4519" t="n">
        <v>1.6686</v>
      </c>
      <c r="B4519" t="n">
        <v>1.4547</v>
      </c>
      <c r="C4519" t="n">
        <v>1.7034</v>
      </c>
    </row>
    <row r="4520">
      <c r="A4520" t="n">
        <v>1.7209</v>
      </c>
      <c r="B4520" t="n">
        <v>1.5333</v>
      </c>
      <c r="C4520" t="n">
        <v>1.4978</v>
      </c>
    </row>
    <row r="4521">
      <c r="A4521" t="n">
        <v>1.4767</v>
      </c>
      <c r="B4521" t="n">
        <v>1.4483</v>
      </c>
      <c r="C4521" t="n">
        <v>1.4501</v>
      </c>
    </row>
    <row r="4522">
      <c r="A4522" t="n">
        <v>1.4391</v>
      </c>
      <c r="B4522" t="n">
        <v>1.3979</v>
      </c>
      <c r="C4522" t="n">
        <v>1.4488</v>
      </c>
    </row>
    <row r="4523">
      <c r="A4523" t="n">
        <v>1.4498</v>
      </c>
      <c r="B4523" t="n">
        <v>1.4</v>
      </c>
      <c r="C4523" t="n">
        <v>1.6372</v>
      </c>
    </row>
    <row r="4524">
      <c r="A4524" t="n">
        <v>1.6123</v>
      </c>
      <c r="B4524" t="n">
        <v>1.4582</v>
      </c>
      <c r="C4524" t="n">
        <v>1.7454</v>
      </c>
    </row>
    <row r="4525">
      <c r="A4525" t="n">
        <v>1.7579</v>
      </c>
      <c r="B4525" t="n">
        <v>1.6178</v>
      </c>
      <c r="C4525" t="n">
        <v>1.4726</v>
      </c>
    </row>
    <row r="4526">
      <c r="A4526" t="n">
        <v>1.4864</v>
      </c>
      <c r="B4526" t="n">
        <v>1.4897</v>
      </c>
      <c r="C4526" t="n">
        <v>1.467</v>
      </c>
    </row>
    <row r="4527">
      <c r="A4527" t="n">
        <v>1.4739</v>
      </c>
      <c r="B4527" t="n">
        <v>1.472</v>
      </c>
      <c r="C4527" t="n">
        <v>1.4827</v>
      </c>
    </row>
    <row r="4528">
      <c r="A4528" t="n">
        <v>1.4833</v>
      </c>
      <c r="B4528" t="n">
        <v>1.4182</v>
      </c>
      <c r="C4528" t="n">
        <v>1.6132</v>
      </c>
    </row>
    <row r="4529">
      <c r="A4529" t="n">
        <v>1.6532</v>
      </c>
      <c r="B4529" t="n">
        <v>1.4374</v>
      </c>
      <c r="C4529" t="n">
        <v>1.7823</v>
      </c>
    </row>
    <row r="4530">
      <c r="A4530" t="n">
        <v>2.0673</v>
      </c>
      <c r="B4530" t="n">
        <v>1.408</v>
      </c>
      <c r="C4530" t="n">
        <v>1.5008</v>
      </c>
    </row>
    <row r="4531">
      <c r="A4531" t="n">
        <v>1.6958</v>
      </c>
      <c r="B4531" t="n">
        <v>1.6985</v>
      </c>
      <c r="C4531" t="n">
        <v>1.4339</v>
      </c>
    </row>
    <row r="4532">
      <c r="A4532" t="n">
        <v>1.5698</v>
      </c>
      <c r="B4532" t="n">
        <v>1.7288</v>
      </c>
      <c r="C4532" t="n">
        <v>1.4316</v>
      </c>
    </row>
    <row r="4533">
      <c r="A4533" t="n">
        <v>1.6469</v>
      </c>
      <c r="B4533" t="n">
        <v>1.4816</v>
      </c>
      <c r="C4533" t="n">
        <v>1.4028</v>
      </c>
    </row>
    <row r="4534">
      <c r="A4534" t="n">
        <v>1.4956</v>
      </c>
      <c r="B4534" t="n">
        <v>1.4479</v>
      </c>
      <c r="C4534" t="n">
        <v>1.4401</v>
      </c>
    </row>
    <row r="4535">
      <c r="A4535" t="n">
        <v>1.4364</v>
      </c>
      <c r="B4535" t="n">
        <v>1.4512</v>
      </c>
      <c r="C4535" t="n">
        <v>1.6462</v>
      </c>
    </row>
    <row r="4536">
      <c r="A4536" t="n">
        <v>1.6459</v>
      </c>
      <c r="B4536" t="n">
        <v>1.6705</v>
      </c>
      <c r="C4536" t="n">
        <v>1.5013</v>
      </c>
    </row>
    <row r="4537">
      <c r="A4537" t="n">
        <v>1.5078</v>
      </c>
      <c r="B4537" t="n">
        <v>1.6983</v>
      </c>
      <c r="C4537" t="n">
        <v>1.6314</v>
      </c>
    </row>
    <row r="4538">
      <c r="A4538" t="n">
        <v>1.6301</v>
      </c>
      <c r="B4538" t="n">
        <v>1.5128</v>
      </c>
      <c r="C4538" t="n">
        <v>1.6931</v>
      </c>
    </row>
    <row r="4539">
      <c r="A4539" t="n">
        <v>1.4767</v>
      </c>
      <c r="B4539" t="n">
        <v>1.4322</v>
      </c>
      <c r="C4539" t="n">
        <v>1.5364</v>
      </c>
    </row>
    <row r="4540">
      <c r="A4540" t="n">
        <v>1.4736</v>
      </c>
      <c r="B4540" t="n">
        <v>1.458</v>
      </c>
      <c r="C4540" t="n">
        <v>1.631</v>
      </c>
    </row>
    <row r="4541">
      <c r="A4541" t="n">
        <v>1.8314</v>
      </c>
      <c r="B4541" t="n">
        <v>1.6912</v>
      </c>
      <c r="C4541" t="n">
        <v>1.5129</v>
      </c>
    </row>
    <row r="4542">
      <c r="A4542" t="n">
        <v>1.5665</v>
      </c>
      <c r="B4542" t="n">
        <v>1.7084</v>
      </c>
      <c r="C4542" t="n">
        <v>1.4242</v>
      </c>
    </row>
    <row r="4543">
      <c r="A4543" t="n">
        <v>1.4614</v>
      </c>
      <c r="B4543" t="n">
        <v>1.4992</v>
      </c>
      <c r="C4543" t="n">
        <v>1.3843</v>
      </c>
    </row>
    <row r="4544">
      <c r="A4544" t="n">
        <v>1.4342</v>
      </c>
      <c r="B4544" t="n">
        <v>1.4452</v>
      </c>
      <c r="C4544" t="n">
        <v>1.4261</v>
      </c>
    </row>
    <row r="4545">
      <c r="A4545" t="n">
        <v>1.3962</v>
      </c>
      <c r="B4545" t="n">
        <v>1.4364</v>
      </c>
      <c r="C4545" t="n">
        <v>1.4311</v>
      </c>
    </row>
    <row r="4546">
      <c r="A4546" t="n">
        <v>1.3953</v>
      </c>
      <c r="B4546" t="n">
        <v>1.9788</v>
      </c>
      <c r="C4546" t="n">
        <v>1.9747</v>
      </c>
    </row>
    <row r="4547">
      <c r="A4547" t="n">
        <v>1.4559</v>
      </c>
      <c r="B4547" t="n">
        <v>1.7551</v>
      </c>
      <c r="C4547" t="n">
        <v>1.77</v>
      </c>
    </row>
    <row r="4548">
      <c r="A4548" t="n">
        <v>1.4357</v>
      </c>
      <c r="B4548" t="n">
        <v>1.7336</v>
      </c>
      <c r="C4548" t="n">
        <v>1.6607</v>
      </c>
    </row>
    <row r="4549">
      <c r="A4549" t="n">
        <v>1.6174</v>
      </c>
      <c r="B4549" t="n">
        <v>1.5367</v>
      </c>
      <c r="C4549" t="n">
        <v>1.5169</v>
      </c>
    </row>
    <row r="4550">
      <c r="A4550" t="n">
        <v>1.552</v>
      </c>
      <c r="B4550" t="n">
        <v>1.6888</v>
      </c>
      <c r="C4550" t="n">
        <v>1.673</v>
      </c>
    </row>
    <row r="4551">
      <c r="A4551" t="n">
        <v>1.4186</v>
      </c>
      <c r="B4551" t="n">
        <v>1.7079</v>
      </c>
      <c r="C4551" t="n">
        <v>1.7777</v>
      </c>
    </row>
    <row r="4552">
      <c r="A4552" t="n">
        <v>1.419</v>
      </c>
      <c r="B4552" t="n">
        <v>1.5204</v>
      </c>
      <c r="C4552" t="n">
        <v>1.7929</v>
      </c>
    </row>
    <row r="4553">
      <c r="A4553" t="n">
        <v>1.4066</v>
      </c>
      <c r="B4553" t="n">
        <v>1.4101</v>
      </c>
      <c r="C4553" t="n">
        <v>1.5509</v>
      </c>
    </row>
    <row r="4554">
      <c r="A4554" t="n">
        <v>1.3934</v>
      </c>
      <c r="B4554" t="n">
        <v>1.4692</v>
      </c>
      <c r="C4554" t="n">
        <v>1.6745</v>
      </c>
    </row>
    <row r="4555">
      <c r="A4555" t="n">
        <v>1.4723</v>
      </c>
      <c r="B4555" t="n">
        <v>1.6831</v>
      </c>
      <c r="C4555" t="n">
        <v>1.65</v>
      </c>
    </row>
    <row r="4556">
      <c r="A4556" t="n">
        <v>1.4568</v>
      </c>
      <c r="B4556" t="n">
        <v>1.5008</v>
      </c>
      <c r="C4556" t="n">
        <v>1.5322</v>
      </c>
    </row>
    <row r="4557">
      <c r="A4557" t="n">
        <v>1.4044</v>
      </c>
      <c r="B4557" t="n">
        <v>1.4158</v>
      </c>
      <c r="C4557" t="n">
        <v>1.6373</v>
      </c>
    </row>
    <row r="4558">
      <c r="A4558" t="n">
        <v>1.472</v>
      </c>
      <c r="B4558" t="n">
        <v>1.7131</v>
      </c>
      <c r="C4558" t="n">
        <v>1.4879</v>
      </c>
    </row>
    <row r="4559">
      <c r="A4559" t="n">
        <v>1.6794</v>
      </c>
      <c r="B4559" t="n">
        <v>1.5669</v>
      </c>
      <c r="C4559" t="n">
        <v>1.4169</v>
      </c>
    </row>
    <row r="4560">
      <c r="A4560" t="n">
        <v>1.5369</v>
      </c>
      <c r="B4560" t="n">
        <v>1.6521</v>
      </c>
      <c r="C4560" t="n">
        <v>1.4768</v>
      </c>
    </row>
    <row r="4561">
      <c r="A4561" t="n">
        <v>1.454</v>
      </c>
      <c r="B4561" t="n">
        <v>1.4961</v>
      </c>
      <c r="C4561" t="n">
        <v>1.4566</v>
      </c>
    </row>
    <row r="4562">
      <c r="A4562" t="n">
        <v>1.7704</v>
      </c>
      <c r="B4562" t="n">
        <v>1.4903</v>
      </c>
      <c r="C4562" t="n">
        <v>1.4395</v>
      </c>
    </row>
    <row r="4563">
      <c r="A4563" t="n">
        <v>1.4625</v>
      </c>
      <c r="B4563" t="n">
        <v>1.6495</v>
      </c>
      <c r="C4563" t="n">
        <v>1.4102</v>
      </c>
    </row>
    <row r="4564">
      <c r="A4564" t="n">
        <v>1.6667</v>
      </c>
      <c r="B4564" t="n">
        <v>1.6155</v>
      </c>
      <c r="C4564" t="n">
        <v>1.4668</v>
      </c>
    </row>
    <row r="4565">
      <c r="A4565" t="n">
        <v>1.5358</v>
      </c>
      <c r="B4565" t="n">
        <v>1.4617</v>
      </c>
      <c r="C4565" t="n">
        <v>1.6681</v>
      </c>
    </row>
    <row r="4566">
      <c r="A4566" t="n">
        <v>1.4285</v>
      </c>
      <c r="B4566" t="n">
        <v>1.4134</v>
      </c>
      <c r="C4566" t="n">
        <v>1.4854</v>
      </c>
    </row>
    <row r="4567">
      <c r="A4567" t="n">
        <v>1.439</v>
      </c>
      <c r="B4567" t="n">
        <v>1.4442</v>
      </c>
      <c r="C4567" t="n">
        <v>1.4178</v>
      </c>
    </row>
    <row r="4568">
      <c r="A4568" t="n">
        <v>1.4445</v>
      </c>
      <c r="B4568" t="n">
        <v>1.4615</v>
      </c>
      <c r="C4568" t="n">
        <v>1.4277</v>
      </c>
    </row>
    <row r="4569">
      <c r="A4569" t="n">
        <v>1.4375</v>
      </c>
      <c r="B4569" t="n">
        <v>1.4192</v>
      </c>
      <c r="C4569" t="n">
        <v>1.4277</v>
      </c>
    </row>
    <row r="4570">
      <c r="A4570" t="n">
        <v>1.6467</v>
      </c>
      <c r="B4570" t="n">
        <v>1.45</v>
      </c>
      <c r="C4570" t="n">
        <v>1.4014</v>
      </c>
    </row>
    <row r="4571">
      <c r="A4571" t="n">
        <v>1.6629</v>
      </c>
      <c r="B4571" t="n">
        <v>1.6929</v>
      </c>
      <c r="C4571" t="n">
        <v>1.4128</v>
      </c>
    </row>
    <row r="4572">
      <c r="A4572" t="n">
        <v>1.4617</v>
      </c>
      <c r="B4572" t="n">
        <v>1.6983</v>
      </c>
      <c r="C4572" t="n">
        <v>1.5102</v>
      </c>
    </row>
    <row r="4573">
      <c r="A4573" t="n">
        <v>1.4813</v>
      </c>
      <c r="B4573" t="n">
        <v>1.5051</v>
      </c>
      <c r="C4573" t="n">
        <v>1.6423</v>
      </c>
    </row>
    <row r="4574">
      <c r="A4574" t="n">
        <v>1.4542</v>
      </c>
      <c r="B4574" t="n">
        <v>1.4647</v>
      </c>
      <c r="C4574" t="n">
        <v>1.4894</v>
      </c>
    </row>
    <row r="4575">
      <c r="A4575" t="n">
        <v>1.6026</v>
      </c>
      <c r="B4575" t="n">
        <v>1.439</v>
      </c>
      <c r="C4575" t="n">
        <v>1.4717</v>
      </c>
    </row>
    <row r="4576">
      <c r="A4576" t="n">
        <v>1.575</v>
      </c>
      <c r="B4576" t="n">
        <v>1.6524</v>
      </c>
      <c r="C4576" t="n">
        <v>1.3936</v>
      </c>
    </row>
    <row r="4577">
      <c r="A4577" t="n">
        <v>1.4661</v>
      </c>
      <c r="B4577" t="n">
        <v>1.6871</v>
      </c>
      <c r="C4577" t="n">
        <v>1.4288</v>
      </c>
    </row>
    <row r="4578">
      <c r="A4578" t="n">
        <v>1.4079</v>
      </c>
      <c r="B4578" t="n">
        <v>2.0522</v>
      </c>
      <c r="C4578" t="n">
        <v>1.7295</v>
      </c>
    </row>
    <row r="4579">
      <c r="A4579" t="n">
        <v>1.4443</v>
      </c>
      <c r="B4579" t="n">
        <v>1.5684</v>
      </c>
      <c r="C4579" t="n">
        <v>1.4799</v>
      </c>
    </row>
    <row r="4580">
      <c r="A4580" t="n">
        <v>1.4529</v>
      </c>
      <c r="B4580" t="n">
        <v>1.7039</v>
      </c>
      <c r="C4580" t="n">
        <v>1.7695</v>
      </c>
    </row>
    <row r="4581">
      <c r="A4581" t="n">
        <v>1.4401</v>
      </c>
      <c r="B4581" t="n">
        <v>1.5086</v>
      </c>
      <c r="C4581" t="n">
        <v>1.6673</v>
      </c>
    </row>
    <row r="4582">
      <c r="A4582" t="n">
        <v>1.4219</v>
      </c>
      <c r="B4582" t="n">
        <v>1.4515</v>
      </c>
      <c r="C4582" t="n">
        <v>1.549</v>
      </c>
    </row>
    <row r="4583">
      <c r="A4583" t="n">
        <v>1.6206</v>
      </c>
      <c r="B4583" t="n">
        <v>1.6152</v>
      </c>
      <c r="C4583" t="n">
        <v>1.6996</v>
      </c>
    </row>
    <row r="4584">
      <c r="A4584" t="n">
        <v>1.7382</v>
      </c>
      <c r="B4584" t="n">
        <v>1.5096</v>
      </c>
      <c r="C4584" t="n">
        <v>1.608</v>
      </c>
    </row>
    <row r="4585">
      <c r="A4585" t="n">
        <v>1.48</v>
      </c>
      <c r="B4585" t="n">
        <v>1.7302</v>
      </c>
      <c r="C4585" t="n">
        <v>3.0227</v>
      </c>
    </row>
    <row r="4586">
      <c r="A4586" t="n">
        <v>1.4294</v>
      </c>
      <c r="B4586" t="n">
        <v>1.4979</v>
      </c>
      <c r="C4586" t="n">
        <v>1.6227</v>
      </c>
    </row>
    <row r="4587">
      <c r="A4587" t="n">
        <v>1.4137</v>
      </c>
      <c r="B4587" t="n">
        <v>1.503</v>
      </c>
      <c r="C4587" t="n">
        <v>1.5849</v>
      </c>
    </row>
    <row r="4588">
      <c r="A4588" t="n">
        <v>1.6087</v>
      </c>
      <c r="B4588" t="n">
        <v>1.7632</v>
      </c>
      <c r="C4588" t="n">
        <v>1.5144</v>
      </c>
    </row>
    <row r="4589">
      <c r="A4589" t="n">
        <v>1.6545</v>
      </c>
      <c r="B4589" t="n">
        <v>3.03</v>
      </c>
      <c r="C4589" t="n">
        <v>1.5251</v>
      </c>
    </row>
    <row r="4590">
      <c r="A4590" t="n">
        <v>1.4856</v>
      </c>
      <c r="B4590" t="n">
        <v>1.7061</v>
      </c>
      <c r="C4590" t="n">
        <v>1.6986</v>
      </c>
    </row>
    <row r="4591">
      <c r="A4591" t="n">
        <v>1.465</v>
      </c>
      <c r="B4591" t="n">
        <v>1.5782</v>
      </c>
      <c r="C4591" t="n">
        <v>1.851</v>
      </c>
    </row>
    <row r="4592">
      <c r="A4592" t="n">
        <v>1.4451</v>
      </c>
      <c r="B4592" t="n">
        <v>1.5911</v>
      </c>
      <c r="C4592" t="n">
        <v>1.5348</v>
      </c>
    </row>
    <row r="4593">
      <c r="A4593" t="n">
        <v>1.7463</v>
      </c>
      <c r="B4593" t="n">
        <v>1.6234</v>
      </c>
      <c r="C4593" t="n">
        <v>1.4606</v>
      </c>
    </row>
    <row r="4594">
      <c r="A4594" t="n">
        <v>1.916</v>
      </c>
      <c r="B4594" t="n">
        <v>1.4893</v>
      </c>
      <c r="C4594" t="n">
        <v>1.4356</v>
      </c>
    </row>
    <row r="4595">
      <c r="A4595" t="n">
        <v>1.5221</v>
      </c>
      <c r="B4595" t="n">
        <v>1.5244</v>
      </c>
      <c r="C4595" t="n">
        <v>1.7295</v>
      </c>
    </row>
    <row r="4596">
      <c r="A4596" t="n">
        <v>1.4704</v>
      </c>
      <c r="B4596" t="n">
        <v>1.533</v>
      </c>
      <c r="C4596" t="n">
        <v>1.8761</v>
      </c>
    </row>
    <row r="4597">
      <c r="A4597" t="n">
        <v>1.5074</v>
      </c>
      <c r="B4597" t="n">
        <v>1.7659</v>
      </c>
      <c r="C4597" t="n">
        <v>1.7559</v>
      </c>
    </row>
    <row r="4598">
      <c r="A4598" t="n">
        <v>1.7225</v>
      </c>
      <c r="B4598" t="n">
        <v>1.7947</v>
      </c>
      <c r="C4598" t="n">
        <v>1.589</v>
      </c>
    </row>
    <row r="4599">
      <c r="A4599" t="n">
        <v>1.7363</v>
      </c>
      <c r="B4599" t="n">
        <v>1.7247</v>
      </c>
      <c r="C4599" t="n">
        <v>1.6961</v>
      </c>
    </row>
    <row r="4600">
      <c r="A4600" t="n">
        <v>1.5085</v>
      </c>
      <c r="B4600" t="n">
        <v>1.5748</v>
      </c>
      <c r="C4600" t="n">
        <v>1.5129</v>
      </c>
    </row>
    <row r="4601">
      <c r="A4601" t="n">
        <v>1.4802</v>
      </c>
      <c r="B4601" t="n">
        <v>1.6667</v>
      </c>
      <c r="C4601" t="n">
        <v>1.5337</v>
      </c>
    </row>
    <row r="4602">
      <c r="A4602" t="n">
        <v>1.4582</v>
      </c>
      <c r="B4602" t="n">
        <v>1.5256</v>
      </c>
      <c r="C4602" t="n">
        <v>1.6843</v>
      </c>
    </row>
    <row r="4603">
      <c r="A4603" t="n">
        <v>1.7401</v>
      </c>
      <c r="B4603" t="n">
        <v>1.4941</v>
      </c>
      <c r="C4603" t="n">
        <v>1.7146</v>
      </c>
    </row>
    <row r="4604">
      <c r="A4604" t="n">
        <v>1.7445</v>
      </c>
      <c r="B4604" t="n">
        <v>1.6902</v>
      </c>
      <c r="C4604" t="n">
        <v>1.5274</v>
      </c>
    </row>
    <row r="4605">
      <c r="A4605" t="n">
        <v>1.7439</v>
      </c>
      <c r="B4605" t="n">
        <v>1.7208</v>
      </c>
      <c r="C4605" t="n">
        <v>1.4755</v>
      </c>
    </row>
    <row r="4606">
      <c r="A4606" t="n">
        <v>1.5514</v>
      </c>
      <c r="B4606" t="n">
        <v>1.5275</v>
      </c>
      <c r="C4606" t="n">
        <v>1.4461</v>
      </c>
    </row>
    <row r="4607">
      <c r="A4607" t="n">
        <v>1.7137</v>
      </c>
      <c r="B4607" t="n">
        <v>1.4599</v>
      </c>
      <c r="C4607" t="n">
        <v>1.7059</v>
      </c>
    </row>
    <row r="4608">
      <c r="A4608" t="n">
        <v>1.6924</v>
      </c>
      <c r="B4608" t="n">
        <v>1.5003</v>
      </c>
      <c r="C4608" t="n">
        <v>1.7578</v>
      </c>
    </row>
    <row r="4609">
      <c r="A4609" t="n">
        <v>1.587</v>
      </c>
      <c r="B4609" t="n">
        <v>1.7412</v>
      </c>
      <c r="C4609" t="n">
        <v>1.5687</v>
      </c>
    </row>
    <row r="4610">
      <c r="A4610" t="n">
        <v>1.4933</v>
      </c>
      <c r="B4610" t="n">
        <v>2.0603</v>
      </c>
      <c r="C4610" t="n">
        <v>1.8338</v>
      </c>
    </row>
    <row r="4611">
      <c r="A4611" t="n">
        <v>1.4309</v>
      </c>
      <c r="B4611" t="n">
        <v>1.7419</v>
      </c>
      <c r="C4611" t="n">
        <v>1.688</v>
      </c>
    </row>
    <row r="4612">
      <c r="A4612" t="n">
        <v>1.4041</v>
      </c>
      <c r="B4612" t="n">
        <v>1.7731</v>
      </c>
      <c r="C4612" t="n">
        <v>1.4964</v>
      </c>
    </row>
    <row r="4613">
      <c r="A4613" t="n">
        <v>1.4956</v>
      </c>
      <c r="B4613" t="n">
        <v>1.4926</v>
      </c>
      <c r="C4613" t="n">
        <v>1.493</v>
      </c>
    </row>
    <row r="4614">
      <c r="A4614" t="n">
        <v>1.4311</v>
      </c>
      <c r="B4614" t="n">
        <v>1.4713</v>
      </c>
      <c r="C4614" t="n">
        <v>1.7102</v>
      </c>
    </row>
    <row r="4615">
      <c r="A4615" t="n">
        <v>1.4336</v>
      </c>
      <c r="B4615" t="n">
        <v>1.5637</v>
      </c>
      <c r="C4615" t="n">
        <v>1.8201</v>
      </c>
    </row>
    <row r="4616">
      <c r="A4616" t="n">
        <v>1.4314</v>
      </c>
      <c r="B4616" t="n">
        <v>1.4418</v>
      </c>
      <c r="C4616" t="n">
        <v>1.525</v>
      </c>
    </row>
    <row r="4617">
      <c r="A4617" t="n">
        <v>1.4522</v>
      </c>
      <c r="B4617" t="n">
        <v>1.7213</v>
      </c>
      <c r="C4617" t="n">
        <v>1.4844</v>
      </c>
    </row>
    <row r="4618">
      <c r="A4618" t="n">
        <v>1.7072</v>
      </c>
      <c r="B4618" t="n">
        <v>1.5089</v>
      </c>
      <c r="C4618" t="n">
        <v>1.4727</v>
      </c>
    </row>
    <row r="4619">
      <c r="A4619" t="n">
        <v>1.7226</v>
      </c>
      <c r="B4619" t="n">
        <v>1.4824</v>
      </c>
      <c r="C4619" t="n">
        <v>1.7217</v>
      </c>
    </row>
    <row r="4620">
      <c r="A4620" t="n">
        <v>1.5021</v>
      </c>
      <c r="B4620" t="n">
        <v>1.4795</v>
      </c>
      <c r="C4620" t="n">
        <v>1.7702</v>
      </c>
    </row>
    <row r="4621">
      <c r="A4621" t="n">
        <v>1.4677</v>
      </c>
      <c r="B4621" t="n">
        <v>1.7271</v>
      </c>
      <c r="C4621" t="n">
        <v>1.7597</v>
      </c>
    </row>
    <row r="4622">
      <c r="A4622" t="n">
        <v>1.4578</v>
      </c>
      <c r="B4622" t="n">
        <v>1.7158</v>
      </c>
      <c r="C4622" t="n">
        <v>1.5562</v>
      </c>
    </row>
    <row r="4623">
      <c r="A4623" t="n">
        <v>1.7158</v>
      </c>
      <c r="B4623" t="n">
        <v>1.5117</v>
      </c>
      <c r="C4623" t="n">
        <v>1.6554</v>
      </c>
    </row>
    <row r="4624">
      <c r="A4624" t="n">
        <v>1.7408</v>
      </c>
      <c r="B4624" t="n">
        <v>1.458</v>
      </c>
      <c r="C4624" t="n">
        <v>1.5014</v>
      </c>
    </row>
    <row r="4625">
      <c r="A4625" t="n">
        <v>1.8209</v>
      </c>
      <c r="B4625" t="n">
        <v>1.4716</v>
      </c>
      <c r="C4625" t="n">
        <v>1.4885</v>
      </c>
    </row>
    <row r="4626">
      <c r="A4626" t="n">
        <v>2.0642</v>
      </c>
      <c r="B4626" t="n">
        <v>1.7441</v>
      </c>
      <c r="C4626" t="n">
        <v>1.6479</v>
      </c>
    </row>
    <row r="4627">
      <c r="A4627" t="n">
        <v>1.8949</v>
      </c>
      <c r="B4627" t="n">
        <v>1.7555</v>
      </c>
      <c r="C4627" t="n">
        <v>1.5534</v>
      </c>
    </row>
    <row r="4628">
      <c r="A4628" t="n">
        <v>1.5483</v>
      </c>
      <c r="B4628" t="n">
        <v>1.7896</v>
      </c>
      <c r="C4628" t="n">
        <v>1.6814</v>
      </c>
    </row>
    <row r="4629">
      <c r="A4629" t="n">
        <v>1.6814</v>
      </c>
      <c r="B4629" t="n">
        <v>1.6403</v>
      </c>
      <c r="C4629" t="n">
        <v>1.4973</v>
      </c>
    </row>
    <row r="4630">
      <c r="A4630" t="n">
        <v>1.5114</v>
      </c>
      <c r="B4630" t="n">
        <v>1.4709</v>
      </c>
      <c r="C4630" t="n">
        <v>1.4657</v>
      </c>
    </row>
    <row r="4631">
      <c r="A4631" t="n">
        <v>1.4976</v>
      </c>
      <c r="B4631" t="n">
        <v>1.4455</v>
      </c>
      <c r="C4631" t="n">
        <v>1.6872</v>
      </c>
    </row>
    <row r="4632">
      <c r="A4632" t="n">
        <v>1.7323</v>
      </c>
      <c r="B4632" t="n">
        <v>1.4936</v>
      </c>
      <c r="C4632" t="n">
        <v>1.7898</v>
      </c>
    </row>
    <row r="4633">
      <c r="A4633" t="n">
        <v>1.7676</v>
      </c>
      <c r="B4633" t="n">
        <v>1.4565</v>
      </c>
      <c r="C4633" t="n">
        <v>1.5248</v>
      </c>
    </row>
    <row r="4634">
      <c r="A4634" t="n">
        <v>1.5151</v>
      </c>
      <c r="B4634" t="n">
        <v>1.4937</v>
      </c>
      <c r="C4634" t="n">
        <v>1.4695</v>
      </c>
    </row>
    <row r="4635">
      <c r="A4635" t="n">
        <v>1.4453</v>
      </c>
      <c r="B4635" t="n">
        <v>1.4795</v>
      </c>
      <c r="C4635" t="n">
        <v>1.4361</v>
      </c>
    </row>
    <row r="4636">
      <c r="A4636" t="n">
        <v>1.8812</v>
      </c>
      <c r="B4636" t="n">
        <v>1.4732</v>
      </c>
      <c r="C4636" t="n">
        <v>1.668</v>
      </c>
    </row>
    <row r="4637">
      <c r="A4637" t="n">
        <v>1.5521</v>
      </c>
      <c r="B4637" t="n">
        <v>1.4803</v>
      </c>
      <c r="C4637" t="n">
        <v>1.6838</v>
      </c>
    </row>
    <row r="4638">
      <c r="A4638" t="n">
        <v>1.4562</v>
      </c>
      <c r="B4638" t="n">
        <v>1.4768</v>
      </c>
      <c r="C4638" t="n">
        <v>2.0466</v>
      </c>
    </row>
    <row r="4639">
      <c r="A4639" t="n">
        <v>1.4799</v>
      </c>
      <c r="B4639" t="n">
        <v>1.5227</v>
      </c>
      <c r="C4639" t="n">
        <v>2.1077</v>
      </c>
    </row>
    <row r="4640">
      <c r="A4640" t="n">
        <v>1.4438</v>
      </c>
      <c r="B4640" t="n">
        <v>1.5313</v>
      </c>
      <c r="C4640" t="n">
        <v>2.1403</v>
      </c>
    </row>
    <row r="4641">
      <c r="A4641" t="n">
        <v>1.4279</v>
      </c>
      <c r="B4641" t="n">
        <v>1.4623</v>
      </c>
      <c r="C4641" t="n">
        <v>1.9344</v>
      </c>
    </row>
    <row r="4642">
      <c r="A4642" t="n">
        <v>1.697</v>
      </c>
      <c r="B4642" t="n">
        <v>1.885</v>
      </c>
      <c r="C4642" t="n">
        <v>2.4157</v>
      </c>
    </row>
    <row r="4643">
      <c r="A4643" t="n">
        <v>1.6733</v>
      </c>
      <c r="B4643" t="n">
        <v>1.5393</v>
      </c>
      <c r="C4643" t="n">
        <v>1.85</v>
      </c>
    </row>
    <row r="4644">
      <c r="A4644" t="n">
        <v>1.5028</v>
      </c>
      <c r="B4644" t="n">
        <v>1.5587</v>
      </c>
      <c r="C4644" t="n">
        <v>1.5737</v>
      </c>
    </row>
    <row r="4645">
      <c r="A4645" t="n">
        <v>1.4581</v>
      </c>
      <c r="B4645" t="n">
        <v>1.5488</v>
      </c>
      <c r="C4645" t="n">
        <v>1.4685</v>
      </c>
    </row>
    <row r="4646">
      <c r="A4646" t="n">
        <v>1.4576</v>
      </c>
      <c r="B4646" t="n">
        <v>1.4831</v>
      </c>
      <c r="C4646" t="n">
        <v>1.4677</v>
      </c>
    </row>
    <row r="4647">
      <c r="A4647" t="n">
        <v>1.6136</v>
      </c>
      <c r="B4647" t="n">
        <v>1.5665</v>
      </c>
      <c r="C4647" t="n">
        <v>1.4844</v>
      </c>
    </row>
    <row r="4648">
      <c r="A4648" t="n">
        <v>1.7679</v>
      </c>
      <c r="B4648" t="n">
        <v>1.7835</v>
      </c>
      <c r="C4648" t="n">
        <v>1.4919</v>
      </c>
    </row>
    <row r="4649">
      <c r="A4649" t="n">
        <v>1.5282</v>
      </c>
      <c r="B4649" t="n">
        <v>1.5307</v>
      </c>
      <c r="C4649" t="n">
        <v>1.4931</v>
      </c>
    </row>
    <row r="4650">
      <c r="A4650" t="n">
        <v>1.4412</v>
      </c>
      <c r="B4650" t="n">
        <v>1.4894</v>
      </c>
      <c r="C4650" t="n">
        <v>1.5191</v>
      </c>
    </row>
    <row r="4651">
      <c r="A4651" t="n">
        <v>1.4615</v>
      </c>
      <c r="B4651" t="n">
        <v>1.7348</v>
      </c>
      <c r="C4651" t="n">
        <v>1.4396</v>
      </c>
    </row>
    <row r="4652">
      <c r="A4652" t="n">
        <v>1.7443</v>
      </c>
      <c r="B4652" t="n">
        <v>1.7362</v>
      </c>
      <c r="C4652" t="n">
        <v>1.5015</v>
      </c>
    </row>
    <row r="4653">
      <c r="A4653" t="n">
        <v>1.6967</v>
      </c>
      <c r="B4653" t="n">
        <v>1.862</v>
      </c>
      <c r="C4653" t="n">
        <v>1.466</v>
      </c>
    </row>
    <row r="4654">
      <c r="A4654" t="n">
        <v>1.5217</v>
      </c>
      <c r="B4654" t="n">
        <v>1.5708</v>
      </c>
      <c r="C4654" t="n">
        <v>1.4692</v>
      </c>
    </row>
    <row r="4655">
      <c r="A4655" t="n">
        <v>1.4614</v>
      </c>
      <c r="B4655" t="n">
        <v>1.6724</v>
      </c>
      <c r="C4655" t="n">
        <v>1.5381</v>
      </c>
    </row>
    <row r="4656">
      <c r="A4656" t="n">
        <v>1.4595</v>
      </c>
      <c r="B4656" t="n">
        <v>1.5198</v>
      </c>
      <c r="C4656" t="n">
        <v>1.509</v>
      </c>
    </row>
    <row r="4657">
      <c r="A4657" t="n">
        <v>1.7236</v>
      </c>
      <c r="B4657" t="n">
        <v>1.5034</v>
      </c>
      <c r="C4657" t="n">
        <v>1.7309</v>
      </c>
    </row>
    <row r="4658">
      <c r="A4658" t="n">
        <v>2.1532</v>
      </c>
      <c r="B4658" t="n">
        <v>1.6777</v>
      </c>
      <c r="C4658" t="n">
        <v>1.7754</v>
      </c>
    </row>
    <row r="4659">
      <c r="A4659" t="n">
        <v>1.7336</v>
      </c>
      <c r="B4659" t="n">
        <v>1.7381</v>
      </c>
      <c r="C4659" t="n">
        <v>1.8063</v>
      </c>
    </row>
    <row r="4660">
      <c r="A4660" t="n">
        <v>1.7276</v>
      </c>
      <c r="B4660" t="n">
        <v>1.5309</v>
      </c>
      <c r="C4660" t="n">
        <v>1.5333</v>
      </c>
    </row>
    <row r="4661">
      <c r="A4661" t="n">
        <v>1.5152</v>
      </c>
      <c r="B4661" t="n">
        <v>1.4762</v>
      </c>
      <c r="C4661" t="n">
        <v>1.6856</v>
      </c>
    </row>
    <row r="4662">
      <c r="A4662" t="n">
        <v>1.7164</v>
      </c>
      <c r="B4662" t="n">
        <v>1.4668</v>
      </c>
      <c r="C4662" t="n">
        <v>1.5165</v>
      </c>
    </row>
    <row r="4663">
      <c r="A4663" t="n">
        <v>1.674</v>
      </c>
      <c r="B4663" t="n">
        <v>1.6826</v>
      </c>
      <c r="C4663" t="n">
        <v>1.4806</v>
      </c>
    </row>
    <row r="4664">
      <c r="A4664" t="n">
        <v>1.5298</v>
      </c>
      <c r="B4664" t="n">
        <v>1.7285</v>
      </c>
      <c r="C4664" t="n">
        <v>1.4232</v>
      </c>
    </row>
    <row r="4665">
      <c r="A4665" t="n">
        <v>1.4395</v>
      </c>
      <c r="B4665" t="n">
        <v>1.512</v>
      </c>
      <c r="C4665" t="n">
        <v>1.5253</v>
      </c>
    </row>
    <row r="4666">
      <c r="A4666" t="n">
        <v>1.5202</v>
      </c>
      <c r="B4666" t="n">
        <v>1.4606</v>
      </c>
      <c r="C4666" t="n">
        <v>1.7272</v>
      </c>
    </row>
    <row r="4667">
      <c r="A4667" t="n">
        <v>1.4904</v>
      </c>
      <c r="B4667" t="n">
        <v>1.4769</v>
      </c>
      <c r="C4667" t="n">
        <v>1.5627</v>
      </c>
    </row>
    <row r="4668">
      <c r="A4668" t="n">
        <v>1.4356</v>
      </c>
      <c r="B4668" t="n">
        <v>1.7732</v>
      </c>
      <c r="C4668" t="n">
        <v>1.4738</v>
      </c>
    </row>
    <row r="4669">
      <c r="A4669" t="n">
        <v>1.4502</v>
      </c>
      <c r="B4669" t="n">
        <v>1.7958</v>
      </c>
      <c r="C4669" t="n">
        <v>1.409</v>
      </c>
    </row>
    <row r="4670">
      <c r="A4670" t="n">
        <v>1.722</v>
      </c>
      <c r="B4670" t="n">
        <v>1.6956</v>
      </c>
      <c r="C4670" t="n">
        <v>1.4489</v>
      </c>
    </row>
    <row r="4671">
      <c r="A4671" t="n">
        <v>1.5043</v>
      </c>
      <c r="B4671" t="n">
        <v>1.5515</v>
      </c>
      <c r="C4671" t="n">
        <v>1.4918</v>
      </c>
    </row>
    <row r="4672">
      <c r="A4672" t="n">
        <v>1.4648</v>
      </c>
      <c r="B4672" t="n">
        <v>1.683</v>
      </c>
      <c r="C4672" t="n">
        <v>1.4456</v>
      </c>
    </row>
    <row r="4673">
      <c r="A4673" t="n">
        <v>1.4553</v>
      </c>
      <c r="B4673" t="n">
        <v>1.5103</v>
      </c>
      <c r="C4673" t="n">
        <v>1.8612</v>
      </c>
    </row>
    <row r="4674">
      <c r="A4674" t="n">
        <v>1.7156</v>
      </c>
      <c r="B4674" t="n">
        <v>2.0976</v>
      </c>
      <c r="C4674" t="n">
        <v>1.8618</v>
      </c>
    </row>
    <row r="4675">
      <c r="A4675" t="n">
        <v>1.7094</v>
      </c>
      <c r="B4675" t="n">
        <v>1.5139</v>
      </c>
      <c r="C4675" t="n">
        <v>1.4762</v>
      </c>
    </row>
    <row r="4676">
      <c r="A4676" t="n">
        <v>1.4923</v>
      </c>
      <c r="B4676" t="n">
        <v>1.6609</v>
      </c>
      <c r="C4676" t="n">
        <v>1.6942</v>
      </c>
    </row>
    <row r="4677">
      <c r="A4677" t="n">
        <v>1.4331</v>
      </c>
      <c r="B4677" t="n">
        <v>1.6854</v>
      </c>
      <c r="C4677" t="n">
        <v>1.4943</v>
      </c>
    </row>
    <row r="4678">
      <c r="A4678" t="n">
        <v>1.4211</v>
      </c>
      <c r="B4678" t="n">
        <v>1.5232</v>
      </c>
      <c r="C4678" t="n">
        <v>1.3911</v>
      </c>
    </row>
    <row r="4679">
      <c r="A4679" t="n">
        <v>1.6148</v>
      </c>
      <c r="B4679" t="n">
        <v>1.6259</v>
      </c>
      <c r="C4679" t="n">
        <v>1.4348</v>
      </c>
    </row>
    <row r="4680">
      <c r="A4680" t="n">
        <v>1.5224</v>
      </c>
      <c r="B4680" t="n">
        <v>1.4931</v>
      </c>
      <c r="C4680" t="n">
        <v>1.4534</v>
      </c>
    </row>
    <row r="4681">
      <c r="A4681" t="n">
        <v>1.6346</v>
      </c>
      <c r="B4681" t="n">
        <v>1.4188</v>
      </c>
      <c r="C4681" t="n">
        <v>1.4622</v>
      </c>
    </row>
    <row r="4682">
      <c r="A4682" t="n">
        <v>1.4881</v>
      </c>
      <c r="B4682" t="n">
        <v>1.3884</v>
      </c>
      <c r="C4682" t="n">
        <v>1.6506</v>
      </c>
    </row>
    <row r="4683">
      <c r="A4683" t="n">
        <v>1.4414</v>
      </c>
      <c r="B4683" t="n">
        <v>1.4515</v>
      </c>
      <c r="C4683" t="n">
        <v>1.7147</v>
      </c>
    </row>
    <row r="4684">
      <c r="A4684" t="n">
        <v>1.6278</v>
      </c>
      <c r="B4684" t="n">
        <v>1.4356</v>
      </c>
      <c r="C4684" t="n">
        <v>1.4808</v>
      </c>
    </row>
    <row r="4685">
      <c r="A4685" t="n">
        <v>1.5435</v>
      </c>
      <c r="B4685" t="n">
        <v>1.6481</v>
      </c>
      <c r="C4685" t="n">
        <v>1.4624</v>
      </c>
    </row>
    <row r="4686">
      <c r="A4686" t="n">
        <v>1.6209</v>
      </c>
      <c r="B4686" t="n">
        <v>1.7061</v>
      </c>
      <c r="C4686" t="n">
        <v>1.4688</v>
      </c>
    </row>
    <row r="4687">
      <c r="A4687" t="n">
        <v>1.4794</v>
      </c>
      <c r="B4687" t="n">
        <v>1.4871</v>
      </c>
      <c r="C4687" t="n">
        <v>1.6512</v>
      </c>
    </row>
    <row r="4688">
      <c r="A4688" t="n">
        <v>1.4034</v>
      </c>
      <c r="B4688" t="n">
        <v>1.4306</v>
      </c>
      <c r="C4688" t="n">
        <v>1.7433</v>
      </c>
    </row>
    <row r="4689">
      <c r="A4689" t="n">
        <v>1.4178</v>
      </c>
      <c r="B4689" t="n">
        <v>1.4794</v>
      </c>
      <c r="C4689" t="n">
        <v>1.5354</v>
      </c>
    </row>
    <row r="4690">
      <c r="A4690" t="n">
        <v>1.7674</v>
      </c>
      <c r="B4690" t="n">
        <v>1.6404</v>
      </c>
      <c r="C4690" t="n">
        <v>1.4469</v>
      </c>
    </row>
    <row r="4691">
      <c r="A4691" t="n">
        <v>1.6474</v>
      </c>
      <c r="B4691" t="n">
        <v>1.7773</v>
      </c>
      <c r="C4691" t="n">
        <v>1.446</v>
      </c>
    </row>
    <row r="4692">
      <c r="A4692" t="n">
        <v>1.4965</v>
      </c>
      <c r="B4692" t="n">
        <v>1.4735</v>
      </c>
      <c r="C4692" t="n">
        <v>1.7053</v>
      </c>
    </row>
    <row r="4693">
      <c r="A4693" t="n">
        <v>1.6415</v>
      </c>
      <c r="B4693" t="n">
        <v>1.4418</v>
      </c>
      <c r="C4693" t="n">
        <v>1.669</v>
      </c>
    </row>
    <row r="4694">
      <c r="A4694" t="n">
        <v>1.6872</v>
      </c>
      <c r="B4694" t="n">
        <v>1.4491</v>
      </c>
      <c r="C4694" t="n">
        <v>1.4937</v>
      </c>
    </row>
    <row r="4695">
      <c r="A4695" t="n">
        <v>1.5081</v>
      </c>
      <c r="B4695" t="n">
        <v>1.6202</v>
      </c>
      <c r="C4695" t="n">
        <v>1.4708</v>
      </c>
    </row>
    <row r="4696">
      <c r="A4696" t="n">
        <v>1.6095</v>
      </c>
      <c r="B4696" t="n">
        <v>1.7927</v>
      </c>
      <c r="C4696" t="n">
        <v>1.4323</v>
      </c>
    </row>
    <row r="4697">
      <c r="A4697" t="n">
        <v>1.483</v>
      </c>
      <c r="B4697" t="n">
        <v>1.4838</v>
      </c>
      <c r="C4697" t="n">
        <v>1.6221</v>
      </c>
    </row>
    <row r="4698">
      <c r="A4698" t="n">
        <v>1.3824</v>
      </c>
      <c r="B4698" t="n">
        <v>1.4473</v>
      </c>
      <c r="C4698" t="n">
        <v>1.7265</v>
      </c>
    </row>
    <row r="4699">
      <c r="A4699" t="n">
        <v>1.4342</v>
      </c>
      <c r="B4699" t="n">
        <v>1.4505</v>
      </c>
      <c r="C4699" t="n">
        <v>1.4736</v>
      </c>
    </row>
    <row r="4700">
      <c r="A4700" t="n">
        <v>1.43</v>
      </c>
      <c r="B4700" t="n">
        <v>1.748</v>
      </c>
      <c r="C4700" t="n">
        <v>1.4595</v>
      </c>
    </row>
    <row r="4701">
      <c r="A4701" t="n">
        <v>1.4221</v>
      </c>
      <c r="B4701" t="n">
        <v>1.6821</v>
      </c>
      <c r="C4701" t="n">
        <v>1.4713</v>
      </c>
    </row>
    <row r="4702">
      <c r="A4702" t="n">
        <v>1.6507</v>
      </c>
      <c r="B4702" t="n">
        <v>1.4848</v>
      </c>
      <c r="C4702" t="n">
        <v>1.6058</v>
      </c>
    </row>
    <row r="4703">
      <c r="A4703" t="n">
        <v>1.7025</v>
      </c>
      <c r="B4703" t="n">
        <v>1.4408</v>
      </c>
      <c r="C4703" t="n">
        <v>1.6126</v>
      </c>
    </row>
    <row r="4704">
      <c r="A4704" t="n">
        <v>1.494</v>
      </c>
      <c r="B4704" t="n">
        <v>1.5014</v>
      </c>
      <c r="C4704" t="n">
        <v>1.4378</v>
      </c>
    </row>
    <row r="4705">
      <c r="A4705" t="n">
        <v>1.452</v>
      </c>
      <c r="B4705" t="n">
        <v>1.6437</v>
      </c>
      <c r="C4705" t="n">
        <v>1.4124</v>
      </c>
    </row>
    <row r="4706">
      <c r="A4706" t="n">
        <v>1.4358</v>
      </c>
      <c r="B4706" t="n">
        <v>2.2314</v>
      </c>
      <c r="C4706" t="n">
        <v>1.7617</v>
      </c>
    </row>
    <row r="4707">
      <c r="A4707" t="n">
        <v>1.5968</v>
      </c>
      <c r="B4707" t="n">
        <v>1.7137</v>
      </c>
      <c r="C4707" t="n">
        <v>1.6219</v>
      </c>
    </row>
    <row r="4708">
      <c r="A4708" t="n">
        <v>1.5285</v>
      </c>
      <c r="B4708" t="n">
        <v>1.7073</v>
      </c>
      <c r="C4708" t="n">
        <v>1.5686</v>
      </c>
    </row>
    <row r="4709">
      <c r="A4709" t="n">
        <v>1.6505</v>
      </c>
      <c r="B4709" t="n">
        <v>1.4761</v>
      </c>
      <c r="C4709" t="n">
        <v>1.427</v>
      </c>
    </row>
    <row r="4710">
      <c r="A4710" t="n">
        <v>1.4798</v>
      </c>
      <c r="B4710" t="n">
        <v>1.4616</v>
      </c>
      <c r="C4710" t="n">
        <v>1.4343</v>
      </c>
    </row>
    <row r="4711">
      <c r="A4711" t="n">
        <v>1.4411</v>
      </c>
      <c r="B4711" t="n">
        <v>1.4442</v>
      </c>
      <c r="C4711" t="n">
        <v>1.4003</v>
      </c>
    </row>
    <row r="4712">
      <c r="A4712" t="n">
        <v>1.6375</v>
      </c>
      <c r="B4712" t="n">
        <v>1.6632</v>
      </c>
      <c r="C4712" t="n">
        <v>1.4475</v>
      </c>
    </row>
    <row r="4713">
      <c r="A4713" t="n">
        <v>1.5063</v>
      </c>
      <c r="B4713" t="n">
        <v>1.7642</v>
      </c>
      <c r="C4713" t="n">
        <v>1.4417</v>
      </c>
    </row>
    <row r="4714">
      <c r="A4714" t="n">
        <v>1.5947</v>
      </c>
      <c r="B4714" t="n">
        <v>1.491</v>
      </c>
      <c r="C4714" t="n">
        <v>1.4046</v>
      </c>
    </row>
    <row r="4715">
      <c r="A4715" t="n">
        <v>1.5237</v>
      </c>
      <c r="B4715" t="n">
        <v>1.4521</v>
      </c>
      <c r="C4715" t="n">
        <v>1.6155</v>
      </c>
    </row>
    <row r="4716">
      <c r="A4716" t="n">
        <v>1.4046</v>
      </c>
      <c r="B4716" t="n">
        <v>1.4546</v>
      </c>
      <c r="C4716" t="n">
        <v>1.758</v>
      </c>
    </row>
    <row r="4717">
      <c r="A4717" t="n">
        <v>1.4188</v>
      </c>
      <c r="B4717" t="n">
        <v>1.658</v>
      </c>
      <c r="C4717" t="n">
        <v>1.481</v>
      </c>
    </row>
    <row r="4718">
      <c r="A4718" t="n">
        <v>1.4438</v>
      </c>
      <c r="B4718" t="n">
        <v>1.9021</v>
      </c>
      <c r="C4718" t="n">
        <v>1.4384</v>
      </c>
    </row>
    <row r="4719">
      <c r="A4719" t="n">
        <v>1.4231</v>
      </c>
      <c r="B4719" t="n">
        <v>1.493</v>
      </c>
      <c r="C4719" t="n">
        <v>1.4384</v>
      </c>
    </row>
    <row r="4720">
      <c r="A4720" t="n">
        <v>1.6179</v>
      </c>
      <c r="B4720" t="n">
        <v>1.4536</v>
      </c>
      <c r="C4720" t="n">
        <v>1.3866</v>
      </c>
    </row>
    <row r="4721">
      <c r="A4721" t="n">
        <v>1.7273</v>
      </c>
      <c r="B4721" t="n">
        <v>1.4101</v>
      </c>
      <c r="C4721" t="n">
        <v>1.4423</v>
      </c>
    </row>
    <row r="4722">
      <c r="A4722" t="n">
        <v>2.0524</v>
      </c>
      <c r="B4722" t="n">
        <v>1.721</v>
      </c>
      <c r="C4722" t="n">
        <v>1.6693</v>
      </c>
    </row>
    <row r="4723">
      <c r="A4723" t="n">
        <v>1.535</v>
      </c>
      <c r="B4723" t="n">
        <v>1.6826</v>
      </c>
      <c r="C4723" t="n">
        <v>1.5297</v>
      </c>
    </row>
    <row r="4724">
      <c r="A4724" t="n">
        <v>1.6276</v>
      </c>
      <c r="B4724" t="n">
        <v>1.4562</v>
      </c>
      <c r="C4724" t="n">
        <v>1.7495</v>
      </c>
    </row>
    <row r="4725">
      <c r="A4725" t="n">
        <v>1.4526</v>
      </c>
      <c r="B4725" t="n">
        <v>1.4584</v>
      </c>
      <c r="C4725" t="n">
        <v>1.6789</v>
      </c>
    </row>
    <row r="4726">
      <c r="A4726" t="n">
        <v>1.4094</v>
      </c>
      <c r="B4726" t="n">
        <v>1.4388</v>
      </c>
      <c r="C4726" t="n">
        <v>1.5399</v>
      </c>
    </row>
    <row r="4727">
      <c r="A4727" t="n">
        <v>1.4203</v>
      </c>
      <c r="B4727" t="n">
        <v>1.7014</v>
      </c>
      <c r="C4727" t="n">
        <v>1.6524</v>
      </c>
    </row>
    <row r="4728">
      <c r="A4728" t="n">
        <v>1.4128</v>
      </c>
      <c r="B4728" t="n">
        <v>1.7249</v>
      </c>
      <c r="C4728" t="n">
        <v>1.4949</v>
      </c>
    </row>
    <row r="4729">
      <c r="A4729" t="n">
        <v>1.4319</v>
      </c>
      <c r="B4729" t="n">
        <v>1.4804</v>
      </c>
      <c r="C4729" t="n">
        <v>1.4367</v>
      </c>
    </row>
    <row r="4730">
      <c r="A4730" t="n">
        <v>1.6371</v>
      </c>
      <c r="B4730" t="n">
        <v>1.4189</v>
      </c>
      <c r="C4730" t="n">
        <v>1.6698</v>
      </c>
    </row>
    <row r="4731">
      <c r="A4731" t="n">
        <v>1.6939</v>
      </c>
      <c r="B4731" t="n">
        <v>1.4243</v>
      </c>
      <c r="C4731" t="n">
        <v>1.5286</v>
      </c>
    </row>
    <row r="4732">
      <c r="A4732" t="n">
        <v>1.4933</v>
      </c>
      <c r="B4732" t="n">
        <v>1.5996</v>
      </c>
      <c r="C4732" t="n">
        <v>1.589</v>
      </c>
    </row>
    <row r="4733">
      <c r="A4733" t="n">
        <v>1.4418</v>
      </c>
      <c r="B4733" t="n">
        <v>1.5364</v>
      </c>
      <c r="C4733" t="n">
        <v>1.4757</v>
      </c>
    </row>
    <row r="4734">
      <c r="A4734" t="n">
        <v>1.4158</v>
      </c>
      <c r="B4734" t="n">
        <v>1.6522</v>
      </c>
      <c r="C4734" t="n">
        <v>1.4198</v>
      </c>
    </row>
    <row r="4735">
      <c r="A4735" t="n">
        <v>1.6253</v>
      </c>
      <c r="B4735" t="n">
        <v>1.5016</v>
      </c>
      <c r="C4735" t="n">
        <v>1.4149</v>
      </c>
    </row>
    <row r="4736">
      <c r="A4736" t="n">
        <v>1.5128</v>
      </c>
      <c r="B4736" t="n">
        <v>1.4159</v>
      </c>
      <c r="C4736" t="n">
        <v>1.4294</v>
      </c>
    </row>
    <row r="4737">
      <c r="A4737" t="n">
        <v>1.6228</v>
      </c>
      <c r="B4737" t="n">
        <v>1.4518</v>
      </c>
      <c r="C4737" t="n">
        <v>1.4182</v>
      </c>
    </row>
    <row r="4738">
      <c r="A4738" t="n">
        <v>1.4898</v>
      </c>
      <c r="B4738" t="n">
        <v>1.805</v>
      </c>
      <c r="C4738" t="n">
        <v>1.9576</v>
      </c>
    </row>
    <row r="4739">
      <c r="A4739" t="n">
        <v>1.446</v>
      </c>
      <c r="B4739" t="n">
        <v>1.6733</v>
      </c>
      <c r="C4739" t="n">
        <v>1.7049</v>
      </c>
    </row>
    <row r="4740">
      <c r="A4740" t="n">
        <v>1.4094</v>
      </c>
      <c r="B4740" t="n">
        <v>1.5199</v>
      </c>
      <c r="C4740" t="n">
        <v>1.6843</v>
      </c>
    </row>
    <row r="4741">
      <c r="A4741" t="n">
        <v>1.4201</v>
      </c>
      <c r="B4741" t="n">
        <v>1.4531</v>
      </c>
      <c r="C4741" t="n">
        <v>1.5164</v>
      </c>
    </row>
    <row r="4742">
      <c r="A4742" t="n">
        <v>1.4144</v>
      </c>
      <c r="B4742" t="n">
        <v>1.3859</v>
      </c>
      <c r="C4742" t="n">
        <v>1.6234</v>
      </c>
    </row>
    <row r="4743">
      <c r="A4743" t="n">
        <v>1.6555</v>
      </c>
      <c r="B4743" t="n">
        <v>1.4192</v>
      </c>
      <c r="C4743" t="n">
        <v>1.5194</v>
      </c>
    </row>
    <row r="4744">
      <c r="A4744" t="n">
        <v>1.6716</v>
      </c>
      <c r="B4744" t="n">
        <v>1.4302</v>
      </c>
      <c r="C4744" t="n">
        <v>1.4375</v>
      </c>
    </row>
    <row r="4745">
      <c r="A4745" t="n">
        <v>1.4944</v>
      </c>
      <c r="B4745" t="n">
        <v>1.3948</v>
      </c>
      <c r="C4745" t="n">
        <v>1.3985</v>
      </c>
    </row>
    <row r="4746">
      <c r="A4746" t="n">
        <v>1.4213</v>
      </c>
      <c r="B4746" t="n">
        <v>1.5255</v>
      </c>
      <c r="C4746" t="n">
        <v>1.4283</v>
      </c>
    </row>
    <row r="4747">
      <c r="A4747" t="n">
        <v>1.4264</v>
      </c>
      <c r="B4747" t="n">
        <v>1.6734</v>
      </c>
      <c r="C4747" t="n">
        <v>1.4145</v>
      </c>
    </row>
    <row r="4748">
      <c r="A4748" t="n">
        <v>1.6373</v>
      </c>
      <c r="B4748" t="n">
        <v>1.469</v>
      </c>
      <c r="C4748" t="n">
        <v>1.7482</v>
      </c>
    </row>
    <row r="4749">
      <c r="A4749" t="n">
        <v>1.5166</v>
      </c>
      <c r="B4749" t="n">
        <v>1.457</v>
      </c>
      <c r="C4749" t="n">
        <v>1.7347</v>
      </c>
    </row>
    <row r="4750">
      <c r="A4750" t="n">
        <v>1.6312</v>
      </c>
      <c r="B4750" t="n">
        <v>1.3994</v>
      </c>
      <c r="C4750" t="n">
        <v>1.4829</v>
      </c>
    </row>
    <row r="4751">
      <c r="A4751" t="n">
        <v>1.4709</v>
      </c>
      <c r="B4751" t="n">
        <v>1.4181</v>
      </c>
      <c r="C4751" t="n">
        <v>1.4436</v>
      </c>
    </row>
    <row r="4752">
      <c r="A4752" t="n">
        <v>1.4608</v>
      </c>
      <c r="B4752" t="n">
        <v>1.455</v>
      </c>
      <c r="C4752" t="n">
        <v>1.4439</v>
      </c>
    </row>
    <row r="4753">
      <c r="A4753" t="n">
        <v>1.4237</v>
      </c>
      <c r="B4753" t="n">
        <v>1.4323</v>
      </c>
      <c r="C4753" t="n">
        <v>1.608</v>
      </c>
    </row>
    <row r="4754">
      <c r="A4754" t="n">
        <v>1.7723</v>
      </c>
      <c r="B4754" t="n">
        <v>1.4402</v>
      </c>
      <c r="C4754" t="n">
        <v>1.6725</v>
      </c>
    </row>
    <row r="4755">
      <c r="A4755" t="n">
        <v>1.5902</v>
      </c>
      <c r="B4755" t="n">
        <v>1.6544</v>
      </c>
      <c r="C4755" t="n">
        <v>1.5105</v>
      </c>
    </row>
    <row r="4756">
      <c r="A4756" t="n">
        <v>1.515</v>
      </c>
      <c r="B4756" t="n">
        <v>1.5049</v>
      </c>
      <c r="C4756" t="n">
        <v>1.4276</v>
      </c>
    </row>
    <row r="4757">
      <c r="A4757" t="n">
        <v>1.4229</v>
      </c>
      <c r="B4757" t="n">
        <v>1.4229</v>
      </c>
      <c r="C4757" t="n">
        <v>1.4429</v>
      </c>
    </row>
    <row r="4758">
      <c r="A4758" t="n">
        <v>1.4176</v>
      </c>
      <c r="B4758" t="n">
        <v>1.4193</v>
      </c>
      <c r="C4758" t="n">
        <v>1.6735</v>
      </c>
    </row>
    <row r="4759">
      <c r="A4759" t="n">
        <v>1.4214</v>
      </c>
      <c r="B4759" t="n">
        <v>1.4857</v>
      </c>
      <c r="C4759" t="n">
        <v>1.7468</v>
      </c>
    </row>
    <row r="4760">
      <c r="A4760" t="n">
        <v>1.4207</v>
      </c>
      <c r="B4760" t="n">
        <v>1.4389</v>
      </c>
      <c r="C4760" t="n">
        <v>1.4871</v>
      </c>
    </row>
    <row r="4761">
      <c r="A4761" t="n">
        <v>1.6472</v>
      </c>
      <c r="B4761" t="n">
        <v>1.4427</v>
      </c>
      <c r="C4761" t="n">
        <v>1.4449</v>
      </c>
    </row>
    <row r="4762">
      <c r="A4762" t="n">
        <v>1.6916</v>
      </c>
      <c r="B4762" t="n">
        <v>1.8685</v>
      </c>
      <c r="C4762" t="n">
        <v>1.4708</v>
      </c>
    </row>
    <row r="4763">
      <c r="A4763" t="n">
        <v>1.5078</v>
      </c>
      <c r="B4763" t="n">
        <v>1.6433</v>
      </c>
      <c r="C4763" t="n">
        <v>1.626</v>
      </c>
    </row>
    <row r="4764">
      <c r="A4764" t="n">
        <v>1.4057</v>
      </c>
      <c r="B4764" t="n">
        <v>1.7255</v>
      </c>
      <c r="C4764" t="n">
        <v>1.4984</v>
      </c>
    </row>
    <row r="4765">
      <c r="A4765" t="n">
        <v>1.4332</v>
      </c>
      <c r="B4765" t="n">
        <v>1.713</v>
      </c>
      <c r="C4765" t="n">
        <v>1.6259</v>
      </c>
    </row>
    <row r="4766">
      <c r="A4766" t="n">
        <v>1.6105</v>
      </c>
      <c r="B4766" t="n">
        <v>1.4658</v>
      </c>
      <c r="C4766" t="n">
        <v>1.492</v>
      </c>
    </row>
    <row r="4767">
      <c r="A4767" t="n">
        <v>1.5012</v>
      </c>
      <c r="B4767" t="n">
        <v>1.4347</v>
      </c>
      <c r="C4767" t="n">
        <v>1.4445</v>
      </c>
    </row>
    <row r="4768">
      <c r="A4768" t="n">
        <v>1.7175</v>
      </c>
      <c r="B4768" t="n">
        <v>1.4033</v>
      </c>
      <c r="C4768" t="n">
        <v>1.373</v>
      </c>
    </row>
    <row r="4769">
      <c r="A4769" t="n">
        <v>1.4894</v>
      </c>
      <c r="B4769" t="n">
        <v>1.4447</v>
      </c>
      <c r="C4769" t="n">
        <v>1.4265</v>
      </c>
    </row>
    <row r="4770">
      <c r="A4770" t="n">
        <v>1.4169</v>
      </c>
      <c r="B4770" t="n">
        <v>1.8096</v>
      </c>
      <c r="C4770" t="n">
        <v>1.7827</v>
      </c>
    </row>
    <row r="4771">
      <c r="A4771" t="n">
        <v>1.4161</v>
      </c>
      <c r="B4771" t="n">
        <v>1.5182</v>
      </c>
      <c r="C4771" t="n">
        <v>1.4609</v>
      </c>
    </row>
    <row r="4772">
      <c r="A4772" t="n">
        <v>1.4223</v>
      </c>
      <c r="B4772" t="n">
        <v>1.6998</v>
      </c>
      <c r="C4772" t="n">
        <v>1.696</v>
      </c>
    </row>
    <row r="4773">
      <c r="A4773" t="n">
        <v>1.4448</v>
      </c>
      <c r="B4773" t="n">
        <v>1.7394</v>
      </c>
      <c r="C4773" t="n">
        <v>1.7447</v>
      </c>
    </row>
    <row r="4774">
      <c r="A4774" t="n">
        <v>1.403</v>
      </c>
      <c r="B4774" t="n">
        <v>1.5417</v>
      </c>
      <c r="C4774" t="n">
        <v>1.497</v>
      </c>
    </row>
    <row r="4775">
      <c r="A4775" t="n">
        <v>1.5007</v>
      </c>
      <c r="B4775" t="n">
        <v>1.6561</v>
      </c>
      <c r="C4775" t="n">
        <v>1.6953</v>
      </c>
    </row>
    <row r="4776">
      <c r="A4776" t="n">
        <v>1.6279</v>
      </c>
      <c r="B4776" t="n">
        <v>1.4816</v>
      </c>
      <c r="C4776" t="n">
        <v>1.496</v>
      </c>
    </row>
    <row r="4777">
      <c r="A4777" t="n">
        <v>1.4743</v>
      </c>
      <c r="B4777" t="n">
        <v>1.4526</v>
      </c>
      <c r="C4777" t="n">
        <v>1.3999</v>
      </c>
    </row>
    <row r="4778">
      <c r="A4778" t="n">
        <v>1.4306</v>
      </c>
      <c r="B4778" t="n">
        <v>1.705</v>
      </c>
      <c r="C4778" t="n">
        <v>1.3991</v>
      </c>
    </row>
    <row r="4779">
      <c r="A4779" t="n">
        <v>1.3987</v>
      </c>
      <c r="B4779" t="n">
        <v>1.5469</v>
      </c>
      <c r="C4779" t="n">
        <v>1.4308</v>
      </c>
    </row>
    <row r="4780">
      <c r="A4780" t="n">
        <v>1.412</v>
      </c>
      <c r="B4780" t="n">
        <v>1.6989</v>
      </c>
      <c r="C4780" t="n">
        <v>1.4313</v>
      </c>
    </row>
    <row r="4781">
      <c r="A4781" t="n">
        <v>1.4493</v>
      </c>
      <c r="B4781" t="n">
        <v>1.4845</v>
      </c>
      <c r="C4781" t="n">
        <v>1.7101</v>
      </c>
    </row>
    <row r="4782">
      <c r="A4782" t="n">
        <v>1.4139</v>
      </c>
      <c r="B4782" t="n">
        <v>1.4517</v>
      </c>
      <c r="C4782" t="n">
        <v>1.6798</v>
      </c>
    </row>
    <row r="4783">
      <c r="A4783" t="n">
        <v>1.4462</v>
      </c>
      <c r="B4783" t="n">
        <v>1.6301</v>
      </c>
      <c r="C4783" t="n">
        <v>1.4682</v>
      </c>
    </row>
    <row r="4784">
      <c r="A4784" t="n">
        <v>1.616</v>
      </c>
      <c r="B4784" t="n">
        <v>1.5101</v>
      </c>
      <c r="C4784" t="n">
        <v>1.4302</v>
      </c>
    </row>
    <row r="4785">
      <c r="A4785" t="n">
        <v>1.5081</v>
      </c>
      <c r="B4785" t="n">
        <v>1.6391</v>
      </c>
      <c r="C4785" t="n">
        <v>1.4449</v>
      </c>
    </row>
    <row r="4786">
      <c r="A4786" t="n">
        <v>1.7897</v>
      </c>
      <c r="B4786" t="n">
        <v>1.4969</v>
      </c>
      <c r="C4786" t="n">
        <v>1.6001</v>
      </c>
    </row>
    <row r="4787">
      <c r="A4787" t="n">
        <v>1.6935</v>
      </c>
      <c r="B4787" t="n">
        <v>1.4649</v>
      </c>
      <c r="C4787" t="n">
        <v>1.5874</v>
      </c>
    </row>
    <row r="4788">
      <c r="A4788" t="n">
        <v>1.6514</v>
      </c>
      <c r="B4788" t="n">
        <v>1.4404</v>
      </c>
      <c r="C4788" t="n">
        <v>1.4204</v>
      </c>
    </row>
    <row r="4789">
      <c r="A4789" t="n">
        <v>1.4859</v>
      </c>
      <c r="B4789" t="n">
        <v>1.4691</v>
      </c>
      <c r="C4789" t="n">
        <v>1.3937</v>
      </c>
    </row>
    <row r="4790">
      <c r="A4790" t="n">
        <v>1.4294</v>
      </c>
      <c r="B4790" t="n">
        <v>1.4265</v>
      </c>
      <c r="C4790" t="n">
        <v>1.4026</v>
      </c>
    </row>
    <row r="4791">
      <c r="A4791" t="n">
        <v>1.4262</v>
      </c>
      <c r="B4791" t="n">
        <v>1.4701</v>
      </c>
      <c r="C4791" t="n">
        <v>1.4217</v>
      </c>
    </row>
    <row r="4792">
      <c r="A4792" t="n">
        <v>1.6489</v>
      </c>
      <c r="B4792" t="n">
        <v>1.8214</v>
      </c>
      <c r="C4792" t="n">
        <v>1.4435</v>
      </c>
    </row>
    <row r="4793">
      <c r="A4793" t="n">
        <v>1.537</v>
      </c>
      <c r="B4793" t="n">
        <v>1.4872</v>
      </c>
      <c r="C4793" t="n">
        <v>1.4676</v>
      </c>
    </row>
    <row r="4794">
      <c r="A4794" t="n">
        <v>1.6724</v>
      </c>
      <c r="B4794" t="n">
        <v>1.4677</v>
      </c>
      <c r="C4794" t="n">
        <v>1.6834</v>
      </c>
    </row>
    <row r="4795">
      <c r="A4795" t="n">
        <v>1.4996</v>
      </c>
      <c r="B4795" t="n">
        <v>1.457</v>
      </c>
      <c r="C4795" t="n">
        <v>1.7284</v>
      </c>
    </row>
    <row r="4796">
      <c r="A4796" t="n">
        <v>1.4509</v>
      </c>
      <c r="B4796" t="n">
        <v>1.6486</v>
      </c>
      <c r="C4796" t="n">
        <v>1.4795</v>
      </c>
    </row>
    <row r="4797">
      <c r="A4797" t="n">
        <v>1.608</v>
      </c>
      <c r="B4797" t="n">
        <v>1.6852</v>
      </c>
      <c r="C4797" t="n">
        <v>1.4538</v>
      </c>
    </row>
    <row r="4798">
      <c r="A4798" t="n">
        <v>1.5258</v>
      </c>
      <c r="B4798" t="n">
        <v>1.5142</v>
      </c>
      <c r="C4798" t="n">
        <v>1.4544</v>
      </c>
    </row>
    <row r="4799">
      <c r="A4799" t="n">
        <v>1.6084</v>
      </c>
      <c r="B4799" t="n">
        <v>1.4482</v>
      </c>
      <c r="C4799" t="n">
        <v>1.6066</v>
      </c>
    </row>
    <row r="4800">
      <c r="A4800" t="n">
        <v>1.4847</v>
      </c>
      <c r="B4800" t="n">
        <v>1.4885</v>
      </c>
      <c r="C4800" t="n">
        <v>1.5029</v>
      </c>
    </row>
    <row r="4801">
      <c r="A4801" t="n">
        <v>1.4251</v>
      </c>
      <c r="B4801" t="n">
        <v>1.7219</v>
      </c>
      <c r="C4801" t="n">
        <v>1.3902</v>
      </c>
    </row>
    <row r="4802">
      <c r="A4802" t="n">
        <v>1.5147</v>
      </c>
      <c r="B4802" t="n">
        <v>1.9889</v>
      </c>
      <c r="C4802" t="n">
        <v>1.7935</v>
      </c>
    </row>
    <row r="4803">
      <c r="A4803" t="n">
        <v>1.4358</v>
      </c>
      <c r="B4803" t="n">
        <v>1.7007</v>
      </c>
      <c r="C4803" t="n">
        <v>1.4839</v>
      </c>
    </row>
    <row r="4804">
      <c r="A4804" t="n">
        <v>1.4409</v>
      </c>
      <c r="B4804" t="n">
        <v>1.5583</v>
      </c>
      <c r="C4804" t="n">
        <v>1.3943</v>
      </c>
    </row>
    <row r="4805">
      <c r="A4805" t="n">
        <v>1.4035</v>
      </c>
      <c r="B4805" t="n">
        <v>1.6384</v>
      </c>
      <c r="C4805" t="n">
        <v>1.4511</v>
      </c>
    </row>
    <row r="4806">
      <c r="A4806" t="n">
        <v>1.444</v>
      </c>
      <c r="B4806" t="n">
        <v>1.4963</v>
      </c>
      <c r="C4806" t="n">
        <v>1.6384</v>
      </c>
    </row>
    <row r="4807">
      <c r="A4807" t="n">
        <v>1.6317</v>
      </c>
      <c r="B4807" t="n">
        <v>1.4527</v>
      </c>
      <c r="C4807" t="n">
        <v>1.5216</v>
      </c>
    </row>
    <row r="4808">
      <c r="A4808" t="n">
        <v>1.5012</v>
      </c>
      <c r="B4808" t="n">
        <v>1.6133</v>
      </c>
      <c r="C4808" t="n">
        <v>1.6527</v>
      </c>
    </row>
    <row r="4809">
      <c r="A4809" t="n">
        <v>1.4251</v>
      </c>
      <c r="B4809" t="n">
        <v>1.5506</v>
      </c>
      <c r="C4809" t="n">
        <v>1.7127</v>
      </c>
    </row>
    <row r="4810">
      <c r="A4810" t="n">
        <v>1.4561</v>
      </c>
      <c r="B4810" t="n">
        <v>1.6571</v>
      </c>
      <c r="C4810" t="n">
        <v>1.5063</v>
      </c>
    </row>
    <row r="4811">
      <c r="A4811" t="n">
        <v>1.4395</v>
      </c>
      <c r="B4811" t="n">
        <v>1.486</v>
      </c>
      <c r="C4811" t="n">
        <v>1.6294</v>
      </c>
    </row>
    <row r="4812">
      <c r="A4812" t="n">
        <v>1.4217</v>
      </c>
      <c r="B4812" t="n">
        <v>1.4478</v>
      </c>
      <c r="C4812" t="n">
        <v>1.483</v>
      </c>
    </row>
    <row r="4813">
      <c r="A4813" t="n">
        <v>1.6832</v>
      </c>
      <c r="B4813" t="n">
        <v>1.3994</v>
      </c>
      <c r="C4813" t="n">
        <v>1.4046</v>
      </c>
    </row>
    <row r="4814">
      <c r="A4814" t="n">
        <v>1.7082</v>
      </c>
      <c r="B4814" t="n">
        <v>1.4229</v>
      </c>
      <c r="C4814" t="n">
        <v>1.5034</v>
      </c>
    </row>
    <row r="4815">
      <c r="A4815" t="n">
        <v>1.5044</v>
      </c>
      <c r="B4815" t="n">
        <v>1.4605</v>
      </c>
      <c r="C4815" t="n">
        <v>1.4509</v>
      </c>
    </row>
    <row r="4816">
      <c r="A4816" t="n">
        <v>1.433</v>
      </c>
      <c r="B4816" t="n">
        <v>1.7469</v>
      </c>
      <c r="C4816" t="n">
        <v>1.4302</v>
      </c>
    </row>
    <row r="4817">
      <c r="A4817" t="n">
        <v>1.4179</v>
      </c>
      <c r="B4817" t="n">
        <v>1.672</v>
      </c>
      <c r="C4817" t="n">
        <v>1.4181</v>
      </c>
    </row>
    <row r="4818">
      <c r="A4818" t="n">
        <v>1.9658</v>
      </c>
      <c r="B4818" t="n">
        <v>1.485</v>
      </c>
      <c r="C4818" t="n">
        <v>1.5584</v>
      </c>
    </row>
    <row r="4819">
      <c r="A4819" t="n">
        <v>1.7722</v>
      </c>
      <c r="B4819" t="n">
        <v>1.4514</v>
      </c>
      <c r="C4819" t="n">
        <v>1.4068</v>
      </c>
    </row>
    <row r="4820">
      <c r="A4820" t="n">
        <v>1.6766</v>
      </c>
      <c r="B4820" t="n">
        <v>1.4087</v>
      </c>
      <c r="C4820" t="n">
        <v>1.4598</v>
      </c>
    </row>
    <row r="4821">
      <c r="A4821" t="n">
        <v>1.5006</v>
      </c>
      <c r="B4821" t="n">
        <v>1.6307</v>
      </c>
      <c r="C4821" t="n">
        <v>1.6902</v>
      </c>
    </row>
    <row r="4822">
      <c r="A4822" t="n">
        <v>1.6588</v>
      </c>
      <c r="B4822" t="n">
        <v>1.7559</v>
      </c>
      <c r="C4822" t="n">
        <v>1.6564</v>
      </c>
    </row>
    <row r="4823">
      <c r="A4823" t="n">
        <v>1.7296</v>
      </c>
      <c r="B4823" t="n">
        <v>1.4866</v>
      </c>
      <c r="C4823" t="n">
        <v>1.535</v>
      </c>
    </row>
    <row r="4824">
      <c r="A4824" t="n">
        <v>1.4901</v>
      </c>
      <c r="B4824" t="n">
        <v>1.4339</v>
      </c>
      <c r="C4824" t="n">
        <v>1.6409</v>
      </c>
    </row>
    <row r="4825">
      <c r="A4825" t="n">
        <v>1.7049</v>
      </c>
      <c r="B4825" t="n">
        <v>1.4237</v>
      </c>
      <c r="C4825" t="n">
        <v>1.479</v>
      </c>
    </row>
    <row r="4826">
      <c r="A4826" t="n">
        <v>1.7192</v>
      </c>
      <c r="B4826" t="n">
        <v>1.6471</v>
      </c>
      <c r="C4826" t="n">
        <v>1.4315</v>
      </c>
    </row>
    <row r="4827">
      <c r="A4827" t="n">
        <v>1.4994</v>
      </c>
      <c r="B4827" t="n">
        <v>1.8372</v>
      </c>
      <c r="C4827" t="n">
        <v>1.4071</v>
      </c>
    </row>
    <row r="4828">
      <c r="A4828" t="n">
        <v>1.6941</v>
      </c>
      <c r="B4828" t="n">
        <v>1.5047</v>
      </c>
      <c r="C4828" t="n">
        <v>1.4246</v>
      </c>
    </row>
    <row r="4829">
      <c r="A4829" t="n">
        <v>1.6696</v>
      </c>
      <c r="B4829" t="n">
        <v>1.4306</v>
      </c>
      <c r="C4829" t="n">
        <v>1.4262</v>
      </c>
    </row>
    <row r="4830">
      <c r="A4830" t="n">
        <v>1.4967</v>
      </c>
      <c r="B4830" t="n">
        <v>1.4365</v>
      </c>
      <c r="C4830" t="n">
        <v>1.6669</v>
      </c>
    </row>
    <row r="4831">
      <c r="A4831" t="n">
        <v>1.4541</v>
      </c>
      <c r="B4831" t="n">
        <v>1.6396</v>
      </c>
      <c r="C4831" t="n">
        <v>1.7199</v>
      </c>
    </row>
    <row r="4832">
      <c r="A4832" t="n">
        <v>1.4246</v>
      </c>
      <c r="B4832" t="n">
        <v>1.841</v>
      </c>
      <c r="C4832" t="n">
        <v>1.5445</v>
      </c>
    </row>
    <row r="4833">
      <c r="A4833" t="n">
        <v>1.4815</v>
      </c>
      <c r="B4833" t="n">
        <v>1.5227</v>
      </c>
      <c r="C4833" t="n">
        <v>1.4518</v>
      </c>
    </row>
    <row r="4834">
      <c r="A4834" t="n">
        <v>1.4592</v>
      </c>
      <c r="B4834" t="n">
        <v>1.8294</v>
      </c>
      <c r="C4834" t="n">
        <v>1.9609</v>
      </c>
    </row>
    <row r="4835">
      <c r="A4835" t="n">
        <v>1.6956</v>
      </c>
      <c r="B4835" t="n">
        <v>1.7054</v>
      </c>
      <c r="C4835" t="n">
        <v>1.5409</v>
      </c>
    </row>
    <row r="4836">
      <c r="A4836" t="n">
        <v>1.6837</v>
      </c>
      <c r="B4836" t="n">
        <v>1.5038</v>
      </c>
      <c r="C4836" t="n">
        <v>1.4336</v>
      </c>
    </row>
    <row r="4837">
      <c r="A4837" t="n">
        <v>1.4934</v>
      </c>
      <c r="B4837" t="n">
        <v>1.4453</v>
      </c>
      <c r="C4837" t="n">
        <v>1.4052</v>
      </c>
    </row>
    <row r="4838">
      <c r="A4838" t="n">
        <v>1.4557</v>
      </c>
      <c r="B4838" t="n">
        <v>1.403</v>
      </c>
      <c r="C4838" t="n">
        <v>1.4257</v>
      </c>
    </row>
    <row r="4839">
      <c r="A4839" t="n">
        <v>1.4646</v>
      </c>
      <c r="B4839" t="n">
        <v>1.4599</v>
      </c>
      <c r="C4839" t="n">
        <v>1.4765</v>
      </c>
    </row>
    <row r="4840">
      <c r="A4840" t="n">
        <v>1.6294</v>
      </c>
      <c r="B4840" t="n">
        <v>1.4644</v>
      </c>
      <c r="C4840" t="n">
        <v>1.6198</v>
      </c>
    </row>
    <row r="4841">
      <c r="A4841" t="n">
        <v>1.7233</v>
      </c>
      <c r="B4841" t="n">
        <v>1.4631</v>
      </c>
      <c r="C4841" t="n">
        <v>1.7117</v>
      </c>
    </row>
    <row r="4842">
      <c r="A4842" t="n">
        <v>1.4734</v>
      </c>
      <c r="B4842" t="n">
        <v>1.7995</v>
      </c>
      <c r="C4842" t="n">
        <v>1.4964</v>
      </c>
    </row>
    <row r="4843">
      <c r="A4843" t="n">
        <v>1.4355</v>
      </c>
      <c r="B4843" t="n">
        <v>1.5026</v>
      </c>
      <c r="C4843" t="n">
        <v>1.4266</v>
      </c>
    </row>
    <row r="4844">
      <c r="A4844" t="n">
        <v>1.4352</v>
      </c>
      <c r="B4844" t="n">
        <v>1.4584</v>
      </c>
      <c r="C4844" t="n">
        <v>1.4459</v>
      </c>
    </row>
    <row r="4845">
      <c r="A4845" t="n">
        <v>1.3894</v>
      </c>
      <c r="B4845" t="n">
        <v>1.4672</v>
      </c>
      <c r="C4845" t="n">
        <v>1.6419</v>
      </c>
    </row>
    <row r="4846">
      <c r="A4846" t="n">
        <v>1.4661</v>
      </c>
      <c r="B4846" t="n">
        <v>1.6626</v>
      </c>
      <c r="C4846" t="n">
        <v>1.478</v>
      </c>
    </row>
    <row r="4847">
      <c r="A4847" t="n">
        <v>1.6407</v>
      </c>
      <c r="B4847" t="n">
        <v>1.6934</v>
      </c>
      <c r="C4847" t="n">
        <v>1.6528</v>
      </c>
    </row>
    <row r="4848">
      <c r="A4848" t="n">
        <v>1.4959</v>
      </c>
      <c r="B4848" t="n">
        <v>1.5197</v>
      </c>
      <c r="C4848" t="n">
        <v>1.5186</v>
      </c>
    </row>
    <row r="4849">
      <c r="A4849" t="n">
        <v>1.691</v>
      </c>
      <c r="B4849" t="n">
        <v>1.4497</v>
      </c>
      <c r="C4849" t="n">
        <v>1.4196</v>
      </c>
    </row>
    <row r="4850">
      <c r="A4850" t="n">
        <v>2.0526</v>
      </c>
      <c r="B4850" t="n">
        <v>1.4553</v>
      </c>
      <c r="C4850" t="n">
        <v>1.6455</v>
      </c>
    </row>
    <row r="4851">
      <c r="A4851" t="n">
        <v>1.6735</v>
      </c>
      <c r="B4851" t="n">
        <v>1.6283</v>
      </c>
      <c r="C4851" t="n">
        <v>1.5092</v>
      </c>
    </row>
    <row r="4852">
      <c r="A4852" t="n">
        <v>1.4791</v>
      </c>
      <c r="B4852" t="n">
        <v>1.8105</v>
      </c>
      <c r="C4852" t="n">
        <v>1.5968</v>
      </c>
    </row>
    <row r="4853">
      <c r="A4853" t="n">
        <v>1.4384</v>
      </c>
      <c r="B4853" t="n">
        <v>1.475</v>
      </c>
      <c r="C4853" t="n">
        <v>1.5056</v>
      </c>
    </row>
    <row r="4854">
      <c r="A4854" t="n">
        <v>1.4007</v>
      </c>
      <c r="B4854" t="n">
        <v>1.4515</v>
      </c>
      <c r="C4854" t="n">
        <v>1.4558</v>
      </c>
    </row>
    <row r="4855">
      <c r="A4855" t="n">
        <v>1.5953</v>
      </c>
      <c r="B4855" t="n">
        <v>1.4568</v>
      </c>
      <c r="C4855" t="n">
        <v>1.3858</v>
      </c>
    </row>
    <row r="4856">
      <c r="A4856" t="n">
        <v>1.5257</v>
      </c>
      <c r="B4856" t="n">
        <v>1.6658</v>
      </c>
      <c r="C4856" t="n">
        <v>1.4364</v>
      </c>
    </row>
    <row r="4857">
      <c r="A4857" t="n">
        <v>1.6303</v>
      </c>
      <c r="B4857" t="n">
        <v>1.7187</v>
      </c>
      <c r="C4857" t="n">
        <v>1.4608</v>
      </c>
    </row>
    <row r="4858">
      <c r="A4858" t="n">
        <v>1.4798</v>
      </c>
      <c r="B4858" t="n">
        <v>1.4805</v>
      </c>
      <c r="C4858" t="n">
        <v>1.427</v>
      </c>
    </row>
    <row r="4859">
      <c r="A4859" t="n">
        <v>1.4207</v>
      </c>
      <c r="B4859" t="n">
        <v>1.4569</v>
      </c>
      <c r="C4859" t="n">
        <v>1.4721</v>
      </c>
    </row>
    <row r="4860">
      <c r="A4860" t="n">
        <v>1.7265</v>
      </c>
      <c r="B4860" t="n">
        <v>1.4605</v>
      </c>
      <c r="C4860" t="n">
        <v>1.6893</v>
      </c>
    </row>
    <row r="4861">
      <c r="A4861" t="n">
        <v>1.5328</v>
      </c>
      <c r="B4861" t="n">
        <v>1.6718</v>
      </c>
      <c r="C4861" t="n">
        <v>1.4737</v>
      </c>
    </row>
    <row r="4862">
      <c r="A4862" t="n">
        <v>1.6739</v>
      </c>
      <c r="B4862" t="n">
        <v>1.7819</v>
      </c>
      <c r="C4862" t="n">
        <v>1.4423</v>
      </c>
    </row>
    <row r="4863">
      <c r="A4863" t="n">
        <v>1.4592</v>
      </c>
      <c r="B4863" t="n">
        <v>1.4867</v>
      </c>
      <c r="C4863" t="n">
        <v>1.4294</v>
      </c>
    </row>
    <row r="4864">
      <c r="A4864" t="n">
        <v>1.4353</v>
      </c>
      <c r="B4864" t="n">
        <v>1.4583</v>
      </c>
      <c r="C4864" t="n">
        <v>1.4223</v>
      </c>
    </row>
    <row r="4865">
      <c r="A4865" t="n">
        <v>1.4221</v>
      </c>
      <c r="B4865" t="n">
        <v>1.4364</v>
      </c>
      <c r="C4865" t="n">
        <v>1.4207</v>
      </c>
    </row>
    <row r="4866">
      <c r="A4866" t="n">
        <v>1.4166</v>
      </c>
      <c r="B4866" t="n">
        <v>2.0192</v>
      </c>
      <c r="C4866" t="n">
        <v>1.7777</v>
      </c>
    </row>
    <row r="4867">
      <c r="A4867" t="n">
        <v>1.4531</v>
      </c>
      <c r="B4867" t="n">
        <v>1.7434</v>
      </c>
      <c r="C4867" t="n">
        <v>1.6921</v>
      </c>
    </row>
    <row r="4868">
      <c r="A4868" t="n">
        <v>1.4211</v>
      </c>
      <c r="B4868" t="n">
        <v>1.6779</v>
      </c>
      <c r="C4868" t="n">
        <v>1.7576</v>
      </c>
    </row>
    <row r="4869">
      <c r="A4869" t="n">
        <v>1.425</v>
      </c>
      <c r="B4869" t="n">
        <v>1.5465</v>
      </c>
      <c r="C4869" t="n">
        <v>1.5219</v>
      </c>
    </row>
    <row r="4870">
      <c r="A4870" t="n">
        <v>1.6369</v>
      </c>
      <c r="B4870" t="n">
        <v>1.6422</v>
      </c>
      <c r="C4870" t="n">
        <v>1.6714</v>
      </c>
    </row>
    <row r="4871">
      <c r="A4871" t="n">
        <v>1.5025</v>
      </c>
      <c r="B4871" t="n">
        <v>1.7129</v>
      </c>
      <c r="C4871" t="n">
        <v>1.5147</v>
      </c>
    </row>
    <row r="4872">
      <c r="A4872" t="n">
        <v>1.4226</v>
      </c>
      <c r="B4872" t="n">
        <v>1.4972</v>
      </c>
      <c r="C4872" t="n">
        <v>1.4462</v>
      </c>
    </row>
    <row r="4873">
      <c r="A4873" t="n">
        <v>1.4022</v>
      </c>
      <c r="B4873" t="n">
        <v>1.6614</v>
      </c>
      <c r="C4873" t="n">
        <v>1.3917</v>
      </c>
    </row>
    <row r="4874">
      <c r="A4874" t="n">
        <v>1.4287</v>
      </c>
      <c r="B4874" t="n">
        <v>1.6957</v>
      </c>
      <c r="C4874" t="n">
        <v>1.4172</v>
      </c>
    </row>
    <row r="4875">
      <c r="A4875" t="n">
        <v>1.4162</v>
      </c>
      <c r="B4875" t="n">
        <v>1.4942</v>
      </c>
      <c r="C4875" t="n">
        <v>1.4541</v>
      </c>
    </row>
    <row r="4876">
      <c r="A4876" t="n">
        <v>1.405</v>
      </c>
      <c r="B4876" t="n">
        <v>1.4493</v>
      </c>
      <c r="C4876" t="n">
        <v>1.6385</v>
      </c>
    </row>
    <row r="4877">
      <c r="A4877" t="n">
        <v>1.4538</v>
      </c>
      <c r="B4877" t="n">
        <v>1.4206</v>
      </c>
      <c r="C4877" t="n">
        <v>1.7018</v>
      </c>
    </row>
    <row r="4878">
      <c r="A4878" t="n">
        <v>1.6317</v>
      </c>
      <c r="B4878" t="n">
        <v>1.6608</v>
      </c>
      <c r="C4878" t="n">
        <v>1.516</v>
      </c>
    </row>
    <row r="4879">
      <c r="A4879" t="n">
        <v>1.5471</v>
      </c>
      <c r="B4879" t="n">
        <v>1.7564</v>
      </c>
      <c r="C4879" t="n">
        <v>1.4462</v>
      </c>
    </row>
    <row r="4880">
      <c r="A4880" t="n">
        <v>1.4206</v>
      </c>
      <c r="B4880" t="n">
        <v>1.4556</v>
      </c>
      <c r="C4880" t="n">
        <v>1.4335</v>
      </c>
    </row>
    <row r="4881">
      <c r="A4881" t="n">
        <v>1.4119</v>
      </c>
      <c r="B4881" t="n">
        <v>1.4318</v>
      </c>
      <c r="C4881" t="n">
        <v>1.6322</v>
      </c>
    </row>
    <row r="4882">
      <c r="A4882" t="n">
        <v>1.7722</v>
      </c>
      <c r="B4882" t="n">
        <v>1.4384</v>
      </c>
      <c r="C4882" t="n">
        <v>1.7345</v>
      </c>
    </row>
    <row r="4883">
      <c r="A4883" t="n">
        <v>1.6353</v>
      </c>
      <c r="B4883" t="n">
        <v>1.6587</v>
      </c>
      <c r="C4883" t="n">
        <v>1.4959</v>
      </c>
    </row>
    <row r="4884">
      <c r="A4884" t="n">
        <v>1.5089</v>
      </c>
      <c r="B4884" t="n">
        <v>1.8725</v>
      </c>
      <c r="C4884" t="n">
        <v>1.4466</v>
      </c>
    </row>
    <row r="4885">
      <c r="A4885" t="n">
        <v>1.4338</v>
      </c>
      <c r="B4885" t="n">
        <v>1.5233</v>
      </c>
      <c r="C4885" t="n">
        <v>1.4421</v>
      </c>
    </row>
    <row r="4886">
      <c r="A4886" t="n">
        <v>1.4082</v>
      </c>
      <c r="B4886" t="n">
        <v>1.4156</v>
      </c>
      <c r="C4886" t="n">
        <v>1.5984</v>
      </c>
    </row>
    <row r="4887">
      <c r="A4887" t="n">
        <v>1.4294</v>
      </c>
      <c r="B4887" t="n">
        <v>1.4273</v>
      </c>
      <c r="C4887" t="n">
        <v>1.5133</v>
      </c>
    </row>
    <row r="4888">
      <c r="A4888" t="n">
        <v>1.4624</v>
      </c>
      <c r="B4888" t="n">
        <v>1.626</v>
      </c>
      <c r="C4888" t="n">
        <v>1.6366</v>
      </c>
    </row>
    <row r="4889">
      <c r="A4889" t="n">
        <v>1.6352</v>
      </c>
      <c r="B4889" t="n">
        <v>1.7768</v>
      </c>
      <c r="C4889" t="n">
        <v>1.4979</v>
      </c>
    </row>
    <row r="4890">
      <c r="A4890" t="n">
        <v>1.4609</v>
      </c>
      <c r="B4890" t="n">
        <v>1.4796</v>
      </c>
      <c r="C4890" t="n">
        <v>1.4536</v>
      </c>
    </row>
    <row r="4891">
      <c r="A4891" t="n">
        <v>1.6479</v>
      </c>
      <c r="B4891" t="n">
        <v>1.4896</v>
      </c>
      <c r="C4891" t="n">
        <v>1.6384</v>
      </c>
    </row>
    <row r="4892">
      <c r="A4892" t="n">
        <v>1.4791</v>
      </c>
      <c r="B4892" t="n">
        <v>1.428</v>
      </c>
      <c r="C4892" t="n">
        <v>1.5282</v>
      </c>
    </row>
    <row r="4893">
      <c r="A4893" t="n">
        <v>1.409</v>
      </c>
      <c r="B4893" t="n">
        <v>1.6172</v>
      </c>
      <c r="C4893" t="n">
        <v>1.6157</v>
      </c>
    </row>
    <row r="4894">
      <c r="A4894" t="n">
        <v>1.3833</v>
      </c>
      <c r="B4894" t="n">
        <v>1.52</v>
      </c>
      <c r="C4894" t="n">
        <v>1.4764</v>
      </c>
    </row>
    <row r="4895">
      <c r="A4895" t="n">
        <v>1.4202</v>
      </c>
      <c r="B4895" t="n">
        <v>1.4192</v>
      </c>
      <c r="C4895" t="n">
        <v>1.4302</v>
      </c>
    </row>
    <row r="4896">
      <c r="A4896" t="n">
        <v>1.3965</v>
      </c>
      <c r="B4896" t="n">
        <v>1.4524</v>
      </c>
      <c r="C4896" t="n">
        <v>1.4132</v>
      </c>
    </row>
    <row r="4897">
      <c r="A4897" t="n">
        <v>1.6153</v>
      </c>
      <c r="B4897" t="n">
        <v>1.6849</v>
      </c>
      <c r="C4897" t="n">
        <v>1.4314</v>
      </c>
    </row>
    <row r="4898">
      <c r="A4898" t="n">
        <v>1.7249</v>
      </c>
      <c r="B4898" t="n">
        <v>2.0145</v>
      </c>
      <c r="C4898" t="n">
        <v>1.7977</v>
      </c>
    </row>
    <row r="4899">
      <c r="A4899" t="n">
        <v>1.4736</v>
      </c>
      <c r="B4899" t="n">
        <v>1.6803</v>
      </c>
      <c r="C4899" t="n">
        <v>1.4607</v>
      </c>
    </row>
    <row r="4900">
      <c r="A4900" t="n">
        <v>1.443</v>
      </c>
      <c r="B4900" t="n">
        <v>1.4978</v>
      </c>
      <c r="C4900" t="n">
        <v>1.645</v>
      </c>
    </row>
    <row r="4901">
      <c r="A4901" t="n">
        <v>1.4386</v>
      </c>
      <c r="B4901" t="n">
        <v>1.6618</v>
      </c>
      <c r="C4901" t="n">
        <v>1.4859</v>
      </c>
    </row>
    <row r="4902">
      <c r="A4902" t="n">
        <v>1.4026</v>
      </c>
      <c r="B4902" t="n">
        <v>1.7013</v>
      </c>
      <c r="C4902" t="n">
        <v>1.4685</v>
      </c>
    </row>
    <row r="4903">
      <c r="A4903" t="n">
        <v>1.505</v>
      </c>
      <c r="B4903" t="n">
        <v>1.5251</v>
      </c>
      <c r="C4903" t="n">
        <v>1.4383</v>
      </c>
    </row>
    <row r="4904">
      <c r="A4904" t="n">
        <v>1.6718</v>
      </c>
      <c r="B4904" t="n">
        <v>1.4097</v>
      </c>
      <c r="C4904" t="n">
        <v>1.6545</v>
      </c>
    </row>
    <row r="4905">
      <c r="A4905" t="n">
        <v>1.4848</v>
      </c>
      <c r="B4905" t="n">
        <v>1.4325</v>
      </c>
      <c r="C4905" t="n">
        <v>1.6741</v>
      </c>
    </row>
    <row r="4906">
      <c r="A4906" t="n">
        <v>1.6608</v>
      </c>
      <c r="B4906" t="n">
        <v>1.4475</v>
      </c>
      <c r="C4906" t="n">
        <v>1.4835</v>
      </c>
    </row>
    <row r="4907">
      <c r="A4907" t="n">
        <v>1.6483</v>
      </c>
      <c r="B4907" t="n">
        <v>1.4358</v>
      </c>
      <c r="C4907" t="n">
        <v>1.4565</v>
      </c>
    </row>
    <row r="4908">
      <c r="A4908" t="n">
        <v>1.5333</v>
      </c>
      <c r="B4908" t="n">
        <v>1.6748</v>
      </c>
      <c r="C4908" t="n">
        <v>1.4579</v>
      </c>
    </row>
    <row r="4909">
      <c r="A4909" t="n">
        <v>1.6892</v>
      </c>
      <c r="B4909" t="n">
        <v>1.7127</v>
      </c>
      <c r="C4909" t="n">
        <v>1.5923</v>
      </c>
    </row>
    <row r="4910">
      <c r="A4910" t="n">
        <v>1.4838</v>
      </c>
      <c r="B4910" t="n">
        <v>1.4817</v>
      </c>
      <c r="C4910" t="n">
        <v>1.8245</v>
      </c>
    </row>
    <row r="4911">
      <c r="A4911" t="n">
        <v>1.4115</v>
      </c>
      <c r="B4911" t="n">
        <v>1.4357</v>
      </c>
      <c r="C4911" t="n">
        <v>1.4946</v>
      </c>
    </row>
    <row r="4912">
      <c r="A4912" t="n">
        <v>1.3861</v>
      </c>
      <c r="B4912" t="n">
        <v>1.4349</v>
      </c>
      <c r="C4912" t="n">
        <v>1.4201</v>
      </c>
    </row>
    <row r="4913">
      <c r="A4913" t="n">
        <v>1.4212</v>
      </c>
      <c r="B4913" t="n">
        <v>1.6384</v>
      </c>
      <c r="C4913" t="n">
        <v>1.4209</v>
      </c>
    </row>
    <row r="4914">
      <c r="A4914" t="n">
        <v>1.753</v>
      </c>
      <c r="B4914" t="n">
        <v>1.8266</v>
      </c>
      <c r="C4914" t="n">
        <v>1.6556</v>
      </c>
    </row>
    <row r="4915">
      <c r="A4915" t="n">
        <v>1.4339</v>
      </c>
      <c r="B4915" t="n">
        <v>1.4991</v>
      </c>
      <c r="C4915" t="n">
        <v>1.4754</v>
      </c>
    </row>
    <row r="4916">
      <c r="A4916" t="n">
        <v>1.3993</v>
      </c>
      <c r="B4916" t="n">
        <v>1.4123</v>
      </c>
      <c r="C4916" t="n">
        <v>1.6462</v>
      </c>
    </row>
    <row r="4917">
      <c r="A4917" t="n">
        <v>1.3664</v>
      </c>
      <c r="B4917" t="n">
        <v>1.433</v>
      </c>
      <c r="C4917" t="n">
        <v>1.484</v>
      </c>
    </row>
    <row r="4918">
      <c r="A4918" t="n">
        <v>1.4448</v>
      </c>
      <c r="B4918" t="n">
        <v>1.6233</v>
      </c>
      <c r="C4918" t="n">
        <v>1.4158</v>
      </c>
    </row>
    <row r="4919">
      <c r="A4919" t="n">
        <v>1.6571</v>
      </c>
      <c r="B4919" t="n">
        <v>1.5406</v>
      </c>
      <c r="C4919" t="n">
        <v>1.7144</v>
      </c>
    </row>
    <row r="4920">
      <c r="A4920" t="n">
        <v>1.7096</v>
      </c>
      <c r="B4920" t="n">
        <v>1.4273</v>
      </c>
      <c r="C4920" t="n">
        <v>1.5489</v>
      </c>
    </row>
    <row r="4921">
      <c r="A4921" t="n">
        <v>1.5162</v>
      </c>
      <c r="B4921" t="n">
        <v>1.4574</v>
      </c>
      <c r="C4921" t="n">
        <v>1.6262</v>
      </c>
    </row>
    <row r="4922">
      <c r="A4922" t="n">
        <v>1.6221</v>
      </c>
      <c r="B4922" t="n">
        <v>1.4083</v>
      </c>
      <c r="C4922" t="n">
        <v>1.4926</v>
      </c>
    </row>
    <row r="4923">
      <c r="A4923" t="n">
        <v>1.4848</v>
      </c>
      <c r="B4923" t="n">
        <v>1.3983</v>
      </c>
      <c r="C4923" t="n">
        <v>1.4358</v>
      </c>
    </row>
    <row r="4924">
      <c r="A4924" t="n">
        <v>1.4402</v>
      </c>
      <c r="B4924" t="n">
        <v>1.4129</v>
      </c>
      <c r="C4924" t="n">
        <v>1.4148</v>
      </c>
    </row>
    <row r="4925">
      <c r="A4925" t="n">
        <v>1.3995</v>
      </c>
      <c r="B4925" t="n">
        <v>1.4653</v>
      </c>
      <c r="C4925" t="n">
        <v>1.4287</v>
      </c>
    </row>
    <row r="4926">
      <c r="A4926" t="n">
        <v>1.4106</v>
      </c>
      <c r="B4926" t="n">
        <v>1.6819</v>
      </c>
      <c r="C4926" t="n">
        <v>1.47</v>
      </c>
    </row>
    <row r="4927">
      <c r="A4927" t="n">
        <v>1.4231</v>
      </c>
      <c r="B4927" t="n">
        <v>1.8634</v>
      </c>
      <c r="C4927" t="n">
        <v>1.3952</v>
      </c>
    </row>
    <row r="4928">
      <c r="A4928" t="n">
        <v>1.7086</v>
      </c>
      <c r="B4928" t="n">
        <v>1.4654</v>
      </c>
      <c r="C4928" t="n">
        <v>1.4593</v>
      </c>
    </row>
    <row r="4929">
      <c r="A4929" t="n">
        <v>1.6563</v>
      </c>
      <c r="B4929" t="n">
        <v>1.4472</v>
      </c>
      <c r="C4929" t="n">
        <v>1.6643</v>
      </c>
    </row>
    <row r="4930">
      <c r="A4930" t="n">
        <v>1.4824</v>
      </c>
      <c r="B4930" t="n">
        <v>1.7763</v>
      </c>
      <c r="C4930" t="n">
        <v>1.7845</v>
      </c>
    </row>
    <row r="4931">
      <c r="A4931" t="n">
        <v>1.4567</v>
      </c>
      <c r="B4931" t="n">
        <v>1.4369</v>
      </c>
      <c r="C4931" t="n">
        <v>1.4692</v>
      </c>
    </row>
    <row r="4932">
      <c r="A4932" t="n">
        <v>1.4113</v>
      </c>
      <c r="B4932" t="n">
        <v>1.4475</v>
      </c>
      <c r="C4932" t="n">
        <v>1.6552</v>
      </c>
    </row>
    <row r="4933">
      <c r="A4933" t="n">
        <v>1.6024</v>
      </c>
      <c r="B4933" t="n">
        <v>1.4239</v>
      </c>
      <c r="C4933" t="n">
        <v>1.646</v>
      </c>
    </row>
    <row r="4934">
      <c r="A4934" t="n">
        <v>1.5075</v>
      </c>
      <c r="B4934" t="n">
        <v>1.4335</v>
      </c>
      <c r="C4934" t="n">
        <v>1.4805</v>
      </c>
    </row>
    <row r="4935">
      <c r="A4935" t="n">
        <v>1.6237</v>
      </c>
      <c r="B4935" t="n">
        <v>1.4474</v>
      </c>
      <c r="C4935" t="n">
        <v>1.4607</v>
      </c>
    </row>
    <row r="4936">
      <c r="A4936" t="n">
        <v>1.5154</v>
      </c>
      <c r="B4936" t="n">
        <v>1.4336</v>
      </c>
      <c r="C4936" t="n">
        <v>1.4287</v>
      </c>
    </row>
    <row r="4937">
      <c r="A4937" t="n">
        <v>1.4357</v>
      </c>
      <c r="B4937" t="n">
        <v>1.4731</v>
      </c>
      <c r="C4937" t="n">
        <v>1.6228</v>
      </c>
    </row>
    <row r="4938">
      <c r="A4938" t="n">
        <v>1.3677</v>
      </c>
      <c r="B4938" t="n">
        <v>1.4821</v>
      </c>
      <c r="C4938" t="n">
        <v>1.5289</v>
      </c>
    </row>
    <row r="4939">
      <c r="A4939" t="n">
        <v>1.4128</v>
      </c>
      <c r="B4939" t="n">
        <v>1.7414</v>
      </c>
      <c r="C4939" t="n">
        <v>1.6349</v>
      </c>
    </row>
    <row r="4940">
      <c r="A4940" t="n">
        <v>1.4291</v>
      </c>
      <c r="B4940" t="n">
        <v>1.739</v>
      </c>
      <c r="C4940" t="n">
        <v>1.4901</v>
      </c>
    </row>
    <row r="4941">
      <c r="A4941" t="n">
        <v>1.6294</v>
      </c>
      <c r="B4941" t="n">
        <v>1.7805</v>
      </c>
      <c r="C4941" t="n">
        <v>1.4473</v>
      </c>
    </row>
    <row r="4942">
      <c r="A4942" t="n">
        <v>1.6784</v>
      </c>
      <c r="B4942" t="n">
        <v>1.5401</v>
      </c>
      <c r="C4942" t="n">
        <v>1.4055</v>
      </c>
    </row>
    <row r="4943">
      <c r="A4943" t="n">
        <v>1.5086</v>
      </c>
      <c r="B4943" t="n">
        <v>1.6831</v>
      </c>
      <c r="C4943" t="n">
        <v>1.4979</v>
      </c>
    </row>
    <row r="4944">
      <c r="A4944" t="n">
        <v>1.4417</v>
      </c>
      <c r="B4944" t="n">
        <v>1.4882</v>
      </c>
      <c r="C4944" t="n">
        <v>1.6947</v>
      </c>
    </row>
    <row r="4945">
      <c r="A4945" t="n">
        <v>1.4209</v>
      </c>
      <c r="B4945" t="n">
        <v>1.4433</v>
      </c>
      <c r="C4945" t="n">
        <v>1.4962</v>
      </c>
    </row>
    <row r="4946">
      <c r="A4946" t="n">
        <v>1.9449</v>
      </c>
      <c r="B4946" t="n">
        <v>1.6172</v>
      </c>
      <c r="C4946" t="n">
        <v>1.659</v>
      </c>
    </row>
    <row r="4947">
      <c r="A4947" t="n">
        <v>1.7334</v>
      </c>
      <c r="B4947" t="n">
        <v>1.5158</v>
      </c>
      <c r="C4947" t="n">
        <v>1.7262</v>
      </c>
    </row>
    <row r="4948">
      <c r="A4948" t="n">
        <v>1.6977</v>
      </c>
      <c r="B4948" t="n">
        <v>1.6298</v>
      </c>
      <c r="C4948" t="n">
        <v>1.5186</v>
      </c>
    </row>
    <row r="4949">
      <c r="A4949" t="n">
        <v>1.5303</v>
      </c>
      <c r="B4949" t="n">
        <v>1.5024</v>
      </c>
      <c r="C4949" t="n">
        <v>1.6208</v>
      </c>
    </row>
    <row r="4950">
      <c r="A4950" t="n">
        <v>1.5932</v>
      </c>
      <c r="B4950" t="n">
        <v>1.4349</v>
      </c>
      <c r="C4950" t="n">
        <v>1.4834</v>
      </c>
    </row>
    <row r="4951">
      <c r="A4951" t="n">
        <v>1.5452</v>
      </c>
      <c r="B4951" t="n">
        <v>1.4303</v>
      </c>
      <c r="C4951" t="n">
        <v>1.4143</v>
      </c>
    </row>
    <row r="4952">
      <c r="A4952" t="n">
        <v>1.4351</v>
      </c>
      <c r="B4952" t="n">
        <v>1.4464</v>
      </c>
      <c r="C4952" t="n">
        <v>1.4099</v>
      </c>
    </row>
    <row r="4953">
      <c r="A4953" t="n">
        <v>1.3977</v>
      </c>
      <c r="B4953" t="n">
        <v>1.4676</v>
      </c>
      <c r="C4953" t="n">
        <v>1.3921</v>
      </c>
    </row>
    <row r="4954">
      <c r="A4954" t="n">
        <v>1.4591</v>
      </c>
      <c r="B4954" t="n">
        <v>1.4676</v>
      </c>
      <c r="C4954" t="n">
        <v>1.4283</v>
      </c>
    </row>
    <row r="4955">
      <c r="A4955" t="n">
        <v>1.429</v>
      </c>
      <c r="B4955" t="n">
        <v>1.4843</v>
      </c>
      <c r="C4955" t="n">
        <v>1.4224</v>
      </c>
    </row>
    <row r="4956">
      <c r="A4956" t="n">
        <v>1.6144</v>
      </c>
      <c r="B4956" t="n">
        <v>1.4439</v>
      </c>
      <c r="C4956" t="n">
        <v>1.4542</v>
      </c>
    </row>
    <row r="4957">
      <c r="A4957" t="n">
        <v>1.6918</v>
      </c>
      <c r="B4957" t="n">
        <v>1.4882</v>
      </c>
      <c r="C4957" t="n">
        <v>1.5963</v>
      </c>
    </row>
    <row r="4958">
      <c r="A4958" t="n">
        <v>1.4899</v>
      </c>
      <c r="B4958" t="n">
        <v>1.4328</v>
      </c>
      <c r="C4958" t="n">
        <v>1.526</v>
      </c>
    </row>
    <row r="4959">
      <c r="A4959" t="n">
        <v>1.4367</v>
      </c>
      <c r="B4959" t="n">
        <v>1.5013</v>
      </c>
      <c r="C4959" t="n">
        <v>1.4193</v>
      </c>
    </row>
    <row r="4960">
      <c r="A4960" t="n">
        <v>1.4561</v>
      </c>
      <c r="B4960" t="n">
        <v>1.4982</v>
      </c>
      <c r="C4960" t="n">
        <v>1.43</v>
      </c>
    </row>
    <row r="4961">
      <c r="A4961" t="n">
        <v>1.6463</v>
      </c>
      <c r="B4961" t="n">
        <v>1.5551</v>
      </c>
      <c r="C4961" t="n">
        <v>1.4306</v>
      </c>
    </row>
    <row r="4962">
      <c r="A4962" t="n">
        <v>1.5067</v>
      </c>
      <c r="B4962" t="n">
        <v>1.8106</v>
      </c>
      <c r="C4962" t="n">
        <v>1.7606</v>
      </c>
    </row>
    <row r="4963">
      <c r="A4963" t="n">
        <v>1.6463</v>
      </c>
      <c r="B4963" t="n">
        <v>1.4284</v>
      </c>
      <c r="C4963" t="n">
        <v>1.4689</v>
      </c>
    </row>
    <row r="4964">
      <c r="A4964" t="n">
        <v>1.4676</v>
      </c>
      <c r="B4964" t="n">
        <v>1.4075</v>
      </c>
      <c r="C4964" t="n">
        <v>1.43</v>
      </c>
    </row>
    <row r="4965">
      <c r="A4965" t="n">
        <v>1.4215</v>
      </c>
      <c r="B4965" t="n">
        <v>1.4465</v>
      </c>
      <c r="C4965" t="n">
        <v>1.408</v>
      </c>
    </row>
    <row r="4966">
      <c r="A4966" t="n">
        <v>1.4113</v>
      </c>
      <c r="B4966" t="n">
        <v>1.4806</v>
      </c>
      <c r="C4966" t="n">
        <v>1.4527</v>
      </c>
    </row>
    <row r="4967">
      <c r="A4967" t="n">
        <v>1.4153</v>
      </c>
      <c r="B4967" t="n">
        <v>1.7117</v>
      </c>
      <c r="C4967" t="n">
        <v>1.7529</v>
      </c>
    </row>
    <row r="4968">
      <c r="A4968" t="n">
        <v>1.4079</v>
      </c>
      <c r="B4968" t="n">
        <v>1.7501</v>
      </c>
      <c r="C4968" t="n">
        <v>1.6854</v>
      </c>
    </row>
    <row r="4969">
      <c r="A4969" t="n">
        <v>1.6397</v>
      </c>
      <c r="B4969" t="n">
        <v>1.4867</v>
      </c>
      <c r="C4969" t="n">
        <v>1.8402</v>
      </c>
    </row>
    <row r="4970">
      <c r="A4970" t="n">
        <v>1.6724</v>
      </c>
      <c r="B4970" t="n">
        <v>1.4212</v>
      </c>
      <c r="C4970" t="n">
        <v>1.4869</v>
      </c>
    </row>
    <row r="4971">
      <c r="A4971" t="n">
        <v>1.4825</v>
      </c>
      <c r="B4971" t="n">
        <v>1.4182</v>
      </c>
      <c r="C4971" t="n">
        <v>1.4638</v>
      </c>
    </row>
    <row r="4972">
      <c r="A4972" t="n">
        <v>1.4636</v>
      </c>
      <c r="B4972" t="n">
        <v>1.6847</v>
      </c>
      <c r="C4972" t="n">
        <v>1.4411</v>
      </c>
    </row>
    <row r="4973">
      <c r="A4973" t="n">
        <v>1.449</v>
      </c>
      <c r="B4973" t="n">
        <v>1.7688</v>
      </c>
      <c r="C4973" t="n">
        <v>1.6461</v>
      </c>
    </row>
    <row r="4974">
      <c r="A4974" t="n">
        <v>1.6264</v>
      </c>
      <c r="B4974" t="n">
        <v>1.5017</v>
      </c>
      <c r="C4974" t="n">
        <v>1.723</v>
      </c>
    </row>
    <row r="4975">
      <c r="A4975" t="n">
        <v>1.767</v>
      </c>
      <c r="B4975" t="n">
        <v>1.4424</v>
      </c>
      <c r="C4975" t="n">
        <v>1.4708</v>
      </c>
    </row>
    <row r="4976">
      <c r="A4976" t="n">
        <v>1.4838</v>
      </c>
      <c r="B4976" t="n">
        <v>1.4214</v>
      </c>
      <c r="C4976" t="n">
        <v>1.4525</v>
      </c>
    </row>
    <row r="4977">
      <c r="A4977" t="n">
        <v>1.4417</v>
      </c>
      <c r="B4977" t="n">
        <v>1.6233</v>
      </c>
      <c r="C4977" t="n">
        <v>1.443</v>
      </c>
    </row>
    <row r="4978">
      <c r="A4978" t="n">
        <v>1.7607</v>
      </c>
      <c r="B4978" t="n">
        <v>1.8729</v>
      </c>
      <c r="C4978" t="n">
        <v>1.6147</v>
      </c>
    </row>
    <row r="4979">
      <c r="A4979" t="n">
        <v>1.4271</v>
      </c>
      <c r="B4979" t="n">
        <v>1.4846</v>
      </c>
      <c r="C4979" t="n">
        <v>1.7593</v>
      </c>
    </row>
    <row r="4980">
      <c r="A4980" t="n">
        <v>1.7373</v>
      </c>
      <c r="B4980" t="n">
        <v>1.4572</v>
      </c>
      <c r="C4980" t="n">
        <v>1.4867</v>
      </c>
    </row>
    <row r="4981">
      <c r="A4981" t="n">
        <v>1.4952</v>
      </c>
      <c r="B4981" t="n">
        <v>1.4338</v>
      </c>
      <c r="C4981" t="n">
        <v>1.4264</v>
      </c>
    </row>
    <row r="4982">
      <c r="A4982" t="n">
        <v>1.4593</v>
      </c>
      <c r="B4982" t="n">
        <v>1.5905</v>
      </c>
      <c r="C4982" t="n">
        <v>1.4459</v>
      </c>
    </row>
    <row r="4983">
      <c r="A4983" t="n">
        <v>1.4209</v>
      </c>
      <c r="B4983" t="n">
        <v>1.8112</v>
      </c>
      <c r="C4983" t="n">
        <v>1.4069</v>
      </c>
    </row>
    <row r="4984">
      <c r="A4984" t="n">
        <v>1.6082</v>
      </c>
      <c r="B4984" t="n">
        <v>1.4887</v>
      </c>
      <c r="C4984" t="n">
        <v>1.4396</v>
      </c>
    </row>
    <row r="4985">
      <c r="A4985" t="n">
        <v>1.5401</v>
      </c>
      <c r="B4985" t="n">
        <v>1.4367</v>
      </c>
      <c r="C4985" t="n">
        <v>1.7303</v>
      </c>
    </row>
    <row r="4986">
      <c r="A4986" t="n">
        <v>1.6134</v>
      </c>
      <c r="B4986" t="n">
        <v>1.4335</v>
      </c>
      <c r="C4986" t="n">
        <v>1.5124</v>
      </c>
    </row>
    <row r="4987">
      <c r="A4987" t="n">
        <v>1.4811</v>
      </c>
      <c r="B4987" t="n">
        <v>1.6076</v>
      </c>
      <c r="C4987" t="n">
        <v>1.4149</v>
      </c>
    </row>
    <row r="4988">
      <c r="A4988" t="n">
        <v>1.4258</v>
      </c>
      <c r="B4988" t="n">
        <v>1.508</v>
      </c>
      <c r="C4988" t="n">
        <v>1.4159</v>
      </c>
    </row>
    <row r="4989">
      <c r="A4989" t="n">
        <v>1.4065</v>
      </c>
      <c r="B4989" t="n">
        <v>1.67</v>
      </c>
      <c r="C4989" t="n">
        <v>1.4583</v>
      </c>
    </row>
    <row r="4990">
      <c r="A4990" t="n">
        <v>1.44</v>
      </c>
      <c r="B4990" t="n">
        <v>1.4813</v>
      </c>
      <c r="C4990" t="n">
        <v>1.4269</v>
      </c>
    </row>
    <row r="4991">
      <c r="A4991" t="n">
        <v>1.4196</v>
      </c>
      <c r="B4991" t="n">
        <v>1.4309</v>
      </c>
      <c r="C4991" t="n">
        <v>1.6084</v>
      </c>
    </row>
    <row r="4992">
      <c r="A4992" t="n">
        <v>1.6582</v>
      </c>
      <c r="B4992" t="n">
        <v>1.6642</v>
      </c>
      <c r="C4992" t="n">
        <v>1.5147</v>
      </c>
    </row>
    <row r="4993">
      <c r="A4993" t="n">
        <v>1.6776</v>
      </c>
      <c r="B4993" t="n">
        <v>1.5081</v>
      </c>
      <c r="C4993" t="n">
        <v>1.6378</v>
      </c>
    </row>
    <row r="4994">
      <c r="A4994" t="n">
        <v>1.4912</v>
      </c>
      <c r="B4994" t="n">
        <v>1.9524</v>
      </c>
      <c r="C4994" t="n">
        <v>1.8083</v>
      </c>
    </row>
    <row r="4995">
      <c r="A4995" t="n">
        <v>1.4286</v>
      </c>
      <c r="B4995" t="n">
        <v>1.5341</v>
      </c>
      <c r="C4995" t="n">
        <v>1.4833</v>
      </c>
    </row>
    <row r="4996">
      <c r="A4996" t="n">
        <v>1.4292</v>
      </c>
      <c r="B4996" t="n">
        <v>1.5346</v>
      </c>
      <c r="C4996" t="n">
        <v>1.6647</v>
      </c>
    </row>
    <row r="4997">
      <c r="A4997" t="n">
        <v>1.6123</v>
      </c>
      <c r="B4997" t="n">
        <v>1.6517</v>
      </c>
      <c r="C4997" t="n">
        <v>1.6767</v>
      </c>
    </row>
    <row r="4998">
      <c r="A4998" t="n">
        <v>1.4921</v>
      </c>
      <c r="B4998" t="n">
        <v>1.7591</v>
      </c>
      <c r="C4998" t="n">
        <v>1.5055</v>
      </c>
    </row>
    <row r="4999">
      <c r="A4999" t="n">
        <v>1.6286</v>
      </c>
      <c r="B4999" t="n">
        <v>1.6825</v>
      </c>
      <c r="C4999" t="n">
        <v>1.4269</v>
      </c>
    </row>
    <row r="5000">
      <c r="A5000" t="n">
        <v>1.4926</v>
      </c>
      <c r="B5000" t="n">
        <v>1.4956</v>
      </c>
      <c r="C5000" t="n">
        <v>1.4361</v>
      </c>
    </row>
    <row r="5001">
      <c r="A5001" t="n">
        <v>1.4328</v>
      </c>
      <c r="B5001" t="n">
        <v>1.6291</v>
      </c>
      <c r="C5001" t="n">
        <v>1.6104</v>
      </c>
    </row>
    <row r="5002">
      <c r="A5002" t="n">
        <v>1.6311</v>
      </c>
      <c r="B5002" t="n">
        <v>1.5184</v>
      </c>
      <c r="C5002" t="n">
        <v>1.8099</v>
      </c>
    </row>
    <row r="5003">
      <c r="A5003" t="n">
        <v>1.5327</v>
      </c>
      <c r="B5003" t="n">
        <v>1.4354</v>
      </c>
      <c r="C5003" t="n">
        <v>1.4999</v>
      </c>
    </row>
    <row r="5004">
      <c r="A5004" t="n">
        <v>1.6082</v>
      </c>
      <c r="B5004" t="n">
        <v>1.7814</v>
      </c>
      <c r="C5004" t="n">
        <v>1.4622</v>
      </c>
    </row>
    <row r="5005">
      <c r="A5005" t="n">
        <v>1.5361</v>
      </c>
      <c r="B5005" t="n">
        <v>1.5705</v>
      </c>
      <c r="C5005" t="n">
        <v>1.4458</v>
      </c>
    </row>
    <row r="5006">
      <c r="A5006" t="n">
        <v>1.4441</v>
      </c>
      <c r="B5006" t="n">
        <v>1.6384</v>
      </c>
      <c r="C5006" t="n">
        <v>1.6472</v>
      </c>
    </row>
    <row r="5007">
      <c r="A5007" t="n">
        <v>1.3954</v>
      </c>
      <c r="B5007" t="n">
        <v>1.4799</v>
      </c>
      <c r="C5007" t="n">
        <v>1.6928</v>
      </c>
    </row>
    <row r="5008">
      <c r="A5008" t="n">
        <v>1.4358</v>
      </c>
      <c r="B5008" t="n">
        <v>1.43</v>
      </c>
      <c r="C5008" t="n">
        <v>1.4695</v>
      </c>
    </row>
    <row r="5009">
      <c r="A5009" t="n">
        <v>1.4436</v>
      </c>
      <c r="B5009" t="n">
        <v>1.3767</v>
      </c>
      <c r="C5009" t="n">
        <v>1.4419</v>
      </c>
    </row>
    <row r="5010">
      <c r="A5010" t="n">
        <v>1.9543</v>
      </c>
      <c r="B5010" t="n">
        <v>1.4433</v>
      </c>
      <c r="C5010" t="n">
        <v>1.4412</v>
      </c>
    </row>
    <row r="5011">
      <c r="A5011" t="n">
        <v>1.7186</v>
      </c>
      <c r="B5011" t="n">
        <v>1.4561</v>
      </c>
      <c r="C5011" t="n">
        <v>1.409</v>
      </c>
    </row>
    <row r="5012">
      <c r="A5012" t="n">
        <v>1.7014</v>
      </c>
      <c r="B5012" t="n">
        <v>1.6628</v>
      </c>
      <c r="C5012" t="n">
        <v>1.4676</v>
      </c>
    </row>
    <row r="5013">
      <c r="A5013" t="n">
        <v>1.521</v>
      </c>
      <c r="B5013" t="n">
        <v>1.6822</v>
      </c>
      <c r="C5013" t="n">
        <v>1.6521</v>
      </c>
    </row>
    <row r="5014">
      <c r="A5014" t="n">
        <v>1.6535</v>
      </c>
      <c r="B5014" t="n">
        <v>1.4832</v>
      </c>
      <c r="C5014" t="n">
        <v>1.5071</v>
      </c>
    </row>
    <row r="5015">
      <c r="A5015" t="n">
        <v>1.5022</v>
      </c>
      <c r="B5015" t="n">
        <v>1.4276</v>
      </c>
      <c r="C5015" t="n">
        <v>1.7117</v>
      </c>
    </row>
    <row r="5016">
      <c r="A5016" t="n">
        <v>1.4238</v>
      </c>
      <c r="B5016" t="n">
        <v>1.4181</v>
      </c>
      <c r="C5016" t="n">
        <v>1.6656</v>
      </c>
    </row>
    <row r="5017">
      <c r="A5017" t="n">
        <v>1.6338</v>
      </c>
      <c r="B5017" t="n">
        <v>1.6346</v>
      </c>
      <c r="C5017" t="n">
        <v>1.5012</v>
      </c>
    </row>
    <row r="5018">
      <c r="A5018" t="n">
        <v>1.5478</v>
      </c>
      <c r="B5018" t="n">
        <v>1.4876</v>
      </c>
      <c r="C5018" t="n">
        <v>1.711</v>
      </c>
    </row>
    <row r="5019">
      <c r="A5019" t="n">
        <v>1.6108</v>
      </c>
      <c r="B5019" t="n">
        <v>1.6305</v>
      </c>
      <c r="C5019" t="n">
        <v>1.5059</v>
      </c>
    </row>
    <row r="5020">
      <c r="A5020" t="n">
        <v>1.5022</v>
      </c>
      <c r="B5020" t="n">
        <v>1.4825</v>
      </c>
      <c r="C5020" t="n">
        <v>1.4281</v>
      </c>
    </row>
    <row r="5021">
      <c r="A5021" t="n">
        <v>1.4222</v>
      </c>
      <c r="B5021" t="n">
        <v>1.45</v>
      </c>
      <c r="C5021" t="n">
        <v>1.3992</v>
      </c>
    </row>
    <row r="5022">
      <c r="A5022" t="n">
        <v>1.399</v>
      </c>
      <c r="B5022" t="n">
        <v>1.399</v>
      </c>
      <c r="C5022" t="n">
        <v>1.4148</v>
      </c>
    </row>
    <row r="5023">
      <c r="A5023" t="n">
        <v>1.4674</v>
      </c>
      <c r="B5023" t="n">
        <v>1.4068</v>
      </c>
      <c r="C5023" t="n">
        <v>1.4174</v>
      </c>
    </row>
    <row r="5024">
      <c r="A5024" t="n">
        <v>1.4471</v>
      </c>
      <c r="B5024" t="n">
        <v>1.3951</v>
      </c>
      <c r="C5024" t="n">
        <v>1.6883</v>
      </c>
    </row>
    <row r="5025">
      <c r="A5025" t="n">
        <v>1.6795</v>
      </c>
      <c r="B5025" t="n">
        <v>1.6698</v>
      </c>
      <c r="C5025" t="n">
        <v>1.7186</v>
      </c>
    </row>
    <row r="5026">
      <c r="A5026" t="n">
        <v>1.6901</v>
      </c>
      <c r="B5026" t="n">
        <v>2.0081</v>
      </c>
      <c r="C5026" t="n">
        <v>2.0648</v>
      </c>
    </row>
    <row r="5027">
      <c r="A5027" t="n">
        <v>1.4824</v>
      </c>
      <c r="B5027" t="n">
        <v>1.6829</v>
      </c>
      <c r="C5027" t="n">
        <v>1.7392</v>
      </c>
    </row>
    <row r="5028">
      <c r="A5028" t="n">
        <v>1.4232</v>
      </c>
      <c r="B5028" t="n">
        <v>1.5104</v>
      </c>
      <c r="C5028" t="n">
        <v>1.4897</v>
      </c>
    </row>
    <row r="5029">
      <c r="A5029" t="n">
        <v>1.4451</v>
      </c>
      <c r="B5029" t="n">
        <v>1.6609</v>
      </c>
      <c r="C5029" t="n">
        <v>1.4408</v>
      </c>
    </row>
    <row r="5030">
      <c r="A5030" t="n">
        <v>1.6533</v>
      </c>
      <c r="B5030" t="n">
        <v>1.4771</v>
      </c>
      <c r="C5030" t="n">
        <v>1.4742</v>
      </c>
    </row>
    <row r="5031">
      <c r="A5031" t="n">
        <v>1.7107</v>
      </c>
      <c r="B5031" t="n">
        <v>1.4648</v>
      </c>
      <c r="C5031" t="n">
        <v>1.6602</v>
      </c>
    </row>
    <row r="5032">
      <c r="A5032" t="n">
        <v>1.4921</v>
      </c>
      <c r="B5032" t="n">
        <v>1.6408</v>
      </c>
      <c r="C5032" t="n">
        <v>1.799</v>
      </c>
    </row>
    <row r="5033">
      <c r="A5033" t="n">
        <v>1.4543</v>
      </c>
      <c r="B5033" t="n">
        <v>1.5202</v>
      </c>
      <c r="C5033" t="n">
        <v>1.5118</v>
      </c>
    </row>
    <row r="5034">
      <c r="A5034" t="n">
        <v>1.4098</v>
      </c>
      <c r="B5034" t="n">
        <v>1.673</v>
      </c>
      <c r="C5034" t="n">
        <v>1.4653</v>
      </c>
    </row>
    <row r="5035">
      <c r="A5035" t="n">
        <v>1.4374</v>
      </c>
      <c r="B5035" t="n">
        <v>1.5254</v>
      </c>
      <c r="C5035" t="n">
        <v>1.4393</v>
      </c>
    </row>
    <row r="5036">
      <c r="A5036" t="n">
        <v>1.4956</v>
      </c>
      <c r="B5036" t="n">
        <v>1.4232</v>
      </c>
      <c r="C5036" t="n">
        <v>1.68</v>
      </c>
    </row>
    <row r="5037">
      <c r="A5037" t="n">
        <v>1.626</v>
      </c>
      <c r="B5037" t="n">
        <v>1.3945</v>
      </c>
      <c r="C5037" t="n">
        <v>1.6765</v>
      </c>
    </row>
    <row r="5038">
      <c r="A5038" t="n">
        <v>1.5234</v>
      </c>
      <c r="B5038" t="n">
        <v>1.4322</v>
      </c>
      <c r="C5038" t="n">
        <v>1.48</v>
      </c>
    </row>
    <row r="5039">
      <c r="A5039" t="n">
        <v>1.4368</v>
      </c>
      <c r="B5039" t="n">
        <v>1.4577</v>
      </c>
      <c r="C5039" t="n">
        <v>1.4797</v>
      </c>
    </row>
    <row r="5040">
      <c r="A5040" t="n">
        <v>1.4091</v>
      </c>
      <c r="B5040" t="n">
        <v>1.7347</v>
      </c>
      <c r="C5040" t="n">
        <v>1.4301</v>
      </c>
    </row>
    <row r="5041">
      <c r="A5041" t="n">
        <v>1.4288</v>
      </c>
      <c r="B5041" t="n">
        <v>1.7617</v>
      </c>
      <c r="C5041" t="n">
        <v>1.6046</v>
      </c>
    </row>
    <row r="5042">
      <c r="A5042" t="n">
        <v>1.7765</v>
      </c>
      <c r="B5042" t="n">
        <v>1.7572</v>
      </c>
      <c r="C5042" t="n">
        <v>1.514</v>
      </c>
    </row>
    <row r="5043">
      <c r="A5043" t="n">
        <v>1.4527</v>
      </c>
      <c r="B5043" t="n">
        <v>1.5528</v>
      </c>
      <c r="C5043" t="n">
        <v>1.6464</v>
      </c>
    </row>
    <row r="5044">
      <c r="A5044" t="n">
        <v>1.4574</v>
      </c>
      <c r="B5044" t="n">
        <v>1.654</v>
      </c>
      <c r="C5044" t="n">
        <v>1.4821</v>
      </c>
    </row>
    <row r="5045">
      <c r="A5045" t="n">
        <v>1.4145</v>
      </c>
      <c r="B5045" t="n">
        <v>1.4853</v>
      </c>
      <c r="C5045" t="n">
        <v>1.4349</v>
      </c>
    </row>
    <row r="5046">
      <c r="A5046" t="n">
        <v>1.5249</v>
      </c>
      <c r="B5046" t="n">
        <v>1.4741</v>
      </c>
      <c r="C5046" t="n">
        <v>1.4164</v>
      </c>
    </row>
    <row r="5047">
      <c r="A5047" t="n">
        <v>1.4606</v>
      </c>
      <c r="B5047" t="n">
        <v>1.6828</v>
      </c>
      <c r="C5047" t="n">
        <v>1.414</v>
      </c>
    </row>
    <row r="5048">
      <c r="A5048" t="n">
        <v>1.7167</v>
      </c>
      <c r="B5048" t="n">
        <v>1.5333</v>
      </c>
      <c r="C5048" t="n">
        <v>1.4227</v>
      </c>
    </row>
    <row r="5049">
      <c r="A5049" t="n">
        <v>1.5171</v>
      </c>
      <c r="B5049" t="n">
        <v>1.6876</v>
      </c>
      <c r="C5049" t="n">
        <v>1.6477</v>
      </c>
    </row>
    <row r="5050">
      <c r="A5050" t="n">
        <v>1.6351</v>
      </c>
      <c r="B5050" t="n">
        <v>1.4873</v>
      </c>
      <c r="C5050" t="n">
        <v>1.6934</v>
      </c>
    </row>
    <row r="5051">
      <c r="A5051" t="n">
        <v>1.5025</v>
      </c>
      <c r="B5051" t="n">
        <v>1.4242</v>
      </c>
      <c r="C5051" t="n">
        <v>1.5257</v>
      </c>
    </row>
    <row r="5052">
      <c r="A5052" t="n">
        <v>1.4145</v>
      </c>
      <c r="B5052" t="n">
        <v>1.6787</v>
      </c>
      <c r="C5052" t="n">
        <v>1.4378</v>
      </c>
    </row>
    <row r="5053">
      <c r="A5053" t="n">
        <v>1.4161</v>
      </c>
      <c r="B5053" t="n">
        <v>1.5452</v>
      </c>
      <c r="C5053" t="n">
        <v>1.4258</v>
      </c>
    </row>
    <row r="5054">
      <c r="A5054" t="n">
        <v>1.4344</v>
      </c>
      <c r="B5054" t="n">
        <v>1.6626</v>
      </c>
      <c r="C5054" t="n">
        <v>1.6216</v>
      </c>
    </row>
    <row r="5055">
      <c r="A5055" t="n">
        <v>1.438</v>
      </c>
      <c r="B5055" t="n">
        <v>1.4757</v>
      </c>
      <c r="C5055" t="n">
        <v>1.7388</v>
      </c>
    </row>
    <row r="5056">
      <c r="A5056" t="n">
        <v>1.6653</v>
      </c>
      <c r="B5056" t="n">
        <v>1.4524</v>
      </c>
      <c r="C5056" t="n">
        <v>1.4787</v>
      </c>
    </row>
    <row r="5057">
      <c r="A5057" t="n">
        <v>1.6923</v>
      </c>
      <c r="B5057" t="n">
        <v>1.6326</v>
      </c>
      <c r="C5057" t="n">
        <v>1.4639</v>
      </c>
    </row>
    <row r="5058">
      <c r="A5058" t="n">
        <v>1.5027</v>
      </c>
      <c r="B5058" t="n">
        <v>1.8616</v>
      </c>
      <c r="C5058" t="n">
        <v>1.8097</v>
      </c>
    </row>
    <row r="5059">
      <c r="A5059" t="n">
        <v>1.4484</v>
      </c>
      <c r="B5059" t="n">
        <v>1.441</v>
      </c>
      <c r="C5059" t="n">
        <v>1.4021</v>
      </c>
    </row>
    <row r="5060">
      <c r="A5060" t="n">
        <v>1.4173</v>
      </c>
      <c r="B5060" t="n">
        <v>1.4128</v>
      </c>
      <c r="C5060" t="n">
        <v>1.4394</v>
      </c>
    </row>
    <row r="5061">
      <c r="A5061" t="n">
        <v>1.5938</v>
      </c>
      <c r="B5061" t="n">
        <v>1.4403</v>
      </c>
      <c r="C5061" t="n">
        <v>1.444</v>
      </c>
    </row>
    <row r="5062">
      <c r="A5062" t="n">
        <v>1.7977</v>
      </c>
      <c r="B5062" t="n">
        <v>1.4157</v>
      </c>
      <c r="C5062" t="n">
        <v>1.4459</v>
      </c>
    </row>
    <row r="5063">
      <c r="A5063" t="n">
        <v>1.5059</v>
      </c>
      <c r="B5063" t="n">
        <v>1.4448</v>
      </c>
      <c r="C5063" t="n">
        <v>1.4247</v>
      </c>
    </row>
    <row r="5064">
      <c r="A5064" t="n">
        <v>1.4489</v>
      </c>
      <c r="B5064" t="n">
        <v>1.4617</v>
      </c>
      <c r="C5064" t="n">
        <v>1.4602</v>
      </c>
    </row>
    <row r="5065">
      <c r="A5065" t="n">
        <v>1.4361</v>
      </c>
      <c r="B5065" t="n">
        <v>1.4286</v>
      </c>
      <c r="C5065" t="n">
        <v>1.4348</v>
      </c>
    </row>
    <row r="5066">
      <c r="A5066" t="n">
        <v>1.6367</v>
      </c>
      <c r="B5066" t="n">
        <v>1.4609</v>
      </c>
      <c r="C5066" t="n">
        <v>1.4901</v>
      </c>
    </row>
    <row r="5067">
      <c r="A5067" t="n">
        <v>1.569</v>
      </c>
      <c r="B5067" t="n">
        <v>1.6705</v>
      </c>
      <c r="C5067" t="n">
        <v>1.6949</v>
      </c>
    </row>
    <row r="5068">
      <c r="A5068" t="n">
        <v>1.4321</v>
      </c>
      <c r="B5068" t="n">
        <v>1.5086</v>
      </c>
      <c r="C5068" t="n">
        <v>1.7245</v>
      </c>
    </row>
    <row r="5069">
      <c r="A5069" t="n">
        <v>1.4399</v>
      </c>
      <c r="B5069" t="n">
        <v>1.4411</v>
      </c>
      <c r="C5069" t="n">
        <v>1.4895</v>
      </c>
    </row>
    <row r="5070">
      <c r="A5070" t="n">
        <v>1.4175</v>
      </c>
      <c r="B5070" t="n">
        <v>1.4113</v>
      </c>
      <c r="C5070" t="n">
        <v>1.4513</v>
      </c>
    </row>
    <row r="5071">
      <c r="A5071" t="n">
        <v>1.4423</v>
      </c>
      <c r="B5071" t="n">
        <v>1.4702</v>
      </c>
      <c r="C5071" t="n">
        <v>1.4151</v>
      </c>
    </row>
    <row r="5072">
      <c r="A5072" t="n">
        <v>1.4486</v>
      </c>
      <c r="B5072" t="n">
        <v>1.4237</v>
      </c>
      <c r="C5072" t="n">
        <v>1.6094</v>
      </c>
    </row>
    <row r="5073">
      <c r="A5073" t="n">
        <v>1.4295</v>
      </c>
      <c r="B5073" t="n">
        <v>1.4466</v>
      </c>
      <c r="C5073" t="n">
        <v>1.7414</v>
      </c>
    </row>
    <row r="5074">
      <c r="A5074" t="n">
        <v>1.9568</v>
      </c>
      <c r="B5074" t="n">
        <v>1.8285</v>
      </c>
      <c r="C5074" t="n">
        <v>1.4667</v>
      </c>
    </row>
    <row r="5075">
      <c r="A5075" t="n">
        <v>1.6952</v>
      </c>
      <c r="B5075" t="n">
        <v>1.5006</v>
      </c>
      <c r="C5075" t="n">
        <v>1.4527</v>
      </c>
    </row>
    <row r="5076">
      <c r="A5076" t="n">
        <v>1.7179</v>
      </c>
      <c r="B5076" t="n">
        <v>1.4464</v>
      </c>
      <c r="C5076" t="n">
        <v>1.4619</v>
      </c>
    </row>
    <row r="5077">
      <c r="A5077" t="n">
        <v>1.5281</v>
      </c>
      <c r="B5077" t="n">
        <v>1.4188</v>
      </c>
      <c r="C5077" t="n">
        <v>1.5932</v>
      </c>
    </row>
    <row r="5078">
      <c r="A5078" t="n">
        <v>1.6287</v>
      </c>
      <c r="B5078" t="n">
        <v>1.6404</v>
      </c>
      <c r="C5078" t="n">
        <v>1.5404</v>
      </c>
    </row>
    <row r="5079">
      <c r="A5079" t="n">
        <v>1.48</v>
      </c>
      <c r="B5079" t="n">
        <v>1.6845</v>
      </c>
      <c r="C5079" t="n">
        <v>1.6469</v>
      </c>
    </row>
    <row r="5080">
      <c r="A5080" t="n">
        <v>1.4503</v>
      </c>
      <c r="B5080" t="n">
        <v>1.477</v>
      </c>
      <c r="C5080" t="n">
        <v>1.4606</v>
      </c>
    </row>
    <row r="5081">
      <c r="A5081" t="n">
        <v>1.4193</v>
      </c>
      <c r="B5081" t="n">
        <v>1.454</v>
      </c>
      <c r="C5081" t="n">
        <v>1.4572</v>
      </c>
    </row>
    <row r="5082">
      <c r="A5082" t="n">
        <v>1.4379</v>
      </c>
      <c r="B5082" t="n">
        <v>1.4576</v>
      </c>
      <c r="C5082" t="n">
        <v>1.4056</v>
      </c>
    </row>
    <row r="5083">
      <c r="A5083" t="n">
        <v>1.434</v>
      </c>
      <c r="B5083" t="n">
        <v>1.6468</v>
      </c>
      <c r="C5083" t="n">
        <v>1.416</v>
      </c>
    </row>
    <row r="5084">
      <c r="A5084" t="n">
        <v>1.6641</v>
      </c>
      <c r="B5084" t="n">
        <v>1.5772</v>
      </c>
      <c r="C5084" t="n">
        <v>1.4306</v>
      </c>
    </row>
    <row r="5085">
      <c r="A5085" t="n">
        <v>1.7205</v>
      </c>
      <c r="B5085" t="n">
        <v>1.4287</v>
      </c>
      <c r="C5085" t="n">
        <v>1.6651</v>
      </c>
    </row>
    <row r="5086">
      <c r="A5086" t="n">
        <v>1.5053</v>
      </c>
      <c r="B5086" t="n">
        <v>1.4271</v>
      </c>
      <c r="C5086" t="n">
        <v>1.6644</v>
      </c>
    </row>
    <row r="5087">
      <c r="A5087" t="n">
        <v>1.4635</v>
      </c>
      <c r="B5087" t="n">
        <v>1.3996</v>
      </c>
      <c r="C5087" t="n">
        <v>1.5106</v>
      </c>
    </row>
    <row r="5088">
      <c r="A5088" t="n">
        <v>1.4032</v>
      </c>
      <c r="B5088" t="n">
        <v>1.4188</v>
      </c>
      <c r="C5088" t="n">
        <v>1.4904</v>
      </c>
    </row>
    <row r="5089">
      <c r="A5089" t="n">
        <v>1.6434</v>
      </c>
      <c r="B5089" t="n">
        <v>1.4413</v>
      </c>
      <c r="C5089" t="n">
        <v>1.4109</v>
      </c>
    </row>
    <row r="5090">
      <c r="A5090" t="n">
        <v>1.7559</v>
      </c>
      <c r="B5090" t="n">
        <v>1.7401</v>
      </c>
      <c r="C5090" t="n">
        <v>2.0168</v>
      </c>
    </row>
    <row r="5091">
      <c r="A5091" t="n">
        <v>1.4904</v>
      </c>
      <c r="B5091" t="n">
        <v>1.4589</v>
      </c>
      <c r="C5091" t="n">
        <v>1.7647</v>
      </c>
    </row>
    <row r="5092">
      <c r="A5092" t="n">
        <v>1.4604</v>
      </c>
      <c r="B5092" t="n">
        <v>1.4612</v>
      </c>
      <c r="C5092" t="n">
        <v>1.6791</v>
      </c>
    </row>
    <row r="5093">
      <c r="A5093" t="n">
        <v>1.4498</v>
      </c>
      <c r="B5093" t="n">
        <v>1.4774</v>
      </c>
      <c r="C5093" t="n">
        <v>1.5159</v>
      </c>
    </row>
    <row r="5094">
      <c r="A5094" t="n">
        <v>1.6091</v>
      </c>
      <c r="B5094" t="n">
        <v>1.452</v>
      </c>
      <c r="C5094" t="n">
        <v>1.6648</v>
      </c>
    </row>
    <row r="5095">
      <c r="A5095" t="n">
        <v>1.7534</v>
      </c>
      <c r="B5095" t="n">
        <v>1.4369</v>
      </c>
      <c r="C5095" t="n">
        <v>1.7184</v>
      </c>
    </row>
    <row r="5096">
      <c r="A5096" t="n">
        <v>1.5142</v>
      </c>
      <c r="B5096" t="n">
        <v>1.3947</v>
      </c>
      <c r="C5096" t="n">
        <v>1.512</v>
      </c>
    </row>
    <row r="5097">
      <c r="A5097" t="n">
        <v>1.4126</v>
      </c>
      <c r="B5097" t="n">
        <v>1.4703</v>
      </c>
      <c r="C5097" t="n">
        <v>1.654</v>
      </c>
    </row>
    <row r="5098">
      <c r="A5098" t="n">
        <v>1.4487</v>
      </c>
      <c r="B5098" t="n">
        <v>1.4626</v>
      </c>
      <c r="C5098" t="n">
        <v>1.7341</v>
      </c>
    </row>
    <row r="5099">
      <c r="A5099" t="n">
        <v>1.6262</v>
      </c>
      <c r="B5099" t="n">
        <v>1.72</v>
      </c>
      <c r="C5099" t="n">
        <v>1.4997</v>
      </c>
    </row>
    <row r="5100">
      <c r="A5100" t="n">
        <v>1.524</v>
      </c>
      <c r="B5100" t="n">
        <v>1.7564</v>
      </c>
      <c r="C5100" t="n">
        <v>1.6997</v>
      </c>
    </row>
    <row r="5101">
      <c r="A5101" t="n">
        <v>1.6601</v>
      </c>
      <c r="B5101" t="n">
        <v>1.6864</v>
      </c>
      <c r="C5101" t="n">
        <v>1.6551</v>
      </c>
    </row>
    <row r="5102">
      <c r="A5102" t="n">
        <v>1.5084</v>
      </c>
      <c r="B5102" t="n">
        <v>1.504</v>
      </c>
      <c r="C5102" t="n">
        <v>1.5509</v>
      </c>
    </row>
    <row r="5103">
      <c r="A5103" t="n">
        <v>1.4409</v>
      </c>
      <c r="B5103" t="n">
        <v>1.6194</v>
      </c>
      <c r="C5103" t="n">
        <v>1.6668</v>
      </c>
    </row>
    <row r="5104">
      <c r="A5104" t="n">
        <v>1.618</v>
      </c>
      <c r="B5104" t="n">
        <v>1.5101</v>
      </c>
      <c r="C5104" t="n">
        <v>1.6695</v>
      </c>
    </row>
    <row r="5105">
      <c r="A5105" t="n">
        <v>1.5376</v>
      </c>
      <c r="B5105" t="n">
        <v>1.4253</v>
      </c>
      <c r="C5105" t="n">
        <v>1.6083</v>
      </c>
    </row>
    <row r="5106">
      <c r="A5106" t="n">
        <v>1.9514</v>
      </c>
      <c r="B5106" t="n">
        <v>1.4382</v>
      </c>
      <c r="C5106" t="n">
        <v>1.4403</v>
      </c>
    </row>
    <row r="5107">
      <c r="A5107" t="n">
        <v>1.7578</v>
      </c>
      <c r="B5107" t="n">
        <v>1.4614</v>
      </c>
      <c r="C5107" t="n">
        <v>1.3998</v>
      </c>
    </row>
    <row r="5108">
      <c r="A5108" t="n">
        <v>1.6668</v>
      </c>
      <c r="B5108" t="n">
        <v>1.4282</v>
      </c>
      <c r="C5108" t="n">
        <v>1.3935</v>
      </c>
    </row>
    <row r="5109">
      <c r="A5109" t="n">
        <v>1.5109</v>
      </c>
      <c r="B5109" t="n">
        <v>1.6652</v>
      </c>
      <c r="C5109" t="n">
        <v>1.4349</v>
      </c>
    </row>
    <row r="5110">
      <c r="A5110" t="n">
        <v>1.455</v>
      </c>
      <c r="B5110" t="n">
        <v>1.7157</v>
      </c>
      <c r="C5110" t="n">
        <v>1.4803</v>
      </c>
    </row>
    <row r="5111">
      <c r="A5111" t="n">
        <v>1.4276</v>
      </c>
      <c r="B5111" t="n">
        <v>1.4737</v>
      </c>
      <c r="C5111" t="n">
        <v>1.488</v>
      </c>
    </row>
    <row r="5112">
      <c r="A5112" t="n">
        <v>1.4104</v>
      </c>
      <c r="B5112" t="n">
        <v>1.4411</v>
      </c>
      <c r="C5112" t="n">
        <v>1.7141</v>
      </c>
    </row>
    <row r="5113">
      <c r="A5113" t="n">
        <v>1.4386</v>
      </c>
      <c r="B5113" t="n">
        <v>1.451</v>
      </c>
      <c r="C5113" t="n">
        <v>1.668</v>
      </c>
    </row>
    <row r="5114">
      <c r="A5114" t="n">
        <v>1.645</v>
      </c>
      <c r="B5114" t="n">
        <v>1.6099</v>
      </c>
      <c r="C5114" t="n">
        <v>1.4834</v>
      </c>
    </row>
    <row r="5115">
      <c r="A5115" t="n">
        <v>1.7672</v>
      </c>
      <c r="B5115" t="n">
        <v>1.5686</v>
      </c>
      <c r="C5115" t="n">
        <v>1.4564</v>
      </c>
    </row>
    <row r="5116">
      <c r="A5116" t="n">
        <v>1.5199</v>
      </c>
      <c r="B5116" t="n">
        <v>1.4471</v>
      </c>
      <c r="C5116" t="n">
        <v>1.4392</v>
      </c>
    </row>
    <row r="5117">
      <c r="A5117" t="n">
        <v>1.4391</v>
      </c>
      <c r="B5117" t="n">
        <v>1.4198</v>
      </c>
      <c r="C5117" t="n">
        <v>1.6215</v>
      </c>
    </row>
    <row r="5118">
      <c r="A5118" t="n">
        <v>1.4175</v>
      </c>
      <c r="B5118" t="n">
        <v>1.4136</v>
      </c>
      <c r="C5118" t="n">
        <v>1.7375</v>
      </c>
    </row>
    <row r="5119">
      <c r="A5119" t="n">
        <v>1.6166</v>
      </c>
      <c r="B5119" t="n">
        <v>1.4214</v>
      </c>
      <c r="C5119" t="n">
        <v>1.4777</v>
      </c>
    </row>
    <row r="5120">
      <c r="A5120" t="n">
        <v>1.5158</v>
      </c>
      <c r="B5120" t="n">
        <v>1.4305</v>
      </c>
      <c r="C5120" t="n">
        <v>1.4562</v>
      </c>
    </row>
    <row r="5121">
      <c r="A5121" t="n">
        <v>1.6167</v>
      </c>
      <c r="B5121" t="n">
        <v>1.464</v>
      </c>
      <c r="C5121" t="n">
        <v>1.4431</v>
      </c>
    </row>
    <row r="5122">
      <c r="A5122" t="n">
        <v>1.4824</v>
      </c>
      <c r="B5122" t="n">
        <v>2.0147</v>
      </c>
      <c r="C5122" t="n">
        <v>1.7366</v>
      </c>
    </row>
    <row r="5123">
      <c r="A5123" t="n">
        <v>1.4405</v>
      </c>
      <c r="B5123" t="n">
        <v>1.6891</v>
      </c>
      <c r="C5123" t="n">
        <v>1.522</v>
      </c>
    </row>
    <row r="5124">
      <c r="A5124" t="n">
        <v>1.3814</v>
      </c>
      <c r="B5124" t="n">
        <v>1.7107</v>
      </c>
      <c r="C5124" t="n">
        <v>1.6599</v>
      </c>
    </row>
    <row r="5125">
      <c r="A5125" t="n">
        <v>1.4164</v>
      </c>
      <c r="B5125" t="n">
        <v>1.5441</v>
      </c>
      <c r="C5125" t="n">
        <v>1.4802</v>
      </c>
    </row>
    <row r="5126">
      <c r="A5126" t="n">
        <v>1.4257</v>
      </c>
      <c r="B5126" t="n">
        <v>1.669</v>
      </c>
      <c r="C5126" t="n">
        <v>1.4653</v>
      </c>
    </row>
    <row r="5127">
      <c r="A5127" t="n">
        <v>1.6215</v>
      </c>
      <c r="B5127" t="n">
        <v>1.5046</v>
      </c>
      <c r="C5127" t="n">
        <v>1.6279</v>
      </c>
    </row>
    <row r="5128">
      <c r="A5128" t="n">
        <v>1.6799</v>
      </c>
      <c r="B5128" t="n">
        <v>1.47</v>
      </c>
      <c r="C5128" t="n">
        <v>1.5405</v>
      </c>
    </row>
    <row r="5129">
      <c r="A5129" t="n">
        <v>1.4992</v>
      </c>
      <c r="B5129" t="n">
        <v>1.6449</v>
      </c>
      <c r="C5129" t="n">
        <v>1.631</v>
      </c>
    </row>
    <row r="5130">
      <c r="A5130" t="n">
        <v>1.4188</v>
      </c>
      <c r="B5130" t="n">
        <v>1.5177</v>
      </c>
      <c r="C5130" t="n">
        <v>1.494</v>
      </c>
    </row>
    <row r="5131">
      <c r="A5131" t="n">
        <v>1.4239</v>
      </c>
      <c r="B5131" t="n">
        <v>1.6427</v>
      </c>
      <c r="C5131" t="n">
        <v>1.437</v>
      </c>
    </row>
    <row r="5132">
      <c r="A5132" t="n">
        <v>1.6106</v>
      </c>
      <c r="B5132" t="n">
        <v>1.5057</v>
      </c>
      <c r="C5132" t="n">
        <v>1.3933</v>
      </c>
    </row>
    <row r="5133">
      <c r="A5133" t="n">
        <v>1.5262</v>
      </c>
      <c r="B5133" t="n">
        <v>1.4308</v>
      </c>
      <c r="C5133" t="n">
        <v>1.431</v>
      </c>
    </row>
    <row r="5134">
      <c r="A5134" t="n">
        <v>1.652</v>
      </c>
      <c r="B5134" t="n">
        <v>1.3966</v>
      </c>
      <c r="C5134" t="n">
        <v>1.4308</v>
      </c>
    </row>
    <row r="5135">
      <c r="A5135" t="n">
        <v>1.5018</v>
      </c>
      <c r="B5135" t="n">
        <v>1.4063</v>
      </c>
      <c r="C5135" t="n">
        <v>1.4049</v>
      </c>
    </row>
    <row r="5136">
      <c r="A5136" t="n">
        <v>1.4175</v>
      </c>
      <c r="B5136" t="n">
        <v>1.4398</v>
      </c>
      <c r="C5136" t="n">
        <v>1.4818</v>
      </c>
    </row>
    <row r="5137">
      <c r="A5137" t="n">
        <v>1.3947</v>
      </c>
      <c r="B5137" t="n">
        <v>1.6573</v>
      </c>
      <c r="C5137" t="n">
        <v>1.6544</v>
      </c>
    </row>
    <row r="5138">
      <c r="A5138" t="n">
        <v>1.7643</v>
      </c>
      <c r="B5138" t="n">
        <v>1.7</v>
      </c>
      <c r="C5138" t="n">
        <v>1.5062</v>
      </c>
    </row>
    <row r="5139">
      <c r="A5139" t="n">
        <v>1.6269</v>
      </c>
      <c r="B5139" t="n">
        <v>1.5166</v>
      </c>
      <c r="C5139" t="n">
        <v>1.4425</v>
      </c>
    </row>
    <row r="5140">
      <c r="A5140" t="n">
        <v>1.5063</v>
      </c>
      <c r="B5140" t="n">
        <v>1.4384</v>
      </c>
      <c r="C5140" t="n">
        <v>1.4244</v>
      </c>
    </row>
    <row r="5141">
      <c r="A5141" t="n">
        <v>1.4101</v>
      </c>
      <c r="B5141" t="n">
        <v>1.4061</v>
      </c>
      <c r="C5141" t="n">
        <v>1.442</v>
      </c>
    </row>
    <row r="5142">
      <c r="A5142" t="n">
        <v>1.4101</v>
      </c>
      <c r="B5142" t="n">
        <v>1.6089</v>
      </c>
      <c r="C5142" t="n">
        <v>1.4185</v>
      </c>
    </row>
    <row r="5143">
      <c r="A5143" t="n">
        <v>1.4398</v>
      </c>
      <c r="B5143" t="n">
        <v>1.8371</v>
      </c>
      <c r="C5143" t="n">
        <v>1.4199</v>
      </c>
    </row>
    <row r="5144">
      <c r="A5144" t="n">
        <v>1.4392</v>
      </c>
      <c r="B5144" t="n">
        <v>1.4673</v>
      </c>
      <c r="C5144" t="n">
        <v>1.5122</v>
      </c>
    </row>
    <row r="5145">
      <c r="A5145" t="n">
        <v>1.6773</v>
      </c>
      <c r="B5145" t="n">
        <v>1.4631</v>
      </c>
      <c r="C5145" t="n">
        <v>1.7666</v>
      </c>
    </row>
    <row r="5146">
      <c r="A5146" t="n">
        <v>1.7055</v>
      </c>
      <c r="B5146" t="n">
        <v>1.4486</v>
      </c>
      <c r="C5146" t="n">
        <v>1.4908</v>
      </c>
    </row>
    <row r="5147">
      <c r="A5147" t="n">
        <v>1.4962</v>
      </c>
      <c r="B5147" t="n">
        <v>1.7016</v>
      </c>
      <c r="C5147" t="n">
        <v>1.4816</v>
      </c>
    </row>
    <row r="5148">
      <c r="A5148" t="n">
        <v>1.424</v>
      </c>
      <c r="B5148" t="n">
        <v>1.6903</v>
      </c>
      <c r="C5148" t="n">
        <v>1.6807</v>
      </c>
    </row>
    <row r="5149">
      <c r="A5149" t="n">
        <v>1.4275</v>
      </c>
      <c r="B5149" t="n">
        <v>1.4899</v>
      </c>
      <c r="C5149" t="n">
        <v>1.7484</v>
      </c>
    </row>
    <row r="5150">
      <c r="A5150" t="n">
        <v>1.5915</v>
      </c>
      <c r="B5150" t="n">
        <v>1.4158</v>
      </c>
      <c r="C5150" t="n">
        <v>1.5103</v>
      </c>
    </row>
    <row r="5151">
      <c r="A5151" t="n">
        <v>1.5148</v>
      </c>
      <c r="B5151" t="n">
        <v>1.4686</v>
      </c>
      <c r="C5151" t="n">
        <v>1.4626</v>
      </c>
    </row>
    <row r="5152">
      <c r="A5152" t="n">
        <v>1.6463</v>
      </c>
      <c r="B5152" t="n">
        <v>1.6523</v>
      </c>
      <c r="C5152" t="n">
        <v>1.4136</v>
      </c>
    </row>
    <row r="5153">
      <c r="A5153" t="n">
        <v>1.4968</v>
      </c>
      <c r="B5153" t="n">
        <v>1.4892</v>
      </c>
      <c r="C5153" t="n">
        <v>1.6334</v>
      </c>
    </row>
    <row r="5154">
      <c r="A5154" t="n">
        <v>1.3923</v>
      </c>
      <c r="B5154" t="n">
        <v>1.9445</v>
      </c>
      <c r="C5154" t="n">
        <v>2.0141</v>
      </c>
    </row>
    <row r="5155">
      <c r="A5155" t="n">
        <v>1.3887</v>
      </c>
      <c r="B5155" t="n">
        <v>1.7123</v>
      </c>
      <c r="C5155" t="n">
        <v>1.6568</v>
      </c>
    </row>
    <row r="5156">
      <c r="A5156" t="n">
        <v>1.4396</v>
      </c>
      <c r="B5156" t="n">
        <v>1.6541</v>
      </c>
      <c r="C5156" t="n">
        <v>1.5253</v>
      </c>
    </row>
    <row r="5157">
      <c r="A5157" t="n">
        <v>1.4298</v>
      </c>
      <c r="B5157" t="n">
        <v>1.5391</v>
      </c>
      <c r="C5157" t="n">
        <v>1.629</v>
      </c>
    </row>
    <row r="5158">
      <c r="A5158" t="n">
        <v>1.6842</v>
      </c>
      <c r="B5158" t="n">
        <v>1.4257</v>
      </c>
      <c r="C5158" t="n">
        <v>1.5071</v>
      </c>
    </row>
    <row r="5159">
      <c r="A5159" t="n">
        <v>1.6718</v>
      </c>
      <c r="B5159" t="n">
        <v>1.392</v>
      </c>
      <c r="C5159" t="n">
        <v>1.4253</v>
      </c>
    </row>
    <row r="5160">
      <c r="A5160" t="n">
        <v>1.4738</v>
      </c>
      <c r="B5160" t="n">
        <v>1.4047</v>
      </c>
      <c r="C5160" t="n">
        <v>1.4339</v>
      </c>
    </row>
    <row r="5161">
      <c r="A5161" t="n">
        <v>1.4432</v>
      </c>
      <c r="B5161" t="n">
        <v>1.4332</v>
      </c>
      <c r="C5161" t="n">
        <v>1.3985</v>
      </c>
    </row>
    <row r="5162">
      <c r="A5162" t="n">
        <v>1.4301</v>
      </c>
      <c r="B5162" t="n">
        <v>1.6279</v>
      </c>
      <c r="C5162" t="n">
        <v>1.4414</v>
      </c>
    </row>
    <row r="5163">
      <c r="A5163" t="n">
        <v>1.613</v>
      </c>
      <c r="B5163" t="n">
        <v>1.5374</v>
      </c>
      <c r="C5163" t="n">
        <v>1.6596</v>
      </c>
    </row>
    <row r="5164">
      <c r="A5164" t="n">
        <v>1.5258</v>
      </c>
      <c r="B5164" t="n">
        <v>1.6513</v>
      </c>
      <c r="C5164" t="n">
        <v>1.768</v>
      </c>
    </row>
    <row r="5165">
      <c r="A5165" t="n">
        <v>1.662</v>
      </c>
      <c r="B5165" t="n">
        <v>1.4901</v>
      </c>
      <c r="C5165" t="n">
        <v>1.4808</v>
      </c>
    </row>
    <row r="5166">
      <c r="A5166" t="n">
        <v>1.4577</v>
      </c>
      <c r="B5166" t="n">
        <v>1.4481</v>
      </c>
      <c r="C5166" t="n">
        <v>1.432</v>
      </c>
    </row>
    <row r="5167">
      <c r="A5167" t="n">
        <v>1.4165</v>
      </c>
      <c r="B5167" t="n">
        <v>1.6776</v>
      </c>
      <c r="C5167" t="n">
        <v>1.4167</v>
      </c>
    </row>
    <row r="5168">
      <c r="A5168" t="n">
        <v>1.4124</v>
      </c>
      <c r="B5168" t="n">
        <v>1.5209</v>
      </c>
      <c r="C5168" t="n">
        <v>1.6678</v>
      </c>
    </row>
    <row r="5169">
      <c r="A5169" t="n">
        <v>1.4038</v>
      </c>
      <c r="B5169" t="n">
        <v>1.6644</v>
      </c>
      <c r="C5169" t="n">
        <v>1.7419</v>
      </c>
    </row>
    <row r="5170">
      <c r="A5170" t="n">
        <v>1.7644</v>
      </c>
      <c r="B5170" t="n">
        <v>1.5025</v>
      </c>
      <c r="C5170" t="n">
        <v>1.4692</v>
      </c>
    </row>
    <row r="5171">
      <c r="A5171" t="n">
        <v>1.4627</v>
      </c>
      <c r="B5171" t="n">
        <v>1.429</v>
      </c>
      <c r="C5171" t="n">
        <v>1.4434</v>
      </c>
    </row>
    <row r="5172">
      <c r="A5172" t="n">
        <v>1.682</v>
      </c>
      <c r="B5172" t="n">
        <v>1.3899</v>
      </c>
      <c r="C5172" t="n">
        <v>1.4379</v>
      </c>
    </row>
    <row r="5173">
      <c r="A5173" t="n">
        <v>1.4959</v>
      </c>
      <c r="B5173" t="n">
        <v>1.4435</v>
      </c>
      <c r="C5173" t="n">
        <v>1.5853</v>
      </c>
    </row>
    <row r="5174">
      <c r="A5174" t="n">
        <v>1.469</v>
      </c>
      <c r="B5174" t="n">
        <v>1.432</v>
      </c>
      <c r="C5174" t="n">
        <v>1.5182</v>
      </c>
    </row>
    <row r="5175">
      <c r="A5175" t="n">
        <v>1.4105</v>
      </c>
      <c r="B5175" t="n">
        <v>1.4125</v>
      </c>
      <c r="C5175" t="n">
        <v>1.6188</v>
      </c>
    </row>
    <row r="5176">
      <c r="A5176" t="n">
        <v>1.628</v>
      </c>
      <c r="B5176" t="n">
        <v>1.5185</v>
      </c>
      <c r="C5176" t="n">
        <v>1.4946</v>
      </c>
    </row>
    <row r="5177">
      <c r="A5177" t="n">
        <v>1.6554</v>
      </c>
      <c r="B5177" t="n">
        <v>1.6184</v>
      </c>
      <c r="C5177" t="n">
        <v>1.541</v>
      </c>
    </row>
    <row r="5178">
      <c r="A5178" t="n">
        <v>1.4743</v>
      </c>
      <c r="B5178" t="n">
        <v>1.5259</v>
      </c>
      <c r="C5178" t="n">
        <v>1.4307</v>
      </c>
    </row>
    <row r="5179">
      <c r="A5179" t="n">
        <v>1.4326</v>
      </c>
      <c r="B5179" t="n">
        <v>1.4723</v>
      </c>
      <c r="C5179" t="n">
        <v>1.4577</v>
      </c>
    </row>
    <row r="5180">
      <c r="A5180" t="n">
        <v>1.4206</v>
      </c>
      <c r="B5180" t="n">
        <v>1.405</v>
      </c>
      <c r="C5180" t="n">
        <v>1.6848</v>
      </c>
    </row>
    <row r="5181">
      <c r="A5181" t="n">
        <v>1.5755</v>
      </c>
      <c r="B5181" t="n">
        <v>1.4129</v>
      </c>
      <c r="C5181" t="n">
        <v>1.5117</v>
      </c>
    </row>
    <row r="5182">
      <c r="A5182" t="n">
        <v>1.5324</v>
      </c>
      <c r="B5182" t="n">
        <v>1.677</v>
      </c>
      <c r="C5182" t="n">
        <v>1.6658</v>
      </c>
    </row>
    <row r="5183">
      <c r="A5183" t="n">
        <v>1.6147</v>
      </c>
      <c r="B5183" t="n">
        <v>1.5063</v>
      </c>
      <c r="C5183" t="n">
        <v>1.6875</v>
      </c>
    </row>
    <row r="5184">
      <c r="A5184" t="n">
        <v>1.4786</v>
      </c>
      <c r="B5184" t="n">
        <v>1.6576</v>
      </c>
      <c r="C5184" t="n">
        <v>1.5258</v>
      </c>
    </row>
    <row r="5185">
      <c r="A5185" t="n">
        <v>1.4183</v>
      </c>
      <c r="B5185" t="n">
        <v>1.7546</v>
      </c>
      <c r="C5185" t="n">
        <v>1.6219</v>
      </c>
    </row>
    <row r="5186">
      <c r="A5186" t="n">
        <v>1.4304</v>
      </c>
      <c r="B5186" t="n">
        <v>2.0693</v>
      </c>
      <c r="C5186" t="n">
        <v>1.8379</v>
      </c>
    </row>
    <row r="5187">
      <c r="A5187" t="n">
        <v>1.4282</v>
      </c>
      <c r="B5187" t="n">
        <v>1.5102</v>
      </c>
      <c r="C5187" t="n">
        <v>1.463</v>
      </c>
    </row>
    <row r="5188">
      <c r="A5188" t="n">
        <v>1.4543</v>
      </c>
      <c r="B5188" t="n">
        <v>1.4541</v>
      </c>
      <c r="C5188" t="n">
        <v>1.6589</v>
      </c>
    </row>
    <row r="5189">
      <c r="A5189" t="n">
        <v>1.6673</v>
      </c>
      <c r="B5189" t="n">
        <v>1.4236</v>
      </c>
      <c r="C5189" t="n">
        <v>1.716</v>
      </c>
    </row>
    <row r="5190">
      <c r="A5190" t="n">
        <v>1.6831</v>
      </c>
      <c r="B5190" t="n">
        <v>1.7241</v>
      </c>
      <c r="C5190" t="n">
        <v>1.5649</v>
      </c>
    </row>
    <row r="5191">
      <c r="A5191" t="n">
        <v>1.4913</v>
      </c>
      <c r="B5191" t="n">
        <v>1.7284</v>
      </c>
      <c r="C5191" t="n">
        <v>1.6766</v>
      </c>
    </row>
    <row r="5192">
      <c r="A5192" t="n">
        <v>1.4458</v>
      </c>
      <c r="B5192" t="n">
        <v>1.4682</v>
      </c>
      <c r="C5192" t="n">
        <v>1.6546</v>
      </c>
    </row>
    <row r="5193">
      <c r="A5193" t="n">
        <v>1.401</v>
      </c>
      <c r="B5193" t="n">
        <v>1.4536</v>
      </c>
      <c r="C5193" t="n">
        <v>1.5062</v>
      </c>
    </row>
    <row r="5194">
      <c r="A5194" t="n">
        <v>1.6008</v>
      </c>
      <c r="B5194" t="n">
        <v>1.4241</v>
      </c>
      <c r="C5194" t="n">
        <v>1.4472</v>
      </c>
    </row>
    <row r="5195">
      <c r="A5195" t="n">
        <v>1.5115</v>
      </c>
      <c r="B5195" t="n">
        <v>1.6936</v>
      </c>
      <c r="C5195" t="n">
        <v>1.4294</v>
      </c>
    </row>
    <row r="5196">
      <c r="A5196" t="n">
        <v>1.6513</v>
      </c>
      <c r="B5196" t="n">
        <v>1.6773</v>
      </c>
      <c r="C5196" t="n">
        <v>1.4633</v>
      </c>
    </row>
    <row r="5197">
      <c r="A5197" t="n">
        <v>1.5248</v>
      </c>
      <c r="B5197" t="n">
        <v>1.4995</v>
      </c>
      <c r="C5197" t="n">
        <v>1.452</v>
      </c>
    </row>
    <row r="5198">
      <c r="A5198" t="n">
        <v>1.4465</v>
      </c>
      <c r="B5198" t="n">
        <v>1.4075</v>
      </c>
      <c r="C5198" t="n">
        <v>1.6091</v>
      </c>
    </row>
    <row r="5199">
      <c r="A5199" t="n">
        <v>1.3798</v>
      </c>
      <c r="B5199" t="n">
        <v>1.4525</v>
      </c>
      <c r="C5199" t="n">
        <v>1.8729</v>
      </c>
    </row>
    <row r="5200">
      <c r="A5200" t="n">
        <v>1.4234</v>
      </c>
      <c r="B5200" t="n">
        <v>1.6779</v>
      </c>
      <c r="C5200" t="n">
        <v>1.4615</v>
      </c>
    </row>
    <row r="5201">
      <c r="A5201" t="n">
        <v>1.4736</v>
      </c>
      <c r="B5201" t="n">
        <v>1.5466</v>
      </c>
      <c r="C5201" t="n">
        <v>1.4437</v>
      </c>
    </row>
    <row r="5202">
      <c r="A5202" t="n">
        <v>1.7529</v>
      </c>
      <c r="B5202" t="n">
        <v>1.4782</v>
      </c>
      <c r="C5202" t="n">
        <v>1.4323</v>
      </c>
    </row>
    <row r="5203">
      <c r="A5203" t="n">
        <v>1.7034</v>
      </c>
      <c r="B5203" t="n">
        <v>1.4712</v>
      </c>
      <c r="C5203" t="n">
        <v>1.6042</v>
      </c>
    </row>
    <row r="5204">
      <c r="A5204" t="n">
        <v>1.7002</v>
      </c>
      <c r="B5204" t="n">
        <v>1.3936</v>
      </c>
      <c r="C5204" t="n">
        <v>1.8672</v>
      </c>
    </row>
    <row r="5205">
      <c r="A5205" t="n">
        <v>1.5138</v>
      </c>
      <c r="B5205" t="n">
        <v>1.3961</v>
      </c>
      <c r="C5205" t="n">
        <v>1.4815</v>
      </c>
    </row>
    <row r="5206">
      <c r="A5206" t="n">
        <v>1.636</v>
      </c>
      <c r="B5206" t="n">
        <v>1.4484</v>
      </c>
      <c r="C5206" t="n">
        <v>1.4292</v>
      </c>
    </row>
    <row r="5207">
      <c r="A5207" t="n">
        <v>1.5198</v>
      </c>
      <c r="B5207" t="n">
        <v>1.4259</v>
      </c>
      <c r="C5207" t="n">
        <v>1.4372</v>
      </c>
    </row>
    <row r="5208">
      <c r="A5208" t="n">
        <v>1.3868</v>
      </c>
      <c r="B5208" t="n">
        <v>1.6582</v>
      </c>
      <c r="C5208" t="n">
        <v>1.6443</v>
      </c>
    </row>
    <row r="5209">
      <c r="A5209" t="n">
        <v>1.4327</v>
      </c>
      <c r="B5209" t="n">
        <v>1.7065</v>
      </c>
      <c r="C5209" t="n">
        <v>1.7442</v>
      </c>
    </row>
    <row r="5210">
      <c r="A5210" t="n">
        <v>1.472</v>
      </c>
      <c r="B5210" t="n">
        <v>1.4595</v>
      </c>
      <c r="C5210" t="n">
        <v>1.4944</v>
      </c>
    </row>
    <row r="5211">
      <c r="A5211" t="n">
        <v>1.4106</v>
      </c>
      <c r="B5211" t="n">
        <v>1.4441</v>
      </c>
      <c r="C5211" t="n">
        <v>1.4659</v>
      </c>
    </row>
    <row r="5212">
      <c r="A5212" t="n">
        <v>1.6188</v>
      </c>
      <c r="B5212" t="n">
        <v>1.4542</v>
      </c>
      <c r="C5212" t="n">
        <v>1.4261</v>
      </c>
    </row>
    <row r="5213">
      <c r="A5213" t="n">
        <v>1.7038</v>
      </c>
      <c r="B5213" t="n">
        <v>1.5948</v>
      </c>
      <c r="C5213" t="n">
        <v>1.6392</v>
      </c>
    </row>
    <row r="5214">
      <c r="A5214" t="n">
        <v>1.4845</v>
      </c>
      <c r="B5214" t="n">
        <v>1.5423</v>
      </c>
      <c r="C5214" t="n">
        <v>1.5933</v>
      </c>
    </row>
    <row r="5215">
      <c r="A5215" t="n">
        <v>1.4311</v>
      </c>
      <c r="B5215" t="n">
        <v>1.6627</v>
      </c>
      <c r="C5215" t="n">
        <v>1.4154</v>
      </c>
    </row>
    <row r="5216">
      <c r="A5216" t="n">
        <v>1.4475</v>
      </c>
      <c r="B5216" t="n">
        <v>1.5071</v>
      </c>
      <c r="C5216" t="n">
        <v>1.4612</v>
      </c>
    </row>
    <row r="5217">
      <c r="A5217" t="n">
        <v>1.6041</v>
      </c>
      <c r="B5217" t="n">
        <v>1.497</v>
      </c>
      <c r="C5217" t="n">
        <v>1.4332</v>
      </c>
    </row>
    <row r="5218">
      <c r="A5218" t="n">
        <v>1.5274</v>
      </c>
      <c r="B5218" t="n">
        <v>1.9932</v>
      </c>
      <c r="C5218" t="n">
        <v>1.7295</v>
      </c>
    </row>
    <row r="5219">
      <c r="A5219" t="n">
        <v>1.6306</v>
      </c>
      <c r="B5219" t="n">
        <v>1.7035</v>
      </c>
      <c r="C5219" t="n">
        <v>1.4932</v>
      </c>
    </row>
    <row r="5220">
      <c r="A5220" t="n">
        <v>1.4734</v>
      </c>
      <c r="B5220" t="n">
        <v>1.7382</v>
      </c>
      <c r="C5220" t="n">
        <v>1.6442</v>
      </c>
    </row>
    <row r="5221">
      <c r="A5221" t="n">
        <v>1.4569</v>
      </c>
      <c r="B5221" t="n">
        <v>1.5199</v>
      </c>
      <c r="C5221" t="n">
        <v>1.4858</v>
      </c>
    </row>
    <row r="5222">
      <c r="A5222" t="n">
        <v>1.4065</v>
      </c>
      <c r="B5222" t="n">
        <v>1.6023</v>
      </c>
      <c r="C5222" t="n">
        <v>1.4342</v>
      </c>
    </row>
    <row r="5223">
      <c r="A5223" t="n">
        <v>1.4089</v>
      </c>
      <c r="B5223" t="n">
        <v>1.5083</v>
      </c>
      <c r="C5223" t="n">
        <v>1.4268</v>
      </c>
    </row>
    <row r="5224">
      <c r="A5224" t="n">
        <v>1.4705</v>
      </c>
      <c r="B5224" t="n">
        <v>1.4233</v>
      </c>
      <c r="C5224" t="n">
        <v>1.4084</v>
      </c>
    </row>
    <row r="5225">
      <c r="A5225" t="n">
        <v>1.3901</v>
      </c>
      <c r="B5225" t="n">
        <v>1.3882</v>
      </c>
      <c r="C5225" t="n">
        <v>1.4386</v>
      </c>
    </row>
    <row r="5226">
      <c r="A5226" t="n">
        <v>1.4626</v>
      </c>
      <c r="B5226" t="n">
        <v>1.4344</v>
      </c>
      <c r="C5226" t="n">
        <v>1.7691</v>
      </c>
    </row>
    <row r="5227">
      <c r="A5227" t="n">
        <v>1.6058</v>
      </c>
      <c r="B5227" t="n">
        <v>1.4316</v>
      </c>
      <c r="C5227" t="n">
        <v>1.6569</v>
      </c>
    </row>
    <row r="5228">
      <c r="A5228" t="n">
        <v>1.5008</v>
      </c>
      <c r="B5228" t="n">
        <v>1.5847</v>
      </c>
      <c r="C5228" t="n">
        <v>1.4993</v>
      </c>
    </row>
    <row r="5229">
      <c r="A5229" t="n">
        <v>1.4144</v>
      </c>
      <c r="B5229" t="n">
        <v>1.7785</v>
      </c>
      <c r="C5229" t="n">
        <v>1.4568</v>
      </c>
    </row>
    <row r="5230">
      <c r="A5230" t="n">
        <v>1.4294</v>
      </c>
      <c r="B5230" t="n">
        <v>1.4752</v>
      </c>
      <c r="C5230" t="n">
        <v>1.4169</v>
      </c>
    </row>
    <row r="5231">
      <c r="A5231" t="n">
        <v>1.4287</v>
      </c>
      <c r="B5231" t="n">
        <v>1.4159</v>
      </c>
      <c r="C5231" t="n">
        <v>1.6362</v>
      </c>
    </row>
    <row r="5232">
      <c r="A5232" t="n">
        <v>1.4581</v>
      </c>
      <c r="B5232" t="n">
        <v>1.4209</v>
      </c>
      <c r="C5232" t="n">
        <v>1.6215</v>
      </c>
    </row>
    <row r="5233">
      <c r="A5233" t="n">
        <v>1.6342</v>
      </c>
      <c r="B5233" t="n">
        <v>1.3934</v>
      </c>
      <c r="C5233" t="n">
        <v>1.405</v>
      </c>
    </row>
    <row r="5234">
      <c r="A5234" t="n">
        <v>2.0427</v>
      </c>
      <c r="B5234" t="n">
        <v>1.4208</v>
      </c>
      <c r="C5234" t="n">
        <v>1.4552</v>
      </c>
    </row>
    <row r="5235">
      <c r="A5235" t="n">
        <v>1.7256</v>
      </c>
      <c r="B5235" t="n">
        <v>1.4381</v>
      </c>
      <c r="C5235" t="n">
        <v>1.415</v>
      </c>
    </row>
    <row r="5236">
      <c r="A5236" t="n">
        <v>1.7817</v>
      </c>
      <c r="B5236" t="n">
        <v>1.4443</v>
      </c>
      <c r="C5236" t="n">
        <v>1.3963</v>
      </c>
    </row>
    <row r="5237">
      <c r="A5237" t="n">
        <v>1.4933</v>
      </c>
      <c r="B5237" t="n">
        <v>1.4529</v>
      </c>
      <c r="C5237" t="n">
        <v>1.4195</v>
      </c>
    </row>
    <row r="5238">
      <c r="A5238" t="n">
        <v>1.4237</v>
      </c>
      <c r="B5238" t="n">
        <v>1.6733</v>
      </c>
      <c r="C5238" t="n">
        <v>1.4621</v>
      </c>
    </row>
    <row r="5239">
      <c r="A5239" t="n">
        <v>1.4456</v>
      </c>
      <c r="B5239" t="n">
        <v>1.4846</v>
      </c>
      <c r="C5239" t="n">
        <v>1.3908</v>
      </c>
    </row>
    <row r="5240">
      <c r="A5240" t="n">
        <v>1.595</v>
      </c>
      <c r="B5240" t="n">
        <v>1.4289</v>
      </c>
      <c r="C5240" t="n">
        <v>1.4711</v>
      </c>
    </row>
    <row r="5241">
      <c r="A5241" t="n">
        <v>1.5289</v>
      </c>
      <c r="B5241" t="n">
        <v>1.6078</v>
      </c>
      <c r="C5241" t="n">
        <v>1.6251</v>
      </c>
    </row>
    <row r="5242">
      <c r="A5242" t="n">
        <v>1.677</v>
      </c>
      <c r="B5242" t="n">
        <v>1.5357</v>
      </c>
      <c r="C5242" t="n">
        <v>1.5026</v>
      </c>
    </row>
    <row r="5243">
      <c r="A5243" t="n">
        <v>1.5036</v>
      </c>
      <c r="B5243" t="n">
        <v>1.6273</v>
      </c>
      <c r="C5243" t="n">
        <v>1.7511</v>
      </c>
    </row>
    <row r="5244">
      <c r="A5244" t="n">
        <v>1.4215</v>
      </c>
      <c r="B5244" t="n">
        <v>1.4834</v>
      </c>
      <c r="C5244" t="n">
        <v>1.6401</v>
      </c>
    </row>
    <row r="5245">
      <c r="A5245" t="n">
        <v>1.4024</v>
      </c>
      <c r="B5245" t="n">
        <v>1.4313</v>
      </c>
      <c r="C5245" t="n">
        <v>1.5098</v>
      </c>
    </row>
    <row r="5246">
      <c r="A5246" t="n">
        <v>1.4253</v>
      </c>
      <c r="B5246" t="n">
        <v>1.376</v>
      </c>
      <c r="C5246" t="n">
        <v>1.6052</v>
      </c>
    </row>
    <row r="5247">
      <c r="A5247" t="n">
        <v>1.4355</v>
      </c>
      <c r="B5247" t="n">
        <v>1.4142</v>
      </c>
      <c r="C5247" t="n">
        <v>1.5069</v>
      </c>
    </row>
    <row r="5248">
      <c r="A5248" t="n">
        <v>1.4317</v>
      </c>
      <c r="B5248" t="n">
        <v>1.4201</v>
      </c>
      <c r="C5248" t="n">
        <v>1.4295</v>
      </c>
    </row>
    <row r="5249">
      <c r="A5249" t="n">
        <v>1.4657</v>
      </c>
      <c r="B5249" t="n">
        <v>1.4324</v>
      </c>
      <c r="C5249" t="n">
        <v>1.4052</v>
      </c>
    </row>
    <row r="5250">
      <c r="A5250" t="n">
        <v>1.6104</v>
      </c>
      <c r="B5250" t="n">
        <v>2.0387</v>
      </c>
      <c r="C5250" t="n">
        <v>1.7601</v>
      </c>
    </row>
    <row r="5251">
      <c r="A5251" t="n">
        <v>1.4725</v>
      </c>
      <c r="B5251" t="n">
        <v>1.5032</v>
      </c>
      <c r="C5251" t="n">
        <v>1.6496</v>
      </c>
    </row>
    <row r="5252">
      <c r="A5252" t="n">
        <v>1.4406</v>
      </c>
      <c r="B5252" t="n">
        <v>1.4389</v>
      </c>
      <c r="C5252" t="n">
        <v>1.5281</v>
      </c>
    </row>
    <row r="5253">
      <c r="A5253" t="n">
        <v>1.3933</v>
      </c>
      <c r="B5253" t="n">
        <v>1.4529</v>
      </c>
      <c r="C5253" t="n">
        <v>1.4364</v>
      </c>
    </row>
    <row r="5254">
      <c r="A5254" t="n">
        <v>1.4119</v>
      </c>
      <c r="B5254" t="n">
        <v>1.6855</v>
      </c>
      <c r="C5254" t="n">
        <v>1.4304</v>
      </c>
    </row>
    <row r="5255">
      <c r="A5255" t="n">
        <v>1.4337</v>
      </c>
      <c r="B5255" t="n">
        <v>1.7169</v>
      </c>
      <c r="C5255" t="n">
        <v>1.4218</v>
      </c>
    </row>
    <row r="5256">
      <c r="A5256" t="n">
        <v>1.6054</v>
      </c>
      <c r="B5256" t="n">
        <v>1.4723</v>
      </c>
      <c r="C5256" t="n">
        <v>1.4117</v>
      </c>
    </row>
    <row r="5257">
      <c r="A5257" t="n">
        <v>1.6782</v>
      </c>
      <c r="B5257" t="n">
        <v>1.4471</v>
      </c>
      <c r="C5257" t="n">
        <v>1.3844</v>
      </c>
    </row>
    <row r="5258">
      <c r="A5258" t="n">
        <v>1.4859</v>
      </c>
      <c r="B5258" t="n">
        <v>1.416</v>
      </c>
      <c r="C5258" t="n">
        <v>1.478</v>
      </c>
    </row>
    <row r="5259">
      <c r="A5259" t="n">
        <v>1.413</v>
      </c>
      <c r="B5259" t="n">
        <v>1.6781</v>
      </c>
      <c r="C5259" t="n">
        <v>1.6304</v>
      </c>
    </row>
    <row r="5260">
      <c r="A5260" t="n">
        <v>1.4344</v>
      </c>
      <c r="B5260" t="n">
        <v>1.7314</v>
      </c>
      <c r="C5260" t="n">
        <v>1.5141</v>
      </c>
    </row>
    <row r="5261">
      <c r="A5261" t="n">
        <v>1.3775</v>
      </c>
      <c r="B5261" t="n">
        <v>1.4743</v>
      </c>
      <c r="C5261" t="n">
        <v>1.4415</v>
      </c>
    </row>
    <row r="5262">
      <c r="A5262" t="n">
        <v>1.4092</v>
      </c>
      <c r="B5262" t="n">
        <v>1.4435</v>
      </c>
      <c r="C5262" t="n">
        <v>1.4252</v>
      </c>
    </row>
    <row r="5263">
      <c r="A5263" t="n">
        <v>1.6657</v>
      </c>
      <c r="B5263" t="n">
        <v>1.4268</v>
      </c>
      <c r="C5263" t="n">
        <v>1.4059</v>
      </c>
    </row>
    <row r="5264">
      <c r="A5264" t="n">
        <v>1.497</v>
      </c>
      <c r="B5264" t="n">
        <v>1.5759</v>
      </c>
      <c r="C5264" t="n">
        <v>1.4401</v>
      </c>
    </row>
    <row r="5265">
      <c r="A5265" t="n">
        <v>1.6171</v>
      </c>
      <c r="B5265" t="n">
        <v>1.5241</v>
      </c>
      <c r="C5265" t="n">
        <v>1.7158</v>
      </c>
    </row>
    <row r="5266">
      <c r="A5266" t="n">
        <v>2.0356</v>
      </c>
      <c r="B5266" t="n">
        <v>1.6779</v>
      </c>
      <c r="C5266" t="n">
        <v>1.7289</v>
      </c>
    </row>
    <row r="5267">
      <c r="A5267" t="n">
        <v>1.7496</v>
      </c>
      <c r="B5267" t="n">
        <v>1.4741</v>
      </c>
      <c r="C5267" t="n">
        <v>1.4822</v>
      </c>
    </row>
    <row r="5268">
      <c r="A5268" t="n">
        <v>1.4895</v>
      </c>
      <c r="B5268" t="n">
        <v>1.4401</v>
      </c>
      <c r="C5268" t="n">
        <v>1.4511</v>
      </c>
    </row>
    <row r="5269">
      <c r="A5269" t="n">
        <v>1.4431</v>
      </c>
      <c r="B5269" t="n">
        <v>1.4167</v>
      </c>
      <c r="C5269" t="n">
        <v>1.4301</v>
      </c>
    </row>
    <row r="5270">
      <c r="A5270" t="n">
        <v>1.4438</v>
      </c>
      <c r="B5270" t="n">
        <v>1.4251</v>
      </c>
      <c r="C5270" t="n">
        <v>1.6261</v>
      </c>
    </row>
    <row r="5271">
      <c r="A5271" t="n">
        <v>1.603</v>
      </c>
      <c r="B5271" t="n">
        <v>1.4575</v>
      </c>
      <c r="C5271" t="n">
        <v>1.8137</v>
      </c>
    </row>
    <row r="5272">
      <c r="A5272" t="n">
        <v>1.5805</v>
      </c>
      <c r="B5272" t="n">
        <v>1.6872</v>
      </c>
      <c r="C5272" t="n">
        <v>1.4769</v>
      </c>
    </row>
    <row r="5273">
      <c r="A5273" t="n">
        <v>1.4057</v>
      </c>
      <c r="B5273" t="n">
        <v>1.6569</v>
      </c>
      <c r="C5273" t="n">
        <v>1.4374</v>
      </c>
    </row>
    <row r="5274">
      <c r="A5274" t="n">
        <v>1.4325</v>
      </c>
      <c r="B5274" t="n">
        <v>1.4879</v>
      </c>
      <c r="C5274" t="n">
        <v>1.4389</v>
      </c>
    </row>
    <row r="5275">
      <c r="A5275" t="n">
        <v>1.4083</v>
      </c>
      <c r="B5275" t="n">
        <v>1.4506</v>
      </c>
      <c r="C5275" t="n">
        <v>1.5877</v>
      </c>
    </row>
    <row r="5276">
      <c r="A5276" t="n">
        <v>1.4179</v>
      </c>
      <c r="B5276" t="n">
        <v>1.4162</v>
      </c>
      <c r="C5276" t="n">
        <v>1.5193</v>
      </c>
    </row>
    <row r="5277">
      <c r="A5277" t="n">
        <v>1.4253</v>
      </c>
      <c r="B5277" t="n">
        <v>1.595</v>
      </c>
      <c r="C5277" t="n">
        <v>1.6519</v>
      </c>
    </row>
    <row r="5278">
      <c r="A5278" t="n">
        <v>1.4538</v>
      </c>
      <c r="B5278" t="n">
        <v>1.8887</v>
      </c>
      <c r="C5278" t="n">
        <v>1.4967</v>
      </c>
    </row>
    <row r="5279">
      <c r="A5279" t="n">
        <v>1.5997</v>
      </c>
      <c r="B5279" t="n">
        <v>1.4734</v>
      </c>
      <c r="C5279" t="n">
        <v>1.513</v>
      </c>
    </row>
    <row r="5280">
      <c r="A5280" t="n">
        <v>1.5287</v>
      </c>
      <c r="B5280" t="n">
        <v>1.4275</v>
      </c>
      <c r="C5280" t="n">
        <v>3.112</v>
      </c>
    </row>
    <row r="5281">
      <c r="A5281" t="n">
        <v>1.6321</v>
      </c>
      <c r="B5281" t="n">
        <v>1.4196</v>
      </c>
      <c r="C5281" t="n">
        <v>1.9898</v>
      </c>
    </row>
    <row r="5282">
      <c r="A5282" t="n">
        <v>1.4496</v>
      </c>
      <c r="B5282" t="n">
        <v>2.0067</v>
      </c>
      <c r="C5282" t="n">
        <v>2.43</v>
      </c>
    </row>
    <row r="5283">
      <c r="A5283" t="n">
        <v>1.3959</v>
      </c>
      <c r="B5283" t="n">
        <v>1.7041</v>
      </c>
      <c r="C5283" t="n">
        <v>2.0437</v>
      </c>
    </row>
    <row r="5284">
      <c r="A5284" t="n">
        <v>1.4118</v>
      </c>
      <c r="B5284" t="n">
        <v>1.746</v>
      </c>
      <c r="C5284" t="n">
        <v>1.8776</v>
      </c>
    </row>
    <row r="5285">
      <c r="A5285" t="n">
        <v>1.4003</v>
      </c>
      <c r="B5285" t="n">
        <v>1.515</v>
      </c>
      <c r="C5285" t="n">
        <v>1.5491</v>
      </c>
    </row>
    <row r="5286">
      <c r="A5286" t="n">
        <v>1.4656</v>
      </c>
      <c r="B5286" t="n">
        <v>1.6502</v>
      </c>
      <c r="C5286" t="n">
        <v>1.4448</v>
      </c>
    </row>
    <row r="5287">
      <c r="A5287" t="n">
        <v>1.6805</v>
      </c>
      <c r="B5287" t="n">
        <v>1.4948</v>
      </c>
      <c r="C5287" t="n">
        <v>1.4479</v>
      </c>
    </row>
    <row r="5288">
      <c r="A5288" t="n">
        <v>1.699</v>
      </c>
      <c r="B5288" t="n">
        <v>1.4338</v>
      </c>
      <c r="C5288" t="n">
        <v>1.4413</v>
      </c>
    </row>
    <row r="5289">
      <c r="A5289" t="n">
        <v>1.4814</v>
      </c>
      <c r="B5289" t="n">
        <v>1.6339</v>
      </c>
      <c r="C5289" t="n">
        <v>1.4718</v>
      </c>
    </row>
    <row r="5290">
      <c r="A5290" t="n">
        <v>1.4537</v>
      </c>
      <c r="B5290" t="n">
        <v>1.528</v>
      </c>
      <c r="C5290" t="n">
        <v>1.47</v>
      </c>
    </row>
    <row r="5291">
      <c r="A5291" t="n">
        <v>1.4106</v>
      </c>
      <c r="B5291" t="n">
        <v>1.6044</v>
      </c>
      <c r="C5291" t="n">
        <v>1.4898</v>
      </c>
    </row>
    <row r="5292">
      <c r="A5292" t="n">
        <v>1.5847</v>
      </c>
      <c r="B5292" t="n">
        <v>1.5286</v>
      </c>
      <c r="C5292" t="n">
        <v>1.6569</v>
      </c>
    </row>
    <row r="5293">
      <c r="A5293" t="n">
        <v>1.5423</v>
      </c>
      <c r="B5293" t="n">
        <v>1.4312</v>
      </c>
      <c r="C5293" t="n">
        <v>1.7213</v>
      </c>
    </row>
    <row r="5294">
      <c r="A5294" t="n">
        <v>1.4012</v>
      </c>
      <c r="B5294" t="n">
        <v>1.3955</v>
      </c>
      <c r="C5294" t="n">
        <v>1.546</v>
      </c>
    </row>
    <row r="5295">
      <c r="A5295" t="n">
        <v>1.4536</v>
      </c>
      <c r="B5295" t="n">
        <v>1.4482</v>
      </c>
      <c r="C5295" t="n">
        <v>1.6962</v>
      </c>
    </row>
    <row r="5296">
      <c r="A5296" t="n">
        <v>1.7004</v>
      </c>
      <c r="B5296" t="n">
        <v>1.4538</v>
      </c>
      <c r="C5296" t="n">
        <v>1.5071</v>
      </c>
    </row>
    <row r="5297">
      <c r="A5297" t="n">
        <v>1.6585</v>
      </c>
      <c r="B5297" t="n">
        <v>1.634</v>
      </c>
      <c r="C5297" t="n">
        <v>1.4817</v>
      </c>
    </row>
    <row r="5298">
      <c r="A5298" t="n">
        <v>2.0847</v>
      </c>
      <c r="B5298" t="n">
        <v>1.7196</v>
      </c>
      <c r="C5298" t="n">
        <v>1.4056</v>
      </c>
    </row>
    <row r="5299">
      <c r="A5299" t="n">
        <v>1.5493</v>
      </c>
      <c r="B5299" t="n">
        <v>1.5434</v>
      </c>
      <c r="C5299" t="n">
        <v>1.4626</v>
      </c>
    </row>
    <row r="5300">
      <c r="A5300" t="n">
        <v>1.4593</v>
      </c>
      <c r="B5300" t="n">
        <v>1.4463</v>
      </c>
      <c r="C5300" t="n">
        <v>1.7305</v>
      </c>
    </row>
    <row r="5301">
      <c r="A5301" t="n">
        <v>1.6896</v>
      </c>
      <c r="B5301" t="n">
        <v>1.4418</v>
      </c>
      <c r="C5301" t="n">
        <v>1.5139</v>
      </c>
    </row>
    <row r="5302">
      <c r="A5302" t="n">
        <v>1.4965</v>
      </c>
      <c r="B5302" t="n">
        <v>1.6105</v>
      </c>
      <c r="C5302" t="n">
        <v>1.4255</v>
      </c>
    </row>
    <row r="5303">
      <c r="A5303" t="n">
        <v>1.685</v>
      </c>
      <c r="B5303" t="n">
        <v>1.7347</v>
      </c>
      <c r="C5303" t="n">
        <v>1.4292</v>
      </c>
    </row>
    <row r="5304">
      <c r="A5304" t="n">
        <v>1.6531</v>
      </c>
      <c r="B5304" t="n">
        <v>1.4838</v>
      </c>
      <c r="C5304" t="n">
        <v>1.4259</v>
      </c>
    </row>
    <row r="5305">
      <c r="A5305" t="n">
        <v>1.5157</v>
      </c>
      <c r="B5305" t="n">
        <v>1.444</v>
      </c>
      <c r="C5305" t="n">
        <v>1.4219</v>
      </c>
    </row>
    <row r="5306">
      <c r="A5306" t="n">
        <v>1.602</v>
      </c>
      <c r="B5306" t="n">
        <v>1.4134</v>
      </c>
      <c r="C5306" t="n">
        <v>1.6021</v>
      </c>
    </row>
    <row r="5307">
      <c r="A5307" t="n">
        <v>1.5402</v>
      </c>
      <c r="B5307" t="n">
        <v>1.7009</v>
      </c>
      <c r="C5307" t="n">
        <v>1.5546</v>
      </c>
    </row>
    <row r="5308">
      <c r="A5308" t="n">
        <v>1.4336</v>
      </c>
      <c r="B5308" t="n">
        <v>1.7719</v>
      </c>
      <c r="C5308" t="n">
        <v>1.7171</v>
      </c>
    </row>
    <row r="5309">
      <c r="A5309" t="n">
        <v>1.3932</v>
      </c>
      <c r="B5309" t="n">
        <v>1.4623</v>
      </c>
      <c r="C5309" t="n">
        <v>1.4911</v>
      </c>
    </row>
    <row r="5310">
      <c r="A5310" t="n">
        <v>1.4301</v>
      </c>
      <c r="B5310" t="n">
        <v>1.4541</v>
      </c>
      <c r="C5310" t="n">
        <v>1.4426</v>
      </c>
    </row>
    <row r="5311">
      <c r="A5311" t="n">
        <v>1.4431</v>
      </c>
      <c r="B5311" t="n">
        <v>1.4283</v>
      </c>
      <c r="C5311" t="n">
        <v>1.6429</v>
      </c>
    </row>
    <row r="5312">
      <c r="A5312" t="n">
        <v>1.667</v>
      </c>
      <c r="B5312" t="n">
        <v>1.3769</v>
      </c>
      <c r="C5312" t="n">
        <v>1.521</v>
      </c>
    </row>
    <row r="5313">
      <c r="A5313" t="n">
        <v>1.756</v>
      </c>
      <c r="B5313" t="n">
        <v>1.437</v>
      </c>
      <c r="C5313" t="n">
        <v>1.6351</v>
      </c>
    </row>
    <row r="5314">
      <c r="A5314" t="n">
        <v>1.4938</v>
      </c>
      <c r="B5314" t="n">
        <v>1.7506</v>
      </c>
      <c r="C5314" t="n">
        <v>1.8166</v>
      </c>
    </row>
    <row r="5315">
      <c r="A5315" t="n">
        <v>1.4261</v>
      </c>
      <c r="B5315" t="n">
        <v>1.4384</v>
      </c>
      <c r="C5315" t="n">
        <v>1.4521</v>
      </c>
    </row>
    <row r="5316">
      <c r="A5316" t="n">
        <v>1.4382</v>
      </c>
      <c r="B5316" t="n">
        <v>1.6546</v>
      </c>
      <c r="C5316" t="n">
        <v>1.6344</v>
      </c>
    </row>
    <row r="5317">
      <c r="A5317" t="n">
        <v>1.6253</v>
      </c>
      <c r="B5317" t="n">
        <v>1.7221</v>
      </c>
      <c r="C5317" t="n">
        <v>1.697</v>
      </c>
    </row>
    <row r="5318">
      <c r="A5318" t="n">
        <v>1.5651</v>
      </c>
      <c r="B5318" t="n">
        <v>1.5244</v>
      </c>
      <c r="C5318" t="n">
        <v>1.4975</v>
      </c>
    </row>
    <row r="5319">
      <c r="A5319" t="n">
        <v>1.4172</v>
      </c>
      <c r="B5319" t="n">
        <v>1.6433</v>
      </c>
      <c r="C5319" t="n">
        <v>1.4392</v>
      </c>
    </row>
    <row r="5320">
      <c r="A5320" t="n">
        <v>1.4254</v>
      </c>
      <c r="B5320" t="n">
        <v>1.5036</v>
      </c>
      <c r="C5320" t="n">
        <v>1.4519</v>
      </c>
    </row>
    <row r="5321">
      <c r="A5321" t="n">
        <v>1.6805</v>
      </c>
      <c r="B5321" t="n">
        <v>1.4248</v>
      </c>
      <c r="C5321" t="n">
        <v>1.6391</v>
      </c>
    </row>
    <row r="5322">
      <c r="A5322" t="n">
        <v>1.7296</v>
      </c>
      <c r="B5322" t="n">
        <v>1.4405</v>
      </c>
      <c r="C5322" t="n">
        <v>1.7786</v>
      </c>
    </row>
    <row r="5323">
      <c r="A5323" t="n">
        <v>1.8176</v>
      </c>
      <c r="B5323" t="n">
        <v>1.4509</v>
      </c>
      <c r="C5323" t="n">
        <v>1.4931</v>
      </c>
    </row>
    <row r="5324">
      <c r="A5324" t="n">
        <v>1.4758</v>
      </c>
      <c r="B5324" t="n">
        <v>1.4347</v>
      </c>
      <c r="C5324" t="n">
        <v>1.4724</v>
      </c>
    </row>
    <row r="5325">
      <c r="A5325" t="n">
        <v>1.4575</v>
      </c>
      <c r="B5325" t="n">
        <v>1.6508</v>
      </c>
      <c r="C5325" t="n">
        <v>1.4376</v>
      </c>
    </row>
    <row r="5326">
      <c r="A5326" t="n">
        <v>1.4545</v>
      </c>
      <c r="B5326" t="n">
        <v>1.6913</v>
      </c>
      <c r="C5326" t="n">
        <v>1.6882</v>
      </c>
    </row>
    <row r="5327">
      <c r="A5327" t="n">
        <v>1.5954</v>
      </c>
      <c r="B5327" t="n">
        <v>1.4752</v>
      </c>
      <c r="C5327" t="n">
        <v>1.7711</v>
      </c>
    </row>
    <row r="5328">
      <c r="A5328" t="n">
        <v>1.5997</v>
      </c>
      <c r="B5328" t="n">
        <v>1.4357</v>
      </c>
      <c r="C5328" t="n">
        <v>1.4826</v>
      </c>
    </row>
    <row r="5329">
      <c r="A5329" t="n">
        <v>1.423</v>
      </c>
      <c r="B5329" t="n">
        <v>1.4549</v>
      </c>
      <c r="C5329" t="n">
        <v>1.4434</v>
      </c>
    </row>
    <row r="5330">
      <c r="A5330" t="n">
        <v>1.7612</v>
      </c>
      <c r="B5330" t="n">
        <v>1.6511</v>
      </c>
      <c r="C5330" t="n">
        <v>1.4188</v>
      </c>
    </row>
    <row r="5331">
      <c r="A5331" t="n">
        <v>1.4436</v>
      </c>
      <c r="B5331" t="n">
        <v>1.8095</v>
      </c>
      <c r="C5331" t="n">
        <v>1.5867</v>
      </c>
    </row>
    <row r="5332">
      <c r="A5332" t="n">
        <v>1.6324</v>
      </c>
      <c r="B5332" t="n">
        <v>1.4773</v>
      </c>
      <c r="C5332" t="n">
        <v>1.58</v>
      </c>
    </row>
    <row r="5333">
      <c r="A5333" t="n">
        <v>1.5041</v>
      </c>
      <c r="B5333" t="n">
        <v>1.417</v>
      </c>
      <c r="C5333" t="n">
        <v>1.4146</v>
      </c>
    </row>
    <row r="5334">
      <c r="A5334" t="n">
        <v>1.6308</v>
      </c>
      <c r="B5334" t="n">
        <v>1.4344</v>
      </c>
      <c r="C5334" t="n">
        <v>1.4198</v>
      </c>
    </row>
    <row r="5335">
      <c r="A5335" t="n">
        <v>1.4851</v>
      </c>
      <c r="B5335" t="n">
        <v>1.6043</v>
      </c>
      <c r="C5335" t="n">
        <v>1.4137</v>
      </c>
    </row>
    <row r="5336">
      <c r="A5336" t="n">
        <v>1.4361</v>
      </c>
      <c r="B5336" t="n">
        <v>1.5175</v>
      </c>
      <c r="C5336" t="n">
        <v>1.4149</v>
      </c>
    </row>
    <row r="5337">
      <c r="A5337" t="n">
        <v>1.5965</v>
      </c>
      <c r="B5337" t="n">
        <v>1.6606</v>
      </c>
      <c r="C5337" t="n">
        <v>1.4461</v>
      </c>
    </row>
    <row r="5338">
      <c r="A5338" t="n">
        <v>1.5089</v>
      </c>
      <c r="B5338" t="n">
        <v>1.4873</v>
      </c>
      <c r="C5338" t="n">
        <v>1.4466</v>
      </c>
    </row>
    <row r="5339">
      <c r="A5339" t="n">
        <v>1.5886</v>
      </c>
      <c r="B5339" t="n">
        <v>1.4303</v>
      </c>
      <c r="C5339" t="n">
        <v>1.4302</v>
      </c>
    </row>
    <row r="5340">
      <c r="A5340" t="n">
        <v>1.5188</v>
      </c>
      <c r="B5340" t="n">
        <v>1.3939</v>
      </c>
      <c r="C5340" t="n">
        <v>1.4565</v>
      </c>
    </row>
    <row r="5341">
      <c r="A5341" t="n">
        <v>1.4168</v>
      </c>
      <c r="B5341" t="n">
        <v>1.4347</v>
      </c>
      <c r="C5341" t="n">
        <v>1.6734</v>
      </c>
    </row>
    <row r="5342">
      <c r="A5342" t="n">
        <v>1.3883</v>
      </c>
      <c r="B5342" t="n">
        <v>1.4332</v>
      </c>
      <c r="C5342" t="n">
        <v>1.5364</v>
      </c>
    </row>
    <row r="5343">
      <c r="A5343" t="n">
        <v>1.4177</v>
      </c>
      <c r="B5343" t="n">
        <v>1.6483</v>
      </c>
      <c r="C5343" t="n">
        <v>1.4205</v>
      </c>
    </row>
    <row r="5344">
      <c r="A5344" t="n">
        <v>1.4537</v>
      </c>
      <c r="B5344" t="n">
        <v>1.771</v>
      </c>
      <c r="C5344" t="n">
        <v>1.4317</v>
      </c>
    </row>
    <row r="5345">
      <c r="A5345" t="n">
        <v>1.5972</v>
      </c>
      <c r="B5345" t="n">
        <v>1.4741</v>
      </c>
      <c r="C5345" t="n">
        <v>1.4917</v>
      </c>
    </row>
    <row r="5346">
      <c r="A5346" t="n">
        <v>1.5399</v>
      </c>
      <c r="B5346" t="n">
        <v>1.7909</v>
      </c>
      <c r="C5346" t="n">
        <v>1.934</v>
      </c>
    </row>
    <row r="5347">
      <c r="A5347" t="n">
        <v>1.6577</v>
      </c>
      <c r="B5347" t="n">
        <v>1.648</v>
      </c>
      <c r="C5347" t="n">
        <v>1.5547</v>
      </c>
    </row>
    <row r="5348">
      <c r="A5348" t="n">
        <v>1.4501</v>
      </c>
      <c r="B5348" t="n">
        <v>1.5015</v>
      </c>
      <c r="C5348" t="n">
        <v>1.4413</v>
      </c>
    </row>
    <row r="5349">
      <c r="A5349" t="n">
        <v>1.4535</v>
      </c>
      <c r="B5349" t="n">
        <v>1.7099</v>
      </c>
      <c r="C5349" t="n">
        <v>1.3967</v>
      </c>
    </row>
    <row r="5350">
      <c r="A5350" t="n">
        <v>1.4305</v>
      </c>
      <c r="B5350" t="n">
        <v>1.6846</v>
      </c>
      <c r="C5350" t="n">
        <v>1.4258</v>
      </c>
    </row>
    <row r="5351">
      <c r="A5351" t="n">
        <v>1.4144</v>
      </c>
      <c r="B5351" t="n">
        <v>1.7693</v>
      </c>
      <c r="C5351" t="n">
        <v>1.4421</v>
      </c>
    </row>
    <row r="5352">
      <c r="A5352" t="n">
        <v>1.4535</v>
      </c>
      <c r="B5352" t="n">
        <v>1.5001</v>
      </c>
      <c r="C5352" t="n">
        <v>1.6977</v>
      </c>
    </row>
    <row r="5353">
      <c r="A5353" t="n">
        <v>1.4176</v>
      </c>
      <c r="B5353" t="n">
        <v>1.4594</v>
      </c>
      <c r="C5353" t="n">
        <v>1.7117</v>
      </c>
    </row>
    <row r="5354">
      <c r="A5354" t="n">
        <v>1.4526</v>
      </c>
      <c r="B5354" t="n">
        <v>1.4319</v>
      </c>
      <c r="C5354" t="n">
        <v>1.4862</v>
      </c>
    </row>
    <row r="5355">
      <c r="A5355" t="n">
        <v>1.6195</v>
      </c>
      <c r="B5355" t="n">
        <v>1.617</v>
      </c>
      <c r="C5355" t="n">
        <v>1.4499</v>
      </c>
    </row>
    <row r="5356">
      <c r="A5356" t="n">
        <v>1.4956</v>
      </c>
      <c r="B5356" t="n">
        <v>1.6049</v>
      </c>
      <c r="C5356" t="n">
        <v>1.4297</v>
      </c>
    </row>
    <row r="5357">
      <c r="A5357" t="n">
        <v>1.4306</v>
      </c>
      <c r="B5357" t="n">
        <v>1.4246</v>
      </c>
      <c r="C5357" t="n">
        <v>1.6611</v>
      </c>
    </row>
    <row r="5358">
      <c r="A5358" t="n">
        <v>1.3838</v>
      </c>
      <c r="B5358" t="n">
        <v>1.4776</v>
      </c>
      <c r="C5358" t="n">
        <v>1.81</v>
      </c>
    </row>
    <row r="5359">
      <c r="A5359" t="n">
        <v>1.4174</v>
      </c>
      <c r="B5359" t="n">
        <v>1.498</v>
      </c>
      <c r="C5359" t="n">
        <v>1.4998</v>
      </c>
    </row>
    <row r="5360">
      <c r="A5360" t="n">
        <v>1.4287</v>
      </c>
      <c r="B5360" t="n">
        <v>1.4081</v>
      </c>
      <c r="C5360" t="n">
        <v>1.4804</v>
      </c>
    </row>
    <row r="5361">
      <c r="A5361" t="n">
        <v>1.4033</v>
      </c>
      <c r="B5361" t="n">
        <v>1.4628</v>
      </c>
      <c r="C5361" t="n">
        <v>1.4427</v>
      </c>
    </row>
    <row r="5362">
      <c r="A5362" t="n">
        <v>1.9939</v>
      </c>
      <c r="B5362" t="n">
        <v>1.4637</v>
      </c>
      <c r="C5362" t="n">
        <v>1.5987</v>
      </c>
    </row>
    <row r="5363">
      <c r="A5363" t="n">
        <v>1.465</v>
      </c>
      <c r="B5363" t="n">
        <v>1.3984</v>
      </c>
      <c r="C5363" t="n">
        <v>1.758</v>
      </c>
    </row>
    <row r="5364">
      <c r="A5364" t="n">
        <v>1.4531</v>
      </c>
      <c r="B5364" t="n">
        <v>1.4931</v>
      </c>
      <c r="C5364" t="n">
        <v>1.469</v>
      </c>
    </row>
    <row r="5365">
      <c r="A5365" t="n">
        <v>1.4662</v>
      </c>
      <c r="B5365" t="n">
        <v>1.5303</v>
      </c>
      <c r="C5365" t="n">
        <v>1.4601</v>
      </c>
    </row>
    <row r="5366">
      <c r="A5366" t="n">
        <v>1.5847</v>
      </c>
      <c r="B5366" t="n">
        <v>1.5014</v>
      </c>
      <c r="C5366" t="n">
        <v>1.4377</v>
      </c>
    </row>
    <row r="5367">
      <c r="A5367" t="n">
        <v>1.5714</v>
      </c>
      <c r="B5367" t="n">
        <v>1.4436</v>
      </c>
      <c r="C5367" t="n">
        <v>1.5961</v>
      </c>
    </row>
    <row r="5368">
      <c r="A5368" t="n">
        <v>1.4304</v>
      </c>
      <c r="B5368" t="n">
        <v>1.4069</v>
      </c>
      <c r="C5368" t="n">
        <v>1.519</v>
      </c>
    </row>
    <row r="5369">
      <c r="A5369" t="n">
        <v>1.4247</v>
      </c>
      <c r="B5369" t="n">
        <v>1.4155</v>
      </c>
      <c r="C5369" t="n">
        <v>1.6424</v>
      </c>
    </row>
    <row r="5370">
      <c r="A5370" t="n">
        <v>1.4267</v>
      </c>
      <c r="B5370" t="n">
        <v>1.4937</v>
      </c>
      <c r="C5370" t="n">
        <v>1.4957</v>
      </c>
    </row>
    <row r="5371">
      <c r="A5371" t="n">
        <v>1.3921</v>
      </c>
      <c r="B5371" t="n">
        <v>1.71</v>
      </c>
      <c r="C5371" t="n">
        <v>1.4541</v>
      </c>
    </row>
    <row r="5372">
      <c r="A5372" t="n">
        <v>1.4038</v>
      </c>
      <c r="B5372" t="n">
        <v>1.6696</v>
      </c>
      <c r="C5372" t="n">
        <v>1.4034</v>
      </c>
    </row>
    <row r="5373">
      <c r="A5373" t="n">
        <v>1.4575</v>
      </c>
      <c r="B5373" t="n">
        <v>1.5027</v>
      </c>
      <c r="C5373" t="n">
        <v>1.4471</v>
      </c>
    </row>
    <row r="5374">
      <c r="A5374" t="n">
        <v>1.6311</v>
      </c>
      <c r="B5374" t="n">
        <v>1.4603</v>
      </c>
      <c r="C5374" t="n">
        <v>1.4572</v>
      </c>
    </row>
    <row r="5375">
      <c r="A5375" t="n">
        <v>1.8249</v>
      </c>
      <c r="B5375" t="n">
        <v>1.4433</v>
      </c>
      <c r="C5375" t="n">
        <v>1.4328</v>
      </c>
    </row>
    <row r="5376">
      <c r="A5376" t="n">
        <v>1.5064</v>
      </c>
      <c r="B5376" t="n">
        <v>1.6679</v>
      </c>
      <c r="C5376" t="n">
        <v>1.4689</v>
      </c>
    </row>
    <row r="5377">
      <c r="A5377" t="n">
        <v>1.4477</v>
      </c>
      <c r="B5377" t="n">
        <v>1.7477</v>
      </c>
      <c r="C5377" t="n">
        <v>1.6435</v>
      </c>
    </row>
    <row r="5378">
      <c r="A5378" t="n">
        <v>1.4108</v>
      </c>
      <c r="B5378" t="n">
        <v>2.0332</v>
      </c>
      <c r="C5378" t="n">
        <v>1.8321</v>
      </c>
    </row>
    <row r="5379">
      <c r="A5379" t="n">
        <v>1.5842</v>
      </c>
      <c r="B5379" t="n">
        <v>1.8177</v>
      </c>
      <c r="C5379" t="n">
        <v>1.5103</v>
      </c>
    </row>
    <row r="5380">
      <c r="A5380" t="n">
        <v>1.5323</v>
      </c>
      <c r="B5380" t="n">
        <v>1.524</v>
      </c>
      <c r="C5380" t="n">
        <v>1.4283</v>
      </c>
    </row>
    <row r="5381">
      <c r="A5381" t="n">
        <v>1.6088</v>
      </c>
      <c r="B5381" t="n">
        <v>1.44</v>
      </c>
      <c r="C5381" t="n">
        <v>1.5432</v>
      </c>
    </row>
    <row r="5382">
      <c r="A5382" t="n">
        <v>1.4933</v>
      </c>
      <c r="B5382" t="n">
        <v>1.4817</v>
      </c>
      <c r="C5382" t="n">
        <v>1.423</v>
      </c>
    </row>
    <row r="5383">
      <c r="A5383" t="n">
        <v>1.4614</v>
      </c>
      <c r="B5383" t="n">
        <v>1.6492</v>
      </c>
      <c r="C5383" t="n">
        <v>1.4304</v>
      </c>
    </row>
    <row r="5384">
      <c r="A5384" t="n">
        <v>1.3756</v>
      </c>
      <c r="B5384" t="n">
        <v>1.7427</v>
      </c>
      <c r="C5384" t="n">
        <v>1.4134</v>
      </c>
    </row>
    <row r="5385">
      <c r="A5385" t="n">
        <v>1.4157</v>
      </c>
      <c r="B5385" t="n">
        <v>1.4983</v>
      </c>
      <c r="C5385" t="n">
        <v>1.3942</v>
      </c>
    </row>
    <row r="5386">
      <c r="A5386" t="n">
        <v>1.4889</v>
      </c>
      <c r="B5386" t="n">
        <v>1.4536</v>
      </c>
      <c r="C5386" t="n">
        <v>1.4481</v>
      </c>
    </row>
    <row r="5387">
      <c r="A5387" t="n">
        <v>1.3868</v>
      </c>
      <c r="B5387" t="n">
        <v>1.4349</v>
      </c>
      <c r="C5387" t="n">
        <v>1.4497</v>
      </c>
    </row>
    <row r="5388">
      <c r="A5388" t="n">
        <v>1.4633</v>
      </c>
      <c r="B5388" t="n">
        <v>1.6255</v>
      </c>
      <c r="C5388" t="n">
        <v>1.6062</v>
      </c>
    </row>
    <row r="5389">
      <c r="A5389" t="n">
        <v>1.6022</v>
      </c>
      <c r="B5389" t="n">
        <v>1.5367</v>
      </c>
      <c r="C5389" t="n">
        <v>1.7615</v>
      </c>
    </row>
    <row r="5390">
      <c r="A5390" t="n">
        <v>1.4772</v>
      </c>
      <c r="B5390" t="n">
        <v>1.4241</v>
      </c>
      <c r="C5390" t="n">
        <v>1.5061</v>
      </c>
    </row>
    <row r="5391">
      <c r="A5391" t="n">
        <v>1.4352</v>
      </c>
      <c r="B5391" t="n">
        <v>1.4498</v>
      </c>
      <c r="C5391" t="n">
        <v>1.4304</v>
      </c>
    </row>
    <row r="5392">
      <c r="A5392" t="n">
        <v>1.4018</v>
      </c>
      <c r="B5392" t="n">
        <v>1.4187</v>
      </c>
      <c r="C5392" t="n">
        <v>1.4385</v>
      </c>
    </row>
    <row r="5393">
      <c r="A5393" t="n">
        <v>1.3976</v>
      </c>
      <c r="B5393" t="n">
        <v>1.4199</v>
      </c>
      <c r="C5393" t="n">
        <v>1.661</v>
      </c>
    </row>
    <row r="5394">
      <c r="A5394" t="n">
        <v>1.9769</v>
      </c>
      <c r="B5394" t="n">
        <v>1.4471</v>
      </c>
      <c r="C5394" t="n">
        <v>1.5682</v>
      </c>
    </row>
    <row r="5395">
      <c r="A5395" t="n">
        <v>1.5258</v>
      </c>
      <c r="B5395" t="n">
        <v>1.488</v>
      </c>
      <c r="C5395" t="n">
        <v>1.4272</v>
      </c>
    </row>
    <row r="5396">
      <c r="A5396" t="n">
        <v>1.4313</v>
      </c>
      <c r="B5396" t="n">
        <v>1.6277</v>
      </c>
      <c r="C5396" t="n">
        <v>1.4693</v>
      </c>
    </row>
    <row r="5397">
      <c r="A5397" t="n">
        <v>1.4093</v>
      </c>
      <c r="B5397" t="n">
        <v>1.7675</v>
      </c>
      <c r="C5397" t="n">
        <v>1.4076</v>
      </c>
    </row>
    <row r="5398">
      <c r="A5398" t="n">
        <v>1.4222</v>
      </c>
      <c r="B5398" t="n">
        <v>1.5174</v>
      </c>
      <c r="C5398" t="n">
        <v>1.4221</v>
      </c>
    </row>
    <row r="5399">
      <c r="A5399" t="n">
        <v>1.468</v>
      </c>
      <c r="B5399" t="n">
        <v>1.4494</v>
      </c>
      <c r="C5399" t="n">
        <v>1.4644</v>
      </c>
    </row>
    <row r="5400">
      <c r="A5400" t="n">
        <v>1.6066</v>
      </c>
      <c r="B5400" t="n">
        <v>1.468</v>
      </c>
      <c r="C5400" t="n">
        <v>1.4246</v>
      </c>
    </row>
    <row r="5401">
      <c r="A5401" t="n">
        <v>1.5373</v>
      </c>
      <c r="B5401" t="n">
        <v>1.6463</v>
      </c>
      <c r="C5401" t="n">
        <v>1.6372</v>
      </c>
    </row>
    <row r="5402">
      <c r="A5402" t="n">
        <v>1.6194</v>
      </c>
      <c r="B5402" t="n">
        <v>1.7354</v>
      </c>
      <c r="C5402" t="n">
        <v>1.7286</v>
      </c>
    </row>
    <row r="5403">
      <c r="A5403" t="n">
        <v>1.4757</v>
      </c>
      <c r="B5403" t="n">
        <v>1.5138</v>
      </c>
      <c r="C5403" t="n">
        <v>1.4757</v>
      </c>
    </row>
    <row r="5404">
      <c r="A5404" t="n">
        <v>1.4689</v>
      </c>
      <c r="B5404" t="n">
        <v>1.4484</v>
      </c>
      <c r="C5404" t="n">
        <v>1.4551</v>
      </c>
    </row>
    <row r="5405">
      <c r="A5405" t="n">
        <v>1.7066</v>
      </c>
      <c r="B5405" t="n">
        <v>1.4603</v>
      </c>
      <c r="C5405" t="n">
        <v>1.4455</v>
      </c>
    </row>
    <row r="5406">
      <c r="A5406" t="n">
        <v>1.5443</v>
      </c>
      <c r="B5406" t="n">
        <v>1.6131</v>
      </c>
      <c r="C5406" t="n">
        <v>1.3921</v>
      </c>
    </row>
    <row r="5407">
      <c r="A5407" t="n">
        <v>1.6433</v>
      </c>
      <c r="B5407" t="n">
        <v>1.8312</v>
      </c>
      <c r="C5407" t="n">
        <v>1.4483</v>
      </c>
    </row>
    <row r="5408">
      <c r="A5408" t="n">
        <v>1.4762</v>
      </c>
      <c r="B5408" t="n">
        <v>1.4827</v>
      </c>
      <c r="C5408" t="n">
        <v>1.6317</v>
      </c>
    </row>
    <row r="5409">
      <c r="A5409" t="n">
        <v>1.451</v>
      </c>
      <c r="B5409" t="n">
        <v>1.4687</v>
      </c>
      <c r="C5409" t="n">
        <v>1.5152</v>
      </c>
    </row>
    <row r="5410">
      <c r="A5410" t="n">
        <v>1.5937</v>
      </c>
      <c r="B5410" t="n">
        <v>1.7815</v>
      </c>
      <c r="C5410" t="n">
        <v>1.9913</v>
      </c>
    </row>
    <row r="5411">
      <c r="A5411" t="n">
        <v>1.5024</v>
      </c>
      <c r="B5411" t="n">
        <v>1.4452</v>
      </c>
      <c r="C5411" t="n">
        <v>1.726</v>
      </c>
    </row>
    <row r="5412">
      <c r="A5412" t="n">
        <v>1.6277</v>
      </c>
      <c r="B5412" t="n">
        <v>1.6504</v>
      </c>
      <c r="C5412" t="n">
        <v>1.6633</v>
      </c>
    </row>
    <row r="5413">
      <c r="A5413" t="n">
        <v>1.5157</v>
      </c>
      <c r="B5413" t="n">
        <v>1.5147</v>
      </c>
      <c r="C5413" t="n">
        <v>1.4915</v>
      </c>
    </row>
    <row r="5414">
      <c r="A5414" t="n">
        <v>1.4099</v>
      </c>
      <c r="B5414" t="n">
        <v>1.4268</v>
      </c>
      <c r="C5414" t="n">
        <v>1.665</v>
      </c>
    </row>
    <row r="5415">
      <c r="A5415" t="n">
        <v>1.3973</v>
      </c>
      <c r="B5415" t="n">
        <v>1.4618</v>
      </c>
      <c r="C5415" t="n">
        <v>1.7333</v>
      </c>
    </row>
    <row r="5416">
      <c r="A5416" t="n">
        <v>1.429</v>
      </c>
      <c r="B5416" t="n">
        <v>1.6559</v>
      </c>
      <c r="C5416" t="n">
        <v>1.5197</v>
      </c>
    </row>
    <row r="5417">
      <c r="A5417" t="n">
        <v>1.4504</v>
      </c>
      <c r="B5417" t="n">
        <v>1.739</v>
      </c>
      <c r="C5417" t="n">
        <v>1.4478</v>
      </c>
    </row>
    <row r="5418">
      <c r="A5418" t="n">
        <v>1.6172</v>
      </c>
      <c r="B5418" t="n">
        <v>1.5042</v>
      </c>
      <c r="C5418" t="n">
        <v>1.3914</v>
      </c>
    </row>
    <row r="5419">
      <c r="A5419" t="n">
        <v>1.7397</v>
      </c>
      <c r="B5419" t="n">
        <v>1.446</v>
      </c>
      <c r="C5419" t="n">
        <v>1.4257</v>
      </c>
    </row>
    <row r="5420">
      <c r="A5420" t="n">
        <v>1.4622</v>
      </c>
      <c r="B5420" t="n">
        <v>1.4323</v>
      </c>
      <c r="C5420" t="n">
        <v>1.4278</v>
      </c>
    </row>
    <row r="5421">
      <c r="A5421" t="n">
        <v>1.4244</v>
      </c>
      <c r="B5421" t="n">
        <v>1.6202</v>
      </c>
      <c r="C5421" t="n">
        <v>1.6211</v>
      </c>
    </row>
    <row r="5422">
      <c r="A5422" t="n">
        <v>1.4819</v>
      </c>
      <c r="B5422" t="n">
        <v>1.5635</v>
      </c>
      <c r="C5422" t="n">
        <v>1.5647</v>
      </c>
    </row>
    <row r="5423">
      <c r="A5423" t="n">
        <v>1.3851</v>
      </c>
      <c r="B5423" t="n">
        <v>1.705</v>
      </c>
      <c r="C5423" t="n">
        <v>1.6642</v>
      </c>
    </row>
    <row r="5424">
      <c r="A5424" t="n">
        <v>1.4532</v>
      </c>
      <c r="B5424" t="n">
        <v>1.5015</v>
      </c>
      <c r="C5424" t="n">
        <v>1.4711</v>
      </c>
    </row>
    <row r="5425">
      <c r="A5425" t="n">
        <v>1.6764</v>
      </c>
      <c r="B5425" t="n">
        <v>1.5076</v>
      </c>
      <c r="C5425" t="n">
        <v>1.4415</v>
      </c>
    </row>
    <row r="5426">
      <c r="A5426" t="n">
        <v>1.8043</v>
      </c>
      <c r="B5426" t="n">
        <v>1.6507</v>
      </c>
      <c r="C5426" t="n">
        <v>1.6191</v>
      </c>
    </row>
    <row r="5427">
      <c r="A5427" t="n">
        <v>1.4538</v>
      </c>
      <c r="B5427" t="n">
        <v>1.7537</v>
      </c>
      <c r="C5427" t="n">
        <v>1.5534</v>
      </c>
    </row>
    <row r="5428">
      <c r="A5428" t="n">
        <v>1.4159</v>
      </c>
      <c r="B5428" t="n">
        <v>1.5312</v>
      </c>
      <c r="C5428" t="n">
        <v>1.6968</v>
      </c>
    </row>
    <row r="5429">
      <c r="A5429" t="n">
        <v>1.4367</v>
      </c>
      <c r="B5429" t="n">
        <v>1.4427</v>
      </c>
      <c r="C5429" t="n">
        <v>1.5015</v>
      </c>
    </row>
    <row r="5430">
      <c r="A5430" t="n">
        <v>1.4433</v>
      </c>
      <c r="B5430" t="n">
        <v>1.4871</v>
      </c>
      <c r="C5430" t="n">
        <v>1.4317</v>
      </c>
    </row>
    <row r="5431">
      <c r="A5431" t="n">
        <v>1.4029</v>
      </c>
      <c r="B5431" t="n">
        <v>1.6426</v>
      </c>
      <c r="C5431" t="n">
        <v>1.4196</v>
      </c>
    </row>
    <row r="5432">
      <c r="A5432" t="n">
        <v>1.4231</v>
      </c>
      <c r="B5432" t="n">
        <v>1.7011</v>
      </c>
      <c r="C5432" t="n">
        <v>1.4298</v>
      </c>
    </row>
    <row r="5433">
      <c r="A5433" t="n">
        <v>1.6304</v>
      </c>
      <c r="B5433" t="n">
        <v>1.503</v>
      </c>
      <c r="C5433" t="n">
        <v>1.4343</v>
      </c>
    </row>
    <row r="5434">
      <c r="A5434" t="n">
        <v>1.5079</v>
      </c>
      <c r="B5434" t="n">
        <v>1.4642</v>
      </c>
      <c r="C5434" t="n">
        <v>1.7136</v>
      </c>
    </row>
    <row r="5435">
      <c r="A5435" t="n">
        <v>1.4338</v>
      </c>
      <c r="B5435" t="n">
        <v>1.4224</v>
      </c>
      <c r="C5435" t="n">
        <v>1.6742</v>
      </c>
    </row>
    <row r="5436">
      <c r="A5436" t="n">
        <v>1.4195</v>
      </c>
      <c r="B5436" t="n">
        <v>1.6036</v>
      </c>
      <c r="C5436" t="n">
        <v>1.4732</v>
      </c>
    </row>
    <row r="5437">
      <c r="A5437" t="n">
        <v>1.411</v>
      </c>
      <c r="B5437" t="n">
        <v>1.5451</v>
      </c>
      <c r="C5437" t="n">
        <v>1.4387</v>
      </c>
    </row>
    <row r="5438">
      <c r="A5438" t="n">
        <v>1.4248</v>
      </c>
      <c r="B5438" t="n">
        <v>1.677</v>
      </c>
      <c r="C5438" t="n">
        <v>1.4307</v>
      </c>
    </row>
    <row r="5439">
      <c r="A5439" t="n">
        <v>1.6745</v>
      </c>
      <c r="B5439" t="n">
        <v>1.4986</v>
      </c>
      <c r="C5439" t="n">
        <v>1.641</v>
      </c>
    </row>
    <row r="5440">
      <c r="A5440" t="n">
        <v>1.7121</v>
      </c>
      <c r="B5440" t="n">
        <v>1.4745</v>
      </c>
      <c r="C5440" t="n">
        <v>1.6841</v>
      </c>
    </row>
    <row r="5441">
      <c r="A5441" t="n">
        <v>1.463</v>
      </c>
      <c r="B5441" t="n">
        <v>1.6487</v>
      </c>
      <c r="C5441" t="n">
        <v>1.4747</v>
      </c>
    </row>
    <row r="5442">
      <c r="A5442" t="n">
        <v>1.4228</v>
      </c>
      <c r="B5442" t="n">
        <v>2.05</v>
      </c>
      <c r="C5442" t="n">
        <v>1.7015</v>
      </c>
    </row>
    <row r="5443">
      <c r="A5443" t="n">
        <v>1.4322</v>
      </c>
      <c r="B5443" t="n">
        <v>1.768</v>
      </c>
      <c r="C5443" t="n">
        <v>1.4676</v>
      </c>
    </row>
    <row r="5444">
      <c r="A5444" t="n">
        <v>1.5874</v>
      </c>
      <c r="B5444" t="n">
        <v>1.5215</v>
      </c>
      <c r="C5444" t="n">
        <v>1.4321</v>
      </c>
    </row>
    <row r="5445">
      <c r="A5445" t="n">
        <v>1.5422</v>
      </c>
      <c r="B5445" t="n">
        <v>1.6775</v>
      </c>
      <c r="C5445" t="n">
        <v>1.5124</v>
      </c>
    </row>
    <row r="5446">
      <c r="A5446" t="n">
        <v>1.6448</v>
      </c>
      <c r="B5446" t="n">
        <v>1.4975</v>
      </c>
      <c r="C5446" t="n">
        <v>1.6573</v>
      </c>
    </row>
    <row r="5447">
      <c r="A5447" t="n">
        <v>1.4691</v>
      </c>
      <c r="B5447" t="n">
        <v>1.4273</v>
      </c>
      <c r="C5447" t="n">
        <v>1.4909</v>
      </c>
    </row>
    <row r="5448">
      <c r="A5448" t="n">
        <v>1.4531</v>
      </c>
      <c r="B5448" t="n">
        <v>1.421</v>
      </c>
      <c r="C5448" t="n">
        <v>1.4351</v>
      </c>
    </row>
    <row r="5449">
      <c r="A5449" t="n">
        <v>1.5946</v>
      </c>
      <c r="B5449" t="n">
        <v>1.4368</v>
      </c>
      <c r="C5449" t="n">
        <v>1.6283</v>
      </c>
    </row>
    <row r="5450">
      <c r="A5450" t="n">
        <v>1.492</v>
      </c>
      <c r="B5450" t="n">
        <v>1.4355</v>
      </c>
      <c r="C5450" t="n">
        <v>1.5348</v>
      </c>
    </row>
    <row r="5451">
      <c r="A5451" t="n">
        <v>1.6439</v>
      </c>
      <c r="B5451" t="n">
        <v>1.6869</v>
      </c>
      <c r="C5451" t="n">
        <v>1.6395</v>
      </c>
    </row>
    <row r="5452">
      <c r="A5452" t="n">
        <v>1.4949</v>
      </c>
      <c r="B5452" t="n">
        <v>1.7132</v>
      </c>
      <c r="C5452" t="n">
        <v>1.4814</v>
      </c>
    </row>
    <row r="5453">
      <c r="A5453" t="n">
        <v>1.3949</v>
      </c>
      <c r="B5453" t="n">
        <v>1.4942</v>
      </c>
      <c r="C5453" t="n">
        <v>1.4475</v>
      </c>
    </row>
    <row r="5454">
      <c r="A5454" t="n">
        <v>1.3933</v>
      </c>
      <c r="B5454" t="n">
        <v>1.4524</v>
      </c>
      <c r="C5454" t="n">
        <v>1.4043</v>
      </c>
    </row>
    <row r="5455">
      <c r="A5455" t="n">
        <v>1.4455</v>
      </c>
      <c r="B5455" t="n">
        <v>1.4669</v>
      </c>
      <c r="C5455" t="n">
        <v>1.4178</v>
      </c>
    </row>
    <row r="5456">
      <c r="A5456" t="n">
        <v>1.4348</v>
      </c>
      <c r="B5456" t="n">
        <v>1.657</v>
      </c>
      <c r="C5456" t="n">
        <v>1.4492</v>
      </c>
    </row>
    <row r="5457">
      <c r="A5457" t="n">
        <v>1.6883</v>
      </c>
      <c r="B5457" t="n">
        <v>1.7112</v>
      </c>
      <c r="C5457" t="n">
        <v>1.4233</v>
      </c>
    </row>
    <row r="5458">
      <c r="A5458" t="n">
        <v>2.1548</v>
      </c>
      <c r="B5458" t="n">
        <v>1.4781</v>
      </c>
      <c r="C5458" t="n">
        <v>1.4879</v>
      </c>
    </row>
    <row r="5459">
      <c r="A5459" t="n">
        <v>1.6375</v>
      </c>
      <c r="B5459" t="n">
        <v>1.4303</v>
      </c>
      <c r="C5459" t="n">
        <v>1.4183</v>
      </c>
    </row>
    <row r="5460">
      <c r="A5460" t="n">
        <v>1.5535</v>
      </c>
      <c r="B5460" t="n">
        <v>1.4378</v>
      </c>
      <c r="C5460" t="n">
        <v>1.4309</v>
      </c>
    </row>
    <row r="5461">
      <c r="A5461" t="n">
        <v>1.639</v>
      </c>
      <c r="B5461" t="n">
        <v>1.6334</v>
      </c>
      <c r="C5461" t="n">
        <v>1.7711</v>
      </c>
    </row>
    <row r="5462">
      <c r="A5462" t="n">
        <v>1.4526</v>
      </c>
      <c r="B5462" t="n">
        <v>1.7547</v>
      </c>
      <c r="C5462" t="n">
        <v>1.6628</v>
      </c>
    </row>
    <row r="5463">
      <c r="A5463" t="n">
        <v>1.451</v>
      </c>
      <c r="B5463" t="n">
        <v>1.4889</v>
      </c>
      <c r="C5463" t="n">
        <v>1.5317</v>
      </c>
    </row>
    <row r="5464">
      <c r="A5464" t="n">
        <v>1.3979</v>
      </c>
      <c r="B5464" t="n">
        <v>1.4406</v>
      </c>
      <c r="C5464" t="n">
        <v>1.6682</v>
      </c>
    </row>
    <row r="5465">
      <c r="A5465" t="n">
        <v>1.399</v>
      </c>
      <c r="B5465" t="n">
        <v>1.4038</v>
      </c>
      <c r="C5465" t="n">
        <v>1.4953</v>
      </c>
    </row>
    <row r="5466">
      <c r="A5466" t="n">
        <v>1.4344</v>
      </c>
      <c r="B5466" t="n">
        <v>1.6121</v>
      </c>
      <c r="C5466" t="n">
        <v>1.4146</v>
      </c>
    </row>
    <row r="5467">
      <c r="A5467" t="n">
        <v>1.6835</v>
      </c>
      <c r="B5467" t="n">
        <v>1.5338</v>
      </c>
      <c r="C5467" t="n">
        <v>1.3953</v>
      </c>
    </row>
    <row r="5468">
      <c r="A5468" t="n">
        <v>1.7136</v>
      </c>
      <c r="B5468" t="n">
        <v>1.6665</v>
      </c>
      <c r="C5468" t="n">
        <v>1.4156</v>
      </c>
    </row>
    <row r="5469">
      <c r="A5469" t="n">
        <v>1.48</v>
      </c>
      <c r="B5469" t="n">
        <v>1.4772</v>
      </c>
      <c r="C5469" t="n">
        <v>1.4567</v>
      </c>
    </row>
    <row r="5470">
      <c r="A5470" t="n">
        <v>1.4578</v>
      </c>
      <c r="B5470" t="n">
        <v>1.4574</v>
      </c>
      <c r="C5470" t="n">
        <v>1.7071</v>
      </c>
    </row>
    <row r="5471">
      <c r="A5471" t="n">
        <v>1.4238</v>
      </c>
      <c r="B5471" t="n">
        <v>1.3926</v>
      </c>
      <c r="C5471" t="n">
        <v>1.6746</v>
      </c>
    </row>
    <row r="5472">
      <c r="A5472" t="n">
        <v>1.6779</v>
      </c>
      <c r="B5472" t="n">
        <v>1.4133</v>
      </c>
      <c r="C5472" t="n">
        <v>1.4732</v>
      </c>
    </row>
    <row r="5473">
      <c r="A5473" t="n">
        <v>1.6852</v>
      </c>
      <c r="B5473" t="n">
        <v>1.4628</v>
      </c>
      <c r="C5473" t="n">
        <v>1.4717</v>
      </c>
    </row>
    <row r="5474">
      <c r="A5474" t="n">
        <v>1.4663</v>
      </c>
      <c r="B5474" t="n">
        <v>2.0558</v>
      </c>
      <c r="C5474" t="n">
        <v>2.0213</v>
      </c>
    </row>
    <row r="5475">
      <c r="A5475" t="n">
        <v>1.4406</v>
      </c>
      <c r="B5475" t="n">
        <v>1.7224</v>
      </c>
      <c r="C5475" t="n">
        <v>1.5137</v>
      </c>
    </row>
    <row r="5476">
      <c r="A5476" t="n">
        <v>1.4254</v>
      </c>
      <c r="B5476" t="n">
        <v>1.6592</v>
      </c>
      <c r="C5476" t="n">
        <v>1.4335</v>
      </c>
    </row>
    <row r="5477">
      <c r="A5477" t="n">
        <v>1.5941</v>
      </c>
      <c r="B5477" t="n">
        <v>1.7242</v>
      </c>
      <c r="C5477" t="n">
        <v>1.4236</v>
      </c>
    </row>
    <row r="5478">
      <c r="A5478" t="n">
        <v>1.5215</v>
      </c>
      <c r="B5478" t="n">
        <v>1.4847</v>
      </c>
      <c r="C5478" t="n">
        <v>1.4156</v>
      </c>
    </row>
    <row r="5479">
      <c r="A5479" t="n">
        <v>1.6188</v>
      </c>
      <c r="B5479" t="n">
        <v>1.4516</v>
      </c>
      <c r="C5479" t="n">
        <v>1.4439</v>
      </c>
    </row>
    <row r="5480">
      <c r="A5480" t="n">
        <v>1.4801</v>
      </c>
      <c r="B5480" t="n">
        <v>1.455</v>
      </c>
      <c r="C5480" t="n">
        <v>1.7138</v>
      </c>
    </row>
    <row r="5481">
      <c r="A5481" t="n">
        <v>1.4317</v>
      </c>
      <c r="B5481" t="n">
        <v>1.67</v>
      </c>
      <c r="C5481" t="n">
        <v>1.7241</v>
      </c>
    </row>
    <row r="5482">
      <c r="A5482" t="n">
        <v>1.4205</v>
      </c>
      <c r="B5482" t="n">
        <v>1.8378</v>
      </c>
      <c r="C5482" t="n">
        <v>1.4996</v>
      </c>
    </row>
    <row r="5483">
      <c r="A5483" t="n">
        <v>1.4136</v>
      </c>
      <c r="B5483" t="n">
        <v>1.452</v>
      </c>
      <c r="C5483" t="n">
        <v>1.4544</v>
      </c>
    </row>
    <row r="5484">
      <c r="A5484" t="n">
        <v>1.434</v>
      </c>
      <c r="B5484" t="n">
        <v>1.4544</v>
      </c>
      <c r="C5484" t="n">
        <v>1.429</v>
      </c>
    </row>
    <row r="5485">
      <c r="A5485" t="n">
        <v>1.6524</v>
      </c>
      <c r="B5485" t="n">
        <v>1.4288</v>
      </c>
      <c r="C5485" t="n">
        <v>1.6811</v>
      </c>
    </row>
    <row r="5486">
      <c r="A5486" t="n">
        <v>1.6794</v>
      </c>
      <c r="B5486" t="n">
        <v>1.6119</v>
      </c>
      <c r="C5486" t="n">
        <v>1.7324</v>
      </c>
    </row>
    <row r="5487">
      <c r="A5487" t="n">
        <v>1.4736</v>
      </c>
      <c r="B5487" t="n">
        <v>1.5459</v>
      </c>
      <c r="C5487" t="n">
        <v>1.473</v>
      </c>
    </row>
    <row r="5488">
      <c r="A5488" t="n">
        <v>1.4278</v>
      </c>
      <c r="B5488" t="n">
        <v>1.6596</v>
      </c>
      <c r="C5488" t="n">
        <v>1.4321</v>
      </c>
    </row>
    <row r="5489">
      <c r="A5489" t="n">
        <v>1.4119</v>
      </c>
      <c r="B5489" t="n">
        <v>1.4496</v>
      </c>
      <c r="C5489" t="n">
        <v>1.4261</v>
      </c>
    </row>
    <row r="5490">
      <c r="A5490" t="n">
        <v>1.9794</v>
      </c>
      <c r="B5490" t="n">
        <v>1.4274</v>
      </c>
      <c r="C5490" t="n">
        <v>1.6036</v>
      </c>
    </row>
    <row r="5491">
      <c r="A5491" t="n">
        <v>1.7105</v>
      </c>
      <c r="B5491" t="n">
        <v>1.4003</v>
      </c>
      <c r="C5491" t="n">
        <v>1.5537</v>
      </c>
    </row>
    <row r="5492">
      <c r="A5492" t="n">
        <v>1.5395</v>
      </c>
      <c r="B5492" t="n">
        <v>1.4122</v>
      </c>
      <c r="C5492" t="n">
        <v>1.6632</v>
      </c>
    </row>
    <row r="5493">
      <c r="A5493" t="n">
        <v>1.5231</v>
      </c>
      <c r="B5493" t="n">
        <v>1.4375</v>
      </c>
      <c r="C5493" t="n">
        <v>1.4747</v>
      </c>
    </row>
    <row r="5494">
      <c r="A5494" t="n">
        <v>1.4117</v>
      </c>
      <c r="B5494" t="n">
        <v>1.6397</v>
      </c>
      <c r="C5494" t="n">
        <v>1.4465</v>
      </c>
    </row>
    <row r="5495">
      <c r="A5495" t="n">
        <v>1.3631</v>
      </c>
      <c r="B5495" t="n">
        <v>1.6628</v>
      </c>
      <c r="C5495" t="n">
        <v>1.4061</v>
      </c>
    </row>
    <row r="5496">
      <c r="A5496" t="n">
        <v>1.4459</v>
      </c>
      <c r="B5496" t="n">
        <v>1.4705</v>
      </c>
      <c r="C5496" t="n">
        <v>1.4328</v>
      </c>
    </row>
    <row r="5497">
      <c r="A5497" t="n">
        <v>1.703</v>
      </c>
      <c r="B5497" t="n">
        <v>1.4715</v>
      </c>
      <c r="C5497" t="n">
        <v>1.4243</v>
      </c>
    </row>
    <row r="5498">
      <c r="A5498" t="n">
        <v>1.4658</v>
      </c>
      <c r="B5498" t="n">
        <v>1.4219</v>
      </c>
      <c r="C5498" t="n">
        <v>1.3882</v>
      </c>
    </row>
    <row r="5499">
      <c r="A5499" t="n">
        <v>1.4421</v>
      </c>
      <c r="B5499" t="n">
        <v>1.6043</v>
      </c>
      <c r="C5499" t="n">
        <v>1.5128</v>
      </c>
    </row>
    <row r="5500">
      <c r="A5500" t="n">
        <v>1.6094</v>
      </c>
      <c r="B5500" t="n">
        <v>1.6044</v>
      </c>
      <c r="C5500" t="n">
        <v>1.6792</v>
      </c>
    </row>
    <row r="5501">
      <c r="A5501" t="n">
        <v>1.5059</v>
      </c>
      <c r="B5501" t="n">
        <v>1.422</v>
      </c>
      <c r="C5501" t="n">
        <v>1.5158</v>
      </c>
    </row>
    <row r="5502">
      <c r="A5502" t="n">
        <v>1.6085</v>
      </c>
      <c r="B5502" t="n">
        <v>1.4587</v>
      </c>
      <c r="C5502" t="n">
        <v>1.5026</v>
      </c>
    </row>
    <row r="5503">
      <c r="A5503" t="n">
        <v>1.5457</v>
      </c>
      <c r="B5503" t="n">
        <v>1.4285</v>
      </c>
      <c r="C5503" t="n">
        <v>1.6657</v>
      </c>
    </row>
    <row r="5504">
      <c r="A5504" t="n">
        <v>1.4121</v>
      </c>
      <c r="B5504" t="n">
        <v>1.3912</v>
      </c>
      <c r="C5504" t="n">
        <v>1.7531</v>
      </c>
    </row>
    <row r="5505">
      <c r="A5505" t="n">
        <v>1.4101</v>
      </c>
      <c r="B5505" t="n">
        <v>1.4472</v>
      </c>
      <c r="C5505" t="n">
        <v>1.4745</v>
      </c>
    </row>
    <row r="5506">
      <c r="A5506" t="n">
        <v>1.4272</v>
      </c>
      <c r="B5506" t="n">
        <v>1.8214</v>
      </c>
      <c r="C5506" t="n">
        <v>1.7899</v>
      </c>
    </row>
    <row r="5507">
      <c r="A5507" t="n">
        <v>1.4425</v>
      </c>
      <c r="B5507" t="n">
        <v>1.4876</v>
      </c>
      <c r="C5507" t="n">
        <v>1.679</v>
      </c>
    </row>
    <row r="5508">
      <c r="A5508" t="n">
        <v>1.6692</v>
      </c>
      <c r="B5508" t="n">
        <v>1.658</v>
      </c>
      <c r="C5508" t="n">
        <v>1.5155</v>
      </c>
    </row>
    <row r="5509">
      <c r="A5509" t="n">
        <v>1.7018</v>
      </c>
      <c r="B5509" t="n">
        <v>1.5067</v>
      </c>
      <c r="C5509" t="n">
        <v>1.6521</v>
      </c>
    </row>
    <row r="5510">
      <c r="A5510" t="n">
        <v>1.4495</v>
      </c>
      <c r="B5510" t="n">
        <v>1.4461</v>
      </c>
      <c r="C5510" t="n">
        <v>1.719</v>
      </c>
    </row>
    <row r="5511">
      <c r="A5511" t="n">
        <v>1.452</v>
      </c>
      <c r="B5511" t="n">
        <v>1.4692</v>
      </c>
      <c r="C5511" t="n">
        <v>1.5143</v>
      </c>
    </row>
    <row r="5512">
      <c r="A5512" t="n">
        <v>1.4404</v>
      </c>
      <c r="B5512" t="n">
        <v>1.6975</v>
      </c>
      <c r="C5512" t="n">
        <v>1.611</v>
      </c>
    </row>
    <row r="5513">
      <c r="A5513" t="n">
        <v>1.3683</v>
      </c>
      <c r="B5513" t="n">
        <v>1.6904</v>
      </c>
      <c r="C5513" t="n">
        <v>1.5222</v>
      </c>
    </row>
    <row r="5514">
      <c r="A5514" t="n">
        <v>1.4529</v>
      </c>
      <c r="B5514" t="n">
        <v>1.5239</v>
      </c>
      <c r="C5514" t="n">
        <v>1.3852</v>
      </c>
    </row>
    <row r="5515">
      <c r="A5515" t="n">
        <v>1.7193</v>
      </c>
      <c r="B5515" t="n">
        <v>1.5172</v>
      </c>
      <c r="C5515" t="n">
        <v>1.4318</v>
      </c>
    </row>
    <row r="5516">
      <c r="A5516" t="n">
        <v>1.4951</v>
      </c>
      <c r="B5516" t="n">
        <v>1.426</v>
      </c>
      <c r="C5516" t="n">
        <v>1.4234</v>
      </c>
    </row>
    <row r="5517">
      <c r="A5517" t="n">
        <v>1.6199</v>
      </c>
      <c r="B5517" t="n">
        <v>1.6443</v>
      </c>
      <c r="C5517" t="n">
        <v>1.4526</v>
      </c>
    </row>
    <row r="5518">
      <c r="A5518" t="n">
        <v>1.7051</v>
      </c>
      <c r="B5518" t="n">
        <v>1.7332</v>
      </c>
      <c r="C5518" t="n">
        <v>1.6873</v>
      </c>
    </row>
    <row r="5519">
      <c r="A5519" t="n">
        <v>1.4973</v>
      </c>
      <c r="B5519" t="n">
        <v>1.4752</v>
      </c>
      <c r="C5519" t="n">
        <v>1.7118</v>
      </c>
    </row>
    <row r="5520">
      <c r="A5520" t="n">
        <v>1.6528</v>
      </c>
      <c r="B5520" t="n">
        <v>1.4649</v>
      </c>
      <c r="C5520" t="n">
        <v>1.4592</v>
      </c>
    </row>
    <row r="5521">
      <c r="A5521" t="n">
        <v>1.4918</v>
      </c>
      <c r="B5521" t="n">
        <v>1.4391</v>
      </c>
      <c r="C5521" t="n">
        <v>1.4593</v>
      </c>
    </row>
    <row r="5522">
      <c r="A5522" t="n">
        <v>1.7521</v>
      </c>
      <c r="B5522" t="n">
        <v>1.6172</v>
      </c>
      <c r="C5522" t="n">
        <v>1.4341</v>
      </c>
    </row>
    <row r="5523">
      <c r="A5523" t="n">
        <v>1.611</v>
      </c>
      <c r="B5523" t="n">
        <v>1.7374</v>
      </c>
      <c r="C5523" t="n">
        <v>1.5957</v>
      </c>
    </row>
    <row r="5524">
      <c r="A5524" t="n">
        <v>1.7223</v>
      </c>
      <c r="B5524" t="n">
        <v>1.49</v>
      </c>
      <c r="C5524" t="n">
        <v>1.787</v>
      </c>
    </row>
    <row r="5525">
      <c r="A5525" t="n">
        <v>1.4744</v>
      </c>
      <c r="B5525" t="n">
        <v>1.4427</v>
      </c>
      <c r="C5525" t="n">
        <v>1.4979</v>
      </c>
    </row>
    <row r="5526">
      <c r="A5526" t="n">
        <v>1.4482</v>
      </c>
      <c r="B5526" t="n">
        <v>1.4452</v>
      </c>
      <c r="C5526" t="n">
        <v>1.4366</v>
      </c>
    </row>
    <row r="5527">
      <c r="A5527" t="n">
        <v>1.4352</v>
      </c>
      <c r="B5527" t="n">
        <v>1.5984</v>
      </c>
      <c r="C5527" t="n">
        <v>1.4508</v>
      </c>
    </row>
    <row r="5528">
      <c r="A5528" t="n">
        <v>1.3819</v>
      </c>
      <c r="B5528" t="n">
        <v>1.5211</v>
      </c>
      <c r="C5528" t="n">
        <v>1.6601</v>
      </c>
    </row>
    <row r="5529">
      <c r="A5529" t="n">
        <v>1.4721</v>
      </c>
      <c r="B5529" t="n">
        <v>1.6549</v>
      </c>
      <c r="C5529" t="n">
        <v>1.4969</v>
      </c>
    </row>
    <row r="5530">
      <c r="A5530" t="n">
        <v>1.6551</v>
      </c>
      <c r="B5530" t="n">
        <v>1.4741</v>
      </c>
      <c r="C5530" t="n">
        <v>1.4121</v>
      </c>
    </row>
    <row r="5531">
      <c r="A5531" t="n">
        <v>1.4893</v>
      </c>
      <c r="B5531" t="n">
        <v>1.416</v>
      </c>
      <c r="C5531" t="n">
        <v>1.4458</v>
      </c>
    </row>
    <row r="5532">
      <c r="A5532" t="n">
        <v>1.6925</v>
      </c>
      <c r="B5532" t="n">
        <v>1.4099</v>
      </c>
      <c r="C5532" t="n">
        <v>1.4182</v>
      </c>
    </row>
    <row r="5533">
      <c r="A5533" t="n">
        <v>1.7111</v>
      </c>
      <c r="B5533" t="n">
        <v>1.4239</v>
      </c>
      <c r="C5533" t="n">
        <v>1.4236</v>
      </c>
    </row>
    <row r="5534">
      <c r="A5534" t="n">
        <v>1.5198</v>
      </c>
      <c r="B5534" t="n">
        <v>1.4439</v>
      </c>
      <c r="C5534" t="n">
        <v>1.46</v>
      </c>
    </row>
    <row r="5535">
      <c r="A5535" t="n">
        <v>1.637</v>
      </c>
      <c r="B5535" t="n">
        <v>1.6768</v>
      </c>
      <c r="C5535" t="n">
        <v>1.4974</v>
      </c>
    </row>
    <row r="5536">
      <c r="A5536" t="n">
        <v>1.471</v>
      </c>
      <c r="B5536" t="n">
        <v>1.6781</v>
      </c>
      <c r="C5536" t="n">
        <v>1.649</v>
      </c>
    </row>
    <row r="5537">
      <c r="A5537" t="n">
        <v>1.4024</v>
      </c>
      <c r="B5537" t="n">
        <v>1.4722</v>
      </c>
      <c r="C5537" t="n">
        <v>1.7445</v>
      </c>
    </row>
    <row r="5538">
      <c r="A5538" t="n">
        <v>1.4468</v>
      </c>
      <c r="B5538" t="n">
        <v>1.7857</v>
      </c>
      <c r="C5538" t="n">
        <v>2.018</v>
      </c>
    </row>
    <row r="5539">
      <c r="A5539" t="n">
        <v>1.4377</v>
      </c>
      <c r="B5539" t="n">
        <v>1.6734</v>
      </c>
      <c r="C5539" t="n">
        <v>1.5152</v>
      </c>
    </row>
    <row r="5540">
      <c r="A5540" t="n">
        <v>1.4249</v>
      </c>
      <c r="B5540" t="n">
        <v>1.5017</v>
      </c>
      <c r="C5540" t="n">
        <v>1.6247</v>
      </c>
    </row>
    <row r="5541">
      <c r="A5541" t="n">
        <v>1.6687</v>
      </c>
      <c r="B5541" t="n">
        <v>1.4463</v>
      </c>
      <c r="C5541" t="n">
        <v>1.4936</v>
      </c>
    </row>
    <row r="5542">
      <c r="A5542" t="n">
        <v>1.733</v>
      </c>
      <c r="B5542" t="n">
        <v>1.4525</v>
      </c>
      <c r="C5542" t="n">
        <v>1.4389</v>
      </c>
    </row>
    <row r="5543">
      <c r="A5543" t="n">
        <v>1.4501</v>
      </c>
      <c r="B5543" t="n">
        <v>1.4332</v>
      </c>
      <c r="C5543" t="n">
        <v>1.4</v>
      </c>
    </row>
    <row r="5544">
      <c r="A5544" t="n">
        <v>1.4255</v>
      </c>
      <c r="B5544" t="n">
        <v>1.4704</v>
      </c>
      <c r="C5544" t="n">
        <v>1.4215</v>
      </c>
    </row>
    <row r="5545">
      <c r="A5545" t="n">
        <v>1.4234</v>
      </c>
      <c r="B5545" t="n">
        <v>1.6661</v>
      </c>
      <c r="C5545" t="n">
        <v>1.4613</v>
      </c>
    </row>
    <row r="5546">
      <c r="A5546" t="n">
        <v>1.5776</v>
      </c>
      <c r="B5546" t="n">
        <v>1.7023</v>
      </c>
      <c r="C5546" t="n">
        <v>1.6621</v>
      </c>
    </row>
    <row r="5547">
      <c r="A5547" t="n">
        <v>1.5628</v>
      </c>
      <c r="B5547" t="n">
        <v>1.4933</v>
      </c>
      <c r="C5547" t="n">
        <v>1.6578</v>
      </c>
    </row>
    <row r="5548">
      <c r="A5548" t="n">
        <v>1.6431</v>
      </c>
      <c r="B5548" t="n">
        <v>1.451</v>
      </c>
      <c r="C5548" t="n">
        <v>1.4728</v>
      </c>
    </row>
    <row r="5549">
      <c r="A5549" t="n">
        <v>1.4641</v>
      </c>
      <c r="B5549" t="n">
        <v>1.427</v>
      </c>
      <c r="C5549" t="n">
        <v>1.4439</v>
      </c>
    </row>
    <row r="5550">
      <c r="A5550" t="n">
        <v>1.4411</v>
      </c>
      <c r="B5550" t="n">
        <v>1.6273</v>
      </c>
      <c r="C5550" t="n">
        <v>1.4383</v>
      </c>
    </row>
    <row r="5551">
      <c r="A5551" t="n">
        <v>1.6459</v>
      </c>
      <c r="B5551" t="n">
        <v>1.6203</v>
      </c>
      <c r="C5551" t="n">
        <v>1.6066</v>
      </c>
    </row>
    <row r="5552">
      <c r="A5552" t="n">
        <v>1.5384</v>
      </c>
      <c r="B5552" t="n">
        <v>1.4007</v>
      </c>
      <c r="C5552" t="n">
        <v>1.5249</v>
      </c>
    </row>
    <row r="5553">
      <c r="A5553" t="n">
        <v>1.6183</v>
      </c>
      <c r="B5553" t="n">
        <v>1.4421</v>
      </c>
      <c r="C5553" t="n">
        <v>1.6621</v>
      </c>
    </row>
    <row r="5554">
      <c r="A5554" t="n">
        <v>1.8121</v>
      </c>
      <c r="B5554" t="n">
        <v>1.4044</v>
      </c>
      <c r="C5554" t="n">
        <v>1.48</v>
      </c>
    </row>
    <row r="5555">
      <c r="A5555" t="n">
        <v>1.4656</v>
      </c>
      <c r="B5555" t="n">
        <v>1.4047</v>
      </c>
      <c r="C5555" t="n">
        <v>1.4535</v>
      </c>
    </row>
    <row r="5556">
      <c r="A5556" t="n">
        <v>1.6428</v>
      </c>
      <c r="B5556" t="n">
        <v>1.4534</v>
      </c>
      <c r="C5556" t="n">
        <v>1.6737</v>
      </c>
    </row>
    <row r="5557">
      <c r="A5557" t="n">
        <v>1.6804</v>
      </c>
      <c r="B5557" t="n">
        <v>1.4762</v>
      </c>
      <c r="C5557" t="n">
        <v>1.5534</v>
      </c>
    </row>
    <row r="5558">
      <c r="A5558" t="n">
        <v>1.4606</v>
      </c>
      <c r="B5558" t="n">
        <v>1.4226</v>
      </c>
      <c r="C5558" t="n">
        <v>1.7076</v>
      </c>
    </row>
    <row r="5559">
      <c r="A5559" t="n">
        <v>1.4233</v>
      </c>
      <c r="B5559" t="n">
        <v>1.4709</v>
      </c>
      <c r="C5559" t="n">
        <v>1.5</v>
      </c>
    </row>
    <row r="5560">
      <c r="A5560" t="n">
        <v>1.4292</v>
      </c>
      <c r="B5560" t="n">
        <v>1.7227</v>
      </c>
      <c r="C5560" t="n">
        <v>1.4739</v>
      </c>
    </row>
    <row r="5561">
      <c r="A5561" t="n">
        <v>1.3964</v>
      </c>
      <c r="B5561" t="n">
        <v>1.4993</v>
      </c>
      <c r="C5561" t="n">
        <v>1.6499</v>
      </c>
    </row>
    <row r="5562">
      <c r="A5562" t="n">
        <v>1.4557</v>
      </c>
      <c r="B5562" t="n">
        <v>1.4699</v>
      </c>
      <c r="C5562" t="n">
        <v>1.5125</v>
      </c>
    </row>
    <row r="5563">
      <c r="A5563" t="n">
        <v>1.4079</v>
      </c>
      <c r="B5563" t="n">
        <v>1.7326</v>
      </c>
      <c r="C5563" t="n">
        <v>1.4329</v>
      </c>
    </row>
    <row r="5564">
      <c r="A5564" t="n">
        <v>1.3682</v>
      </c>
      <c r="B5564" t="n">
        <v>1.5034</v>
      </c>
      <c r="C5564" t="n">
        <v>1.5045</v>
      </c>
    </row>
    <row r="5565">
      <c r="A5565" t="n">
        <v>1.4882</v>
      </c>
      <c r="B5565" t="n">
        <v>1.6311</v>
      </c>
      <c r="C5565" t="n">
        <v>1.6803</v>
      </c>
    </row>
    <row r="5566">
      <c r="A5566" t="n">
        <v>1.6461</v>
      </c>
      <c r="B5566" t="n">
        <v>1.5068</v>
      </c>
      <c r="C5566" t="n">
        <v>1.6715</v>
      </c>
    </row>
    <row r="5567">
      <c r="A5567" t="n">
        <v>1.4883</v>
      </c>
      <c r="B5567" t="n">
        <v>1.4474</v>
      </c>
      <c r="C5567" t="n">
        <v>1.577</v>
      </c>
    </row>
    <row r="5568">
      <c r="A5568" t="n">
        <v>1.4474</v>
      </c>
      <c r="B5568" t="n">
        <v>1.3936</v>
      </c>
      <c r="C5568" t="n">
        <v>1.6414</v>
      </c>
    </row>
    <row r="5569">
      <c r="A5569" t="n">
        <v>1.4001</v>
      </c>
      <c r="B5569" t="n">
        <v>1.4226</v>
      </c>
      <c r="C5569" t="n">
        <v>1.6922</v>
      </c>
    </row>
    <row r="5570">
      <c r="A5570" t="n">
        <v>1.3989</v>
      </c>
      <c r="B5570" t="n">
        <v>1.7657</v>
      </c>
      <c r="C5570" t="n">
        <v>2.0349</v>
      </c>
    </row>
    <row r="5571">
      <c r="A5571" t="n">
        <v>1.4458</v>
      </c>
      <c r="B5571" t="n">
        <v>1.4581</v>
      </c>
      <c r="C5571" t="n">
        <v>1.5441</v>
      </c>
    </row>
    <row r="5572">
      <c r="A5572" t="n">
        <v>1.6442</v>
      </c>
      <c r="B5572" t="n">
        <v>1.4394</v>
      </c>
      <c r="C5572" t="n">
        <v>1.447</v>
      </c>
    </row>
    <row r="5573">
      <c r="A5573" t="n">
        <v>1.6587</v>
      </c>
      <c r="B5573" t="n">
        <v>1.4377</v>
      </c>
      <c r="C5573" t="n">
        <v>1.4351</v>
      </c>
    </row>
    <row r="5574">
      <c r="A5574" t="n">
        <v>1.4695</v>
      </c>
      <c r="B5574" t="n">
        <v>1.4511</v>
      </c>
      <c r="C5574" t="n">
        <v>1.4305</v>
      </c>
    </row>
    <row r="5575">
      <c r="A5575" t="n">
        <v>1.4583</v>
      </c>
      <c r="B5575" t="n">
        <v>1.4926</v>
      </c>
      <c r="C5575" t="n">
        <v>1.4891</v>
      </c>
    </row>
    <row r="5576">
      <c r="A5576" t="n">
        <v>1.4409</v>
      </c>
      <c r="B5576" t="n">
        <v>1.4699</v>
      </c>
      <c r="C5576" t="n">
        <v>1.4272</v>
      </c>
    </row>
    <row r="5577">
      <c r="A5577" t="n">
        <v>1.6111</v>
      </c>
      <c r="B5577" t="n">
        <v>1.4969</v>
      </c>
      <c r="C5577" t="n">
        <v>1.488</v>
      </c>
    </row>
    <row r="5578">
      <c r="A5578" t="n">
        <v>1.5636</v>
      </c>
      <c r="B5578" t="n">
        <v>1.4872</v>
      </c>
      <c r="C5578" t="n">
        <v>1.7171</v>
      </c>
    </row>
    <row r="5579">
      <c r="A5579" t="n">
        <v>1.6776</v>
      </c>
      <c r="B5579" t="n">
        <v>1.457</v>
      </c>
      <c r="C5579" t="n">
        <v>1.498</v>
      </c>
    </row>
    <row r="5580">
      <c r="A5580" t="n">
        <v>1.4732</v>
      </c>
      <c r="B5580" t="n">
        <v>1.74</v>
      </c>
      <c r="C5580" t="n">
        <v>1.4266</v>
      </c>
    </row>
    <row r="5581">
      <c r="A5581" t="n">
        <v>1.4386</v>
      </c>
      <c r="B5581" t="n">
        <v>1.5678</v>
      </c>
      <c r="C5581" t="n">
        <v>1.6457</v>
      </c>
    </row>
    <row r="5582">
      <c r="A5582" t="n">
        <v>1.5787</v>
      </c>
      <c r="B5582" t="n">
        <v>1.436</v>
      </c>
      <c r="C5582" t="n">
        <v>1.5225</v>
      </c>
    </row>
    <row r="5583">
      <c r="A5583" t="n">
        <v>1.5568</v>
      </c>
      <c r="B5583" t="n">
        <v>1.4252</v>
      </c>
      <c r="C5583" t="n">
        <v>1.6285</v>
      </c>
    </row>
    <row r="5584">
      <c r="A5584" t="n">
        <v>1.6741</v>
      </c>
      <c r="B5584" t="n">
        <v>1.3998</v>
      </c>
      <c r="C5584" t="n">
        <v>1.5053</v>
      </c>
    </row>
    <row r="5585">
      <c r="A5585" t="n">
        <v>1.4758</v>
      </c>
      <c r="B5585" t="n">
        <v>1.4471</v>
      </c>
      <c r="C5585" t="n">
        <v>1.4512</v>
      </c>
    </row>
    <row r="5586">
      <c r="A5586" t="n">
        <v>1.7838</v>
      </c>
      <c r="B5586" t="n">
        <v>1.6535</v>
      </c>
      <c r="C5586" t="n">
        <v>1.3878</v>
      </c>
    </row>
    <row r="5587">
      <c r="A5587" t="n">
        <v>1.6894</v>
      </c>
      <c r="B5587" t="n">
        <v>1.5012</v>
      </c>
      <c r="C5587" t="n">
        <v>1.4259</v>
      </c>
    </row>
    <row r="5588">
      <c r="A5588" t="n">
        <v>1.7638</v>
      </c>
      <c r="B5588" t="n">
        <v>1.448</v>
      </c>
      <c r="C5588" t="n">
        <v>1.4811</v>
      </c>
    </row>
    <row r="5589">
      <c r="A5589" t="n">
        <v>1.5651</v>
      </c>
      <c r="B5589" t="n">
        <v>1.4108</v>
      </c>
      <c r="C5589" t="n">
        <v>1.4045</v>
      </c>
    </row>
    <row r="5590">
      <c r="A5590" t="n">
        <v>1.4714</v>
      </c>
      <c r="B5590" t="n">
        <v>1.4441</v>
      </c>
      <c r="C5590" t="n">
        <v>1.4724</v>
      </c>
    </row>
    <row r="5591">
      <c r="A5591" t="n">
        <v>1.3973</v>
      </c>
      <c r="B5591" t="n">
        <v>1.4041</v>
      </c>
      <c r="C5591" t="n">
        <v>1.6369</v>
      </c>
    </row>
    <row r="5592">
      <c r="A5592" t="n">
        <v>1.3926</v>
      </c>
      <c r="B5592" t="n">
        <v>1.3969</v>
      </c>
      <c r="C5592" t="n">
        <v>1.5015</v>
      </c>
    </row>
    <row r="5593">
      <c r="A5593" t="n">
        <v>1.478</v>
      </c>
      <c r="B5593" t="n">
        <v>1.4873</v>
      </c>
      <c r="C5593" t="n">
        <v>1.438</v>
      </c>
    </row>
    <row r="5594">
      <c r="A5594" t="n">
        <v>1.6023</v>
      </c>
      <c r="B5594" t="n">
        <v>1.6043</v>
      </c>
      <c r="C5594" t="n">
        <v>1.3963</v>
      </c>
    </row>
    <row r="5595">
      <c r="A5595" t="n">
        <v>1.474</v>
      </c>
      <c r="B5595" t="n">
        <v>1.4969</v>
      </c>
      <c r="C5595" t="n">
        <v>1.4248</v>
      </c>
    </row>
    <row r="5596">
      <c r="A5596" t="n">
        <v>1.413</v>
      </c>
      <c r="B5596" t="n">
        <v>1.4856</v>
      </c>
      <c r="C5596" t="n">
        <v>1.4774</v>
      </c>
    </row>
    <row r="5597">
      <c r="A5597" t="n">
        <v>1.3811</v>
      </c>
      <c r="B5597" t="n">
        <v>1.3882</v>
      </c>
      <c r="C5597" t="n">
        <v>1.4061</v>
      </c>
    </row>
    <row r="5598">
      <c r="A5598" t="n">
        <v>1.4305</v>
      </c>
      <c r="B5598" t="n">
        <v>1.428</v>
      </c>
      <c r="C5598" t="n">
        <v>1.471</v>
      </c>
    </row>
    <row r="5599">
      <c r="A5599" t="n">
        <v>1.4547</v>
      </c>
      <c r="B5599" t="n">
        <v>1.4496</v>
      </c>
      <c r="C5599" t="n">
        <v>1.7263</v>
      </c>
    </row>
    <row r="5600">
      <c r="A5600" t="n">
        <v>1.6127</v>
      </c>
      <c r="B5600" t="n">
        <v>1.6867</v>
      </c>
      <c r="C5600" t="n">
        <v>1.5031</v>
      </c>
    </row>
    <row r="5601">
      <c r="A5601" t="n">
        <v>1.756</v>
      </c>
      <c r="B5601" t="n">
        <v>1.7286</v>
      </c>
      <c r="C5601" t="n">
        <v>1.4499</v>
      </c>
    </row>
    <row r="5602">
      <c r="A5602" t="n">
        <v>1.4852</v>
      </c>
      <c r="B5602" t="n">
        <v>2.0109</v>
      </c>
      <c r="C5602" t="n">
        <v>1.7164</v>
      </c>
    </row>
    <row r="5603">
      <c r="A5603" t="n">
        <v>1.4258</v>
      </c>
      <c r="B5603" t="n">
        <v>1.706</v>
      </c>
      <c r="C5603" t="n">
        <v>1.4841</v>
      </c>
    </row>
    <row r="5604">
      <c r="A5604" t="n">
        <v>1.454</v>
      </c>
      <c r="B5604" t="n">
        <v>1.4898</v>
      </c>
      <c r="C5604" t="n">
        <v>1.5904</v>
      </c>
    </row>
    <row r="5605">
      <c r="A5605" t="n">
        <v>1.6223</v>
      </c>
      <c r="B5605" t="n">
        <v>1.4353</v>
      </c>
      <c r="C5605" t="n">
        <v>1.5086</v>
      </c>
    </row>
    <row r="5606">
      <c r="A5606" t="n">
        <v>1.5054</v>
      </c>
      <c r="B5606" t="n">
        <v>1.4356</v>
      </c>
      <c r="C5606" t="n">
        <v>1.4457</v>
      </c>
    </row>
    <row r="5607">
      <c r="A5607" t="n">
        <v>1.6605</v>
      </c>
      <c r="B5607" t="n">
        <v>1.6532</v>
      </c>
      <c r="C5607" t="n">
        <v>1.4234</v>
      </c>
    </row>
    <row r="5608">
      <c r="A5608" t="n">
        <v>1.4808</v>
      </c>
      <c r="B5608" t="n">
        <v>1.5696</v>
      </c>
      <c r="C5608" t="n">
        <v>1.4358</v>
      </c>
    </row>
    <row r="5609">
      <c r="A5609" t="n">
        <v>1.4235</v>
      </c>
      <c r="B5609" t="n">
        <v>1.4146</v>
      </c>
      <c r="C5609" t="n">
        <v>1.4356</v>
      </c>
    </row>
    <row r="5610">
      <c r="A5610" t="n">
        <v>1.3946</v>
      </c>
      <c r="B5610" t="n">
        <v>1.4333</v>
      </c>
      <c r="C5610" t="n">
        <v>1.4158</v>
      </c>
    </row>
    <row r="5611">
      <c r="A5611" t="n">
        <v>1.4344</v>
      </c>
      <c r="B5611" t="n">
        <v>1.4177</v>
      </c>
      <c r="C5611" t="n">
        <v>1.5042</v>
      </c>
    </row>
    <row r="5612">
      <c r="A5612" t="n">
        <v>1.444</v>
      </c>
      <c r="B5612" t="n">
        <v>1.4106</v>
      </c>
      <c r="C5612" t="n">
        <v>1.6443</v>
      </c>
    </row>
    <row r="5613">
      <c r="A5613" t="n">
        <v>1.6738</v>
      </c>
      <c r="B5613" t="n">
        <v>1.4759</v>
      </c>
      <c r="C5613" t="n">
        <v>1.468</v>
      </c>
    </row>
    <row r="5614">
      <c r="A5614" t="n">
        <v>1.7114</v>
      </c>
      <c r="B5614" t="n">
        <v>1.4812</v>
      </c>
      <c r="C5614" t="n">
        <v>1.4485</v>
      </c>
    </row>
    <row r="5615">
      <c r="A5615" t="n">
        <v>1.4785</v>
      </c>
      <c r="B5615" t="n">
        <v>1.6436</v>
      </c>
      <c r="C5615" t="n">
        <v>1.4111</v>
      </c>
    </row>
    <row r="5616">
      <c r="A5616" t="n">
        <v>1.447</v>
      </c>
      <c r="B5616" t="n">
        <v>1.7152</v>
      </c>
      <c r="C5616" t="n">
        <v>1.4203</v>
      </c>
    </row>
    <row r="5617">
      <c r="A5617" t="n">
        <v>1.4309</v>
      </c>
      <c r="B5617" t="n">
        <v>1.4891</v>
      </c>
      <c r="C5617" t="n">
        <v>1.4519</v>
      </c>
    </row>
    <row r="5618">
      <c r="A5618" t="n">
        <v>1.9574</v>
      </c>
      <c r="B5618" t="n">
        <v>1.4264</v>
      </c>
      <c r="C5618" t="n">
        <v>1.6412</v>
      </c>
    </row>
    <row r="5619">
      <c r="A5619" t="n">
        <v>1.7825</v>
      </c>
      <c r="B5619" t="n">
        <v>1.4459</v>
      </c>
      <c r="C5619" t="n">
        <v>1.6889</v>
      </c>
    </row>
    <row r="5620">
      <c r="A5620" t="n">
        <v>1.6726</v>
      </c>
      <c r="B5620" t="n">
        <v>1.6322</v>
      </c>
      <c r="C5620" t="n">
        <v>1.4887</v>
      </c>
    </row>
    <row r="5621">
      <c r="A5621" t="n">
        <v>1.5788</v>
      </c>
      <c r="B5621" t="n">
        <v>1.5161</v>
      </c>
      <c r="C5621" t="n">
        <v>1.4479</v>
      </c>
    </row>
    <row r="5622">
      <c r="A5622" t="n">
        <v>1.435</v>
      </c>
      <c r="B5622" t="n">
        <v>1.625</v>
      </c>
      <c r="C5622" t="n">
        <v>1.421</v>
      </c>
    </row>
    <row r="5623">
      <c r="A5623" t="n">
        <v>1.4214</v>
      </c>
      <c r="B5623" t="n">
        <v>1.4892</v>
      </c>
      <c r="C5623" t="n">
        <v>1.4236</v>
      </c>
    </row>
    <row r="5624">
      <c r="A5624" t="n">
        <v>1.4105</v>
      </c>
      <c r="B5624" t="n">
        <v>1.4175</v>
      </c>
      <c r="C5624" t="n">
        <v>1.4766</v>
      </c>
    </row>
    <row r="5625">
      <c r="A5625" t="n">
        <v>1.426</v>
      </c>
      <c r="B5625" t="n">
        <v>1.4016</v>
      </c>
      <c r="C5625" t="n">
        <v>1.6332</v>
      </c>
    </row>
    <row r="5626">
      <c r="A5626" t="n">
        <v>1.4415</v>
      </c>
      <c r="B5626" t="n">
        <v>1.4434</v>
      </c>
      <c r="C5626" t="n">
        <v>1.5359</v>
      </c>
    </row>
    <row r="5627">
      <c r="A5627" t="n">
        <v>1.4253</v>
      </c>
      <c r="B5627" t="n">
        <v>1.4116</v>
      </c>
      <c r="C5627" t="n">
        <v>1.438</v>
      </c>
    </row>
    <row r="5628">
      <c r="A5628" t="n">
        <v>1.6075</v>
      </c>
      <c r="B5628" t="n">
        <v>1.6574</v>
      </c>
      <c r="C5628" t="n">
        <v>1.4462</v>
      </c>
    </row>
    <row r="5629">
      <c r="A5629" t="n">
        <v>1.5641</v>
      </c>
      <c r="B5629" t="n">
        <v>1.6973</v>
      </c>
      <c r="C5629" t="n">
        <v>1.4333</v>
      </c>
    </row>
    <row r="5630">
      <c r="A5630" t="n">
        <v>1.4087</v>
      </c>
      <c r="B5630" t="n">
        <v>1.472</v>
      </c>
      <c r="C5630" t="n">
        <v>1.4591</v>
      </c>
    </row>
    <row r="5631">
      <c r="A5631" t="n">
        <v>1.4501</v>
      </c>
      <c r="B5631" t="n">
        <v>1.463</v>
      </c>
      <c r="C5631" t="n">
        <v>1.6181</v>
      </c>
    </row>
    <row r="5632">
      <c r="A5632" t="n">
        <v>1.708</v>
      </c>
      <c r="B5632" t="n">
        <v>1.478</v>
      </c>
      <c r="C5632" t="n">
        <v>1.6893</v>
      </c>
    </row>
    <row r="5633">
      <c r="A5633" t="n">
        <v>1.6662</v>
      </c>
      <c r="B5633" t="n">
        <v>1.6219</v>
      </c>
      <c r="C5633" t="n">
        <v>1.5026</v>
      </c>
    </row>
    <row r="5634">
      <c r="A5634" t="n">
        <v>1.5253</v>
      </c>
      <c r="B5634" t="n">
        <v>2.0704</v>
      </c>
      <c r="C5634" t="n">
        <v>1.7581</v>
      </c>
    </row>
    <row r="5635">
      <c r="A5635" t="n">
        <v>1.677</v>
      </c>
      <c r="B5635" t="n">
        <v>1.6976</v>
      </c>
      <c r="C5635" t="n">
        <v>1.6713</v>
      </c>
    </row>
    <row r="5636">
      <c r="A5636" t="n">
        <v>1.499</v>
      </c>
      <c r="B5636" t="n">
        <v>1.5491</v>
      </c>
      <c r="C5636" t="n">
        <v>1.5358</v>
      </c>
    </row>
    <row r="5637">
      <c r="A5637" t="n">
        <v>1.4668</v>
      </c>
      <c r="B5637" t="n">
        <v>1.6343</v>
      </c>
      <c r="C5637" t="n">
        <v>1.6722</v>
      </c>
    </row>
    <row r="5638">
      <c r="A5638" t="n">
        <v>1.6465</v>
      </c>
      <c r="B5638" t="n">
        <v>1.6853</v>
      </c>
      <c r="C5638" t="n">
        <v>1.6577</v>
      </c>
    </row>
    <row r="5639">
      <c r="A5639" t="n">
        <v>1.516</v>
      </c>
      <c r="B5639" t="n">
        <v>1.4911</v>
      </c>
      <c r="C5639" t="n">
        <v>1.5419</v>
      </c>
    </row>
    <row r="5640">
      <c r="A5640" t="n">
        <v>1.6562</v>
      </c>
      <c r="B5640" t="n">
        <v>1.6766</v>
      </c>
      <c r="C5640" t="n">
        <v>1.6201</v>
      </c>
    </row>
    <row r="5641">
      <c r="A5641" t="n">
        <v>1.488</v>
      </c>
      <c r="B5641" t="n">
        <v>1.7146</v>
      </c>
      <c r="C5641" t="n">
        <v>1.4966</v>
      </c>
    </row>
    <row r="5642">
      <c r="A5642" t="n">
        <v>1.4529</v>
      </c>
      <c r="B5642" t="n">
        <v>1.4889</v>
      </c>
      <c r="C5642" t="n">
        <v>1.4476</v>
      </c>
    </row>
    <row r="5643">
      <c r="A5643" t="n">
        <v>1.602</v>
      </c>
      <c r="B5643" t="n">
        <v>1.4575</v>
      </c>
      <c r="C5643" t="n">
        <v>1.3962</v>
      </c>
    </row>
    <row r="5644">
      <c r="A5644" t="n">
        <v>1.528</v>
      </c>
      <c r="B5644" t="n">
        <v>1.4411</v>
      </c>
      <c r="C5644" t="n">
        <v>1.4169</v>
      </c>
    </row>
    <row r="5645">
      <c r="A5645" t="n">
        <v>1.5886</v>
      </c>
      <c r="B5645" t="n">
        <v>1.6326</v>
      </c>
      <c r="C5645" t="n">
        <v>1.4327</v>
      </c>
    </row>
    <row r="5646">
      <c r="A5646" t="n">
        <v>1.5036</v>
      </c>
      <c r="B5646" t="n">
        <v>1.7155</v>
      </c>
      <c r="C5646" t="n">
        <v>1.4313</v>
      </c>
    </row>
    <row r="5647">
      <c r="A5647" t="n">
        <v>1.4178</v>
      </c>
      <c r="B5647" t="n">
        <v>1.5057</v>
      </c>
      <c r="C5647" t="n">
        <v>1.5168</v>
      </c>
    </row>
    <row r="5648">
      <c r="A5648" t="n">
        <v>1.4195</v>
      </c>
      <c r="B5648" t="n">
        <v>1.4372</v>
      </c>
      <c r="C5648" t="n">
        <v>1.6975</v>
      </c>
    </row>
    <row r="5649">
      <c r="A5649" t="n">
        <v>1.4229</v>
      </c>
      <c r="B5649" t="n">
        <v>1.4566</v>
      </c>
      <c r="C5649" t="n">
        <v>1.4623</v>
      </c>
    </row>
    <row r="5650">
      <c r="A5650" t="n">
        <v>1.7601</v>
      </c>
      <c r="B5650" t="n">
        <v>1.6321</v>
      </c>
      <c r="C5650" t="n">
        <v>1.4484</v>
      </c>
    </row>
    <row r="5651">
      <c r="A5651" t="n">
        <v>1.4254</v>
      </c>
      <c r="B5651" t="n">
        <v>1.7624</v>
      </c>
      <c r="C5651" t="n">
        <v>1.4027</v>
      </c>
    </row>
    <row r="5652">
      <c r="A5652" t="n">
        <v>1.4317</v>
      </c>
      <c r="B5652" t="n">
        <v>1.5013</v>
      </c>
      <c r="C5652" t="n">
        <v>1.4315</v>
      </c>
    </row>
    <row r="5653">
      <c r="A5653" t="n">
        <v>1.4132</v>
      </c>
      <c r="B5653" t="n">
        <v>1.4656</v>
      </c>
      <c r="C5653" t="n">
        <v>1.4649</v>
      </c>
    </row>
    <row r="5654">
      <c r="A5654" t="n">
        <v>1.4564</v>
      </c>
      <c r="B5654" t="n">
        <v>1.4205</v>
      </c>
      <c r="C5654" t="n">
        <v>1.6732</v>
      </c>
    </row>
    <row r="5655">
      <c r="A5655" t="n">
        <v>1.4541</v>
      </c>
      <c r="B5655" t="n">
        <v>1.3827</v>
      </c>
      <c r="C5655" t="n">
        <v>1.671</v>
      </c>
    </row>
    <row r="5656">
      <c r="A5656" t="n">
        <v>1.427</v>
      </c>
      <c r="B5656" t="n">
        <v>1.4571</v>
      </c>
      <c r="C5656" t="n">
        <v>1.4924</v>
      </c>
    </row>
    <row r="5657">
      <c r="A5657" t="n">
        <v>1.4281</v>
      </c>
      <c r="B5657" t="n">
        <v>1.6277</v>
      </c>
      <c r="C5657" t="n">
        <v>1.4472</v>
      </c>
    </row>
    <row r="5658">
      <c r="A5658" t="n">
        <v>1.4685</v>
      </c>
      <c r="B5658" t="n">
        <v>1.5029</v>
      </c>
      <c r="C5658" t="n">
        <v>1.4521</v>
      </c>
    </row>
    <row r="5659">
      <c r="A5659" t="n">
        <v>1.7005</v>
      </c>
      <c r="B5659" t="n">
        <v>1.6504</v>
      </c>
      <c r="C5659" t="n">
        <v>1.4535</v>
      </c>
    </row>
    <row r="5660">
      <c r="A5660" t="n">
        <v>1.6468</v>
      </c>
      <c r="B5660" t="n">
        <v>1.6713</v>
      </c>
      <c r="C5660" t="n">
        <v>1.4956</v>
      </c>
    </row>
    <row r="5661">
      <c r="A5661" t="n">
        <v>1.4798</v>
      </c>
      <c r="B5661" t="n">
        <v>1.5238</v>
      </c>
      <c r="C5661" t="n">
        <v>1.666</v>
      </c>
    </row>
    <row r="5662">
      <c r="A5662" t="n">
        <v>1.4321</v>
      </c>
      <c r="B5662" t="n">
        <v>1.6171</v>
      </c>
      <c r="C5662" t="n">
        <v>1.4804</v>
      </c>
    </row>
    <row r="5663">
      <c r="A5663" t="n">
        <v>1.4206</v>
      </c>
      <c r="B5663" t="n">
        <v>1.5117</v>
      </c>
      <c r="C5663" t="n">
        <v>1.4385</v>
      </c>
    </row>
    <row r="5664">
      <c r="A5664" t="n">
        <v>1.6059</v>
      </c>
      <c r="B5664" t="n">
        <v>1.4306</v>
      </c>
      <c r="C5664" t="n">
        <v>1.3892</v>
      </c>
    </row>
    <row r="5665">
      <c r="A5665" t="n">
        <v>1.5212</v>
      </c>
      <c r="B5665" t="n">
        <v>1.4212</v>
      </c>
      <c r="C5665" t="n">
        <v>1.4273</v>
      </c>
    </row>
    <row r="5666">
      <c r="A5666" t="n">
        <v>1.5838</v>
      </c>
      <c r="B5666" t="n">
        <v>1.7471</v>
      </c>
      <c r="C5666" t="n">
        <v>1.7645</v>
      </c>
    </row>
    <row r="5667">
      <c r="A5667" t="n">
        <v>1.5146</v>
      </c>
      <c r="B5667" t="n">
        <v>1.6722</v>
      </c>
      <c r="C5667" t="n">
        <v>1.4673</v>
      </c>
    </row>
    <row r="5668">
      <c r="A5668" t="n">
        <v>1.4398</v>
      </c>
      <c r="B5668" t="n">
        <v>1.5302</v>
      </c>
      <c r="C5668" t="n">
        <v>1.4469</v>
      </c>
    </row>
    <row r="5669">
      <c r="A5669" t="n">
        <v>1.388</v>
      </c>
      <c r="B5669" t="n">
        <v>1.4204</v>
      </c>
      <c r="C5669" t="n">
        <v>1.4199</v>
      </c>
    </row>
    <row r="5670">
      <c r="A5670" t="n">
        <v>1.4189</v>
      </c>
      <c r="B5670" t="n">
        <v>1.422</v>
      </c>
      <c r="C5670" t="n">
        <v>1.3972</v>
      </c>
    </row>
    <row r="5671">
      <c r="A5671" t="n">
        <v>1.4336</v>
      </c>
      <c r="B5671" t="n">
        <v>1.4805</v>
      </c>
      <c r="C5671" t="n">
        <v>1.4508</v>
      </c>
    </row>
    <row r="5672">
      <c r="A5672" t="n">
        <v>1.6261</v>
      </c>
      <c r="B5672" t="n">
        <v>1.4568</v>
      </c>
      <c r="C5672" t="n">
        <v>1.728</v>
      </c>
    </row>
    <row r="5673">
      <c r="A5673" t="n">
        <v>1.7792</v>
      </c>
      <c r="B5673" t="n">
        <v>1.6365</v>
      </c>
      <c r="C5673" t="n">
        <v>1.487</v>
      </c>
    </row>
    <row r="5674">
      <c r="A5674" t="n">
        <v>1.4689</v>
      </c>
      <c r="B5674" t="n">
        <v>1.732</v>
      </c>
      <c r="C5674" t="n">
        <v>1.6363</v>
      </c>
    </row>
    <row r="5675">
      <c r="A5675" t="n">
        <v>1.3966</v>
      </c>
      <c r="B5675" t="n">
        <v>1.4661</v>
      </c>
      <c r="C5675" t="n">
        <v>1.5106</v>
      </c>
    </row>
    <row r="5676">
      <c r="A5676" t="n">
        <v>1.411</v>
      </c>
      <c r="B5676" t="n">
        <v>1.4541</v>
      </c>
      <c r="C5676" t="n">
        <v>1.4036</v>
      </c>
    </row>
    <row r="5677">
      <c r="A5677" t="n">
        <v>1.7159</v>
      </c>
      <c r="B5677" t="n">
        <v>1.4593</v>
      </c>
      <c r="C5677" t="n">
        <v>1.4241</v>
      </c>
    </row>
    <row r="5678">
      <c r="A5678" t="n">
        <v>1.5469</v>
      </c>
      <c r="B5678" t="n">
        <v>1.6002</v>
      </c>
      <c r="C5678" t="n">
        <v>1.4512</v>
      </c>
    </row>
    <row r="5679">
      <c r="A5679" t="n">
        <v>1.4227</v>
      </c>
      <c r="B5679" t="n">
        <v>1.6041</v>
      </c>
      <c r="C5679" t="n">
        <v>1.448</v>
      </c>
    </row>
    <row r="5680">
      <c r="A5680" t="n">
        <v>1.449</v>
      </c>
      <c r="B5680" t="n">
        <v>1.4341</v>
      </c>
      <c r="C5680" t="n">
        <v>1.6373</v>
      </c>
    </row>
    <row r="5681">
      <c r="A5681" t="n">
        <v>1.4187</v>
      </c>
      <c r="B5681" t="n">
        <v>1.413</v>
      </c>
      <c r="C5681" t="n">
        <v>1.6927</v>
      </c>
    </row>
    <row r="5682">
      <c r="A5682" t="n">
        <v>1.7408</v>
      </c>
      <c r="B5682" t="n">
        <v>1.4147</v>
      </c>
      <c r="C5682" t="n">
        <v>1.485</v>
      </c>
    </row>
    <row r="5683">
      <c r="A5683" t="n">
        <v>1.4725</v>
      </c>
      <c r="B5683" t="n">
        <v>1.3957</v>
      </c>
      <c r="C5683" t="n">
        <v>1.4404</v>
      </c>
    </row>
    <row r="5684">
      <c r="A5684" t="n">
        <v>1.6149</v>
      </c>
      <c r="B5684" t="n">
        <v>1.402</v>
      </c>
      <c r="C5684" t="n">
        <v>1.4359</v>
      </c>
    </row>
    <row r="5685">
      <c r="A5685" t="n">
        <v>1.5271</v>
      </c>
      <c r="B5685" t="n">
        <v>1.4581</v>
      </c>
      <c r="C5685" t="n">
        <v>1.6446</v>
      </c>
    </row>
    <row r="5686">
      <c r="A5686" t="n">
        <v>1.7121</v>
      </c>
      <c r="B5686" t="n">
        <v>1.4352</v>
      </c>
      <c r="C5686" t="n">
        <v>1.5804</v>
      </c>
    </row>
    <row r="5687">
      <c r="A5687" t="n">
        <v>1.6364</v>
      </c>
      <c r="B5687" t="n">
        <v>1.4625</v>
      </c>
      <c r="C5687" t="n">
        <v>1.4842</v>
      </c>
    </row>
    <row r="5688">
      <c r="A5688" t="n">
        <v>1.5376</v>
      </c>
      <c r="B5688" t="n">
        <v>1.6381</v>
      </c>
      <c r="C5688" t="n">
        <v>1.4365</v>
      </c>
    </row>
    <row r="5689">
      <c r="A5689" t="n">
        <v>1.6746</v>
      </c>
      <c r="B5689" t="n">
        <v>1.4956</v>
      </c>
      <c r="C5689" t="n">
        <v>1.4028</v>
      </c>
    </row>
    <row r="5690">
      <c r="A5690" t="n">
        <v>1.4682</v>
      </c>
      <c r="B5690" t="n">
        <v>1.4156</v>
      </c>
      <c r="C5690" t="n">
        <v>1.4381</v>
      </c>
    </row>
    <row r="5691">
      <c r="A5691" t="n">
        <v>1.4656</v>
      </c>
      <c r="B5691" t="n">
        <v>1.4229</v>
      </c>
      <c r="C5691" t="n">
        <v>1.4471</v>
      </c>
    </row>
    <row r="5692">
      <c r="A5692" t="n">
        <v>1.3978</v>
      </c>
      <c r="B5692" t="n">
        <v>1.4337</v>
      </c>
      <c r="C5692" t="n">
        <v>1.4635</v>
      </c>
    </row>
    <row r="5693">
      <c r="A5693" t="n">
        <v>1.4361</v>
      </c>
      <c r="B5693" t="n">
        <v>1.4556</v>
      </c>
      <c r="C5693" t="n">
        <v>1.6755</v>
      </c>
    </row>
    <row r="5694">
      <c r="A5694" t="n">
        <v>1.479</v>
      </c>
      <c r="B5694" t="n">
        <v>1.6289</v>
      </c>
      <c r="C5694" t="n">
        <v>1.7147</v>
      </c>
    </row>
    <row r="5695">
      <c r="A5695" t="n">
        <v>1.3959</v>
      </c>
      <c r="B5695" t="n">
        <v>1.5328</v>
      </c>
      <c r="C5695" t="n">
        <v>1.5024</v>
      </c>
    </row>
    <row r="5696">
      <c r="A5696" t="n">
        <v>1.4453</v>
      </c>
      <c r="B5696" t="n">
        <v>1.6406</v>
      </c>
      <c r="C5696" t="n">
        <v>1.4963</v>
      </c>
    </row>
    <row r="5697">
      <c r="A5697" t="n">
        <v>1.6158</v>
      </c>
      <c r="B5697" t="n">
        <v>1.4886</v>
      </c>
      <c r="C5697" t="n">
        <v>1.4499</v>
      </c>
    </row>
    <row r="5698">
      <c r="A5698" t="n">
        <v>1.5321</v>
      </c>
      <c r="B5698" t="n">
        <v>1.7851</v>
      </c>
      <c r="C5698" t="n">
        <v>1.9667</v>
      </c>
    </row>
    <row r="5699">
      <c r="A5699" t="n">
        <v>1.4784</v>
      </c>
      <c r="B5699" t="n">
        <v>1.4058</v>
      </c>
      <c r="C5699" t="n">
        <v>1.7269</v>
      </c>
    </row>
    <row r="5700">
      <c r="A5700" t="n">
        <v>1.4255</v>
      </c>
      <c r="B5700" t="n">
        <v>1.4395</v>
      </c>
      <c r="C5700" t="n">
        <v>1.6892</v>
      </c>
    </row>
    <row r="5701">
      <c r="A5701" t="n">
        <v>1.4203</v>
      </c>
      <c r="B5701" t="n">
        <v>1.6061</v>
      </c>
      <c r="C5701" t="n">
        <v>1.5308</v>
      </c>
    </row>
    <row r="5702">
      <c r="A5702" t="n">
        <v>1.39</v>
      </c>
      <c r="B5702" t="n">
        <v>1.4671</v>
      </c>
      <c r="C5702" t="n">
        <v>1.6481</v>
      </c>
    </row>
    <row r="5703">
      <c r="A5703" t="n">
        <v>1.4196</v>
      </c>
      <c r="B5703" t="n">
        <v>1.433</v>
      </c>
      <c r="C5703" t="n">
        <v>1.7137</v>
      </c>
    </row>
    <row r="5704">
      <c r="A5704" t="n">
        <v>1.4637</v>
      </c>
      <c r="B5704" t="n">
        <v>1.8282</v>
      </c>
      <c r="C5704" t="n">
        <v>1.5198</v>
      </c>
    </row>
    <row r="5705">
      <c r="A5705" t="n">
        <v>1.5971</v>
      </c>
      <c r="B5705" t="n">
        <v>1.505</v>
      </c>
      <c r="C5705" t="n">
        <v>1.6957</v>
      </c>
    </row>
    <row r="5706">
      <c r="A5706" t="n">
        <v>1.4833</v>
      </c>
      <c r="B5706" t="n">
        <v>1.6899</v>
      </c>
      <c r="C5706" t="n">
        <v>1.6621</v>
      </c>
    </row>
    <row r="5707">
      <c r="A5707" t="n">
        <v>1.4378</v>
      </c>
      <c r="B5707" t="n">
        <v>1.4781</v>
      </c>
      <c r="C5707" t="n">
        <v>1.5045</v>
      </c>
    </row>
    <row r="5708">
      <c r="A5708" t="n">
        <v>1.3711</v>
      </c>
      <c r="B5708" t="n">
        <v>1.4341</v>
      </c>
      <c r="C5708" t="n">
        <v>1.4749</v>
      </c>
    </row>
    <row r="5709">
      <c r="A5709" t="n">
        <v>1.4424</v>
      </c>
      <c r="B5709" t="n">
        <v>1.4384</v>
      </c>
      <c r="C5709" t="n">
        <v>1.4114</v>
      </c>
    </row>
    <row r="5710">
      <c r="A5710" t="n">
        <v>1.4341</v>
      </c>
      <c r="B5710" t="n">
        <v>1.4137</v>
      </c>
      <c r="C5710" t="n">
        <v>1.682</v>
      </c>
    </row>
    <row r="5711">
      <c r="A5711" t="n">
        <v>1.719</v>
      </c>
      <c r="B5711" t="n">
        <v>1.4297</v>
      </c>
      <c r="C5711" t="n">
        <v>1.6935</v>
      </c>
    </row>
    <row r="5712">
      <c r="A5712" t="n">
        <v>1.6471</v>
      </c>
      <c r="B5712" t="n">
        <v>1.7325</v>
      </c>
      <c r="C5712" t="n">
        <v>1.4536</v>
      </c>
    </row>
    <row r="5713">
      <c r="A5713" t="n">
        <v>1.4995</v>
      </c>
      <c r="B5713" t="n">
        <v>1.7381</v>
      </c>
      <c r="C5713" t="n">
        <v>1.432</v>
      </c>
    </row>
    <row r="5714">
      <c r="A5714" t="n">
        <v>1.774</v>
      </c>
      <c r="B5714" t="n">
        <v>1.6773</v>
      </c>
      <c r="C5714" t="n">
        <v>1.4303</v>
      </c>
    </row>
    <row r="5715">
      <c r="A5715" t="n">
        <v>1.6352</v>
      </c>
      <c r="B5715" t="n">
        <v>1.5444</v>
      </c>
      <c r="C5715" t="n">
        <v>1.6113</v>
      </c>
    </row>
    <row r="5716">
      <c r="A5716" t="n">
        <v>1.5194</v>
      </c>
      <c r="B5716" t="n">
        <v>1.6308</v>
      </c>
      <c r="C5716" t="n">
        <v>1.5146</v>
      </c>
    </row>
    <row r="5717">
      <c r="A5717" t="n">
        <v>1.7099</v>
      </c>
      <c r="B5717" t="n">
        <v>1.5009</v>
      </c>
      <c r="C5717" t="n">
        <v>1.6614</v>
      </c>
    </row>
    <row r="5718">
      <c r="A5718" t="n">
        <v>1.6494</v>
      </c>
      <c r="B5718" t="n">
        <v>1.4276</v>
      </c>
      <c r="C5718" t="n">
        <v>1.4765</v>
      </c>
    </row>
    <row r="5719">
      <c r="A5719" t="n">
        <v>1.5158</v>
      </c>
      <c r="B5719" t="n">
        <v>1.425</v>
      </c>
      <c r="C5719" t="n">
        <v>1.4488</v>
      </c>
    </row>
    <row r="5720">
      <c r="A5720" t="n">
        <v>1.5889</v>
      </c>
      <c r="B5720" t="n">
        <v>1.4</v>
      </c>
      <c r="C5720" t="n">
        <v>1.3946</v>
      </c>
    </row>
    <row r="5721">
      <c r="A5721" t="n">
        <v>1.5013</v>
      </c>
      <c r="B5721" t="n">
        <v>1.4415</v>
      </c>
      <c r="C5721" t="n">
        <v>1.3901</v>
      </c>
    </row>
    <row r="5722">
      <c r="A5722" t="n">
        <v>1.4205</v>
      </c>
      <c r="B5722" t="n">
        <v>1.6482</v>
      </c>
      <c r="C5722" t="n">
        <v>1.4348</v>
      </c>
    </row>
    <row r="5723">
      <c r="A5723" t="n">
        <v>1.4077</v>
      </c>
      <c r="B5723" t="n">
        <v>1.834</v>
      </c>
      <c r="C5723" t="n">
        <v>1.6842</v>
      </c>
    </row>
    <row r="5724">
      <c r="A5724" t="n">
        <v>1.423</v>
      </c>
      <c r="B5724" t="n">
        <v>1.4856</v>
      </c>
      <c r="C5724" t="n">
        <v>1.6412</v>
      </c>
    </row>
    <row r="5725">
      <c r="A5725" t="n">
        <v>1.4513</v>
      </c>
      <c r="B5725" t="n">
        <v>1.4393</v>
      </c>
      <c r="C5725" t="n">
        <v>1.5002</v>
      </c>
    </row>
    <row r="5726">
      <c r="A5726" t="n">
        <v>1.5892</v>
      </c>
      <c r="B5726" t="n">
        <v>1.4039</v>
      </c>
      <c r="C5726" t="n">
        <v>1.441</v>
      </c>
    </row>
    <row r="5727">
      <c r="A5727" t="n">
        <v>1.8356</v>
      </c>
      <c r="B5727" t="n">
        <v>1.6134</v>
      </c>
      <c r="C5727" t="n">
        <v>1.4228</v>
      </c>
    </row>
    <row r="5728">
      <c r="A5728" t="n">
        <v>1.4881</v>
      </c>
      <c r="B5728" t="n">
        <v>1.8081</v>
      </c>
      <c r="C5728" t="n">
        <v>1.6133</v>
      </c>
    </row>
    <row r="5729">
      <c r="A5729" t="n">
        <v>1.4321</v>
      </c>
      <c r="B5729" t="n">
        <v>1.4651</v>
      </c>
      <c r="C5729" t="n">
        <v>1.6033</v>
      </c>
    </row>
    <row r="5730">
      <c r="A5730" t="n">
        <v>1.4343</v>
      </c>
      <c r="B5730" t="n">
        <v>1.7987</v>
      </c>
      <c r="C5730" t="n">
        <v>1.7281</v>
      </c>
    </row>
    <row r="5731">
      <c r="A5731" t="n">
        <v>1.6124</v>
      </c>
      <c r="B5731" t="n">
        <v>1.6386</v>
      </c>
      <c r="C5731" t="n">
        <v>1.4356</v>
      </c>
    </row>
    <row r="5732">
      <c r="A5732" t="n">
        <v>1.494</v>
      </c>
      <c r="B5732" t="n">
        <v>1.5058</v>
      </c>
      <c r="C5732" t="n">
        <v>1.4519</v>
      </c>
    </row>
    <row r="5733">
      <c r="A5733" t="n">
        <v>1.6419</v>
      </c>
      <c r="B5733" t="n">
        <v>1.6663</v>
      </c>
      <c r="C5733" t="n">
        <v>1.6659</v>
      </c>
    </row>
    <row r="5734">
      <c r="A5734" t="n">
        <v>1.4792</v>
      </c>
      <c r="B5734" t="n">
        <v>1.6695</v>
      </c>
      <c r="C5734" t="n">
        <v>1.7665</v>
      </c>
    </row>
    <row r="5735">
      <c r="A5735" t="n">
        <v>1.3923</v>
      </c>
      <c r="B5735" t="n">
        <v>1.5105</v>
      </c>
      <c r="C5735" t="n">
        <v>1.4901</v>
      </c>
    </row>
    <row r="5736">
      <c r="A5736" t="n">
        <v>1.4013</v>
      </c>
      <c r="B5736" t="n">
        <v>1.6069</v>
      </c>
      <c r="C5736" t="n">
        <v>1.4211</v>
      </c>
    </row>
    <row r="5737">
      <c r="A5737" t="n">
        <v>1.4346</v>
      </c>
      <c r="B5737" t="n">
        <v>1.5148</v>
      </c>
      <c r="C5737" t="n">
        <v>1.4456</v>
      </c>
    </row>
    <row r="5738">
      <c r="A5738" t="n">
        <v>1.4509</v>
      </c>
      <c r="B5738" t="n">
        <v>1.4326</v>
      </c>
      <c r="C5738" t="n">
        <v>1.4186</v>
      </c>
    </row>
    <row r="5739">
      <c r="A5739" t="n">
        <v>1.7017</v>
      </c>
      <c r="B5739" t="n">
        <v>1.4274</v>
      </c>
      <c r="C5739" t="n">
        <v>1.4689</v>
      </c>
    </row>
    <row r="5740">
      <c r="A5740" t="n">
        <v>1.7076</v>
      </c>
      <c r="B5740" t="n">
        <v>1.4272</v>
      </c>
      <c r="C5740" t="n">
        <v>1.7044</v>
      </c>
    </row>
    <row r="5741">
      <c r="A5741" t="n">
        <v>1.473</v>
      </c>
      <c r="B5741" t="n">
        <v>1.4119</v>
      </c>
      <c r="C5741" t="n">
        <v>1.5244</v>
      </c>
    </row>
    <row r="5742">
      <c r="A5742" t="n">
        <v>1.4309</v>
      </c>
      <c r="B5742" t="n">
        <v>1.6692</v>
      </c>
      <c r="C5742" t="n">
        <v>1.4271</v>
      </c>
    </row>
    <row r="5743">
      <c r="A5743" t="n">
        <v>1.4195</v>
      </c>
      <c r="B5743" t="n">
        <v>1.7711</v>
      </c>
      <c r="C5743" t="n">
        <v>1.4232</v>
      </c>
    </row>
    <row r="5744">
      <c r="A5744" t="n">
        <v>1.5905</v>
      </c>
      <c r="B5744" t="n">
        <v>1.4529</v>
      </c>
      <c r="C5744" t="n">
        <v>1.4257</v>
      </c>
    </row>
    <row r="5745">
      <c r="A5745" t="n">
        <v>1.8228</v>
      </c>
      <c r="B5745" t="n">
        <v>1.4435</v>
      </c>
      <c r="C5745" t="n">
        <v>1.4232</v>
      </c>
    </row>
    <row r="5746">
      <c r="A5746" t="n">
        <v>2.0379</v>
      </c>
      <c r="B5746" t="n">
        <v>1.4581</v>
      </c>
      <c r="C5746" t="n">
        <v>1.6394</v>
      </c>
    </row>
    <row r="5747">
      <c r="A5747" t="n">
        <v>1.5244</v>
      </c>
      <c r="B5747" t="n">
        <v>1.5961</v>
      </c>
      <c r="C5747" t="n">
        <v>1.8966</v>
      </c>
    </row>
    <row r="5748">
      <c r="A5748" t="n">
        <v>1.6362</v>
      </c>
      <c r="B5748" t="n">
        <v>1.5739</v>
      </c>
      <c r="C5748" t="n">
        <v>1.4805</v>
      </c>
    </row>
    <row r="5749">
      <c r="A5749" t="n">
        <v>1.4764</v>
      </c>
      <c r="B5749" t="n">
        <v>1.4383</v>
      </c>
      <c r="C5749" t="n">
        <v>1.4462</v>
      </c>
    </row>
    <row r="5750">
      <c r="A5750" t="n">
        <v>1.4352</v>
      </c>
      <c r="B5750" t="n">
        <v>1.4207</v>
      </c>
      <c r="C5750" t="n">
        <v>1.4548</v>
      </c>
    </row>
    <row r="5751">
      <c r="A5751" t="n">
        <v>1.7115</v>
      </c>
      <c r="B5751" t="n">
        <v>1.4182</v>
      </c>
      <c r="C5751" t="n">
        <v>1.6068</v>
      </c>
    </row>
    <row r="5752">
      <c r="A5752" t="n">
        <v>1.5386</v>
      </c>
      <c r="B5752" t="n">
        <v>1.4408</v>
      </c>
      <c r="C5752" t="n">
        <v>1.7421</v>
      </c>
    </row>
    <row r="5753">
      <c r="A5753" t="n">
        <v>1.5877</v>
      </c>
      <c r="B5753" t="n">
        <v>1.4334</v>
      </c>
      <c r="C5753" t="n">
        <v>1.5187</v>
      </c>
    </row>
    <row r="5754">
      <c r="A5754" t="n">
        <v>1.4942</v>
      </c>
      <c r="B5754" t="n">
        <v>1.4505</v>
      </c>
      <c r="C5754" t="n">
        <v>1.438</v>
      </c>
    </row>
    <row r="5755">
      <c r="A5755" t="n">
        <v>1.4608</v>
      </c>
      <c r="B5755" t="n">
        <v>1.6866</v>
      </c>
      <c r="C5755" t="n">
        <v>1.437</v>
      </c>
    </row>
    <row r="5756">
      <c r="A5756" t="n">
        <v>1.3723</v>
      </c>
      <c r="B5756" t="n">
        <v>1.6911</v>
      </c>
      <c r="C5756" t="n">
        <v>1.6059</v>
      </c>
    </row>
    <row r="5757">
      <c r="A5757" t="n">
        <v>1.4128</v>
      </c>
      <c r="B5757" t="n">
        <v>1.5045</v>
      </c>
      <c r="C5757" t="n">
        <v>1.5116</v>
      </c>
    </row>
    <row r="5758">
      <c r="A5758" t="n">
        <v>1.4462</v>
      </c>
      <c r="B5758" t="n">
        <v>1.4447</v>
      </c>
      <c r="C5758" t="n">
        <v>1.672</v>
      </c>
    </row>
    <row r="5759">
      <c r="A5759" t="n">
        <v>1.6176</v>
      </c>
      <c r="B5759" t="n">
        <v>1.4194</v>
      </c>
      <c r="C5759" t="n">
        <v>1.4907</v>
      </c>
    </row>
    <row r="5760">
      <c r="A5760" t="n">
        <v>1.7077</v>
      </c>
      <c r="B5760" t="n">
        <v>1.619</v>
      </c>
      <c r="C5760" t="n">
        <v>1.437</v>
      </c>
    </row>
    <row r="5761">
      <c r="A5761" t="n">
        <v>1.4878</v>
      </c>
      <c r="B5761" t="n">
        <v>1.5982</v>
      </c>
      <c r="C5761" t="n">
        <v>1.41</v>
      </c>
    </row>
    <row r="5762">
      <c r="A5762" t="n">
        <v>1.4157</v>
      </c>
      <c r="B5762" t="n">
        <v>1.7426</v>
      </c>
      <c r="C5762" t="n">
        <v>1.7843</v>
      </c>
    </row>
    <row r="5763">
      <c r="A5763" t="n">
        <v>1.4511</v>
      </c>
      <c r="B5763" t="n">
        <v>1.4615</v>
      </c>
      <c r="C5763" t="n">
        <v>1.6342</v>
      </c>
    </row>
    <row r="5764">
      <c r="A5764" t="n">
        <v>1.6232</v>
      </c>
      <c r="B5764" t="n">
        <v>1.4457</v>
      </c>
      <c r="C5764" t="n">
        <v>1.4953</v>
      </c>
    </row>
    <row r="5765">
      <c r="A5765" t="n">
        <v>1.5029</v>
      </c>
      <c r="B5765" t="n">
        <v>1.5861</v>
      </c>
      <c r="C5765" t="n">
        <v>1.444</v>
      </c>
    </row>
    <row r="5766">
      <c r="A5766" t="n">
        <v>1.6366</v>
      </c>
      <c r="B5766" t="n">
        <v>1.5205</v>
      </c>
      <c r="C5766" t="n">
        <v>1.3829</v>
      </c>
    </row>
    <row r="5767">
      <c r="A5767" t="n">
        <v>1.4694</v>
      </c>
      <c r="B5767" t="n">
        <v>1.6821</v>
      </c>
      <c r="C5767" t="n">
        <v>1.4319</v>
      </c>
    </row>
    <row r="5768">
      <c r="A5768" t="n">
        <v>1.4356</v>
      </c>
      <c r="B5768" t="n">
        <v>1.4693</v>
      </c>
      <c r="C5768" t="n">
        <v>1.4685</v>
      </c>
    </row>
    <row r="5769">
      <c r="A5769" t="n">
        <v>1.4624</v>
      </c>
      <c r="B5769" t="n">
        <v>1.4648</v>
      </c>
      <c r="C5769" t="n">
        <v>1.4111</v>
      </c>
    </row>
    <row r="5770">
      <c r="A5770" t="n">
        <v>1.4686</v>
      </c>
      <c r="B5770" t="n">
        <v>1.6147</v>
      </c>
      <c r="C5770" t="n">
        <v>1.4692</v>
      </c>
    </row>
    <row r="5771">
      <c r="A5771" t="n">
        <v>1.4297</v>
      </c>
      <c r="B5771" t="n">
        <v>1.4948</v>
      </c>
      <c r="C5771" t="n">
        <v>1.6182</v>
      </c>
    </row>
    <row r="5772">
      <c r="A5772" t="n">
        <v>1.3955</v>
      </c>
      <c r="B5772" t="n">
        <v>1.6143</v>
      </c>
      <c r="C5772" t="n">
        <v>1.4858</v>
      </c>
    </row>
    <row r="5773">
      <c r="A5773" t="n">
        <v>1.4372</v>
      </c>
      <c r="B5773" t="n">
        <v>1.5077</v>
      </c>
      <c r="C5773" t="n">
        <v>1.4296</v>
      </c>
    </row>
    <row r="5774">
      <c r="A5774" t="n">
        <v>1.6158</v>
      </c>
      <c r="B5774" t="n">
        <v>1.4456</v>
      </c>
      <c r="C5774" t="n">
        <v>1.477</v>
      </c>
    </row>
    <row r="5775">
      <c r="A5775" t="n">
        <v>1.4882</v>
      </c>
      <c r="B5775" t="n">
        <v>1.4526</v>
      </c>
      <c r="C5775" t="n">
        <v>1.4425</v>
      </c>
    </row>
    <row r="5776">
      <c r="A5776" t="n">
        <v>1.41</v>
      </c>
      <c r="B5776" t="n">
        <v>1.4248</v>
      </c>
      <c r="C5776" t="n">
        <v>1.4374</v>
      </c>
    </row>
    <row r="5777">
      <c r="A5777" t="n">
        <v>1.3643</v>
      </c>
      <c r="B5777" t="n">
        <v>1.4228</v>
      </c>
      <c r="C5777" t="n">
        <v>1.3918</v>
      </c>
    </row>
    <row r="5778">
      <c r="A5778" t="n">
        <v>1.7653</v>
      </c>
      <c r="B5778" t="n">
        <v>1.737</v>
      </c>
      <c r="C5778" t="n">
        <v>1.468</v>
      </c>
    </row>
    <row r="5779">
      <c r="A5779" t="n">
        <v>1.6415</v>
      </c>
      <c r="B5779" t="n">
        <v>1.7442</v>
      </c>
      <c r="C5779" t="n">
        <v>1.6016</v>
      </c>
    </row>
    <row r="5780">
      <c r="A5780" t="n">
        <v>1.5007</v>
      </c>
      <c r="B5780" t="n">
        <v>1.7161</v>
      </c>
      <c r="C5780" t="n">
        <v>1.4976</v>
      </c>
    </row>
    <row r="5781">
      <c r="A5781" t="n">
        <v>1.4581</v>
      </c>
      <c r="B5781" t="n">
        <v>1.5278</v>
      </c>
      <c r="C5781" t="n">
        <v>1.4253</v>
      </c>
    </row>
    <row r="5782">
      <c r="A5782" t="n">
        <v>1.443</v>
      </c>
      <c r="B5782" t="n">
        <v>1.6124</v>
      </c>
      <c r="C5782" t="n">
        <v>1.4249</v>
      </c>
    </row>
    <row r="5783">
      <c r="A5783" t="n">
        <v>1.4226</v>
      </c>
      <c r="B5783" t="n">
        <v>1.4901</v>
      </c>
      <c r="C5783" t="n">
        <v>1.4354</v>
      </c>
    </row>
    <row r="5784">
      <c r="A5784" t="n">
        <v>1.4428</v>
      </c>
      <c r="B5784" t="n">
        <v>1.4214</v>
      </c>
      <c r="C5784" t="n">
        <v>1.4371</v>
      </c>
    </row>
    <row r="5785">
      <c r="A5785" t="n">
        <v>1.6326</v>
      </c>
      <c r="B5785" t="n">
        <v>1.3996</v>
      </c>
      <c r="C5785" t="n">
        <v>1.6693</v>
      </c>
    </row>
    <row r="5786">
      <c r="A5786" t="n">
        <v>1.8006</v>
      </c>
      <c r="B5786" t="n">
        <v>1.4246</v>
      </c>
      <c r="C5786" t="n">
        <v>1.7339</v>
      </c>
    </row>
    <row r="5787">
      <c r="A5787" t="n">
        <v>1.4885</v>
      </c>
      <c r="B5787" t="n">
        <v>1.4702</v>
      </c>
      <c r="C5787" t="n">
        <v>1.5046</v>
      </c>
    </row>
    <row r="5788">
      <c r="A5788" t="n">
        <v>1.45</v>
      </c>
      <c r="B5788" t="n">
        <v>1.6401</v>
      </c>
      <c r="C5788" t="n">
        <v>1.4513</v>
      </c>
    </row>
    <row r="5789">
      <c r="A5789" t="n">
        <v>1.4247</v>
      </c>
      <c r="B5789" t="n">
        <v>1.8222</v>
      </c>
      <c r="C5789" t="n">
        <v>1.4502</v>
      </c>
    </row>
    <row r="5790">
      <c r="A5790" t="n">
        <v>1.7217</v>
      </c>
      <c r="B5790" t="n">
        <v>1.4815</v>
      </c>
      <c r="C5790" t="n">
        <v>1.425</v>
      </c>
    </row>
    <row r="5791">
      <c r="A5791" t="n">
        <v>1.7243</v>
      </c>
      <c r="B5791" t="n">
        <v>1.4332</v>
      </c>
      <c r="C5791" t="n">
        <v>1.5001</v>
      </c>
    </row>
    <row r="5792">
      <c r="A5792" t="n">
        <v>1.4672</v>
      </c>
      <c r="B5792" t="n">
        <v>1.4248</v>
      </c>
      <c r="C5792" t="n">
        <v>1.6955</v>
      </c>
    </row>
    <row r="5793">
      <c r="A5793" t="n">
        <v>1.4214</v>
      </c>
      <c r="B5793" t="n">
        <v>1.6231</v>
      </c>
      <c r="C5793" t="n">
        <v>1.4531</v>
      </c>
    </row>
    <row r="5794">
      <c r="A5794" t="n">
        <v>1.4423</v>
      </c>
      <c r="B5794" t="n">
        <v>2.1139</v>
      </c>
      <c r="C5794" t="n">
        <v>1.7583</v>
      </c>
    </row>
    <row r="5795">
      <c r="A5795" t="n">
        <v>1.5851</v>
      </c>
      <c r="B5795" t="n">
        <v>1.6445</v>
      </c>
      <c r="C5795" t="n">
        <v>1.6204</v>
      </c>
    </row>
    <row r="5796">
      <c r="A5796" t="n">
        <v>1.529</v>
      </c>
      <c r="B5796" t="n">
        <v>1.5161</v>
      </c>
      <c r="C5796" t="n">
        <v>1.7139</v>
      </c>
    </row>
    <row r="5797">
      <c r="A5797" t="n">
        <v>1.6447</v>
      </c>
      <c r="B5797" t="n">
        <v>1.6885</v>
      </c>
      <c r="C5797" t="n">
        <v>1.4887</v>
      </c>
    </row>
    <row r="5798">
      <c r="A5798" t="n">
        <v>1.4802</v>
      </c>
      <c r="B5798" t="n">
        <v>1.5012</v>
      </c>
      <c r="C5798" t="n">
        <v>1.4516</v>
      </c>
    </row>
    <row r="5799">
      <c r="A5799" t="n">
        <v>1.4754</v>
      </c>
      <c r="B5799" t="n">
        <v>1.4801</v>
      </c>
      <c r="C5799" t="n">
        <v>1.4275</v>
      </c>
    </row>
    <row r="5800">
      <c r="A5800" t="n">
        <v>1.4038</v>
      </c>
      <c r="B5800" t="n">
        <v>1.4163</v>
      </c>
      <c r="C5800" t="n">
        <v>1.6218</v>
      </c>
    </row>
    <row r="5801">
      <c r="A5801" t="n">
        <v>1.4216</v>
      </c>
      <c r="B5801" t="n">
        <v>1.3942</v>
      </c>
      <c r="C5801" t="n">
        <v>1.5769</v>
      </c>
    </row>
    <row r="5802">
      <c r="A5802" t="n">
        <v>1.4424</v>
      </c>
      <c r="B5802" t="n">
        <v>1.4192</v>
      </c>
      <c r="C5802" t="n">
        <v>1.399</v>
      </c>
    </row>
    <row r="5803">
      <c r="A5803" t="n">
        <v>1.3803</v>
      </c>
      <c r="B5803" t="n">
        <v>1.6705</v>
      </c>
      <c r="C5803" t="n">
        <v>1.4288</v>
      </c>
    </row>
    <row r="5804">
      <c r="A5804" t="n">
        <v>1.4447</v>
      </c>
      <c r="B5804" t="n">
        <v>1.683</v>
      </c>
      <c r="C5804" t="n">
        <v>1.7139</v>
      </c>
    </row>
    <row r="5805">
      <c r="A5805" t="n">
        <v>1.6353</v>
      </c>
      <c r="B5805" t="n">
        <v>1.4785</v>
      </c>
      <c r="C5805" t="n">
        <v>1.6299</v>
      </c>
    </row>
    <row r="5806">
      <c r="A5806" t="n">
        <v>1.4809</v>
      </c>
      <c r="B5806" t="n">
        <v>1.4547</v>
      </c>
      <c r="C5806" t="n">
        <v>1.5411</v>
      </c>
    </row>
    <row r="5807">
      <c r="A5807" t="n">
        <v>1.4394</v>
      </c>
      <c r="B5807" t="n">
        <v>1.4478</v>
      </c>
      <c r="C5807" t="n">
        <v>1.6566</v>
      </c>
    </row>
    <row r="5808">
      <c r="A5808" t="n">
        <v>1.7345</v>
      </c>
      <c r="B5808" t="n">
        <v>1.6477</v>
      </c>
      <c r="C5808" t="n">
        <v>1.4613</v>
      </c>
    </row>
    <row r="5809">
      <c r="A5809" t="n">
        <v>1.5656</v>
      </c>
      <c r="B5809" t="n">
        <v>1.7017</v>
      </c>
      <c r="C5809" t="n">
        <v>1.4388</v>
      </c>
    </row>
    <row r="5810">
      <c r="A5810" t="n">
        <v>1.9376</v>
      </c>
      <c r="B5810" t="n">
        <v>1.4836</v>
      </c>
      <c r="C5810" t="n">
        <v>1.4033</v>
      </c>
    </row>
    <row r="5811">
      <c r="A5811" t="n">
        <v>1.4854</v>
      </c>
      <c r="B5811" t="n">
        <v>1.483</v>
      </c>
      <c r="C5811" t="n">
        <v>1.4151</v>
      </c>
    </row>
    <row r="5812">
      <c r="A5812" t="n">
        <v>1.4356</v>
      </c>
      <c r="B5812" t="n">
        <v>1.4337</v>
      </c>
      <c r="C5812" t="n">
        <v>1.4359</v>
      </c>
    </row>
    <row r="5813">
      <c r="A5813" t="n">
        <v>1.6182</v>
      </c>
      <c r="B5813" t="n">
        <v>1.6011</v>
      </c>
      <c r="C5813" t="n">
        <v>1.6586</v>
      </c>
    </row>
    <row r="5814">
      <c r="A5814" t="n">
        <v>1.6992</v>
      </c>
      <c r="B5814" t="n">
        <v>1.8228</v>
      </c>
      <c r="C5814" t="n">
        <v>1.7221</v>
      </c>
    </row>
    <row r="5815">
      <c r="A5815" t="n">
        <v>1.5187</v>
      </c>
      <c r="B5815" t="n">
        <v>1.4941</v>
      </c>
      <c r="C5815" t="n">
        <v>1.503</v>
      </c>
    </row>
    <row r="5816">
      <c r="A5816" t="n">
        <v>1.4125</v>
      </c>
      <c r="B5816" t="n">
        <v>1.4182</v>
      </c>
      <c r="C5816" t="n">
        <v>1.5052</v>
      </c>
    </row>
    <row r="5817">
      <c r="A5817" t="n">
        <v>1.4641</v>
      </c>
      <c r="B5817" t="n">
        <v>1.4566</v>
      </c>
      <c r="C5817" t="n">
        <v>1.4304</v>
      </c>
    </row>
    <row r="5818">
      <c r="A5818" t="n">
        <v>1.5963</v>
      </c>
      <c r="B5818" t="n">
        <v>1.6229</v>
      </c>
      <c r="C5818" t="n">
        <v>1.6679</v>
      </c>
    </row>
    <row r="5819">
      <c r="A5819" t="n">
        <v>1.5288</v>
      </c>
      <c r="B5819" t="n">
        <v>1.5896</v>
      </c>
      <c r="C5819" t="n">
        <v>1.7168</v>
      </c>
    </row>
    <row r="5820">
      <c r="A5820" t="n">
        <v>1.677</v>
      </c>
      <c r="B5820" t="n">
        <v>1.4655</v>
      </c>
      <c r="C5820" t="n">
        <v>1.4685</v>
      </c>
    </row>
    <row r="5821">
      <c r="A5821" t="n">
        <v>1.4949</v>
      </c>
      <c r="B5821" t="n">
        <v>1.4412</v>
      </c>
      <c r="C5821" t="n">
        <v>1.4452</v>
      </c>
    </row>
    <row r="5822">
      <c r="A5822" t="n">
        <v>1.4163</v>
      </c>
      <c r="B5822" t="n">
        <v>1.4124</v>
      </c>
      <c r="C5822" t="n">
        <v>1.4766</v>
      </c>
    </row>
    <row r="5823">
      <c r="A5823" t="n">
        <v>1.69</v>
      </c>
      <c r="B5823" t="n">
        <v>1.4422</v>
      </c>
      <c r="C5823" t="n">
        <v>1.6292</v>
      </c>
    </row>
    <row r="5824">
      <c r="A5824" t="n">
        <v>1.5478</v>
      </c>
      <c r="B5824" t="n">
        <v>1.435</v>
      </c>
      <c r="C5824" t="n">
        <v>1.7362</v>
      </c>
    </row>
    <row r="5825">
      <c r="A5825" t="n">
        <v>1.6173</v>
      </c>
      <c r="B5825" t="n">
        <v>1.4324</v>
      </c>
      <c r="C5825" t="n">
        <v>1.498</v>
      </c>
    </row>
    <row r="5826">
      <c r="A5826" t="n">
        <v>1.4651</v>
      </c>
      <c r="B5826" t="n">
        <v>2.0972</v>
      </c>
      <c r="C5826" t="n">
        <v>1.7634</v>
      </c>
    </row>
    <row r="5827">
      <c r="A5827" t="n">
        <v>1.4466</v>
      </c>
      <c r="B5827" t="n">
        <v>1.5125</v>
      </c>
      <c r="C5827" t="n">
        <v>1.6527</v>
      </c>
    </row>
    <row r="5828">
      <c r="A5828" t="n">
        <v>1.3799</v>
      </c>
      <c r="B5828" t="n">
        <v>1.4031</v>
      </c>
      <c r="C5828" t="n">
        <v>1.5086</v>
      </c>
    </row>
    <row r="5829">
      <c r="A5829" t="n">
        <v>1.4217</v>
      </c>
      <c r="B5829" t="n">
        <v>1.4646</v>
      </c>
      <c r="C5829" t="n">
        <v>1.6982</v>
      </c>
    </row>
    <row r="5830">
      <c r="A5830" t="n">
        <v>1.4213</v>
      </c>
      <c r="B5830" t="n">
        <v>1.4527</v>
      </c>
      <c r="C5830" t="n">
        <v>1.7176</v>
      </c>
    </row>
    <row r="5831">
      <c r="A5831" t="n">
        <v>1.3871</v>
      </c>
      <c r="B5831" t="n">
        <v>1.674</v>
      </c>
      <c r="C5831" t="n">
        <v>1.5065</v>
      </c>
    </row>
    <row r="5832">
      <c r="A5832" t="n">
        <v>1.4726</v>
      </c>
      <c r="B5832" t="n">
        <v>1.6594</v>
      </c>
      <c r="C5832" t="n">
        <v>1.6345</v>
      </c>
    </row>
    <row r="5833">
      <c r="A5833" t="n">
        <v>1.6394</v>
      </c>
      <c r="B5833" t="n">
        <v>1.5159</v>
      </c>
      <c r="C5833" t="n">
        <v>1.5052</v>
      </c>
    </row>
    <row r="5834">
      <c r="A5834" t="n">
        <v>1.4962</v>
      </c>
      <c r="B5834" t="n">
        <v>1.432</v>
      </c>
      <c r="C5834" t="n">
        <v>1.4402</v>
      </c>
    </row>
    <row r="5835">
      <c r="A5835" t="n">
        <v>1.7077</v>
      </c>
      <c r="B5835" t="n">
        <v>1.4296</v>
      </c>
      <c r="C5835" t="n">
        <v>1.3833</v>
      </c>
    </row>
    <row r="5836">
      <c r="A5836" t="n">
        <v>1.662</v>
      </c>
      <c r="B5836" t="n">
        <v>1.6168</v>
      </c>
      <c r="C5836" t="n">
        <v>1.4257</v>
      </c>
    </row>
    <row r="5837">
      <c r="A5837" t="n">
        <v>1.4977</v>
      </c>
      <c r="B5837" t="n">
        <v>1.7772</v>
      </c>
      <c r="C5837" t="n">
        <v>1.4357</v>
      </c>
    </row>
    <row r="5838">
      <c r="A5838" t="n">
        <v>1.6597</v>
      </c>
      <c r="B5838" t="n">
        <v>1.5112</v>
      </c>
      <c r="C5838" t="n">
        <v>1.68</v>
      </c>
    </row>
    <row r="5839">
      <c r="A5839" t="n">
        <v>1.4846</v>
      </c>
      <c r="B5839" t="n">
        <v>1.4209</v>
      </c>
      <c r="C5839" t="n">
        <v>1.6605</v>
      </c>
    </row>
    <row r="5840">
      <c r="A5840" t="n">
        <v>1.4252</v>
      </c>
      <c r="B5840" t="n">
        <v>1.4083</v>
      </c>
      <c r="C5840" t="n">
        <v>1.5121</v>
      </c>
    </row>
    <row r="5841">
      <c r="A5841" t="n">
        <v>1.6285</v>
      </c>
      <c r="B5841" t="n">
        <v>1.6079</v>
      </c>
      <c r="C5841" t="n">
        <v>1.4294</v>
      </c>
    </row>
    <row r="5842">
      <c r="A5842" t="n">
        <v>2.1235</v>
      </c>
      <c r="B5842" t="n">
        <v>1.5406</v>
      </c>
      <c r="C5842" t="n">
        <v>1.4326</v>
      </c>
    </row>
    <row r="5843">
      <c r="A5843" t="n">
        <v>1.5581</v>
      </c>
      <c r="B5843" t="n">
        <v>1.6776</v>
      </c>
      <c r="C5843" t="n">
        <v>1.6188</v>
      </c>
    </row>
    <row r="5844">
      <c r="A5844" t="n">
        <v>1.5225</v>
      </c>
      <c r="B5844" t="n">
        <v>1.4934</v>
      </c>
      <c r="C5844" t="n">
        <v>1.8913</v>
      </c>
    </row>
    <row r="5845">
      <c r="A5845" t="n">
        <v>1.4396</v>
      </c>
      <c r="B5845" t="n">
        <v>1.4588</v>
      </c>
      <c r="C5845" t="n">
        <v>1.4753</v>
      </c>
    </row>
    <row r="5846">
      <c r="A5846" t="n">
        <v>1.3783</v>
      </c>
      <c r="B5846" t="n">
        <v>1.6101</v>
      </c>
      <c r="C5846" t="n">
        <v>1.436</v>
      </c>
    </row>
    <row r="5847">
      <c r="A5847" t="n">
        <v>1.4577</v>
      </c>
      <c r="B5847" t="n">
        <v>1.5435</v>
      </c>
      <c r="C5847" t="n">
        <v>1.4394</v>
      </c>
    </row>
    <row r="5848">
      <c r="A5848" t="n">
        <v>1.6377</v>
      </c>
      <c r="B5848" t="n">
        <v>1.6938</v>
      </c>
      <c r="C5848" t="n">
        <v>1.6128</v>
      </c>
    </row>
    <row r="5849">
      <c r="A5849" t="n">
        <v>1.4735</v>
      </c>
      <c r="B5849" t="n">
        <v>1.4759</v>
      </c>
      <c r="C5849" t="n">
        <v>1.722</v>
      </c>
    </row>
    <row r="5850">
      <c r="A5850" t="n">
        <v>1.4575</v>
      </c>
      <c r="B5850" t="n">
        <v>1.4579</v>
      </c>
      <c r="C5850" t="n">
        <v>1.4864</v>
      </c>
    </row>
    <row r="5851">
      <c r="A5851" t="n">
        <v>1.6571</v>
      </c>
      <c r="B5851" t="n">
        <v>1.4035</v>
      </c>
      <c r="C5851" t="n">
        <v>1.4953</v>
      </c>
    </row>
    <row r="5852">
      <c r="A5852" t="n">
        <v>1.5203</v>
      </c>
      <c r="B5852" t="n">
        <v>1.4461</v>
      </c>
      <c r="C5852" t="n">
        <v>1.4417</v>
      </c>
    </row>
    <row r="5853">
      <c r="A5853" t="n">
        <v>1.6347</v>
      </c>
      <c r="B5853" t="n">
        <v>1.4409</v>
      </c>
      <c r="C5853" t="n">
        <v>1.6124</v>
      </c>
    </row>
    <row r="5854">
      <c r="A5854" t="n">
        <v>1.4802</v>
      </c>
      <c r="B5854" t="n">
        <v>1.4073</v>
      </c>
      <c r="C5854" t="n">
        <v>1.5414</v>
      </c>
    </row>
    <row r="5855">
      <c r="A5855" t="n">
        <v>1.412</v>
      </c>
      <c r="B5855" t="n">
        <v>1.4825</v>
      </c>
      <c r="C5855" t="n">
        <v>1.4638</v>
      </c>
    </row>
    <row r="5856">
      <c r="A5856" t="n">
        <v>1.4339</v>
      </c>
      <c r="B5856" t="n">
        <v>1.6789</v>
      </c>
      <c r="C5856" t="n">
        <v>1.4279</v>
      </c>
    </row>
    <row r="5857">
      <c r="A5857" t="n">
        <v>1.4132</v>
      </c>
      <c r="B5857" t="n">
        <v>1.5127</v>
      </c>
      <c r="C5857" t="n">
        <v>1.6682</v>
      </c>
    </row>
    <row r="5858">
      <c r="A5858" t="n">
        <v>1.4471</v>
      </c>
      <c r="B5858" t="n">
        <v>2.0498</v>
      </c>
      <c r="C5858" t="n">
        <v>2.0483</v>
      </c>
    </row>
    <row r="5859">
      <c r="A5859" t="n">
        <v>1.4095</v>
      </c>
      <c r="B5859" t="n">
        <v>1.5256</v>
      </c>
      <c r="C5859" t="n">
        <v>1.6528</v>
      </c>
    </row>
    <row r="5860">
      <c r="A5860" t="n">
        <v>1.4447</v>
      </c>
      <c r="B5860" t="n">
        <v>1.6315</v>
      </c>
      <c r="C5860" t="n">
        <v>1.5251</v>
      </c>
    </row>
    <row r="5861">
      <c r="A5861" t="n">
        <v>1.5885</v>
      </c>
      <c r="B5861" t="n">
        <v>1.7098</v>
      </c>
      <c r="C5861" t="n">
        <v>1.4436</v>
      </c>
    </row>
    <row r="5862">
      <c r="A5862" t="n">
        <v>1.5234</v>
      </c>
      <c r="B5862" t="n">
        <v>1.5726</v>
      </c>
      <c r="C5862" t="n">
        <v>1.4144</v>
      </c>
    </row>
    <row r="5863">
      <c r="A5863" t="n">
        <v>1.6721</v>
      </c>
      <c r="B5863" t="n">
        <v>1.6533</v>
      </c>
      <c r="C5863" t="n">
        <v>1.6605</v>
      </c>
    </row>
    <row r="5864">
      <c r="A5864" t="n">
        <v>1.6354</v>
      </c>
      <c r="B5864" t="n">
        <v>1.4756</v>
      </c>
      <c r="C5864" t="n">
        <v>1.6989</v>
      </c>
    </row>
    <row r="5865">
      <c r="A5865" t="n">
        <v>1.5325</v>
      </c>
      <c r="B5865" t="n">
        <v>1.4799</v>
      </c>
      <c r="C5865" t="n">
        <v>1.4697</v>
      </c>
    </row>
    <row r="5866">
      <c r="A5866" t="n">
        <v>1.6408</v>
      </c>
      <c r="B5866" t="n">
        <v>1.4021</v>
      </c>
      <c r="C5866" t="n">
        <v>1.4317</v>
      </c>
    </row>
    <row r="5867">
      <c r="A5867" t="n">
        <v>1.4675</v>
      </c>
      <c r="B5867" t="n">
        <v>1.4404</v>
      </c>
      <c r="C5867" t="n">
        <v>1.4411</v>
      </c>
    </row>
    <row r="5868">
      <c r="A5868" t="n">
        <v>1.4282</v>
      </c>
      <c r="B5868" t="n">
        <v>1.4209</v>
      </c>
      <c r="C5868" t="n">
        <v>1.592</v>
      </c>
    </row>
    <row r="5869">
      <c r="A5869" t="n">
        <v>1.3845</v>
      </c>
      <c r="B5869" t="n">
        <v>1.4399</v>
      </c>
      <c r="C5869" t="n">
        <v>1.5478</v>
      </c>
    </row>
    <row r="5870">
      <c r="A5870" t="n">
        <v>1.4085</v>
      </c>
      <c r="B5870" t="n">
        <v>1.4633</v>
      </c>
      <c r="C5870" t="n">
        <v>1.6455</v>
      </c>
    </row>
    <row r="5871">
      <c r="A5871" t="n">
        <v>1.4625</v>
      </c>
      <c r="B5871" t="n">
        <v>1.6633</v>
      </c>
      <c r="C5871" t="n">
        <v>1.4836</v>
      </c>
    </row>
    <row r="5872">
      <c r="A5872" t="n">
        <v>1.6474</v>
      </c>
      <c r="B5872" t="n">
        <v>1.5076</v>
      </c>
      <c r="C5872" t="n">
        <v>1.4436</v>
      </c>
    </row>
    <row r="5873">
      <c r="A5873" t="n">
        <v>1.6962</v>
      </c>
      <c r="B5873" t="n">
        <v>1.4512</v>
      </c>
      <c r="C5873" t="n">
        <v>1.4193</v>
      </c>
    </row>
    <row r="5874">
      <c r="A5874" t="n">
        <v>2.0053</v>
      </c>
      <c r="B5874" t="n">
        <v>1.6665</v>
      </c>
      <c r="C5874" t="n">
        <v>1.4291</v>
      </c>
    </row>
    <row r="5875">
      <c r="A5875" t="n">
        <v>1.5209</v>
      </c>
      <c r="B5875" t="n">
        <v>1.5358</v>
      </c>
      <c r="C5875" t="n">
        <v>1.4296</v>
      </c>
    </row>
    <row r="5876">
      <c r="A5876" t="n">
        <v>1.5975</v>
      </c>
      <c r="B5876" t="n">
        <v>1.6187</v>
      </c>
      <c r="C5876" t="n">
        <v>1.4653</v>
      </c>
    </row>
    <row r="5877">
      <c r="A5877" t="n">
        <v>1.4843</v>
      </c>
      <c r="B5877" t="n">
        <v>1.513</v>
      </c>
      <c r="C5877" t="n">
        <v>1.5293</v>
      </c>
    </row>
    <row r="5878">
      <c r="A5878" t="n">
        <v>1.4455</v>
      </c>
      <c r="B5878" t="n">
        <v>1.4465</v>
      </c>
      <c r="C5878" t="n">
        <v>1.4292</v>
      </c>
    </row>
    <row r="5879">
      <c r="A5879" t="n">
        <v>1.3954</v>
      </c>
      <c r="B5879" t="n">
        <v>1.4149</v>
      </c>
      <c r="C5879" t="n">
        <v>1.4455</v>
      </c>
    </row>
    <row r="5880">
      <c r="A5880" t="n">
        <v>1.4149</v>
      </c>
      <c r="B5880" t="n">
        <v>1.4422</v>
      </c>
      <c r="C5880" t="n">
        <v>1.4115</v>
      </c>
    </row>
    <row r="5881">
      <c r="A5881" t="n">
        <v>1.4108</v>
      </c>
      <c r="B5881" t="n">
        <v>1.4231</v>
      </c>
      <c r="C5881" t="n">
        <v>1.4337</v>
      </c>
    </row>
    <row r="5882">
      <c r="A5882" t="n">
        <v>1.3932</v>
      </c>
      <c r="B5882" t="n">
        <v>1.411</v>
      </c>
      <c r="C5882" t="n">
        <v>1.426</v>
      </c>
    </row>
    <row r="5883">
      <c r="A5883" t="n">
        <v>1.4715</v>
      </c>
      <c r="B5883" t="n">
        <v>1.5764</v>
      </c>
      <c r="C5883" t="n">
        <v>1.4249</v>
      </c>
    </row>
    <row r="5884">
      <c r="A5884" t="n">
        <v>1.6399</v>
      </c>
      <c r="B5884" t="n">
        <v>1.423</v>
      </c>
      <c r="C5884" t="n">
        <v>1.5896</v>
      </c>
    </row>
    <row r="5885">
      <c r="A5885" t="n">
        <v>1.4862</v>
      </c>
      <c r="B5885" t="n">
        <v>1.4173</v>
      </c>
      <c r="C5885" t="n">
        <v>1.5368</v>
      </c>
    </row>
    <row r="5886">
      <c r="A5886" t="n">
        <v>1.4268</v>
      </c>
      <c r="B5886" t="n">
        <v>1.6892</v>
      </c>
      <c r="C5886" t="n">
        <v>1.3887</v>
      </c>
    </row>
    <row r="5887">
      <c r="A5887" t="n">
        <v>1.424</v>
      </c>
      <c r="B5887" t="n">
        <v>1.6738</v>
      </c>
      <c r="C5887" t="n">
        <v>1.4286</v>
      </c>
    </row>
    <row r="5888">
      <c r="A5888" t="n">
        <v>1.4352</v>
      </c>
      <c r="B5888" t="n">
        <v>1.4999</v>
      </c>
      <c r="C5888" t="n">
        <v>1.6491</v>
      </c>
    </row>
    <row r="5889">
      <c r="A5889" t="n">
        <v>1.4616</v>
      </c>
      <c r="B5889" t="n">
        <v>1.6442</v>
      </c>
      <c r="C5889" t="n">
        <v>1.6601</v>
      </c>
    </row>
    <row r="5890">
      <c r="A5890" t="n">
        <v>1.7205</v>
      </c>
      <c r="B5890" t="n">
        <v>1.8172</v>
      </c>
      <c r="C5890" t="n">
        <v>2.0558</v>
      </c>
    </row>
    <row r="5891">
      <c r="A5891" t="n">
        <v>1.6725</v>
      </c>
      <c r="B5891" t="n">
        <v>1.4394</v>
      </c>
      <c r="C5891" t="n">
        <v>1.5056</v>
      </c>
    </row>
    <row r="5892">
      <c r="A5892" t="n">
        <v>1.4781</v>
      </c>
      <c r="B5892" t="n">
        <v>1.6499</v>
      </c>
      <c r="C5892" t="n">
        <v>1.433</v>
      </c>
    </row>
    <row r="5893">
      <c r="A5893" t="n">
        <v>1.4308</v>
      </c>
      <c r="B5893" t="n">
        <v>1.6881</v>
      </c>
      <c r="C5893" t="n">
        <v>1.4357</v>
      </c>
    </row>
    <row r="5894">
      <c r="A5894" t="n">
        <v>1.4259</v>
      </c>
      <c r="B5894" t="n">
        <v>1.4753</v>
      </c>
      <c r="C5894" t="n">
        <v>1.6427</v>
      </c>
    </row>
    <row r="5895">
      <c r="A5895" t="n">
        <v>1.613</v>
      </c>
      <c r="B5895" t="n">
        <v>1.4439</v>
      </c>
      <c r="C5895" t="n">
        <v>1.7319</v>
      </c>
    </row>
    <row r="5896">
      <c r="A5896" t="n">
        <v>1.5474</v>
      </c>
      <c r="B5896" t="n">
        <v>1.4365</v>
      </c>
      <c r="C5896" t="n">
        <v>1.5055</v>
      </c>
    </row>
    <row r="5897">
      <c r="A5897" t="n">
        <v>1.627</v>
      </c>
      <c r="B5897" t="n">
        <v>1.5836</v>
      </c>
      <c r="C5897" t="n">
        <v>1.4342</v>
      </c>
    </row>
    <row r="5898">
      <c r="A5898" t="n">
        <v>1.4638</v>
      </c>
      <c r="B5898" t="n">
        <v>1.5075</v>
      </c>
      <c r="C5898" t="n">
        <v>1.4194</v>
      </c>
    </row>
    <row r="5899">
      <c r="A5899" t="n">
        <v>1.4475</v>
      </c>
      <c r="B5899" t="n">
        <v>1.6497</v>
      </c>
      <c r="C5899" t="n">
        <v>1.6233</v>
      </c>
    </row>
    <row r="5900">
      <c r="A5900" t="n">
        <v>1.373</v>
      </c>
      <c r="B5900" t="n">
        <v>1.4846</v>
      </c>
      <c r="C5900" t="n">
        <v>1.5151</v>
      </c>
    </row>
    <row r="5901">
      <c r="A5901" t="n">
        <v>1.4157</v>
      </c>
      <c r="B5901" t="n">
        <v>1.4738</v>
      </c>
      <c r="C5901" t="n">
        <v>1.5901</v>
      </c>
    </row>
    <row r="5902">
      <c r="A5902" t="n">
        <v>1.4488</v>
      </c>
      <c r="B5902" t="n">
        <v>1.4186</v>
      </c>
      <c r="C5902" t="n">
        <v>1.5193</v>
      </c>
    </row>
    <row r="5903">
      <c r="A5903" t="n">
        <v>1.6665</v>
      </c>
      <c r="B5903" t="n">
        <v>1.4573</v>
      </c>
      <c r="C5903" t="n">
        <v>1.4449</v>
      </c>
    </row>
    <row r="5904">
      <c r="A5904" t="n">
        <v>1.6916</v>
      </c>
      <c r="B5904" t="n">
        <v>1.4296</v>
      </c>
      <c r="C5904" t="n">
        <v>1.3973</v>
      </c>
    </row>
    <row r="5905">
      <c r="A5905" t="n">
        <v>1.4805</v>
      </c>
      <c r="B5905" t="n">
        <v>1.4394</v>
      </c>
      <c r="C5905" t="n">
        <v>1.4474</v>
      </c>
    </row>
    <row r="5906">
      <c r="A5906" t="n">
        <v>1.7527</v>
      </c>
      <c r="B5906" t="n">
        <v>1.7975</v>
      </c>
      <c r="C5906" t="n">
        <v>1.4701</v>
      </c>
    </row>
    <row r="5907">
      <c r="A5907" t="n">
        <v>1.6426</v>
      </c>
      <c r="B5907" t="n">
        <v>1.4846</v>
      </c>
      <c r="C5907" t="n">
        <v>1.3822</v>
      </c>
    </row>
    <row r="5908">
      <c r="A5908" t="n">
        <v>1.5247</v>
      </c>
      <c r="B5908" t="n">
        <v>1.453</v>
      </c>
      <c r="C5908" t="n">
        <v>1.4611</v>
      </c>
    </row>
    <row r="5909">
      <c r="A5909" t="n">
        <v>1.7013</v>
      </c>
      <c r="B5909" t="n">
        <v>1.4378</v>
      </c>
      <c r="C5909" t="n">
        <v>1.6308</v>
      </c>
    </row>
    <row r="5910">
      <c r="A5910" t="n">
        <v>1.7102</v>
      </c>
      <c r="B5910" t="n">
        <v>1.6235</v>
      </c>
      <c r="C5910" t="n">
        <v>1.484</v>
      </c>
    </row>
    <row r="5911">
      <c r="A5911" t="n">
        <v>1.5246</v>
      </c>
      <c r="B5911" t="n">
        <v>1.825</v>
      </c>
      <c r="C5911" t="n">
        <v>1.4585</v>
      </c>
    </row>
    <row r="5912">
      <c r="A5912" t="n">
        <v>1.5829</v>
      </c>
      <c r="B5912" t="n">
        <v>1.4658</v>
      </c>
      <c r="C5912" t="n">
        <v>1.4569</v>
      </c>
    </row>
    <row r="5913">
      <c r="A5913" t="n">
        <v>1.4955</v>
      </c>
      <c r="B5913" t="n">
        <v>1.447</v>
      </c>
      <c r="C5913" t="n">
        <v>1.4225</v>
      </c>
    </row>
    <row r="5914">
      <c r="A5914" t="n">
        <v>1.4555</v>
      </c>
      <c r="B5914" t="n">
        <v>1.446</v>
      </c>
      <c r="C5914" t="n">
        <v>1.4743</v>
      </c>
    </row>
    <row r="5915">
      <c r="A5915" t="n">
        <v>1.3696</v>
      </c>
      <c r="B5915" t="n">
        <v>1.5966</v>
      </c>
      <c r="C5915" t="n">
        <v>1.4315</v>
      </c>
    </row>
    <row r="5916">
      <c r="A5916" t="n">
        <v>1.4217</v>
      </c>
      <c r="B5916" t="n">
        <v>1.5263</v>
      </c>
      <c r="C5916" t="n">
        <v>1.4428</v>
      </c>
    </row>
    <row r="5917">
      <c r="A5917" t="n">
        <v>1.4199</v>
      </c>
      <c r="B5917" t="n">
        <v>1.6539</v>
      </c>
      <c r="C5917" t="n">
        <v>1.6613</v>
      </c>
    </row>
    <row r="5918">
      <c r="A5918" t="n">
        <v>1.4037</v>
      </c>
      <c r="B5918" t="n">
        <v>1.4656</v>
      </c>
      <c r="C5918" t="n">
        <v>1.4851</v>
      </c>
    </row>
    <row r="5919">
      <c r="A5919" t="n">
        <v>1.5148</v>
      </c>
      <c r="B5919" t="n">
        <v>1.4474</v>
      </c>
      <c r="C5919" t="n">
        <v>1.435</v>
      </c>
    </row>
    <row r="5920">
      <c r="A5920" t="n">
        <v>1.6327</v>
      </c>
      <c r="B5920" t="n">
        <v>1.3998</v>
      </c>
      <c r="C5920" t="n">
        <v>1.4285</v>
      </c>
    </row>
    <row r="5921">
      <c r="A5921" t="n">
        <v>1.4951</v>
      </c>
      <c r="B5921" t="n">
        <v>1.4176</v>
      </c>
      <c r="C5921" t="n">
        <v>1.4338</v>
      </c>
    </row>
    <row r="5922">
      <c r="A5922" t="n">
        <v>1.4239</v>
      </c>
      <c r="B5922" t="n">
        <v>1.7731</v>
      </c>
      <c r="C5922" t="n">
        <v>1.751</v>
      </c>
    </row>
    <row r="5923">
      <c r="A5923" t="n">
        <v>1.4368</v>
      </c>
      <c r="B5923" t="n">
        <v>1.462</v>
      </c>
      <c r="C5923" t="n">
        <v>1.4967</v>
      </c>
    </row>
    <row r="5924">
      <c r="A5924" t="n">
        <v>1.4254</v>
      </c>
      <c r="B5924" t="n">
        <v>1.6902</v>
      </c>
      <c r="C5924" t="n">
        <v>1.704</v>
      </c>
    </row>
    <row r="5925">
      <c r="A5925" t="n">
        <v>1.4648</v>
      </c>
      <c r="B5925" t="n">
        <v>1.8109</v>
      </c>
      <c r="C5925" t="n">
        <v>1.7024</v>
      </c>
    </row>
    <row r="5926">
      <c r="A5926" t="n">
        <v>1.744</v>
      </c>
      <c r="B5926" t="n">
        <v>1.5332</v>
      </c>
      <c r="C5926" t="n">
        <v>2.0388</v>
      </c>
    </row>
    <row r="5927">
      <c r="A5927" t="n">
        <v>1.8201</v>
      </c>
      <c r="B5927" t="n">
        <v>1.688</v>
      </c>
      <c r="C5927" t="n">
        <v>1.9779</v>
      </c>
    </row>
    <row r="5928">
      <c r="A5928" t="n">
        <v>1.7824</v>
      </c>
      <c r="B5928" t="n">
        <v>1.4912</v>
      </c>
      <c r="C5928" t="n">
        <v>1.9634</v>
      </c>
    </row>
    <row r="5929">
      <c r="A5929" t="n">
        <v>1.5309</v>
      </c>
      <c r="B5929" t="n">
        <v>1.4337</v>
      </c>
      <c r="C5929" t="n">
        <v>1.9879</v>
      </c>
    </row>
    <row r="5930">
      <c r="A5930" t="n">
        <v>1.6529</v>
      </c>
      <c r="B5930" t="n">
        <v>1.3828</v>
      </c>
      <c r="C5930" t="n">
        <v>1.9325</v>
      </c>
    </row>
    <row r="5931">
      <c r="A5931" t="n">
        <v>1.5121</v>
      </c>
      <c r="B5931" t="n">
        <v>1.4217</v>
      </c>
      <c r="C5931" t="n">
        <v>1.5725</v>
      </c>
    </row>
    <row r="5932">
      <c r="A5932" t="n">
        <v>1.4348</v>
      </c>
      <c r="B5932" t="n">
        <v>1.4676</v>
      </c>
      <c r="C5932" t="n">
        <v>1.5126</v>
      </c>
    </row>
    <row r="5933">
      <c r="A5933" t="n">
        <v>1.7093</v>
      </c>
      <c r="B5933" t="n">
        <v>1.3946</v>
      </c>
      <c r="C5933" t="n">
        <v>1.449</v>
      </c>
    </row>
    <row r="5934">
      <c r="A5934" t="n">
        <v>1.528</v>
      </c>
      <c r="B5934" t="n">
        <v>1.474</v>
      </c>
      <c r="C5934" t="n">
        <v>1.4372</v>
      </c>
    </row>
    <row r="5935">
      <c r="A5935" t="n">
        <v>1.6466</v>
      </c>
      <c r="B5935" t="n">
        <v>1.6701</v>
      </c>
      <c r="C5935" t="n">
        <v>1.4585</v>
      </c>
    </row>
    <row r="5936">
      <c r="A5936" t="n">
        <v>1.4694</v>
      </c>
      <c r="B5936" t="n">
        <v>1.5068</v>
      </c>
      <c r="C5936" t="n">
        <v>1.4122</v>
      </c>
    </row>
    <row r="5937">
      <c r="A5937" t="n">
        <v>1.4405</v>
      </c>
      <c r="B5937" t="n">
        <v>1.4732</v>
      </c>
      <c r="C5937" t="n">
        <v>1.511</v>
      </c>
    </row>
    <row r="5938">
      <c r="A5938" t="n">
        <v>1.7463</v>
      </c>
      <c r="B5938" t="n">
        <v>1.406</v>
      </c>
      <c r="C5938" t="n">
        <v>1.4371</v>
      </c>
    </row>
    <row r="5939">
      <c r="A5939" t="n">
        <v>1.444</v>
      </c>
      <c r="B5939" t="n">
        <v>1.4269</v>
      </c>
      <c r="C5939" t="n">
        <v>1.4416</v>
      </c>
    </row>
    <row r="5940">
      <c r="A5940" t="n">
        <v>1.6077</v>
      </c>
      <c r="B5940" t="n">
        <v>1.426</v>
      </c>
      <c r="C5940" t="n">
        <v>1.4474</v>
      </c>
    </row>
    <row r="5941">
      <c r="A5941" t="n">
        <v>1.5306</v>
      </c>
      <c r="B5941" t="n">
        <v>1.4356</v>
      </c>
      <c r="C5941" t="n">
        <v>1.4448</v>
      </c>
    </row>
    <row r="5942">
      <c r="A5942" t="n">
        <v>1.4258</v>
      </c>
      <c r="B5942" t="n">
        <v>1.4934</v>
      </c>
      <c r="C5942" t="n">
        <v>1.6604</v>
      </c>
    </row>
    <row r="5943">
      <c r="A5943" t="n">
        <v>1.4274</v>
      </c>
      <c r="B5943" t="n">
        <v>1.6634</v>
      </c>
      <c r="C5943" t="n">
        <v>1.7</v>
      </c>
    </row>
    <row r="5944">
      <c r="A5944" t="n">
        <v>1.4184</v>
      </c>
      <c r="B5944" t="n">
        <v>1.4976</v>
      </c>
      <c r="C5944" t="n">
        <v>1.5025</v>
      </c>
    </row>
    <row r="5945">
      <c r="A5945" t="n">
        <v>1.4384</v>
      </c>
      <c r="B5945" t="n">
        <v>1.4233</v>
      </c>
      <c r="C5945" t="n">
        <v>1.4309</v>
      </c>
    </row>
    <row r="5946">
      <c r="A5946" t="n">
        <v>1.617</v>
      </c>
      <c r="B5946" t="n">
        <v>1.6572</v>
      </c>
      <c r="C5946" t="n">
        <v>1.4397</v>
      </c>
    </row>
    <row r="5947">
      <c r="A5947" t="n">
        <v>1.7272</v>
      </c>
      <c r="B5947" t="n">
        <v>1.5141</v>
      </c>
      <c r="C5947" t="n">
        <v>1.6005</v>
      </c>
    </row>
    <row r="5948">
      <c r="A5948" t="n">
        <v>1.4712</v>
      </c>
      <c r="B5948" t="n">
        <v>1.6455</v>
      </c>
      <c r="C5948" t="n">
        <v>1.8845</v>
      </c>
    </row>
    <row r="5949">
      <c r="A5949" t="n">
        <v>1.4286</v>
      </c>
      <c r="B5949" t="n">
        <v>1.486</v>
      </c>
      <c r="C5949" t="n">
        <v>1.5</v>
      </c>
    </row>
    <row r="5950">
      <c r="A5950" t="n">
        <v>1.4305</v>
      </c>
      <c r="B5950" t="n">
        <v>1.4323</v>
      </c>
      <c r="C5950" t="n">
        <v>1.4378</v>
      </c>
    </row>
    <row r="5951">
      <c r="A5951" t="n">
        <v>1.3751</v>
      </c>
      <c r="B5951" t="n">
        <v>1.3978</v>
      </c>
      <c r="C5951" t="n">
        <v>1.4584</v>
      </c>
    </row>
    <row r="5952">
      <c r="A5952" t="n">
        <v>1.4528</v>
      </c>
      <c r="B5952" t="n">
        <v>1.4195</v>
      </c>
      <c r="C5952" t="n">
        <v>1.7164</v>
      </c>
    </row>
    <row r="5953">
      <c r="A5953" t="n">
        <v>1.4429</v>
      </c>
      <c r="B5953" t="n">
        <v>1.4296</v>
      </c>
      <c r="C5953" t="n">
        <v>1.6466</v>
      </c>
    </row>
    <row r="5954">
      <c r="A5954" t="n">
        <v>1.4209</v>
      </c>
      <c r="B5954" t="n">
        <v>1.9988</v>
      </c>
      <c r="C5954" t="n">
        <v>2.0183</v>
      </c>
    </row>
    <row r="5955">
      <c r="A5955" t="n">
        <v>1.4451</v>
      </c>
      <c r="B5955" t="n">
        <v>1.71</v>
      </c>
      <c r="C5955" t="n">
        <v>1.5498</v>
      </c>
    </row>
    <row r="5956">
      <c r="A5956" t="n">
        <v>1.6224</v>
      </c>
      <c r="B5956" t="n">
        <v>1.6618</v>
      </c>
      <c r="C5956" t="n">
        <v>1.6436</v>
      </c>
    </row>
    <row r="5957">
      <c r="A5957" t="n">
        <v>1.4775</v>
      </c>
      <c r="B5957" t="n">
        <v>1.5271</v>
      </c>
      <c r="C5957" t="n">
        <v>1.4985</v>
      </c>
    </row>
    <row r="5958">
      <c r="A5958" t="n">
        <v>1.4467</v>
      </c>
      <c r="B5958" t="n">
        <v>1.7036</v>
      </c>
      <c r="C5958" t="n">
        <v>1.4938</v>
      </c>
    </row>
    <row r="5959">
      <c r="A5959" t="n">
        <v>1.403</v>
      </c>
      <c r="B5959" t="n">
        <v>1.6984</v>
      </c>
      <c r="C5959" t="n">
        <v>1.4173</v>
      </c>
    </row>
    <row r="5960">
      <c r="A5960" t="n">
        <v>1.3993</v>
      </c>
      <c r="B5960" t="n">
        <v>1.4997</v>
      </c>
      <c r="C5960" t="n">
        <v>1.4341</v>
      </c>
    </row>
    <row r="5961">
      <c r="A5961" t="n">
        <v>1.4525</v>
      </c>
      <c r="B5961" t="n">
        <v>1.6524</v>
      </c>
      <c r="C5961" t="n">
        <v>1.4337</v>
      </c>
    </row>
    <row r="5962">
      <c r="A5962" t="n">
        <v>1.6647</v>
      </c>
      <c r="B5962" t="n">
        <v>1.6898</v>
      </c>
      <c r="C5962" t="n">
        <v>1.4343</v>
      </c>
    </row>
    <row r="5963">
      <c r="A5963" t="n">
        <v>1.6907</v>
      </c>
      <c r="B5963" t="n">
        <v>1.465</v>
      </c>
      <c r="C5963" t="n">
        <v>1.4225</v>
      </c>
    </row>
    <row r="5964">
      <c r="A5964" t="n">
        <v>1.4848</v>
      </c>
      <c r="B5964" t="n">
        <v>1.4853</v>
      </c>
      <c r="C5964" t="n">
        <v>1.6537</v>
      </c>
    </row>
    <row r="5965">
      <c r="A5965" t="n">
        <v>1.4525</v>
      </c>
      <c r="B5965" t="n">
        <v>1.4457</v>
      </c>
      <c r="C5965" t="n">
        <v>1.5004</v>
      </c>
    </row>
    <row r="5966">
      <c r="A5966" t="n">
        <v>1.4266</v>
      </c>
      <c r="B5966" t="n">
        <v>1.5944</v>
      </c>
      <c r="C5966" t="n">
        <v>1.4563</v>
      </c>
    </row>
    <row r="5967">
      <c r="A5967" t="n">
        <v>1.6048</v>
      </c>
      <c r="B5967" t="n">
        <v>1.7759</v>
      </c>
      <c r="C5967" t="n">
        <v>1.6409</v>
      </c>
    </row>
    <row r="5968">
      <c r="A5968" t="n">
        <v>1.7697</v>
      </c>
      <c r="B5968" t="n">
        <v>1.4807</v>
      </c>
      <c r="C5968" t="n">
        <v>1.5125</v>
      </c>
    </row>
    <row r="5969">
      <c r="A5969" t="n">
        <v>1.4655</v>
      </c>
      <c r="B5969" t="n">
        <v>1.4183</v>
      </c>
      <c r="C5969" t="n">
        <v>1.5913</v>
      </c>
    </row>
    <row r="5970">
      <c r="A5970" t="n">
        <v>1.7714</v>
      </c>
      <c r="B5970" t="n">
        <v>1.4472</v>
      </c>
      <c r="C5970" t="n">
        <v>1.5068</v>
      </c>
    </row>
    <row r="5971">
      <c r="A5971" t="n">
        <v>1.7239</v>
      </c>
      <c r="B5971" t="n">
        <v>1.6799</v>
      </c>
      <c r="C5971" t="n">
        <v>1.5036</v>
      </c>
    </row>
    <row r="5972">
      <c r="A5972" t="n">
        <v>1.4964</v>
      </c>
      <c r="B5972" t="n">
        <v>1.5519</v>
      </c>
      <c r="C5972" t="n">
        <v>1.702</v>
      </c>
    </row>
    <row r="5973">
      <c r="A5973" t="n">
        <v>1.6994</v>
      </c>
      <c r="B5973" t="n">
        <v>1.4365</v>
      </c>
      <c r="C5973" t="n">
        <v>1.5206</v>
      </c>
    </row>
    <row r="5974">
      <c r="A5974" t="n">
        <v>1.7318</v>
      </c>
      <c r="B5974" t="n">
        <v>1.4433</v>
      </c>
      <c r="C5974" t="n">
        <v>1.6071</v>
      </c>
    </row>
    <row r="5975">
      <c r="A5975" t="n">
        <v>1.5044</v>
      </c>
      <c r="B5975" t="n">
        <v>1.4076</v>
      </c>
      <c r="C5975" t="n">
        <v>1.5148</v>
      </c>
    </row>
    <row r="5976">
      <c r="A5976" t="n">
        <v>1.6086</v>
      </c>
      <c r="B5976" t="n">
        <v>1.4394</v>
      </c>
      <c r="C5976" t="n">
        <v>1.446</v>
      </c>
    </row>
    <row r="5977">
      <c r="A5977" t="n">
        <v>1.482</v>
      </c>
      <c r="B5977" t="n">
        <v>1.488</v>
      </c>
      <c r="C5977" t="n">
        <v>1.7441</v>
      </c>
    </row>
    <row r="5978">
      <c r="A5978" t="n">
        <v>1.4047</v>
      </c>
      <c r="B5978" t="n">
        <v>1.4498</v>
      </c>
      <c r="C5978" t="n">
        <v>1.5021</v>
      </c>
    </row>
    <row r="5979">
      <c r="A5979" t="n">
        <v>1.425</v>
      </c>
      <c r="B5979" t="n">
        <v>1.6555</v>
      </c>
      <c r="C5979" t="n">
        <v>1.6008</v>
      </c>
    </row>
    <row r="5980">
      <c r="A5980" t="n">
        <v>1.4322</v>
      </c>
      <c r="B5980" t="n">
        <v>1.7414</v>
      </c>
      <c r="C5980" t="n">
        <v>1.52</v>
      </c>
    </row>
    <row r="5981">
      <c r="A5981" t="n">
        <v>1.4372</v>
      </c>
      <c r="B5981" t="n">
        <v>1.4655</v>
      </c>
      <c r="C5981" t="n">
        <v>1.4149</v>
      </c>
    </row>
    <row r="5982">
      <c r="A5982" t="n">
        <v>1.3995</v>
      </c>
      <c r="B5982" t="n">
        <v>1.453</v>
      </c>
      <c r="C5982" t="n">
        <v>1.4548</v>
      </c>
    </row>
    <row r="5983">
      <c r="A5983" t="n">
        <v>1.4806</v>
      </c>
      <c r="B5983" t="n">
        <v>1.4516</v>
      </c>
      <c r="C5983" t="n">
        <v>1.4349</v>
      </c>
    </row>
    <row r="5984">
      <c r="A5984" t="n">
        <v>1.6012</v>
      </c>
      <c r="B5984" t="n">
        <v>1.6141</v>
      </c>
      <c r="C5984" t="n">
        <v>1.4272</v>
      </c>
    </row>
    <row r="5985">
      <c r="A5985" t="n">
        <v>1.5039</v>
      </c>
      <c r="B5985" t="n">
        <v>1.8374</v>
      </c>
      <c r="C5985" t="n">
        <v>1.7254</v>
      </c>
    </row>
    <row r="5986">
      <c r="A5986" t="n">
        <v>1.4491</v>
      </c>
      <c r="B5986" t="n">
        <v>2.0182</v>
      </c>
      <c r="C5986" t="n">
        <v>2.0399</v>
      </c>
    </row>
    <row r="5987">
      <c r="A5987" t="n">
        <v>1.387</v>
      </c>
      <c r="B5987" t="n">
        <v>1.8145</v>
      </c>
      <c r="C5987" t="n">
        <v>1.6411</v>
      </c>
    </row>
    <row r="5988">
      <c r="A5988" t="n">
        <v>1.4167</v>
      </c>
      <c r="B5988" t="n">
        <v>1.4835</v>
      </c>
      <c r="C5988" t="n">
        <v>1.5177</v>
      </c>
    </row>
    <row r="5989">
      <c r="A5989" t="n">
        <v>1.4587</v>
      </c>
      <c r="B5989" t="n">
        <v>1.4536</v>
      </c>
      <c r="C5989" t="n">
        <v>1.6554</v>
      </c>
    </row>
    <row r="5990">
      <c r="A5990" t="n">
        <v>1.5926</v>
      </c>
      <c r="B5990" t="n">
        <v>1.4427</v>
      </c>
      <c r="C5990" t="n">
        <v>1.7196</v>
      </c>
    </row>
    <row r="5991">
      <c r="A5991" t="n">
        <v>1.8059</v>
      </c>
      <c r="B5991" t="n">
        <v>1.6905</v>
      </c>
      <c r="C5991" t="n">
        <v>1.5012</v>
      </c>
    </row>
    <row r="5992">
      <c r="A5992" t="n">
        <v>1.4687</v>
      </c>
      <c r="B5992" t="n">
        <v>1.7145</v>
      </c>
      <c r="C5992" t="n">
        <v>1.6615</v>
      </c>
    </row>
    <row r="5993">
      <c r="A5993" t="n">
        <v>1.4101</v>
      </c>
      <c r="B5993" t="n">
        <v>1.4604</v>
      </c>
      <c r="C5993" t="n">
        <v>1.6999</v>
      </c>
    </row>
    <row r="5994">
      <c r="A5994" t="n">
        <v>1.46</v>
      </c>
      <c r="B5994" t="n">
        <v>1.4287</v>
      </c>
      <c r="C5994" t="n">
        <v>1.5234</v>
      </c>
    </row>
    <row r="5995">
      <c r="A5995" t="n">
        <v>1.4147</v>
      </c>
      <c r="B5995" t="n">
        <v>1.4265</v>
      </c>
      <c r="C5995" t="n">
        <v>1.4531</v>
      </c>
    </row>
    <row r="5996">
      <c r="A5996" t="n">
        <v>1.43</v>
      </c>
      <c r="B5996" t="n">
        <v>1.3972</v>
      </c>
      <c r="C5996" t="n">
        <v>1.4332</v>
      </c>
    </row>
    <row r="5997">
      <c r="A5997" t="n">
        <v>1.6593</v>
      </c>
      <c r="B5997" t="n">
        <v>1.4498</v>
      </c>
      <c r="C5997" t="n">
        <v>1.6288</v>
      </c>
    </row>
    <row r="5998">
      <c r="A5998" t="n">
        <v>1.513</v>
      </c>
      <c r="B5998" t="n">
        <v>1.6825</v>
      </c>
      <c r="C5998" t="n">
        <v>1.6735</v>
      </c>
    </row>
    <row r="5999">
      <c r="A5999" t="n">
        <v>1.6467</v>
      </c>
      <c r="B5999" t="n">
        <v>1.4988</v>
      </c>
      <c r="C5999" t="n">
        <v>1.4891</v>
      </c>
    </row>
    <row r="6000">
      <c r="A6000" t="n">
        <v>1.7765</v>
      </c>
      <c r="B6000" t="n">
        <v>1.7746</v>
      </c>
      <c r="C6000" t="n">
        <v>1.4617</v>
      </c>
    </row>
    <row r="6001">
      <c r="A6001" t="n">
        <v>1.5351</v>
      </c>
      <c r="B6001" t="n">
        <v>1.6679</v>
      </c>
      <c r="C6001" t="n">
        <v>1.4395</v>
      </c>
    </row>
    <row r="6002">
      <c r="A6002" t="n">
        <v>3.7705</v>
      </c>
      <c r="B6002" t="n">
        <v>4.3772</v>
      </c>
      <c r="C6002" t="n">
        <v>4.0408</v>
      </c>
    </row>
    <row r="6003">
      <c r="A6003" t="n">
        <v>1.9528</v>
      </c>
      <c r="B6003" t="n">
        <v>1.7037</v>
      </c>
      <c r="C6003" t="n">
        <v>2.1579</v>
      </c>
    </row>
    <row r="6004">
      <c r="A6004" t="n">
        <v>1.907</v>
      </c>
      <c r="B6004" t="n">
        <v>1.5903</v>
      </c>
      <c r="C6004" t="n">
        <v>2.1573</v>
      </c>
    </row>
    <row r="6005">
      <c r="A6005" t="n">
        <v>1.7911</v>
      </c>
      <c r="B6005" t="n">
        <v>1.4931</v>
      </c>
      <c r="C6005" t="n">
        <v>2.1023</v>
      </c>
    </row>
    <row r="6006">
      <c r="A6006" t="n">
        <v>1.6165</v>
      </c>
      <c r="B6006" t="n">
        <v>1.5685</v>
      </c>
      <c r="C6006" t="n">
        <v>2.0157</v>
      </c>
    </row>
    <row r="6007">
      <c r="A6007" t="n">
        <v>1.5499</v>
      </c>
      <c r="B6007" t="n">
        <v>1.5165</v>
      </c>
      <c r="C6007" t="n">
        <v>1.7708</v>
      </c>
    </row>
    <row r="6008">
      <c r="A6008" t="n">
        <v>1.7256</v>
      </c>
      <c r="B6008" t="n">
        <v>1.5235</v>
      </c>
      <c r="C6008" t="n">
        <v>1.5731</v>
      </c>
    </row>
    <row r="6009">
      <c r="A6009" t="n">
        <v>1.5938</v>
      </c>
      <c r="B6009" t="n">
        <v>1.8064</v>
      </c>
      <c r="C6009" t="n">
        <v>1.6205</v>
      </c>
    </row>
    <row r="6010">
      <c r="A6010" t="n">
        <v>1.5063</v>
      </c>
      <c r="B6010" t="n">
        <v>1.7627</v>
      </c>
      <c r="C6010" t="n">
        <v>1.5805</v>
      </c>
    </row>
    <row r="6011">
      <c r="A6011" t="n">
        <v>1.4515</v>
      </c>
      <c r="B6011" t="n">
        <v>1.7641</v>
      </c>
      <c r="C6011" t="n">
        <v>1.5213</v>
      </c>
    </row>
    <row r="6012">
      <c r="A6012" t="n">
        <v>1.5035</v>
      </c>
      <c r="B6012" t="n">
        <v>1.5943</v>
      </c>
      <c r="C6012" t="n">
        <v>1.5452</v>
      </c>
    </row>
    <row r="6013">
      <c r="A6013" t="n">
        <v>1.4676</v>
      </c>
      <c r="B6013" t="n">
        <v>1.4961</v>
      </c>
      <c r="C6013" t="n">
        <v>1.528</v>
      </c>
    </row>
    <row r="6014">
      <c r="A6014" t="n">
        <v>1.4932</v>
      </c>
      <c r="B6014" t="n">
        <v>1.5113</v>
      </c>
      <c r="C6014" t="n">
        <v>1.5471</v>
      </c>
    </row>
    <row r="6015">
      <c r="A6015" t="n">
        <v>1.4568</v>
      </c>
      <c r="B6015" t="n">
        <v>1.4679</v>
      </c>
      <c r="C6015" t="n">
        <v>1.4707</v>
      </c>
    </row>
    <row r="6016">
      <c r="A6016" t="n">
        <v>1.4508</v>
      </c>
      <c r="B6016" t="n">
        <v>1.4797</v>
      </c>
      <c r="C6016" t="n">
        <v>1.5939</v>
      </c>
    </row>
    <row r="6017">
      <c r="A6017" t="n">
        <v>1.4762</v>
      </c>
      <c r="B6017" t="n">
        <v>1.468</v>
      </c>
      <c r="C6017" t="n">
        <v>1.5997</v>
      </c>
    </row>
    <row r="6018">
      <c r="A6018" t="n">
        <v>1.8821</v>
      </c>
      <c r="B6018" t="n">
        <v>1.5049</v>
      </c>
      <c r="C6018" t="n">
        <v>2.0668</v>
      </c>
    </row>
    <row r="6019">
      <c r="A6019" t="n">
        <v>1.5096</v>
      </c>
      <c r="B6019" t="n">
        <v>1.4642</v>
      </c>
      <c r="C6019" t="n">
        <v>1.555</v>
      </c>
    </row>
    <row r="6020">
      <c r="A6020" t="n">
        <v>1.7226</v>
      </c>
      <c r="B6020" t="n">
        <v>1.4224</v>
      </c>
      <c r="C6020" t="n">
        <v>1.5078</v>
      </c>
    </row>
    <row r="6021">
      <c r="A6021" t="n">
        <v>1.5452</v>
      </c>
      <c r="B6021" t="n">
        <v>1.5037</v>
      </c>
      <c r="C6021" t="n">
        <v>1.6957</v>
      </c>
    </row>
    <row r="6022">
      <c r="A6022" t="n">
        <v>1.469</v>
      </c>
      <c r="B6022" t="n">
        <v>1.5493</v>
      </c>
      <c r="C6022" t="n">
        <v>1.7936</v>
      </c>
    </row>
    <row r="6023">
      <c r="A6023" t="n">
        <v>1.4459</v>
      </c>
      <c r="B6023" t="n">
        <v>1.5136</v>
      </c>
      <c r="C6023" t="n">
        <v>1.8045</v>
      </c>
    </row>
    <row r="6024">
      <c r="A6024" t="n">
        <v>1.6866</v>
      </c>
      <c r="B6024" t="n">
        <v>1.5348</v>
      </c>
      <c r="C6024" t="n">
        <v>1.5553</v>
      </c>
    </row>
    <row r="6025">
      <c r="A6025" t="n">
        <v>1.7237</v>
      </c>
      <c r="B6025" t="n">
        <v>1.5327</v>
      </c>
      <c r="C6025" t="n">
        <v>1.6916</v>
      </c>
    </row>
    <row r="6026">
      <c r="A6026" t="n">
        <v>1.4939</v>
      </c>
      <c r="B6026" t="n">
        <v>1.5091</v>
      </c>
      <c r="C6026" t="n">
        <v>1.5417</v>
      </c>
    </row>
    <row r="6027">
      <c r="A6027" t="n">
        <v>1.4972</v>
      </c>
      <c r="B6027" t="n">
        <v>1.538</v>
      </c>
      <c r="C6027" t="n">
        <v>1.4836</v>
      </c>
    </row>
    <row r="6028">
      <c r="A6028" t="n">
        <v>1.4716</v>
      </c>
      <c r="B6028" t="n">
        <v>1.7966</v>
      </c>
      <c r="C6028" t="n">
        <v>1.6563</v>
      </c>
    </row>
    <row r="6029">
      <c r="A6029" t="n">
        <v>1.6715</v>
      </c>
      <c r="B6029" t="n">
        <v>1.8082</v>
      </c>
      <c r="C6029" t="n">
        <v>1.7867</v>
      </c>
    </row>
    <row r="6030">
      <c r="A6030" t="n">
        <v>1.7567</v>
      </c>
      <c r="B6030" t="n">
        <v>1.736</v>
      </c>
      <c r="C6030" t="n">
        <v>1.4849</v>
      </c>
    </row>
    <row r="6031">
      <c r="A6031" t="n">
        <v>1.5084</v>
      </c>
      <c r="B6031" t="n">
        <v>1.6375</v>
      </c>
      <c r="C6031" t="n">
        <v>1.4941</v>
      </c>
    </row>
    <row r="6032">
      <c r="A6032" t="n">
        <v>1.6763</v>
      </c>
      <c r="B6032" t="n">
        <v>1.4501</v>
      </c>
      <c r="C6032" t="n">
        <v>1.4854</v>
      </c>
    </row>
    <row r="6033">
      <c r="A6033" t="n">
        <v>1.7252</v>
      </c>
      <c r="B6033" t="n">
        <v>1.4712</v>
      </c>
      <c r="C6033" t="n">
        <v>1.6522</v>
      </c>
    </row>
    <row r="6034">
      <c r="A6034" t="n">
        <v>1.5548</v>
      </c>
      <c r="B6034" t="n">
        <v>1.8056</v>
      </c>
      <c r="C6034" t="n">
        <v>1.7426</v>
      </c>
    </row>
    <row r="6035">
      <c r="A6035" t="n">
        <v>1.4172</v>
      </c>
      <c r="B6035" t="n">
        <v>1.7045</v>
      </c>
      <c r="C6035" t="n">
        <v>1.5456</v>
      </c>
    </row>
    <row r="6036">
      <c r="A6036" t="n">
        <v>1.4688</v>
      </c>
      <c r="B6036" t="n">
        <v>1.7801</v>
      </c>
      <c r="C6036" t="n">
        <v>1.4643</v>
      </c>
    </row>
    <row r="6037">
      <c r="A6037" t="n">
        <v>1.465</v>
      </c>
      <c r="B6037" t="n">
        <v>1.7758</v>
      </c>
      <c r="C6037" t="n">
        <v>1.4733</v>
      </c>
    </row>
    <row r="6038">
      <c r="A6038" t="n">
        <v>1.4177</v>
      </c>
      <c r="B6038" t="n">
        <v>1.5518</v>
      </c>
      <c r="C6038" t="n">
        <v>1.7335</v>
      </c>
    </row>
    <row r="6039">
      <c r="A6039" t="n">
        <v>1.6855</v>
      </c>
      <c r="B6039" t="n">
        <v>1.7054</v>
      </c>
      <c r="C6039" t="n">
        <v>1.7819</v>
      </c>
    </row>
    <row r="6040">
      <c r="A6040" t="n">
        <v>1.7323</v>
      </c>
      <c r="B6040" t="n">
        <v>1.5534</v>
      </c>
      <c r="C6040" t="n">
        <v>1.7941</v>
      </c>
    </row>
    <row r="6041">
      <c r="A6041" t="n">
        <v>1.4978</v>
      </c>
      <c r="B6041" t="n">
        <v>1.4883</v>
      </c>
      <c r="C6041" t="n">
        <v>1.5765</v>
      </c>
    </row>
    <row r="6042">
      <c r="A6042" t="n">
        <v>1.4615</v>
      </c>
      <c r="B6042" t="n">
        <v>1.6644</v>
      </c>
      <c r="C6042" t="n">
        <v>1.6869</v>
      </c>
    </row>
    <row r="6043">
      <c r="A6043" t="n">
        <v>1.4722</v>
      </c>
      <c r="B6043" t="n">
        <v>1.9472</v>
      </c>
      <c r="C6043" t="n">
        <v>1.5234</v>
      </c>
    </row>
    <row r="6044">
      <c r="A6044" t="n">
        <v>1.6824</v>
      </c>
      <c r="B6044" t="n">
        <v>1.5212</v>
      </c>
      <c r="C6044" t="n">
        <v>1.4798</v>
      </c>
    </row>
    <row r="6045">
      <c r="A6045" t="n">
        <v>1.7912</v>
      </c>
      <c r="B6045" t="n">
        <v>1.4798</v>
      </c>
      <c r="C6045" t="n">
        <v>1.6359</v>
      </c>
    </row>
    <row r="6046">
      <c r="A6046" t="n">
        <v>1.84</v>
      </c>
      <c r="B6046" t="n">
        <v>1.5502</v>
      </c>
      <c r="C6046" t="n">
        <v>1.6299</v>
      </c>
    </row>
    <row r="6047">
      <c r="A6047" t="n">
        <v>2.0453</v>
      </c>
      <c r="B6047" t="n">
        <v>1.497</v>
      </c>
      <c r="C6047" t="n">
        <v>1.5206</v>
      </c>
    </row>
    <row r="6048">
      <c r="A6048" t="n">
        <v>1.8573</v>
      </c>
      <c r="B6048" t="n">
        <v>1.4599</v>
      </c>
      <c r="C6048" t="n">
        <v>1.4591</v>
      </c>
    </row>
    <row r="6049">
      <c r="A6049" t="n">
        <v>1.5733</v>
      </c>
      <c r="B6049" t="n">
        <v>1.4351</v>
      </c>
      <c r="C6049" t="n">
        <v>1.4821</v>
      </c>
    </row>
    <row r="6050">
      <c r="A6050" t="n">
        <v>1.9778</v>
      </c>
      <c r="B6050" t="n">
        <v>1.4489</v>
      </c>
      <c r="C6050" t="n">
        <v>1.7806</v>
      </c>
    </row>
    <row r="6051">
      <c r="A6051" t="n">
        <v>1.765</v>
      </c>
      <c r="B6051" t="n">
        <v>1.4546</v>
      </c>
      <c r="C6051" t="n">
        <v>1.5393</v>
      </c>
    </row>
    <row r="6052">
      <c r="A6052" t="n">
        <v>1.6985</v>
      </c>
      <c r="B6052" t="n">
        <v>1.5348</v>
      </c>
      <c r="C6052" t="n">
        <v>1.7567</v>
      </c>
    </row>
    <row r="6053">
      <c r="A6053" t="n">
        <v>1.5216</v>
      </c>
      <c r="B6053" t="n">
        <v>1.5185</v>
      </c>
      <c r="C6053" t="n">
        <v>1.5476</v>
      </c>
    </row>
    <row r="6054">
      <c r="A6054" t="n">
        <v>1.4651</v>
      </c>
      <c r="B6054" t="n">
        <v>1.4394</v>
      </c>
      <c r="C6054" t="n">
        <v>1.485</v>
      </c>
    </row>
    <row r="6055">
      <c r="A6055" t="n">
        <v>1.4409</v>
      </c>
      <c r="B6055" t="n">
        <v>1.4198</v>
      </c>
      <c r="C6055" t="n">
        <v>1.7228</v>
      </c>
    </row>
    <row r="6056">
      <c r="A6056" t="n">
        <v>1.4479</v>
      </c>
      <c r="B6056" t="n">
        <v>1.7745</v>
      </c>
      <c r="C6056" t="n">
        <v>1.72</v>
      </c>
    </row>
    <row r="6057">
      <c r="A6057" t="n">
        <v>1.4292</v>
      </c>
      <c r="B6057" t="n">
        <v>1.5351</v>
      </c>
      <c r="C6057" t="n">
        <v>1.4867</v>
      </c>
    </row>
    <row r="6058">
      <c r="A6058" t="n">
        <v>1.4858</v>
      </c>
      <c r="B6058" t="n">
        <v>1.4895</v>
      </c>
      <c r="C6058" t="n">
        <v>1.4969</v>
      </c>
    </row>
    <row r="6059">
      <c r="A6059" t="n">
        <v>1.7235</v>
      </c>
      <c r="B6059" t="n">
        <v>1.4624</v>
      </c>
      <c r="C6059" t="n">
        <v>1.486</v>
      </c>
    </row>
    <row r="6060">
      <c r="A6060" t="n">
        <v>1.5142</v>
      </c>
      <c r="B6060" t="n">
        <v>1.7176</v>
      </c>
      <c r="C6060" t="n">
        <v>1.7426</v>
      </c>
    </row>
    <row r="6061">
      <c r="A6061" t="n">
        <v>1.4424</v>
      </c>
      <c r="B6061" t="n">
        <v>1.7577</v>
      </c>
      <c r="C6061" t="n">
        <v>1.8268</v>
      </c>
    </row>
    <row r="6062">
      <c r="A6062" t="n">
        <v>1.4351</v>
      </c>
      <c r="B6062" t="n">
        <v>1.7785</v>
      </c>
      <c r="C6062" t="n">
        <v>1.7653</v>
      </c>
    </row>
    <row r="6063">
      <c r="A6063" t="n">
        <v>1.7257</v>
      </c>
      <c r="B6063" t="n">
        <v>1.5405</v>
      </c>
      <c r="C6063" t="n">
        <v>1.5535</v>
      </c>
    </row>
    <row r="6064">
      <c r="A6064" t="n">
        <v>1.7272</v>
      </c>
      <c r="B6064" t="n">
        <v>1.7255</v>
      </c>
      <c r="C6064" t="n">
        <v>1.6849</v>
      </c>
    </row>
    <row r="6065">
      <c r="A6065" t="n">
        <v>1.5025</v>
      </c>
      <c r="B6065" t="n">
        <v>1.5183</v>
      </c>
      <c r="C6065" t="n">
        <v>1.7112</v>
      </c>
    </row>
    <row r="6066">
      <c r="A6066" t="n">
        <v>1.4676</v>
      </c>
      <c r="B6066" t="n">
        <v>1.8059</v>
      </c>
      <c r="C6066" t="n">
        <v>1.5773</v>
      </c>
    </row>
    <row r="6067">
      <c r="A6067" t="n">
        <v>1.4614</v>
      </c>
      <c r="B6067" t="n">
        <v>1.4765</v>
      </c>
      <c r="C6067" t="n">
        <v>1.4791</v>
      </c>
    </row>
    <row r="6068">
      <c r="A6068" t="n">
        <v>1.6327</v>
      </c>
      <c r="B6068" t="n">
        <v>1.7172</v>
      </c>
      <c r="C6068" t="n">
        <v>1.4775</v>
      </c>
    </row>
    <row r="6069">
      <c r="A6069" t="n">
        <v>1.7324</v>
      </c>
      <c r="B6069" t="n">
        <v>1.5405</v>
      </c>
      <c r="C6069" t="n">
        <v>1.4564</v>
      </c>
    </row>
    <row r="6070">
      <c r="A6070" t="n">
        <v>1.5156</v>
      </c>
      <c r="B6070" t="n">
        <v>1.4908</v>
      </c>
      <c r="C6070" t="n">
        <v>1.4876</v>
      </c>
    </row>
    <row r="6071">
      <c r="A6071" t="n">
        <v>1.4741</v>
      </c>
      <c r="B6071" t="n">
        <v>1.4685</v>
      </c>
      <c r="C6071" t="n">
        <v>1.4864</v>
      </c>
    </row>
    <row r="6072">
      <c r="A6072" t="n">
        <v>1.4617</v>
      </c>
      <c r="B6072" t="n">
        <v>1.7142</v>
      </c>
      <c r="C6072" t="n">
        <v>1.4263</v>
      </c>
    </row>
    <row r="6073">
      <c r="A6073" t="n">
        <v>1.6871</v>
      </c>
      <c r="B6073" t="n">
        <v>1.7191</v>
      </c>
      <c r="C6073" t="n">
        <v>1.5124</v>
      </c>
    </row>
    <row r="6074">
      <c r="A6074" t="n">
        <v>1.7105</v>
      </c>
      <c r="B6074" t="n">
        <v>1.5084</v>
      </c>
      <c r="C6074" t="n">
        <v>1.4956</v>
      </c>
    </row>
    <row r="6075">
      <c r="A6075" t="n">
        <v>1.5073</v>
      </c>
      <c r="B6075" t="n">
        <v>1.4688</v>
      </c>
      <c r="C6075" t="n">
        <v>1.493</v>
      </c>
    </row>
    <row r="6076">
      <c r="A6076" t="n">
        <v>1.4847</v>
      </c>
      <c r="B6076" t="n">
        <v>1.501</v>
      </c>
      <c r="C6076" t="n">
        <v>1.5411</v>
      </c>
    </row>
    <row r="6077">
      <c r="A6077" t="n">
        <v>1.4405</v>
      </c>
      <c r="B6077" t="n">
        <v>1.6949</v>
      </c>
      <c r="C6077" t="n">
        <v>1.4982</v>
      </c>
    </row>
    <row r="6078">
      <c r="A6078" t="n">
        <v>1.6364</v>
      </c>
      <c r="B6078" t="n">
        <v>1.7171</v>
      </c>
      <c r="C6078" t="n">
        <v>1.5105</v>
      </c>
    </row>
    <row r="6079">
      <c r="A6079" t="n">
        <v>1.707</v>
      </c>
      <c r="B6079" t="n">
        <v>1.866</v>
      </c>
      <c r="C6079" t="n">
        <v>1.5633</v>
      </c>
    </row>
    <row r="6080">
      <c r="A6080" t="n">
        <v>1.4777</v>
      </c>
      <c r="B6080" t="n">
        <v>1.5427</v>
      </c>
      <c r="C6080" t="n">
        <v>1.5096</v>
      </c>
    </row>
    <row r="6081">
      <c r="A6081" t="n">
        <v>1.4714</v>
      </c>
      <c r="B6081" t="n">
        <v>1.7319</v>
      </c>
      <c r="C6081" t="n">
        <v>1.562</v>
      </c>
    </row>
    <row r="6082">
      <c r="A6082" t="n">
        <v>1.7971</v>
      </c>
      <c r="B6082" t="n">
        <v>1.7567</v>
      </c>
      <c r="C6082" t="n">
        <v>2.1468</v>
      </c>
    </row>
    <row r="6083">
      <c r="A6083" t="n">
        <v>1.4621</v>
      </c>
      <c r="B6083" t="n">
        <v>1.8266</v>
      </c>
      <c r="C6083" t="n">
        <v>1.8393</v>
      </c>
    </row>
    <row r="6084">
      <c r="A6084" t="n">
        <v>1.4954</v>
      </c>
      <c r="B6084" t="n">
        <v>1.5426</v>
      </c>
      <c r="C6084" t="n">
        <v>1.6978</v>
      </c>
    </row>
    <row r="6085">
      <c r="A6085" t="n">
        <v>1.4802</v>
      </c>
      <c r="B6085" t="n">
        <v>1.4643</v>
      </c>
      <c r="C6085" t="n">
        <v>1.762</v>
      </c>
    </row>
    <row r="6086">
      <c r="A6086" t="n">
        <v>1.4383</v>
      </c>
      <c r="B6086" t="n">
        <v>1.4511</v>
      </c>
      <c r="C6086" t="n">
        <v>1.7482</v>
      </c>
    </row>
    <row r="6087">
      <c r="A6087" t="n">
        <v>1.4876</v>
      </c>
      <c r="B6087" t="n">
        <v>1.4639</v>
      </c>
      <c r="C6087" t="n">
        <v>1.5262</v>
      </c>
    </row>
    <row r="6088">
      <c r="A6088" t="n">
        <v>1.5046</v>
      </c>
      <c r="B6088" t="n">
        <v>1.5925</v>
      </c>
      <c r="C6088" t="n">
        <v>1.4912</v>
      </c>
    </row>
    <row r="6089">
      <c r="A6089" t="n">
        <v>1.5027</v>
      </c>
      <c r="B6089" t="n">
        <v>1.4738</v>
      </c>
      <c r="C6089" t="n">
        <v>1.4345</v>
      </c>
    </row>
    <row r="6090">
      <c r="A6090" t="n">
        <v>1.4892</v>
      </c>
      <c r="B6090" t="n">
        <v>1.692</v>
      </c>
      <c r="C6090" t="n">
        <v>1.4425</v>
      </c>
    </row>
    <row r="6091">
      <c r="A6091" t="n">
        <v>1.4746</v>
      </c>
      <c r="B6091" t="n">
        <v>1.5004</v>
      </c>
      <c r="C6091" t="n">
        <v>1.5082</v>
      </c>
    </row>
    <row r="6092">
      <c r="A6092" t="n">
        <v>1.7691</v>
      </c>
      <c r="B6092" t="n">
        <v>1.4572</v>
      </c>
      <c r="C6092" t="n">
        <v>1.7879</v>
      </c>
    </row>
    <row r="6093">
      <c r="A6093" t="n">
        <v>1.9943</v>
      </c>
      <c r="B6093" t="n">
        <v>1.4733</v>
      </c>
      <c r="C6093" t="n">
        <v>1.7017</v>
      </c>
    </row>
    <row r="6094">
      <c r="A6094" t="n">
        <v>1.8078</v>
      </c>
      <c r="B6094" t="n">
        <v>1.665</v>
      </c>
      <c r="C6094" t="n">
        <v>1.7523</v>
      </c>
    </row>
    <row r="6095">
      <c r="A6095" t="n">
        <v>1.4982</v>
      </c>
      <c r="B6095" t="n">
        <v>1.8241</v>
      </c>
      <c r="C6095" t="n">
        <v>1.5631</v>
      </c>
    </row>
    <row r="6096">
      <c r="A6096" t="n">
        <v>1.4453</v>
      </c>
      <c r="B6096" t="n">
        <v>1.5203</v>
      </c>
      <c r="C6096" t="n">
        <v>1.6717</v>
      </c>
    </row>
    <row r="6097">
      <c r="A6097" t="n">
        <v>1.4582</v>
      </c>
      <c r="B6097" t="n">
        <v>1.4808</v>
      </c>
      <c r="C6097" t="n">
        <v>1.5384</v>
      </c>
    </row>
    <row r="6098">
      <c r="A6098" t="n">
        <v>1.6509</v>
      </c>
      <c r="B6098" t="n">
        <v>1.9855</v>
      </c>
      <c r="C6098" t="n">
        <v>1.507</v>
      </c>
    </row>
    <row r="6099">
      <c r="A6099" t="n">
        <v>1.792</v>
      </c>
      <c r="B6099" t="n">
        <v>1.5676</v>
      </c>
      <c r="C6099" t="n">
        <v>1.4975</v>
      </c>
    </row>
    <row r="6100">
      <c r="A6100" t="n">
        <v>1.4996</v>
      </c>
      <c r="B6100" t="n">
        <v>1.4706</v>
      </c>
      <c r="C6100" t="n">
        <v>1.5246</v>
      </c>
    </row>
    <row r="6101">
      <c r="A6101" t="n">
        <v>1.4234</v>
      </c>
      <c r="B6101" t="n">
        <v>1.4342</v>
      </c>
      <c r="C6101" t="n">
        <v>1.49</v>
      </c>
    </row>
    <row r="6102">
      <c r="A6102" t="n">
        <v>1.4505</v>
      </c>
      <c r="B6102" t="n">
        <v>1.4908</v>
      </c>
      <c r="C6102" t="n">
        <v>1.4942</v>
      </c>
    </row>
    <row r="6103">
      <c r="A6103" t="n">
        <v>1.7145</v>
      </c>
      <c r="B6103" t="n">
        <v>1.4451</v>
      </c>
      <c r="C6103" t="n">
        <v>1.7584</v>
      </c>
    </row>
    <row r="6104">
      <c r="A6104" t="n">
        <v>1.7075</v>
      </c>
      <c r="B6104" t="n">
        <v>1.4399</v>
      </c>
      <c r="C6104" t="n">
        <v>1.7168</v>
      </c>
    </row>
    <row r="6105">
      <c r="A6105" t="n">
        <v>1.4844</v>
      </c>
      <c r="B6105" t="n">
        <v>1.7833</v>
      </c>
      <c r="C6105" t="n">
        <v>1.5399</v>
      </c>
    </row>
    <row r="6106">
      <c r="A6106" t="n">
        <v>1.462</v>
      </c>
      <c r="B6106" t="n">
        <v>1.5018</v>
      </c>
      <c r="C6106" t="n">
        <v>1.695</v>
      </c>
    </row>
    <row r="6107">
      <c r="A6107" t="n">
        <v>1.4257</v>
      </c>
      <c r="B6107" t="n">
        <v>1.4447</v>
      </c>
      <c r="C6107" t="n">
        <v>1.523</v>
      </c>
    </row>
    <row r="6108">
      <c r="A6108" t="n">
        <v>1.623</v>
      </c>
      <c r="B6108" t="n">
        <v>1.5046</v>
      </c>
      <c r="C6108" t="n">
        <v>1.4466</v>
      </c>
    </row>
    <row r="6109">
      <c r="A6109" t="n">
        <v>1.7517</v>
      </c>
      <c r="B6109" t="n">
        <v>1.7238</v>
      </c>
      <c r="C6109" t="n">
        <v>1.6414</v>
      </c>
    </row>
    <row r="6110">
      <c r="A6110" t="n">
        <v>1.4604</v>
      </c>
      <c r="B6110" t="n">
        <v>1.6901</v>
      </c>
      <c r="C6110" t="n">
        <v>1.5554</v>
      </c>
    </row>
    <row r="6111">
      <c r="A6111" t="n">
        <v>1.4498</v>
      </c>
      <c r="B6111" t="n">
        <v>1.5228</v>
      </c>
      <c r="C6111" t="n">
        <v>1.6873</v>
      </c>
    </row>
    <row r="6112">
      <c r="A6112" t="n">
        <v>1.4477</v>
      </c>
      <c r="B6112" t="n">
        <v>1.4727</v>
      </c>
      <c r="C6112" t="n">
        <v>1.5167</v>
      </c>
    </row>
    <row r="6113">
      <c r="A6113" t="n">
        <v>1.6151</v>
      </c>
      <c r="B6113" t="n">
        <v>1.4431</v>
      </c>
      <c r="C6113" t="n">
        <v>1.4682</v>
      </c>
    </row>
    <row r="6114">
      <c r="A6114" t="n">
        <v>2.0955</v>
      </c>
      <c r="B6114" t="n">
        <v>1.6974</v>
      </c>
      <c r="C6114" t="n">
        <v>1.9899</v>
      </c>
    </row>
    <row r="6115">
      <c r="A6115" t="n">
        <v>1.769</v>
      </c>
      <c r="B6115" t="n">
        <v>1.7275</v>
      </c>
      <c r="C6115" t="n">
        <v>1.7248</v>
      </c>
    </row>
    <row r="6116">
      <c r="A6116" t="n">
        <v>1.4998</v>
      </c>
      <c r="B6116" t="n">
        <v>1.5035</v>
      </c>
      <c r="C6116" t="n">
        <v>1.7985</v>
      </c>
    </row>
    <row r="6117">
      <c r="A6117" t="n">
        <v>1.6447</v>
      </c>
      <c r="B6117" t="n">
        <v>1.4708</v>
      </c>
      <c r="C6117" t="n">
        <v>1.5238</v>
      </c>
    </row>
    <row r="6118">
      <c r="A6118" t="n">
        <v>1.4923</v>
      </c>
      <c r="B6118" t="n">
        <v>1.4231</v>
      </c>
      <c r="C6118" t="n">
        <v>1.7339</v>
      </c>
    </row>
    <row r="6119">
      <c r="A6119" t="n">
        <v>1.4115</v>
      </c>
      <c r="B6119" t="n">
        <v>1.6194</v>
      </c>
      <c r="C6119" t="n">
        <v>1.5163</v>
      </c>
    </row>
    <row r="6120">
      <c r="A6120" t="n">
        <v>1.4216</v>
      </c>
      <c r="B6120" t="n">
        <v>1.7087</v>
      </c>
      <c r="C6120" t="n">
        <v>1.4864</v>
      </c>
    </row>
    <row r="6121">
      <c r="A6121" t="n">
        <v>1.4148</v>
      </c>
      <c r="B6121" t="n">
        <v>1.5155</v>
      </c>
      <c r="C6121" t="n">
        <v>1.6499</v>
      </c>
    </row>
    <row r="6122">
      <c r="A6122" t="n">
        <v>1.4126</v>
      </c>
      <c r="B6122" t="n">
        <v>1.4373</v>
      </c>
      <c r="C6122" t="n">
        <v>1.8786</v>
      </c>
    </row>
    <row r="6123">
      <c r="A6123" t="n">
        <v>1.4402</v>
      </c>
      <c r="B6123" t="n">
        <v>1.4328</v>
      </c>
      <c r="C6123" t="n">
        <v>1.5064</v>
      </c>
    </row>
    <row r="6124">
      <c r="A6124" t="n">
        <v>1.4857</v>
      </c>
      <c r="B6124" t="n">
        <v>1.6206</v>
      </c>
      <c r="C6124" t="n">
        <v>1.4775</v>
      </c>
    </row>
    <row r="6125">
      <c r="A6125" t="n">
        <v>1.616</v>
      </c>
      <c r="B6125" t="n">
        <v>1.5402</v>
      </c>
      <c r="C6125" t="n">
        <v>1.4429</v>
      </c>
    </row>
    <row r="6126">
      <c r="A6126" t="n">
        <v>1.5085</v>
      </c>
      <c r="B6126" t="n">
        <v>1.6544</v>
      </c>
      <c r="C6126" t="n">
        <v>1.6577</v>
      </c>
    </row>
    <row r="6127">
      <c r="A6127" t="n">
        <v>1.4158</v>
      </c>
      <c r="B6127" t="n">
        <v>1.4994</v>
      </c>
      <c r="C6127" t="n">
        <v>1.6998</v>
      </c>
    </row>
    <row r="6128">
      <c r="A6128" t="n">
        <v>1.4053</v>
      </c>
      <c r="B6128" t="n">
        <v>1.4625</v>
      </c>
      <c r="C6128" t="n">
        <v>1.4972</v>
      </c>
    </row>
    <row r="6129">
      <c r="A6129" t="n">
        <v>1.4199</v>
      </c>
      <c r="B6129" t="n">
        <v>1.6334</v>
      </c>
      <c r="C6129" t="n">
        <v>1.4408</v>
      </c>
    </row>
    <row r="6130">
      <c r="A6130" t="n">
        <v>1.4497</v>
      </c>
      <c r="B6130" t="n">
        <v>2.1083</v>
      </c>
      <c r="C6130" t="n">
        <v>1.4718</v>
      </c>
    </row>
    <row r="6131">
      <c r="A6131" t="n">
        <v>1.6885</v>
      </c>
      <c r="B6131" t="n">
        <v>1.6914</v>
      </c>
      <c r="C6131" t="n">
        <v>1.7226</v>
      </c>
    </row>
    <row r="6132">
      <c r="A6132" t="n">
        <v>1.6779</v>
      </c>
      <c r="B6132" t="n">
        <v>1.5419</v>
      </c>
      <c r="C6132" t="n">
        <v>1.6362</v>
      </c>
    </row>
    <row r="6133">
      <c r="A6133" t="n">
        <v>1.4835</v>
      </c>
      <c r="B6133" t="n">
        <v>1.7035</v>
      </c>
      <c r="C6133" t="n">
        <v>1.4972</v>
      </c>
    </row>
    <row r="6134">
      <c r="A6134" t="n">
        <v>1.4129</v>
      </c>
      <c r="B6134" t="n">
        <v>1.4991</v>
      </c>
      <c r="C6134" t="n">
        <v>1.4581</v>
      </c>
    </row>
    <row r="6135">
      <c r="A6135" t="n">
        <v>1.4406</v>
      </c>
      <c r="B6135" t="n">
        <v>1.4515</v>
      </c>
      <c r="C6135" t="n">
        <v>1.4121</v>
      </c>
    </row>
    <row r="6136">
      <c r="A6136" t="n">
        <v>1.3943</v>
      </c>
      <c r="B6136" t="n">
        <v>1.4224</v>
      </c>
      <c r="C6136" t="n">
        <v>1.639</v>
      </c>
    </row>
    <row r="6137">
      <c r="A6137" t="n">
        <v>1.3892</v>
      </c>
      <c r="B6137" t="n">
        <v>1.472</v>
      </c>
      <c r="C6137" t="n">
        <v>1.6164</v>
      </c>
    </row>
    <row r="6138">
      <c r="A6138" t="n">
        <v>1.6988</v>
      </c>
      <c r="B6138" t="n">
        <v>1.423</v>
      </c>
      <c r="C6138" t="n">
        <v>1.4213</v>
      </c>
    </row>
    <row r="6139">
      <c r="A6139" t="n">
        <v>1.4954</v>
      </c>
      <c r="B6139" t="n">
        <v>1.4036</v>
      </c>
      <c r="C6139" t="n">
        <v>1.4567</v>
      </c>
    </row>
    <row r="6140">
      <c r="A6140" t="n">
        <v>1.6476</v>
      </c>
      <c r="B6140" t="n">
        <v>1.4779</v>
      </c>
      <c r="C6140" t="n">
        <v>1.4519</v>
      </c>
    </row>
    <row r="6141">
      <c r="A6141" t="n">
        <v>1.8121</v>
      </c>
      <c r="B6141" t="n">
        <v>1.6443</v>
      </c>
      <c r="C6141" t="n">
        <v>1.4315</v>
      </c>
    </row>
    <row r="6142">
      <c r="A6142" t="n">
        <v>1.529</v>
      </c>
      <c r="B6142" t="n">
        <v>1.4985</v>
      </c>
      <c r="C6142" t="n">
        <v>1.472</v>
      </c>
    </row>
    <row r="6143">
      <c r="A6143" t="n">
        <v>1.5971</v>
      </c>
      <c r="B6143" t="n">
        <v>1.4551</v>
      </c>
      <c r="C6143" t="n">
        <v>1.4554</v>
      </c>
    </row>
    <row r="6144">
      <c r="A6144" t="n">
        <v>1.5076</v>
      </c>
      <c r="B6144" t="n">
        <v>1.6551</v>
      </c>
      <c r="C6144" t="n">
        <v>1.4167</v>
      </c>
    </row>
    <row r="6145">
      <c r="A6145" t="n">
        <v>1.4542</v>
      </c>
      <c r="B6145" t="n">
        <v>1.5537</v>
      </c>
      <c r="C6145" t="n">
        <v>1.5282</v>
      </c>
    </row>
    <row r="6146">
      <c r="A6146" t="n">
        <v>1.6915</v>
      </c>
      <c r="B6146" t="n">
        <v>1.6661</v>
      </c>
      <c r="C6146" t="n">
        <v>1.9713</v>
      </c>
    </row>
    <row r="6147">
      <c r="A6147" t="n">
        <v>1.4611</v>
      </c>
      <c r="B6147" t="n">
        <v>1.532</v>
      </c>
      <c r="C6147" t="n">
        <v>1.7209</v>
      </c>
    </row>
    <row r="6148">
      <c r="A6148" t="n">
        <v>1.6149</v>
      </c>
      <c r="B6148" t="n">
        <v>1.4565</v>
      </c>
      <c r="C6148" t="n">
        <v>1.6922</v>
      </c>
    </row>
    <row r="6149">
      <c r="A6149" t="n">
        <v>1.5095</v>
      </c>
      <c r="B6149" t="n">
        <v>1.4008</v>
      </c>
      <c r="C6149" t="n">
        <v>1.517</v>
      </c>
    </row>
    <row r="6150">
      <c r="A6150" t="n">
        <v>1.4347</v>
      </c>
      <c r="B6150" t="n">
        <v>1.4855</v>
      </c>
      <c r="C6150" t="n">
        <v>1.6673</v>
      </c>
    </row>
    <row r="6151">
      <c r="A6151" t="n">
        <v>1.4317</v>
      </c>
      <c r="B6151" t="n">
        <v>1.7016</v>
      </c>
      <c r="C6151" t="n">
        <v>1.769</v>
      </c>
    </row>
    <row r="6152">
      <c r="A6152" t="n">
        <v>1.4096</v>
      </c>
      <c r="B6152" t="n">
        <v>1.5089</v>
      </c>
      <c r="C6152" t="n">
        <v>1.8397</v>
      </c>
    </row>
    <row r="6153">
      <c r="A6153" t="n">
        <v>1.462</v>
      </c>
      <c r="B6153" t="n">
        <v>1.449</v>
      </c>
      <c r="C6153" t="n">
        <v>1.4883</v>
      </c>
    </row>
    <row r="6154">
      <c r="A6154" t="n">
        <v>1.6477</v>
      </c>
      <c r="B6154" t="n">
        <v>1.4469</v>
      </c>
      <c r="C6154" t="n">
        <v>1.4627</v>
      </c>
    </row>
    <row r="6155">
      <c r="A6155" t="n">
        <v>1.692</v>
      </c>
      <c r="B6155" t="n">
        <v>1.4398</v>
      </c>
      <c r="C6155" t="n">
        <v>1.4764</v>
      </c>
    </row>
    <row r="6156">
      <c r="A6156" t="n">
        <v>1.4894</v>
      </c>
      <c r="B6156" t="n">
        <v>1.4681</v>
      </c>
      <c r="C6156" t="n">
        <v>1.6542</v>
      </c>
    </row>
    <row r="6157">
      <c r="A6157" t="n">
        <v>1.4619</v>
      </c>
      <c r="B6157" t="n">
        <v>1.7263</v>
      </c>
      <c r="C6157" t="n">
        <v>1.7302</v>
      </c>
    </row>
    <row r="6158">
      <c r="A6158" t="n">
        <v>1.4182</v>
      </c>
      <c r="B6158" t="n">
        <v>1.7104</v>
      </c>
      <c r="C6158" t="n">
        <v>1.4943</v>
      </c>
    </row>
    <row r="6159">
      <c r="A6159" t="n">
        <v>1.6081</v>
      </c>
      <c r="B6159" t="n">
        <v>1.4995</v>
      </c>
      <c r="C6159" t="n">
        <v>1.4159</v>
      </c>
    </row>
    <row r="6160">
      <c r="A6160" t="n">
        <v>1.5248</v>
      </c>
      <c r="B6160" t="n">
        <v>1.4595</v>
      </c>
      <c r="C6160" t="n">
        <v>1.4605</v>
      </c>
    </row>
    <row r="6161">
      <c r="A6161" t="n">
        <v>1.6388</v>
      </c>
      <c r="B6161" t="n">
        <v>1.4402</v>
      </c>
      <c r="C6161" t="n">
        <v>1.6954</v>
      </c>
    </row>
    <row r="6162">
      <c r="A6162" t="n">
        <v>1.4912</v>
      </c>
      <c r="B6162" t="n">
        <v>1.9899</v>
      </c>
      <c r="C6162" t="n">
        <v>1.7697</v>
      </c>
    </row>
    <row r="6163">
      <c r="A6163" t="n">
        <v>1.4577</v>
      </c>
      <c r="B6163" t="n">
        <v>1.7948</v>
      </c>
      <c r="C6163" t="n">
        <v>1.5124</v>
      </c>
    </row>
    <row r="6164">
      <c r="A6164" t="n">
        <v>1.3842</v>
      </c>
      <c r="B6164" t="n">
        <v>1.6711</v>
      </c>
      <c r="C6164" t="n">
        <v>1.4747</v>
      </c>
    </row>
    <row r="6165">
      <c r="A6165" t="n">
        <v>1.427</v>
      </c>
      <c r="B6165" t="n">
        <v>1.6194</v>
      </c>
      <c r="C6165" t="n">
        <v>1.4509</v>
      </c>
    </row>
    <row r="6166">
      <c r="A6166" t="n">
        <v>1.4388</v>
      </c>
      <c r="B6166" t="n">
        <v>1.434</v>
      </c>
      <c r="C6166" t="n">
        <v>1.6986</v>
      </c>
    </row>
    <row r="6167">
      <c r="A6167" t="n">
        <v>1.6412</v>
      </c>
      <c r="B6167" t="n">
        <v>1.4148</v>
      </c>
      <c r="C6167" t="n">
        <v>1.7692</v>
      </c>
    </row>
    <row r="6168">
      <c r="A6168" t="n">
        <v>1.7659</v>
      </c>
      <c r="B6168" t="n">
        <v>1.4268</v>
      </c>
      <c r="C6168" t="n">
        <v>1.4979</v>
      </c>
    </row>
    <row r="6169">
      <c r="A6169" t="n">
        <v>1.51</v>
      </c>
      <c r="B6169" t="n">
        <v>1.4192</v>
      </c>
      <c r="C6169" t="n">
        <v>1.7023</v>
      </c>
    </row>
    <row r="6170">
      <c r="A6170" t="n">
        <v>1.4208</v>
      </c>
      <c r="B6170" t="n">
        <v>1.434</v>
      </c>
      <c r="C6170" t="n">
        <v>1.6859</v>
      </c>
    </row>
    <row r="6171">
      <c r="A6171" t="n">
        <v>1.4481</v>
      </c>
      <c r="B6171" t="n">
        <v>1.4539</v>
      </c>
      <c r="C6171" t="n">
        <v>1.4857</v>
      </c>
    </row>
    <row r="6172">
      <c r="A6172" t="n">
        <v>1.6016</v>
      </c>
      <c r="B6172" t="n">
        <v>1.6372</v>
      </c>
      <c r="C6172" t="n">
        <v>1.4535</v>
      </c>
    </row>
    <row r="6173">
      <c r="A6173" t="n">
        <v>1.7122</v>
      </c>
      <c r="B6173" t="n">
        <v>1.7478</v>
      </c>
      <c r="C6173" t="n">
        <v>1.4257</v>
      </c>
    </row>
    <row r="6174">
      <c r="A6174" t="n">
        <v>1.5086</v>
      </c>
      <c r="B6174" t="n">
        <v>1.5001</v>
      </c>
      <c r="C6174" t="n">
        <v>1.432</v>
      </c>
    </row>
    <row r="6175">
      <c r="A6175" t="n">
        <v>1.4353</v>
      </c>
      <c r="B6175" t="n">
        <v>1.4493</v>
      </c>
      <c r="C6175" t="n">
        <v>1.4652</v>
      </c>
    </row>
    <row r="6176">
      <c r="A6176" t="n">
        <v>1.425</v>
      </c>
      <c r="B6176" t="n">
        <v>1.4042</v>
      </c>
      <c r="C6176" t="n">
        <v>1.6467</v>
      </c>
    </row>
    <row r="6177">
      <c r="A6177" t="n">
        <v>1.6246</v>
      </c>
      <c r="B6177" t="n">
        <v>1.6716</v>
      </c>
      <c r="C6177" t="n">
        <v>1.7627</v>
      </c>
    </row>
    <row r="6178">
      <c r="A6178" t="n">
        <v>2.1095</v>
      </c>
      <c r="B6178" t="n">
        <v>1.85</v>
      </c>
      <c r="C6178" t="n">
        <v>2.0401</v>
      </c>
    </row>
    <row r="6179">
      <c r="A6179" t="n">
        <v>1.7184</v>
      </c>
      <c r="B6179" t="n">
        <v>1.4695</v>
      </c>
      <c r="C6179" t="n">
        <v>1.7925</v>
      </c>
    </row>
    <row r="6180">
      <c r="A6180" t="n">
        <v>1.5328</v>
      </c>
      <c r="B6180" t="n">
        <v>1.4555</v>
      </c>
      <c r="C6180" t="n">
        <v>1.5133</v>
      </c>
    </row>
    <row r="6181">
      <c r="A6181" t="n">
        <v>1.6191</v>
      </c>
      <c r="B6181" t="n">
        <v>1.4556</v>
      </c>
      <c r="C6181" t="n">
        <v>1.4796</v>
      </c>
    </row>
    <row r="6182">
      <c r="A6182" t="n">
        <v>1.4674</v>
      </c>
      <c r="B6182" t="n">
        <v>1.6326</v>
      </c>
      <c r="C6182" t="n">
        <v>1.4704</v>
      </c>
    </row>
    <row r="6183">
      <c r="A6183" t="n">
        <v>1.4209</v>
      </c>
      <c r="B6183" t="n">
        <v>1.8213</v>
      </c>
      <c r="C6183" t="n">
        <v>1.6409</v>
      </c>
    </row>
    <row r="6184">
      <c r="A6184" t="n">
        <v>1.4173</v>
      </c>
      <c r="B6184" t="n">
        <v>1.5037</v>
      </c>
      <c r="C6184" t="n">
        <v>1.6956</v>
      </c>
    </row>
    <row r="6185">
      <c r="A6185" t="n">
        <v>1.4098</v>
      </c>
      <c r="B6185" t="n">
        <v>1.4561</v>
      </c>
      <c r="C6185" t="n">
        <v>1.5183</v>
      </c>
    </row>
    <row r="6186">
      <c r="A6186" t="n">
        <v>1.4584</v>
      </c>
      <c r="B6186" t="n">
        <v>1.4445</v>
      </c>
      <c r="C6186" t="n">
        <v>1.4525</v>
      </c>
    </row>
    <row r="6187">
      <c r="A6187" t="n">
        <v>1.6197</v>
      </c>
      <c r="B6187" t="n">
        <v>1.6306</v>
      </c>
      <c r="C6187" t="n">
        <v>1.4487</v>
      </c>
    </row>
    <row r="6188">
      <c r="A6188" t="n">
        <v>1.729</v>
      </c>
      <c r="B6188" t="n">
        <v>1.7484</v>
      </c>
      <c r="C6188" t="n">
        <v>1.6285</v>
      </c>
    </row>
    <row r="6189">
      <c r="A6189" t="n">
        <v>1.4953</v>
      </c>
      <c r="B6189" t="n">
        <v>1.5073</v>
      </c>
      <c r="C6189" t="n">
        <v>1.7797</v>
      </c>
    </row>
    <row r="6190">
      <c r="A6190" t="n">
        <v>1.4447</v>
      </c>
      <c r="B6190" t="n">
        <v>1.4373</v>
      </c>
      <c r="C6190" t="n">
        <v>1.4985</v>
      </c>
    </row>
    <row r="6191">
      <c r="A6191" t="n">
        <v>1.4371</v>
      </c>
      <c r="B6191" t="n">
        <v>1.4315</v>
      </c>
      <c r="C6191" t="n">
        <v>1.4506</v>
      </c>
    </row>
    <row r="6192">
      <c r="A6192" t="n">
        <v>1.6082</v>
      </c>
      <c r="B6192" t="n">
        <v>1.6354</v>
      </c>
      <c r="C6192" t="n">
        <v>1.4645</v>
      </c>
    </row>
    <row r="6193">
      <c r="A6193" t="n">
        <v>1.5205</v>
      </c>
      <c r="B6193" t="n">
        <v>1.8121</v>
      </c>
      <c r="C6193" t="n">
        <v>1.6469</v>
      </c>
    </row>
    <row r="6194">
      <c r="A6194" t="n">
        <v>1.66</v>
      </c>
      <c r="B6194" t="n">
        <v>2.003</v>
      </c>
      <c r="C6194" t="n">
        <v>1.7908</v>
      </c>
    </row>
    <row r="6195">
      <c r="A6195" t="n">
        <v>1.5016</v>
      </c>
      <c r="B6195" t="n">
        <v>1.5511</v>
      </c>
      <c r="C6195" t="n">
        <v>1.4892</v>
      </c>
    </row>
    <row r="6196">
      <c r="A6196" t="n">
        <v>1.435</v>
      </c>
      <c r="B6196" t="n">
        <v>1.7003</v>
      </c>
      <c r="C6196" t="n">
        <v>1.4604</v>
      </c>
    </row>
    <row r="6197">
      <c r="A6197" t="n">
        <v>1.6845</v>
      </c>
      <c r="B6197" t="n">
        <v>1.4878</v>
      </c>
      <c r="C6197" t="n">
        <v>1.4588</v>
      </c>
    </row>
    <row r="6198">
      <c r="A6198" t="n">
        <v>1.5102</v>
      </c>
      <c r="B6198" t="n">
        <v>1.467</v>
      </c>
      <c r="C6198" t="n">
        <v>1.6746</v>
      </c>
    </row>
    <row r="6199">
      <c r="A6199" t="n">
        <v>1.6385</v>
      </c>
      <c r="B6199" t="n">
        <v>1.6669</v>
      </c>
      <c r="C6199" t="n">
        <v>1.7128</v>
      </c>
    </row>
    <row r="6200">
      <c r="A6200" t="n">
        <v>1.4545</v>
      </c>
      <c r="B6200" t="n">
        <v>1.5461</v>
      </c>
      <c r="C6200" t="n">
        <v>1.4933</v>
      </c>
    </row>
    <row r="6201">
      <c r="A6201" t="n">
        <v>1.4076</v>
      </c>
      <c r="B6201" t="n">
        <v>1.6814</v>
      </c>
      <c r="C6201" t="n">
        <v>1.431</v>
      </c>
    </row>
    <row r="6202">
      <c r="A6202" t="n">
        <v>1.4792</v>
      </c>
      <c r="B6202" t="n">
        <v>1.4889</v>
      </c>
      <c r="C6202" t="n">
        <v>1.4494</v>
      </c>
    </row>
    <row r="6203">
      <c r="A6203" t="n">
        <v>1.4331</v>
      </c>
      <c r="B6203" t="n">
        <v>1.468</v>
      </c>
      <c r="C6203" t="n">
        <v>1.6404</v>
      </c>
    </row>
    <row r="6204">
      <c r="A6204" t="n">
        <v>1.4349</v>
      </c>
      <c r="B6204" t="n">
        <v>1.6324</v>
      </c>
      <c r="C6204" t="n">
        <v>1.5146</v>
      </c>
    </row>
    <row r="6205">
      <c r="A6205" t="n">
        <v>1.4152</v>
      </c>
      <c r="B6205" t="n">
        <v>1.549</v>
      </c>
      <c r="C6205" t="n">
        <v>1.6611</v>
      </c>
    </row>
    <row r="6206">
      <c r="A6206" t="n">
        <v>1.5046</v>
      </c>
      <c r="B6206" t="n">
        <v>1.6506</v>
      </c>
      <c r="C6206" t="n">
        <v>1.5038</v>
      </c>
    </row>
    <row r="6207">
      <c r="A6207" t="n">
        <v>1.6798</v>
      </c>
      <c r="B6207" t="n">
        <v>1.4835</v>
      </c>
      <c r="C6207" t="n">
        <v>1.4308</v>
      </c>
    </row>
    <row r="6208">
      <c r="A6208" t="n">
        <v>1.5042</v>
      </c>
      <c r="B6208" t="n">
        <v>1.472</v>
      </c>
      <c r="C6208" t="n">
        <v>1.62</v>
      </c>
    </row>
    <row r="6209">
      <c r="A6209" t="n">
        <v>1.4875</v>
      </c>
      <c r="B6209" t="n">
        <v>1.6685</v>
      </c>
      <c r="C6209" t="n">
        <v>1.5605</v>
      </c>
    </row>
    <row r="6210">
      <c r="A6210" t="n">
        <v>2.0119</v>
      </c>
      <c r="B6210" t="n">
        <v>1.5669</v>
      </c>
      <c r="C6210" t="n">
        <v>1.9494</v>
      </c>
    </row>
    <row r="6211">
      <c r="A6211" t="n">
        <v>1.6919</v>
      </c>
      <c r="B6211" t="n">
        <v>1.6859</v>
      </c>
      <c r="C6211" t="n">
        <v>1.5069</v>
      </c>
    </row>
    <row r="6212">
      <c r="A6212" t="n">
        <v>1.7625</v>
      </c>
      <c r="B6212" t="n">
        <v>1.4551</v>
      </c>
      <c r="C6212" t="n">
        <v>1.4519</v>
      </c>
    </row>
    <row r="6213">
      <c r="A6213" t="n">
        <v>1.5409</v>
      </c>
      <c r="B6213" t="n">
        <v>1.4468</v>
      </c>
      <c r="C6213" t="n">
        <v>1.641</v>
      </c>
    </row>
    <row r="6214">
      <c r="A6214" t="n">
        <v>1.647</v>
      </c>
      <c r="B6214" t="n">
        <v>1.7489</v>
      </c>
      <c r="C6214" t="n">
        <v>1.7209</v>
      </c>
    </row>
    <row r="6215">
      <c r="A6215" t="n">
        <v>1.4865</v>
      </c>
      <c r="B6215" t="n">
        <v>1.8125</v>
      </c>
      <c r="C6215" t="n">
        <v>1.5076</v>
      </c>
    </row>
    <row r="6216">
      <c r="A6216" t="n">
        <v>1.4578</v>
      </c>
      <c r="B6216" t="n">
        <v>1.4822</v>
      </c>
      <c r="C6216" t="n">
        <v>1.453</v>
      </c>
    </row>
    <row r="6217">
      <c r="A6217" t="n">
        <v>1.4101</v>
      </c>
      <c r="B6217" t="n">
        <v>1.4484</v>
      </c>
      <c r="C6217" t="n">
        <v>1.4616</v>
      </c>
    </row>
    <row r="6218">
      <c r="A6218" t="n">
        <v>1.382</v>
      </c>
      <c r="B6218" t="n">
        <v>1.4563</v>
      </c>
      <c r="C6218" t="n">
        <v>1.6328</v>
      </c>
    </row>
    <row r="6219">
      <c r="A6219" t="n">
        <v>1.4024</v>
      </c>
      <c r="B6219" t="n">
        <v>1.6674</v>
      </c>
      <c r="C6219" t="n">
        <v>1.6895</v>
      </c>
    </row>
    <row r="6220">
      <c r="A6220" t="n">
        <v>1.4393</v>
      </c>
      <c r="B6220" t="n">
        <v>1.8269</v>
      </c>
      <c r="C6220" t="n">
        <v>1.5138</v>
      </c>
    </row>
    <row r="6221">
      <c r="A6221" t="n">
        <v>1.4661</v>
      </c>
      <c r="B6221" t="n">
        <v>1.4891</v>
      </c>
      <c r="C6221" t="n">
        <v>1.4608</v>
      </c>
    </row>
    <row r="6222">
      <c r="A6222" t="n">
        <v>1.6352</v>
      </c>
      <c r="B6222" t="n">
        <v>1.458</v>
      </c>
      <c r="C6222" t="n">
        <v>1.4118</v>
      </c>
    </row>
    <row r="6223">
      <c r="A6223" t="n">
        <v>1.5092</v>
      </c>
      <c r="B6223" t="n">
        <v>1.4848</v>
      </c>
      <c r="C6223" t="n">
        <v>1.6947</v>
      </c>
    </row>
    <row r="6224">
      <c r="A6224" t="n">
        <v>1.3982</v>
      </c>
      <c r="B6224" t="n">
        <v>1.6214</v>
      </c>
      <c r="C6224" t="n">
        <v>1.7816</v>
      </c>
    </row>
    <row r="6225">
      <c r="A6225" t="n">
        <v>1.4262</v>
      </c>
      <c r="B6225" t="n">
        <v>1.7009</v>
      </c>
      <c r="C6225" t="n">
        <v>1.4838</v>
      </c>
    </row>
    <row r="6226">
      <c r="A6226" t="n">
        <v>1.4256</v>
      </c>
      <c r="B6226" t="n">
        <v>2.0636</v>
      </c>
      <c r="C6226" t="n">
        <v>1.4674</v>
      </c>
    </row>
    <row r="6227">
      <c r="A6227" t="n">
        <v>1.4153</v>
      </c>
      <c r="B6227" t="n">
        <v>1.5381</v>
      </c>
      <c r="C6227" t="n">
        <v>1.4607</v>
      </c>
    </row>
    <row r="6228">
      <c r="A6228" t="n">
        <v>1.6252</v>
      </c>
      <c r="B6228" t="n">
        <v>1.4651</v>
      </c>
      <c r="C6228" t="n">
        <v>1.6278</v>
      </c>
    </row>
    <row r="6229">
      <c r="A6229" t="n">
        <v>1.8092</v>
      </c>
      <c r="B6229" t="n">
        <v>1.4443</v>
      </c>
      <c r="C6229" t="n">
        <v>1.7587</v>
      </c>
    </row>
    <row r="6230">
      <c r="A6230" t="n">
        <v>1.4681</v>
      </c>
      <c r="B6230" t="n">
        <v>1.6962</v>
      </c>
      <c r="C6230" t="n">
        <v>1.5238</v>
      </c>
    </row>
    <row r="6231">
      <c r="A6231" t="n">
        <v>1.4343</v>
      </c>
      <c r="B6231" t="n">
        <v>1.6594</v>
      </c>
      <c r="C6231" t="n">
        <v>1.4368</v>
      </c>
    </row>
    <row r="6232">
      <c r="A6232" t="n">
        <v>1.4525</v>
      </c>
      <c r="B6232" t="n">
        <v>1.5531</v>
      </c>
      <c r="C6232" t="n">
        <v>1.4761</v>
      </c>
    </row>
    <row r="6233">
      <c r="A6233" t="n">
        <v>1.645</v>
      </c>
      <c r="B6233" t="n">
        <v>1.6649</v>
      </c>
      <c r="C6233" t="n">
        <v>1.6174</v>
      </c>
    </row>
    <row r="6234">
      <c r="A6234" t="n">
        <v>1.8268</v>
      </c>
      <c r="B6234" t="n">
        <v>1.5444</v>
      </c>
      <c r="C6234" t="n">
        <v>1.8558</v>
      </c>
    </row>
    <row r="6235">
      <c r="A6235" t="n">
        <v>1.4834</v>
      </c>
      <c r="B6235" t="n">
        <v>1.4739</v>
      </c>
      <c r="C6235" t="n">
        <v>1.5087</v>
      </c>
    </row>
    <row r="6236">
      <c r="A6236" t="n">
        <v>1.4386</v>
      </c>
      <c r="B6236" t="n">
        <v>1.6113</v>
      </c>
      <c r="C6236" t="n">
        <v>1.5362</v>
      </c>
    </row>
    <row r="6237">
      <c r="A6237" t="n">
        <v>1.4492</v>
      </c>
      <c r="B6237" t="n">
        <v>1.8202</v>
      </c>
      <c r="C6237" t="n">
        <v>1.437</v>
      </c>
    </row>
    <row r="6238">
      <c r="A6238" t="n">
        <v>1.6379</v>
      </c>
      <c r="B6238" t="n">
        <v>1.5306</v>
      </c>
      <c r="C6238" t="n">
        <v>1.6706</v>
      </c>
    </row>
    <row r="6239">
      <c r="A6239" t="n">
        <v>1.5559</v>
      </c>
      <c r="B6239" t="n">
        <v>1.4567</v>
      </c>
      <c r="C6239" t="n">
        <v>1.7</v>
      </c>
    </row>
    <row r="6240">
      <c r="A6240" t="n">
        <v>1.4176</v>
      </c>
      <c r="B6240" t="n">
        <v>1.4582</v>
      </c>
      <c r="C6240" t="n">
        <v>1.4972</v>
      </c>
    </row>
    <row r="6241">
      <c r="A6241" t="n">
        <v>1.4262</v>
      </c>
      <c r="B6241" t="n">
        <v>1.6988</v>
      </c>
      <c r="C6241" t="n">
        <v>1.4592</v>
      </c>
    </row>
    <row r="6242">
      <c r="A6242" t="n">
        <v>1.7374</v>
      </c>
      <c r="B6242" t="n">
        <v>1.6844</v>
      </c>
      <c r="C6242" t="n">
        <v>1.9736</v>
      </c>
    </row>
    <row r="6243">
      <c r="A6243" t="n">
        <v>1.6265</v>
      </c>
      <c r="B6243" t="n">
        <v>1.5048</v>
      </c>
      <c r="C6243" t="n">
        <v>1.5112</v>
      </c>
    </row>
    <row r="6244">
      <c r="A6244" t="n">
        <v>1.5365</v>
      </c>
      <c r="B6244" t="n">
        <v>1.4488</v>
      </c>
      <c r="C6244" t="n">
        <v>1.4459</v>
      </c>
    </row>
    <row r="6245">
      <c r="A6245" t="n">
        <v>1.6246</v>
      </c>
      <c r="B6245" t="n">
        <v>1.4383</v>
      </c>
      <c r="C6245" t="n">
        <v>1.4316</v>
      </c>
    </row>
    <row r="6246">
      <c r="A6246" t="n">
        <v>1.4855</v>
      </c>
      <c r="B6246" t="n">
        <v>1.7021</v>
      </c>
      <c r="C6246" t="n">
        <v>1.4346</v>
      </c>
    </row>
    <row r="6247">
      <c r="A6247" t="n">
        <v>1.4203</v>
      </c>
      <c r="B6247" t="n">
        <v>1.7059</v>
      </c>
      <c r="C6247" t="n">
        <v>1.4796</v>
      </c>
    </row>
    <row r="6248">
      <c r="A6248" t="n">
        <v>1.3776</v>
      </c>
      <c r="B6248" t="n">
        <v>1.4849</v>
      </c>
      <c r="C6248" t="n">
        <v>1.6917</v>
      </c>
    </row>
    <row r="6249">
      <c r="A6249" t="n">
        <v>1.4171</v>
      </c>
      <c r="B6249" t="n">
        <v>1.4639</v>
      </c>
      <c r="C6249" t="n">
        <v>1.7078</v>
      </c>
    </row>
    <row r="6250">
      <c r="A6250" t="n">
        <v>1.4398</v>
      </c>
      <c r="B6250" t="n">
        <v>1.4422</v>
      </c>
      <c r="C6250" t="n">
        <v>1.5716</v>
      </c>
    </row>
    <row r="6251">
      <c r="A6251" t="n">
        <v>1.6288</v>
      </c>
      <c r="B6251" t="n">
        <v>1.6483</v>
      </c>
      <c r="C6251" t="n">
        <v>1.4999</v>
      </c>
    </row>
    <row r="6252">
      <c r="A6252" t="n">
        <v>1.6601</v>
      </c>
      <c r="B6252" t="n">
        <v>1.7719</v>
      </c>
      <c r="C6252" t="n">
        <v>1.4268</v>
      </c>
    </row>
    <row r="6253">
      <c r="A6253" t="n">
        <v>1.4831</v>
      </c>
      <c r="B6253" t="n">
        <v>1.5171</v>
      </c>
      <c r="C6253" t="n">
        <v>1.4262</v>
      </c>
    </row>
    <row r="6254">
      <c r="A6254" t="n">
        <v>1.4066</v>
      </c>
      <c r="B6254" t="n">
        <v>1.4359</v>
      </c>
      <c r="C6254" t="n">
        <v>1.4916</v>
      </c>
    </row>
    <row r="6255">
      <c r="A6255" t="n">
        <v>1.437</v>
      </c>
      <c r="B6255" t="n">
        <v>1.4878</v>
      </c>
      <c r="C6255" t="n">
        <v>1.6625</v>
      </c>
    </row>
    <row r="6256">
      <c r="A6256" t="n">
        <v>1.6192</v>
      </c>
      <c r="B6256" t="n">
        <v>1.6548</v>
      </c>
      <c r="C6256" t="n">
        <v>1.7736</v>
      </c>
    </row>
    <row r="6257">
      <c r="A6257" t="n">
        <v>1.4977</v>
      </c>
      <c r="B6257" t="n">
        <v>1.8089</v>
      </c>
      <c r="C6257" t="n">
        <v>1.5707</v>
      </c>
    </row>
    <row r="6258">
      <c r="A6258" t="n">
        <v>1.6078</v>
      </c>
      <c r="B6258" t="n">
        <v>2.0474</v>
      </c>
      <c r="C6258" t="n">
        <v>1.4416</v>
      </c>
    </row>
    <row r="6259">
      <c r="A6259" t="n">
        <v>1.4852</v>
      </c>
      <c r="B6259" t="n">
        <v>1.7602</v>
      </c>
      <c r="C6259" t="n">
        <v>1.447</v>
      </c>
    </row>
    <row r="6260">
      <c r="A6260" t="n">
        <v>1.4054</v>
      </c>
      <c r="B6260" t="n">
        <v>1.4991</v>
      </c>
      <c r="C6260" t="n">
        <v>1.4198</v>
      </c>
    </row>
    <row r="6261">
      <c r="A6261" t="n">
        <v>1.4558</v>
      </c>
      <c r="B6261" t="n">
        <v>1.4741</v>
      </c>
      <c r="C6261" t="n">
        <v>1.4593</v>
      </c>
    </row>
    <row r="6262">
      <c r="A6262" t="n">
        <v>1.4468</v>
      </c>
      <c r="B6262" t="n">
        <v>1.4778</v>
      </c>
      <c r="C6262" t="n">
        <v>1.4347</v>
      </c>
    </row>
    <row r="6263">
      <c r="A6263" t="n">
        <v>1.4321</v>
      </c>
      <c r="B6263" t="n">
        <v>1.7309</v>
      </c>
      <c r="C6263" t="n">
        <v>1.4412</v>
      </c>
    </row>
    <row r="6264">
      <c r="A6264" t="n">
        <v>1.6371</v>
      </c>
      <c r="B6264" t="n">
        <v>1.7024</v>
      </c>
      <c r="C6264" t="n">
        <v>1.4236</v>
      </c>
    </row>
    <row r="6265">
      <c r="A6265" t="n">
        <v>1.7167</v>
      </c>
      <c r="B6265" t="n">
        <v>1.5362</v>
      </c>
      <c r="C6265" t="n">
        <v>1.4572</v>
      </c>
    </row>
    <row r="6266">
      <c r="A6266" t="n">
        <v>1.4601</v>
      </c>
      <c r="B6266" t="n">
        <v>1.4465</v>
      </c>
      <c r="C6266" t="n">
        <v>1.6687</v>
      </c>
    </row>
    <row r="6267">
      <c r="A6267" t="n">
        <v>1.4402</v>
      </c>
      <c r="B6267" t="n">
        <v>1.4679</v>
      </c>
      <c r="C6267" t="n">
        <v>1.5549</v>
      </c>
    </row>
    <row r="6268">
      <c r="A6268" t="n">
        <v>1.4402</v>
      </c>
      <c r="B6268" t="n">
        <v>1.6396</v>
      </c>
      <c r="C6268" t="n">
        <v>1.4892</v>
      </c>
    </row>
    <row r="6269">
      <c r="A6269" t="n">
        <v>1.5806</v>
      </c>
      <c r="B6269" t="n">
        <v>1.7505</v>
      </c>
      <c r="C6269" t="n">
        <v>1.4672</v>
      </c>
    </row>
    <row r="6270">
      <c r="A6270" t="n">
        <v>1.4997</v>
      </c>
      <c r="B6270" t="n">
        <v>1.5449</v>
      </c>
      <c r="C6270" t="n">
        <v>1.4336</v>
      </c>
    </row>
    <row r="6271">
      <c r="A6271" t="n">
        <v>1.6564</v>
      </c>
      <c r="B6271" t="n">
        <v>1.4424</v>
      </c>
      <c r="C6271" t="n">
        <v>1.439</v>
      </c>
    </row>
    <row r="6272">
      <c r="A6272" t="n">
        <v>1.4782</v>
      </c>
      <c r="B6272" t="n">
        <v>1.4275</v>
      </c>
      <c r="C6272" t="n">
        <v>1.5039</v>
      </c>
    </row>
    <row r="6273">
      <c r="A6273" t="n">
        <v>1.4488</v>
      </c>
      <c r="B6273" t="n">
        <v>1.7103</v>
      </c>
      <c r="C6273" t="n">
        <v>1.4385</v>
      </c>
    </row>
    <row r="6274">
      <c r="A6274" t="n">
        <v>1.7161</v>
      </c>
      <c r="B6274" t="n">
        <v>1.7768</v>
      </c>
      <c r="C6274" t="n">
        <v>1.855</v>
      </c>
    </row>
    <row r="6275">
      <c r="A6275" t="n">
        <v>1.4512</v>
      </c>
      <c r="B6275" t="n">
        <v>1.5024</v>
      </c>
      <c r="C6275" t="n">
        <v>1.5156</v>
      </c>
    </row>
    <row r="6276">
      <c r="A6276" t="n">
        <v>1.6113</v>
      </c>
      <c r="B6276" t="n">
        <v>1.6951</v>
      </c>
      <c r="C6276" t="n">
        <v>1.8492</v>
      </c>
    </row>
    <row r="6277">
      <c r="A6277" t="n">
        <v>1.5178</v>
      </c>
      <c r="B6277" t="n">
        <v>1.7556</v>
      </c>
      <c r="C6277" t="n">
        <v>1.6269</v>
      </c>
    </row>
    <row r="6278">
      <c r="A6278" t="n">
        <v>1.4212</v>
      </c>
      <c r="B6278" t="n">
        <v>1.4974</v>
      </c>
      <c r="C6278" t="n">
        <v>1.4833</v>
      </c>
    </row>
    <row r="6279">
      <c r="A6279" t="n">
        <v>1.4408</v>
      </c>
      <c r="B6279" t="n">
        <v>1.4188</v>
      </c>
      <c r="C6279" t="n">
        <v>1.438</v>
      </c>
    </row>
    <row r="6280">
      <c r="A6280" t="n">
        <v>1.4242</v>
      </c>
      <c r="B6280" t="n">
        <v>1.425</v>
      </c>
      <c r="C6280" t="n">
        <v>1.4231</v>
      </c>
    </row>
    <row r="6281">
      <c r="A6281" t="n">
        <v>1.4148</v>
      </c>
      <c r="B6281" t="n">
        <v>1.4013</v>
      </c>
      <c r="C6281" t="n">
        <v>1.4469</v>
      </c>
    </row>
    <row r="6282">
      <c r="A6282" t="n">
        <v>1.613</v>
      </c>
      <c r="B6282" t="n">
        <v>1.46</v>
      </c>
      <c r="C6282" t="n">
        <v>1.4665</v>
      </c>
    </row>
    <row r="6283">
      <c r="A6283" t="n">
        <v>1.746</v>
      </c>
      <c r="B6283" t="n">
        <v>1.6717</v>
      </c>
      <c r="C6283" t="n">
        <v>1.4925</v>
      </c>
    </row>
    <row r="6284">
      <c r="A6284" t="n">
        <v>1.4875</v>
      </c>
      <c r="B6284" t="n">
        <v>1.704</v>
      </c>
      <c r="C6284" t="n">
        <v>1.4367</v>
      </c>
    </row>
    <row r="6285">
      <c r="A6285" t="n">
        <v>1.4226</v>
      </c>
      <c r="B6285" t="n">
        <v>1.4971</v>
      </c>
      <c r="C6285" t="n">
        <v>1.467</v>
      </c>
    </row>
    <row r="6286">
      <c r="A6286" t="n">
        <v>1.4263</v>
      </c>
      <c r="B6286" t="n">
        <v>1.4606</v>
      </c>
      <c r="C6286" t="n">
        <v>1.673</v>
      </c>
    </row>
    <row r="6287">
      <c r="A6287" t="n">
        <v>1.6363</v>
      </c>
      <c r="B6287" t="n">
        <v>1.4332</v>
      </c>
      <c r="C6287" t="n">
        <v>1.5214</v>
      </c>
    </row>
    <row r="6288">
      <c r="A6288" t="n">
        <v>1.5002</v>
      </c>
      <c r="B6288" t="n">
        <v>1.6309</v>
      </c>
      <c r="C6288" t="n">
        <v>1.4685</v>
      </c>
    </row>
    <row r="6289">
      <c r="A6289" t="n">
        <v>1.6304</v>
      </c>
      <c r="B6289" t="n">
        <v>1.8056</v>
      </c>
      <c r="C6289" t="n">
        <v>1.6636</v>
      </c>
    </row>
    <row r="6290">
      <c r="A6290" t="n">
        <v>1.4736</v>
      </c>
      <c r="B6290" t="n">
        <v>2.0678</v>
      </c>
      <c r="C6290" t="n">
        <v>1.8214</v>
      </c>
    </row>
    <row r="6291">
      <c r="A6291" t="n">
        <v>1.457</v>
      </c>
      <c r="B6291" t="n">
        <v>1.8284</v>
      </c>
      <c r="C6291" t="n">
        <v>1.4941</v>
      </c>
    </row>
    <row r="6292">
      <c r="A6292" t="n">
        <v>1.3929</v>
      </c>
      <c r="B6292" t="n">
        <v>1.5221</v>
      </c>
      <c r="C6292" t="n">
        <v>1.4586</v>
      </c>
    </row>
    <row r="6293">
      <c r="A6293" t="n">
        <v>1.3919</v>
      </c>
      <c r="B6293" t="n">
        <v>1.4151</v>
      </c>
      <c r="C6293" t="n">
        <v>1.4491</v>
      </c>
    </row>
    <row r="6294">
      <c r="A6294" t="n">
        <v>1.4301</v>
      </c>
      <c r="B6294" t="n">
        <v>1.4344</v>
      </c>
      <c r="C6294" t="n">
        <v>1.6922</v>
      </c>
    </row>
    <row r="6295">
      <c r="A6295" t="n">
        <v>1.4237</v>
      </c>
      <c r="B6295" t="n">
        <v>1.6466</v>
      </c>
      <c r="C6295" t="n">
        <v>1.7111</v>
      </c>
    </row>
    <row r="6296">
      <c r="A6296" t="n">
        <v>1.4417</v>
      </c>
      <c r="B6296" t="n">
        <v>1.5301</v>
      </c>
      <c r="C6296" t="n">
        <v>1.5015</v>
      </c>
    </row>
    <row r="6297">
      <c r="A6297" t="n">
        <v>1.6554</v>
      </c>
      <c r="B6297" t="n">
        <v>1.6525</v>
      </c>
      <c r="C6297" t="n">
        <v>1.4242</v>
      </c>
    </row>
    <row r="6298">
      <c r="A6298" t="n">
        <v>1.5114</v>
      </c>
      <c r="B6298" t="n">
        <v>1.4895</v>
      </c>
      <c r="C6298" t="n">
        <v>1.4601</v>
      </c>
    </row>
    <row r="6299">
      <c r="A6299" t="n">
        <v>1.3991</v>
      </c>
      <c r="B6299" t="n">
        <v>1.4457</v>
      </c>
      <c r="C6299" t="n">
        <v>1.6503</v>
      </c>
    </row>
    <row r="6300">
      <c r="A6300" t="n">
        <v>1.413</v>
      </c>
      <c r="B6300" t="n">
        <v>1.678</v>
      </c>
      <c r="C6300" t="n">
        <v>1.8023</v>
      </c>
    </row>
    <row r="6301">
      <c r="A6301" t="n">
        <v>1.4385</v>
      </c>
      <c r="B6301" t="n">
        <v>1.5561</v>
      </c>
      <c r="C6301" t="n">
        <v>1.4974</v>
      </c>
    </row>
    <row r="6302">
      <c r="A6302" t="n">
        <v>1.4274</v>
      </c>
      <c r="B6302" t="n">
        <v>1.7203</v>
      </c>
      <c r="C6302" t="n">
        <v>1.4681</v>
      </c>
    </row>
    <row r="6303">
      <c r="A6303" t="n">
        <v>1.6064</v>
      </c>
      <c r="B6303" t="n">
        <v>1.4946</v>
      </c>
      <c r="C6303" t="n">
        <v>1.4372</v>
      </c>
    </row>
    <row r="6304">
      <c r="A6304" t="n">
        <v>1.5676</v>
      </c>
      <c r="B6304" t="n">
        <v>1.4579</v>
      </c>
      <c r="C6304" t="n">
        <v>1.6539</v>
      </c>
    </row>
    <row r="6305">
      <c r="A6305" t="n">
        <v>1.3972</v>
      </c>
      <c r="B6305" t="n">
        <v>1.6135</v>
      </c>
      <c r="C6305" t="n">
        <v>1.8573</v>
      </c>
    </row>
    <row r="6306">
      <c r="A6306" t="n">
        <v>1.7651</v>
      </c>
      <c r="B6306" t="n">
        <v>1.547</v>
      </c>
      <c r="C6306" t="n">
        <v>2.0139</v>
      </c>
    </row>
    <row r="6307">
      <c r="A6307" t="n">
        <v>1.4628</v>
      </c>
      <c r="B6307" t="n">
        <v>1.7236</v>
      </c>
      <c r="C6307" t="n">
        <v>1.7709</v>
      </c>
    </row>
    <row r="6308">
      <c r="A6308" t="n">
        <v>1.3835</v>
      </c>
      <c r="B6308" t="n">
        <v>1.447</v>
      </c>
      <c r="C6308" t="n">
        <v>1.4971</v>
      </c>
    </row>
    <row r="6309">
      <c r="A6309" t="n">
        <v>1.4281</v>
      </c>
      <c r="B6309" t="n">
        <v>1.474</v>
      </c>
      <c r="C6309" t="n">
        <v>1.4367</v>
      </c>
    </row>
    <row r="6310">
      <c r="A6310" t="n">
        <v>1.6487</v>
      </c>
      <c r="B6310" t="n">
        <v>1.6114</v>
      </c>
      <c r="C6310" t="n">
        <v>1.4676</v>
      </c>
    </row>
    <row r="6311">
      <c r="A6311" t="n">
        <v>1.5006</v>
      </c>
      <c r="B6311" t="n">
        <v>1.5243</v>
      </c>
      <c r="C6311" t="n">
        <v>1.6563</v>
      </c>
    </row>
    <row r="6312">
      <c r="A6312" t="n">
        <v>1.6615</v>
      </c>
      <c r="B6312" t="n">
        <v>1.6608</v>
      </c>
      <c r="C6312" t="n">
        <v>1.7407</v>
      </c>
    </row>
    <row r="6313">
      <c r="A6313" t="n">
        <v>1.6886</v>
      </c>
      <c r="B6313" t="n">
        <v>1.517</v>
      </c>
      <c r="C6313" t="n">
        <v>1.5425</v>
      </c>
    </row>
    <row r="6314">
      <c r="A6314" t="n">
        <v>1.5079</v>
      </c>
      <c r="B6314" t="n">
        <v>1.4519</v>
      </c>
      <c r="C6314" t="n">
        <v>1.5198</v>
      </c>
    </row>
    <row r="6315">
      <c r="A6315" t="n">
        <v>1.6594</v>
      </c>
      <c r="B6315" t="n">
        <v>1.4364</v>
      </c>
      <c r="C6315" t="n">
        <v>1.4824</v>
      </c>
    </row>
    <row r="6316">
      <c r="A6316" t="n">
        <v>1.4882</v>
      </c>
      <c r="B6316" t="n">
        <v>1.4578</v>
      </c>
      <c r="C6316" t="n">
        <v>1.686</v>
      </c>
    </row>
    <row r="6317">
      <c r="A6317" t="n">
        <v>1.4016</v>
      </c>
      <c r="B6317" t="n">
        <v>1.4229</v>
      </c>
      <c r="C6317" t="n">
        <v>1.7659</v>
      </c>
    </row>
    <row r="6318">
      <c r="A6318" t="n">
        <v>1.4237</v>
      </c>
      <c r="B6318" t="n">
        <v>1.4189</v>
      </c>
      <c r="C6318" t="n">
        <v>1.7286</v>
      </c>
    </row>
    <row r="6319">
      <c r="A6319" t="n">
        <v>1.4229</v>
      </c>
      <c r="B6319" t="n">
        <v>1.5432</v>
      </c>
      <c r="C6319" t="n">
        <v>1.537</v>
      </c>
    </row>
    <row r="6320">
      <c r="A6320" t="n">
        <v>1.429</v>
      </c>
      <c r="B6320" t="n">
        <v>1.6727</v>
      </c>
      <c r="C6320" t="n">
        <v>1.6402</v>
      </c>
    </row>
    <row r="6321">
      <c r="A6321" t="n">
        <v>1.6542</v>
      </c>
      <c r="B6321" t="n">
        <v>1.5098</v>
      </c>
      <c r="C6321" t="n">
        <v>1.504</v>
      </c>
    </row>
    <row r="6322">
      <c r="A6322" t="n">
        <v>1.7454</v>
      </c>
      <c r="B6322" t="n">
        <v>1.778</v>
      </c>
      <c r="C6322" t="n">
        <v>1.483</v>
      </c>
    </row>
    <row r="6323">
      <c r="A6323" t="n">
        <v>1.4647</v>
      </c>
      <c r="B6323" t="n">
        <v>1.441</v>
      </c>
      <c r="C6323" t="n">
        <v>1.4348</v>
      </c>
    </row>
    <row r="6324">
      <c r="A6324" t="n">
        <v>1.4406</v>
      </c>
      <c r="B6324" t="n">
        <v>1.4568</v>
      </c>
      <c r="C6324" t="n">
        <v>1.436</v>
      </c>
    </row>
    <row r="6325">
      <c r="A6325" t="n">
        <v>1.441</v>
      </c>
      <c r="B6325" t="n">
        <v>1.4113</v>
      </c>
      <c r="C6325" t="n">
        <v>1.4416</v>
      </c>
    </row>
    <row r="6326">
      <c r="A6326" t="n">
        <v>1.5819</v>
      </c>
      <c r="B6326" t="n">
        <v>1.4681</v>
      </c>
      <c r="C6326" t="n">
        <v>1.4308</v>
      </c>
    </row>
    <row r="6327">
      <c r="A6327" t="n">
        <v>1.5314</v>
      </c>
      <c r="B6327" t="n">
        <v>1.4574</v>
      </c>
      <c r="C6327" t="n">
        <v>1.4892</v>
      </c>
    </row>
    <row r="6328">
      <c r="A6328" t="n">
        <v>1.6332</v>
      </c>
      <c r="B6328" t="n">
        <v>1.4412</v>
      </c>
      <c r="C6328" t="n">
        <v>1.6618</v>
      </c>
    </row>
    <row r="6329">
      <c r="A6329" t="n">
        <v>1.4781</v>
      </c>
      <c r="B6329" t="n">
        <v>1.4342</v>
      </c>
      <c r="C6329" t="n">
        <v>1.5166</v>
      </c>
    </row>
    <row r="6330">
      <c r="A6330" t="n">
        <v>1.4517</v>
      </c>
      <c r="B6330" t="n">
        <v>1.4848</v>
      </c>
      <c r="C6330" t="n">
        <v>1.4529</v>
      </c>
    </row>
    <row r="6331">
      <c r="A6331" t="n">
        <v>1.3888</v>
      </c>
      <c r="B6331" t="n">
        <v>1.4463</v>
      </c>
      <c r="C6331" t="n">
        <v>1.6125</v>
      </c>
    </row>
    <row r="6332">
      <c r="A6332" t="n">
        <v>1.3965</v>
      </c>
      <c r="B6332" t="n">
        <v>1.5104</v>
      </c>
      <c r="C6332" t="n">
        <v>1.5589</v>
      </c>
    </row>
    <row r="6333">
      <c r="A6333" t="n">
        <v>1.4457</v>
      </c>
      <c r="B6333" t="n">
        <v>1.6966</v>
      </c>
      <c r="C6333" t="n">
        <v>1.6311</v>
      </c>
    </row>
    <row r="6334">
      <c r="A6334" t="n">
        <v>1.6448</v>
      </c>
      <c r="B6334" t="n">
        <v>1.4919</v>
      </c>
      <c r="C6334" t="n">
        <v>1.4879</v>
      </c>
    </row>
    <row r="6335">
      <c r="A6335" t="n">
        <v>1.7046</v>
      </c>
      <c r="B6335" t="n">
        <v>1.4662</v>
      </c>
      <c r="C6335" t="n">
        <v>1.4542</v>
      </c>
    </row>
    <row r="6336">
      <c r="A6336" t="n">
        <v>1.4952</v>
      </c>
      <c r="B6336" t="n">
        <v>1.7222</v>
      </c>
      <c r="C6336" t="n">
        <v>1.3977</v>
      </c>
    </row>
    <row r="6337">
      <c r="A6337" t="n">
        <v>1.4739</v>
      </c>
      <c r="B6337" t="n">
        <v>1.5796</v>
      </c>
      <c r="C6337" t="n">
        <v>1.4496</v>
      </c>
    </row>
    <row r="6338">
      <c r="A6338" t="n">
        <v>1.9437</v>
      </c>
      <c r="B6338" t="n">
        <v>1.4602</v>
      </c>
      <c r="C6338" t="n">
        <v>1.7611</v>
      </c>
    </row>
    <row r="6339">
      <c r="A6339" t="n">
        <v>1.5125</v>
      </c>
      <c r="B6339" t="n">
        <v>1.4403</v>
      </c>
      <c r="C6339" t="n">
        <v>1.4642</v>
      </c>
    </row>
    <row r="6340">
      <c r="A6340" t="n">
        <v>1.4309</v>
      </c>
      <c r="B6340" t="n">
        <v>1.4368</v>
      </c>
      <c r="C6340" t="n">
        <v>1.717</v>
      </c>
    </row>
    <row r="6341">
      <c r="A6341" t="n">
        <v>1.3977</v>
      </c>
      <c r="B6341" t="n">
        <v>1.4127</v>
      </c>
      <c r="C6341" t="n">
        <v>1.695</v>
      </c>
    </row>
    <row r="6342">
      <c r="A6342" t="n">
        <v>1.4331</v>
      </c>
      <c r="B6342" t="n">
        <v>1.453</v>
      </c>
      <c r="C6342" t="n">
        <v>1.5557</v>
      </c>
    </row>
    <row r="6343">
      <c r="A6343" t="n">
        <v>1.4304</v>
      </c>
      <c r="B6343" t="n">
        <v>1.4702</v>
      </c>
      <c r="C6343" t="n">
        <v>1.6646</v>
      </c>
    </row>
    <row r="6344">
      <c r="A6344" t="n">
        <v>1.6147</v>
      </c>
      <c r="B6344" t="n">
        <v>1.6799</v>
      </c>
      <c r="C6344" t="n">
        <v>1.4935</v>
      </c>
    </row>
    <row r="6345">
      <c r="A6345" t="n">
        <v>1.5281</v>
      </c>
      <c r="B6345" t="n">
        <v>1.7283</v>
      </c>
      <c r="C6345" t="n">
        <v>1.4356</v>
      </c>
    </row>
    <row r="6346">
      <c r="A6346" t="n">
        <v>1.6321</v>
      </c>
      <c r="B6346" t="n">
        <v>1.5349</v>
      </c>
      <c r="C6346" t="n">
        <v>1.4207</v>
      </c>
    </row>
    <row r="6347">
      <c r="A6347" t="n">
        <v>1.4837</v>
      </c>
      <c r="B6347" t="n">
        <v>1.4426</v>
      </c>
      <c r="C6347" t="n">
        <v>1.441</v>
      </c>
    </row>
    <row r="6348">
      <c r="A6348" t="n">
        <v>1.4382</v>
      </c>
      <c r="B6348" t="n">
        <v>1.4619</v>
      </c>
      <c r="C6348" t="n">
        <v>1.4295</v>
      </c>
    </row>
    <row r="6349">
      <c r="A6349" t="n">
        <v>1.4117</v>
      </c>
      <c r="B6349" t="n">
        <v>1.6941</v>
      </c>
      <c r="C6349" t="n">
        <v>1.6819</v>
      </c>
    </row>
    <row r="6350">
      <c r="A6350" t="n">
        <v>1.4339</v>
      </c>
      <c r="B6350" t="n">
        <v>1.6904</v>
      </c>
      <c r="C6350" t="n">
        <v>1.693</v>
      </c>
    </row>
    <row r="6351">
      <c r="A6351" t="n">
        <v>1.4746</v>
      </c>
      <c r="B6351" t="n">
        <v>1.5286</v>
      </c>
      <c r="C6351" t="n">
        <v>1.4776</v>
      </c>
    </row>
    <row r="6352">
      <c r="A6352" t="n">
        <v>1.4378</v>
      </c>
      <c r="B6352" t="n">
        <v>1.7537</v>
      </c>
      <c r="C6352" t="n">
        <v>1.4554</v>
      </c>
    </row>
    <row r="6353">
      <c r="A6353" t="n">
        <v>1.4847</v>
      </c>
      <c r="B6353" t="n">
        <v>1.7037</v>
      </c>
      <c r="C6353" t="n">
        <v>1.4608</v>
      </c>
    </row>
    <row r="6354">
      <c r="A6354" t="n">
        <v>1.6393</v>
      </c>
      <c r="B6354" t="n">
        <v>1.8749</v>
      </c>
      <c r="C6354" t="n">
        <v>1.6224</v>
      </c>
    </row>
    <row r="6355">
      <c r="A6355" t="n">
        <v>1.4904</v>
      </c>
      <c r="B6355" t="n">
        <v>1.4939</v>
      </c>
      <c r="C6355" t="n">
        <v>1.7529</v>
      </c>
    </row>
    <row r="6356">
      <c r="A6356" t="n">
        <v>1.4289</v>
      </c>
      <c r="B6356" t="n">
        <v>1.7319</v>
      </c>
      <c r="C6356" t="n">
        <v>1.5043</v>
      </c>
    </row>
    <row r="6357">
      <c r="A6357" t="n">
        <v>1.4046</v>
      </c>
      <c r="B6357" t="n">
        <v>1.7206</v>
      </c>
      <c r="C6357" t="n">
        <v>1.4482</v>
      </c>
    </row>
    <row r="6358">
      <c r="A6358" t="n">
        <v>1.4469</v>
      </c>
      <c r="B6358" t="n">
        <v>1.7873</v>
      </c>
      <c r="C6358" t="n">
        <v>1.4706</v>
      </c>
    </row>
    <row r="6359">
      <c r="A6359" t="n">
        <v>1.4935</v>
      </c>
      <c r="B6359" t="n">
        <v>1.5429</v>
      </c>
      <c r="C6359" t="n">
        <v>1.6656</v>
      </c>
    </row>
    <row r="6360">
      <c r="A6360" t="n">
        <v>1.5096</v>
      </c>
      <c r="B6360" t="n">
        <v>1.7375</v>
      </c>
      <c r="C6360" t="n">
        <v>1.7055</v>
      </c>
    </row>
    <row r="6361">
      <c r="A6361" t="n">
        <v>1.6888</v>
      </c>
      <c r="B6361" t="n">
        <v>1.4943</v>
      </c>
      <c r="C6361" t="n">
        <v>1.5072</v>
      </c>
    </row>
    <row r="6362">
      <c r="A6362" t="n">
        <v>1.487</v>
      </c>
      <c r="B6362" t="n">
        <v>1.4617</v>
      </c>
      <c r="C6362" t="n">
        <v>1.4668</v>
      </c>
    </row>
    <row r="6363">
      <c r="A6363" t="n">
        <v>1.4393</v>
      </c>
      <c r="B6363" t="n">
        <v>1.4657</v>
      </c>
      <c r="C6363" t="n">
        <v>1.4333</v>
      </c>
    </row>
    <row r="6364">
      <c r="A6364" t="n">
        <v>1.4432</v>
      </c>
      <c r="B6364" t="n">
        <v>1.4654</v>
      </c>
      <c r="C6364" t="n">
        <v>1.6715</v>
      </c>
    </row>
    <row r="6365">
      <c r="A6365" t="n">
        <v>1.6122</v>
      </c>
      <c r="B6365" t="n">
        <v>1.6756</v>
      </c>
      <c r="C6365" t="n">
        <v>1.7465</v>
      </c>
    </row>
    <row r="6366">
      <c r="A6366" t="n">
        <v>1.8352</v>
      </c>
      <c r="B6366" t="n">
        <v>1.5464</v>
      </c>
      <c r="C6366" t="n">
        <v>1.472</v>
      </c>
    </row>
    <row r="6367">
      <c r="A6367" t="n">
        <v>1.4835</v>
      </c>
      <c r="B6367" t="n">
        <v>1.4688</v>
      </c>
      <c r="C6367" t="n">
        <v>1.4542</v>
      </c>
    </row>
    <row r="6368">
      <c r="A6368" t="n">
        <v>1.4256</v>
      </c>
      <c r="B6368" t="n">
        <v>1.4502</v>
      </c>
      <c r="C6368" t="n">
        <v>1.4878</v>
      </c>
    </row>
    <row r="6369">
      <c r="A6369" t="n">
        <v>1.4889</v>
      </c>
      <c r="B6369" t="n">
        <v>1.4574</v>
      </c>
      <c r="C6369" t="n">
        <v>1.6511</v>
      </c>
    </row>
    <row r="6370">
      <c r="A6370" t="n">
        <v>1.966</v>
      </c>
      <c r="B6370" t="n">
        <v>1.4621</v>
      </c>
      <c r="C6370" t="n">
        <v>2.0924</v>
      </c>
    </row>
    <row r="6371">
      <c r="A6371" t="n">
        <v>1.7081</v>
      </c>
      <c r="B6371" t="n">
        <v>1.7529</v>
      </c>
      <c r="C6371" t="n">
        <v>1.6889</v>
      </c>
    </row>
    <row r="6372">
      <c r="A6372" t="n">
        <v>1.6799</v>
      </c>
      <c r="B6372" t="n">
        <v>1.7063</v>
      </c>
      <c r="C6372" t="n">
        <v>1.7693</v>
      </c>
    </row>
    <row r="6373">
      <c r="A6373" t="n">
        <v>1.5229</v>
      </c>
      <c r="B6373" t="n">
        <v>1.8117</v>
      </c>
      <c r="C6373" t="n">
        <v>1.5018</v>
      </c>
    </row>
    <row r="6374">
      <c r="A6374" t="n">
        <v>1.6037</v>
      </c>
      <c r="B6374" t="n">
        <v>1.528</v>
      </c>
      <c r="C6374" t="n">
        <v>1.4562</v>
      </c>
    </row>
    <row r="6375">
      <c r="A6375" t="n">
        <v>1.5233</v>
      </c>
      <c r="B6375" t="n">
        <v>1.7299</v>
      </c>
      <c r="C6375" t="n">
        <v>1.4216</v>
      </c>
    </row>
    <row r="6376">
      <c r="A6376" t="n">
        <v>1.4324</v>
      </c>
      <c r="B6376" t="n">
        <v>1.5283</v>
      </c>
      <c r="C6376" t="n">
        <v>1.6322</v>
      </c>
    </row>
    <row r="6377">
      <c r="A6377" t="n">
        <v>1.3787</v>
      </c>
      <c r="B6377" t="n">
        <v>1.4831</v>
      </c>
      <c r="C6377" t="n">
        <v>1.5347</v>
      </c>
    </row>
    <row r="6378">
      <c r="A6378" t="n">
        <v>1.4273</v>
      </c>
      <c r="B6378" t="n">
        <v>1.7081</v>
      </c>
      <c r="C6378" t="n">
        <v>1.6795</v>
      </c>
    </row>
    <row r="6379">
      <c r="A6379" t="n">
        <v>1.4202</v>
      </c>
      <c r="B6379" t="n">
        <v>1.8182</v>
      </c>
      <c r="C6379" t="n">
        <v>1.5109</v>
      </c>
    </row>
    <row r="6380">
      <c r="A6380" t="n">
        <v>1.5939</v>
      </c>
      <c r="B6380" t="n">
        <v>1.5002</v>
      </c>
      <c r="C6380" t="n">
        <v>1.4792</v>
      </c>
    </row>
    <row r="6381">
      <c r="A6381" t="n">
        <v>1.7526</v>
      </c>
      <c r="B6381" t="n">
        <v>1.4787</v>
      </c>
      <c r="C6381" t="n">
        <v>1.6425</v>
      </c>
    </row>
    <row r="6382">
      <c r="A6382" t="n">
        <v>1.4882</v>
      </c>
      <c r="B6382" t="n">
        <v>1.4702</v>
      </c>
      <c r="C6382" t="n">
        <v>1.5501</v>
      </c>
    </row>
    <row r="6383">
      <c r="A6383" t="n">
        <v>1.4164</v>
      </c>
      <c r="B6383" t="n">
        <v>1.7416</v>
      </c>
      <c r="C6383" t="n">
        <v>1.6983</v>
      </c>
    </row>
    <row r="6384">
      <c r="A6384" t="n">
        <v>1.4432</v>
      </c>
      <c r="B6384" t="n">
        <v>1.7413</v>
      </c>
      <c r="C6384" t="n">
        <v>1.4842</v>
      </c>
    </row>
    <row r="6385">
      <c r="A6385" t="n">
        <v>1.6259</v>
      </c>
      <c r="B6385" t="n">
        <v>1.5322</v>
      </c>
      <c r="C6385" t="n">
        <v>1.4747</v>
      </c>
    </row>
    <row r="6386">
      <c r="A6386" t="n">
        <v>1.5062</v>
      </c>
      <c r="B6386" t="n">
        <v>1.7773</v>
      </c>
      <c r="C6386" t="n">
        <v>1.6676</v>
      </c>
    </row>
    <row r="6387">
      <c r="A6387" t="n">
        <v>1.6456</v>
      </c>
      <c r="B6387" t="n">
        <v>1.6922</v>
      </c>
      <c r="C6387" t="n">
        <v>1.8512</v>
      </c>
    </row>
    <row r="6388">
      <c r="A6388" t="n">
        <v>1.5095</v>
      </c>
      <c r="B6388" t="n">
        <v>1.5415</v>
      </c>
      <c r="C6388" t="n">
        <v>1.5378</v>
      </c>
    </row>
    <row r="6389">
      <c r="A6389" t="n">
        <v>1.4005</v>
      </c>
      <c r="B6389" t="n">
        <v>1.4519</v>
      </c>
      <c r="C6389" t="n">
        <v>1.4491</v>
      </c>
    </row>
    <row r="6390">
      <c r="A6390" t="n">
        <v>1.3877</v>
      </c>
      <c r="B6390" t="n">
        <v>1.4504</v>
      </c>
      <c r="C6390" t="n">
        <v>1.4412</v>
      </c>
    </row>
    <row r="6391">
      <c r="A6391" t="n">
        <v>1.4228</v>
      </c>
      <c r="B6391" t="n">
        <v>1.4812</v>
      </c>
      <c r="C6391" t="n">
        <v>1.6861</v>
      </c>
    </row>
    <row r="6392">
      <c r="A6392" t="n">
        <v>1.4088</v>
      </c>
      <c r="B6392" t="n">
        <v>1.4455</v>
      </c>
      <c r="C6392" t="n">
        <v>1.6977</v>
      </c>
    </row>
    <row r="6393">
      <c r="A6393" t="n">
        <v>1.4013</v>
      </c>
      <c r="B6393" t="n">
        <v>1.5428</v>
      </c>
      <c r="C6393" t="n">
        <v>1.5128</v>
      </c>
    </row>
    <row r="6394">
      <c r="A6394" t="n">
        <v>1.4807</v>
      </c>
      <c r="B6394" t="n">
        <v>1.7679</v>
      </c>
      <c r="C6394" t="n">
        <v>1.4678</v>
      </c>
    </row>
    <row r="6395">
      <c r="A6395" t="n">
        <v>1.6145</v>
      </c>
      <c r="B6395" t="n">
        <v>1.6016</v>
      </c>
      <c r="C6395" t="n">
        <v>1.4452</v>
      </c>
    </row>
    <row r="6396">
      <c r="A6396" t="n">
        <v>1.4982</v>
      </c>
      <c r="B6396" t="n">
        <v>1.5085</v>
      </c>
      <c r="C6396" t="n">
        <v>1.6377</v>
      </c>
    </row>
    <row r="6397">
      <c r="A6397" t="n">
        <v>1.6846</v>
      </c>
      <c r="B6397" t="n">
        <v>1.6757</v>
      </c>
      <c r="C6397" t="n">
        <v>1.7013</v>
      </c>
    </row>
    <row r="6398">
      <c r="A6398" t="n">
        <v>1.6397</v>
      </c>
      <c r="B6398" t="n">
        <v>1.537</v>
      </c>
      <c r="C6398" t="n">
        <v>1.4932</v>
      </c>
    </row>
    <row r="6399">
      <c r="A6399" t="n">
        <v>1.512</v>
      </c>
      <c r="B6399" t="n">
        <v>1.7127</v>
      </c>
      <c r="C6399" t="n">
        <v>1.4432</v>
      </c>
    </row>
    <row r="6400">
      <c r="A6400" t="n">
        <v>1.6051</v>
      </c>
      <c r="B6400" t="n">
        <v>1.721</v>
      </c>
      <c r="C6400" t="n">
        <v>1.4598</v>
      </c>
    </row>
    <row r="6401">
      <c r="A6401" t="n">
        <v>1.4744</v>
      </c>
      <c r="B6401" t="n">
        <v>1.5384</v>
      </c>
      <c r="C6401" t="n">
        <v>1.6305</v>
      </c>
    </row>
    <row r="6402">
      <c r="A6402" t="n">
        <v>1.7842</v>
      </c>
      <c r="B6402" t="n">
        <v>1.7778</v>
      </c>
      <c r="C6402" t="n">
        <v>2.0655</v>
      </c>
    </row>
    <row r="6403">
      <c r="A6403" t="n">
        <v>1.6552</v>
      </c>
      <c r="B6403" t="n">
        <v>1.7828</v>
      </c>
      <c r="C6403" t="n">
        <v>1.7098</v>
      </c>
    </row>
    <row r="6404">
      <c r="A6404" t="n">
        <v>1.6766</v>
      </c>
      <c r="B6404" t="n">
        <v>1.7322</v>
      </c>
      <c r="C6404" t="n">
        <v>1.5889</v>
      </c>
    </row>
    <row r="6405">
      <c r="A6405" t="n">
        <v>1.486</v>
      </c>
      <c r="B6405" t="n">
        <v>1.5551</v>
      </c>
      <c r="C6405" t="n">
        <v>1.4703</v>
      </c>
    </row>
    <row r="6406">
      <c r="A6406" t="n">
        <v>1.4287</v>
      </c>
      <c r="B6406" t="n">
        <v>1.4725</v>
      </c>
      <c r="C6406" t="n">
        <v>1.4753</v>
      </c>
    </row>
    <row r="6407">
      <c r="A6407" t="n">
        <v>1.4395</v>
      </c>
      <c r="B6407" t="n">
        <v>1.4665</v>
      </c>
      <c r="C6407" t="n">
        <v>1.7179</v>
      </c>
    </row>
    <row r="6408">
      <c r="A6408" t="n">
        <v>1.6132</v>
      </c>
      <c r="B6408" t="n">
        <v>1.4718</v>
      </c>
      <c r="C6408" t="n">
        <v>1.6315</v>
      </c>
    </row>
    <row r="6409">
      <c r="A6409" t="n">
        <v>1.5254</v>
      </c>
      <c r="B6409" t="n">
        <v>1.4953</v>
      </c>
      <c r="C6409" t="n">
        <v>1.5442</v>
      </c>
    </row>
    <row r="6410">
      <c r="A6410" t="n">
        <v>1.6238</v>
      </c>
      <c r="B6410" t="n">
        <v>1.4836</v>
      </c>
      <c r="C6410" t="n">
        <v>1.658</v>
      </c>
    </row>
    <row r="6411">
      <c r="A6411" t="n">
        <v>1.4963</v>
      </c>
      <c r="B6411" t="n">
        <v>1.7628</v>
      </c>
      <c r="C6411" t="n">
        <v>1.5279</v>
      </c>
    </row>
    <row r="6412">
      <c r="A6412" t="n">
        <v>1.4179</v>
      </c>
      <c r="B6412" t="n">
        <v>1.5542</v>
      </c>
      <c r="C6412" t="n">
        <v>1.4373</v>
      </c>
    </row>
    <row r="6413">
      <c r="A6413" t="n">
        <v>1.3642</v>
      </c>
      <c r="B6413" t="n">
        <v>1.4616</v>
      </c>
      <c r="C6413" t="n">
        <v>1.6797</v>
      </c>
    </row>
    <row r="6414">
      <c r="A6414" t="n">
        <v>1.4131</v>
      </c>
      <c r="B6414" t="n">
        <v>1.5047</v>
      </c>
      <c r="C6414" t="n">
        <v>1.5248</v>
      </c>
    </row>
    <row r="6415">
      <c r="A6415" t="n">
        <v>1.4258</v>
      </c>
      <c r="B6415" t="n">
        <v>1.7884</v>
      </c>
      <c r="C6415" t="n">
        <v>1.6769</v>
      </c>
    </row>
    <row r="6416">
      <c r="A6416" t="n">
        <v>1.6334</v>
      </c>
      <c r="B6416" t="n">
        <v>1.6952</v>
      </c>
      <c r="C6416" t="n">
        <v>1.5076</v>
      </c>
    </row>
    <row r="6417">
      <c r="A6417" t="n">
        <v>1.7042</v>
      </c>
      <c r="B6417" t="n">
        <v>1.747</v>
      </c>
      <c r="C6417" t="n">
        <v>1.4652</v>
      </c>
    </row>
    <row r="6418">
      <c r="A6418" t="n">
        <v>1.4709</v>
      </c>
      <c r="B6418" t="n">
        <v>2.1312</v>
      </c>
      <c r="C6418" t="n">
        <v>1.6448</v>
      </c>
    </row>
    <row r="6419">
      <c r="A6419" t="n">
        <v>1.4072</v>
      </c>
      <c r="B6419" t="n">
        <v>1.7665</v>
      </c>
      <c r="C6419" t="n">
        <v>1.5456</v>
      </c>
    </row>
    <row r="6420">
      <c r="A6420" t="n">
        <v>1.4417</v>
      </c>
      <c r="B6420" t="n">
        <v>1.5514</v>
      </c>
      <c r="C6420" t="n">
        <v>1.6689</v>
      </c>
    </row>
    <row r="6421">
      <c r="A6421" t="n">
        <v>1.4114</v>
      </c>
      <c r="B6421" t="n">
        <v>1.7232</v>
      </c>
      <c r="C6421" t="n">
        <v>1.5185</v>
      </c>
    </row>
    <row r="6422">
      <c r="A6422" t="n">
        <v>1.4485</v>
      </c>
      <c r="B6422" t="n">
        <v>1.5076</v>
      </c>
      <c r="C6422" t="n">
        <v>1.5387</v>
      </c>
    </row>
    <row r="6423">
      <c r="A6423" t="n">
        <v>1.6636</v>
      </c>
      <c r="B6423" t="n">
        <v>1.4862</v>
      </c>
      <c r="C6423" t="n">
        <v>1.627</v>
      </c>
    </row>
    <row r="6424">
      <c r="A6424" t="n">
        <v>1.5118</v>
      </c>
      <c r="B6424" t="n">
        <v>1.7321</v>
      </c>
      <c r="C6424" t="n">
        <v>1.6726</v>
      </c>
    </row>
    <row r="6425">
      <c r="A6425" t="n">
        <v>1.6141</v>
      </c>
      <c r="B6425" t="n">
        <v>1.806</v>
      </c>
      <c r="C6425" t="n">
        <v>1.5435</v>
      </c>
    </row>
    <row r="6426">
      <c r="A6426" t="n">
        <v>1.7212</v>
      </c>
      <c r="B6426" t="n">
        <v>1.5354</v>
      </c>
      <c r="C6426" t="n">
        <v>1.4759</v>
      </c>
    </row>
    <row r="6427">
      <c r="A6427" t="n">
        <v>1.5096</v>
      </c>
      <c r="B6427" t="n">
        <v>1.4506</v>
      </c>
      <c r="C6427" t="n">
        <v>1.4674</v>
      </c>
    </row>
    <row r="6428">
      <c r="A6428" t="n">
        <v>1.5933</v>
      </c>
      <c r="B6428" t="n">
        <v>1.46</v>
      </c>
      <c r="C6428" t="n">
        <v>1.4281</v>
      </c>
    </row>
    <row r="6429">
      <c r="A6429" t="n">
        <v>1.4972</v>
      </c>
      <c r="B6429" t="n">
        <v>1.72</v>
      </c>
      <c r="C6429" t="n">
        <v>1.5003</v>
      </c>
    </row>
    <row r="6430">
      <c r="A6430" t="n">
        <v>1.4082</v>
      </c>
      <c r="B6430" t="n">
        <v>1.6989</v>
      </c>
      <c r="C6430" t="n">
        <v>1.6634</v>
      </c>
    </row>
    <row r="6431">
      <c r="A6431" t="n">
        <v>1.4046</v>
      </c>
      <c r="B6431" t="n">
        <v>1.5199</v>
      </c>
      <c r="C6431" t="n">
        <v>1.5484</v>
      </c>
    </row>
    <row r="6432">
      <c r="A6432" t="n">
        <v>1.4282</v>
      </c>
      <c r="B6432" t="n">
        <v>1.7579</v>
      </c>
      <c r="C6432" t="n">
        <v>1.4188</v>
      </c>
    </row>
    <row r="6433">
      <c r="A6433" t="n">
        <v>1.4317</v>
      </c>
      <c r="B6433" t="n">
        <v>1.7223</v>
      </c>
      <c r="C6433" t="n">
        <v>1.4253</v>
      </c>
    </row>
    <row r="6434">
      <c r="A6434" t="n">
        <v>1.9641</v>
      </c>
      <c r="B6434" t="n">
        <v>1.5145</v>
      </c>
      <c r="C6434" t="n">
        <v>1.7944</v>
      </c>
    </row>
    <row r="6435">
      <c r="A6435" t="n">
        <v>1.727</v>
      </c>
      <c r="B6435" t="n">
        <v>1.4882</v>
      </c>
      <c r="C6435" t="n">
        <v>1.6378</v>
      </c>
    </row>
    <row r="6436">
      <c r="A6436" t="n">
        <v>1.6947</v>
      </c>
      <c r="B6436" t="n">
        <v>1.4372</v>
      </c>
      <c r="C6436" t="n">
        <v>1.5425</v>
      </c>
    </row>
    <row r="6437">
      <c r="A6437" t="n">
        <v>1.4881</v>
      </c>
      <c r="B6437" t="n">
        <v>1.4221</v>
      </c>
      <c r="C6437" t="n">
        <v>1.4489</v>
      </c>
    </row>
    <row r="6438">
      <c r="A6438" t="n">
        <v>1.6275</v>
      </c>
      <c r="B6438" t="n">
        <v>1.4046</v>
      </c>
      <c r="C6438" t="n">
        <v>1.4217</v>
      </c>
    </row>
    <row r="6439">
      <c r="A6439" t="n">
        <v>1.5292</v>
      </c>
      <c r="B6439" t="n">
        <v>1.4446</v>
      </c>
      <c r="C6439" t="n">
        <v>1.4667</v>
      </c>
    </row>
    <row r="6440">
      <c r="A6440" t="n">
        <v>1.4389</v>
      </c>
      <c r="B6440" t="n">
        <v>1.4752</v>
      </c>
      <c r="C6440" t="n">
        <v>1.452</v>
      </c>
    </row>
    <row r="6441">
      <c r="A6441" t="n">
        <v>1.4685</v>
      </c>
      <c r="B6441" t="n">
        <v>1.6628</v>
      </c>
      <c r="C6441" t="n">
        <v>1.6287</v>
      </c>
    </row>
    <row r="6442">
      <c r="A6442" t="n">
        <v>1.448</v>
      </c>
      <c r="B6442" t="n">
        <v>1.4997</v>
      </c>
      <c r="C6442" t="n">
        <v>1.6932</v>
      </c>
    </row>
    <row r="6443">
      <c r="A6443" t="n">
        <v>1.404</v>
      </c>
      <c r="B6443" t="n">
        <v>1.4572</v>
      </c>
      <c r="C6443" t="n">
        <v>1.5265</v>
      </c>
    </row>
    <row r="6444">
      <c r="A6444" t="n">
        <v>1.6436</v>
      </c>
      <c r="B6444" t="n">
        <v>1.6437</v>
      </c>
      <c r="C6444" t="n">
        <v>1.4528</v>
      </c>
    </row>
    <row r="6445">
      <c r="A6445" t="n">
        <v>1.7048</v>
      </c>
      <c r="B6445" t="n">
        <v>1.5372</v>
      </c>
      <c r="C6445" t="n">
        <v>1.4508</v>
      </c>
    </row>
    <row r="6446">
      <c r="A6446" t="n">
        <v>1.4807</v>
      </c>
      <c r="B6446" t="n">
        <v>1.6603</v>
      </c>
      <c r="C6446" t="n">
        <v>1.6419</v>
      </c>
    </row>
    <row r="6447">
      <c r="A6447" t="n">
        <v>1.4429</v>
      </c>
      <c r="B6447" t="n">
        <v>1.4953</v>
      </c>
      <c r="C6447" t="n">
        <v>1.7427</v>
      </c>
    </row>
    <row r="6448">
      <c r="A6448" t="n">
        <v>1.4359</v>
      </c>
      <c r="B6448" t="n">
        <v>1.4624</v>
      </c>
      <c r="C6448" t="n">
        <v>1.5081</v>
      </c>
    </row>
    <row r="6449">
      <c r="A6449" t="n">
        <v>1.6091</v>
      </c>
      <c r="B6449" t="n">
        <v>1.4035</v>
      </c>
      <c r="C6449" t="n">
        <v>1.4569</v>
      </c>
    </row>
    <row r="6450">
      <c r="A6450" t="n">
        <v>1.7662</v>
      </c>
      <c r="B6450" t="n">
        <v>1.7735</v>
      </c>
      <c r="C6450" t="n">
        <v>1.4327</v>
      </c>
    </row>
    <row r="6451">
      <c r="A6451" t="n">
        <v>1.4746</v>
      </c>
      <c r="B6451" t="n">
        <v>1.6428</v>
      </c>
      <c r="C6451" t="n">
        <v>1.6251</v>
      </c>
    </row>
    <row r="6452">
      <c r="A6452" t="n">
        <v>1.4101</v>
      </c>
      <c r="B6452" t="n">
        <v>1.4671</v>
      </c>
      <c r="C6452" t="n">
        <v>1.608</v>
      </c>
    </row>
    <row r="6453">
      <c r="A6453" t="n">
        <v>1.4338</v>
      </c>
      <c r="B6453" t="n">
        <v>1.4698</v>
      </c>
      <c r="C6453" t="n">
        <v>1.4207</v>
      </c>
    </row>
    <row r="6454">
      <c r="A6454" t="n">
        <v>1.3892</v>
      </c>
      <c r="B6454" t="n">
        <v>1.6687</v>
      </c>
      <c r="C6454" t="n">
        <v>1.4552</v>
      </c>
    </row>
    <row r="6455">
      <c r="A6455" t="n">
        <v>1.4275</v>
      </c>
      <c r="B6455" t="n">
        <v>1.5227</v>
      </c>
      <c r="C6455" t="n">
        <v>1.4434</v>
      </c>
    </row>
    <row r="6456">
      <c r="A6456" t="n">
        <v>1.4116</v>
      </c>
      <c r="B6456" t="n">
        <v>1.6419</v>
      </c>
      <c r="C6456" t="n">
        <v>1.422</v>
      </c>
    </row>
    <row r="6457">
      <c r="A6457" t="n">
        <v>1.4053</v>
      </c>
      <c r="B6457" t="n">
        <v>1.5234</v>
      </c>
      <c r="C6457" t="n">
        <v>1.4524</v>
      </c>
    </row>
    <row r="6458">
      <c r="A6458" t="n">
        <v>1.4562</v>
      </c>
      <c r="B6458" t="n">
        <v>1.4044</v>
      </c>
      <c r="C6458" t="n">
        <v>1.4499</v>
      </c>
    </row>
    <row r="6459">
      <c r="A6459" t="n">
        <v>1.6535</v>
      </c>
      <c r="B6459" t="n">
        <v>1.5138</v>
      </c>
      <c r="C6459" t="n">
        <v>1.6709</v>
      </c>
    </row>
    <row r="6460">
      <c r="A6460" t="n">
        <v>1.5059</v>
      </c>
      <c r="B6460" t="n">
        <v>1.4931</v>
      </c>
      <c r="C6460" t="n">
        <v>1.7719</v>
      </c>
    </row>
    <row r="6461">
      <c r="A6461" t="n">
        <v>1.4372</v>
      </c>
      <c r="B6461" t="n">
        <v>1.4146</v>
      </c>
      <c r="C6461" t="n">
        <v>1.505</v>
      </c>
    </row>
    <row r="6462">
      <c r="A6462" t="n">
        <v>1.4007</v>
      </c>
      <c r="B6462" t="n">
        <v>1.4382</v>
      </c>
      <c r="C6462" t="n">
        <v>1.4564</v>
      </c>
    </row>
    <row r="6463">
      <c r="A6463" t="n">
        <v>1.4236</v>
      </c>
      <c r="B6463" t="n">
        <v>1.8913</v>
      </c>
      <c r="C6463" t="n">
        <v>1.4523</v>
      </c>
    </row>
    <row r="6464">
      <c r="A6464" t="n">
        <v>1.4349</v>
      </c>
      <c r="B6464" t="n">
        <v>1.4971</v>
      </c>
      <c r="C6464" t="n">
        <v>1.7176</v>
      </c>
    </row>
    <row r="6465">
      <c r="A6465" t="n">
        <v>1.7217</v>
      </c>
      <c r="B6465" t="n">
        <v>1.4723</v>
      </c>
      <c r="C6465" t="n">
        <v>1.6959</v>
      </c>
    </row>
    <row r="6466">
      <c r="A6466" t="n">
        <v>2.0517</v>
      </c>
      <c r="B6466" t="n">
        <v>1.4734</v>
      </c>
      <c r="C6466" t="n">
        <v>2.0366</v>
      </c>
    </row>
    <row r="6467">
      <c r="A6467" t="n">
        <v>1.7208</v>
      </c>
      <c r="B6467" t="n">
        <v>1.6682</v>
      </c>
      <c r="C6467" t="n">
        <v>1.9527</v>
      </c>
    </row>
    <row r="6468">
      <c r="A6468" t="n">
        <v>1.7258</v>
      </c>
      <c r="B6468" t="n">
        <v>1.7718</v>
      </c>
      <c r="C6468" t="n">
        <v>1.5578</v>
      </c>
    </row>
    <row r="6469">
      <c r="A6469" t="n">
        <v>1.4849</v>
      </c>
      <c r="B6469" t="n">
        <v>1.8035</v>
      </c>
      <c r="C6469" t="n">
        <v>1.515</v>
      </c>
    </row>
    <row r="6470">
      <c r="A6470" t="n">
        <v>1.4618</v>
      </c>
      <c r="B6470" t="n">
        <v>1.5379</v>
      </c>
      <c r="C6470" t="n">
        <v>1.7133</v>
      </c>
    </row>
    <row r="6471">
      <c r="A6471" t="n">
        <v>1.4647</v>
      </c>
      <c r="B6471" t="n">
        <v>1.7013</v>
      </c>
      <c r="C6471" t="n">
        <v>1.5194</v>
      </c>
    </row>
    <row r="6472">
      <c r="A6472" t="n">
        <v>1.6513</v>
      </c>
      <c r="B6472" t="n">
        <v>1.5235</v>
      </c>
      <c r="C6472" t="n">
        <v>1.6683</v>
      </c>
    </row>
    <row r="6473">
      <c r="A6473" t="n">
        <v>1.7859</v>
      </c>
      <c r="B6473" t="n">
        <v>1.4703</v>
      </c>
      <c r="C6473" t="n">
        <v>1.7726</v>
      </c>
    </row>
    <row r="6474">
      <c r="A6474" t="n">
        <v>1.4987</v>
      </c>
      <c r="B6474" t="n">
        <v>1.4591</v>
      </c>
      <c r="C6474" t="n">
        <v>1.633</v>
      </c>
    </row>
    <row r="6475">
      <c r="A6475" t="n">
        <v>1.4657</v>
      </c>
      <c r="B6475" t="n">
        <v>1.5089</v>
      </c>
      <c r="C6475" t="n">
        <v>1.4833</v>
      </c>
    </row>
    <row r="6476">
      <c r="A6476" t="n">
        <v>1.4457</v>
      </c>
      <c r="B6476" t="n">
        <v>1.6447</v>
      </c>
      <c r="C6476" t="n">
        <v>1.4598</v>
      </c>
    </row>
    <row r="6477">
      <c r="A6477" t="n">
        <v>1.6315</v>
      </c>
      <c r="B6477" t="n">
        <v>1.5471</v>
      </c>
      <c r="C6477" t="n">
        <v>1.4248</v>
      </c>
    </row>
    <row r="6478">
      <c r="A6478" t="n">
        <v>1.6885</v>
      </c>
      <c r="B6478" t="n">
        <v>1.4541</v>
      </c>
      <c r="C6478" t="n">
        <v>1.4652</v>
      </c>
    </row>
    <row r="6479">
      <c r="A6479" t="n">
        <v>1.5228</v>
      </c>
      <c r="B6479" t="n">
        <v>1.4483</v>
      </c>
      <c r="C6479" t="n">
        <v>1.4407</v>
      </c>
    </row>
    <row r="6480">
      <c r="A6480" t="n">
        <v>1.4454</v>
      </c>
      <c r="B6480" t="n">
        <v>1.4693</v>
      </c>
      <c r="C6480" t="n">
        <v>1.4423</v>
      </c>
    </row>
    <row r="6481">
      <c r="A6481" t="n">
        <v>1.4395</v>
      </c>
      <c r="B6481" t="n">
        <v>1.493</v>
      </c>
      <c r="C6481" t="n">
        <v>1.422</v>
      </c>
    </row>
    <row r="6482">
      <c r="A6482" t="n">
        <v>1.6373</v>
      </c>
      <c r="B6482" t="n">
        <v>2.0043</v>
      </c>
      <c r="C6482" t="n">
        <v>1.4975</v>
      </c>
    </row>
    <row r="6483">
      <c r="A6483" t="n">
        <v>1.5695</v>
      </c>
      <c r="B6483" t="n">
        <v>1.7382</v>
      </c>
      <c r="C6483" t="n">
        <v>1.6876</v>
      </c>
    </row>
    <row r="6484">
      <c r="A6484" t="n">
        <v>1.4249</v>
      </c>
      <c r="B6484" t="n">
        <v>1.6932</v>
      </c>
      <c r="C6484" t="n">
        <v>1.5357</v>
      </c>
    </row>
    <row r="6485">
      <c r="A6485" t="n">
        <v>1.4025</v>
      </c>
      <c r="B6485" t="n">
        <v>1.9038</v>
      </c>
      <c r="C6485" t="n">
        <v>1.4769</v>
      </c>
    </row>
    <row r="6486">
      <c r="A6486" t="n">
        <v>1.4073</v>
      </c>
      <c r="B6486" t="n">
        <v>1.5355</v>
      </c>
      <c r="C6486" t="n">
        <v>1.6769</v>
      </c>
    </row>
    <row r="6487">
      <c r="A6487" t="n">
        <v>1.4378</v>
      </c>
      <c r="B6487" t="n">
        <v>1.7346</v>
      </c>
      <c r="C6487" t="n">
        <v>1.7703</v>
      </c>
    </row>
    <row r="6488">
      <c r="A6488" t="n">
        <v>1.4023</v>
      </c>
      <c r="B6488" t="n">
        <v>1.7005</v>
      </c>
      <c r="C6488" t="n">
        <v>1.5141</v>
      </c>
    </row>
    <row r="6489">
      <c r="A6489" t="n">
        <v>1.4449</v>
      </c>
      <c r="B6489" t="n">
        <v>1.5511</v>
      </c>
      <c r="C6489" t="n">
        <v>1.4789</v>
      </c>
    </row>
    <row r="6490">
      <c r="A6490" t="n">
        <v>1.6582</v>
      </c>
      <c r="B6490" t="n">
        <v>1.4293</v>
      </c>
      <c r="C6490" t="n">
        <v>1.4513</v>
      </c>
    </row>
    <row r="6491">
      <c r="A6491" t="n">
        <v>1.4796</v>
      </c>
      <c r="B6491" t="n">
        <v>1.4016</v>
      </c>
      <c r="C6491" t="n">
        <v>1.6475</v>
      </c>
    </row>
    <row r="6492">
      <c r="A6492" t="n">
        <v>1.6627</v>
      </c>
      <c r="B6492" t="n">
        <v>1.4495</v>
      </c>
      <c r="C6492" t="n">
        <v>1.7786</v>
      </c>
    </row>
    <row r="6493">
      <c r="A6493" t="n">
        <v>1.4756</v>
      </c>
      <c r="B6493" t="n">
        <v>1.4697</v>
      </c>
      <c r="C6493" t="n">
        <v>1.5205</v>
      </c>
    </row>
    <row r="6494">
      <c r="A6494" t="n">
        <v>1.4182</v>
      </c>
      <c r="B6494" t="n">
        <v>1.6804</v>
      </c>
      <c r="C6494" t="n">
        <v>1.5138</v>
      </c>
    </row>
    <row r="6495">
      <c r="A6495" t="n">
        <v>1.6501</v>
      </c>
      <c r="B6495" t="n">
        <v>1.7554</v>
      </c>
      <c r="C6495" t="n">
        <v>1.4536</v>
      </c>
    </row>
    <row r="6496">
      <c r="A6496" t="n">
        <v>1.5268</v>
      </c>
      <c r="B6496" t="n">
        <v>1.5673</v>
      </c>
      <c r="C6496" t="n">
        <v>1.7154</v>
      </c>
    </row>
    <row r="6497">
      <c r="A6497" t="n">
        <v>1.5983</v>
      </c>
      <c r="B6497" t="n">
        <v>1.4867</v>
      </c>
      <c r="C6497" t="n">
        <v>1.7015</v>
      </c>
    </row>
    <row r="6498">
      <c r="A6498" t="n">
        <v>1.8151</v>
      </c>
      <c r="B6498" t="n">
        <v>1.4604</v>
      </c>
      <c r="C6498" t="n">
        <v>2.0179</v>
      </c>
    </row>
    <row r="6499">
      <c r="A6499" t="n">
        <v>1.4624</v>
      </c>
      <c r="B6499" t="n">
        <v>1.4324</v>
      </c>
      <c r="C6499" t="n">
        <v>1.6003</v>
      </c>
    </row>
    <row r="6500">
      <c r="A6500" t="n">
        <v>1.6109</v>
      </c>
      <c r="B6500" t="n">
        <v>1.4192</v>
      </c>
      <c r="C6500" t="n">
        <v>1.4471</v>
      </c>
    </row>
    <row r="6501">
      <c r="A6501" t="n">
        <v>1.7009</v>
      </c>
      <c r="B6501" t="n">
        <v>1.7432</v>
      </c>
      <c r="C6501" t="n">
        <v>1.4458</v>
      </c>
    </row>
    <row r="6502">
      <c r="A6502" t="n">
        <v>1.4786</v>
      </c>
      <c r="B6502" t="n">
        <v>1.514</v>
      </c>
      <c r="C6502" t="n">
        <v>1.4162</v>
      </c>
    </row>
    <row r="6503">
      <c r="A6503" t="n">
        <v>1.4306</v>
      </c>
      <c r="B6503" t="n">
        <v>1.4408</v>
      </c>
      <c r="C6503" t="n">
        <v>1.4541</v>
      </c>
    </row>
    <row r="6504">
      <c r="A6504" t="n">
        <v>1.4505</v>
      </c>
      <c r="B6504" t="n">
        <v>1.6722</v>
      </c>
      <c r="C6504" t="n">
        <v>1.4548</v>
      </c>
    </row>
    <row r="6505">
      <c r="A6505" t="n">
        <v>1.6064</v>
      </c>
      <c r="B6505" t="n">
        <v>1.7512</v>
      </c>
      <c r="C6505" t="n">
        <v>1.4651</v>
      </c>
    </row>
    <row r="6506">
      <c r="A6506" t="n">
        <v>1.5037</v>
      </c>
      <c r="B6506" t="n">
        <v>1.4738</v>
      </c>
      <c r="C6506" t="n">
        <v>1.7355</v>
      </c>
    </row>
    <row r="6507">
      <c r="A6507" t="n">
        <v>1.6407</v>
      </c>
      <c r="B6507" t="n">
        <v>1.4805</v>
      </c>
      <c r="C6507" t="n">
        <v>1.6996</v>
      </c>
    </row>
    <row r="6508">
      <c r="A6508" t="n">
        <v>1.4774</v>
      </c>
      <c r="B6508" t="n">
        <v>1.4659</v>
      </c>
      <c r="C6508" t="n">
        <v>1.4987</v>
      </c>
    </row>
    <row r="6509">
      <c r="A6509" t="n">
        <v>1.4165</v>
      </c>
      <c r="B6509" t="n">
        <v>1.6573</v>
      </c>
      <c r="C6509" t="n">
        <v>1.4755</v>
      </c>
    </row>
    <row r="6510">
      <c r="A6510" t="n">
        <v>1.3931</v>
      </c>
      <c r="B6510" t="n">
        <v>1.7777</v>
      </c>
      <c r="C6510" t="n">
        <v>1.4675</v>
      </c>
    </row>
    <row r="6511">
      <c r="A6511" t="n">
        <v>1.4355</v>
      </c>
      <c r="B6511" t="n">
        <v>1.5041</v>
      </c>
      <c r="C6511" t="n">
        <v>1.695</v>
      </c>
    </row>
    <row r="6512">
      <c r="A6512" t="n">
        <v>1.4335</v>
      </c>
      <c r="B6512" t="n">
        <v>1.4524</v>
      </c>
      <c r="C6512" t="n">
        <v>1.6894</v>
      </c>
    </row>
    <row r="6513">
      <c r="A6513" t="n">
        <v>1.6508</v>
      </c>
      <c r="B6513" t="n">
        <v>1.4635</v>
      </c>
      <c r="C6513" t="n">
        <v>1.4837</v>
      </c>
    </row>
    <row r="6514">
      <c r="A6514" t="n">
        <v>1.7384</v>
      </c>
      <c r="B6514" t="n">
        <v>1.9768</v>
      </c>
      <c r="C6514" t="n">
        <v>1.7049</v>
      </c>
    </row>
    <row r="6515">
      <c r="A6515" t="n">
        <v>1.4813</v>
      </c>
      <c r="B6515" t="n">
        <v>1.7205</v>
      </c>
      <c r="C6515" t="n">
        <v>1.701</v>
      </c>
    </row>
    <row r="6516">
      <c r="A6516" t="n">
        <v>1.428</v>
      </c>
      <c r="B6516" t="n">
        <v>1.7473</v>
      </c>
      <c r="C6516" t="n">
        <v>1.5083</v>
      </c>
    </row>
    <row r="6517">
      <c r="A6517" t="n">
        <v>1.4442</v>
      </c>
      <c r="B6517" t="n">
        <v>1.5611</v>
      </c>
      <c r="C6517" t="n">
        <v>1.4722</v>
      </c>
    </row>
    <row r="6518">
      <c r="A6518" t="n">
        <v>1.6222</v>
      </c>
      <c r="B6518" t="n">
        <v>1.7819</v>
      </c>
      <c r="C6518" t="n">
        <v>1.4549</v>
      </c>
    </row>
    <row r="6519">
      <c r="A6519" t="n">
        <v>1.8107</v>
      </c>
      <c r="B6519" t="n">
        <v>1.7173</v>
      </c>
      <c r="C6519" t="n">
        <v>1.4237</v>
      </c>
    </row>
    <row r="6520">
      <c r="A6520" t="n">
        <v>1.4745</v>
      </c>
      <c r="B6520" t="n">
        <v>1.7715</v>
      </c>
      <c r="C6520" t="n">
        <v>1.4277</v>
      </c>
    </row>
    <row r="6521">
      <c r="A6521" t="n">
        <v>1.4336</v>
      </c>
      <c r="B6521" t="n">
        <v>1.5269</v>
      </c>
      <c r="C6521" t="n">
        <v>1.6708</v>
      </c>
    </row>
    <row r="6522">
      <c r="A6522" t="n">
        <v>1.4384</v>
      </c>
      <c r="B6522" t="n">
        <v>1.4655</v>
      </c>
      <c r="C6522" t="n">
        <v>1.6998</v>
      </c>
    </row>
    <row r="6523">
      <c r="A6523" t="n">
        <v>1.6338</v>
      </c>
      <c r="B6523" t="n">
        <v>1.4618</v>
      </c>
      <c r="C6523" t="n">
        <v>1.501</v>
      </c>
    </row>
    <row r="6524">
      <c r="A6524" t="n">
        <v>1.4935</v>
      </c>
      <c r="B6524" t="n">
        <v>1.4457</v>
      </c>
      <c r="C6524" t="n">
        <v>1.4656</v>
      </c>
    </row>
    <row r="6525">
      <c r="A6525" t="n">
        <v>1.6766</v>
      </c>
      <c r="B6525" t="n">
        <v>1.4858</v>
      </c>
      <c r="C6525" t="n">
        <v>1.43</v>
      </c>
    </row>
    <row r="6526">
      <c r="A6526" t="n">
        <v>1.501</v>
      </c>
      <c r="B6526" t="n">
        <v>1.6889</v>
      </c>
      <c r="C6526" t="n">
        <v>1.6388</v>
      </c>
    </row>
    <row r="6527">
      <c r="A6527" t="n">
        <v>1.4562</v>
      </c>
      <c r="B6527" t="n">
        <v>1.754</v>
      </c>
      <c r="C6527" t="n">
        <v>1.8664</v>
      </c>
    </row>
    <row r="6528">
      <c r="A6528" t="n">
        <v>1.6406</v>
      </c>
      <c r="B6528" t="n">
        <v>1.5004</v>
      </c>
      <c r="C6528" t="n">
        <v>1.4852</v>
      </c>
    </row>
    <row r="6529">
      <c r="A6529" t="n">
        <v>1.5253</v>
      </c>
      <c r="B6529" t="n">
        <v>1.4593</v>
      </c>
      <c r="C6529" t="n">
        <v>1.4767</v>
      </c>
    </row>
    <row r="6530">
      <c r="A6530" t="n">
        <v>1.9459</v>
      </c>
      <c r="B6530" t="n">
        <v>1.4479</v>
      </c>
      <c r="C6530" t="n">
        <v>2.0318</v>
      </c>
    </row>
    <row r="6531">
      <c r="A6531" t="n">
        <v>1.7773</v>
      </c>
      <c r="B6531" t="n">
        <v>1.672</v>
      </c>
      <c r="C6531" t="n">
        <v>1.4951</v>
      </c>
    </row>
    <row r="6532">
      <c r="A6532" t="n">
        <v>1.6822</v>
      </c>
      <c r="B6532" t="n">
        <v>1.7576</v>
      </c>
      <c r="C6532" t="n">
        <v>1.4384</v>
      </c>
    </row>
    <row r="6533">
      <c r="A6533" t="n">
        <v>1.4836</v>
      </c>
      <c r="B6533" t="n">
        <v>1.4718</v>
      </c>
      <c r="C6533" t="n">
        <v>1.4432</v>
      </c>
    </row>
    <row r="6534">
      <c r="A6534" t="n">
        <v>1.4273</v>
      </c>
      <c r="B6534" t="n">
        <v>1.7198</v>
      </c>
      <c r="C6534" t="n">
        <v>1.4398</v>
      </c>
    </row>
    <row r="6535">
      <c r="A6535" t="n">
        <v>1.4246</v>
      </c>
      <c r="B6535" t="n">
        <v>1.7002</v>
      </c>
      <c r="C6535" t="n">
        <v>1.4615</v>
      </c>
    </row>
    <row r="6536">
      <c r="A6536" t="n">
        <v>1.4062</v>
      </c>
      <c r="B6536" t="n">
        <v>1.5329</v>
      </c>
      <c r="C6536" t="n">
        <v>1.6801</v>
      </c>
    </row>
    <row r="6537">
      <c r="A6537" t="n">
        <v>1.4254</v>
      </c>
      <c r="B6537" t="n">
        <v>1.4371</v>
      </c>
      <c r="C6537" t="n">
        <v>1.7298</v>
      </c>
    </row>
    <row r="6538">
      <c r="A6538" t="n">
        <v>1.656</v>
      </c>
      <c r="B6538" t="n">
        <v>1.4719</v>
      </c>
      <c r="C6538" t="n">
        <v>1.5259</v>
      </c>
    </row>
    <row r="6539">
      <c r="A6539" t="n">
        <v>1.5476</v>
      </c>
      <c r="B6539" t="n">
        <v>1.4225</v>
      </c>
      <c r="C6539" t="n">
        <v>1.4744</v>
      </c>
    </row>
    <row r="6540">
      <c r="A6540" t="n">
        <v>1.4284</v>
      </c>
      <c r="B6540" t="n">
        <v>1.4512</v>
      </c>
      <c r="C6540" t="n">
        <v>1.465</v>
      </c>
    </row>
    <row r="6541">
      <c r="A6541" t="n">
        <v>1.5339</v>
      </c>
      <c r="B6541" t="n">
        <v>1.7217</v>
      </c>
      <c r="C6541" t="n">
        <v>1.7854</v>
      </c>
    </row>
    <row r="6542">
      <c r="A6542" t="n">
        <v>1.4983</v>
      </c>
      <c r="B6542" t="n">
        <v>1.7415</v>
      </c>
      <c r="C6542" t="n">
        <v>1.7676</v>
      </c>
    </row>
    <row r="6543">
      <c r="A6543" t="n">
        <v>1.4723</v>
      </c>
      <c r="B6543" t="n">
        <v>1.5203</v>
      </c>
      <c r="C6543" t="n">
        <v>1.7336</v>
      </c>
    </row>
    <row r="6544">
      <c r="A6544" t="n">
        <v>1.5175</v>
      </c>
      <c r="B6544" t="n">
        <v>1.4713</v>
      </c>
      <c r="C6544" t="n">
        <v>1.5682</v>
      </c>
    </row>
    <row r="6545">
      <c r="A6545" t="n">
        <v>1.4485</v>
      </c>
      <c r="B6545" t="n">
        <v>1.457</v>
      </c>
      <c r="C6545" t="n">
        <v>1.6945</v>
      </c>
    </row>
    <row r="6546">
      <c r="A6546" t="n">
        <v>1.4465</v>
      </c>
      <c r="B6546" t="n">
        <v>1.9836</v>
      </c>
      <c r="C6546" t="n">
        <v>1.5033</v>
      </c>
    </row>
    <row r="6547">
      <c r="A6547" t="n">
        <v>1.6634</v>
      </c>
      <c r="B6547" t="n">
        <v>1.7863</v>
      </c>
      <c r="C6547" t="n">
        <v>1.4685</v>
      </c>
    </row>
    <row r="6548">
      <c r="A6548" t="n">
        <v>1.4887</v>
      </c>
      <c r="B6548" t="n">
        <v>1.7006</v>
      </c>
      <c r="C6548" t="n">
        <v>1.6644</v>
      </c>
    </row>
    <row r="6549">
      <c r="A6549" t="n">
        <v>1.4347</v>
      </c>
      <c r="B6549" t="n">
        <v>1.7498</v>
      </c>
      <c r="C6549" t="n">
        <v>1.5497</v>
      </c>
    </row>
    <row r="6550">
      <c r="A6550" t="n">
        <v>1.4554</v>
      </c>
      <c r="B6550" t="n">
        <v>1.5087</v>
      </c>
      <c r="C6550" t="n">
        <v>1.6744</v>
      </c>
    </row>
    <row r="6551">
      <c r="A6551" t="n">
        <v>1.6373</v>
      </c>
      <c r="B6551" t="n">
        <v>1.6965</v>
      </c>
      <c r="C6551" t="n">
        <v>1.5186</v>
      </c>
    </row>
    <row r="6552">
      <c r="A6552" t="n">
        <v>1.5451</v>
      </c>
      <c r="B6552" t="n">
        <v>1.6826</v>
      </c>
      <c r="C6552" t="n">
        <v>1.4553</v>
      </c>
    </row>
    <row r="6553">
      <c r="A6553" t="n">
        <v>1.4175</v>
      </c>
      <c r="B6553" t="n">
        <v>1.5154</v>
      </c>
      <c r="C6553" t="n">
        <v>1.6512</v>
      </c>
    </row>
    <row r="6554">
      <c r="A6554" t="n">
        <v>1.4392</v>
      </c>
      <c r="B6554" t="n">
        <v>1.4345</v>
      </c>
      <c r="C6554" t="n">
        <v>1.5666</v>
      </c>
    </row>
    <row r="6555">
      <c r="A6555" t="n">
        <v>1.7064</v>
      </c>
      <c r="B6555" t="n">
        <v>1.4526</v>
      </c>
      <c r="C6555" t="n">
        <v>1.7309</v>
      </c>
    </row>
    <row r="6556">
      <c r="A6556" t="n">
        <v>1.6503</v>
      </c>
      <c r="B6556" t="n">
        <v>1.4461</v>
      </c>
      <c r="C6556" t="n">
        <v>1.5015</v>
      </c>
    </row>
    <row r="6557">
      <c r="A6557" t="n">
        <v>1.502</v>
      </c>
      <c r="B6557" t="n">
        <v>1.4264</v>
      </c>
      <c r="C6557" t="n">
        <v>1.4619</v>
      </c>
    </row>
    <row r="6558">
      <c r="A6558" t="n">
        <v>1.6498</v>
      </c>
      <c r="B6558" t="n">
        <v>1.6214</v>
      </c>
      <c r="C6558" t="n">
        <v>1.4602</v>
      </c>
    </row>
    <row r="6559">
      <c r="A6559" t="n">
        <v>1.4981</v>
      </c>
      <c r="B6559" t="n">
        <v>1.7809</v>
      </c>
      <c r="C6559" t="n">
        <v>1.4938</v>
      </c>
    </row>
    <row r="6560">
      <c r="A6560" t="n">
        <v>1.4251</v>
      </c>
      <c r="B6560" t="n">
        <v>1.4772</v>
      </c>
      <c r="C6560" t="n">
        <v>1.6595</v>
      </c>
    </row>
    <row r="6561">
      <c r="A6561" t="n">
        <v>1.6292</v>
      </c>
      <c r="B6561" t="n">
        <v>1.5038</v>
      </c>
      <c r="C6561" t="n">
        <v>1.5294</v>
      </c>
    </row>
    <row r="6562">
      <c r="A6562" t="n">
        <v>1.8555</v>
      </c>
      <c r="B6562" t="n">
        <v>1.4716</v>
      </c>
      <c r="C6562" t="n">
        <v>1.8045</v>
      </c>
    </row>
    <row r="6563">
      <c r="A6563" t="n">
        <v>1.4303</v>
      </c>
      <c r="B6563" t="n">
        <v>1.6404</v>
      </c>
      <c r="C6563" t="n">
        <v>1.7063</v>
      </c>
    </row>
    <row r="6564">
      <c r="A6564" t="n">
        <v>1.416</v>
      </c>
      <c r="B6564" t="n">
        <v>1.7841</v>
      </c>
      <c r="C6564" t="n">
        <v>1.6755</v>
      </c>
    </row>
    <row r="6565">
      <c r="A6565" t="n">
        <v>1.401</v>
      </c>
      <c r="B6565" t="n">
        <v>1.5047</v>
      </c>
      <c r="C6565" t="n">
        <v>1.5069</v>
      </c>
    </row>
    <row r="6566">
      <c r="A6566" t="n">
        <v>1.3947</v>
      </c>
      <c r="B6566" t="n">
        <v>1.4479</v>
      </c>
      <c r="C6566" t="n">
        <v>1.4637</v>
      </c>
    </row>
    <row r="6567">
      <c r="A6567" t="n">
        <v>1.4627</v>
      </c>
      <c r="B6567" t="n">
        <v>1.4532</v>
      </c>
      <c r="C6567" t="n">
        <v>1.4564</v>
      </c>
    </row>
    <row r="6568">
      <c r="A6568" t="n">
        <v>1.4594</v>
      </c>
      <c r="B6568" t="n">
        <v>1.6586</v>
      </c>
      <c r="C6568" t="n">
        <v>1.7817</v>
      </c>
    </row>
    <row r="6569">
      <c r="A6569" t="n">
        <v>1.6819</v>
      </c>
      <c r="B6569" t="n">
        <v>1.6897</v>
      </c>
      <c r="C6569" t="n">
        <v>1.709</v>
      </c>
    </row>
    <row r="6570">
      <c r="A6570" t="n">
        <v>1.7184</v>
      </c>
      <c r="B6570" t="n">
        <v>1.4861</v>
      </c>
      <c r="C6570" t="n">
        <v>1.4879</v>
      </c>
    </row>
    <row r="6571">
      <c r="A6571" t="n">
        <v>1.4825</v>
      </c>
      <c r="B6571" t="n">
        <v>1.4421</v>
      </c>
      <c r="C6571" t="n">
        <v>1.4489</v>
      </c>
    </row>
    <row r="6572">
      <c r="A6572" t="n">
        <v>1.4093</v>
      </c>
      <c r="B6572" t="n">
        <v>1.5592</v>
      </c>
      <c r="C6572" t="n">
        <v>1.451</v>
      </c>
    </row>
    <row r="6573">
      <c r="A6573" t="n">
        <v>1.4416</v>
      </c>
      <c r="B6573" t="n">
        <v>2.9453</v>
      </c>
      <c r="C6573" t="n">
        <v>1.7906</v>
      </c>
    </row>
    <row r="6574">
      <c r="A6574" t="n">
        <v>1.6401</v>
      </c>
      <c r="B6574" t="n">
        <v>1.5959</v>
      </c>
      <c r="C6574" t="n">
        <v>2.7837</v>
      </c>
    </row>
    <row r="6575">
      <c r="A6575" t="n">
        <v>1.5496</v>
      </c>
      <c r="B6575" t="n">
        <v>1.9394</v>
      </c>
      <c r="C6575" t="n">
        <v>1.5166</v>
      </c>
    </row>
    <row r="6576">
      <c r="A6576" t="n">
        <v>1.7371</v>
      </c>
      <c r="B6576" t="n">
        <v>1.6275</v>
      </c>
      <c r="C6576" t="n">
        <v>1.5926</v>
      </c>
    </row>
    <row r="6577">
      <c r="A6577" t="n">
        <v>1.4862</v>
      </c>
      <c r="B6577" t="n">
        <v>1.6527</v>
      </c>
      <c r="C6577" t="n">
        <v>1.5129</v>
      </c>
    </row>
    <row r="6578">
      <c r="A6578" t="n">
        <v>1.4339</v>
      </c>
      <c r="B6578" t="n">
        <v>1.9606</v>
      </c>
      <c r="C6578" t="n">
        <v>2.0383</v>
      </c>
    </row>
    <row r="6579">
      <c r="A6579" t="n">
        <v>1.7484</v>
      </c>
      <c r="B6579" t="n">
        <v>1.5335</v>
      </c>
      <c r="C6579" t="n">
        <v>1.6626</v>
      </c>
    </row>
    <row r="6580">
      <c r="A6580" t="n">
        <v>1.7127</v>
      </c>
      <c r="B6580" t="n">
        <v>1.5429</v>
      </c>
      <c r="C6580" t="n">
        <v>1.5364</v>
      </c>
    </row>
    <row r="6581">
      <c r="A6581" t="n">
        <v>1.4836</v>
      </c>
      <c r="B6581" t="n">
        <v>1.7109</v>
      </c>
      <c r="C6581" t="n">
        <v>1.4297</v>
      </c>
    </row>
    <row r="6582">
      <c r="A6582" t="n">
        <v>1.4451</v>
      </c>
      <c r="B6582" t="n">
        <v>1.5074</v>
      </c>
      <c r="C6582" t="n">
        <v>1.4196</v>
      </c>
    </row>
    <row r="6583">
      <c r="A6583" t="n">
        <v>1.4423</v>
      </c>
      <c r="B6583" t="n">
        <v>1.4676</v>
      </c>
      <c r="C6583" t="n">
        <v>1.8419</v>
      </c>
    </row>
    <row r="6584">
      <c r="A6584" t="n">
        <v>1.668</v>
      </c>
      <c r="B6584" t="n">
        <v>1.7762</v>
      </c>
      <c r="C6584" t="n">
        <v>1.5249</v>
      </c>
    </row>
    <row r="6585">
      <c r="A6585" t="n">
        <v>1.7145</v>
      </c>
      <c r="B6585" t="n">
        <v>1.7324</v>
      </c>
      <c r="C6585" t="n">
        <v>1.4596</v>
      </c>
    </row>
    <row r="6586">
      <c r="A6586" t="n">
        <v>1.4895</v>
      </c>
      <c r="B6586" t="n">
        <v>1.5119</v>
      </c>
      <c r="C6586" t="n">
        <v>1.4758</v>
      </c>
    </row>
    <row r="6587">
      <c r="A6587" t="n">
        <v>1.4602</v>
      </c>
      <c r="B6587" t="n">
        <v>1.4613</v>
      </c>
      <c r="C6587" t="n">
        <v>1.6943</v>
      </c>
    </row>
    <row r="6588">
      <c r="A6588" t="n">
        <v>1.6456</v>
      </c>
      <c r="B6588" t="n">
        <v>1.488</v>
      </c>
      <c r="C6588" t="n">
        <v>1.7116</v>
      </c>
    </row>
    <row r="6589">
      <c r="A6589" t="n">
        <v>1.4545</v>
      </c>
      <c r="B6589" t="n">
        <v>1.6653</v>
      </c>
      <c r="C6589" t="n">
        <v>1.5892</v>
      </c>
    </row>
    <row r="6590">
      <c r="A6590" t="n">
        <v>1.4676</v>
      </c>
      <c r="B6590" t="n">
        <v>1.8005</v>
      </c>
      <c r="C6590" t="n">
        <v>1.4785</v>
      </c>
    </row>
    <row r="6591">
      <c r="A6591" t="n">
        <v>1.6535</v>
      </c>
      <c r="B6591" t="n">
        <v>1.8601</v>
      </c>
      <c r="C6591" t="n">
        <v>1.7955</v>
      </c>
    </row>
    <row r="6592">
      <c r="A6592" t="n">
        <v>1.702</v>
      </c>
      <c r="B6592" t="n">
        <v>1.5336</v>
      </c>
      <c r="C6592" t="n">
        <v>1.5185</v>
      </c>
    </row>
    <row r="6593">
      <c r="A6593" t="n">
        <v>1.5037</v>
      </c>
      <c r="B6593" t="n">
        <v>1.7807</v>
      </c>
      <c r="C6593" t="n">
        <v>1.4654</v>
      </c>
    </row>
    <row r="6594">
      <c r="A6594" t="n">
        <v>2.1005</v>
      </c>
      <c r="B6594" t="n">
        <v>1.5295</v>
      </c>
      <c r="C6594" t="n">
        <v>2.0466</v>
      </c>
    </row>
    <row r="6595">
      <c r="A6595" t="n">
        <v>1.7749</v>
      </c>
      <c r="B6595" t="n">
        <v>1.4815</v>
      </c>
      <c r="C6595" t="n">
        <v>1.7535</v>
      </c>
    </row>
    <row r="6596">
      <c r="A6596" t="n">
        <v>1.7204</v>
      </c>
      <c r="B6596" t="n">
        <v>1.7956</v>
      </c>
      <c r="C6596" t="n">
        <v>1.5446</v>
      </c>
    </row>
    <row r="6597">
      <c r="A6597" t="n">
        <v>1.7902</v>
      </c>
      <c r="B6597" t="n">
        <v>1.5494</v>
      </c>
      <c r="C6597" t="n">
        <v>1.4797</v>
      </c>
    </row>
    <row r="6598">
      <c r="A6598" t="n">
        <v>1.7929</v>
      </c>
      <c r="B6598" t="n">
        <v>1.4849</v>
      </c>
      <c r="C6598" t="n">
        <v>1.5247</v>
      </c>
    </row>
    <row r="6599">
      <c r="A6599" t="n">
        <v>1.5251</v>
      </c>
      <c r="B6599" t="n">
        <v>1.4734</v>
      </c>
      <c r="C6599" t="n">
        <v>1.7223</v>
      </c>
    </row>
    <row r="6600">
      <c r="A6600" t="n">
        <v>1.7239</v>
      </c>
      <c r="B6600" t="n">
        <v>1.4626</v>
      </c>
      <c r="C6600" t="n">
        <v>1.7158</v>
      </c>
    </row>
    <row r="6601">
      <c r="A6601" t="n">
        <v>1.5144</v>
      </c>
      <c r="B6601" t="n">
        <v>1.7041</v>
      </c>
      <c r="C6601" t="n">
        <v>1.8176</v>
      </c>
    </row>
    <row r="6602">
      <c r="A6602" t="n">
        <v>1.4873</v>
      </c>
      <c r="B6602" t="n">
        <v>1.773</v>
      </c>
      <c r="C6602" t="n">
        <v>1.6195</v>
      </c>
    </row>
    <row r="6603">
      <c r="A6603" t="n">
        <v>1.6555</v>
      </c>
      <c r="B6603" t="n">
        <v>1.5346</v>
      </c>
      <c r="C6603" t="n">
        <v>1.4944</v>
      </c>
    </row>
    <row r="6604">
      <c r="A6604" t="n">
        <v>1.9273</v>
      </c>
      <c r="B6604" t="n">
        <v>1.4891</v>
      </c>
      <c r="C6604" t="n">
        <v>1.4769</v>
      </c>
    </row>
    <row r="6605">
      <c r="A6605" t="n">
        <v>1.4879</v>
      </c>
      <c r="B6605" t="n">
        <v>1.4949</v>
      </c>
      <c r="C6605" t="n">
        <v>1.4976</v>
      </c>
    </row>
    <row r="6606">
      <c r="A6606" t="n">
        <v>1.4776</v>
      </c>
      <c r="B6606" t="n">
        <v>1.4503</v>
      </c>
      <c r="C6606" t="n">
        <v>1.442</v>
      </c>
    </row>
    <row r="6607">
      <c r="A6607" t="n">
        <v>1.4725</v>
      </c>
      <c r="B6607" t="n">
        <v>1.4811</v>
      </c>
      <c r="C6607" t="n">
        <v>1.5099</v>
      </c>
    </row>
    <row r="6608">
      <c r="A6608" t="n">
        <v>1.6894</v>
      </c>
      <c r="B6608" t="n">
        <v>1.7068</v>
      </c>
      <c r="C6608" t="n">
        <v>1.4426</v>
      </c>
    </row>
    <row r="6609">
      <c r="A6609" t="n">
        <v>1.7491</v>
      </c>
      <c r="B6609" t="n">
        <v>1.5387</v>
      </c>
      <c r="C6609" t="n">
        <v>1.5006</v>
      </c>
    </row>
    <row r="6610">
      <c r="A6610" t="n">
        <v>1.8373</v>
      </c>
      <c r="B6610" t="n">
        <v>1.9877</v>
      </c>
      <c r="C6610" t="n">
        <v>1.7304</v>
      </c>
    </row>
    <row r="6611">
      <c r="A6611" t="n">
        <v>1.5172</v>
      </c>
      <c r="B6611" t="n">
        <v>1.5584</v>
      </c>
      <c r="C6611" t="n">
        <v>1.5192</v>
      </c>
    </row>
    <row r="6612">
      <c r="A6612" t="n">
        <v>1.6857</v>
      </c>
      <c r="B6612" t="n">
        <v>1.4552</v>
      </c>
      <c r="C6612" t="n">
        <v>1.4812</v>
      </c>
    </row>
    <row r="6613">
      <c r="A6613" t="n">
        <v>1.5144</v>
      </c>
      <c r="B6613" t="n">
        <v>1.4373</v>
      </c>
      <c r="C6613" t="n">
        <v>1.8205</v>
      </c>
    </row>
    <row r="6614">
      <c r="A6614" t="n">
        <v>1.4781</v>
      </c>
      <c r="B6614" t="n">
        <v>1.4819</v>
      </c>
      <c r="C6614" t="n">
        <v>1.5387</v>
      </c>
    </row>
    <row r="6615">
      <c r="A6615" t="n">
        <v>1.6771</v>
      </c>
      <c r="B6615" t="n">
        <v>1.5036</v>
      </c>
      <c r="C6615" t="n">
        <v>1.7287</v>
      </c>
    </row>
    <row r="6616">
      <c r="A6616" t="n">
        <v>1.6036</v>
      </c>
      <c r="B6616" t="n">
        <v>1.6948</v>
      </c>
      <c r="C6616" t="n">
        <v>1.669</v>
      </c>
    </row>
    <row r="6617">
      <c r="A6617" t="n">
        <v>1.4329</v>
      </c>
      <c r="B6617" t="n">
        <v>1.735</v>
      </c>
      <c r="C6617" t="n">
        <v>1.6128</v>
      </c>
    </row>
    <row r="6618">
      <c r="A6618" t="n">
        <v>1.469</v>
      </c>
      <c r="B6618" t="n">
        <v>1.7879</v>
      </c>
      <c r="C6618" t="n">
        <v>1.4804</v>
      </c>
    </row>
    <row r="6619">
      <c r="A6619" t="n">
        <v>1.4352</v>
      </c>
      <c r="B6619" t="n">
        <v>1.5495</v>
      </c>
      <c r="C6619" t="n">
        <v>1.4701</v>
      </c>
    </row>
    <row r="6620">
      <c r="A6620" t="n">
        <v>1.4331</v>
      </c>
      <c r="B6620" t="n">
        <v>1.6989</v>
      </c>
      <c r="C6620" t="n">
        <v>1.4647</v>
      </c>
    </row>
    <row r="6621">
      <c r="A6621" t="n">
        <v>1.4482</v>
      </c>
      <c r="B6621" t="n">
        <v>1.5268</v>
      </c>
      <c r="C6621" t="n">
        <v>1.4442</v>
      </c>
    </row>
    <row r="6622">
      <c r="A6622" t="n">
        <v>1.4501</v>
      </c>
      <c r="B6622" t="n">
        <v>1.4656</v>
      </c>
      <c r="C6622" t="n">
        <v>1.5125</v>
      </c>
    </row>
    <row r="6623">
      <c r="A6623" t="n">
        <v>1.6713</v>
      </c>
      <c r="B6623" t="n">
        <v>1.4355</v>
      </c>
      <c r="C6623" t="n">
        <v>1.4676</v>
      </c>
    </row>
    <row r="6624">
      <c r="A6624" t="n">
        <v>1.6933</v>
      </c>
      <c r="B6624" t="n">
        <v>1.4852</v>
      </c>
      <c r="C6624" t="n">
        <v>1.4996</v>
      </c>
    </row>
    <row r="6625">
      <c r="A6625" t="n">
        <v>1.5258</v>
      </c>
      <c r="B6625" t="n">
        <v>1.6965</v>
      </c>
      <c r="C6625" t="n">
        <v>1.5299</v>
      </c>
    </row>
    <row r="6626">
      <c r="A6626" t="n">
        <v>1.7532</v>
      </c>
      <c r="B6626" t="n">
        <v>1.5535</v>
      </c>
      <c r="C6626" t="n">
        <v>1.8004</v>
      </c>
    </row>
    <row r="6627">
      <c r="A6627" t="n">
        <v>1.6676</v>
      </c>
      <c r="B6627" t="n">
        <v>1.4535</v>
      </c>
      <c r="C6627" t="n">
        <v>1.5916</v>
      </c>
    </row>
    <row r="6628">
      <c r="A6628" t="n">
        <v>1.5532</v>
      </c>
      <c r="B6628" t="n">
        <v>1.4393</v>
      </c>
      <c r="C6628" t="n">
        <v>1.9466</v>
      </c>
    </row>
    <row r="6629">
      <c r="A6629" t="n">
        <v>1.4206</v>
      </c>
      <c r="B6629" t="n">
        <v>1.4732</v>
      </c>
      <c r="C6629" t="n">
        <v>1.9913</v>
      </c>
    </row>
    <row r="6630">
      <c r="A6630" t="n">
        <v>1.4436</v>
      </c>
      <c r="B6630" t="n">
        <v>1.5005</v>
      </c>
      <c r="C6630" t="n">
        <v>2.0563</v>
      </c>
    </row>
    <row r="6631">
      <c r="A6631" t="n">
        <v>1.4593</v>
      </c>
      <c r="B6631" t="n">
        <v>1.7839</v>
      </c>
      <c r="C6631" t="n">
        <v>2.0592</v>
      </c>
    </row>
    <row r="6632">
      <c r="A6632" t="n">
        <v>1.4481</v>
      </c>
      <c r="B6632" t="n">
        <v>1.7401</v>
      </c>
      <c r="C6632" t="n">
        <v>2.0734</v>
      </c>
    </row>
    <row r="6633">
      <c r="A6633" t="n">
        <v>1.7296</v>
      </c>
      <c r="B6633" t="n">
        <v>1.7813</v>
      </c>
      <c r="C6633" t="n">
        <v>2.567</v>
      </c>
    </row>
    <row r="6634">
      <c r="A6634" t="n">
        <v>1.7593</v>
      </c>
      <c r="B6634" t="n">
        <v>1.5357</v>
      </c>
      <c r="C6634" t="n">
        <v>1.5772</v>
      </c>
    </row>
    <row r="6635">
      <c r="A6635" t="n">
        <v>1.7356</v>
      </c>
      <c r="B6635" t="n">
        <v>1.6805</v>
      </c>
      <c r="C6635" t="n">
        <v>1.5418</v>
      </c>
    </row>
    <row r="6636">
      <c r="A6636" t="n">
        <v>1.542</v>
      </c>
      <c r="B6636" t="n">
        <v>1.7644</v>
      </c>
      <c r="C6636" t="n">
        <v>1.469</v>
      </c>
    </row>
    <row r="6637">
      <c r="A6637" t="n">
        <v>1.6811</v>
      </c>
      <c r="B6637" t="n">
        <v>1.756</v>
      </c>
      <c r="C6637" t="n">
        <v>1.5167</v>
      </c>
    </row>
    <row r="6638">
      <c r="A6638" t="n">
        <v>1.4834</v>
      </c>
      <c r="B6638" t="n">
        <v>1.5412</v>
      </c>
      <c r="C6638" t="n">
        <v>1.4849</v>
      </c>
    </row>
    <row r="6639">
      <c r="A6639" t="n">
        <v>1.4461</v>
      </c>
      <c r="B6639" t="n">
        <v>1.4496</v>
      </c>
      <c r="C6639" t="n">
        <v>1.4831</v>
      </c>
    </row>
    <row r="6640">
      <c r="A6640" t="n">
        <v>1.4181</v>
      </c>
      <c r="B6640" t="n">
        <v>1.4408</v>
      </c>
      <c r="C6640" t="n">
        <v>1.4773</v>
      </c>
    </row>
    <row r="6641">
      <c r="A6641" t="n">
        <v>1.4348</v>
      </c>
      <c r="B6641" t="n">
        <v>1.4794</v>
      </c>
      <c r="C6641" t="n">
        <v>1.483</v>
      </c>
    </row>
    <row r="6642">
      <c r="A6642" t="n">
        <v>1.4172</v>
      </c>
      <c r="B6642" t="n">
        <v>2.0295</v>
      </c>
      <c r="C6642" t="n">
        <v>1.4647</v>
      </c>
    </row>
    <row r="6643">
      <c r="A6643" t="n">
        <v>1.4485</v>
      </c>
      <c r="B6643" t="n">
        <v>1.5337</v>
      </c>
      <c r="C6643" t="n">
        <v>1.519</v>
      </c>
    </row>
    <row r="6644">
      <c r="A6644" t="n">
        <v>1.4742</v>
      </c>
      <c r="B6644" t="n">
        <v>1.455</v>
      </c>
      <c r="C6644" t="n">
        <v>1.704</v>
      </c>
    </row>
    <row r="6645">
      <c r="A6645" t="n">
        <v>1.4189</v>
      </c>
      <c r="B6645" t="n">
        <v>1.4574</v>
      </c>
      <c r="C6645" t="n">
        <v>1.5553</v>
      </c>
    </row>
    <row r="6646">
      <c r="A6646" t="n">
        <v>1.4581</v>
      </c>
      <c r="B6646" t="n">
        <v>1.484</v>
      </c>
      <c r="C6646" t="n">
        <v>1.5053</v>
      </c>
    </row>
    <row r="6647">
      <c r="A6647" t="n">
        <v>1.4664</v>
      </c>
      <c r="B6647" t="n">
        <v>1.4467</v>
      </c>
      <c r="C6647" t="n">
        <v>1.7414</v>
      </c>
    </row>
    <row r="6648">
      <c r="A6648" t="n">
        <v>1.4805</v>
      </c>
      <c r="B6648" t="n">
        <v>1.482</v>
      </c>
      <c r="C6648" t="n">
        <v>1.7556</v>
      </c>
    </row>
    <row r="6649">
      <c r="A6649" t="n">
        <v>1.4962</v>
      </c>
      <c r="B6649" t="n">
        <v>1.7047</v>
      </c>
      <c r="C6649" t="n">
        <v>1.5286</v>
      </c>
    </row>
    <row r="6650">
      <c r="A6650" t="n">
        <v>1.4574</v>
      </c>
      <c r="B6650" t="n">
        <v>1.5496</v>
      </c>
      <c r="C6650" t="n">
        <v>1.4893</v>
      </c>
    </row>
    <row r="6651">
      <c r="A6651" t="n">
        <v>1.7422</v>
      </c>
      <c r="B6651" t="n">
        <v>1.485</v>
      </c>
      <c r="C6651" t="n">
        <v>1.5421</v>
      </c>
    </row>
    <row r="6652">
      <c r="A6652" t="n">
        <v>1.8512</v>
      </c>
      <c r="B6652" t="n">
        <v>1.4757</v>
      </c>
      <c r="C6652" t="n">
        <v>1.5138</v>
      </c>
    </row>
    <row r="6653">
      <c r="A6653" t="n">
        <v>1.7179</v>
      </c>
      <c r="B6653" t="n">
        <v>1.7605</v>
      </c>
      <c r="C6653" t="n">
        <v>1.7138</v>
      </c>
    </row>
    <row r="6654">
      <c r="A6654" t="n">
        <v>1.5482</v>
      </c>
      <c r="B6654" t="n">
        <v>1.7487</v>
      </c>
      <c r="C6654" t="n">
        <v>1.5113</v>
      </c>
    </row>
    <row r="6655">
      <c r="A6655" t="n">
        <v>1.6687</v>
      </c>
      <c r="B6655" t="n">
        <v>1.8077</v>
      </c>
      <c r="C6655" t="n">
        <v>1.4587</v>
      </c>
    </row>
    <row r="6656">
      <c r="A6656" t="n">
        <v>1.5281</v>
      </c>
      <c r="B6656" t="n">
        <v>1.5745</v>
      </c>
      <c r="C6656" t="n">
        <v>1.4619</v>
      </c>
    </row>
    <row r="6657">
      <c r="A6657" t="n">
        <v>1.4781</v>
      </c>
      <c r="B6657" t="n">
        <v>1.7189</v>
      </c>
      <c r="C6657" t="n">
        <v>1.7179</v>
      </c>
    </row>
    <row r="6658">
      <c r="A6658" t="n">
        <v>2.024</v>
      </c>
      <c r="B6658" t="n">
        <v>1.506</v>
      </c>
      <c r="C6658" t="n">
        <v>2.0724</v>
      </c>
    </row>
    <row r="6659">
      <c r="A6659" t="n">
        <v>1.7378</v>
      </c>
      <c r="B6659" t="n">
        <v>1.491</v>
      </c>
      <c r="C6659" t="n">
        <v>1.7563</v>
      </c>
    </row>
    <row r="6660">
      <c r="A6660" t="n">
        <v>1.6917</v>
      </c>
      <c r="B6660" t="n">
        <v>1.6748</v>
      </c>
      <c r="C6660" t="n">
        <v>1.7009</v>
      </c>
    </row>
    <row r="6661">
      <c r="A6661" t="n">
        <v>1.5407</v>
      </c>
      <c r="B6661" t="n">
        <v>1.8606</v>
      </c>
      <c r="C6661" t="n">
        <v>1.5521</v>
      </c>
    </row>
    <row r="6662">
      <c r="A6662" t="n">
        <v>1.6357</v>
      </c>
      <c r="B6662" t="n">
        <v>1.5308</v>
      </c>
      <c r="C6662" t="n">
        <v>1.4901</v>
      </c>
    </row>
    <row r="6663">
      <c r="A6663" t="n">
        <v>1.4995</v>
      </c>
      <c r="B6663" t="n">
        <v>1.4914</v>
      </c>
      <c r="C6663" t="n">
        <v>1.4956</v>
      </c>
    </row>
    <row r="6664">
      <c r="A6664" t="n">
        <v>1.4542</v>
      </c>
      <c r="B6664" t="n">
        <v>1.5086</v>
      </c>
      <c r="C6664" t="n">
        <v>1.7156</v>
      </c>
    </row>
    <row r="6665">
      <c r="A6665" t="n">
        <v>1.4071</v>
      </c>
      <c r="B6665" t="n">
        <v>1.7347</v>
      </c>
      <c r="C6665" t="n">
        <v>1.7662</v>
      </c>
    </row>
    <row r="6666">
      <c r="A6666" t="n">
        <v>1.4516</v>
      </c>
      <c r="B6666" t="n">
        <v>1.7612</v>
      </c>
      <c r="C6666" t="n">
        <v>1.8616</v>
      </c>
    </row>
    <row r="6667">
      <c r="A6667" t="n">
        <v>1.4679</v>
      </c>
      <c r="B6667" t="n">
        <v>1.6859</v>
      </c>
      <c r="C6667" t="n">
        <v>1.7787</v>
      </c>
    </row>
    <row r="6668">
      <c r="A6668" t="n">
        <v>1.4448</v>
      </c>
      <c r="B6668" t="n">
        <v>1.5702</v>
      </c>
      <c r="C6668" t="n">
        <v>1.5192</v>
      </c>
    </row>
    <row r="6669">
      <c r="A6669" t="n">
        <v>1.8224</v>
      </c>
      <c r="B6669" t="n">
        <v>1.7103</v>
      </c>
      <c r="C6669" t="n">
        <v>1.4741</v>
      </c>
    </row>
    <row r="6670">
      <c r="A6670" t="n">
        <v>1.5538</v>
      </c>
      <c r="B6670" t="n">
        <v>1.5263</v>
      </c>
      <c r="C6670" t="n">
        <v>1.4656</v>
      </c>
    </row>
    <row r="6671">
      <c r="A6671" t="n">
        <v>1.4658</v>
      </c>
      <c r="B6671" t="n">
        <v>1.505</v>
      </c>
      <c r="C6671" t="n">
        <v>1.7235</v>
      </c>
    </row>
    <row r="6672">
      <c r="A6672" t="n">
        <v>1.521</v>
      </c>
      <c r="B6672" t="n">
        <v>1.6819</v>
      </c>
      <c r="C6672" t="n">
        <v>1.7299</v>
      </c>
    </row>
    <row r="6673">
      <c r="A6673" t="n">
        <v>1.4599</v>
      </c>
      <c r="B6673" t="n">
        <v>1.6986</v>
      </c>
      <c r="C6673" t="n">
        <v>1.5267</v>
      </c>
    </row>
    <row r="6674">
      <c r="A6674" t="n">
        <v>1.7553</v>
      </c>
      <c r="B6674" t="n">
        <v>2.0507</v>
      </c>
      <c r="C6674" t="n">
        <v>1.4759</v>
      </c>
    </row>
    <row r="6675">
      <c r="A6675" t="n">
        <v>1.4858</v>
      </c>
      <c r="B6675" t="n">
        <v>1.8054</v>
      </c>
      <c r="C6675" t="n">
        <v>1.5285</v>
      </c>
    </row>
    <row r="6676">
      <c r="A6676" t="n">
        <v>1.4464</v>
      </c>
      <c r="B6676" t="n">
        <v>1.4804</v>
      </c>
      <c r="C6676" t="n">
        <v>1.6713</v>
      </c>
    </row>
    <row r="6677">
      <c r="A6677" t="n">
        <v>1.4166</v>
      </c>
      <c r="B6677" t="n">
        <v>1.4583</v>
      </c>
      <c r="C6677" t="n">
        <v>1.7146</v>
      </c>
    </row>
    <row r="6678">
      <c r="A6678" t="n">
        <v>1.6052</v>
      </c>
      <c r="B6678" t="n">
        <v>1.4388</v>
      </c>
      <c r="C6678" t="n">
        <v>1.6834</v>
      </c>
    </row>
    <row r="6679">
      <c r="A6679" t="n">
        <v>1.57</v>
      </c>
      <c r="B6679" t="n">
        <v>1.6414</v>
      </c>
      <c r="C6679" t="n">
        <v>1.5274</v>
      </c>
    </row>
    <row r="6680">
      <c r="A6680" t="n">
        <v>1.3944</v>
      </c>
      <c r="B6680" t="n">
        <v>1.7918</v>
      </c>
      <c r="C6680" t="n">
        <v>1.6309</v>
      </c>
    </row>
    <row r="6681">
      <c r="A6681" t="n">
        <v>1.4576</v>
      </c>
      <c r="B6681" t="n">
        <v>1.5068</v>
      </c>
      <c r="C6681" t="n">
        <v>1.6672</v>
      </c>
    </row>
    <row r="6682">
      <c r="A6682" t="n">
        <v>1.4002</v>
      </c>
      <c r="B6682" t="n">
        <v>1.4484</v>
      </c>
      <c r="C6682" t="n">
        <v>1.4678</v>
      </c>
    </row>
    <row r="6683">
      <c r="A6683" t="n">
        <v>1.3893</v>
      </c>
      <c r="B6683" t="n">
        <v>1.4685</v>
      </c>
      <c r="C6683" t="n">
        <v>1.6282</v>
      </c>
    </row>
    <row r="6684">
      <c r="A6684" t="n">
        <v>1.4334</v>
      </c>
      <c r="B6684" t="n">
        <v>1.4111</v>
      </c>
      <c r="C6684" t="n">
        <v>1.5061</v>
      </c>
    </row>
    <row r="6685">
      <c r="A6685" t="n">
        <v>1.4904</v>
      </c>
      <c r="B6685" t="n">
        <v>1.4877</v>
      </c>
      <c r="C6685" t="n">
        <v>1.6921</v>
      </c>
    </row>
    <row r="6686">
      <c r="A6686" t="n">
        <v>1.4236</v>
      </c>
      <c r="B6686" t="n">
        <v>1.6786</v>
      </c>
      <c r="C6686" t="n">
        <v>1.5177</v>
      </c>
    </row>
    <row r="6687">
      <c r="A6687" t="n">
        <v>1.4835</v>
      </c>
      <c r="B6687" t="n">
        <v>1.5565</v>
      </c>
      <c r="C6687" t="n">
        <v>1.4592</v>
      </c>
    </row>
    <row r="6688">
      <c r="A6688" t="n">
        <v>1.6802</v>
      </c>
      <c r="B6688" t="n">
        <v>1.4247</v>
      </c>
      <c r="C6688" t="n">
        <v>1.4162</v>
      </c>
    </row>
    <row r="6689">
      <c r="A6689" t="n">
        <v>1.5141</v>
      </c>
      <c r="B6689" t="n">
        <v>1.7793</v>
      </c>
      <c r="C6689" t="n">
        <v>1.4698</v>
      </c>
    </row>
    <row r="6690">
      <c r="A6690" t="n">
        <v>1.7731</v>
      </c>
      <c r="B6690" t="n">
        <v>1.5364</v>
      </c>
      <c r="C6690" t="n">
        <v>1.9652</v>
      </c>
    </row>
    <row r="6691">
      <c r="A6691" t="n">
        <v>1.636</v>
      </c>
      <c r="B6691" t="n">
        <v>1.6637</v>
      </c>
      <c r="C6691" t="n">
        <v>1.4785</v>
      </c>
    </row>
    <row r="6692">
      <c r="A6692" t="n">
        <v>1.7198</v>
      </c>
      <c r="B6692" t="n">
        <v>1.4876</v>
      </c>
      <c r="C6692" t="n">
        <v>1.4567</v>
      </c>
    </row>
    <row r="6693">
      <c r="A6693" t="n">
        <v>1.4767</v>
      </c>
      <c r="B6693" t="n">
        <v>1.4557</v>
      </c>
      <c r="C6693" t="n">
        <v>1.4121</v>
      </c>
    </row>
    <row r="6694">
      <c r="A6694" t="n">
        <v>1.4511</v>
      </c>
      <c r="B6694" t="n">
        <v>1.4347</v>
      </c>
      <c r="C6694" t="n">
        <v>1.444</v>
      </c>
    </row>
    <row r="6695">
      <c r="A6695" t="n">
        <v>1.4302</v>
      </c>
      <c r="B6695" t="n">
        <v>1.4342</v>
      </c>
      <c r="C6695" t="n">
        <v>1.4217</v>
      </c>
    </row>
    <row r="6696">
      <c r="A6696" t="n">
        <v>1.5936</v>
      </c>
      <c r="B6696" t="n">
        <v>1.4737</v>
      </c>
      <c r="C6696" t="n">
        <v>1.4167</v>
      </c>
    </row>
    <row r="6697">
      <c r="A6697" t="n">
        <v>1.5051</v>
      </c>
      <c r="B6697" t="n">
        <v>1.4514</v>
      </c>
      <c r="C6697" t="n">
        <v>1.49</v>
      </c>
    </row>
    <row r="6698">
      <c r="A6698" t="n">
        <v>1.5843</v>
      </c>
      <c r="B6698" t="n">
        <v>1.5282</v>
      </c>
      <c r="C6698" t="n">
        <v>1.68</v>
      </c>
    </row>
    <row r="6699">
      <c r="A6699" t="n">
        <v>1.5091</v>
      </c>
      <c r="B6699" t="n">
        <v>1.4314</v>
      </c>
      <c r="C6699" t="n">
        <v>1.4929</v>
      </c>
    </row>
    <row r="6700">
      <c r="A6700" t="n">
        <v>1.4163</v>
      </c>
      <c r="B6700" t="n">
        <v>1.4264</v>
      </c>
      <c r="C6700" t="n">
        <v>1.4978</v>
      </c>
    </row>
    <row r="6701">
      <c r="A6701" t="n">
        <v>1.3904</v>
      </c>
      <c r="B6701" t="n">
        <v>1.4354</v>
      </c>
      <c r="C6701" t="n">
        <v>1.6348</v>
      </c>
    </row>
    <row r="6702">
      <c r="A6702" t="n">
        <v>1.4158</v>
      </c>
      <c r="B6702" t="n">
        <v>1.4781</v>
      </c>
      <c r="C6702" t="n">
        <v>1.5345</v>
      </c>
    </row>
    <row r="6703">
      <c r="A6703" t="n">
        <v>1.4289</v>
      </c>
      <c r="B6703" t="n">
        <v>1.4661</v>
      </c>
      <c r="C6703" t="n">
        <v>1.671</v>
      </c>
    </row>
    <row r="6704">
      <c r="A6704" t="n">
        <v>1.6121</v>
      </c>
      <c r="B6704" t="n">
        <v>1.8438</v>
      </c>
      <c r="C6704" t="n">
        <v>1.4842</v>
      </c>
    </row>
    <row r="6705">
      <c r="A6705" t="n">
        <v>1.5042</v>
      </c>
      <c r="B6705" t="n">
        <v>1.5357</v>
      </c>
      <c r="C6705" t="n">
        <v>1.4126</v>
      </c>
    </row>
    <row r="6706">
      <c r="A6706" t="n">
        <v>1.4282</v>
      </c>
      <c r="B6706" t="n">
        <v>1.7717</v>
      </c>
      <c r="C6706" t="n">
        <v>1.4404</v>
      </c>
    </row>
    <row r="6707">
      <c r="A6707" t="n">
        <v>1.4057</v>
      </c>
      <c r="B6707" t="n">
        <v>1.7035</v>
      </c>
      <c r="C6707" t="n">
        <v>1.5554</v>
      </c>
    </row>
    <row r="6708">
      <c r="A6708" t="n">
        <v>1.7126</v>
      </c>
      <c r="B6708" t="n">
        <v>1.8016</v>
      </c>
      <c r="C6708" t="n">
        <v>1.4317</v>
      </c>
    </row>
    <row r="6709">
      <c r="A6709" t="n">
        <v>1.652</v>
      </c>
      <c r="B6709" t="n">
        <v>1.4894</v>
      </c>
      <c r="C6709" t="n">
        <v>1.4797</v>
      </c>
    </row>
    <row r="6710">
      <c r="A6710" t="n">
        <v>1.5112</v>
      </c>
      <c r="B6710" t="n">
        <v>1.4471</v>
      </c>
      <c r="C6710" t="n">
        <v>1.6393</v>
      </c>
    </row>
    <row r="6711">
      <c r="A6711" t="n">
        <v>1.6156</v>
      </c>
      <c r="B6711" t="n">
        <v>1.4496</v>
      </c>
      <c r="C6711" t="n">
        <v>1.488</v>
      </c>
    </row>
    <row r="6712">
      <c r="A6712" t="n">
        <v>1.4811</v>
      </c>
      <c r="B6712" t="n">
        <v>1.7738</v>
      </c>
      <c r="C6712" t="n">
        <v>1.4689</v>
      </c>
    </row>
    <row r="6713">
      <c r="A6713" t="n">
        <v>1.4045</v>
      </c>
      <c r="B6713" t="n">
        <v>1.6963</v>
      </c>
      <c r="C6713" t="n">
        <v>1.4602</v>
      </c>
    </row>
    <row r="6714">
      <c r="A6714" t="n">
        <v>1.4004</v>
      </c>
      <c r="B6714" t="n">
        <v>1.5445</v>
      </c>
      <c r="C6714" t="n">
        <v>1.6153</v>
      </c>
    </row>
    <row r="6715">
      <c r="A6715" t="n">
        <v>1.4271</v>
      </c>
      <c r="B6715" t="n">
        <v>1.4324</v>
      </c>
      <c r="C6715" t="n">
        <v>1.7601</v>
      </c>
    </row>
    <row r="6716">
      <c r="A6716" t="n">
        <v>1.4091</v>
      </c>
      <c r="B6716" t="n">
        <v>1.4332</v>
      </c>
      <c r="C6716" t="n">
        <v>1.4907</v>
      </c>
    </row>
    <row r="6717">
      <c r="A6717" t="n">
        <v>1.6352</v>
      </c>
      <c r="B6717" t="n">
        <v>1.6561</v>
      </c>
      <c r="C6717" t="n">
        <v>1.4443</v>
      </c>
    </row>
    <row r="6718">
      <c r="A6718" t="n">
        <v>1.7896</v>
      </c>
      <c r="B6718" t="n">
        <v>1.729</v>
      </c>
      <c r="C6718" t="n">
        <v>1.4732</v>
      </c>
    </row>
    <row r="6719">
      <c r="A6719" t="n">
        <v>1.4661</v>
      </c>
      <c r="B6719" t="n">
        <v>1.5048</v>
      </c>
      <c r="C6719" t="n">
        <v>1.704</v>
      </c>
    </row>
    <row r="6720">
      <c r="A6720" t="n">
        <v>1.4392</v>
      </c>
      <c r="B6720" t="n">
        <v>1.4498</v>
      </c>
      <c r="C6720" t="n">
        <v>1.738</v>
      </c>
    </row>
    <row r="6721">
      <c r="A6721" t="n">
        <v>1.4348</v>
      </c>
      <c r="B6721" t="n">
        <v>1.4339</v>
      </c>
      <c r="C6721" t="n">
        <v>1.5032</v>
      </c>
    </row>
    <row r="6722">
      <c r="A6722" t="n">
        <v>1.9553</v>
      </c>
      <c r="B6722" t="n">
        <v>1.7185</v>
      </c>
      <c r="C6722" t="n">
        <v>1.7957</v>
      </c>
    </row>
    <row r="6723">
      <c r="A6723" t="n">
        <v>1.7465</v>
      </c>
      <c r="B6723" t="n">
        <v>1.7764</v>
      </c>
      <c r="C6723" t="n">
        <v>1.662</v>
      </c>
    </row>
    <row r="6724">
      <c r="A6724" t="n">
        <v>1.7199</v>
      </c>
      <c r="B6724" t="n">
        <v>1.4891</v>
      </c>
      <c r="C6724" t="n">
        <v>1.5149</v>
      </c>
    </row>
    <row r="6725">
      <c r="A6725" t="n">
        <v>1.5069</v>
      </c>
      <c r="B6725" t="n">
        <v>1.4712</v>
      </c>
      <c r="C6725" t="n">
        <v>1.45</v>
      </c>
    </row>
    <row r="6726">
      <c r="A6726" t="n">
        <v>1.612</v>
      </c>
      <c r="B6726" t="n">
        <v>1.4653</v>
      </c>
      <c r="C6726" t="n">
        <v>1.4047</v>
      </c>
    </row>
    <row r="6727">
      <c r="A6727" t="n">
        <v>1.5322</v>
      </c>
      <c r="B6727" t="n">
        <v>1.7185</v>
      </c>
      <c r="C6727" t="n">
        <v>1.4492</v>
      </c>
    </row>
    <row r="6728">
      <c r="A6728" t="n">
        <v>1.4239</v>
      </c>
      <c r="B6728" t="n">
        <v>1.7541</v>
      </c>
      <c r="C6728" t="n">
        <v>1.4879</v>
      </c>
    </row>
    <row r="6729">
      <c r="A6729" t="n">
        <v>1.4123</v>
      </c>
      <c r="B6729" t="n">
        <v>1.8255</v>
      </c>
      <c r="C6729" t="n">
        <v>1.6692</v>
      </c>
    </row>
    <row r="6730">
      <c r="A6730" t="n">
        <v>1.435</v>
      </c>
      <c r="B6730" t="n">
        <v>1.5214</v>
      </c>
      <c r="C6730" t="n">
        <v>1.6846</v>
      </c>
    </row>
    <row r="6731">
      <c r="A6731" t="n">
        <v>1.4285</v>
      </c>
      <c r="B6731" t="n">
        <v>1.6791</v>
      </c>
      <c r="C6731" t="n">
        <v>1.5209</v>
      </c>
    </row>
    <row r="6732">
      <c r="A6732" t="n">
        <v>1.6306</v>
      </c>
      <c r="B6732" t="n">
        <v>1.5187</v>
      </c>
      <c r="C6732" t="n">
        <v>1.4552</v>
      </c>
    </row>
    <row r="6733">
      <c r="A6733" t="n">
        <v>1.7627</v>
      </c>
      <c r="B6733" t="n">
        <v>1.4371</v>
      </c>
      <c r="C6733" t="n">
        <v>1.4574</v>
      </c>
    </row>
    <row r="6734">
      <c r="A6734" t="n">
        <v>1.475</v>
      </c>
      <c r="B6734" t="n">
        <v>1.4225</v>
      </c>
      <c r="C6734" t="n">
        <v>1.6431</v>
      </c>
    </row>
    <row r="6735">
      <c r="A6735" t="n">
        <v>1.4549</v>
      </c>
      <c r="B6735" t="n">
        <v>1.4956</v>
      </c>
      <c r="C6735" t="n">
        <v>1.7529</v>
      </c>
    </row>
    <row r="6736">
      <c r="A6736" t="n">
        <v>1.4412</v>
      </c>
      <c r="B6736" t="n">
        <v>1.4326</v>
      </c>
      <c r="C6736" t="n">
        <v>1.4827</v>
      </c>
    </row>
    <row r="6737">
      <c r="A6737" t="n">
        <v>1.5773</v>
      </c>
      <c r="B6737" t="n">
        <v>1.4519</v>
      </c>
      <c r="C6737" t="n">
        <v>1.4549</v>
      </c>
    </row>
    <row r="6738">
      <c r="A6738" t="n">
        <v>1.5346</v>
      </c>
      <c r="B6738" t="n">
        <v>2.082</v>
      </c>
      <c r="C6738" t="n">
        <v>1.4399</v>
      </c>
    </row>
    <row r="6739">
      <c r="A6739" t="n">
        <v>1.6511</v>
      </c>
      <c r="B6739" t="n">
        <v>1.7751</v>
      </c>
      <c r="C6739" t="n">
        <v>1.6714</v>
      </c>
    </row>
    <row r="6740">
      <c r="A6740" t="n">
        <v>1.4659</v>
      </c>
      <c r="B6740" t="n">
        <v>1.8489</v>
      </c>
      <c r="C6740" t="n">
        <v>1.7988</v>
      </c>
    </row>
    <row r="6741">
      <c r="A6741" t="n">
        <v>1.4458</v>
      </c>
      <c r="B6741" t="n">
        <v>1.5221</v>
      </c>
      <c r="C6741" t="n">
        <v>1.5061</v>
      </c>
    </row>
    <row r="6742">
      <c r="A6742" t="n">
        <v>1.6223</v>
      </c>
      <c r="B6742" t="n">
        <v>1.4352</v>
      </c>
      <c r="C6742" t="n">
        <v>1.476</v>
      </c>
    </row>
    <row r="6743">
      <c r="A6743" t="n">
        <v>1.5056</v>
      </c>
      <c r="B6743" t="n">
        <v>1.4479</v>
      </c>
      <c r="C6743" t="n">
        <v>1.4492</v>
      </c>
    </row>
    <row r="6744">
      <c r="A6744" t="n">
        <v>1.6019</v>
      </c>
      <c r="B6744" t="n">
        <v>1.6792</v>
      </c>
      <c r="C6744" t="n">
        <v>1.6572</v>
      </c>
    </row>
    <row r="6745">
      <c r="A6745" t="n">
        <v>1.5151</v>
      </c>
      <c r="B6745" t="n">
        <v>1.7516</v>
      </c>
      <c r="C6745" t="n">
        <v>1.7105</v>
      </c>
    </row>
    <row r="6746">
      <c r="A6746" t="n">
        <v>1.4239</v>
      </c>
      <c r="B6746" t="n">
        <v>1.5195</v>
      </c>
      <c r="C6746" t="n">
        <v>1.5018</v>
      </c>
    </row>
    <row r="6747">
      <c r="A6747" t="n">
        <v>1.4044</v>
      </c>
      <c r="B6747" t="n">
        <v>1.4508</v>
      </c>
      <c r="C6747" t="n">
        <v>1.4396</v>
      </c>
    </row>
    <row r="6748">
      <c r="A6748" t="n">
        <v>1.4218</v>
      </c>
      <c r="B6748" t="n">
        <v>1.4158</v>
      </c>
      <c r="C6748" t="n">
        <v>1.454</v>
      </c>
    </row>
    <row r="6749">
      <c r="A6749" t="n">
        <v>1.4274</v>
      </c>
      <c r="B6749" t="n">
        <v>1.6573</v>
      </c>
      <c r="C6749" t="n">
        <v>1.6124</v>
      </c>
    </row>
    <row r="6750">
      <c r="A6750" t="n">
        <v>1.6111</v>
      </c>
      <c r="B6750" t="n">
        <v>1.7162</v>
      </c>
      <c r="C6750" t="n">
        <v>1.5726</v>
      </c>
    </row>
    <row r="6751">
      <c r="A6751" t="n">
        <v>1.551</v>
      </c>
      <c r="B6751" t="n">
        <v>1.4928</v>
      </c>
      <c r="C6751" t="n">
        <v>1.4737</v>
      </c>
    </row>
    <row r="6752">
      <c r="A6752" t="n">
        <v>1.4158</v>
      </c>
      <c r="B6752" t="n">
        <v>1.4488</v>
      </c>
      <c r="C6752" t="n">
        <v>1.4876</v>
      </c>
    </row>
    <row r="6753">
      <c r="A6753" t="n">
        <v>1.4364</v>
      </c>
      <c r="B6753" t="n">
        <v>1.4521</v>
      </c>
      <c r="C6753" t="n">
        <v>1.4126</v>
      </c>
    </row>
    <row r="6754">
      <c r="A6754" t="n">
        <v>1.9674</v>
      </c>
      <c r="B6754" t="n">
        <v>1.6866</v>
      </c>
      <c r="C6754" t="n">
        <v>1.7492</v>
      </c>
    </row>
    <row r="6755">
      <c r="A6755" t="n">
        <v>1.6814</v>
      </c>
      <c r="B6755" t="n">
        <v>1.7734</v>
      </c>
      <c r="C6755" t="n">
        <v>1.5061</v>
      </c>
    </row>
    <row r="6756">
      <c r="A6756" t="n">
        <v>1.711</v>
      </c>
      <c r="B6756" t="n">
        <v>1.5239</v>
      </c>
      <c r="C6756" t="n">
        <v>1.619</v>
      </c>
    </row>
    <row r="6757">
      <c r="A6757" t="n">
        <v>1.4729</v>
      </c>
      <c r="B6757" t="n">
        <v>1.434</v>
      </c>
      <c r="C6757" t="n">
        <v>1.5269</v>
      </c>
    </row>
    <row r="6758">
      <c r="A6758" t="n">
        <v>1.6855</v>
      </c>
      <c r="B6758" t="n">
        <v>1.47</v>
      </c>
      <c r="C6758" t="n">
        <v>1.4764</v>
      </c>
    </row>
    <row r="6759">
      <c r="A6759" t="n">
        <v>1.6593</v>
      </c>
      <c r="B6759" t="n">
        <v>1.6708</v>
      </c>
      <c r="C6759" t="n">
        <v>1.4023</v>
      </c>
    </row>
    <row r="6760">
      <c r="A6760" t="n">
        <v>1.4911</v>
      </c>
      <c r="B6760" t="n">
        <v>1.7509</v>
      </c>
      <c r="C6760" t="n">
        <v>1.4368</v>
      </c>
    </row>
    <row r="6761">
      <c r="A6761" t="n">
        <v>1.4069</v>
      </c>
      <c r="B6761" t="n">
        <v>1.536</v>
      </c>
      <c r="C6761" t="n">
        <v>1.4743</v>
      </c>
    </row>
    <row r="6762">
      <c r="A6762" t="n">
        <v>1.4127</v>
      </c>
      <c r="B6762" t="n">
        <v>1.4677</v>
      </c>
      <c r="C6762" t="n">
        <v>1.4291</v>
      </c>
    </row>
    <row r="6763">
      <c r="A6763" t="n">
        <v>1.4217</v>
      </c>
      <c r="B6763" t="n">
        <v>1.4422</v>
      </c>
      <c r="C6763" t="n">
        <v>1.8452</v>
      </c>
    </row>
    <row r="6764">
      <c r="A6764" t="n">
        <v>1.4254</v>
      </c>
      <c r="B6764" t="n">
        <v>1.7054</v>
      </c>
      <c r="C6764" t="n">
        <v>1.5412</v>
      </c>
    </row>
    <row r="6765">
      <c r="A6765" t="n">
        <v>1.6382</v>
      </c>
      <c r="B6765" t="n">
        <v>1.7009</v>
      </c>
      <c r="C6765" t="n">
        <v>1.4415</v>
      </c>
    </row>
    <row r="6766">
      <c r="A6766" t="n">
        <v>1.5286</v>
      </c>
      <c r="B6766" t="n">
        <v>1.4942</v>
      </c>
      <c r="C6766" t="n">
        <v>1.4903</v>
      </c>
    </row>
    <row r="6767">
      <c r="A6767" t="n">
        <v>1.6456</v>
      </c>
      <c r="B6767" t="n">
        <v>1.6963</v>
      </c>
      <c r="C6767" t="n">
        <v>1.669</v>
      </c>
    </row>
    <row r="6768">
      <c r="A6768" t="n">
        <v>1.4653</v>
      </c>
      <c r="B6768" t="n">
        <v>1.6812</v>
      </c>
      <c r="C6768" t="n">
        <v>1.7335</v>
      </c>
    </row>
    <row r="6769">
      <c r="A6769" t="n">
        <v>1.4807</v>
      </c>
      <c r="B6769" t="n">
        <v>1.5254</v>
      </c>
      <c r="C6769" t="n">
        <v>1.5299</v>
      </c>
    </row>
    <row r="6770">
      <c r="A6770" t="n">
        <v>1.3824</v>
      </c>
      <c r="B6770" t="n">
        <v>1.7865</v>
      </c>
      <c r="C6770" t="n">
        <v>1.4517</v>
      </c>
    </row>
    <row r="6771">
      <c r="A6771" t="n">
        <v>1.4128</v>
      </c>
      <c r="B6771" t="n">
        <v>1.6699</v>
      </c>
      <c r="C6771" t="n">
        <v>1.4406</v>
      </c>
    </row>
    <row r="6772">
      <c r="A6772" t="n">
        <v>1.4672</v>
      </c>
      <c r="B6772" t="n">
        <v>1.7749</v>
      </c>
      <c r="C6772" t="n">
        <v>1.7781</v>
      </c>
    </row>
    <row r="6773">
      <c r="A6773" t="n">
        <v>1.6273</v>
      </c>
      <c r="B6773" t="n">
        <v>1.5194</v>
      </c>
      <c r="C6773" t="n">
        <v>1.8141</v>
      </c>
    </row>
    <row r="6774">
      <c r="A6774" t="n">
        <v>1.728</v>
      </c>
      <c r="B6774" t="n">
        <v>1.4598</v>
      </c>
      <c r="C6774" t="n">
        <v>1.7045</v>
      </c>
    </row>
    <row r="6775">
      <c r="A6775" t="n">
        <v>1.4974</v>
      </c>
      <c r="B6775" t="n">
        <v>1.4601</v>
      </c>
      <c r="C6775" t="n">
        <v>1.5593</v>
      </c>
    </row>
    <row r="6776">
      <c r="A6776" t="n">
        <v>1.4096</v>
      </c>
      <c r="B6776" t="n">
        <v>1.7247</v>
      </c>
      <c r="C6776" t="n">
        <v>1.6932</v>
      </c>
    </row>
    <row r="6777">
      <c r="A6777" t="n">
        <v>1.4195</v>
      </c>
      <c r="B6777" t="n">
        <v>1.5274</v>
      </c>
      <c r="C6777" t="n">
        <v>1.7283</v>
      </c>
    </row>
    <row r="6778">
      <c r="A6778" t="n">
        <v>1.5792</v>
      </c>
      <c r="B6778" t="n">
        <v>1.4449</v>
      </c>
      <c r="C6778" t="n">
        <v>1.5751</v>
      </c>
    </row>
    <row r="6779">
      <c r="A6779" t="n">
        <v>1.4915</v>
      </c>
      <c r="B6779" t="n">
        <v>1.4361</v>
      </c>
      <c r="C6779" t="n">
        <v>1.4656</v>
      </c>
    </row>
    <row r="6780">
      <c r="A6780" t="n">
        <v>1.6495</v>
      </c>
      <c r="B6780" t="n">
        <v>1.4521</v>
      </c>
      <c r="C6780" t="n">
        <v>1.7455</v>
      </c>
    </row>
    <row r="6781">
      <c r="A6781" t="n">
        <v>1.494</v>
      </c>
      <c r="B6781" t="n">
        <v>1.4378</v>
      </c>
      <c r="C6781" t="n">
        <v>1.5124</v>
      </c>
    </row>
    <row r="6782">
      <c r="A6782" t="n">
        <v>1.4376</v>
      </c>
      <c r="B6782" t="n">
        <v>1.458</v>
      </c>
      <c r="C6782" t="n">
        <v>1.4492</v>
      </c>
    </row>
    <row r="6783">
      <c r="A6783" t="n">
        <v>1.3912</v>
      </c>
      <c r="B6783" t="n">
        <v>1.4145</v>
      </c>
      <c r="C6783" t="n">
        <v>1.4469</v>
      </c>
    </row>
    <row r="6784">
      <c r="A6784" t="n">
        <v>1.4247</v>
      </c>
      <c r="B6784" t="n">
        <v>1.4311</v>
      </c>
      <c r="C6784" t="n">
        <v>1.7337</v>
      </c>
    </row>
    <row r="6785">
      <c r="A6785" t="n">
        <v>1.4212</v>
      </c>
      <c r="B6785" t="n">
        <v>1.5026</v>
      </c>
      <c r="C6785" t="n">
        <v>1.7403</v>
      </c>
    </row>
    <row r="6786">
      <c r="A6786" t="n">
        <v>1.9808</v>
      </c>
      <c r="B6786" t="n">
        <v>1.6788</v>
      </c>
      <c r="C6786" t="n">
        <v>2.0039</v>
      </c>
    </row>
    <row r="6787">
      <c r="A6787" t="n">
        <v>1.7712</v>
      </c>
      <c r="B6787" t="n">
        <v>1.5098</v>
      </c>
      <c r="C6787" t="n">
        <v>1.8952</v>
      </c>
    </row>
    <row r="6788">
      <c r="A6788" t="n">
        <v>1.6442</v>
      </c>
      <c r="B6788" t="n">
        <v>1.4717</v>
      </c>
      <c r="C6788" t="n">
        <v>1.4817</v>
      </c>
    </row>
    <row r="6789">
      <c r="A6789" t="n">
        <v>1.8054</v>
      </c>
      <c r="B6789" t="n">
        <v>1.6494</v>
      </c>
      <c r="C6789" t="n">
        <v>1.4576</v>
      </c>
    </row>
    <row r="6790">
      <c r="A6790" t="n">
        <v>1.4724</v>
      </c>
      <c r="B6790" t="n">
        <v>1.5197</v>
      </c>
      <c r="C6790" t="n">
        <v>1.4524</v>
      </c>
    </row>
    <row r="6791">
      <c r="A6791" t="n">
        <v>1.4547</v>
      </c>
      <c r="B6791" t="n">
        <v>1.6827</v>
      </c>
      <c r="C6791" t="n">
        <v>1.6452</v>
      </c>
    </row>
    <row r="6792">
      <c r="A6792" t="n">
        <v>1.4533</v>
      </c>
      <c r="B6792" t="n">
        <v>1.4937</v>
      </c>
      <c r="C6792" t="n">
        <v>1.7103</v>
      </c>
    </row>
    <row r="6793">
      <c r="A6793" t="n">
        <v>1.6155</v>
      </c>
      <c r="B6793" t="n">
        <v>1.4336</v>
      </c>
      <c r="C6793" t="n">
        <v>1.5359</v>
      </c>
    </row>
    <row r="6794">
      <c r="A6794" t="n">
        <v>1.472</v>
      </c>
      <c r="B6794" t="n">
        <v>1.7203</v>
      </c>
      <c r="C6794" t="n">
        <v>1.4513</v>
      </c>
    </row>
    <row r="6795">
      <c r="A6795" t="n">
        <v>1.6487</v>
      </c>
      <c r="B6795" t="n">
        <v>1.8264</v>
      </c>
      <c r="C6795" t="n">
        <v>1.4522</v>
      </c>
    </row>
    <row r="6796">
      <c r="A6796" t="n">
        <v>1.469</v>
      </c>
      <c r="B6796" t="n">
        <v>1.4742</v>
      </c>
      <c r="C6796" t="n">
        <v>1.6397</v>
      </c>
    </row>
    <row r="6797">
      <c r="A6797" t="n">
        <v>1.4053</v>
      </c>
      <c r="B6797" t="n">
        <v>1.4449</v>
      </c>
      <c r="C6797" t="n">
        <v>1.6979</v>
      </c>
    </row>
    <row r="6798">
      <c r="A6798" t="n">
        <v>1.3955</v>
      </c>
      <c r="B6798" t="n">
        <v>1.4544</v>
      </c>
      <c r="C6798" t="n">
        <v>1.4963</v>
      </c>
    </row>
    <row r="6799">
      <c r="A6799" t="n">
        <v>1.4236</v>
      </c>
      <c r="B6799" t="n">
        <v>1.611</v>
      </c>
      <c r="C6799" t="n">
        <v>1.4544</v>
      </c>
    </row>
    <row r="6800">
      <c r="A6800" t="n">
        <v>1.4159</v>
      </c>
      <c r="B6800" t="n">
        <v>1.5999</v>
      </c>
      <c r="C6800" t="n">
        <v>1.4607</v>
      </c>
    </row>
    <row r="6801">
      <c r="A6801" t="n">
        <v>1.68</v>
      </c>
      <c r="B6801" t="n">
        <v>1.4379</v>
      </c>
      <c r="C6801" t="n">
        <v>1.6161</v>
      </c>
    </row>
    <row r="6802">
      <c r="A6802" t="n">
        <v>1.6838</v>
      </c>
      <c r="B6802" t="n">
        <v>1.7325</v>
      </c>
      <c r="C6802" t="n">
        <v>1.5744</v>
      </c>
    </row>
    <row r="6803">
      <c r="A6803" t="n">
        <v>1.4583</v>
      </c>
      <c r="B6803" t="n">
        <v>1.4448</v>
      </c>
      <c r="C6803" t="n">
        <v>1.4573</v>
      </c>
    </row>
    <row r="6804">
      <c r="A6804" t="n">
        <v>1.4432</v>
      </c>
      <c r="B6804" t="n">
        <v>1.4217</v>
      </c>
      <c r="C6804" t="n">
        <v>1.444</v>
      </c>
    </row>
    <row r="6805">
      <c r="A6805" t="n">
        <v>1.4286</v>
      </c>
      <c r="B6805" t="n">
        <v>1.4633</v>
      </c>
      <c r="C6805" t="n">
        <v>1.4146</v>
      </c>
    </row>
    <row r="6806">
      <c r="A6806" t="n">
        <v>1.6375</v>
      </c>
      <c r="B6806" t="n">
        <v>1.652</v>
      </c>
      <c r="C6806" t="n">
        <v>1.4422</v>
      </c>
    </row>
    <row r="6807">
      <c r="A6807" t="n">
        <v>1.5229</v>
      </c>
      <c r="B6807" t="n">
        <v>1.5355</v>
      </c>
      <c r="C6807" t="n">
        <v>1.4683</v>
      </c>
    </row>
    <row r="6808">
      <c r="A6808" t="n">
        <v>1.6294</v>
      </c>
      <c r="B6808" t="n">
        <v>1.4257</v>
      </c>
      <c r="C6808" t="n">
        <v>1.4553</v>
      </c>
    </row>
    <row r="6809">
      <c r="A6809" t="n">
        <v>1.4745</v>
      </c>
      <c r="B6809" t="n">
        <v>1.4448</v>
      </c>
      <c r="C6809" t="n">
        <v>1.6995</v>
      </c>
    </row>
    <row r="6810">
      <c r="A6810" t="n">
        <v>1.4633</v>
      </c>
      <c r="B6810" t="n">
        <v>1.4431</v>
      </c>
      <c r="C6810" t="n">
        <v>1.813</v>
      </c>
    </row>
    <row r="6811">
      <c r="A6811" t="n">
        <v>1.3949</v>
      </c>
      <c r="B6811" t="n">
        <v>1.463</v>
      </c>
      <c r="C6811" t="n">
        <v>1.6951</v>
      </c>
    </row>
    <row r="6812">
      <c r="A6812" t="n">
        <v>1.3991</v>
      </c>
      <c r="B6812" t="n">
        <v>1.7103</v>
      </c>
      <c r="C6812" t="n">
        <v>1.542</v>
      </c>
    </row>
    <row r="6813">
      <c r="A6813" t="n">
        <v>1.4513</v>
      </c>
      <c r="B6813" t="n">
        <v>1.7282</v>
      </c>
      <c r="C6813" t="n">
        <v>1.615</v>
      </c>
    </row>
    <row r="6814">
      <c r="A6814" t="n">
        <v>1.639</v>
      </c>
      <c r="B6814" t="n">
        <v>1.5099</v>
      </c>
      <c r="C6814" t="n">
        <v>1.5448</v>
      </c>
    </row>
    <row r="6815">
      <c r="A6815" t="n">
        <v>1.7177</v>
      </c>
      <c r="B6815" t="n">
        <v>1.4591</v>
      </c>
      <c r="C6815" t="n">
        <v>1.4225</v>
      </c>
    </row>
    <row r="6816">
      <c r="A6816" t="n">
        <v>1.4992</v>
      </c>
      <c r="B6816" t="n">
        <v>1.4692</v>
      </c>
      <c r="C6816" t="n">
        <v>1.3767</v>
      </c>
    </row>
    <row r="6817">
      <c r="A6817" t="n">
        <v>1.4373</v>
      </c>
      <c r="B6817" t="n">
        <v>1.6337</v>
      </c>
      <c r="C6817" t="n">
        <v>1.4164</v>
      </c>
    </row>
    <row r="6818">
      <c r="A6818" t="n">
        <v>2.0343</v>
      </c>
      <c r="B6818" t="n">
        <v>1.667</v>
      </c>
      <c r="C6818" t="n">
        <v>1.806</v>
      </c>
    </row>
    <row r="6819">
      <c r="A6819" t="n">
        <v>1.5321</v>
      </c>
      <c r="B6819" t="n">
        <v>1.54</v>
      </c>
      <c r="C6819" t="n">
        <v>1.4353</v>
      </c>
    </row>
    <row r="6820">
      <c r="A6820" t="n">
        <v>1.4335</v>
      </c>
      <c r="B6820" t="n">
        <v>1.4429</v>
      </c>
      <c r="C6820" t="n">
        <v>1.6389</v>
      </c>
    </row>
    <row r="6821">
      <c r="A6821" t="n">
        <v>1.4073</v>
      </c>
      <c r="B6821" t="n">
        <v>1.4424</v>
      </c>
      <c r="C6821" t="n">
        <v>1.5093</v>
      </c>
    </row>
    <row r="6822">
      <c r="A6822" t="n">
        <v>1.402</v>
      </c>
      <c r="B6822" t="n">
        <v>1.6243</v>
      </c>
      <c r="C6822" t="n">
        <v>1.4457</v>
      </c>
    </row>
    <row r="6823">
      <c r="A6823" t="n">
        <v>1.4104</v>
      </c>
      <c r="B6823" t="n">
        <v>1.7639</v>
      </c>
      <c r="C6823" t="n">
        <v>1.4529</v>
      </c>
    </row>
    <row r="6824">
      <c r="A6824" t="n">
        <v>1.6016</v>
      </c>
      <c r="B6824" t="n">
        <v>1.5057</v>
      </c>
      <c r="C6824" t="n">
        <v>1.6324</v>
      </c>
    </row>
    <row r="6825">
      <c r="A6825" t="n">
        <v>1.5103</v>
      </c>
      <c r="B6825" t="n">
        <v>1.4479</v>
      </c>
      <c r="C6825" t="n">
        <v>1.8157</v>
      </c>
    </row>
    <row r="6826">
      <c r="A6826" t="n">
        <v>1.6733</v>
      </c>
      <c r="B6826" t="n">
        <v>1.4379</v>
      </c>
      <c r="C6826" t="n">
        <v>1.5223</v>
      </c>
    </row>
    <row r="6827">
      <c r="A6827" t="n">
        <v>1.4912</v>
      </c>
      <c r="B6827" t="n">
        <v>1.691</v>
      </c>
      <c r="C6827" t="n">
        <v>1.4692</v>
      </c>
    </row>
    <row r="6828">
      <c r="A6828" t="n">
        <v>1.4485</v>
      </c>
      <c r="B6828" t="n">
        <v>1.8417</v>
      </c>
      <c r="C6828" t="n">
        <v>1.4225</v>
      </c>
    </row>
    <row r="6829">
      <c r="A6829" t="n">
        <v>1.6181</v>
      </c>
      <c r="B6829" t="n">
        <v>1.4973</v>
      </c>
      <c r="C6829" t="n">
        <v>1.6743</v>
      </c>
    </row>
    <row r="6830">
      <c r="A6830" t="n">
        <v>1.5098</v>
      </c>
      <c r="B6830" t="n">
        <v>1.4711</v>
      </c>
      <c r="C6830" t="n">
        <v>1.7328</v>
      </c>
    </row>
    <row r="6831">
      <c r="A6831" t="n">
        <v>1.6257</v>
      </c>
      <c r="B6831" t="n">
        <v>1.4344</v>
      </c>
      <c r="C6831" t="n">
        <v>1.5067</v>
      </c>
    </row>
    <row r="6832">
      <c r="A6832" t="n">
        <v>1.5011</v>
      </c>
      <c r="B6832" t="n">
        <v>1.6377</v>
      </c>
      <c r="C6832" t="n">
        <v>1.7083</v>
      </c>
    </row>
    <row r="6833">
      <c r="A6833" t="n">
        <v>1.4181</v>
      </c>
      <c r="B6833" t="n">
        <v>1.7337</v>
      </c>
      <c r="C6833" t="n">
        <v>1.7</v>
      </c>
    </row>
    <row r="6834">
      <c r="A6834" t="n">
        <v>1.3997</v>
      </c>
      <c r="B6834" t="n">
        <v>2.0324</v>
      </c>
      <c r="C6834" t="n">
        <v>1.4969</v>
      </c>
    </row>
    <row r="6835">
      <c r="A6835" t="n">
        <v>1.4094</v>
      </c>
      <c r="B6835" t="n">
        <v>1.8047</v>
      </c>
      <c r="C6835" t="n">
        <v>1.4421</v>
      </c>
    </row>
    <row r="6836">
      <c r="A6836" t="n">
        <v>1.4057</v>
      </c>
      <c r="B6836" t="n">
        <v>1.5103</v>
      </c>
      <c r="C6836" t="n">
        <v>1.453</v>
      </c>
    </row>
    <row r="6837">
      <c r="A6837" t="n">
        <v>1.3987</v>
      </c>
      <c r="B6837" t="n">
        <v>1.4301</v>
      </c>
      <c r="C6837" t="n">
        <v>1.4341</v>
      </c>
    </row>
    <row r="6838">
      <c r="A6838" t="n">
        <v>1.4591</v>
      </c>
      <c r="B6838" t="n">
        <v>1.4295</v>
      </c>
      <c r="C6838" t="n">
        <v>1.4593</v>
      </c>
    </row>
    <row r="6839">
      <c r="A6839" t="n">
        <v>1.6672</v>
      </c>
      <c r="B6839" t="n">
        <v>1.6808</v>
      </c>
      <c r="C6839" t="n">
        <v>1.7248</v>
      </c>
    </row>
    <row r="6840">
      <c r="A6840" t="n">
        <v>1.5159</v>
      </c>
      <c r="B6840" t="n">
        <v>1.7773</v>
      </c>
      <c r="C6840" t="n">
        <v>1.688</v>
      </c>
    </row>
    <row r="6841">
      <c r="A6841" t="n">
        <v>1.4341</v>
      </c>
      <c r="B6841" t="n">
        <v>1.478</v>
      </c>
      <c r="C6841" t="n">
        <v>1.4883</v>
      </c>
    </row>
    <row r="6842">
      <c r="A6842" t="n">
        <v>1.3986</v>
      </c>
      <c r="B6842" t="n">
        <v>1.4255</v>
      </c>
      <c r="C6842" t="n">
        <v>1.4682</v>
      </c>
    </row>
    <row r="6843">
      <c r="A6843" t="n">
        <v>1.4278</v>
      </c>
      <c r="B6843" t="n">
        <v>1.4548</v>
      </c>
      <c r="C6843" t="n">
        <v>1.4433</v>
      </c>
    </row>
    <row r="6844">
      <c r="A6844" t="n">
        <v>1.4265</v>
      </c>
      <c r="B6844" t="n">
        <v>1.4144</v>
      </c>
      <c r="C6844" t="n">
        <v>1.6619</v>
      </c>
    </row>
    <row r="6845">
      <c r="A6845" t="n">
        <v>1.6133</v>
      </c>
      <c r="B6845" t="n">
        <v>1.5155</v>
      </c>
      <c r="C6845" t="n">
        <v>1.7402</v>
      </c>
    </row>
    <row r="6846">
      <c r="A6846" t="n">
        <v>1.8646</v>
      </c>
      <c r="B6846" t="n">
        <v>1.6829</v>
      </c>
      <c r="C6846" t="n">
        <v>1.4995</v>
      </c>
    </row>
    <row r="6847">
      <c r="A6847" t="n">
        <v>1.4639</v>
      </c>
      <c r="B6847" t="n">
        <v>1.544</v>
      </c>
      <c r="C6847" t="n">
        <v>1.4541</v>
      </c>
    </row>
    <row r="6848">
      <c r="A6848" t="n">
        <v>1.42</v>
      </c>
      <c r="B6848" t="n">
        <v>1.4577</v>
      </c>
      <c r="C6848" t="n">
        <v>1.4635</v>
      </c>
    </row>
    <row r="6849">
      <c r="A6849" t="n">
        <v>1.4461</v>
      </c>
      <c r="B6849" t="n">
        <v>1.4453</v>
      </c>
      <c r="C6849" t="n">
        <v>1.635</v>
      </c>
    </row>
    <row r="6850">
      <c r="A6850" t="n">
        <v>2.0376</v>
      </c>
      <c r="B6850" t="n">
        <v>1.4603</v>
      </c>
      <c r="C6850" t="n">
        <v>2.1104</v>
      </c>
    </row>
    <row r="6851">
      <c r="A6851" t="n">
        <v>1.752</v>
      </c>
      <c r="B6851" t="n">
        <v>1.4706</v>
      </c>
      <c r="C6851" t="n">
        <v>1.7169</v>
      </c>
    </row>
    <row r="6852">
      <c r="A6852" t="n">
        <v>1.7087</v>
      </c>
      <c r="B6852" t="n">
        <v>1.4582</v>
      </c>
      <c r="C6852" t="n">
        <v>1.7906</v>
      </c>
    </row>
    <row r="6853">
      <c r="A6853" t="n">
        <v>1.5184</v>
      </c>
      <c r="B6853" t="n">
        <v>1.4752</v>
      </c>
      <c r="C6853" t="n">
        <v>1.535</v>
      </c>
    </row>
    <row r="6854">
      <c r="A6854" t="n">
        <v>1.6319</v>
      </c>
      <c r="B6854" t="n">
        <v>1.4441</v>
      </c>
      <c r="C6854" t="n">
        <v>1.4683</v>
      </c>
    </row>
    <row r="6855">
      <c r="A6855" t="n">
        <v>1.4894</v>
      </c>
      <c r="B6855" t="n">
        <v>1.484</v>
      </c>
      <c r="C6855" t="n">
        <v>1.4471</v>
      </c>
    </row>
    <row r="6856">
      <c r="A6856" t="n">
        <v>1.433</v>
      </c>
      <c r="B6856" t="n">
        <v>1.4868</v>
      </c>
      <c r="C6856" t="n">
        <v>1.7448</v>
      </c>
    </row>
    <row r="6857">
      <c r="A6857" t="n">
        <v>1.6961</v>
      </c>
      <c r="B6857" t="n">
        <v>1.569</v>
      </c>
      <c r="C6857" t="n">
        <v>1.6921</v>
      </c>
    </row>
    <row r="6858">
      <c r="A6858" t="n">
        <v>1.5104</v>
      </c>
      <c r="B6858" t="n">
        <v>1.5405</v>
      </c>
      <c r="C6858" t="n">
        <v>1.4784</v>
      </c>
    </row>
    <row r="6859">
      <c r="A6859" t="n">
        <v>1.6818</v>
      </c>
      <c r="B6859" t="n">
        <v>1.6554</v>
      </c>
      <c r="C6859" t="n">
        <v>1.4508</v>
      </c>
    </row>
    <row r="6860">
      <c r="A6860" t="n">
        <v>1.4661</v>
      </c>
      <c r="B6860" t="n">
        <v>1.5289</v>
      </c>
      <c r="C6860" t="n">
        <v>1.4693</v>
      </c>
    </row>
    <row r="6861">
      <c r="A6861" t="n">
        <v>1.4106</v>
      </c>
      <c r="B6861" t="n">
        <v>1.6672</v>
      </c>
      <c r="C6861" t="n">
        <v>1.7098</v>
      </c>
    </row>
    <row r="6862">
      <c r="A6862" t="n">
        <v>1.4105</v>
      </c>
      <c r="B6862" t="n">
        <v>1.6931</v>
      </c>
      <c r="C6862" t="n">
        <v>1.7261</v>
      </c>
    </row>
    <row r="6863">
      <c r="A6863" t="n">
        <v>1.4049</v>
      </c>
      <c r="B6863" t="n">
        <v>1.5332</v>
      </c>
      <c r="C6863" t="n">
        <v>1.4877</v>
      </c>
    </row>
    <row r="6864">
      <c r="A6864" t="n">
        <v>1.4429</v>
      </c>
      <c r="B6864" t="n">
        <v>1.6652</v>
      </c>
      <c r="C6864" t="n">
        <v>1.4387</v>
      </c>
    </row>
    <row r="6865">
      <c r="A6865" t="n">
        <v>1.4474</v>
      </c>
      <c r="B6865" t="n">
        <v>1.4713</v>
      </c>
      <c r="C6865" t="n">
        <v>1.4891</v>
      </c>
    </row>
    <row r="6866">
      <c r="A6866" t="n">
        <v>1.4513</v>
      </c>
      <c r="B6866" t="n">
        <v>1.8014</v>
      </c>
      <c r="C6866" t="n">
        <v>1.7082</v>
      </c>
    </row>
    <row r="6867">
      <c r="A6867" t="n">
        <v>1.6001</v>
      </c>
      <c r="B6867" t="n">
        <v>1.6713</v>
      </c>
      <c r="C6867" t="n">
        <v>1.6454</v>
      </c>
    </row>
    <row r="6868">
      <c r="A6868" t="n">
        <v>1.5377</v>
      </c>
      <c r="B6868" t="n">
        <v>1.7029</v>
      </c>
      <c r="C6868" t="n">
        <v>1.4863</v>
      </c>
    </row>
    <row r="6869">
      <c r="A6869" t="n">
        <v>1.4072</v>
      </c>
      <c r="B6869" t="n">
        <v>1.5229</v>
      </c>
      <c r="C6869" t="n">
        <v>1.4507</v>
      </c>
    </row>
    <row r="6870">
      <c r="A6870" t="n">
        <v>1.4069</v>
      </c>
      <c r="B6870" t="n">
        <v>1.4508</v>
      </c>
      <c r="C6870" t="n">
        <v>1.4388</v>
      </c>
    </row>
    <row r="6871">
      <c r="A6871" t="n">
        <v>1.4224</v>
      </c>
      <c r="B6871" t="n">
        <v>1.4351</v>
      </c>
      <c r="C6871" t="n">
        <v>1.6877</v>
      </c>
    </row>
    <row r="6872">
      <c r="A6872" t="n">
        <v>1.4234</v>
      </c>
      <c r="B6872" t="n">
        <v>1.6634</v>
      </c>
      <c r="C6872" t="n">
        <v>1.7999</v>
      </c>
    </row>
    <row r="6873">
      <c r="A6873" t="n">
        <v>1.6323</v>
      </c>
      <c r="B6873" t="n">
        <v>1.7385</v>
      </c>
      <c r="C6873" t="n">
        <v>1.4797</v>
      </c>
    </row>
    <row r="6874">
      <c r="A6874" t="n">
        <v>1.724</v>
      </c>
      <c r="B6874" t="n">
        <v>1.4911</v>
      </c>
      <c r="C6874" t="n">
        <v>1.4525</v>
      </c>
    </row>
    <row r="6875">
      <c r="A6875" t="n">
        <v>1.4464</v>
      </c>
      <c r="B6875" t="n">
        <v>1.4552</v>
      </c>
      <c r="C6875" t="n">
        <v>1.4471</v>
      </c>
    </row>
    <row r="6876">
      <c r="A6876" t="n">
        <v>1.4261</v>
      </c>
      <c r="B6876" t="n">
        <v>1.447</v>
      </c>
      <c r="C6876" t="n">
        <v>1.6193</v>
      </c>
    </row>
    <row r="6877">
      <c r="A6877" t="n">
        <v>1.4165</v>
      </c>
      <c r="B6877" t="n">
        <v>1.6206</v>
      </c>
      <c r="C6877" t="n">
        <v>1.8333</v>
      </c>
    </row>
    <row r="6878">
      <c r="A6878" t="n">
        <v>1.3792</v>
      </c>
      <c r="B6878" t="n">
        <v>1.7049</v>
      </c>
      <c r="C6878" t="n">
        <v>1.4896</v>
      </c>
    </row>
    <row r="6879">
      <c r="A6879" t="n">
        <v>1.4273</v>
      </c>
      <c r="B6879" t="n">
        <v>1.5051</v>
      </c>
      <c r="C6879" t="n">
        <v>1.4682</v>
      </c>
    </row>
    <row r="6880">
      <c r="A6880" t="n">
        <v>1.4374</v>
      </c>
      <c r="B6880" t="n">
        <v>1.4172</v>
      </c>
      <c r="C6880" t="n">
        <v>1.4584</v>
      </c>
    </row>
    <row r="6881">
      <c r="A6881" t="n">
        <v>1.4055</v>
      </c>
      <c r="B6881" t="n">
        <v>1.4624</v>
      </c>
      <c r="C6881" t="n">
        <v>1.655</v>
      </c>
    </row>
    <row r="6882">
      <c r="A6882" t="n">
        <v>2.0546</v>
      </c>
      <c r="B6882" t="n">
        <v>1.638</v>
      </c>
      <c r="C6882" t="n">
        <v>2.0304</v>
      </c>
    </row>
    <row r="6883">
      <c r="A6883" t="n">
        <v>1.7924</v>
      </c>
      <c r="B6883" t="n">
        <v>1.5752</v>
      </c>
      <c r="C6883" t="n">
        <v>1.6771</v>
      </c>
    </row>
    <row r="6884">
      <c r="A6884" t="n">
        <v>1.5174</v>
      </c>
      <c r="B6884" t="n">
        <v>1.4945</v>
      </c>
      <c r="C6884" t="n">
        <v>1.5546</v>
      </c>
    </row>
    <row r="6885">
      <c r="A6885" t="n">
        <v>1.6249</v>
      </c>
      <c r="B6885" t="n">
        <v>1.463</v>
      </c>
      <c r="C6885" t="n">
        <v>1.6717</v>
      </c>
    </row>
    <row r="6886">
      <c r="A6886" t="n">
        <v>1.4658</v>
      </c>
      <c r="B6886" t="n">
        <v>1.3978</v>
      </c>
      <c r="C6886" t="n">
        <v>1.5039</v>
      </c>
    </row>
    <row r="6887">
      <c r="A6887" t="n">
        <v>1.4088</v>
      </c>
      <c r="B6887" t="n">
        <v>1.4591</v>
      </c>
      <c r="C6887" t="n">
        <v>1.4638</v>
      </c>
    </row>
    <row r="6888">
      <c r="A6888" t="n">
        <v>1.4235</v>
      </c>
      <c r="B6888" t="n">
        <v>1.4482</v>
      </c>
      <c r="C6888" t="n">
        <v>1.6929</v>
      </c>
    </row>
    <row r="6889">
      <c r="A6889" t="n">
        <v>1.4137</v>
      </c>
      <c r="B6889" t="n">
        <v>1.4546</v>
      </c>
      <c r="C6889" t="n">
        <v>1.5568</v>
      </c>
    </row>
    <row r="6890">
      <c r="A6890" t="n">
        <v>1.4287</v>
      </c>
      <c r="B6890" t="n">
        <v>1.7081</v>
      </c>
      <c r="C6890" t="n">
        <v>1.6761</v>
      </c>
    </row>
    <row r="6891">
      <c r="A6891" t="n">
        <v>1.6533</v>
      </c>
      <c r="B6891" t="n">
        <v>1.7228</v>
      </c>
      <c r="C6891" t="n">
        <v>1.4898</v>
      </c>
    </row>
    <row r="6892">
      <c r="A6892" t="n">
        <v>1.6724</v>
      </c>
      <c r="B6892" t="n">
        <v>1.5578</v>
      </c>
      <c r="C6892" t="n">
        <v>1.4591</v>
      </c>
    </row>
    <row r="6893">
      <c r="A6893" t="n">
        <v>1.4632</v>
      </c>
      <c r="B6893" t="n">
        <v>1.4894</v>
      </c>
      <c r="C6893" t="n">
        <v>1.6661</v>
      </c>
    </row>
    <row r="6894">
      <c r="A6894" t="n">
        <v>1.4556</v>
      </c>
      <c r="B6894" t="n">
        <v>1.6651</v>
      </c>
      <c r="C6894" t="n">
        <v>1.5225</v>
      </c>
    </row>
    <row r="6895">
      <c r="A6895" t="n">
        <v>1.432</v>
      </c>
      <c r="B6895" t="n">
        <v>1.5229</v>
      </c>
      <c r="C6895" t="n">
        <v>1.6514</v>
      </c>
    </row>
    <row r="6896">
      <c r="A6896" t="n">
        <v>1.629</v>
      </c>
      <c r="B6896" t="n">
        <v>1.6597</v>
      </c>
      <c r="C6896" t="n">
        <v>1.4785</v>
      </c>
    </row>
    <row r="6897">
      <c r="A6897" t="n">
        <v>1.5372</v>
      </c>
      <c r="B6897" t="n">
        <v>1.6863</v>
      </c>
      <c r="C6897" t="n">
        <v>1.4618</v>
      </c>
    </row>
    <row r="6898">
      <c r="A6898" t="n">
        <v>1.6399</v>
      </c>
      <c r="B6898" t="n">
        <v>2.0849</v>
      </c>
      <c r="C6898" t="n">
        <v>1.6544</v>
      </c>
    </row>
    <row r="6899">
      <c r="A6899" t="n">
        <v>1.4605</v>
      </c>
      <c r="B6899" t="n">
        <v>1.5204</v>
      </c>
      <c r="C6899" t="n">
        <v>1.5579</v>
      </c>
    </row>
    <row r="6900">
      <c r="A6900" t="n">
        <v>1.4291</v>
      </c>
      <c r="B6900" t="n">
        <v>1.456</v>
      </c>
      <c r="C6900" t="n">
        <v>1.6532</v>
      </c>
    </row>
    <row r="6901">
      <c r="A6901" t="n">
        <v>1.3984</v>
      </c>
      <c r="B6901" t="n">
        <v>1.4299</v>
      </c>
      <c r="C6901" t="n">
        <v>1.516</v>
      </c>
    </row>
    <row r="6902">
      <c r="A6902" t="n">
        <v>1.4101</v>
      </c>
      <c r="B6902" t="n">
        <v>1.6838</v>
      </c>
      <c r="C6902" t="n">
        <v>1.4842</v>
      </c>
    </row>
    <row r="6903">
      <c r="A6903" t="n">
        <v>1.4068</v>
      </c>
      <c r="B6903" t="n">
        <v>1.759</v>
      </c>
      <c r="C6903" t="n">
        <v>1.4075</v>
      </c>
    </row>
    <row r="6904">
      <c r="A6904" t="n">
        <v>1.388</v>
      </c>
      <c r="B6904" t="n">
        <v>1.4905</v>
      </c>
      <c r="C6904" t="n">
        <v>1.4517</v>
      </c>
    </row>
    <row r="6905">
      <c r="A6905" t="n">
        <v>1.4644</v>
      </c>
      <c r="B6905" t="n">
        <v>1.7233</v>
      </c>
      <c r="C6905" t="n">
        <v>1.656</v>
      </c>
    </row>
    <row r="6906">
      <c r="A6906" t="n">
        <v>1.6017</v>
      </c>
      <c r="B6906" t="n">
        <v>1.662</v>
      </c>
      <c r="C6906" t="n">
        <v>1.5124</v>
      </c>
    </row>
    <row r="6907">
      <c r="A6907" t="n">
        <v>1.5023</v>
      </c>
      <c r="B6907" t="n">
        <v>1.5239</v>
      </c>
      <c r="C6907" t="n">
        <v>1.6876</v>
      </c>
    </row>
    <row r="6908">
      <c r="A6908" t="n">
        <v>1.4207</v>
      </c>
      <c r="B6908" t="n">
        <v>1.4571</v>
      </c>
      <c r="C6908" t="n">
        <v>1.7049</v>
      </c>
    </row>
    <row r="6909">
      <c r="A6909" t="n">
        <v>1.3973</v>
      </c>
      <c r="B6909" t="n">
        <v>1.4354</v>
      </c>
      <c r="C6909" t="n">
        <v>1.5218</v>
      </c>
    </row>
    <row r="6910">
      <c r="A6910" t="n">
        <v>1.4313</v>
      </c>
      <c r="B6910" t="n">
        <v>1.4281</v>
      </c>
      <c r="C6910" t="n">
        <v>1.7109</v>
      </c>
    </row>
    <row r="6911">
      <c r="A6911" t="n">
        <v>1.413</v>
      </c>
      <c r="B6911" t="n">
        <v>1.4438</v>
      </c>
      <c r="C6911" t="n">
        <v>1.5274</v>
      </c>
    </row>
    <row r="6912">
      <c r="A6912" t="n">
        <v>1.6618</v>
      </c>
      <c r="B6912" t="n">
        <v>1.6313</v>
      </c>
      <c r="C6912" t="n">
        <v>1.4351</v>
      </c>
    </row>
    <row r="6913">
      <c r="A6913" t="n">
        <v>1.5427</v>
      </c>
      <c r="B6913" t="n">
        <v>1.7835</v>
      </c>
      <c r="C6913" t="n">
        <v>1.4114</v>
      </c>
    </row>
    <row r="6914">
      <c r="A6914" t="n">
        <v>1.9568</v>
      </c>
      <c r="B6914" t="n">
        <v>1.5433</v>
      </c>
      <c r="C6914" t="n">
        <v>1.8318</v>
      </c>
    </row>
    <row r="6915">
      <c r="A6915" t="n">
        <v>1.71</v>
      </c>
      <c r="B6915" t="n">
        <v>1.4541</v>
      </c>
      <c r="C6915" t="n">
        <v>1.6483</v>
      </c>
    </row>
    <row r="6916">
      <c r="A6916" t="n">
        <v>1.6573</v>
      </c>
      <c r="B6916" t="n">
        <v>1.3988</v>
      </c>
      <c r="C6916" t="n">
        <v>1.5075</v>
      </c>
    </row>
    <row r="6917">
      <c r="A6917" t="n">
        <v>1.4959</v>
      </c>
      <c r="B6917" t="n">
        <v>1.6522</v>
      </c>
      <c r="C6917" t="n">
        <v>1.4602</v>
      </c>
    </row>
    <row r="6918">
      <c r="A6918" t="n">
        <v>1.4104</v>
      </c>
      <c r="B6918" t="n">
        <v>1.6952</v>
      </c>
      <c r="C6918" t="n">
        <v>1.4109</v>
      </c>
    </row>
    <row r="6919">
      <c r="A6919" t="n">
        <v>1.3995</v>
      </c>
      <c r="B6919" t="n">
        <v>1.4971</v>
      </c>
      <c r="C6919" t="n">
        <v>1.4663</v>
      </c>
    </row>
    <row r="6920">
      <c r="A6920" t="n">
        <v>1.419</v>
      </c>
      <c r="B6920" t="n">
        <v>1.4841</v>
      </c>
      <c r="C6920" t="n">
        <v>1.438</v>
      </c>
    </row>
    <row r="6921">
      <c r="A6921" t="n">
        <v>1.4206</v>
      </c>
      <c r="B6921" t="n">
        <v>1.4452</v>
      </c>
      <c r="C6921" t="n">
        <v>1.4396</v>
      </c>
    </row>
    <row r="6922">
      <c r="A6922" t="n">
        <v>1.6525</v>
      </c>
      <c r="B6922" t="n">
        <v>1.6122</v>
      </c>
      <c r="C6922" t="n">
        <v>1.7368</v>
      </c>
    </row>
    <row r="6923">
      <c r="A6923" t="n">
        <v>1.4894</v>
      </c>
      <c r="B6923" t="n">
        <v>1.7784</v>
      </c>
      <c r="C6923" t="n">
        <v>1.5182</v>
      </c>
    </row>
    <row r="6924">
      <c r="A6924" t="n">
        <v>1.5983</v>
      </c>
      <c r="B6924" t="n">
        <v>1.5125</v>
      </c>
      <c r="C6924" t="n">
        <v>1.4358</v>
      </c>
    </row>
    <row r="6925">
      <c r="A6925" t="n">
        <v>1.5222</v>
      </c>
      <c r="B6925" t="n">
        <v>1.4346</v>
      </c>
      <c r="C6925" t="n">
        <v>1.46</v>
      </c>
    </row>
    <row r="6926">
      <c r="A6926" t="n">
        <v>1.4276</v>
      </c>
      <c r="B6926" t="n">
        <v>1.4556</v>
      </c>
      <c r="C6926" t="n">
        <v>1.6217</v>
      </c>
    </row>
    <row r="6927">
      <c r="A6927" t="n">
        <v>1.3908</v>
      </c>
      <c r="B6927" t="n">
        <v>1.6938</v>
      </c>
      <c r="C6927" t="n">
        <v>1.8827</v>
      </c>
    </row>
    <row r="6928">
      <c r="A6928" t="n">
        <v>1.4036</v>
      </c>
      <c r="B6928" t="n">
        <v>1.7759</v>
      </c>
      <c r="C6928" t="n">
        <v>1.5075</v>
      </c>
    </row>
    <row r="6929">
      <c r="A6929" t="n">
        <v>1.4059</v>
      </c>
      <c r="B6929" t="n">
        <v>1.5106</v>
      </c>
      <c r="C6929" t="n">
        <v>1.4494</v>
      </c>
    </row>
    <row r="6930">
      <c r="A6930" t="n">
        <v>1.4232</v>
      </c>
      <c r="B6930" t="n">
        <v>1.7898</v>
      </c>
      <c r="C6930" t="n">
        <v>1.4254</v>
      </c>
    </row>
    <row r="6931">
      <c r="A6931" t="n">
        <v>1.4803</v>
      </c>
      <c r="B6931" t="n">
        <v>1.7027</v>
      </c>
      <c r="C6931" t="n">
        <v>1.7565</v>
      </c>
    </row>
    <row r="6932">
      <c r="A6932" t="n">
        <v>1.6223</v>
      </c>
      <c r="B6932" t="n">
        <v>1.5348</v>
      </c>
      <c r="C6932" t="n">
        <v>1.8358</v>
      </c>
    </row>
    <row r="6933">
      <c r="A6933" t="n">
        <v>1.5114</v>
      </c>
      <c r="B6933" t="n">
        <v>1.4461</v>
      </c>
      <c r="C6933" t="n">
        <v>1.7444</v>
      </c>
    </row>
    <row r="6934">
      <c r="A6934" t="n">
        <v>1.4113</v>
      </c>
      <c r="B6934" t="n">
        <v>1.4206</v>
      </c>
      <c r="C6934" t="n">
        <v>1.5315</v>
      </c>
    </row>
    <row r="6935">
      <c r="A6935" t="n">
        <v>1.4031</v>
      </c>
      <c r="B6935" t="n">
        <v>1.4492</v>
      </c>
      <c r="C6935" t="n">
        <v>1.6405</v>
      </c>
    </row>
    <row r="6936">
      <c r="A6936" t="n">
        <v>1.42</v>
      </c>
      <c r="B6936" t="n">
        <v>1.464</v>
      </c>
      <c r="C6936" t="n">
        <v>1.4813</v>
      </c>
    </row>
    <row r="6937">
      <c r="A6937" t="n">
        <v>1.4415</v>
      </c>
      <c r="B6937" t="n">
        <v>1.6474</v>
      </c>
      <c r="C6937" t="n">
        <v>1.4774</v>
      </c>
    </row>
    <row r="6938">
      <c r="A6938" t="n">
        <v>1.6115</v>
      </c>
      <c r="B6938" t="n">
        <v>1.7668</v>
      </c>
      <c r="C6938" t="n">
        <v>1.4133</v>
      </c>
    </row>
    <row r="6939">
      <c r="A6939" t="n">
        <v>1.5822</v>
      </c>
      <c r="B6939" t="n">
        <v>1.5103</v>
      </c>
      <c r="C6939" t="n">
        <v>1.4231</v>
      </c>
    </row>
    <row r="6940">
      <c r="A6940" t="n">
        <v>1.4178</v>
      </c>
      <c r="B6940" t="n">
        <v>1.4841</v>
      </c>
      <c r="C6940" t="n">
        <v>1.4687</v>
      </c>
    </row>
    <row r="6941">
      <c r="A6941" t="n">
        <v>1.4015</v>
      </c>
      <c r="B6941" t="n">
        <v>1.4798</v>
      </c>
      <c r="C6941" t="n">
        <v>1.6809</v>
      </c>
    </row>
    <row r="6942">
      <c r="A6942" t="n">
        <v>1.43</v>
      </c>
      <c r="B6942" t="n">
        <v>1.6738</v>
      </c>
      <c r="C6942" t="n">
        <v>1.7346</v>
      </c>
    </row>
    <row r="6943">
      <c r="A6943" t="n">
        <v>1.4543</v>
      </c>
      <c r="B6943" t="n">
        <v>1.696</v>
      </c>
      <c r="C6943" t="n">
        <v>1.5671</v>
      </c>
    </row>
    <row r="6944">
      <c r="A6944" t="n">
        <v>1.3978</v>
      </c>
      <c r="B6944" t="n">
        <v>1.5053</v>
      </c>
      <c r="C6944" t="n">
        <v>1.4771</v>
      </c>
    </row>
    <row r="6945">
      <c r="A6945" t="n">
        <v>1.4122</v>
      </c>
      <c r="B6945" t="n">
        <v>1.4585</v>
      </c>
      <c r="C6945" t="n">
        <v>1.6892</v>
      </c>
    </row>
    <row r="6946">
      <c r="A6946" t="n">
        <v>2.0333</v>
      </c>
      <c r="B6946" t="n">
        <v>1.4255</v>
      </c>
      <c r="C6946" t="n">
        <v>1.8657</v>
      </c>
    </row>
    <row r="6947">
      <c r="A6947" t="n">
        <v>1.7321</v>
      </c>
      <c r="B6947" t="n">
        <v>1.6313</v>
      </c>
      <c r="C6947" t="n">
        <v>1.4682</v>
      </c>
    </row>
    <row r="6948">
      <c r="A6948" t="n">
        <v>1.7294</v>
      </c>
      <c r="B6948" t="n">
        <v>1.6858</v>
      </c>
      <c r="C6948" t="n">
        <v>1.3899</v>
      </c>
    </row>
    <row r="6949">
      <c r="A6949" t="n">
        <v>1.5547</v>
      </c>
      <c r="B6949" t="n">
        <v>1.4804</v>
      </c>
      <c r="C6949" t="n">
        <v>1.4671</v>
      </c>
    </row>
    <row r="6950">
      <c r="A6950" t="n">
        <v>1.6243</v>
      </c>
      <c r="B6950" t="n">
        <v>1.4594</v>
      </c>
      <c r="C6950" t="n">
        <v>1.4557</v>
      </c>
    </row>
    <row r="6951">
      <c r="A6951" t="n">
        <v>1.4938</v>
      </c>
      <c r="B6951" t="n">
        <v>1.4519</v>
      </c>
      <c r="C6951" t="n">
        <v>1.421</v>
      </c>
    </row>
    <row r="6952">
      <c r="A6952" t="n">
        <v>1.452</v>
      </c>
      <c r="B6952" t="n">
        <v>1.6265</v>
      </c>
      <c r="C6952" t="n">
        <v>1.4731</v>
      </c>
    </row>
    <row r="6953">
      <c r="A6953" t="n">
        <v>1.6567</v>
      </c>
      <c r="B6953" t="n">
        <v>1.5795</v>
      </c>
      <c r="C6953" t="n">
        <v>1.4194</v>
      </c>
    </row>
    <row r="6954">
      <c r="A6954" t="n">
        <v>1.5408</v>
      </c>
      <c r="B6954" t="n">
        <v>1.5243</v>
      </c>
      <c r="C6954" t="n">
        <v>1.443</v>
      </c>
    </row>
    <row r="6955">
      <c r="A6955" t="n">
        <v>1.6568</v>
      </c>
      <c r="B6955" t="n">
        <v>1.432</v>
      </c>
      <c r="C6955" t="n">
        <v>1.4236</v>
      </c>
    </row>
    <row r="6956">
      <c r="A6956" t="n">
        <v>1.4706</v>
      </c>
      <c r="B6956" t="n">
        <v>1.4545</v>
      </c>
      <c r="C6956" t="n">
        <v>1.4543</v>
      </c>
    </row>
    <row r="6957">
      <c r="A6957" t="n">
        <v>1.4307</v>
      </c>
      <c r="B6957" t="n">
        <v>1.4129</v>
      </c>
      <c r="C6957" t="n">
        <v>1.4381</v>
      </c>
    </row>
    <row r="6958">
      <c r="A6958" t="n">
        <v>1.3887</v>
      </c>
      <c r="B6958" t="n">
        <v>1.435</v>
      </c>
      <c r="C6958" t="n">
        <v>1.451</v>
      </c>
    </row>
    <row r="6959">
      <c r="A6959" t="n">
        <v>1.3915</v>
      </c>
      <c r="B6959" t="n">
        <v>1.4519</v>
      </c>
      <c r="C6959" t="n">
        <v>1.6452</v>
      </c>
    </row>
    <row r="6960">
      <c r="A6960" t="n">
        <v>1.4344</v>
      </c>
      <c r="B6960" t="n">
        <v>1.4277</v>
      </c>
      <c r="C6960" t="n">
        <v>1.7427</v>
      </c>
    </row>
    <row r="6961">
      <c r="A6961" t="n">
        <v>1.4188</v>
      </c>
      <c r="B6961" t="n">
        <v>1.4708</v>
      </c>
      <c r="C6961" t="n">
        <v>1.4927</v>
      </c>
    </row>
    <row r="6962">
      <c r="A6962" t="n">
        <v>1.4546</v>
      </c>
      <c r="B6962" t="n">
        <v>1.982</v>
      </c>
      <c r="C6962" t="n">
        <v>1.4609</v>
      </c>
    </row>
    <row r="6963">
      <c r="A6963" t="n">
        <v>1.63</v>
      </c>
      <c r="B6963" t="n">
        <v>1.7408</v>
      </c>
      <c r="C6963" t="n">
        <v>1.4356</v>
      </c>
    </row>
    <row r="6964">
      <c r="A6964" t="n">
        <v>1.5074</v>
      </c>
      <c r="B6964" t="n">
        <v>1.6753</v>
      </c>
      <c r="C6964" t="n">
        <v>1.6896</v>
      </c>
    </row>
    <row r="6965">
      <c r="A6965" t="n">
        <v>1.4339</v>
      </c>
      <c r="B6965" t="n">
        <v>1.6843</v>
      </c>
      <c r="C6965" t="n">
        <v>1.7009</v>
      </c>
    </row>
    <row r="6966">
      <c r="A6966" t="n">
        <v>1.431</v>
      </c>
      <c r="B6966" t="n">
        <v>1.4683</v>
      </c>
      <c r="C6966" t="n">
        <v>1.5005</v>
      </c>
    </row>
    <row r="6967">
      <c r="A6967" t="n">
        <v>1.4482</v>
      </c>
      <c r="B6967" t="n">
        <v>1.3914</v>
      </c>
      <c r="C6967" t="n">
        <v>1.4697</v>
      </c>
    </row>
    <row r="6968">
      <c r="A6968" t="n">
        <v>1.3989</v>
      </c>
      <c r="B6968" t="n">
        <v>1.4324</v>
      </c>
      <c r="C6968" t="n">
        <v>1.4802</v>
      </c>
    </row>
    <row r="6969">
      <c r="A6969" t="n">
        <v>1.5963</v>
      </c>
      <c r="B6969" t="n">
        <v>1.4516</v>
      </c>
      <c r="C6969" t="n">
        <v>1.6129</v>
      </c>
    </row>
    <row r="6970">
      <c r="A6970" t="n">
        <v>1.5793</v>
      </c>
      <c r="B6970" t="n">
        <v>1.409</v>
      </c>
      <c r="C6970" t="n">
        <v>1.7328</v>
      </c>
    </row>
    <row r="6971">
      <c r="A6971" t="n">
        <v>1.6368</v>
      </c>
      <c r="B6971" t="n">
        <v>1.4787</v>
      </c>
      <c r="C6971" t="n">
        <v>1.5144</v>
      </c>
    </row>
    <row r="6972">
      <c r="A6972" t="n">
        <v>1.4865</v>
      </c>
      <c r="B6972" t="n">
        <v>1.67</v>
      </c>
      <c r="C6972" t="n">
        <v>1.4279</v>
      </c>
    </row>
    <row r="6973">
      <c r="A6973" t="n">
        <v>1.4668</v>
      </c>
      <c r="B6973" t="n">
        <v>1.4711</v>
      </c>
      <c r="C6973" t="n">
        <v>1.4501</v>
      </c>
    </row>
    <row r="6974">
      <c r="A6974" t="n">
        <v>1.594</v>
      </c>
      <c r="B6974" t="n">
        <v>1.4634</v>
      </c>
      <c r="C6974" t="n">
        <v>1.6492</v>
      </c>
    </row>
    <row r="6975">
      <c r="A6975" t="n">
        <v>1.5119</v>
      </c>
      <c r="B6975" t="n">
        <v>1.4198</v>
      </c>
      <c r="C6975" t="n">
        <v>1.7688</v>
      </c>
    </row>
    <row r="6976">
      <c r="A6976" t="n">
        <v>1.6373</v>
      </c>
      <c r="B6976" t="n">
        <v>1.4177</v>
      </c>
      <c r="C6976" t="n">
        <v>1.506</v>
      </c>
    </row>
    <row r="6977">
      <c r="A6977" t="n">
        <v>1.4759</v>
      </c>
      <c r="B6977" t="n">
        <v>1.4557</v>
      </c>
      <c r="C6977" t="n">
        <v>1.4519</v>
      </c>
    </row>
    <row r="6978">
      <c r="A6978" t="n">
        <v>1.7666</v>
      </c>
      <c r="B6978" t="n">
        <v>1.4321</v>
      </c>
      <c r="C6978" t="n">
        <v>1.7568</v>
      </c>
    </row>
    <row r="6979">
      <c r="A6979" t="n">
        <v>1.702</v>
      </c>
      <c r="B6979" t="n">
        <v>1.4158</v>
      </c>
      <c r="C6979" t="n">
        <v>1.447</v>
      </c>
    </row>
    <row r="6980">
      <c r="A6980" t="n">
        <v>1.6815</v>
      </c>
      <c r="B6980" t="n">
        <v>1.6369</v>
      </c>
      <c r="C6980" t="n">
        <v>1.6676</v>
      </c>
    </row>
    <row r="6981">
      <c r="A6981" t="n">
        <v>1.4755</v>
      </c>
      <c r="B6981" t="n">
        <v>1.5138</v>
      </c>
      <c r="C6981" t="n">
        <v>1.4872</v>
      </c>
    </row>
    <row r="6982">
      <c r="A6982" t="n">
        <v>1.4342</v>
      </c>
      <c r="B6982" t="n">
        <v>1.4515</v>
      </c>
      <c r="C6982" t="n">
        <v>1.4927</v>
      </c>
    </row>
    <row r="6983">
      <c r="A6983" t="n">
        <v>1.4357</v>
      </c>
      <c r="B6983" t="n">
        <v>1.4415</v>
      </c>
      <c r="C6983" t="n">
        <v>1.462</v>
      </c>
    </row>
    <row r="6984">
      <c r="A6984" t="n">
        <v>1.6033</v>
      </c>
      <c r="B6984" t="n">
        <v>1.4765</v>
      </c>
      <c r="C6984" t="n">
        <v>1.5912</v>
      </c>
    </row>
    <row r="6985">
      <c r="A6985" t="n">
        <v>1.8222</v>
      </c>
      <c r="B6985" t="n">
        <v>1.4395</v>
      </c>
      <c r="C6985" t="n">
        <v>1.5308</v>
      </c>
    </row>
    <row r="6986">
      <c r="A6986" t="n">
        <v>1.4695</v>
      </c>
      <c r="B6986" t="n">
        <v>1.4426</v>
      </c>
      <c r="C6986" t="n">
        <v>1.685</v>
      </c>
    </row>
    <row r="6987">
      <c r="A6987" t="n">
        <v>1.467</v>
      </c>
      <c r="B6987" t="n">
        <v>1.7668</v>
      </c>
      <c r="C6987" t="n">
        <v>1.4893</v>
      </c>
    </row>
    <row r="6988">
      <c r="A6988" t="n">
        <v>1.4501</v>
      </c>
      <c r="B6988" t="n">
        <v>1.4756</v>
      </c>
      <c r="C6988" t="n">
        <v>1.4697</v>
      </c>
    </row>
    <row r="6989">
      <c r="A6989" t="n">
        <v>1.6326</v>
      </c>
      <c r="B6989" t="n">
        <v>1.4595</v>
      </c>
      <c r="C6989" t="n">
        <v>1.6662</v>
      </c>
    </row>
    <row r="6990">
      <c r="A6990" t="n">
        <v>1.8373</v>
      </c>
      <c r="B6990" t="n">
        <v>1.4451</v>
      </c>
      <c r="C6990" t="n">
        <v>1.4933</v>
      </c>
    </row>
    <row r="6991">
      <c r="A6991" t="n">
        <v>1.4931</v>
      </c>
      <c r="B6991" t="n">
        <v>1.6101</v>
      </c>
      <c r="C6991" t="n">
        <v>1.6521</v>
      </c>
    </row>
    <row r="6992">
      <c r="A6992" t="n">
        <v>1.4231</v>
      </c>
      <c r="B6992" t="n">
        <v>1.8194</v>
      </c>
      <c r="C6992" t="n">
        <v>1.478</v>
      </c>
    </row>
    <row r="6993">
      <c r="A6993" t="n">
        <v>1.4407</v>
      </c>
      <c r="B6993" t="n">
        <v>1.5226</v>
      </c>
      <c r="C6993" t="n">
        <v>1.4275</v>
      </c>
    </row>
    <row r="6994">
      <c r="A6994" t="n">
        <v>1.6062</v>
      </c>
      <c r="B6994" t="n">
        <v>1.7529</v>
      </c>
      <c r="C6994" t="n">
        <v>1.7118</v>
      </c>
    </row>
    <row r="6995">
      <c r="A6995" t="n">
        <v>1.6042</v>
      </c>
      <c r="B6995" t="n">
        <v>1.6799</v>
      </c>
      <c r="C6995" t="n">
        <v>1.521</v>
      </c>
    </row>
    <row r="6996">
      <c r="A6996" t="n">
        <v>1.4255</v>
      </c>
      <c r="B6996" t="n">
        <v>1.5336</v>
      </c>
      <c r="C6996" t="n">
        <v>1.5855</v>
      </c>
    </row>
    <row r="6997">
      <c r="A6997" t="n">
        <v>1.4404</v>
      </c>
      <c r="B6997" t="n">
        <v>1.4126</v>
      </c>
      <c r="C6997" t="n">
        <v>1.5046</v>
      </c>
    </row>
    <row r="6998">
      <c r="A6998" t="n">
        <v>1.4196</v>
      </c>
      <c r="B6998" t="n">
        <v>1.4593</v>
      </c>
      <c r="C6998" t="n">
        <v>1.4639</v>
      </c>
    </row>
    <row r="6999">
      <c r="A6999" t="n">
        <v>1.4608</v>
      </c>
      <c r="B6999" t="n">
        <v>1.4569</v>
      </c>
      <c r="C6999" t="n">
        <v>1.3925</v>
      </c>
    </row>
    <row r="7000">
      <c r="A7000" t="n">
        <v>1.4738</v>
      </c>
      <c r="B7000" t="n">
        <v>1.4415</v>
      </c>
      <c r="C7000" t="n">
        <v>1.4357</v>
      </c>
    </row>
    <row r="7001">
      <c r="A7001" t="n">
        <v>1.4801</v>
      </c>
      <c r="B7001" t="n">
        <v>1.6994</v>
      </c>
      <c r="C7001" t="n">
        <v>1.4787</v>
      </c>
    </row>
    <row r="7002">
      <c r="A7002" t="n">
        <v>1.6831</v>
      </c>
      <c r="B7002" t="n">
        <v>1.7207</v>
      </c>
      <c r="C7002" t="n">
        <v>1.3782</v>
      </c>
    </row>
    <row r="7003">
      <c r="A7003" t="n">
        <v>1.7061</v>
      </c>
      <c r="B7003" t="n">
        <v>1.4925</v>
      </c>
      <c r="C7003" t="n">
        <v>1.5086</v>
      </c>
    </row>
    <row r="7004">
      <c r="A7004" t="n">
        <v>1.4873</v>
      </c>
      <c r="B7004" t="n">
        <v>1.4489</v>
      </c>
      <c r="C7004" t="n">
        <v>1.707</v>
      </c>
    </row>
    <row r="7005">
      <c r="A7005" t="n">
        <v>1.46</v>
      </c>
      <c r="B7005" t="n">
        <v>1.4462</v>
      </c>
      <c r="C7005" t="n">
        <v>1.4818</v>
      </c>
    </row>
    <row r="7006">
      <c r="A7006" t="n">
        <v>1.4762</v>
      </c>
      <c r="B7006" t="n">
        <v>1.6886</v>
      </c>
      <c r="C7006" t="n">
        <v>1.4748</v>
      </c>
    </row>
    <row r="7007">
      <c r="A7007" t="n">
        <v>1.675</v>
      </c>
      <c r="B7007" t="n">
        <v>1.7089</v>
      </c>
      <c r="C7007" t="n">
        <v>1.6717</v>
      </c>
    </row>
    <row r="7008">
      <c r="A7008" t="n">
        <v>1.6685</v>
      </c>
      <c r="B7008" t="n">
        <v>1.5169</v>
      </c>
      <c r="C7008" t="n">
        <v>1.5227</v>
      </c>
    </row>
    <row r="7009">
      <c r="A7009" t="n">
        <v>1.5005</v>
      </c>
      <c r="B7009" t="n">
        <v>1.4299</v>
      </c>
      <c r="C7009" t="n">
        <v>1.6602</v>
      </c>
    </row>
    <row r="7010">
      <c r="A7010" t="n">
        <v>1.7515</v>
      </c>
      <c r="B7010" t="n">
        <v>1.4312</v>
      </c>
      <c r="C7010" t="n">
        <v>1.822</v>
      </c>
    </row>
    <row r="7011">
      <c r="A7011" t="n">
        <v>1.6414</v>
      </c>
      <c r="B7011" t="n">
        <v>1.6062</v>
      </c>
      <c r="C7011" t="n">
        <v>1.512</v>
      </c>
    </row>
    <row r="7012">
      <c r="A7012" t="n">
        <v>1.5278</v>
      </c>
      <c r="B7012" t="n">
        <v>1.5128</v>
      </c>
      <c r="C7012" t="n">
        <v>1.4511</v>
      </c>
    </row>
    <row r="7013">
      <c r="A7013" t="n">
        <v>1.6307</v>
      </c>
      <c r="B7013" t="n">
        <v>1.6823</v>
      </c>
      <c r="C7013" t="n">
        <v>1.7085</v>
      </c>
    </row>
    <row r="7014">
      <c r="A7014" t="n">
        <v>1.6472</v>
      </c>
      <c r="B7014" t="n">
        <v>1.4942</v>
      </c>
      <c r="C7014" t="n">
        <v>1.4898</v>
      </c>
    </row>
    <row r="7015">
      <c r="A7015" t="n">
        <v>1.5455</v>
      </c>
      <c r="B7015" t="n">
        <v>1.4315</v>
      </c>
      <c r="C7015" t="n">
        <v>1.4767</v>
      </c>
    </row>
    <row r="7016">
      <c r="A7016" t="n">
        <v>1.6086</v>
      </c>
      <c r="B7016" t="n">
        <v>1.6301</v>
      </c>
      <c r="C7016" t="n">
        <v>1.4604</v>
      </c>
    </row>
    <row r="7017">
      <c r="A7017" t="n">
        <v>1.503</v>
      </c>
      <c r="B7017" t="n">
        <v>1.5243</v>
      </c>
      <c r="C7017" t="n">
        <v>1.6203</v>
      </c>
    </row>
    <row r="7018">
      <c r="A7018" t="n">
        <v>1.4453</v>
      </c>
      <c r="B7018" t="n">
        <v>1.6975</v>
      </c>
      <c r="C7018" t="n">
        <v>1.8044</v>
      </c>
    </row>
    <row r="7019">
      <c r="A7019" t="n">
        <v>1.3885</v>
      </c>
      <c r="B7019" t="n">
        <v>1.5031</v>
      </c>
      <c r="C7019" t="n">
        <v>1.5248</v>
      </c>
    </row>
    <row r="7020">
      <c r="A7020" t="n">
        <v>1.4195</v>
      </c>
      <c r="B7020" t="n">
        <v>1.4512</v>
      </c>
      <c r="C7020" t="n">
        <v>1.4189</v>
      </c>
    </row>
    <row r="7021">
      <c r="A7021" t="n">
        <v>1.4277</v>
      </c>
      <c r="B7021" t="n">
        <v>1.6584</v>
      </c>
      <c r="C7021" t="n">
        <v>1.4356</v>
      </c>
    </row>
    <row r="7022">
      <c r="A7022" t="n">
        <v>1.6021</v>
      </c>
      <c r="B7022" t="n">
        <v>1.5386</v>
      </c>
      <c r="C7022" t="n">
        <v>1.6519</v>
      </c>
    </row>
    <row r="7023">
      <c r="A7023" t="n">
        <v>1.5579</v>
      </c>
      <c r="B7023" t="n">
        <v>1.6671</v>
      </c>
      <c r="C7023" t="n">
        <v>1.8409</v>
      </c>
    </row>
    <row r="7024">
      <c r="A7024" t="n">
        <v>1.4183</v>
      </c>
      <c r="B7024" t="n">
        <v>1.4651</v>
      </c>
      <c r="C7024" t="n">
        <v>1.5161</v>
      </c>
    </row>
    <row r="7025">
      <c r="A7025" t="n">
        <v>1.412</v>
      </c>
      <c r="B7025" t="n">
        <v>1.452</v>
      </c>
      <c r="C7025" t="n">
        <v>1.4533</v>
      </c>
    </row>
    <row r="7026">
      <c r="A7026" t="n">
        <v>1.447</v>
      </c>
      <c r="B7026" t="n">
        <v>1.7769</v>
      </c>
      <c r="C7026" t="n">
        <v>1.4453</v>
      </c>
    </row>
    <row r="7027">
      <c r="A7027" t="n">
        <v>1.4331</v>
      </c>
      <c r="B7027" t="n">
        <v>1.4639</v>
      </c>
      <c r="C7027" t="n">
        <v>1.6441</v>
      </c>
    </row>
    <row r="7028">
      <c r="A7028" t="n">
        <v>1.4107</v>
      </c>
      <c r="B7028" t="n">
        <v>1.8047</v>
      </c>
      <c r="C7028" t="n">
        <v>1.7185</v>
      </c>
    </row>
    <row r="7029">
      <c r="A7029" t="n">
        <v>1.4649</v>
      </c>
      <c r="B7029" t="n">
        <v>1.7302</v>
      </c>
      <c r="C7029" t="n">
        <v>1.4783</v>
      </c>
    </row>
    <row r="7030">
      <c r="A7030" t="n">
        <v>1.689</v>
      </c>
      <c r="B7030" t="n">
        <v>1.6734</v>
      </c>
      <c r="C7030" t="n">
        <v>1.4616</v>
      </c>
    </row>
    <row r="7031">
      <c r="A7031" t="n">
        <v>1.6981</v>
      </c>
      <c r="B7031" t="n">
        <v>1.5396</v>
      </c>
      <c r="C7031" t="n">
        <v>1.4362</v>
      </c>
    </row>
    <row r="7032">
      <c r="A7032" t="n">
        <v>1.4957</v>
      </c>
      <c r="B7032" t="n">
        <v>1.4437</v>
      </c>
      <c r="C7032" t="n">
        <v>1.6105</v>
      </c>
    </row>
    <row r="7033">
      <c r="A7033" t="n">
        <v>1.4563</v>
      </c>
      <c r="B7033" t="n">
        <v>1.4575</v>
      </c>
      <c r="C7033" t="n">
        <v>1.5984</v>
      </c>
    </row>
    <row r="7034">
      <c r="A7034" t="n">
        <v>1.4533</v>
      </c>
      <c r="B7034" t="n">
        <v>1.4775</v>
      </c>
      <c r="C7034" t="n">
        <v>1.4874</v>
      </c>
    </row>
    <row r="7035">
      <c r="A7035" t="n">
        <v>1.71</v>
      </c>
      <c r="B7035" t="n">
        <v>1.4847</v>
      </c>
      <c r="C7035" t="n">
        <v>1.4283</v>
      </c>
    </row>
    <row r="7036">
      <c r="A7036" t="n">
        <v>1.5228</v>
      </c>
      <c r="B7036" t="n">
        <v>1.7014</v>
      </c>
      <c r="C7036" t="n">
        <v>1.4156</v>
      </c>
    </row>
    <row r="7037">
      <c r="A7037" t="n">
        <v>1.425</v>
      </c>
      <c r="B7037" t="n">
        <v>1.7144</v>
      </c>
      <c r="C7037" t="n">
        <v>1.4276</v>
      </c>
    </row>
    <row r="7038">
      <c r="A7038" t="n">
        <v>1.4528</v>
      </c>
      <c r="B7038" t="n">
        <v>1.5142</v>
      </c>
      <c r="C7038" t="n">
        <v>1.4737</v>
      </c>
    </row>
    <row r="7039">
      <c r="A7039" t="n">
        <v>1.4132</v>
      </c>
      <c r="B7039" t="n">
        <v>1.4323</v>
      </c>
      <c r="C7039" t="n">
        <v>1.4695</v>
      </c>
    </row>
    <row r="7040">
      <c r="A7040" t="n">
        <v>1.4242</v>
      </c>
      <c r="B7040" t="n">
        <v>1.471</v>
      </c>
      <c r="C7040" t="n">
        <v>1.6898</v>
      </c>
    </row>
    <row r="7041">
      <c r="A7041" t="n">
        <v>1.4547</v>
      </c>
      <c r="B7041" t="n">
        <v>1.7026</v>
      </c>
      <c r="C7041" t="n">
        <v>1.7028</v>
      </c>
    </row>
    <row r="7042">
      <c r="A7042" t="n">
        <v>1.7759</v>
      </c>
      <c r="B7042" t="n">
        <v>1.7686</v>
      </c>
      <c r="C7042" t="n">
        <v>2.0988</v>
      </c>
    </row>
    <row r="7043">
      <c r="A7043" t="n">
        <v>1.4456</v>
      </c>
      <c r="B7043" t="n">
        <v>1.498</v>
      </c>
      <c r="C7043" t="n">
        <v>1.7514</v>
      </c>
    </row>
    <row r="7044">
      <c r="A7044" t="n">
        <v>1.6796</v>
      </c>
      <c r="B7044" t="n">
        <v>1.4446</v>
      </c>
      <c r="C7044" t="n">
        <v>1.4817</v>
      </c>
    </row>
    <row r="7045">
      <c r="A7045" t="n">
        <v>1.4945</v>
      </c>
      <c r="B7045" t="n">
        <v>1.434</v>
      </c>
      <c r="C7045" t="n">
        <v>1.4605</v>
      </c>
    </row>
    <row r="7046">
      <c r="A7046" t="n">
        <v>1.4351</v>
      </c>
      <c r="B7046" t="n">
        <v>1.6997</v>
      </c>
      <c r="C7046" t="n">
        <v>1.4363</v>
      </c>
    </row>
    <row r="7047">
      <c r="A7047" t="n">
        <v>1.4507</v>
      </c>
      <c r="B7047" t="n">
        <v>1.723</v>
      </c>
      <c r="C7047" t="n">
        <v>1.6513</v>
      </c>
    </row>
    <row r="7048">
      <c r="A7048" t="n">
        <v>1.6247</v>
      </c>
      <c r="B7048" t="n">
        <v>1.5066</v>
      </c>
      <c r="C7048" t="n">
        <v>1.7478</v>
      </c>
    </row>
    <row r="7049">
      <c r="A7049" t="n">
        <v>1.6878</v>
      </c>
      <c r="B7049" t="n">
        <v>1.4637</v>
      </c>
      <c r="C7049" t="n">
        <v>1.4911</v>
      </c>
    </row>
    <row r="7050">
      <c r="A7050" t="n">
        <v>1.4938</v>
      </c>
      <c r="B7050" t="n">
        <v>1.4462</v>
      </c>
      <c r="C7050" t="n">
        <v>1.4206</v>
      </c>
    </row>
    <row r="7051">
      <c r="A7051" t="n">
        <v>1.4648</v>
      </c>
      <c r="B7051" t="n">
        <v>1.6434</v>
      </c>
      <c r="C7051" t="n">
        <v>1.4581</v>
      </c>
    </row>
    <row r="7052">
      <c r="A7052" t="n">
        <v>1.4039</v>
      </c>
      <c r="B7052" t="n">
        <v>1.7734</v>
      </c>
      <c r="C7052" t="n">
        <v>1.6152</v>
      </c>
    </row>
    <row r="7053">
      <c r="A7053" t="n">
        <v>1.645</v>
      </c>
      <c r="B7053" t="n">
        <v>1.522</v>
      </c>
      <c r="C7053" t="n">
        <v>1.5043</v>
      </c>
    </row>
    <row r="7054">
      <c r="A7054" t="n">
        <v>1.6203</v>
      </c>
      <c r="B7054" t="n">
        <v>1.4511</v>
      </c>
      <c r="C7054" t="n">
        <v>1.6436</v>
      </c>
    </row>
    <row r="7055">
      <c r="A7055" t="n">
        <v>1.4146</v>
      </c>
      <c r="B7055" t="n">
        <v>1.4531</v>
      </c>
      <c r="C7055" t="n">
        <v>1.4896</v>
      </c>
    </row>
    <row r="7056">
      <c r="A7056" t="n">
        <v>1.4691</v>
      </c>
      <c r="B7056" t="n">
        <v>1.7376</v>
      </c>
      <c r="C7056" t="n">
        <v>1.4355</v>
      </c>
    </row>
    <row r="7057">
      <c r="A7057" t="n">
        <v>1.4494</v>
      </c>
      <c r="B7057" t="n">
        <v>1.7102</v>
      </c>
      <c r="C7057" t="n">
        <v>1.6771</v>
      </c>
    </row>
    <row r="7058">
      <c r="A7058" t="n">
        <v>1.434</v>
      </c>
      <c r="B7058" t="n">
        <v>2.0745</v>
      </c>
      <c r="C7058" t="n">
        <v>1.5712</v>
      </c>
    </row>
    <row r="7059">
      <c r="A7059" t="n">
        <v>1.4466</v>
      </c>
      <c r="B7059" t="n">
        <v>1.7135</v>
      </c>
      <c r="C7059" t="n">
        <v>1.6436</v>
      </c>
    </row>
    <row r="7060">
      <c r="A7060" t="n">
        <v>1.4345</v>
      </c>
      <c r="B7060" t="n">
        <v>1.4875</v>
      </c>
      <c r="C7060" t="n">
        <v>1.4996</v>
      </c>
    </row>
    <row r="7061">
      <c r="A7061" t="n">
        <v>1.6305</v>
      </c>
      <c r="B7061" t="n">
        <v>1.4506</v>
      </c>
      <c r="C7061" t="n">
        <v>1.4371</v>
      </c>
    </row>
    <row r="7062">
      <c r="A7062" t="n">
        <v>1.7487</v>
      </c>
      <c r="B7062" t="n">
        <v>1.4615</v>
      </c>
      <c r="C7062" t="n">
        <v>1.61</v>
      </c>
    </row>
    <row r="7063">
      <c r="A7063" t="n">
        <v>1.4937</v>
      </c>
      <c r="B7063" t="n">
        <v>1.7034</v>
      </c>
      <c r="C7063" t="n">
        <v>1.5375</v>
      </c>
    </row>
    <row r="7064">
      <c r="A7064" t="n">
        <v>1.4359</v>
      </c>
      <c r="B7064" t="n">
        <v>1.7586</v>
      </c>
      <c r="C7064" t="n">
        <v>1.6846</v>
      </c>
    </row>
    <row r="7065">
      <c r="A7065" t="n">
        <v>1.4332</v>
      </c>
      <c r="B7065" t="n">
        <v>1.5074</v>
      </c>
      <c r="C7065" t="n">
        <v>1.4706</v>
      </c>
    </row>
    <row r="7066">
      <c r="A7066" t="n">
        <v>1.6098</v>
      </c>
      <c r="B7066" t="n">
        <v>1.4423</v>
      </c>
      <c r="C7066" t="n">
        <v>1.4508</v>
      </c>
    </row>
    <row r="7067">
      <c r="A7067" t="n">
        <v>1.5589</v>
      </c>
      <c r="B7067" t="n">
        <v>1.4522</v>
      </c>
      <c r="C7067" t="n">
        <v>1.408</v>
      </c>
    </row>
    <row r="7068">
      <c r="A7068" t="n">
        <v>1.6445</v>
      </c>
      <c r="B7068" t="n">
        <v>1.6383</v>
      </c>
      <c r="C7068" t="n">
        <v>1.4012</v>
      </c>
    </row>
    <row r="7069">
      <c r="A7069" t="n">
        <v>1.4979</v>
      </c>
      <c r="B7069" t="n">
        <v>1.6928</v>
      </c>
      <c r="C7069" t="n">
        <v>1.4367</v>
      </c>
    </row>
    <row r="7070">
      <c r="A7070" t="n">
        <v>1.4473</v>
      </c>
      <c r="B7070" t="n">
        <v>1.5336</v>
      </c>
      <c r="C7070" t="n">
        <v>1.8004</v>
      </c>
    </row>
    <row r="7071">
      <c r="A7071" t="n">
        <v>1.6464</v>
      </c>
      <c r="B7071" t="n">
        <v>1.459</v>
      </c>
      <c r="C7071" t="n">
        <v>1.6844</v>
      </c>
    </row>
    <row r="7072">
      <c r="A7072" t="n">
        <v>1.5757</v>
      </c>
      <c r="B7072" t="n">
        <v>1.4253</v>
      </c>
      <c r="C7072" t="n">
        <v>1.487</v>
      </c>
    </row>
    <row r="7073">
      <c r="A7073" t="n">
        <v>1.4084</v>
      </c>
      <c r="B7073" t="n">
        <v>1.6185</v>
      </c>
      <c r="C7073" t="n">
        <v>1.4316</v>
      </c>
    </row>
    <row r="7074">
      <c r="A7074" t="n">
        <v>1.7814</v>
      </c>
      <c r="B7074" t="n">
        <v>1.7583</v>
      </c>
      <c r="C7074" t="n">
        <v>1.9996</v>
      </c>
    </row>
    <row r="7075">
      <c r="A7075" t="n">
        <v>1.4274</v>
      </c>
      <c r="B7075" t="n">
        <v>1.4834</v>
      </c>
      <c r="C7075" t="n">
        <v>1.5183</v>
      </c>
    </row>
    <row r="7076">
      <c r="A7076" t="n">
        <v>1.4046</v>
      </c>
      <c r="B7076" t="n">
        <v>1.445</v>
      </c>
      <c r="C7076" t="n">
        <v>1.4852</v>
      </c>
    </row>
    <row r="7077">
      <c r="A7077" t="n">
        <v>1.4821</v>
      </c>
      <c r="B7077" t="n">
        <v>1.4545</v>
      </c>
      <c r="C7077" t="n">
        <v>1.4639</v>
      </c>
    </row>
    <row r="7078">
      <c r="A7078" t="n">
        <v>1.6363</v>
      </c>
      <c r="B7078" t="n">
        <v>1.6218</v>
      </c>
      <c r="C7078" t="n">
        <v>1.4526</v>
      </c>
    </row>
    <row r="7079">
      <c r="A7079" t="n">
        <v>1.4764</v>
      </c>
      <c r="B7079" t="n">
        <v>1.5394</v>
      </c>
      <c r="C7079" t="n">
        <v>1.4717</v>
      </c>
    </row>
    <row r="7080">
      <c r="A7080" t="n">
        <v>1.628</v>
      </c>
      <c r="B7080" t="n">
        <v>1.6668</v>
      </c>
      <c r="C7080" t="n">
        <v>1.3937</v>
      </c>
    </row>
    <row r="7081">
      <c r="A7081" t="n">
        <v>1.7644</v>
      </c>
      <c r="B7081" t="n">
        <v>1.4695</v>
      </c>
      <c r="C7081" t="n">
        <v>1.477</v>
      </c>
    </row>
    <row r="7082">
      <c r="A7082" t="n">
        <v>1.5287</v>
      </c>
      <c r="B7082" t="n">
        <v>1.4865</v>
      </c>
      <c r="C7082" t="n">
        <v>1.6421</v>
      </c>
    </row>
    <row r="7083">
      <c r="A7083" t="n">
        <v>1.6832</v>
      </c>
      <c r="B7083" t="n">
        <v>1.6475</v>
      </c>
      <c r="C7083" t="n">
        <v>1.4863</v>
      </c>
    </row>
    <row r="7084">
      <c r="A7084" t="n">
        <v>1.4831</v>
      </c>
      <c r="B7084" t="n">
        <v>1.5289</v>
      </c>
      <c r="C7084" t="n">
        <v>1.4626</v>
      </c>
    </row>
    <row r="7085">
      <c r="A7085" t="n">
        <v>1.4203</v>
      </c>
      <c r="B7085" t="n">
        <v>1.6776</v>
      </c>
      <c r="C7085" t="n">
        <v>1.4031</v>
      </c>
    </row>
    <row r="7086">
      <c r="A7086" t="n">
        <v>1.646</v>
      </c>
      <c r="B7086" t="n">
        <v>1.4878</v>
      </c>
      <c r="C7086" t="n">
        <v>1.4337</v>
      </c>
    </row>
    <row r="7087">
      <c r="A7087" t="n">
        <v>1.5545</v>
      </c>
      <c r="B7087" t="n">
        <v>1.4464</v>
      </c>
      <c r="C7087" t="n">
        <v>1.4651</v>
      </c>
    </row>
    <row r="7088">
      <c r="A7088" t="n">
        <v>1.7249</v>
      </c>
      <c r="B7088" t="n">
        <v>1.432</v>
      </c>
      <c r="C7088" t="n">
        <v>1.4089</v>
      </c>
    </row>
    <row r="7089">
      <c r="A7089" t="n">
        <v>1.4943</v>
      </c>
      <c r="B7089" t="n">
        <v>1.4338</v>
      </c>
      <c r="C7089" t="n">
        <v>1.4486</v>
      </c>
    </row>
    <row r="7090">
      <c r="A7090" t="n">
        <v>1.4736</v>
      </c>
      <c r="B7090" t="n">
        <v>1.9751</v>
      </c>
      <c r="C7090" t="n">
        <v>1.7187</v>
      </c>
    </row>
    <row r="7091">
      <c r="A7091" t="n">
        <v>1.4144</v>
      </c>
      <c r="B7091" t="n">
        <v>1.5143</v>
      </c>
      <c r="C7091" t="n">
        <v>1.4923</v>
      </c>
    </row>
    <row r="7092">
      <c r="A7092" t="n">
        <v>1.4514</v>
      </c>
      <c r="B7092" t="n">
        <v>1.455</v>
      </c>
      <c r="C7092" t="n">
        <v>1.453</v>
      </c>
    </row>
    <row r="7093">
      <c r="A7093" t="n">
        <v>1.77</v>
      </c>
      <c r="B7093" t="n">
        <v>1.4231</v>
      </c>
      <c r="C7093" t="n">
        <v>1.6798</v>
      </c>
    </row>
    <row r="7094">
      <c r="A7094" t="n">
        <v>1.4953</v>
      </c>
      <c r="B7094" t="n">
        <v>1.4291</v>
      </c>
      <c r="C7094" t="n">
        <v>1.7909</v>
      </c>
    </row>
    <row r="7095">
      <c r="A7095" t="n">
        <v>1.455</v>
      </c>
      <c r="B7095" t="n">
        <v>1.4632</v>
      </c>
      <c r="C7095" t="n">
        <v>1.4814</v>
      </c>
    </row>
    <row r="7096">
      <c r="A7096" t="n">
        <v>1.429</v>
      </c>
      <c r="B7096" t="n">
        <v>1.4137</v>
      </c>
      <c r="C7096" t="n">
        <v>1.4512</v>
      </c>
    </row>
    <row r="7097">
      <c r="A7097" t="n">
        <v>1.4098</v>
      </c>
      <c r="B7097" t="n">
        <v>1.44</v>
      </c>
      <c r="C7097" t="n">
        <v>1.4562</v>
      </c>
    </row>
    <row r="7098">
      <c r="A7098" t="n">
        <v>1.466</v>
      </c>
      <c r="B7098" t="n">
        <v>1.7012</v>
      </c>
      <c r="C7098" t="n">
        <v>1.625</v>
      </c>
    </row>
    <row r="7099">
      <c r="A7099" t="n">
        <v>1.6712</v>
      </c>
      <c r="B7099" t="n">
        <v>1.4918</v>
      </c>
      <c r="C7099" t="n">
        <v>1.626</v>
      </c>
    </row>
    <row r="7100">
      <c r="A7100" t="n">
        <v>1.7496</v>
      </c>
      <c r="B7100" t="n">
        <v>1.4755</v>
      </c>
      <c r="C7100" t="n">
        <v>1.4625</v>
      </c>
    </row>
    <row r="7101">
      <c r="A7101" t="n">
        <v>1.498</v>
      </c>
      <c r="B7101" t="n">
        <v>1.6368</v>
      </c>
      <c r="C7101" t="n">
        <v>1.44</v>
      </c>
    </row>
    <row r="7102">
      <c r="A7102" t="n">
        <v>1.4484</v>
      </c>
      <c r="B7102" t="n">
        <v>1.5387</v>
      </c>
      <c r="C7102" t="n">
        <v>1.4256</v>
      </c>
    </row>
    <row r="7103">
      <c r="A7103" t="n">
        <v>1.4095</v>
      </c>
      <c r="B7103" t="n">
        <v>1.7588</v>
      </c>
      <c r="C7103" t="n">
        <v>1.4234</v>
      </c>
    </row>
    <row r="7104">
      <c r="A7104" t="n">
        <v>1.6691</v>
      </c>
      <c r="B7104" t="n">
        <v>1.5125</v>
      </c>
      <c r="C7104" t="n">
        <v>1.4268</v>
      </c>
    </row>
    <row r="7105">
      <c r="A7105" t="n">
        <v>1.7958</v>
      </c>
      <c r="B7105" t="n">
        <v>1.4331</v>
      </c>
      <c r="C7105" t="n">
        <v>1.4715</v>
      </c>
    </row>
    <row r="7106">
      <c r="A7106" t="n">
        <v>2.0126</v>
      </c>
      <c r="B7106" t="n">
        <v>1.6328</v>
      </c>
      <c r="C7106" t="n">
        <v>2.013</v>
      </c>
    </row>
    <row r="7107">
      <c r="A7107" t="n">
        <v>1.5545</v>
      </c>
      <c r="B7107" t="n">
        <v>1.7791</v>
      </c>
      <c r="C7107" t="n">
        <v>1.7257</v>
      </c>
    </row>
    <row r="7108">
      <c r="A7108" t="n">
        <v>1.6564</v>
      </c>
      <c r="B7108" t="n">
        <v>1.4959</v>
      </c>
      <c r="C7108" t="n">
        <v>1.739</v>
      </c>
    </row>
    <row r="7109">
      <c r="A7109" t="n">
        <v>1.4862</v>
      </c>
      <c r="B7109" t="n">
        <v>1.4755</v>
      </c>
      <c r="C7109" t="n">
        <v>1.7302</v>
      </c>
    </row>
    <row r="7110">
      <c r="A7110" t="n">
        <v>1.4769</v>
      </c>
      <c r="B7110" t="n">
        <v>1.4633</v>
      </c>
      <c r="C7110" t="n">
        <v>1.4968</v>
      </c>
    </row>
    <row r="7111">
      <c r="A7111" t="n">
        <v>1.4237</v>
      </c>
      <c r="B7111" t="n">
        <v>1.6222</v>
      </c>
      <c r="C7111" t="n">
        <v>1.4699</v>
      </c>
    </row>
    <row r="7112">
      <c r="A7112" t="n">
        <v>1.445</v>
      </c>
      <c r="B7112" t="n">
        <v>1.7614</v>
      </c>
      <c r="C7112" t="n">
        <v>1.4665</v>
      </c>
    </row>
    <row r="7113">
      <c r="A7113" t="n">
        <v>1.4338</v>
      </c>
      <c r="B7113" t="n">
        <v>1.5349</v>
      </c>
      <c r="C7113" t="n">
        <v>1.6248</v>
      </c>
    </row>
    <row r="7114">
      <c r="A7114" t="n">
        <v>1.4226</v>
      </c>
      <c r="B7114" t="n">
        <v>1.4347</v>
      </c>
      <c r="C7114" t="n">
        <v>1.8324</v>
      </c>
    </row>
    <row r="7115">
      <c r="A7115" t="n">
        <v>1.4518</v>
      </c>
      <c r="B7115" t="n">
        <v>1.4548</v>
      </c>
      <c r="C7115" t="n">
        <v>1.5097</v>
      </c>
    </row>
    <row r="7116">
      <c r="A7116" t="n">
        <v>1.7266</v>
      </c>
      <c r="B7116" t="n">
        <v>1.6799</v>
      </c>
      <c r="C7116" t="n">
        <v>1.439</v>
      </c>
    </row>
    <row r="7117">
      <c r="A7117" t="n">
        <v>1.5105</v>
      </c>
      <c r="B7117" t="n">
        <v>1.7769</v>
      </c>
      <c r="C7117" t="n">
        <v>1.4943</v>
      </c>
    </row>
    <row r="7118">
      <c r="A7118" t="n">
        <v>1.4281</v>
      </c>
      <c r="B7118" t="n">
        <v>1.5404</v>
      </c>
      <c r="C7118" t="n">
        <v>1.6583</v>
      </c>
    </row>
    <row r="7119">
      <c r="A7119" t="n">
        <v>1.6244</v>
      </c>
      <c r="B7119" t="n">
        <v>1.4475</v>
      </c>
      <c r="C7119" t="n">
        <v>1.7413</v>
      </c>
    </row>
    <row r="7120">
      <c r="A7120" t="n">
        <v>1.5403</v>
      </c>
      <c r="B7120" t="n">
        <v>1.434</v>
      </c>
      <c r="C7120" t="n">
        <v>1.508</v>
      </c>
    </row>
    <row r="7121">
      <c r="A7121" t="n">
        <v>1.6458</v>
      </c>
      <c r="B7121" t="n">
        <v>1.7239</v>
      </c>
      <c r="C7121" t="n">
        <v>1.4484</v>
      </c>
    </row>
    <row r="7122">
      <c r="A7122" t="n">
        <v>1.4985</v>
      </c>
      <c r="B7122" t="n">
        <v>2.1181</v>
      </c>
      <c r="C7122" t="n">
        <v>1.437</v>
      </c>
    </row>
    <row r="7123">
      <c r="A7123" t="n">
        <v>1.4584</v>
      </c>
      <c r="B7123" t="n">
        <v>1.6924</v>
      </c>
      <c r="C7123" t="n">
        <v>1.6998</v>
      </c>
    </row>
    <row r="7124">
      <c r="A7124" t="n">
        <v>1.3835</v>
      </c>
      <c r="B7124" t="n">
        <v>1.7385</v>
      </c>
      <c r="C7124" t="n">
        <v>1.7456</v>
      </c>
    </row>
    <row r="7125">
      <c r="A7125" t="n">
        <v>1.4224</v>
      </c>
      <c r="B7125" t="n">
        <v>1.5026</v>
      </c>
      <c r="C7125" t="n">
        <v>1.4721</v>
      </c>
    </row>
    <row r="7126">
      <c r="A7126" t="n">
        <v>1.4547</v>
      </c>
      <c r="B7126" t="n">
        <v>1.4278</v>
      </c>
      <c r="C7126" t="n">
        <v>1.4386</v>
      </c>
    </row>
    <row r="7127">
      <c r="A7127" t="n">
        <v>1.4229</v>
      </c>
      <c r="B7127" t="n">
        <v>1.4585</v>
      </c>
      <c r="C7127" t="n">
        <v>1.4597</v>
      </c>
    </row>
    <row r="7128">
      <c r="A7128" t="n">
        <v>1.4754</v>
      </c>
      <c r="B7128" t="n">
        <v>1.647</v>
      </c>
      <c r="C7128" t="n">
        <v>1.6243</v>
      </c>
    </row>
    <row r="7129">
      <c r="A7129" t="n">
        <v>1.6546</v>
      </c>
      <c r="B7129" t="n">
        <v>1.5721</v>
      </c>
      <c r="C7129" t="n">
        <v>1.7667</v>
      </c>
    </row>
    <row r="7130">
      <c r="A7130" t="n">
        <v>1.4559</v>
      </c>
      <c r="B7130" t="n">
        <v>1.4647</v>
      </c>
      <c r="C7130" t="n">
        <v>1.5287</v>
      </c>
    </row>
    <row r="7131">
      <c r="A7131" t="n">
        <v>1.4401</v>
      </c>
      <c r="B7131" t="n">
        <v>1.4517</v>
      </c>
      <c r="C7131" t="n">
        <v>1.4353</v>
      </c>
    </row>
    <row r="7132">
      <c r="A7132" t="n">
        <v>1.4334</v>
      </c>
      <c r="B7132" t="n">
        <v>1.413</v>
      </c>
      <c r="C7132" t="n">
        <v>1.4659</v>
      </c>
    </row>
    <row r="7133">
      <c r="A7133" t="n">
        <v>1.4582</v>
      </c>
      <c r="B7133" t="n">
        <v>1.4802</v>
      </c>
      <c r="C7133" t="n">
        <v>1.7983</v>
      </c>
    </row>
    <row r="7134">
      <c r="A7134" t="n">
        <v>1.4938</v>
      </c>
      <c r="B7134" t="n">
        <v>1.4753</v>
      </c>
      <c r="C7134" t="n">
        <v>1.653</v>
      </c>
    </row>
    <row r="7135">
      <c r="A7135" t="n">
        <v>1.4797</v>
      </c>
      <c r="B7135" t="n">
        <v>1.5225</v>
      </c>
      <c r="C7135" t="n">
        <v>1.4981</v>
      </c>
    </row>
    <row r="7136">
      <c r="A7136" t="n">
        <v>1.8152</v>
      </c>
      <c r="B7136" t="n">
        <v>1.5075</v>
      </c>
      <c r="C7136" t="n">
        <v>1.4576</v>
      </c>
    </row>
    <row r="7137">
      <c r="A7137" t="n">
        <v>1.5835</v>
      </c>
      <c r="B7137" t="n">
        <v>1.6609</v>
      </c>
      <c r="C7137" t="n">
        <v>1.4389</v>
      </c>
    </row>
    <row r="7138">
      <c r="A7138" t="n">
        <v>1.8139</v>
      </c>
      <c r="B7138" t="n">
        <v>1.5068</v>
      </c>
      <c r="C7138" t="n">
        <v>1.9848</v>
      </c>
    </row>
    <row r="7139">
      <c r="A7139" t="n">
        <v>1.651</v>
      </c>
      <c r="B7139" t="n">
        <v>1.4758</v>
      </c>
      <c r="C7139" t="n">
        <v>1.7489</v>
      </c>
    </row>
    <row r="7140">
      <c r="A7140" t="n">
        <v>1.5006</v>
      </c>
      <c r="B7140" t="n">
        <v>1.4551</v>
      </c>
      <c r="C7140" t="n">
        <v>1.6982</v>
      </c>
    </row>
    <row r="7141">
      <c r="A7141" t="n">
        <v>1.4837</v>
      </c>
      <c r="B7141" t="n">
        <v>1.6524</v>
      </c>
      <c r="C7141" t="n">
        <v>1.5237</v>
      </c>
    </row>
    <row r="7142">
      <c r="A7142" t="n">
        <v>1.4053</v>
      </c>
      <c r="B7142" t="n">
        <v>1.765</v>
      </c>
      <c r="C7142" t="n">
        <v>1.6604</v>
      </c>
    </row>
    <row r="7143">
      <c r="A7143" t="n">
        <v>1.4448</v>
      </c>
      <c r="B7143" t="n">
        <v>1.5165</v>
      </c>
      <c r="C7143" t="n">
        <v>1.7236</v>
      </c>
    </row>
    <row r="7144">
      <c r="A7144" t="n">
        <v>1.4308</v>
      </c>
      <c r="B7144" t="n">
        <v>1.442</v>
      </c>
      <c r="C7144" t="n">
        <v>1.5215</v>
      </c>
    </row>
    <row r="7145">
      <c r="A7145" t="n">
        <v>1.3988</v>
      </c>
      <c r="B7145" t="n">
        <v>1.4418</v>
      </c>
      <c r="C7145" t="n">
        <v>1.7595</v>
      </c>
    </row>
    <row r="7146">
      <c r="A7146" t="n">
        <v>1.4816</v>
      </c>
      <c r="B7146" t="n">
        <v>1.6315</v>
      </c>
      <c r="C7146" t="n">
        <v>1.7177</v>
      </c>
    </row>
    <row r="7147">
      <c r="A7147" t="n">
        <v>1.6507</v>
      </c>
      <c r="B7147" t="n">
        <v>1.5501</v>
      </c>
      <c r="C7147" t="n">
        <v>1.6681</v>
      </c>
    </row>
    <row r="7148">
      <c r="A7148" t="n">
        <v>1.4665</v>
      </c>
      <c r="B7148" t="n">
        <v>1.444</v>
      </c>
      <c r="C7148" t="n">
        <v>1.5454</v>
      </c>
    </row>
    <row r="7149">
      <c r="A7149" t="n">
        <v>1.4735</v>
      </c>
      <c r="B7149" t="n">
        <v>1.4475</v>
      </c>
      <c r="C7149" t="n">
        <v>1.6364</v>
      </c>
    </row>
    <row r="7150">
      <c r="A7150" t="n">
        <v>1.6372</v>
      </c>
      <c r="B7150" t="n">
        <v>1.4117</v>
      </c>
      <c r="C7150" t="n">
        <v>1.4972</v>
      </c>
    </row>
    <row r="7151">
      <c r="A7151" t="n">
        <v>1.5412</v>
      </c>
      <c r="B7151" t="n">
        <v>1.4483</v>
      </c>
      <c r="C7151" t="n">
        <v>1.4711</v>
      </c>
    </row>
    <row r="7152">
      <c r="A7152" t="n">
        <v>1.7105</v>
      </c>
      <c r="B7152" t="n">
        <v>1.4479</v>
      </c>
      <c r="C7152" t="n">
        <v>1.3814</v>
      </c>
    </row>
    <row r="7153">
      <c r="A7153" t="n">
        <v>1.5058</v>
      </c>
      <c r="B7153" t="n">
        <v>1.4436</v>
      </c>
      <c r="C7153" t="n">
        <v>1.4281</v>
      </c>
    </row>
    <row r="7154">
      <c r="A7154" t="n">
        <v>1.4316</v>
      </c>
      <c r="B7154" t="n">
        <v>2.0288</v>
      </c>
      <c r="C7154" t="n">
        <v>1.5126</v>
      </c>
    </row>
    <row r="7155">
      <c r="A7155" t="n">
        <v>1.3847</v>
      </c>
      <c r="B7155" t="n">
        <v>1.725</v>
      </c>
      <c r="C7155" t="n">
        <v>1.4342</v>
      </c>
    </row>
    <row r="7156">
      <c r="A7156" t="n">
        <v>1.4434</v>
      </c>
      <c r="B7156" t="n">
        <v>1.6526</v>
      </c>
      <c r="C7156" t="n">
        <v>1.4754</v>
      </c>
    </row>
    <row r="7157">
      <c r="A7157" t="n">
        <v>1.4546</v>
      </c>
      <c r="B7157" t="n">
        <v>1.8912</v>
      </c>
      <c r="C7157" t="n">
        <v>1.6864</v>
      </c>
    </row>
    <row r="7158">
      <c r="A7158" t="n">
        <v>1.4061</v>
      </c>
      <c r="B7158" t="n">
        <v>1.5201</v>
      </c>
      <c r="C7158" t="n">
        <v>1.4852</v>
      </c>
    </row>
    <row r="7159">
      <c r="A7159" t="n">
        <v>1.4709</v>
      </c>
      <c r="B7159" t="n">
        <v>1.6633</v>
      </c>
      <c r="C7159" t="n">
        <v>1.4728</v>
      </c>
    </row>
    <row r="7160">
      <c r="A7160" t="n">
        <v>1.6727</v>
      </c>
      <c r="B7160" t="n">
        <v>1.6905</v>
      </c>
      <c r="C7160" t="n">
        <v>1.6241</v>
      </c>
    </row>
    <row r="7161">
      <c r="A7161" t="n">
        <v>1.4932</v>
      </c>
      <c r="B7161" t="n">
        <v>1.5137</v>
      </c>
      <c r="C7161" t="n">
        <v>1.5427</v>
      </c>
    </row>
    <row r="7162">
      <c r="A7162" t="n">
        <v>1.4712</v>
      </c>
      <c r="B7162" t="n">
        <v>1.7548</v>
      </c>
      <c r="C7162" t="n">
        <v>1.6728</v>
      </c>
    </row>
    <row r="7163">
      <c r="A7163" t="n">
        <v>1.3992</v>
      </c>
      <c r="B7163" t="n">
        <v>1.7002</v>
      </c>
      <c r="C7163" t="n">
        <v>1.5179</v>
      </c>
    </row>
    <row r="7164">
      <c r="A7164" t="n">
        <v>1.4582</v>
      </c>
      <c r="B7164" t="n">
        <v>1.5764</v>
      </c>
      <c r="C7164" t="n">
        <v>1.4732</v>
      </c>
    </row>
    <row r="7165">
      <c r="A7165" t="n">
        <v>1.4247</v>
      </c>
      <c r="B7165" t="n">
        <v>1.4589</v>
      </c>
      <c r="C7165" t="n">
        <v>1.4267</v>
      </c>
    </row>
    <row r="7166">
      <c r="A7166" t="n">
        <v>1.4137</v>
      </c>
      <c r="B7166" t="n">
        <v>1.4306</v>
      </c>
      <c r="C7166" t="n">
        <v>1.4805</v>
      </c>
    </row>
    <row r="7167">
      <c r="A7167" t="n">
        <v>1.4873</v>
      </c>
      <c r="B7167" t="n">
        <v>1.4101</v>
      </c>
      <c r="C7167" t="n">
        <v>1.6221</v>
      </c>
    </row>
    <row r="7168">
      <c r="A7168" t="n">
        <v>1.6983</v>
      </c>
      <c r="B7168" t="n">
        <v>1.4452</v>
      </c>
      <c r="C7168" t="n">
        <v>1.545</v>
      </c>
    </row>
    <row r="7169">
      <c r="A7169" t="n">
        <v>1.4644</v>
      </c>
      <c r="B7169" t="n">
        <v>1.445</v>
      </c>
      <c r="C7169" t="n">
        <v>1.7412</v>
      </c>
    </row>
    <row r="7170">
      <c r="A7170" t="n">
        <v>2.1221</v>
      </c>
      <c r="B7170" t="n">
        <v>1.4543</v>
      </c>
      <c r="C7170" t="n">
        <v>2.057</v>
      </c>
    </row>
    <row r="7171">
      <c r="A7171" t="n">
        <v>1.5017</v>
      </c>
      <c r="B7171" t="n">
        <v>1.6604</v>
      </c>
      <c r="C7171" t="n">
        <v>1.6965</v>
      </c>
    </row>
    <row r="7172">
      <c r="A7172" t="n">
        <v>1.4151</v>
      </c>
      <c r="B7172" t="n">
        <v>1.7533</v>
      </c>
      <c r="C7172" t="n">
        <v>1.7719</v>
      </c>
    </row>
    <row r="7173">
      <c r="A7173" t="n">
        <v>1.4446</v>
      </c>
      <c r="B7173" t="n">
        <v>1.5156</v>
      </c>
      <c r="C7173" t="n">
        <v>1.5055</v>
      </c>
    </row>
    <row r="7174">
      <c r="A7174" t="n">
        <v>1.4388</v>
      </c>
      <c r="B7174" t="n">
        <v>1.4484</v>
      </c>
      <c r="C7174" t="n">
        <v>1.7106</v>
      </c>
    </row>
    <row r="7175">
      <c r="A7175" t="n">
        <v>1.4343</v>
      </c>
      <c r="B7175" t="n">
        <v>1.4552</v>
      </c>
      <c r="C7175" t="n">
        <v>1.5069</v>
      </c>
    </row>
    <row r="7176">
      <c r="A7176" t="n">
        <v>1.6547</v>
      </c>
      <c r="B7176" t="n">
        <v>1.6733</v>
      </c>
      <c r="C7176" t="n">
        <v>1.4414</v>
      </c>
    </row>
    <row r="7177">
      <c r="A7177" t="n">
        <v>1.8638</v>
      </c>
      <c r="B7177" t="n">
        <v>1.6974</v>
      </c>
      <c r="C7177" t="n">
        <v>1.441</v>
      </c>
    </row>
    <row r="7178">
      <c r="A7178" t="n">
        <v>1.4681</v>
      </c>
      <c r="B7178" t="n">
        <v>1.5009</v>
      </c>
      <c r="C7178" t="n">
        <v>1.4395</v>
      </c>
    </row>
    <row r="7179">
      <c r="A7179" t="n">
        <v>1.4421</v>
      </c>
      <c r="B7179" t="n">
        <v>1.436</v>
      </c>
      <c r="C7179" t="n">
        <v>1.3853</v>
      </c>
    </row>
    <row r="7180">
      <c r="A7180" t="n">
        <v>1.4551</v>
      </c>
      <c r="B7180" t="n">
        <v>1.4419</v>
      </c>
      <c r="C7180" t="n">
        <v>1.4051</v>
      </c>
    </row>
    <row r="7181">
      <c r="A7181" t="n">
        <v>1.6019</v>
      </c>
      <c r="B7181" t="n">
        <v>1.6359</v>
      </c>
      <c r="C7181" t="n">
        <v>1.525</v>
      </c>
    </row>
    <row r="7182">
      <c r="A7182" t="n">
        <v>1.7961</v>
      </c>
      <c r="B7182" t="n">
        <v>1.8108</v>
      </c>
      <c r="C7182" t="n">
        <v>1.6391</v>
      </c>
    </row>
    <row r="7183">
      <c r="A7183" t="n">
        <v>1.483</v>
      </c>
      <c r="B7183" t="n">
        <v>1.4724</v>
      </c>
      <c r="C7183" t="n">
        <v>1.5099</v>
      </c>
    </row>
    <row r="7184">
      <c r="A7184" t="n">
        <v>1.4345</v>
      </c>
      <c r="B7184" t="n">
        <v>1.4482</v>
      </c>
      <c r="C7184" t="n">
        <v>1.4727</v>
      </c>
    </row>
    <row r="7185">
      <c r="A7185" t="n">
        <v>1.4634</v>
      </c>
      <c r="B7185" t="n">
        <v>1.4589</v>
      </c>
      <c r="C7185" t="n">
        <v>1.6046</v>
      </c>
    </row>
    <row r="7186">
      <c r="A7186" t="n">
        <v>1.405</v>
      </c>
      <c r="B7186" t="n">
        <v>1.9694</v>
      </c>
      <c r="C7186" t="n">
        <v>1.5337</v>
      </c>
    </row>
    <row r="7187">
      <c r="A7187" t="n">
        <v>1.4318</v>
      </c>
      <c r="B7187" t="n">
        <v>1.7767</v>
      </c>
      <c r="C7187" t="n">
        <v>1.6217</v>
      </c>
    </row>
    <row r="7188">
      <c r="A7188" t="n">
        <v>1.6689</v>
      </c>
      <c r="B7188" t="n">
        <v>1.6801</v>
      </c>
      <c r="C7188" t="n">
        <v>1.4932</v>
      </c>
    </row>
    <row r="7189">
      <c r="A7189" t="n">
        <v>1.5075</v>
      </c>
      <c r="B7189" t="n">
        <v>1.539</v>
      </c>
      <c r="C7189" t="n">
        <v>1.4382</v>
      </c>
    </row>
    <row r="7190">
      <c r="A7190" t="n">
        <v>1.6876</v>
      </c>
      <c r="B7190" t="n">
        <v>1.7401</v>
      </c>
      <c r="C7190" t="n">
        <v>1.4244</v>
      </c>
    </row>
    <row r="7191">
      <c r="A7191" t="n">
        <v>1.7382</v>
      </c>
      <c r="B7191" t="n">
        <v>1.5178</v>
      </c>
      <c r="C7191" t="n">
        <v>1.4514</v>
      </c>
    </row>
    <row r="7192">
      <c r="A7192" t="n">
        <v>1.5484</v>
      </c>
      <c r="B7192" t="n">
        <v>1.407</v>
      </c>
      <c r="C7192" t="n">
        <v>1.4897</v>
      </c>
    </row>
    <row r="7193">
      <c r="A7193" t="n">
        <v>1.7533</v>
      </c>
      <c r="B7193" t="n">
        <v>1.6556</v>
      </c>
      <c r="C7193" t="n">
        <v>1.4256</v>
      </c>
    </row>
    <row r="7194">
      <c r="A7194" t="n">
        <v>1.5195</v>
      </c>
      <c r="B7194" t="n">
        <v>1.5345</v>
      </c>
      <c r="C7194" t="n">
        <v>1.4569</v>
      </c>
    </row>
    <row r="7195">
      <c r="A7195" t="n">
        <v>1.5088</v>
      </c>
      <c r="B7195" t="n">
        <v>1.6428</v>
      </c>
      <c r="C7195" t="n">
        <v>1.7137</v>
      </c>
    </row>
    <row r="7196">
      <c r="A7196" t="n">
        <v>1.6245</v>
      </c>
      <c r="B7196" t="n">
        <v>1.4881</v>
      </c>
      <c r="C7196" t="n">
        <v>1.5102</v>
      </c>
    </row>
    <row r="7197">
      <c r="A7197" t="n">
        <v>1.7344</v>
      </c>
      <c r="B7197" t="n">
        <v>1.4502</v>
      </c>
      <c r="C7197" t="n">
        <v>1.4468</v>
      </c>
    </row>
    <row r="7198">
      <c r="A7198" t="n">
        <v>1.507</v>
      </c>
      <c r="B7198" t="n">
        <v>1.3915</v>
      </c>
      <c r="C7198" t="n">
        <v>1.6281</v>
      </c>
    </row>
    <row r="7199">
      <c r="A7199" t="n">
        <v>1.4098</v>
      </c>
      <c r="B7199" t="n">
        <v>1.4629</v>
      </c>
      <c r="C7199" t="n">
        <v>1.563</v>
      </c>
    </row>
    <row r="7200">
      <c r="A7200" t="n">
        <v>1.4138</v>
      </c>
      <c r="B7200" t="n">
        <v>1.4803</v>
      </c>
      <c r="C7200" t="n">
        <v>1.6577</v>
      </c>
    </row>
    <row r="7201">
      <c r="A7201" t="n">
        <v>1.6159</v>
      </c>
      <c r="B7201" t="n">
        <v>1.4509</v>
      </c>
      <c r="C7201" t="n">
        <v>1.4907</v>
      </c>
    </row>
    <row r="7202">
      <c r="A7202" t="n">
        <v>2.1036</v>
      </c>
      <c r="B7202" t="n">
        <v>1.7245</v>
      </c>
      <c r="C7202" t="n">
        <v>1.8299</v>
      </c>
    </row>
    <row r="7203">
      <c r="A7203" t="n">
        <v>1.7238</v>
      </c>
      <c r="B7203" t="n">
        <v>1.5491</v>
      </c>
      <c r="C7203" t="n">
        <v>1.4324</v>
      </c>
    </row>
    <row r="7204">
      <c r="A7204" t="n">
        <v>1.5508</v>
      </c>
      <c r="B7204" t="n">
        <v>1.4199</v>
      </c>
      <c r="C7204" t="n">
        <v>1.733</v>
      </c>
    </row>
    <row r="7205">
      <c r="A7205" t="n">
        <v>1.6596</v>
      </c>
      <c r="B7205" t="n">
        <v>1.4348</v>
      </c>
      <c r="C7205" t="n">
        <v>1.5009</v>
      </c>
    </row>
    <row r="7206">
      <c r="A7206" t="n">
        <v>1.5071</v>
      </c>
      <c r="B7206" t="n">
        <v>1.6653</v>
      </c>
      <c r="C7206" t="n">
        <v>1.4355</v>
      </c>
    </row>
    <row r="7207">
      <c r="A7207" t="n">
        <v>1.4483</v>
      </c>
      <c r="B7207" t="n">
        <v>1.7389</v>
      </c>
      <c r="C7207" t="n">
        <v>1.4542</v>
      </c>
    </row>
    <row r="7208">
      <c r="A7208" t="n">
        <v>1.3944</v>
      </c>
      <c r="B7208" t="n">
        <v>1.5027</v>
      </c>
      <c r="C7208" t="n">
        <v>1.6343</v>
      </c>
    </row>
    <row r="7209">
      <c r="A7209" t="n">
        <v>1.4361</v>
      </c>
      <c r="B7209" t="n">
        <v>1.4632</v>
      </c>
      <c r="C7209" t="n">
        <v>1.5333</v>
      </c>
    </row>
    <row r="7210">
      <c r="A7210" t="n">
        <v>1.4421</v>
      </c>
      <c r="B7210" t="n">
        <v>1.4274</v>
      </c>
      <c r="C7210" t="n">
        <v>1.6464</v>
      </c>
    </row>
    <row r="7211">
      <c r="A7211" t="n">
        <v>1.3861</v>
      </c>
      <c r="B7211" t="n">
        <v>1.6527</v>
      </c>
      <c r="C7211" t="n">
        <v>1.4967</v>
      </c>
    </row>
    <row r="7212">
      <c r="A7212" t="n">
        <v>1.516</v>
      </c>
      <c r="B7212" t="n">
        <v>1.8393</v>
      </c>
      <c r="C7212" t="n">
        <v>1.4311</v>
      </c>
    </row>
    <row r="7213">
      <c r="A7213" t="n">
        <v>1.6868</v>
      </c>
      <c r="B7213" t="n">
        <v>1.4973</v>
      </c>
      <c r="C7213" t="n">
        <v>1.6887</v>
      </c>
    </row>
    <row r="7214">
      <c r="A7214" t="n">
        <v>1.4855</v>
      </c>
      <c r="B7214" t="n">
        <v>1.4657</v>
      </c>
      <c r="C7214" t="n">
        <v>1.5758</v>
      </c>
    </row>
    <row r="7215">
      <c r="A7215" t="n">
        <v>1.4547</v>
      </c>
      <c r="B7215" t="n">
        <v>1.4615</v>
      </c>
      <c r="C7215" t="n">
        <v>1.6813</v>
      </c>
    </row>
    <row r="7216">
      <c r="A7216" t="n">
        <v>1.6877</v>
      </c>
      <c r="B7216" t="n">
        <v>1.6352</v>
      </c>
      <c r="C7216" t="n">
        <v>1.4947</v>
      </c>
    </row>
    <row r="7217">
      <c r="A7217" t="n">
        <v>1.5131</v>
      </c>
      <c r="B7217" t="n">
        <v>1.686</v>
      </c>
      <c r="C7217" t="n">
        <v>1.4641</v>
      </c>
    </row>
    <row r="7218">
      <c r="A7218" t="n">
        <v>1.6453</v>
      </c>
      <c r="B7218" t="n">
        <v>2.0583</v>
      </c>
      <c r="C7218" t="n">
        <v>1.6224</v>
      </c>
    </row>
    <row r="7219">
      <c r="A7219" t="n">
        <v>1.4909</v>
      </c>
      <c r="B7219" t="n">
        <v>1.5197</v>
      </c>
      <c r="C7219" t="n">
        <v>1.5413</v>
      </c>
    </row>
    <row r="7220">
      <c r="A7220" t="n">
        <v>1.4409</v>
      </c>
      <c r="B7220" t="n">
        <v>1.6787</v>
      </c>
      <c r="C7220" t="n">
        <v>1.6906</v>
      </c>
    </row>
    <row r="7221">
      <c r="A7221" t="n">
        <v>1.4203</v>
      </c>
      <c r="B7221" t="n">
        <v>1.5251</v>
      </c>
      <c r="C7221" t="n">
        <v>1.5039</v>
      </c>
    </row>
    <row r="7222">
      <c r="A7222" t="n">
        <v>1.4286</v>
      </c>
      <c r="B7222" t="n">
        <v>1.441</v>
      </c>
      <c r="C7222" t="n">
        <v>1.484</v>
      </c>
    </row>
    <row r="7223">
      <c r="A7223" t="n">
        <v>1.4249</v>
      </c>
      <c r="B7223" t="n">
        <v>1.6207</v>
      </c>
      <c r="C7223" t="n">
        <v>1.6913</v>
      </c>
    </row>
    <row r="7224">
      <c r="A7224" t="n">
        <v>1.6954</v>
      </c>
      <c r="B7224" t="n">
        <v>1.5446</v>
      </c>
      <c r="C7224" t="n">
        <v>1.828</v>
      </c>
    </row>
    <row r="7225">
      <c r="A7225" t="n">
        <v>1.709</v>
      </c>
      <c r="B7225" t="n">
        <v>1.6412</v>
      </c>
      <c r="C7225" t="n">
        <v>1.4932</v>
      </c>
    </row>
    <row r="7226">
      <c r="A7226" t="n">
        <v>1.5114</v>
      </c>
      <c r="B7226" t="n">
        <v>1.5101</v>
      </c>
      <c r="C7226" t="n">
        <v>1.4693</v>
      </c>
    </row>
    <row r="7227">
      <c r="A7227" t="n">
        <v>1.4624</v>
      </c>
      <c r="B7227" t="n">
        <v>1.449</v>
      </c>
      <c r="C7227" t="n">
        <v>1.4354</v>
      </c>
    </row>
    <row r="7228">
      <c r="A7228" t="n">
        <v>1.4645</v>
      </c>
      <c r="B7228" t="n">
        <v>1.4062</v>
      </c>
      <c r="C7228" t="n">
        <v>1.6516</v>
      </c>
    </row>
    <row r="7229">
      <c r="A7229" t="n">
        <v>1.6859</v>
      </c>
      <c r="B7229" t="n">
        <v>1.4309</v>
      </c>
      <c r="C7229" t="n">
        <v>1.7807</v>
      </c>
    </row>
    <row r="7230">
      <c r="A7230" t="n">
        <v>1.7152</v>
      </c>
      <c r="B7230" t="n">
        <v>1.4204</v>
      </c>
      <c r="C7230" t="n">
        <v>1.4708</v>
      </c>
    </row>
    <row r="7231">
      <c r="A7231" t="n">
        <v>1.7825</v>
      </c>
      <c r="B7231" t="n">
        <v>1.4102</v>
      </c>
      <c r="C7231" t="n">
        <v>1.4536</v>
      </c>
    </row>
    <row r="7232">
      <c r="A7232" t="n">
        <v>1.5202</v>
      </c>
      <c r="B7232" t="n">
        <v>1.4996</v>
      </c>
      <c r="C7232" t="n">
        <v>1.4667</v>
      </c>
    </row>
    <row r="7233">
      <c r="A7233" t="n">
        <v>1.6317</v>
      </c>
      <c r="B7233" t="n">
        <v>1.6568</v>
      </c>
      <c r="C7233" t="n">
        <v>1.6161</v>
      </c>
    </row>
    <row r="7234">
      <c r="A7234" t="n">
        <v>1.864</v>
      </c>
      <c r="B7234" t="n">
        <v>1.4782</v>
      </c>
      <c r="C7234" t="n">
        <v>2.1187</v>
      </c>
    </row>
    <row r="7235">
      <c r="A7235" t="n">
        <v>1.4545</v>
      </c>
      <c r="B7235" t="n">
        <v>1.4476</v>
      </c>
      <c r="C7235" t="n">
        <v>1.7071</v>
      </c>
    </row>
    <row r="7236">
      <c r="A7236" t="n">
        <v>1.6382</v>
      </c>
      <c r="B7236" t="n">
        <v>1.4328</v>
      </c>
      <c r="C7236" t="n">
        <v>1.5253</v>
      </c>
    </row>
    <row r="7237">
      <c r="A7237" t="n">
        <v>1.7373</v>
      </c>
      <c r="B7237" t="n">
        <v>1.4311</v>
      </c>
      <c r="C7237" t="n">
        <v>1.6681</v>
      </c>
    </row>
    <row r="7238">
      <c r="A7238" t="n">
        <v>1.4677</v>
      </c>
      <c r="B7238" t="n">
        <v>1.4521</v>
      </c>
      <c r="C7238" t="n">
        <v>1.5043</v>
      </c>
    </row>
    <row r="7239">
      <c r="A7239" t="n">
        <v>1.4483</v>
      </c>
      <c r="B7239" t="n">
        <v>1.4197</v>
      </c>
      <c r="C7239" t="n">
        <v>1.4459</v>
      </c>
    </row>
    <row r="7240">
      <c r="A7240" t="n">
        <v>1.4309</v>
      </c>
      <c r="B7240" t="n">
        <v>1.475</v>
      </c>
      <c r="C7240" t="n">
        <v>1.6405</v>
      </c>
    </row>
    <row r="7241">
      <c r="A7241" t="n">
        <v>1.6084</v>
      </c>
      <c r="B7241" t="n">
        <v>1.6888</v>
      </c>
      <c r="C7241" t="n">
        <v>1.5547</v>
      </c>
    </row>
    <row r="7242">
      <c r="A7242" t="n">
        <v>1.8039</v>
      </c>
      <c r="B7242" t="n">
        <v>1.4962</v>
      </c>
      <c r="C7242" t="n">
        <v>1.6408</v>
      </c>
    </row>
    <row r="7243">
      <c r="A7243" t="n">
        <v>1.5169</v>
      </c>
      <c r="B7243" t="n">
        <v>1.4692</v>
      </c>
      <c r="C7243" t="n">
        <v>1.514</v>
      </c>
    </row>
    <row r="7244">
      <c r="A7244" t="n">
        <v>1.4191</v>
      </c>
      <c r="B7244" t="n">
        <v>1.654</v>
      </c>
      <c r="C7244" t="n">
        <v>1.4601</v>
      </c>
    </row>
    <row r="7245">
      <c r="A7245" t="n">
        <v>1.43</v>
      </c>
      <c r="B7245" t="n">
        <v>1.5529</v>
      </c>
      <c r="C7245" t="n">
        <v>1.3858</v>
      </c>
    </row>
    <row r="7246">
      <c r="A7246" t="n">
        <v>1.6107</v>
      </c>
      <c r="B7246" t="n">
        <v>1.6351</v>
      </c>
      <c r="C7246" t="n">
        <v>1.4492</v>
      </c>
    </row>
    <row r="7247">
      <c r="A7247" t="n">
        <v>1.5354</v>
      </c>
      <c r="B7247" t="n">
        <v>1.5041</v>
      </c>
      <c r="C7247" t="n">
        <v>1.4391</v>
      </c>
    </row>
    <row r="7248">
      <c r="A7248" t="n">
        <v>1.6838</v>
      </c>
      <c r="B7248" t="n">
        <v>1.479</v>
      </c>
      <c r="C7248" t="n">
        <v>1.4093</v>
      </c>
    </row>
    <row r="7249">
      <c r="A7249" t="n">
        <v>1.5146</v>
      </c>
      <c r="B7249" t="n">
        <v>1.6304</v>
      </c>
      <c r="C7249" t="n">
        <v>1.4719</v>
      </c>
    </row>
    <row r="7250">
      <c r="A7250" t="n">
        <v>1.4466</v>
      </c>
      <c r="B7250" t="n">
        <v>2.0824</v>
      </c>
      <c r="C7250" t="n">
        <v>1.6628</v>
      </c>
    </row>
    <row r="7251">
      <c r="A7251" t="n">
        <v>1.6294</v>
      </c>
      <c r="B7251" t="n">
        <v>1.7325</v>
      </c>
      <c r="C7251" t="n">
        <v>1.4655</v>
      </c>
    </row>
    <row r="7252">
      <c r="A7252" t="n">
        <v>1.5597</v>
      </c>
      <c r="B7252" t="n">
        <v>1.5208</v>
      </c>
      <c r="C7252" t="n">
        <v>1.4736</v>
      </c>
    </row>
    <row r="7253">
      <c r="A7253" t="n">
        <v>1.6247</v>
      </c>
      <c r="B7253" t="n">
        <v>1.6358</v>
      </c>
      <c r="C7253" t="n">
        <v>1.6336</v>
      </c>
    </row>
    <row r="7254">
      <c r="A7254" t="n">
        <v>1.4877</v>
      </c>
      <c r="B7254" t="n">
        <v>1.5465</v>
      </c>
      <c r="C7254" t="n">
        <v>1.5294</v>
      </c>
    </row>
    <row r="7255">
      <c r="A7255" t="n">
        <v>1.4512</v>
      </c>
      <c r="B7255" t="n">
        <v>1.44</v>
      </c>
      <c r="C7255" t="n">
        <v>1.6865</v>
      </c>
    </row>
    <row r="7256">
      <c r="A7256" t="n">
        <v>1.6401</v>
      </c>
      <c r="B7256" t="n">
        <v>1.4218</v>
      </c>
      <c r="C7256" t="n">
        <v>1.4969</v>
      </c>
    </row>
    <row r="7257">
      <c r="A7257" t="n">
        <v>1.5543</v>
      </c>
      <c r="B7257" t="n">
        <v>1.4285</v>
      </c>
      <c r="C7257" t="n">
        <v>1.44</v>
      </c>
    </row>
    <row r="7258">
      <c r="A7258" t="n">
        <v>1.7175</v>
      </c>
      <c r="B7258" t="n">
        <v>1.4461</v>
      </c>
      <c r="C7258" t="n">
        <v>1.4333</v>
      </c>
    </row>
    <row r="7259">
      <c r="A7259" t="n">
        <v>1.4637</v>
      </c>
      <c r="B7259" t="n">
        <v>1.6856</v>
      </c>
      <c r="C7259" t="n">
        <v>1.4387</v>
      </c>
    </row>
    <row r="7260">
      <c r="A7260" t="n">
        <v>1.4731</v>
      </c>
      <c r="B7260" t="n">
        <v>1.6929</v>
      </c>
      <c r="C7260" t="n">
        <v>1.4284</v>
      </c>
    </row>
    <row r="7261">
      <c r="A7261" t="n">
        <v>1.4206</v>
      </c>
      <c r="B7261" t="n">
        <v>1.496</v>
      </c>
      <c r="C7261" t="n">
        <v>2.0398</v>
      </c>
    </row>
    <row r="7262">
      <c r="A7262" t="n">
        <v>1.4413</v>
      </c>
      <c r="B7262" t="n">
        <v>1.4463</v>
      </c>
      <c r="C7262" t="n">
        <v>2.08</v>
      </c>
    </row>
    <row r="7263">
      <c r="A7263" t="n">
        <v>1.4175</v>
      </c>
      <c r="B7263" t="n">
        <v>1.4511</v>
      </c>
      <c r="C7263" t="n">
        <v>2.0867</v>
      </c>
    </row>
    <row r="7264">
      <c r="A7264" t="n">
        <v>1.4436</v>
      </c>
      <c r="B7264" t="n">
        <v>1.6307</v>
      </c>
      <c r="C7264" t="n">
        <v>2.0491</v>
      </c>
    </row>
    <row r="7265">
      <c r="A7265" t="n">
        <v>1.7898</v>
      </c>
      <c r="B7265" t="n">
        <v>1.8475</v>
      </c>
      <c r="C7265" t="n">
        <v>1.994</v>
      </c>
    </row>
    <row r="7266">
      <c r="A7266" t="n">
        <v>2.0457</v>
      </c>
      <c r="B7266" t="n">
        <v>1.8017</v>
      </c>
      <c r="C7266" t="n">
        <v>1.942</v>
      </c>
    </row>
    <row r="7267">
      <c r="A7267" t="n">
        <v>1.8359</v>
      </c>
      <c r="B7267" t="n">
        <v>1.5056</v>
      </c>
      <c r="C7267" t="n">
        <v>1.521</v>
      </c>
    </row>
    <row r="7268">
      <c r="A7268" t="n">
        <v>1.4729</v>
      </c>
      <c r="B7268" t="n">
        <v>1.6338</v>
      </c>
      <c r="C7268" t="n">
        <v>1.434</v>
      </c>
    </row>
    <row r="7269">
      <c r="A7269" t="n">
        <v>1.4568</v>
      </c>
      <c r="B7269" t="n">
        <v>1.5028</v>
      </c>
      <c r="C7269" t="n">
        <v>1.4856</v>
      </c>
    </row>
    <row r="7270">
      <c r="A7270" t="n">
        <v>1.476</v>
      </c>
      <c r="B7270" t="n">
        <v>1.4214</v>
      </c>
      <c r="C7270" t="n">
        <v>1.4542</v>
      </c>
    </row>
    <row r="7271">
      <c r="A7271" t="n">
        <v>1.6188</v>
      </c>
      <c r="B7271" t="n">
        <v>1.4375</v>
      </c>
      <c r="C7271" t="n">
        <v>1.426</v>
      </c>
    </row>
    <row r="7272">
      <c r="A7272" t="n">
        <v>1.6129</v>
      </c>
      <c r="B7272" t="n">
        <v>1.4529</v>
      </c>
      <c r="C7272" t="n">
        <v>1.4657</v>
      </c>
    </row>
    <row r="7273">
      <c r="A7273" t="n">
        <v>1.4275</v>
      </c>
      <c r="B7273" t="n">
        <v>1.4122</v>
      </c>
      <c r="C7273" t="n">
        <v>1.5069</v>
      </c>
    </row>
    <row r="7274">
      <c r="A7274" t="n">
        <v>1.4088</v>
      </c>
      <c r="B7274" t="n">
        <v>1.6675</v>
      </c>
      <c r="C7274" t="n">
        <v>1.679</v>
      </c>
    </row>
    <row r="7275">
      <c r="A7275" t="n">
        <v>1.3961</v>
      </c>
      <c r="B7275" t="n">
        <v>1.7017</v>
      </c>
      <c r="C7275" t="n">
        <v>1.5208</v>
      </c>
    </row>
    <row r="7276">
      <c r="A7276" t="n">
        <v>1.4307</v>
      </c>
      <c r="B7276" t="n">
        <v>1.4724</v>
      </c>
      <c r="C7276" t="n">
        <v>1.5008</v>
      </c>
    </row>
    <row r="7277">
      <c r="A7277" t="n">
        <v>1.4253</v>
      </c>
      <c r="B7277" t="n">
        <v>1.4279</v>
      </c>
      <c r="C7277" t="n">
        <v>1.6259</v>
      </c>
    </row>
    <row r="7278">
      <c r="A7278" t="n">
        <v>1.4558</v>
      </c>
      <c r="B7278" t="n">
        <v>1.4587</v>
      </c>
      <c r="C7278" t="n">
        <v>1.5612</v>
      </c>
    </row>
    <row r="7279">
      <c r="A7279" t="n">
        <v>1.4114</v>
      </c>
      <c r="B7279" t="n">
        <v>1.6532</v>
      </c>
      <c r="C7279" t="n">
        <v>1.6917</v>
      </c>
    </row>
    <row r="7280">
      <c r="A7280" t="n">
        <v>1.4486</v>
      </c>
      <c r="B7280" t="n">
        <v>1.713</v>
      </c>
      <c r="C7280" t="n">
        <v>1.4802</v>
      </c>
    </row>
    <row r="7281">
      <c r="A7281" t="n">
        <v>1.6768</v>
      </c>
      <c r="B7281" t="n">
        <v>1.5049</v>
      </c>
      <c r="C7281" t="n">
        <v>1.4792</v>
      </c>
    </row>
    <row r="7282">
      <c r="A7282" t="n">
        <v>1.5117</v>
      </c>
      <c r="B7282" t="n">
        <v>1.7668</v>
      </c>
      <c r="C7282" t="n">
        <v>1.6414</v>
      </c>
    </row>
    <row r="7283">
      <c r="A7283" t="n">
        <v>1.4178</v>
      </c>
      <c r="B7283" t="n">
        <v>1.7019</v>
      </c>
      <c r="C7283" t="n">
        <v>1.6126</v>
      </c>
    </row>
    <row r="7284">
      <c r="A7284" t="n">
        <v>1.4369</v>
      </c>
      <c r="B7284" t="n">
        <v>1.5411</v>
      </c>
      <c r="C7284" t="n">
        <v>1.4803</v>
      </c>
    </row>
    <row r="7285">
      <c r="A7285" t="n">
        <v>1.4907</v>
      </c>
      <c r="B7285" t="n">
        <v>1.6692</v>
      </c>
      <c r="C7285" t="n">
        <v>1.4664</v>
      </c>
    </row>
    <row r="7286">
      <c r="A7286" t="n">
        <v>1.4668</v>
      </c>
      <c r="B7286" t="n">
        <v>1.6978</v>
      </c>
      <c r="C7286" t="n">
        <v>1.4107</v>
      </c>
    </row>
    <row r="7287">
      <c r="A7287" t="n">
        <v>1.6993</v>
      </c>
      <c r="B7287" t="n">
        <v>1.53</v>
      </c>
      <c r="C7287" t="n">
        <v>1.423</v>
      </c>
    </row>
    <row r="7288">
      <c r="A7288" t="n">
        <v>1.7217</v>
      </c>
      <c r="B7288" t="n">
        <v>1.6764</v>
      </c>
      <c r="C7288" t="n">
        <v>1.4454</v>
      </c>
    </row>
    <row r="7289">
      <c r="A7289" t="n">
        <v>1.4993</v>
      </c>
      <c r="B7289" t="n">
        <v>1.5085</v>
      </c>
      <c r="C7289" t="n">
        <v>1.4483</v>
      </c>
    </row>
    <row r="7290">
      <c r="A7290" t="n">
        <v>1.4517</v>
      </c>
      <c r="B7290" t="n">
        <v>1.4478</v>
      </c>
      <c r="C7290" t="n">
        <v>1.6623</v>
      </c>
    </row>
    <row r="7291">
      <c r="A7291" t="n">
        <v>1.4354</v>
      </c>
      <c r="B7291" t="n">
        <v>1.5868</v>
      </c>
      <c r="C7291" t="n">
        <v>1.7442</v>
      </c>
    </row>
    <row r="7292">
      <c r="A7292" t="n">
        <v>1.652</v>
      </c>
      <c r="B7292" t="n">
        <v>1.5134</v>
      </c>
      <c r="C7292" t="n">
        <v>1.4936</v>
      </c>
    </row>
    <row r="7293">
      <c r="A7293" t="n">
        <v>1.6993</v>
      </c>
      <c r="B7293" t="n">
        <v>1.6368</v>
      </c>
      <c r="C7293" t="n">
        <v>1.4562</v>
      </c>
    </row>
    <row r="7294">
      <c r="A7294" t="n">
        <v>1.491</v>
      </c>
      <c r="B7294" t="n">
        <v>1.5082</v>
      </c>
      <c r="C7294" t="n">
        <v>1.4516</v>
      </c>
    </row>
    <row r="7295">
      <c r="A7295" t="n">
        <v>1.428</v>
      </c>
      <c r="B7295" t="n">
        <v>1.4548</v>
      </c>
      <c r="C7295" t="n">
        <v>1.685</v>
      </c>
    </row>
    <row r="7296">
      <c r="A7296" t="n">
        <v>1.4735</v>
      </c>
      <c r="B7296" t="n">
        <v>1.4524</v>
      </c>
      <c r="C7296" t="n">
        <v>1.7126</v>
      </c>
    </row>
    <row r="7297">
      <c r="A7297" t="n">
        <v>1.633</v>
      </c>
      <c r="B7297" t="n">
        <v>1.4316</v>
      </c>
      <c r="C7297" t="n">
        <v>1.4974</v>
      </c>
    </row>
    <row r="7298">
      <c r="A7298" t="n">
        <v>2.0827</v>
      </c>
      <c r="B7298" t="n">
        <v>1.4444</v>
      </c>
      <c r="C7298" t="n">
        <v>1.7653</v>
      </c>
    </row>
    <row r="7299">
      <c r="A7299" t="n">
        <v>1.6944</v>
      </c>
      <c r="B7299" t="n">
        <v>1.6951</v>
      </c>
      <c r="C7299" t="n">
        <v>1.6639</v>
      </c>
    </row>
    <row r="7300">
      <c r="A7300" t="n">
        <v>1.5587</v>
      </c>
      <c r="B7300" t="n">
        <v>1.6842</v>
      </c>
      <c r="C7300" t="n">
        <v>1.5307</v>
      </c>
    </row>
    <row r="7301">
      <c r="A7301" t="n">
        <v>1.6656</v>
      </c>
      <c r="B7301" t="n">
        <v>1.5128</v>
      </c>
      <c r="C7301" t="n">
        <v>1.4425</v>
      </c>
    </row>
    <row r="7302">
      <c r="A7302" t="n">
        <v>1.4947</v>
      </c>
      <c r="B7302" t="n">
        <v>1.434</v>
      </c>
      <c r="C7302" t="n">
        <v>1.4353</v>
      </c>
    </row>
    <row r="7303">
      <c r="A7303" t="n">
        <v>1.5025</v>
      </c>
      <c r="B7303" t="n">
        <v>1.4365</v>
      </c>
      <c r="C7303" t="n">
        <v>1.4333</v>
      </c>
    </row>
    <row r="7304">
      <c r="A7304" t="n">
        <v>1.4056</v>
      </c>
      <c r="B7304" t="n">
        <v>1.6408</v>
      </c>
      <c r="C7304" t="n">
        <v>1.4214</v>
      </c>
    </row>
    <row r="7305">
      <c r="A7305" t="n">
        <v>1.4544</v>
      </c>
      <c r="B7305" t="n">
        <v>1.7655</v>
      </c>
      <c r="C7305" t="n">
        <v>1.6306</v>
      </c>
    </row>
    <row r="7306">
      <c r="A7306" t="n">
        <v>1.4549</v>
      </c>
      <c r="B7306" t="n">
        <v>1.4704</v>
      </c>
      <c r="C7306" t="n">
        <v>1.8679</v>
      </c>
    </row>
    <row r="7307">
      <c r="A7307" t="n">
        <v>1.4508</v>
      </c>
      <c r="B7307" t="n">
        <v>1.4683</v>
      </c>
      <c r="C7307" t="n">
        <v>1.4966</v>
      </c>
    </row>
    <row r="7308">
      <c r="A7308" t="n">
        <v>1.7239</v>
      </c>
      <c r="B7308" t="n">
        <v>1.4498</v>
      </c>
      <c r="C7308" t="n">
        <v>1.4598</v>
      </c>
    </row>
    <row r="7309">
      <c r="A7309" t="n">
        <v>1.4877</v>
      </c>
      <c r="B7309" t="n">
        <v>1.611</v>
      </c>
      <c r="C7309" t="n">
        <v>1.4436</v>
      </c>
    </row>
    <row r="7310">
      <c r="A7310" t="n">
        <v>1.4379</v>
      </c>
      <c r="B7310" t="n">
        <v>1.5693</v>
      </c>
      <c r="C7310" t="n">
        <v>1.7197</v>
      </c>
    </row>
    <row r="7311">
      <c r="A7311" t="n">
        <v>1.4504</v>
      </c>
      <c r="B7311" t="n">
        <v>1.4517</v>
      </c>
      <c r="C7311" t="n">
        <v>1.7224</v>
      </c>
    </row>
    <row r="7312">
      <c r="A7312" t="n">
        <v>1.6575</v>
      </c>
      <c r="B7312" t="n">
        <v>1.4127</v>
      </c>
      <c r="C7312" t="n">
        <v>1.5001</v>
      </c>
    </row>
    <row r="7313">
      <c r="A7313" t="n">
        <v>1.8565</v>
      </c>
      <c r="B7313" t="n">
        <v>1.4146</v>
      </c>
      <c r="C7313" t="n">
        <v>1.4515</v>
      </c>
    </row>
    <row r="7314">
      <c r="A7314" t="n">
        <v>1.4823</v>
      </c>
      <c r="B7314" t="n">
        <v>1.7603</v>
      </c>
      <c r="C7314" t="n">
        <v>1.4631</v>
      </c>
    </row>
    <row r="7315">
      <c r="A7315" t="n">
        <v>1.451</v>
      </c>
      <c r="B7315" t="n">
        <v>1.504</v>
      </c>
      <c r="C7315" t="n">
        <v>1.6316</v>
      </c>
    </row>
    <row r="7316">
      <c r="A7316" t="n">
        <v>1.4218</v>
      </c>
      <c r="B7316" t="n">
        <v>1.6671</v>
      </c>
      <c r="C7316" t="n">
        <v>1.6462</v>
      </c>
    </row>
    <row r="7317">
      <c r="A7317" t="n">
        <v>1.7335</v>
      </c>
      <c r="B7317" t="n">
        <v>1.5284</v>
      </c>
      <c r="C7317" t="n">
        <v>1.491</v>
      </c>
    </row>
    <row r="7318">
      <c r="A7318" t="n">
        <v>1.7901</v>
      </c>
      <c r="B7318" t="n">
        <v>1.4265</v>
      </c>
      <c r="C7318" t="n">
        <v>1.4574</v>
      </c>
    </row>
    <row r="7319">
      <c r="A7319" t="n">
        <v>1.4558</v>
      </c>
      <c r="B7319" t="n">
        <v>1.4748</v>
      </c>
      <c r="C7319" t="n">
        <v>1.4375</v>
      </c>
    </row>
    <row r="7320">
      <c r="A7320" t="n">
        <v>1.4559</v>
      </c>
      <c r="B7320" t="n">
        <v>1.4667</v>
      </c>
      <c r="C7320" t="n">
        <v>1.6466</v>
      </c>
    </row>
    <row r="7321">
      <c r="A7321" t="n">
        <v>1.485</v>
      </c>
      <c r="B7321" t="n">
        <v>1.4472</v>
      </c>
      <c r="C7321" t="n">
        <v>1.8969</v>
      </c>
    </row>
    <row r="7322">
      <c r="A7322" t="n">
        <v>1.6616</v>
      </c>
      <c r="B7322" t="n">
        <v>1.716</v>
      </c>
      <c r="C7322" t="n">
        <v>1.5481</v>
      </c>
    </row>
    <row r="7323">
      <c r="A7323" t="n">
        <v>1.7182</v>
      </c>
      <c r="B7323" t="n">
        <v>1.7544</v>
      </c>
      <c r="C7323" t="n">
        <v>1.4838</v>
      </c>
    </row>
    <row r="7324">
      <c r="A7324" t="n">
        <v>1.4976</v>
      </c>
      <c r="B7324" t="n">
        <v>1.7693</v>
      </c>
      <c r="C7324" t="n">
        <v>1.459</v>
      </c>
    </row>
    <row r="7325">
      <c r="A7325" t="n">
        <v>1.4327</v>
      </c>
      <c r="B7325" t="n">
        <v>1.5261</v>
      </c>
      <c r="C7325" t="n">
        <v>1.6327</v>
      </c>
    </row>
    <row r="7326">
      <c r="A7326" t="n">
        <v>1.4475</v>
      </c>
      <c r="B7326" t="n">
        <v>1.6293</v>
      </c>
      <c r="C7326" t="n">
        <v>1.7493</v>
      </c>
    </row>
    <row r="7327">
      <c r="A7327" t="n">
        <v>1.6294</v>
      </c>
      <c r="B7327" t="n">
        <v>1.4867</v>
      </c>
      <c r="C7327" t="n">
        <v>1.5228</v>
      </c>
    </row>
    <row r="7328">
      <c r="A7328" t="n">
        <v>1.7498</v>
      </c>
      <c r="B7328" t="n">
        <v>1.4359</v>
      </c>
      <c r="C7328" t="n">
        <v>1.4452</v>
      </c>
    </row>
    <row r="7329">
      <c r="A7329" t="n">
        <v>1.5231</v>
      </c>
      <c r="B7329" t="n">
        <v>1.4317</v>
      </c>
      <c r="C7329" t="n">
        <v>1.4377</v>
      </c>
    </row>
    <row r="7330">
      <c r="A7330" t="n">
        <v>1.8115</v>
      </c>
      <c r="B7330" t="n">
        <v>1.4352</v>
      </c>
      <c r="C7330" t="n">
        <v>1.9969</v>
      </c>
    </row>
    <row r="7331">
      <c r="A7331" t="n">
        <v>1.7121</v>
      </c>
      <c r="B7331" t="n">
        <v>1.4504</v>
      </c>
      <c r="C7331" t="n">
        <v>1.7197</v>
      </c>
    </row>
    <row r="7332">
      <c r="A7332" t="n">
        <v>1.5356</v>
      </c>
      <c r="B7332" t="n">
        <v>1.6679</v>
      </c>
      <c r="C7332" t="n">
        <v>1.7023</v>
      </c>
    </row>
    <row r="7333">
      <c r="A7333" t="n">
        <v>1.4133</v>
      </c>
      <c r="B7333" t="n">
        <v>1.6933</v>
      </c>
      <c r="C7333" t="n">
        <v>1.6087</v>
      </c>
    </row>
    <row r="7334">
      <c r="A7334" t="n">
        <v>1.4199</v>
      </c>
      <c r="B7334" t="n">
        <v>1.5011</v>
      </c>
      <c r="C7334" t="n">
        <v>1.4225</v>
      </c>
    </row>
    <row r="7335">
      <c r="A7335" t="n">
        <v>1.4381</v>
      </c>
      <c r="B7335" t="n">
        <v>1.4534</v>
      </c>
      <c r="C7335" t="n">
        <v>1.4544</v>
      </c>
    </row>
    <row r="7336">
      <c r="A7336" t="n">
        <v>1.4475</v>
      </c>
      <c r="B7336" t="n">
        <v>1.405</v>
      </c>
      <c r="C7336" t="n">
        <v>1.4543</v>
      </c>
    </row>
    <row r="7337">
      <c r="A7337" t="n">
        <v>1.6294</v>
      </c>
      <c r="B7337" t="n">
        <v>1.6987</v>
      </c>
      <c r="C7337" t="n">
        <v>1.5113</v>
      </c>
    </row>
    <row r="7338">
      <c r="A7338" t="n">
        <v>1.7667</v>
      </c>
      <c r="B7338" t="n">
        <v>1.7066</v>
      </c>
      <c r="C7338" t="n">
        <v>1.511</v>
      </c>
    </row>
    <row r="7339">
      <c r="A7339" t="n">
        <v>1.5214</v>
      </c>
      <c r="B7339" t="n">
        <v>1.484</v>
      </c>
      <c r="C7339" t="n">
        <v>1.4332</v>
      </c>
    </row>
    <row r="7340">
      <c r="A7340" t="n">
        <v>1.4362</v>
      </c>
      <c r="B7340" t="n">
        <v>1.4604</v>
      </c>
      <c r="C7340" t="n">
        <v>1.3929</v>
      </c>
    </row>
    <row r="7341">
      <c r="A7341" t="n">
        <v>1.4461</v>
      </c>
      <c r="B7341" t="n">
        <v>1.4504</v>
      </c>
      <c r="C7341" t="n">
        <v>1.5734</v>
      </c>
    </row>
    <row r="7342">
      <c r="A7342" t="n">
        <v>1.6914</v>
      </c>
      <c r="B7342" t="n">
        <v>1.6459</v>
      </c>
      <c r="C7342" t="n">
        <v>1.5576</v>
      </c>
    </row>
    <row r="7343">
      <c r="A7343" t="n">
        <v>1.694</v>
      </c>
      <c r="B7343" t="n">
        <v>1.7459</v>
      </c>
      <c r="C7343" t="n">
        <v>1.4393</v>
      </c>
    </row>
    <row r="7344">
      <c r="A7344" t="n">
        <v>1.4834</v>
      </c>
      <c r="B7344" t="n">
        <v>1.512</v>
      </c>
      <c r="C7344" t="n">
        <v>1.447</v>
      </c>
    </row>
    <row r="7345">
      <c r="A7345" t="n">
        <v>1.4384</v>
      </c>
      <c r="B7345" t="n">
        <v>1.4319</v>
      </c>
      <c r="C7345" t="n">
        <v>1.4417</v>
      </c>
    </row>
    <row r="7346">
      <c r="A7346" t="n">
        <v>1.4429</v>
      </c>
      <c r="B7346" t="n">
        <v>1.7889</v>
      </c>
      <c r="C7346" t="n">
        <v>1.5567</v>
      </c>
    </row>
    <row r="7347">
      <c r="A7347" t="n">
        <v>1.6132</v>
      </c>
      <c r="B7347" t="n">
        <v>1.4883</v>
      </c>
      <c r="C7347" t="n">
        <v>1.4809</v>
      </c>
    </row>
    <row r="7348">
      <c r="A7348" t="n">
        <v>1.5244</v>
      </c>
      <c r="B7348" t="n">
        <v>1.428</v>
      </c>
      <c r="C7348" t="n">
        <v>1.5066</v>
      </c>
    </row>
    <row r="7349">
      <c r="A7349" t="n">
        <v>1.6731</v>
      </c>
      <c r="B7349" t="n">
        <v>1.4416</v>
      </c>
      <c r="C7349" t="n">
        <v>1.4521</v>
      </c>
    </row>
    <row r="7350">
      <c r="A7350" t="n">
        <v>1.4933</v>
      </c>
      <c r="B7350" t="n">
        <v>1.4547</v>
      </c>
      <c r="C7350" t="n">
        <v>1.4593</v>
      </c>
    </row>
    <row r="7351">
      <c r="A7351" t="n">
        <v>1.4804</v>
      </c>
      <c r="B7351" t="n">
        <v>1.4994</v>
      </c>
      <c r="C7351" t="n">
        <v>1.4747</v>
      </c>
    </row>
    <row r="7352">
      <c r="A7352" t="n">
        <v>1.6868</v>
      </c>
      <c r="B7352" t="n">
        <v>1.7999</v>
      </c>
      <c r="C7352" t="n">
        <v>1.5044</v>
      </c>
    </row>
    <row r="7353">
      <c r="A7353" t="n">
        <v>1.6175</v>
      </c>
      <c r="B7353" t="n">
        <v>1.5403</v>
      </c>
      <c r="C7353" t="n">
        <v>1.4578</v>
      </c>
    </row>
    <row r="7354">
      <c r="A7354" t="n">
        <v>1.478</v>
      </c>
      <c r="B7354" t="n">
        <v>1.6864</v>
      </c>
      <c r="C7354" t="n">
        <v>1.4685</v>
      </c>
    </row>
    <row r="7355">
      <c r="A7355" t="n">
        <v>1.4263</v>
      </c>
      <c r="B7355" t="n">
        <v>1.507</v>
      </c>
      <c r="C7355" t="n">
        <v>1.4236</v>
      </c>
    </row>
    <row r="7356">
      <c r="A7356" t="n">
        <v>1.4073</v>
      </c>
      <c r="B7356" t="n">
        <v>1.4576</v>
      </c>
      <c r="C7356" t="n">
        <v>1.499</v>
      </c>
    </row>
    <row r="7357">
      <c r="A7357" t="n">
        <v>1.4366</v>
      </c>
      <c r="B7357" t="n">
        <v>1.6293</v>
      </c>
      <c r="C7357" t="n">
        <v>1.7268</v>
      </c>
    </row>
    <row r="7358">
      <c r="A7358" t="n">
        <v>1.4341</v>
      </c>
      <c r="B7358" t="n">
        <v>1.8804</v>
      </c>
      <c r="C7358" t="n">
        <v>1.5011</v>
      </c>
    </row>
    <row r="7359">
      <c r="A7359" t="n">
        <v>1.4656</v>
      </c>
      <c r="B7359" t="n">
        <v>1.523</v>
      </c>
      <c r="C7359" t="n">
        <v>1.4723</v>
      </c>
    </row>
    <row r="7360">
      <c r="A7360" t="n">
        <v>1.6822</v>
      </c>
      <c r="B7360" t="n">
        <v>1.4316</v>
      </c>
      <c r="C7360" t="n">
        <v>1.4718</v>
      </c>
    </row>
    <row r="7361">
      <c r="A7361" t="n">
        <v>1.747</v>
      </c>
      <c r="B7361" t="n">
        <v>1.4496</v>
      </c>
      <c r="C7361" t="n">
        <v>1.6655</v>
      </c>
    </row>
    <row r="7362">
      <c r="A7362" t="n">
        <v>2.0136</v>
      </c>
      <c r="B7362" t="n">
        <v>1.642</v>
      </c>
      <c r="C7362" t="n">
        <v>2.0567</v>
      </c>
    </row>
    <row r="7363">
      <c r="A7363" t="n">
        <v>1.8228</v>
      </c>
      <c r="B7363" t="n">
        <v>1.7356</v>
      </c>
      <c r="C7363" t="n">
        <v>1.8304</v>
      </c>
    </row>
    <row r="7364">
      <c r="A7364" t="n">
        <v>1.4687</v>
      </c>
      <c r="B7364" t="n">
        <v>1.5003</v>
      </c>
      <c r="C7364" t="n">
        <v>1.7465</v>
      </c>
    </row>
    <row r="7365">
      <c r="A7365" t="n">
        <v>1.4503</v>
      </c>
      <c r="B7365" t="n">
        <v>1.4392</v>
      </c>
      <c r="C7365" t="n">
        <v>1.5097</v>
      </c>
    </row>
    <row r="7366">
      <c r="A7366" t="n">
        <v>1.4396</v>
      </c>
      <c r="B7366" t="n">
        <v>1.4321</v>
      </c>
      <c r="C7366" t="n">
        <v>1.7677</v>
      </c>
    </row>
    <row r="7367">
      <c r="A7367" t="n">
        <v>1.5812</v>
      </c>
      <c r="B7367" t="n">
        <v>1.4451</v>
      </c>
      <c r="C7367" t="n">
        <v>1.6694</v>
      </c>
    </row>
    <row r="7368">
      <c r="A7368" t="n">
        <v>1.5319</v>
      </c>
      <c r="B7368" t="n">
        <v>1.4569</v>
      </c>
      <c r="C7368" t="n">
        <v>1.5201</v>
      </c>
    </row>
    <row r="7369">
      <c r="A7369" t="n">
        <v>1.6496</v>
      </c>
      <c r="B7369" t="n">
        <v>1.6338</v>
      </c>
      <c r="C7369" t="n">
        <v>1.4998</v>
      </c>
    </row>
    <row r="7370">
      <c r="A7370" t="n">
        <v>1.486</v>
      </c>
      <c r="B7370" t="n">
        <v>1.5411</v>
      </c>
      <c r="C7370" t="n">
        <v>1.8289</v>
      </c>
    </row>
    <row r="7371">
      <c r="A7371" t="n">
        <v>1.4574</v>
      </c>
      <c r="B7371" t="n">
        <v>1.4582</v>
      </c>
      <c r="C7371" t="n">
        <v>1.5486</v>
      </c>
    </row>
    <row r="7372">
      <c r="A7372" t="n">
        <v>1.4365</v>
      </c>
      <c r="B7372" t="n">
        <v>1.4176</v>
      </c>
      <c r="C7372" t="n">
        <v>1.4204</v>
      </c>
    </row>
    <row r="7373">
      <c r="A7373" t="n">
        <v>1.4481</v>
      </c>
      <c r="B7373" t="n">
        <v>1.4321</v>
      </c>
      <c r="C7373" t="n">
        <v>1.4198</v>
      </c>
    </row>
    <row r="7374">
      <c r="A7374" t="n">
        <v>1.7204</v>
      </c>
      <c r="B7374" t="n">
        <v>1.4441</v>
      </c>
      <c r="C7374" t="n">
        <v>1.7753</v>
      </c>
    </row>
    <row r="7375">
      <c r="A7375" t="n">
        <v>1.5464</v>
      </c>
      <c r="B7375" t="n">
        <v>1.6578</v>
      </c>
      <c r="C7375" t="n">
        <v>1.769</v>
      </c>
    </row>
    <row r="7376">
      <c r="A7376" t="n">
        <v>1.4448</v>
      </c>
      <c r="B7376" t="n">
        <v>1.8497</v>
      </c>
      <c r="C7376" t="n">
        <v>1.8632</v>
      </c>
    </row>
    <row r="7377">
      <c r="A7377" t="n">
        <v>1.4173</v>
      </c>
      <c r="B7377" t="n">
        <v>1.4933</v>
      </c>
      <c r="C7377" t="n">
        <v>1.8484</v>
      </c>
    </row>
    <row r="7378">
      <c r="A7378" t="n">
        <v>1.4133</v>
      </c>
      <c r="B7378" t="n">
        <v>1.7712</v>
      </c>
      <c r="C7378" t="n">
        <v>1.5984</v>
      </c>
    </row>
    <row r="7379">
      <c r="A7379" t="n">
        <v>1.4189</v>
      </c>
      <c r="B7379" t="n">
        <v>1.665</v>
      </c>
      <c r="C7379" t="n">
        <v>1.6774</v>
      </c>
    </row>
    <row r="7380">
      <c r="A7380" t="n">
        <v>1.6422</v>
      </c>
      <c r="B7380" t="n">
        <v>1.5313</v>
      </c>
      <c r="C7380" t="n">
        <v>1.5557</v>
      </c>
    </row>
    <row r="7381">
      <c r="A7381" t="n">
        <v>1.5384</v>
      </c>
      <c r="B7381" t="n">
        <v>1.6498</v>
      </c>
      <c r="C7381" t="n">
        <v>1.4803</v>
      </c>
    </row>
    <row r="7382">
      <c r="A7382" t="n">
        <v>1.6682</v>
      </c>
      <c r="B7382" t="n">
        <v>1.7058</v>
      </c>
      <c r="C7382" t="n">
        <v>1.7484</v>
      </c>
    </row>
    <row r="7383">
      <c r="A7383" t="n">
        <v>1.4907</v>
      </c>
      <c r="B7383" t="n">
        <v>1.5494</v>
      </c>
      <c r="C7383" t="n">
        <v>1.7943</v>
      </c>
    </row>
    <row r="7384">
      <c r="A7384" t="n">
        <v>1.4385</v>
      </c>
      <c r="B7384" t="n">
        <v>1.4033</v>
      </c>
      <c r="C7384" t="n">
        <v>1.9237</v>
      </c>
    </row>
    <row r="7385">
      <c r="A7385" t="n">
        <v>1.3703</v>
      </c>
      <c r="B7385" t="n">
        <v>1.4558</v>
      </c>
      <c r="C7385" t="n">
        <v>1.5818</v>
      </c>
    </row>
    <row r="7386">
      <c r="A7386" t="n">
        <v>1.447</v>
      </c>
      <c r="B7386" t="n">
        <v>1.4751</v>
      </c>
      <c r="C7386" t="n">
        <v>1.6946</v>
      </c>
    </row>
    <row r="7387">
      <c r="A7387" t="n">
        <v>1.4514</v>
      </c>
      <c r="B7387" t="n">
        <v>1.4677</v>
      </c>
      <c r="C7387" t="n">
        <v>1.5001</v>
      </c>
    </row>
    <row r="7388">
      <c r="A7388" t="n">
        <v>1.4026</v>
      </c>
      <c r="B7388" t="n">
        <v>1.4619</v>
      </c>
      <c r="C7388" t="n">
        <v>1.5033</v>
      </c>
    </row>
    <row r="7389">
      <c r="A7389" t="n">
        <v>1.4749</v>
      </c>
      <c r="B7389" t="n">
        <v>1.4353</v>
      </c>
      <c r="C7389" t="n">
        <v>1.771</v>
      </c>
    </row>
    <row r="7390">
      <c r="A7390" t="n">
        <v>1.6493</v>
      </c>
      <c r="B7390" t="n">
        <v>1.6289</v>
      </c>
      <c r="C7390" t="n">
        <v>1.7186</v>
      </c>
    </row>
    <row r="7391">
      <c r="A7391" t="n">
        <v>1.4638</v>
      </c>
      <c r="B7391" t="n">
        <v>1.7167</v>
      </c>
      <c r="C7391" t="n">
        <v>1.4813</v>
      </c>
    </row>
    <row r="7392">
      <c r="A7392" t="n">
        <v>1.4578</v>
      </c>
      <c r="B7392" t="n">
        <v>1.5023</v>
      </c>
      <c r="C7392" t="n">
        <v>1.446</v>
      </c>
    </row>
    <row r="7393">
      <c r="A7393" t="n">
        <v>1.4456</v>
      </c>
      <c r="B7393" t="n">
        <v>1.4237</v>
      </c>
      <c r="C7393" t="n">
        <v>1.4692</v>
      </c>
    </row>
    <row r="7394">
      <c r="A7394" t="n">
        <v>1.7525</v>
      </c>
      <c r="B7394" t="n">
        <v>1.4544</v>
      </c>
      <c r="C7394" t="n">
        <v>1.9898</v>
      </c>
    </row>
    <row r="7395">
      <c r="A7395" t="n">
        <v>1.7229</v>
      </c>
      <c r="B7395" t="n">
        <v>1.6331</v>
      </c>
      <c r="C7395" t="n">
        <v>1.7019</v>
      </c>
    </row>
    <row r="7396">
      <c r="A7396" t="n">
        <v>1.498</v>
      </c>
      <c r="B7396" t="n">
        <v>1.4987</v>
      </c>
      <c r="C7396" t="n">
        <v>1.7959</v>
      </c>
    </row>
    <row r="7397">
      <c r="A7397" t="n">
        <v>1.4206</v>
      </c>
      <c r="B7397" t="n">
        <v>1.6615</v>
      </c>
      <c r="C7397" t="n">
        <v>1.8537</v>
      </c>
    </row>
    <row r="7398">
      <c r="A7398" t="n">
        <v>1.4003</v>
      </c>
      <c r="B7398" t="n">
        <v>1.5032</v>
      </c>
      <c r="C7398" t="n">
        <v>1.5154</v>
      </c>
    </row>
    <row r="7399">
      <c r="A7399" t="n">
        <v>1.4521</v>
      </c>
      <c r="B7399" t="n">
        <v>1.4606</v>
      </c>
      <c r="C7399" t="n">
        <v>1.4695</v>
      </c>
    </row>
    <row r="7400">
      <c r="A7400" t="n">
        <v>1.4372</v>
      </c>
      <c r="B7400" t="n">
        <v>1.6335</v>
      </c>
      <c r="C7400" t="n">
        <v>1.4672</v>
      </c>
    </row>
    <row r="7401">
      <c r="A7401" t="n">
        <v>1.6576</v>
      </c>
      <c r="B7401" t="n">
        <v>1.5253</v>
      </c>
      <c r="C7401" t="n">
        <v>1.6787</v>
      </c>
    </row>
    <row r="7402">
      <c r="A7402" t="n">
        <v>1.6793</v>
      </c>
      <c r="B7402" t="n">
        <v>1.6528</v>
      </c>
      <c r="C7402" t="n">
        <v>1.7079</v>
      </c>
    </row>
    <row r="7403">
      <c r="A7403" t="n">
        <v>1.4718</v>
      </c>
      <c r="B7403" t="n">
        <v>1.5051</v>
      </c>
      <c r="C7403" t="n">
        <v>1.5037</v>
      </c>
    </row>
    <row r="7404">
      <c r="A7404" t="n">
        <v>1.4524</v>
      </c>
      <c r="B7404" t="n">
        <v>1.4552</v>
      </c>
      <c r="C7404" t="n">
        <v>1.4484</v>
      </c>
    </row>
    <row r="7405">
      <c r="A7405" t="n">
        <v>1.468</v>
      </c>
      <c r="B7405" t="n">
        <v>1.4288</v>
      </c>
      <c r="C7405" t="n">
        <v>1.4477</v>
      </c>
    </row>
    <row r="7406">
      <c r="A7406" t="n">
        <v>1.6315</v>
      </c>
      <c r="B7406" t="n">
        <v>1.4893</v>
      </c>
      <c r="C7406" t="n">
        <v>1.6312</v>
      </c>
    </row>
    <row r="7407">
      <c r="A7407" t="n">
        <v>1.702</v>
      </c>
      <c r="B7407" t="n">
        <v>1.433</v>
      </c>
      <c r="C7407" t="n">
        <v>1.756</v>
      </c>
    </row>
    <row r="7408">
      <c r="A7408" t="n">
        <v>1.4948</v>
      </c>
      <c r="B7408" t="n">
        <v>1.4344</v>
      </c>
      <c r="C7408" t="n">
        <v>1.5655</v>
      </c>
    </row>
    <row r="7409">
      <c r="A7409" t="n">
        <v>1.4272</v>
      </c>
      <c r="B7409" t="n">
        <v>1.8523</v>
      </c>
      <c r="C7409" t="n">
        <v>1.4775</v>
      </c>
    </row>
    <row r="7410">
      <c r="A7410" t="n">
        <v>1.4387</v>
      </c>
      <c r="B7410" t="n">
        <v>2.0911</v>
      </c>
      <c r="C7410" t="n">
        <v>1.8312</v>
      </c>
    </row>
    <row r="7411">
      <c r="A7411" t="n">
        <v>1.644</v>
      </c>
      <c r="B7411" t="n">
        <v>1.7712</v>
      </c>
      <c r="C7411" t="n">
        <v>1.6154</v>
      </c>
    </row>
    <row r="7412">
      <c r="A7412" t="n">
        <v>1.5351</v>
      </c>
      <c r="B7412" t="n">
        <v>1.5033</v>
      </c>
      <c r="C7412" t="n">
        <v>1.4894</v>
      </c>
    </row>
    <row r="7413">
      <c r="A7413" t="n">
        <v>1.7018</v>
      </c>
      <c r="B7413" t="n">
        <v>1.4506</v>
      </c>
      <c r="C7413" t="n">
        <v>1.4315</v>
      </c>
    </row>
    <row r="7414">
      <c r="A7414" t="n">
        <v>1.4848</v>
      </c>
      <c r="B7414" t="n">
        <v>1.4316</v>
      </c>
      <c r="C7414" t="n">
        <v>1.4485</v>
      </c>
    </row>
    <row r="7415">
      <c r="A7415" t="n">
        <v>1.4491</v>
      </c>
      <c r="B7415" t="n">
        <v>1.69</v>
      </c>
      <c r="C7415" t="n">
        <v>1.4436</v>
      </c>
    </row>
    <row r="7416">
      <c r="A7416" t="n">
        <v>1.6218</v>
      </c>
      <c r="B7416" t="n">
        <v>1.7415</v>
      </c>
      <c r="C7416" t="n">
        <v>1.7025</v>
      </c>
    </row>
    <row r="7417">
      <c r="A7417" t="n">
        <v>1.5484</v>
      </c>
      <c r="B7417" t="n">
        <v>1.4863</v>
      </c>
      <c r="C7417" t="n">
        <v>1.8236</v>
      </c>
    </row>
    <row r="7418">
      <c r="A7418" t="n">
        <v>1.6378</v>
      </c>
      <c r="B7418" t="n">
        <v>1.4621</v>
      </c>
      <c r="C7418" t="n">
        <v>1.8668</v>
      </c>
    </row>
    <row r="7419">
      <c r="A7419" t="n">
        <v>1.4747</v>
      </c>
      <c r="B7419" t="n">
        <v>1.4365</v>
      </c>
      <c r="C7419" t="n">
        <v>1.6063</v>
      </c>
    </row>
    <row r="7420">
      <c r="A7420" t="n">
        <v>1.4303</v>
      </c>
      <c r="B7420" t="n">
        <v>1.6077</v>
      </c>
      <c r="C7420" t="n">
        <v>1.4534</v>
      </c>
    </row>
    <row r="7421">
      <c r="A7421" t="n">
        <v>1.6351</v>
      </c>
      <c r="B7421" t="n">
        <v>1.786</v>
      </c>
      <c r="C7421" t="n">
        <v>1.4328</v>
      </c>
    </row>
    <row r="7422">
      <c r="A7422" t="n">
        <v>1.5533</v>
      </c>
      <c r="B7422" t="n">
        <v>1.523</v>
      </c>
      <c r="C7422" t="n">
        <v>1.4275</v>
      </c>
    </row>
    <row r="7423">
      <c r="A7423" t="n">
        <v>1.6387</v>
      </c>
      <c r="B7423" t="n">
        <v>1.4384</v>
      </c>
      <c r="C7423" t="n">
        <v>1.4328</v>
      </c>
    </row>
    <row r="7424">
      <c r="A7424" t="n">
        <v>1.4804</v>
      </c>
      <c r="B7424" t="n">
        <v>1.4311</v>
      </c>
      <c r="C7424" t="n">
        <v>1.4591</v>
      </c>
    </row>
    <row r="7425">
      <c r="A7425" t="n">
        <v>1.4655</v>
      </c>
      <c r="B7425" t="n">
        <v>1.7031</v>
      </c>
      <c r="C7425" t="n">
        <v>1.4881</v>
      </c>
    </row>
    <row r="7426">
      <c r="A7426" t="n">
        <v>1.7362</v>
      </c>
      <c r="B7426" t="n">
        <v>1.7224</v>
      </c>
      <c r="C7426" t="n">
        <v>2.0319</v>
      </c>
    </row>
    <row r="7427">
      <c r="A7427" t="n">
        <v>1.4675</v>
      </c>
      <c r="B7427" t="n">
        <v>1.5052</v>
      </c>
      <c r="C7427" t="n">
        <v>1.7027</v>
      </c>
    </row>
    <row r="7428">
      <c r="A7428" t="n">
        <v>1.6862</v>
      </c>
      <c r="B7428" t="n">
        <v>1.4621</v>
      </c>
      <c r="C7428" t="n">
        <v>1.7202</v>
      </c>
    </row>
    <row r="7429">
      <c r="A7429" t="n">
        <v>1.5035</v>
      </c>
      <c r="B7429" t="n">
        <v>1.4459</v>
      </c>
      <c r="C7429" t="n">
        <v>1.7537</v>
      </c>
    </row>
    <row r="7430">
      <c r="A7430" t="n">
        <v>1.4072</v>
      </c>
      <c r="B7430" t="n">
        <v>1.6502</v>
      </c>
      <c r="C7430" t="n">
        <v>1.4793</v>
      </c>
    </row>
    <row r="7431">
      <c r="A7431" t="n">
        <v>1.4122</v>
      </c>
      <c r="B7431" t="n">
        <v>1.6756</v>
      </c>
      <c r="C7431" t="n">
        <v>1.45</v>
      </c>
    </row>
    <row r="7432">
      <c r="A7432" t="n">
        <v>1.4314</v>
      </c>
      <c r="B7432" t="n">
        <v>1.4631</v>
      </c>
      <c r="C7432" t="n">
        <v>1.4566</v>
      </c>
    </row>
    <row r="7433">
      <c r="A7433" t="n">
        <v>1.4188</v>
      </c>
      <c r="B7433" t="n">
        <v>1.4463</v>
      </c>
      <c r="C7433" t="n">
        <v>1.6186</v>
      </c>
    </row>
    <row r="7434">
      <c r="A7434" t="n">
        <v>1.4271</v>
      </c>
      <c r="B7434" t="n">
        <v>1.4535</v>
      </c>
      <c r="C7434" t="n">
        <v>1.6144</v>
      </c>
    </row>
    <row r="7435">
      <c r="A7435" t="n">
        <v>1.4908</v>
      </c>
      <c r="B7435" t="n">
        <v>1.6201</v>
      </c>
      <c r="C7435" t="n">
        <v>1.4323</v>
      </c>
    </row>
    <row r="7436">
      <c r="A7436" t="n">
        <v>1.6226</v>
      </c>
      <c r="B7436" t="n">
        <v>1.5427</v>
      </c>
      <c r="C7436" t="n">
        <v>1.441</v>
      </c>
    </row>
    <row r="7437">
      <c r="A7437" t="n">
        <v>1.5029</v>
      </c>
      <c r="B7437" t="n">
        <v>1.6559</v>
      </c>
      <c r="C7437" t="n">
        <v>1.422</v>
      </c>
    </row>
    <row r="7438">
      <c r="A7438" t="n">
        <v>1.4597</v>
      </c>
      <c r="B7438" t="n">
        <v>1.4829</v>
      </c>
      <c r="C7438" t="n">
        <v>1.4247</v>
      </c>
    </row>
    <row r="7439">
      <c r="A7439" t="n">
        <v>1.4468</v>
      </c>
      <c r="B7439" t="n">
        <v>1.4598</v>
      </c>
      <c r="C7439" t="n">
        <v>1.4377</v>
      </c>
    </row>
    <row r="7440">
      <c r="A7440" t="n">
        <v>1.4577</v>
      </c>
      <c r="B7440" t="n">
        <v>1.4116</v>
      </c>
      <c r="C7440" t="n">
        <v>1.4699</v>
      </c>
    </row>
    <row r="7441">
      <c r="A7441" t="n">
        <v>1.4102</v>
      </c>
      <c r="B7441" t="n">
        <v>1.4865</v>
      </c>
      <c r="C7441" t="n">
        <v>1.6986</v>
      </c>
    </row>
    <row r="7442">
      <c r="A7442" t="n">
        <v>1.3837</v>
      </c>
      <c r="B7442" t="n">
        <v>1.766</v>
      </c>
      <c r="C7442" t="n">
        <v>1.6699</v>
      </c>
    </row>
    <row r="7443">
      <c r="A7443" t="n">
        <v>1.4807</v>
      </c>
      <c r="B7443" t="n">
        <v>1.4603</v>
      </c>
      <c r="C7443" t="n">
        <v>1.5121</v>
      </c>
    </row>
    <row r="7444">
      <c r="A7444" t="n">
        <v>1.6566</v>
      </c>
      <c r="B7444" t="n">
        <v>1.6335</v>
      </c>
      <c r="C7444" t="n">
        <v>1.4675</v>
      </c>
    </row>
    <row r="7445">
      <c r="A7445" t="n">
        <v>1.498</v>
      </c>
      <c r="B7445" t="n">
        <v>1.7077</v>
      </c>
      <c r="C7445" t="n">
        <v>1.4123</v>
      </c>
    </row>
    <row r="7446">
      <c r="A7446" t="n">
        <v>1.4434</v>
      </c>
      <c r="B7446" t="n">
        <v>1.5518</v>
      </c>
      <c r="C7446" t="n">
        <v>1.6134</v>
      </c>
    </row>
    <row r="7447">
      <c r="A7447" t="n">
        <v>1.4107</v>
      </c>
      <c r="B7447" t="n">
        <v>1.6237</v>
      </c>
      <c r="C7447" t="n">
        <v>1.7835</v>
      </c>
    </row>
    <row r="7448">
      <c r="A7448" t="n">
        <v>1.4317</v>
      </c>
      <c r="B7448" t="n">
        <v>1.5514</v>
      </c>
      <c r="C7448" t="n">
        <v>1.4783</v>
      </c>
    </row>
    <row r="7449">
      <c r="A7449" t="n">
        <v>1.4311</v>
      </c>
      <c r="B7449" t="n">
        <v>1.4481</v>
      </c>
      <c r="C7449" t="n">
        <v>1.4412</v>
      </c>
    </row>
    <row r="7450">
      <c r="A7450" t="n">
        <v>1.686</v>
      </c>
      <c r="B7450" t="n">
        <v>1.389</v>
      </c>
      <c r="C7450" t="n">
        <v>1.4586</v>
      </c>
    </row>
    <row r="7451">
      <c r="A7451" t="n">
        <v>1.6892</v>
      </c>
      <c r="B7451" t="n">
        <v>1.446</v>
      </c>
      <c r="C7451" t="n">
        <v>1.6368</v>
      </c>
    </row>
    <row r="7452">
      <c r="A7452" t="n">
        <v>1.4756</v>
      </c>
      <c r="B7452" t="n">
        <v>1.4367</v>
      </c>
      <c r="C7452" t="n">
        <v>1.6178</v>
      </c>
    </row>
    <row r="7453">
      <c r="A7453" t="n">
        <v>1.432</v>
      </c>
      <c r="B7453" t="n">
        <v>1.4001</v>
      </c>
      <c r="C7453" t="n">
        <v>1.424</v>
      </c>
    </row>
    <row r="7454">
      <c r="A7454" t="n">
        <v>1.4188</v>
      </c>
      <c r="B7454" t="n">
        <v>1.4858</v>
      </c>
      <c r="C7454" t="n">
        <v>1.4336</v>
      </c>
    </row>
    <row r="7455">
      <c r="A7455" t="n">
        <v>1.6923</v>
      </c>
      <c r="B7455" t="n">
        <v>1.6736</v>
      </c>
      <c r="C7455" t="n">
        <v>1.4148</v>
      </c>
    </row>
    <row r="7456">
      <c r="A7456" t="n">
        <v>1.7214</v>
      </c>
      <c r="B7456" t="n">
        <v>1.4994</v>
      </c>
      <c r="C7456" t="n">
        <v>1.4526</v>
      </c>
    </row>
    <row r="7457">
      <c r="A7457" t="n">
        <v>1.4967</v>
      </c>
      <c r="B7457" t="n">
        <v>1.4779</v>
      </c>
      <c r="C7457" t="n">
        <v>1.448</v>
      </c>
    </row>
    <row r="7458">
      <c r="A7458" t="n">
        <v>1.7836</v>
      </c>
      <c r="B7458" t="n">
        <v>1.6752</v>
      </c>
      <c r="C7458" t="n">
        <v>1.7856</v>
      </c>
    </row>
    <row r="7459">
      <c r="A7459" t="n">
        <v>1.6549</v>
      </c>
      <c r="B7459" t="n">
        <v>1.5446</v>
      </c>
      <c r="C7459" t="n">
        <v>1.4537</v>
      </c>
    </row>
    <row r="7460">
      <c r="A7460" t="n">
        <v>1.5151</v>
      </c>
      <c r="B7460" t="n">
        <v>1.6701</v>
      </c>
      <c r="C7460" t="n">
        <v>1.648</v>
      </c>
    </row>
    <row r="7461">
      <c r="A7461" t="n">
        <v>1.6355</v>
      </c>
      <c r="B7461" t="n">
        <v>1.5041</v>
      </c>
      <c r="C7461" t="n">
        <v>1.4977</v>
      </c>
    </row>
    <row r="7462">
      <c r="A7462" t="n">
        <v>1.6756</v>
      </c>
      <c r="B7462" t="n">
        <v>1.4324</v>
      </c>
      <c r="C7462" t="n">
        <v>1.4694</v>
      </c>
    </row>
    <row r="7463">
      <c r="A7463" t="n">
        <v>1.5344</v>
      </c>
      <c r="B7463" t="n">
        <v>1.657</v>
      </c>
      <c r="C7463" t="n">
        <v>1.4318</v>
      </c>
    </row>
    <row r="7464">
      <c r="A7464" t="n">
        <v>1.6576</v>
      </c>
      <c r="B7464" t="n">
        <v>1.5358</v>
      </c>
      <c r="C7464" t="n">
        <v>1.6254</v>
      </c>
    </row>
    <row r="7465">
      <c r="A7465" t="n">
        <v>1.4983</v>
      </c>
      <c r="B7465" t="n">
        <v>1.6602</v>
      </c>
      <c r="C7465" t="n">
        <v>1.7152</v>
      </c>
    </row>
    <row r="7466">
      <c r="A7466" t="n">
        <v>1.4139</v>
      </c>
      <c r="B7466" t="n">
        <v>1.5029</v>
      </c>
      <c r="C7466" t="n">
        <v>1.4757</v>
      </c>
    </row>
    <row r="7467">
      <c r="A7467" t="n">
        <v>1.4003</v>
      </c>
      <c r="B7467" t="n">
        <v>1.4664</v>
      </c>
      <c r="C7467" t="n">
        <v>1.4747</v>
      </c>
    </row>
    <row r="7468">
      <c r="A7468" t="n">
        <v>1.427</v>
      </c>
      <c r="B7468" t="n">
        <v>1.6234</v>
      </c>
      <c r="C7468" t="n">
        <v>1.4584</v>
      </c>
    </row>
    <row r="7469">
      <c r="A7469" t="n">
        <v>1.4382</v>
      </c>
      <c r="B7469" t="n">
        <v>1.5488</v>
      </c>
      <c r="C7469" t="n">
        <v>1.6339</v>
      </c>
    </row>
    <row r="7470">
      <c r="A7470" t="n">
        <v>1.7075</v>
      </c>
      <c r="B7470" t="n">
        <v>1.6475</v>
      </c>
      <c r="C7470" t="n">
        <v>1.8023</v>
      </c>
    </row>
    <row r="7471">
      <c r="A7471" t="n">
        <v>1.6944</v>
      </c>
      <c r="B7471" t="n">
        <v>1.483</v>
      </c>
      <c r="C7471" t="n">
        <v>1.4926</v>
      </c>
    </row>
    <row r="7472">
      <c r="A7472" t="n">
        <v>1.4823</v>
      </c>
      <c r="B7472" t="n">
        <v>1.4665</v>
      </c>
      <c r="C7472" t="n">
        <v>1.4353</v>
      </c>
    </row>
    <row r="7473">
      <c r="A7473" t="n">
        <v>1.4433</v>
      </c>
      <c r="B7473" t="n">
        <v>1.4293</v>
      </c>
      <c r="C7473" t="n">
        <v>1.4489</v>
      </c>
    </row>
    <row r="7474">
      <c r="A7474" t="n">
        <v>1.4603</v>
      </c>
      <c r="B7474" t="n">
        <v>1.7562</v>
      </c>
      <c r="C7474" t="n">
        <v>1.6591</v>
      </c>
    </row>
    <row r="7475">
      <c r="A7475" t="n">
        <v>1.5904</v>
      </c>
      <c r="B7475" t="n">
        <v>1.6482</v>
      </c>
      <c r="C7475" t="n">
        <v>1.7397</v>
      </c>
    </row>
    <row r="7476">
      <c r="A7476" t="n">
        <v>1.7679</v>
      </c>
      <c r="B7476" t="n">
        <v>1.4894</v>
      </c>
      <c r="C7476" t="n">
        <v>1.5132</v>
      </c>
    </row>
    <row r="7477">
      <c r="A7477" t="n">
        <v>1.4898</v>
      </c>
      <c r="B7477" t="n">
        <v>1.4117</v>
      </c>
      <c r="C7477" t="n">
        <v>1.4679</v>
      </c>
    </row>
    <row r="7478">
      <c r="A7478" t="n">
        <v>1.4149</v>
      </c>
      <c r="B7478" t="n">
        <v>1.4179</v>
      </c>
      <c r="C7478" t="n">
        <v>1.4319</v>
      </c>
    </row>
    <row r="7479">
      <c r="A7479" t="n">
        <v>1.4595</v>
      </c>
      <c r="B7479" t="n">
        <v>1.4458</v>
      </c>
      <c r="C7479" t="n">
        <v>1.6349</v>
      </c>
    </row>
    <row r="7480">
      <c r="A7480" t="n">
        <v>1.6666</v>
      </c>
      <c r="B7480" t="n">
        <v>1.476</v>
      </c>
      <c r="C7480" t="n">
        <v>1.8662</v>
      </c>
    </row>
    <row r="7481">
      <c r="A7481" t="n">
        <v>1.559</v>
      </c>
      <c r="B7481" t="n">
        <v>1.4371</v>
      </c>
      <c r="C7481" t="n">
        <v>1.4947</v>
      </c>
    </row>
    <row r="7482">
      <c r="A7482" t="n">
        <v>1.4824</v>
      </c>
      <c r="B7482" t="n">
        <v>1.4772</v>
      </c>
      <c r="C7482" t="n">
        <v>1.4597</v>
      </c>
    </row>
    <row r="7483">
      <c r="A7483" t="n">
        <v>1.4457</v>
      </c>
      <c r="B7483" t="n">
        <v>1.6332</v>
      </c>
      <c r="C7483" t="n">
        <v>1.4442</v>
      </c>
    </row>
    <row r="7484">
      <c r="A7484" t="n">
        <v>1.4042</v>
      </c>
      <c r="B7484" t="n">
        <v>1.502</v>
      </c>
      <c r="C7484" t="n">
        <v>1.676</v>
      </c>
    </row>
    <row r="7485">
      <c r="A7485" t="n">
        <v>1.4135</v>
      </c>
      <c r="B7485" t="n">
        <v>1.4568</v>
      </c>
      <c r="C7485" t="n">
        <v>1.7604</v>
      </c>
    </row>
    <row r="7486">
      <c r="A7486" t="n">
        <v>1.4733</v>
      </c>
      <c r="B7486" t="n">
        <v>1.4161</v>
      </c>
      <c r="C7486" t="n">
        <v>1.5059</v>
      </c>
    </row>
    <row r="7487">
      <c r="A7487" t="n">
        <v>1.4531</v>
      </c>
      <c r="B7487" t="n">
        <v>1.4407</v>
      </c>
      <c r="C7487" t="n">
        <v>1.427</v>
      </c>
    </row>
    <row r="7488">
      <c r="A7488" t="n">
        <v>1.6563</v>
      </c>
      <c r="B7488" t="n">
        <v>1.4519</v>
      </c>
      <c r="C7488" t="n">
        <v>1.5383</v>
      </c>
    </row>
    <row r="7489">
      <c r="A7489" t="n">
        <v>1.8309</v>
      </c>
      <c r="B7489" t="n">
        <v>1.392</v>
      </c>
      <c r="C7489" t="n">
        <v>1.7175</v>
      </c>
    </row>
    <row r="7490">
      <c r="A7490" t="n">
        <v>1.9997</v>
      </c>
      <c r="B7490" t="n">
        <v>1.4896</v>
      </c>
      <c r="C7490" t="n">
        <v>2.0413</v>
      </c>
    </row>
    <row r="7491">
      <c r="A7491" t="n">
        <v>1.7752</v>
      </c>
      <c r="B7491" t="n">
        <v>1.6703</v>
      </c>
      <c r="C7491" t="n">
        <v>1.6771</v>
      </c>
    </row>
    <row r="7492">
      <c r="A7492" t="n">
        <v>1.5119</v>
      </c>
      <c r="B7492" t="n">
        <v>1.4717</v>
      </c>
      <c r="C7492" t="n">
        <v>1.8663</v>
      </c>
    </row>
    <row r="7493">
      <c r="A7493" t="n">
        <v>1.4114</v>
      </c>
      <c r="B7493" t="n">
        <v>1.4524</v>
      </c>
      <c r="C7493" t="n">
        <v>1.5943</v>
      </c>
    </row>
    <row r="7494">
      <c r="A7494" t="n">
        <v>1.453</v>
      </c>
      <c r="B7494" t="n">
        <v>1.4529</v>
      </c>
      <c r="C7494" t="n">
        <v>1.5628</v>
      </c>
    </row>
    <row r="7495">
      <c r="A7495" t="n">
        <v>1.626</v>
      </c>
      <c r="B7495" t="n">
        <v>1.4465</v>
      </c>
      <c r="C7495" t="n">
        <v>1.7282</v>
      </c>
    </row>
    <row r="7496">
      <c r="A7496" t="n">
        <v>1.524</v>
      </c>
      <c r="B7496" t="n">
        <v>1.4284</v>
      </c>
      <c r="C7496" t="n">
        <v>1.5037</v>
      </c>
    </row>
    <row r="7497">
      <c r="A7497" t="n">
        <v>1.6601</v>
      </c>
      <c r="B7497" t="n">
        <v>1.4576</v>
      </c>
      <c r="C7497" t="n">
        <v>1.4471</v>
      </c>
    </row>
    <row r="7498">
      <c r="A7498" t="n">
        <v>1.5011</v>
      </c>
      <c r="B7498" t="n">
        <v>1.8215</v>
      </c>
      <c r="C7498" t="n">
        <v>1.4301</v>
      </c>
    </row>
    <row r="7499">
      <c r="A7499" t="n">
        <v>1.4447</v>
      </c>
      <c r="B7499" t="n">
        <v>1.5078</v>
      </c>
      <c r="C7499" t="n">
        <v>1.4489</v>
      </c>
    </row>
    <row r="7500">
      <c r="A7500" t="n">
        <v>1.6925</v>
      </c>
      <c r="B7500" t="n">
        <v>1.4698</v>
      </c>
      <c r="C7500" t="n">
        <v>1.47</v>
      </c>
    </row>
    <row r="7501">
      <c r="A7501" t="n">
        <v>1.613</v>
      </c>
      <c r="B7501" t="n">
        <v>1.4277</v>
      </c>
      <c r="C7501" t="n">
        <v>1.6935</v>
      </c>
    </row>
    <row r="7502">
      <c r="A7502" t="n">
        <v>1.4128</v>
      </c>
      <c r="B7502" t="n">
        <v>1.6326</v>
      </c>
      <c r="C7502" t="n">
        <v>1.7077</v>
      </c>
    </row>
    <row r="7503">
      <c r="A7503" t="n">
        <v>1.4552</v>
      </c>
      <c r="B7503" t="n">
        <v>1.7332</v>
      </c>
      <c r="C7503" t="n">
        <v>1.5316</v>
      </c>
    </row>
    <row r="7504">
      <c r="A7504" t="n">
        <v>1.4179</v>
      </c>
      <c r="B7504" t="n">
        <v>1.4734</v>
      </c>
      <c r="C7504" t="n">
        <v>1.4436</v>
      </c>
    </row>
    <row r="7505">
      <c r="A7505" t="n">
        <v>1.427</v>
      </c>
      <c r="B7505" t="n">
        <v>1.4503</v>
      </c>
      <c r="C7505" t="n">
        <v>1.4393</v>
      </c>
    </row>
    <row r="7506">
      <c r="A7506" t="n">
        <v>1.4412</v>
      </c>
      <c r="B7506" t="n">
        <v>1.7812</v>
      </c>
      <c r="C7506" t="n">
        <v>1.6663</v>
      </c>
    </row>
    <row r="7507">
      <c r="A7507" t="n">
        <v>1.4354</v>
      </c>
      <c r="B7507" t="n">
        <v>1.4325</v>
      </c>
      <c r="C7507" t="n">
        <v>1.7166</v>
      </c>
    </row>
    <row r="7508">
      <c r="A7508" t="n">
        <v>1.5921</v>
      </c>
      <c r="B7508" t="n">
        <v>1.4696</v>
      </c>
      <c r="C7508" t="n">
        <v>1.4943</v>
      </c>
    </row>
    <row r="7509">
      <c r="A7509" t="n">
        <v>1.8687</v>
      </c>
      <c r="B7509" t="n">
        <v>1.4469</v>
      </c>
      <c r="C7509" t="n">
        <v>1.4382</v>
      </c>
    </row>
    <row r="7510">
      <c r="A7510" t="n">
        <v>1.5076</v>
      </c>
      <c r="B7510" t="n">
        <v>1.4418</v>
      </c>
      <c r="C7510" t="n">
        <v>1.455</v>
      </c>
    </row>
    <row r="7511">
      <c r="A7511" t="n">
        <v>1.4234</v>
      </c>
      <c r="B7511" t="n">
        <v>1.414</v>
      </c>
      <c r="C7511" t="n">
        <v>1.6258</v>
      </c>
    </row>
    <row r="7512">
      <c r="A7512" t="n">
        <v>1.4381</v>
      </c>
      <c r="B7512" t="n">
        <v>1.4104</v>
      </c>
      <c r="C7512" t="n">
        <v>1.771</v>
      </c>
    </row>
    <row r="7513">
      <c r="A7513" t="n">
        <v>1.626</v>
      </c>
      <c r="B7513" t="n">
        <v>1.4803</v>
      </c>
      <c r="C7513" t="n">
        <v>1.5207</v>
      </c>
    </row>
    <row r="7514">
      <c r="A7514" t="n">
        <v>1.7755</v>
      </c>
      <c r="B7514" t="n">
        <v>1.4736</v>
      </c>
      <c r="C7514" t="n">
        <v>1.4376</v>
      </c>
    </row>
    <row r="7515">
      <c r="A7515" t="n">
        <v>1.4985</v>
      </c>
      <c r="B7515" t="n">
        <v>1.78</v>
      </c>
      <c r="C7515" t="n">
        <v>1.4633</v>
      </c>
    </row>
    <row r="7516">
      <c r="A7516" t="n">
        <v>1.4397</v>
      </c>
      <c r="B7516" t="n">
        <v>1.678</v>
      </c>
      <c r="C7516" t="n">
        <v>1.6311</v>
      </c>
    </row>
    <row r="7517">
      <c r="A7517" t="n">
        <v>1.4158</v>
      </c>
      <c r="B7517" t="n">
        <v>1.8342</v>
      </c>
      <c r="C7517" t="n">
        <v>1.8318</v>
      </c>
    </row>
    <row r="7518">
      <c r="A7518" t="n">
        <v>1.6351</v>
      </c>
      <c r="B7518" t="n">
        <v>1.53</v>
      </c>
      <c r="C7518" t="n">
        <v>1.5048</v>
      </c>
    </row>
    <row r="7519">
      <c r="A7519" t="n">
        <v>1.6115</v>
      </c>
      <c r="B7519" t="n">
        <v>1.6511</v>
      </c>
      <c r="C7519" t="n">
        <v>1.4468</v>
      </c>
    </row>
    <row r="7520">
      <c r="A7520" t="n">
        <v>1.4408</v>
      </c>
      <c r="B7520" t="n">
        <v>1.5041</v>
      </c>
      <c r="C7520" t="n">
        <v>1.4275</v>
      </c>
    </row>
    <row r="7521">
      <c r="A7521" t="n">
        <v>1.4297</v>
      </c>
      <c r="B7521" t="n">
        <v>1.4555</v>
      </c>
      <c r="C7521" t="n">
        <v>1.6574</v>
      </c>
    </row>
    <row r="7522">
      <c r="A7522" t="n">
        <v>1.7438</v>
      </c>
      <c r="B7522" t="n">
        <v>1.3973</v>
      </c>
      <c r="C7522" t="n">
        <v>2.0862</v>
      </c>
    </row>
    <row r="7523">
      <c r="A7523" t="n">
        <v>1.6082</v>
      </c>
      <c r="B7523" t="n">
        <v>1.4391</v>
      </c>
      <c r="C7523" t="n">
        <v>1.661</v>
      </c>
    </row>
    <row r="7524">
      <c r="A7524" t="n">
        <v>1.543</v>
      </c>
      <c r="B7524" t="n">
        <v>1.4426</v>
      </c>
      <c r="C7524" t="n">
        <v>1.5491</v>
      </c>
    </row>
    <row r="7525">
      <c r="A7525" t="n">
        <v>1.6574</v>
      </c>
      <c r="B7525" t="n">
        <v>1.3967</v>
      </c>
      <c r="C7525" t="n">
        <v>1.6749</v>
      </c>
    </row>
    <row r="7526">
      <c r="A7526" t="n">
        <v>1.4854</v>
      </c>
      <c r="B7526" t="n">
        <v>1.4945</v>
      </c>
      <c r="C7526" t="n">
        <v>1.516</v>
      </c>
    </row>
    <row r="7527">
      <c r="A7527" t="n">
        <v>1.4509</v>
      </c>
      <c r="B7527" t="n">
        <v>1.6779</v>
      </c>
      <c r="C7527" t="n">
        <v>1.4703</v>
      </c>
    </row>
    <row r="7528">
      <c r="A7528" t="n">
        <v>1.6288</v>
      </c>
      <c r="B7528" t="n">
        <v>1.4683</v>
      </c>
      <c r="C7528" t="n">
        <v>1.6854</v>
      </c>
    </row>
    <row r="7529">
      <c r="A7529" t="n">
        <v>1.5324</v>
      </c>
      <c r="B7529" t="n">
        <v>1.4399</v>
      </c>
      <c r="C7529" t="n">
        <v>1.569</v>
      </c>
    </row>
    <row r="7530">
      <c r="A7530" t="n">
        <v>1.6624</v>
      </c>
      <c r="B7530" t="n">
        <v>1.4124</v>
      </c>
      <c r="C7530" t="n">
        <v>1.4467</v>
      </c>
    </row>
    <row r="7531">
      <c r="A7531" t="n">
        <v>1.4906</v>
      </c>
      <c r="B7531" t="n">
        <v>1.433</v>
      </c>
      <c r="C7531" t="n">
        <v>1.4579</v>
      </c>
    </row>
    <row r="7532">
      <c r="A7532" t="n">
        <v>1.4514</v>
      </c>
      <c r="B7532" t="n">
        <v>1.4745</v>
      </c>
      <c r="C7532" t="n">
        <v>1.4239</v>
      </c>
    </row>
    <row r="7533">
      <c r="A7533" t="n">
        <v>1.4204</v>
      </c>
      <c r="B7533" t="n">
        <v>1.4404</v>
      </c>
      <c r="C7533" t="n">
        <v>1.4348</v>
      </c>
    </row>
    <row r="7534">
      <c r="A7534" t="n">
        <v>1.4472</v>
      </c>
      <c r="B7534" t="n">
        <v>1.4738</v>
      </c>
      <c r="C7534" t="n">
        <v>1.4507</v>
      </c>
    </row>
    <row r="7535">
      <c r="A7535" t="n">
        <v>1.4194</v>
      </c>
      <c r="B7535" t="n">
        <v>1.6656</v>
      </c>
      <c r="C7535" t="n">
        <v>1.4631</v>
      </c>
    </row>
    <row r="7536">
      <c r="A7536" t="n">
        <v>1.4184</v>
      </c>
      <c r="B7536" t="n">
        <v>1.4818</v>
      </c>
      <c r="C7536" t="n">
        <v>1.6536</v>
      </c>
    </row>
    <row r="7537">
      <c r="A7537" t="n">
        <v>1.4777</v>
      </c>
      <c r="B7537" t="n">
        <v>1.4197</v>
      </c>
      <c r="C7537" t="n">
        <v>1.7</v>
      </c>
    </row>
    <row r="7538">
      <c r="A7538" t="n">
        <v>1.646</v>
      </c>
      <c r="B7538" t="n">
        <v>1.7622</v>
      </c>
      <c r="C7538" t="n">
        <v>1.5254</v>
      </c>
    </row>
    <row r="7539">
      <c r="A7539" t="n">
        <v>1.4878</v>
      </c>
      <c r="B7539" t="n">
        <v>1.4833</v>
      </c>
      <c r="C7539" t="n">
        <v>1.4593</v>
      </c>
    </row>
    <row r="7540">
      <c r="A7540" t="n">
        <v>1.4558</v>
      </c>
      <c r="B7540" t="n">
        <v>1.6374</v>
      </c>
      <c r="C7540" t="n">
        <v>1.4233</v>
      </c>
    </row>
    <row r="7541">
      <c r="A7541" t="n">
        <v>1.3877</v>
      </c>
      <c r="B7541" t="n">
        <v>1.4932</v>
      </c>
      <c r="C7541" t="n">
        <v>1.6173</v>
      </c>
    </row>
    <row r="7542">
      <c r="A7542" t="n">
        <v>1.4153</v>
      </c>
      <c r="B7542" t="n">
        <v>1.4521</v>
      </c>
      <c r="C7542" t="n">
        <v>1.7564</v>
      </c>
    </row>
    <row r="7543">
      <c r="A7543" t="n">
        <v>1.4518</v>
      </c>
      <c r="B7543" t="n">
        <v>1.4116</v>
      </c>
      <c r="C7543" t="n">
        <v>1.4916</v>
      </c>
    </row>
    <row r="7544">
      <c r="A7544" t="n">
        <v>1.6347</v>
      </c>
      <c r="B7544" t="n">
        <v>1.4398</v>
      </c>
      <c r="C7544" t="n">
        <v>1.4476</v>
      </c>
    </row>
    <row r="7545">
      <c r="A7545" t="n">
        <v>1.7398</v>
      </c>
      <c r="B7545" t="n">
        <v>1.4569</v>
      </c>
      <c r="C7545" t="n">
        <v>1.454</v>
      </c>
    </row>
    <row r="7546">
      <c r="A7546" t="n">
        <v>1.4939</v>
      </c>
      <c r="B7546" t="n">
        <v>1.4271</v>
      </c>
      <c r="C7546" t="n">
        <v>1.6411</v>
      </c>
    </row>
    <row r="7547">
      <c r="A7547" t="n">
        <v>1.4281</v>
      </c>
      <c r="B7547" t="n">
        <v>1.4615</v>
      </c>
      <c r="C7547" t="n">
        <v>1.5592</v>
      </c>
    </row>
    <row r="7548">
      <c r="A7548" t="n">
        <v>1.4554</v>
      </c>
      <c r="B7548" t="n">
        <v>1.6406</v>
      </c>
      <c r="C7548" t="n">
        <v>1.4444</v>
      </c>
    </row>
    <row r="7549">
      <c r="A7549" t="n">
        <v>1.6328</v>
      </c>
      <c r="B7549" t="n">
        <v>1.5066</v>
      </c>
      <c r="C7549" t="n">
        <v>1.4683</v>
      </c>
    </row>
    <row r="7550">
      <c r="A7550" t="n">
        <v>1.7284</v>
      </c>
      <c r="B7550" t="n">
        <v>1.4569</v>
      </c>
      <c r="C7550" t="n">
        <v>1.4018</v>
      </c>
    </row>
    <row r="7551">
      <c r="A7551" t="n">
        <v>1.5063</v>
      </c>
      <c r="B7551" t="n">
        <v>1.4326</v>
      </c>
      <c r="C7551" t="n">
        <v>1.42</v>
      </c>
    </row>
    <row r="7552">
      <c r="A7552" t="n">
        <v>1.4405</v>
      </c>
      <c r="B7552" t="n">
        <v>1.4518</v>
      </c>
      <c r="C7552" t="n">
        <v>1.4713</v>
      </c>
    </row>
    <row r="7553">
      <c r="A7553" t="n">
        <v>1.4478</v>
      </c>
      <c r="B7553" t="n">
        <v>1.4133</v>
      </c>
      <c r="C7553" t="n">
        <v>1.4728</v>
      </c>
    </row>
    <row r="7554">
      <c r="A7554" t="n">
        <v>1.9857</v>
      </c>
      <c r="B7554" t="n">
        <v>1.4333</v>
      </c>
      <c r="C7554" t="n">
        <v>2.0361</v>
      </c>
    </row>
    <row r="7555">
      <c r="A7555" t="n">
        <v>1.7724</v>
      </c>
      <c r="B7555" t="n">
        <v>1.4845</v>
      </c>
      <c r="C7555" t="n">
        <v>1.7593</v>
      </c>
    </row>
    <row r="7556">
      <c r="A7556" t="n">
        <v>1.6576</v>
      </c>
      <c r="B7556" t="n">
        <v>1.6837</v>
      </c>
      <c r="C7556" t="n">
        <v>1.6819</v>
      </c>
    </row>
    <row r="7557">
      <c r="A7557" t="n">
        <v>1.531</v>
      </c>
      <c r="B7557" t="n">
        <v>1.4861</v>
      </c>
      <c r="C7557" t="n">
        <v>1.788</v>
      </c>
    </row>
    <row r="7558">
      <c r="A7558" t="n">
        <v>1.6861</v>
      </c>
      <c r="B7558" t="n">
        <v>1.4322</v>
      </c>
      <c r="C7558" t="n">
        <v>1.5036</v>
      </c>
    </row>
    <row r="7559">
      <c r="A7559" t="n">
        <v>1.4977</v>
      </c>
      <c r="B7559" t="n">
        <v>1.6766</v>
      </c>
      <c r="C7559" t="n">
        <v>1.7162</v>
      </c>
    </row>
    <row r="7560">
      <c r="A7560" t="n">
        <v>1.4536</v>
      </c>
      <c r="B7560" t="n">
        <v>1.5421</v>
      </c>
      <c r="C7560" t="n">
        <v>1.6919</v>
      </c>
    </row>
    <row r="7561">
      <c r="A7561" t="n">
        <v>1.6391</v>
      </c>
      <c r="B7561" t="n">
        <v>1.6535</v>
      </c>
      <c r="C7561" t="n">
        <v>1.5629</v>
      </c>
    </row>
    <row r="7562">
      <c r="A7562" t="n">
        <v>1.4838</v>
      </c>
      <c r="B7562" t="n">
        <v>1.4851</v>
      </c>
      <c r="C7562" t="n">
        <v>1.4304</v>
      </c>
    </row>
    <row r="7563">
      <c r="A7563" t="n">
        <v>1.6537</v>
      </c>
      <c r="B7563" t="n">
        <v>1.466</v>
      </c>
      <c r="C7563" t="n">
        <v>1.4607</v>
      </c>
    </row>
    <row r="7564">
      <c r="A7564" t="n">
        <v>1.5169</v>
      </c>
      <c r="B7564" t="n">
        <v>1.6341</v>
      </c>
      <c r="C7564" t="n">
        <v>1.4521</v>
      </c>
    </row>
    <row r="7565">
      <c r="A7565" t="n">
        <v>1.3939</v>
      </c>
      <c r="B7565" t="n">
        <v>1.52</v>
      </c>
      <c r="C7565" t="n">
        <v>1.4298</v>
      </c>
    </row>
    <row r="7566">
      <c r="A7566" t="n">
        <v>1.445</v>
      </c>
      <c r="B7566" t="n">
        <v>1.6653</v>
      </c>
      <c r="C7566" t="n">
        <v>1.7057</v>
      </c>
    </row>
    <row r="7567">
      <c r="A7567" t="n">
        <v>1.4429</v>
      </c>
      <c r="B7567" t="n">
        <v>1.5114</v>
      </c>
      <c r="C7567" t="n">
        <v>1.7513</v>
      </c>
    </row>
    <row r="7568">
      <c r="A7568" t="n">
        <v>1.4187</v>
      </c>
      <c r="B7568" t="n">
        <v>1.4589</v>
      </c>
      <c r="C7568" t="n">
        <v>1.4833</v>
      </c>
    </row>
    <row r="7569">
      <c r="A7569" t="n">
        <v>1.6336</v>
      </c>
      <c r="B7569" t="n">
        <v>1.422</v>
      </c>
      <c r="C7569" t="n">
        <v>1.4732</v>
      </c>
    </row>
    <row r="7570">
      <c r="A7570" t="n">
        <v>1.7469</v>
      </c>
      <c r="B7570" t="n">
        <v>1.7618</v>
      </c>
      <c r="C7570" t="n">
        <v>1.4623</v>
      </c>
    </row>
    <row r="7571">
      <c r="A7571" t="n">
        <v>1.4797</v>
      </c>
      <c r="B7571" t="n">
        <v>1.8226</v>
      </c>
      <c r="C7571" t="n">
        <v>1.6773</v>
      </c>
    </row>
    <row r="7572">
      <c r="A7572" t="n">
        <v>1.4582</v>
      </c>
      <c r="B7572" t="n">
        <v>1.5231</v>
      </c>
      <c r="C7572" t="n">
        <v>1.7603</v>
      </c>
    </row>
    <row r="7573">
      <c r="A7573" t="n">
        <v>1.4434</v>
      </c>
      <c r="B7573" t="n">
        <v>1.4532</v>
      </c>
      <c r="C7573" t="n">
        <v>1.5669</v>
      </c>
    </row>
    <row r="7574">
      <c r="A7574" t="n">
        <v>1.5999</v>
      </c>
      <c r="B7574" t="n">
        <v>1.6153</v>
      </c>
      <c r="C7574" t="n">
        <v>1.4971</v>
      </c>
    </row>
    <row r="7575">
      <c r="A7575" t="n">
        <v>1.8216</v>
      </c>
      <c r="B7575" t="n">
        <v>1.6101</v>
      </c>
      <c r="C7575" t="n">
        <v>1.7558</v>
      </c>
    </row>
    <row r="7576">
      <c r="A7576" t="n">
        <v>1.4877</v>
      </c>
      <c r="B7576" t="n">
        <v>1.4192</v>
      </c>
      <c r="C7576" t="n">
        <v>1.5238</v>
      </c>
    </row>
    <row r="7577">
      <c r="A7577" t="n">
        <v>1.4193</v>
      </c>
      <c r="B7577" t="n">
        <v>1.4696</v>
      </c>
      <c r="C7577" t="n">
        <v>1.4003</v>
      </c>
    </row>
    <row r="7578">
      <c r="A7578" t="n">
        <v>1.4783</v>
      </c>
      <c r="B7578" t="n">
        <v>1.4292</v>
      </c>
      <c r="C7578" t="n">
        <v>1.4497</v>
      </c>
    </row>
    <row r="7579">
      <c r="A7579" t="n">
        <v>1.6235</v>
      </c>
      <c r="B7579" t="n">
        <v>1.4296</v>
      </c>
      <c r="C7579" t="n">
        <v>1.452</v>
      </c>
    </row>
    <row r="7580">
      <c r="A7580" t="n">
        <v>1.8427</v>
      </c>
      <c r="B7580" t="n">
        <v>1.4293</v>
      </c>
      <c r="C7580" t="n">
        <v>1.4137</v>
      </c>
    </row>
    <row r="7581">
      <c r="A7581" t="n">
        <v>1.5129</v>
      </c>
      <c r="B7581" t="n">
        <v>1.4141</v>
      </c>
      <c r="C7581" t="n">
        <v>1.6375</v>
      </c>
    </row>
    <row r="7582">
      <c r="A7582" t="n">
        <v>1.4405</v>
      </c>
      <c r="B7582" t="n">
        <v>1.5981</v>
      </c>
      <c r="C7582" t="n">
        <v>1.8586</v>
      </c>
    </row>
    <row r="7583">
      <c r="A7583" t="n">
        <v>1.4236</v>
      </c>
      <c r="B7583" t="n">
        <v>1.853</v>
      </c>
      <c r="C7583" t="n">
        <v>1.4721</v>
      </c>
    </row>
    <row r="7584">
      <c r="A7584" t="n">
        <v>1.7076</v>
      </c>
      <c r="B7584" t="n">
        <v>1.5112</v>
      </c>
      <c r="C7584" t="n">
        <v>1.4593</v>
      </c>
    </row>
    <row r="7585">
      <c r="A7585" t="n">
        <v>1.7266</v>
      </c>
      <c r="B7585" t="n">
        <v>1.4359</v>
      </c>
      <c r="C7585" t="n">
        <v>1.4452</v>
      </c>
    </row>
    <row r="7586">
      <c r="A7586" t="n">
        <v>1.9792</v>
      </c>
      <c r="B7586" t="n">
        <v>1.4648</v>
      </c>
      <c r="C7586" t="n">
        <v>1.9997</v>
      </c>
    </row>
    <row r="7587">
      <c r="A7587" t="n">
        <v>1.5652</v>
      </c>
      <c r="B7587" t="n">
        <v>1.6777</v>
      </c>
      <c r="C7587" t="n">
        <v>1.7812</v>
      </c>
    </row>
    <row r="7588">
      <c r="A7588" t="n">
        <v>1.667</v>
      </c>
      <c r="B7588" t="n">
        <v>1.7204</v>
      </c>
      <c r="C7588" t="n">
        <v>1.6921</v>
      </c>
    </row>
    <row r="7589">
      <c r="A7589" t="n">
        <v>1.4574</v>
      </c>
      <c r="B7589" t="n">
        <v>1.4971</v>
      </c>
      <c r="C7589" t="n">
        <v>1.5115</v>
      </c>
    </row>
    <row r="7590">
      <c r="A7590" t="n">
        <v>1.4811</v>
      </c>
      <c r="B7590" t="n">
        <v>1.4848</v>
      </c>
      <c r="C7590" t="n">
        <v>1.7075</v>
      </c>
    </row>
    <row r="7591">
      <c r="A7591" t="n">
        <v>1.6419</v>
      </c>
      <c r="B7591" t="n">
        <v>1.4392</v>
      </c>
      <c r="C7591" t="n">
        <v>1.5055</v>
      </c>
    </row>
    <row r="7592">
      <c r="A7592" t="n">
        <v>1.5141</v>
      </c>
      <c r="B7592" t="n">
        <v>1.6373</v>
      </c>
      <c r="C7592" t="n">
        <v>1.439</v>
      </c>
    </row>
    <row r="7593">
      <c r="A7593" t="n">
        <v>1.612</v>
      </c>
      <c r="B7593" t="n">
        <v>1.7438</v>
      </c>
      <c r="C7593" t="n">
        <v>1.6437</v>
      </c>
    </row>
    <row r="7594">
      <c r="A7594" t="n">
        <v>1.4861</v>
      </c>
      <c r="B7594" t="n">
        <v>1.4752</v>
      </c>
      <c r="C7594" t="n">
        <v>1.5471</v>
      </c>
    </row>
    <row r="7595">
      <c r="A7595" t="n">
        <v>1.4488</v>
      </c>
      <c r="B7595" t="n">
        <v>1.469</v>
      </c>
      <c r="C7595" t="n">
        <v>1.6504</v>
      </c>
    </row>
    <row r="7596">
      <c r="A7596" t="n">
        <v>1.4255</v>
      </c>
      <c r="B7596" t="n">
        <v>1.4479</v>
      </c>
      <c r="C7596" t="n">
        <v>1.5188</v>
      </c>
    </row>
    <row r="7597">
      <c r="A7597" t="n">
        <v>1.4326</v>
      </c>
      <c r="B7597" t="n">
        <v>1.5873</v>
      </c>
      <c r="C7597" t="n">
        <v>1.4844</v>
      </c>
    </row>
    <row r="7598">
      <c r="A7598" t="n">
        <v>1.4268</v>
      </c>
      <c r="B7598" t="n">
        <v>1.5984</v>
      </c>
      <c r="C7598" t="n">
        <v>1.6212</v>
      </c>
    </row>
    <row r="7599">
      <c r="A7599" t="n">
        <v>1.6516</v>
      </c>
      <c r="B7599" t="n">
        <v>1.443</v>
      </c>
      <c r="C7599" t="n">
        <v>1.5544</v>
      </c>
    </row>
    <row r="7600">
      <c r="A7600" t="n">
        <v>1.7027</v>
      </c>
      <c r="B7600" t="n">
        <v>1.415</v>
      </c>
      <c r="C7600" t="n">
        <v>1.6884</v>
      </c>
    </row>
    <row r="7601">
      <c r="A7601" t="n">
        <v>1.4724</v>
      </c>
      <c r="B7601" t="n">
        <v>1.4231</v>
      </c>
      <c r="C7601" t="n">
        <v>1.4861</v>
      </c>
    </row>
    <row r="7602">
      <c r="A7602" t="n">
        <v>1.4731</v>
      </c>
      <c r="B7602" t="n">
        <v>2.0003</v>
      </c>
      <c r="C7602" t="n">
        <v>1.4639</v>
      </c>
    </row>
    <row r="7603">
      <c r="A7603" t="n">
        <v>1.4887</v>
      </c>
      <c r="B7603" t="n">
        <v>1.7508</v>
      </c>
      <c r="C7603" t="n">
        <v>1.6202</v>
      </c>
    </row>
    <row r="7604">
      <c r="A7604" t="n">
        <v>1.6678</v>
      </c>
      <c r="B7604" t="n">
        <v>1.548</v>
      </c>
      <c r="C7604" t="n">
        <v>1.5202</v>
      </c>
    </row>
    <row r="7605">
      <c r="A7605" t="n">
        <v>1.6817</v>
      </c>
      <c r="B7605" t="n">
        <v>1.4492</v>
      </c>
      <c r="C7605" t="n">
        <v>1.6556</v>
      </c>
    </row>
    <row r="7606">
      <c r="A7606" t="n">
        <v>1.4886</v>
      </c>
      <c r="B7606" t="n">
        <v>1.4324</v>
      </c>
      <c r="C7606" t="n">
        <v>1.5174</v>
      </c>
    </row>
    <row r="7607">
      <c r="A7607" t="n">
        <v>1.444</v>
      </c>
      <c r="B7607" t="n">
        <v>1.6449</v>
      </c>
      <c r="C7607" t="n">
        <v>1.4692</v>
      </c>
    </row>
    <row r="7608">
      <c r="A7608" t="n">
        <v>1.4479</v>
      </c>
      <c r="B7608" t="n">
        <v>1.8142</v>
      </c>
      <c r="C7608" t="n">
        <v>1.412</v>
      </c>
    </row>
    <row r="7609">
      <c r="A7609" t="n">
        <v>1.6721</v>
      </c>
      <c r="B7609" t="n">
        <v>1.5053</v>
      </c>
      <c r="C7609" t="n">
        <v>1.4344</v>
      </c>
    </row>
    <row r="7610">
      <c r="A7610" t="n">
        <v>1.8369</v>
      </c>
      <c r="B7610" t="n">
        <v>1.4417</v>
      </c>
      <c r="C7610" t="n">
        <v>1.4255</v>
      </c>
    </row>
    <row r="7611">
      <c r="A7611" t="n">
        <v>1.5002</v>
      </c>
      <c r="B7611" t="n">
        <v>1.4341</v>
      </c>
      <c r="C7611" t="n">
        <v>1.4296</v>
      </c>
    </row>
    <row r="7612">
      <c r="A7612" t="n">
        <v>1.4625</v>
      </c>
      <c r="B7612" t="n">
        <v>1.6308</v>
      </c>
      <c r="C7612" t="n">
        <v>1.4745</v>
      </c>
    </row>
    <row r="7613">
      <c r="A7613" t="n">
        <v>1.4359</v>
      </c>
      <c r="B7613" t="n">
        <v>1.8238</v>
      </c>
      <c r="C7613" t="n">
        <v>1.661</v>
      </c>
    </row>
    <row r="7614">
      <c r="A7614" t="n">
        <v>1.635</v>
      </c>
      <c r="B7614" t="n">
        <v>1.4743</v>
      </c>
      <c r="C7614" t="n">
        <v>1.4867</v>
      </c>
    </row>
    <row r="7615">
      <c r="A7615" t="n">
        <v>1.7062</v>
      </c>
      <c r="B7615" t="n">
        <v>1.4236</v>
      </c>
      <c r="C7615" t="n">
        <v>1.4878</v>
      </c>
    </row>
    <row r="7616">
      <c r="A7616" t="n">
        <v>1.493</v>
      </c>
      <c r="B7616" t="n">
        <v>1.4183</v>
      </c>
      <c r="C7616" t="n">
        <v>1.6058</v>
      </c>
    </row>
    <row r="7617">
      <c r="A7617" t="n">
        <v>1.4464</v>
      </c>
      <c r="B7617" t="n">
        <v>1.6353</v>
      </c>
      <c r="C7617" t="n">
        <v>1.5316</v>
      </c>
    </row>
    <row r="7618">
      <c r="A7618" t="n">
        <v>1.7799</v>
      </c>
      <c r="B7618" t="n">
        <v>1.502</v>
      </c>
      <c r="C7618" t="n">
        <v>1.9731</v>
      </c>
    </row>
    <row r="7619">
      <c r="A7619" t="n">
        <v>1.3998</v>
      </c>
      <c r="B7619" t="n">
        <v>1.6952</v>
      </c>
      <c r="C7619" t="n">
        <v>1.5052</v>
      </c>
    </row>
    <row r="7620">
      <c r="A7620" t="n">
        <v>1.7236</v>
      </c>
      <c r="B7620" t="n">
        <v>1.4711</v>
      </c>
      <c r="C7620" t="n">
        <v>1.4563</v>
      </c>
    </row>
    <row r="7621">
      <c r="A7621" t="n">
        <v>1.5001</v>
      </c>
      <c r="B7621" t="n">
        <v>1.4449</v>
      </c>
      <c r="C7621" t="n">
        <v>1.6544</v>
      </c>
    </row>
    <row r="7622">
      <c r="A7622" t="n">
        <v>1.4337</v>
      </c>
      <c r="B7622" t="n">
        <v>1.6314</v>
      </c>
      <c r="C7622" t="n">
        <v>1.7162</v>
      </c>
    </row>
    <row r="7623">
      <c r="A7623" t="n">
        <v>1.4729</v>
      </c>
      <c r="B7623" t="n">
        <v>1.5541</v>
      </c>
      <c r="C7623" t="n">
        <v>1.513</v>
      </c>
    </row>
    <row r="7624">
      <c r="A7624" t="n">
        <v>1.7054</v>
      </c>
      <c r="B7624" t="n">
        <v>1.6424</v>
      </c>
      <c r="C7624" t="n">
        <v>1.6966</v>
      </c>
    </row>
    <row r="7625">
      <c r="A7625" t="n">
        <v>1.8351</v>
      </c>
      <c r="B7625" t="n">
        <v>1.5013</v>
      </c>
      <c r="C7625" t="n">
        <v>1.7194</v>
      </c>
    </row>
    <row r="7626">
      <c r="A7626" t="n">
        <v>1.5285</v>
      </c>
      <c r="B7626" t="n">
        <v>1.4484</v>
      </c>
      <c r="C7626" t="n">
        <v>1.5184</v>
      </c>
    </row>
    <row r="7627">
      <c r="A7627" t="n">
        <v>1.4613</v>
      </c>
      <c r="B7627" t="n">
        <v>1.4023</v>
      </c>
      <c r="C7627" t="n">
        <v>1.4604</v>
      </c>
    </row>
    <row r="7628">
      <c r="A7628" t="n">
        <v>1.421</v>
      </c>
      <c r="B7628" t="n">
        <v>1.4385</v>
      </c>
      <c r="C7628" t="n">
        <v>1.4325</v>
      </c>
    </row>
    <row r="7629">
      <c r="A7629" t="n">
        <v>1.633</v>
      </c>
      <c r="B7629" t="n">
        <v>1.4242</v>
      </c>
      <c r="C7629" t="n">
        <v>1.4441</v>
      </c>
    </row>
    <row r="7630">
      <c r="A7630" t="n">
        <v>1.7323</v>
      </c>
      <c r="B7630" t="n">
        <v>1.4026</v>
      </c>
      <c r="C7630" t="n">
        <v>1.464</v>
      </c>
    </row>
    <row r="7631">
      <c r="A7631" t="n">
        <v>1.5018</v>
      </c>
      <c r="B7631" t="n">
        <v>1.4992</v>
      </c>
      <c r="C7631" t="n">
        <v>1.6708</v>
      </c>
    </row>
    <row r="7632">
      <c r="A7632" t="n">
        <v>1.4533</v>
      </c>
      <c r="B7632" t="n">
        <v>1.712</v>
      </c>
      <c r="C7632" t="n">
        <v>1.7516</v>
      </c>
    </row>
    <row r="7633">
      <c r="A7633" t="n">
        <v>1.4578</v>
      </c>
      <c r="B7633" t="n">
        <v>1.5142</v>
      </c>
      <c r="C7633" t="n">
        <v>1.514</v>
      </c>
    </row>
    <row r="7634">
      <c r="A7634" t="n">
        <v>1.6203</v>
      </c>
      <c r="B7634" t="n">
        <v>1.8153</v>
      </c>
      <c r="C7634" t="n">
        <v>1.45</v>
      </c>
    </row>
    <row r="7635">
      <c r="A7635" t="n">
        <v>1.8462</v>
      </c>
      <c r="B7635" t="n">
        <v>1.4573</v>
      </c>
      <c r="C7635" t="n">
        <v>1.4574</v>
      </c>
    </row>
    <row r="7636">
      <c r="A7636" t="n">
        <v>1.4982</v>
      </c>
      <c r="B7636" t="n">
        <v>1.4742</v>
      </c>
      <c r="C7636" t="n">
        <v>1.6713</v>
      </c>
    </row>
    <row r="7637">
      <c r="A7637" t="n">
        <v>1.4307</v>
      </c>
      <c r="B7637" t="n">
        <v>1.6735</v>
      </c>
      <c r="C7637" t="n">
        <v>1.737</v>
      </c>
    </row>
    <row r="7638">
      <c r="A7638" t="n">
        <v>1.4574</v>
      </c>
      <c r="B7638" t="n">
        <v>1.4966</v>
      </c>
      <c r="C7638" t="n">
        <v>1.5098</v>
      </c>
    </row>
    <row r="7639">
      <c r="A7639" t="n">
        <v>1.6475</v>
      </c>
      <c r="B7639" t="n">
        <v>1.4713</v>
      </c>
      <c r="C7639" t="n">
        <v>1.4703</v>
      </c>
    </row>
    <row r="7640">
      <c r="A7640" t="n">
        <v>1.6911</v>
      </c>
      <c r="B7640" t="n">
        <v>1.6628</v>
      </c>
      <c r="C7640" t="n">
        <v>1.4387</v>
      </c>
    </row>
    <row r="7641">
      <c r="A7641" t="n">
        <v>1.5029</v>
      </c>
      <c r="B7641" t="n">
        <v>1.81</v>
      </c>
      <c r="C7641" t="n">
        <v>1.6634</v>
      </c>
    </row>
    <row r="7642">
      <c r="A7642" t="n">
        <v>1.4539</v>
      </c>
      <c r="B7642" t="n">
        <v>1.4841</v>
      </c>
      <c r="C7642" t="n">
        <v>1.7288</v>
      </c>
    </row>
    <row r="7643">
      <c r="A7643" t="n">
        <v>1.4306</v>
      </c>
      <c r="B7643" t="n">
        <v>1.4414</v>
      </c>
      <c r="C7643" t="n">
        <v>1.4703</v>
      </c>
    </row>
    <row r="7644">
      <c r="A7644" t="n">
        <v>1.6323</v>
      </c>
      <c r="B7644" t="n">
        <v>1.4208</v>
      </c>
      <c r="C7644" t="n">
        <v>1.4572</v>
      </c>
    </row>
    <row r="7645">
      <c r="A7645" t="n">
        <v>1.5928</v>
      </c>
      <c r="B7645" t="n">
        <v>1.6134</v>
      </c>
      <c r="C7645" t="n">
        <v>1.4406</v>
      </c>
    </row>
    <row r="7646">
      <c r="A7646" t="n">
        <v>1.4126</v>
      </c>
      <c r="B7646" t="n">
        <v>1.821</v>
      </c>
      <c r="C7646" t="n">
        <v>1.6163</v>
      </c>
    </row>
    <row r="7647">
      <c r="A7647" t="n">
        <v>1.452</v>
      </c>
      <c r="B7647" t="n">
        <v>1.4951</v>
      </c>
      <c r="C7647" t="n">
        <v>1.8037</v>
      </c>
    </row>
    <row r="7648">
      <c r="A7648" t="n">
        <v>1.4401</v>
      </c>
      <c r="B7648" t="n">
        <v>1.4251</v>
      </c>
      <c r="C7648" t="n">
        <v>1.5104</v>
      </c>
    </row>
    <row r="7649">
      <c r="A7649" t="n">
        <v>1.3888</v>
      </c>
      <c r="B7649" t="n">
        <v>1.4619</v>
      </c>
      <c r="C7649" t="n">
        <v>1.4502</v>
      </c>
    </row>
    <row r="7650">
      <c r="A7650" t="n">
        <v>1.7608</v>
      </c>
      <c r="B7650" t="n">
        <v>1.6312</v>
      </c>
      <c r="C7650" t="n">
        <v>2.0125</v>
      </c>
    </row>
    <row r="7651">
      <c r="A7651" t="n">
        <v>1.6807</v>
      </c>
      <c r="B7651" t="n">
        <v>1.5226</v>
      </c>
      <c r="C7651" t="n">
        <v>1.5421</v>
      </c>
    </row>
    <row r="7652">
      <c r="A7652" t="n">
        <v>1.5</v>
      </c>
      <c r="B7652" t="n">
        <v>1.7059</v>
      </c>
      <c r="C7652" t="n">
        <v>1.4252</v>
      </c>
    </row>
    <row r="7653">
      <c r="A7653" t="n">
        <v>1.6719</v>
      </c>
      <c r="B7653" t="n">
        <v>1.5263</v>
      </c>
      <c r="C7653" t="n">
        <v>1.4334</v>
      </c>
    </row>
    <row r="7654">
      <c r="A7654" t="n">
        <v>1.6741</v>
      </c>
      <c r="B7654" t="n">
        <v>1.4593</v>
      </c>
      <c r="C7654" t="n">
        <v>1.4574</v>
      </c>
    </row>
    <row r="7655">
      <c r="A7655" t="n">
        <v>1.5141</v>
      </c>
      <c r="B7655" t="n">
        <v>1.6286</v>
      </c>
      <c r="C7655" t="n">
        <v>1.4419</v>
      </c>
    </row>
    <row r="7656">
      <c r="A7656" t="n">
        <v>1.6257</v>
      </c>
      <c r="B7656" t="n">
        <v>1.8093</v>
      </c>
      <c r="C7656" t="n">
        <v>1.6626</v>
      </c>
    </row>
    <row r="7657">
      <c r="A7657" t="n">
        <v>1.5003</v>
      </c>
      <c r="B7657" t="n">
        <v>1.4838</v>
      </c>
      <c r="C7657" t="n">
        <v>1.6756</v>
      </c>
    </row>
    <row r="7658">
      <c r="A7658" t="n">
        <v>1.412</v>
      </c>
      <c r="B7658" t="n">
        <v>1.4489</v>
      </c>
      <c r="C7658" t="n">
        <v>1.4803</v>
      </c>
    </row>
    <row r="7659">
      <c r="A7659" t="n">
        <v>1.4345</v>
      </c>
      <c r="B7659" t="n">
        <v>1.4858</v>
      </c>
      <c r="C7659" t="n">
        <v>1.4697</v>
      </c>
    </row>
    <row r="7660">
      <c r="A7660" t="n">
        <v>1.4487</v>
      </c>
      <c r="B7660" t="n">
        <v>1.6726</v>
      </c>
      <c r="C7660" t="n">
        <v>1.4601</v>
      </c>
    </row>
    <row r="7661">
      <c r="A7661" t="n">
        <v>1.4126</v>
      </c>
      <c r="B7661" t="n">
        <v>1.7969</v>
      </c>
      <c r="C7661" t="n">
        <v>1.6095</v>
      </c>
    </row>
    <row r="7662">
      <c r="A7662" t="n">
        <v>1.683</v>
      </c>
      <c r="B7662" t="n">
        <v>1.5334</v>
      </c>
      <c r="C7662" t="n">
        <v>1.5976</v>
      </c>
    </row>
    <row r="7663">
      <c r="A7663" t="n">
        <v>1.7205</v>
      </c>
      <c r="B7663" t="n">
        <v>1.449</v>
      </c>
      <c r="C7663" t="n">
        <v>1.4945</v>
      </c>
    </row>
    <row r="7664">
      <c r="A7664" t="n">
        <v>1.4754</v>
      </c>
      <c r="B7664" t="n">
        <v>1.4597</v>
      </c>
      <c r="C7664" t="n">
        <v>1.4593</v>
      </c>
    </row>
    <row r="7665">
      <c r="A7665" t="n">
        <v>1.4485</v>
      </c>
      <c r="B7665" t="n">
        <v>1.8094</v>
      </c>
      <c r="C7665" t="n">
        <v>1.4526</v>
      </c>
    </row>
    <row r="7666">
      <c r="A7666" t="n">
        <v>1.4529</v>
      </c>
      <c r="B7666" t="n">
        <v>1.9786</v>
      </c>
      <c r="C7666" t="n">
        <v>1.442</v>
      </c>
    </row>
    <row r="7667">
      <c r="A7667" t="n">
        <v>1.6166</v>
      </c>
      <c r="B7667" t="n">
        <v>1.4933</v>
      </c>
      <c r="C7667" t="n">
        <v>1.4648</v>
      </c>
    </row>
    <row r="7668">
      <c r="A7668" t="n">
        <v>1.743</v>
      </c>
      <c r="B7668" t="n">
        <v>1.4932</v>
      </c>
      <c r="C7668" t="n">
        <v>1.4761</v>
      </c>
    </row>
    <row r="7669">
      <c r="A7669" t="n">
        <v>1.4829</v>
      </c>
      <c r="B7669" t="n">
        <v>1.4026</v>
      </c>
      <c r="C7669" t="n">
        <v>1.6035</v>
      </c>
    </row>
    <row r="7670">
      <c r="A7670" t="n">
        <v>1.4215</v>
      </c>
      <c r="B7670" t="n">
        <v>1.4606</v>
      </c>
      <c r="C7670" t="n">
        <v>1.6762</v>
      </c>
    </row>
    <row r="7671">
      <c r="A7671" t="n">
        <v>1.4656</v>
      </c>
      <c r="B7671" t="n">
        <v>1.6443</v>
      </c>
      <c r="C7671" t="n">
        <v>1.5147</v>
      </c>
    </row>
    <row r="7672">
      <c r="A7672" t="n">
        <v>1.6142</v>
      </c>
      <c r="B7672" t="n">
        <v>1.4903</v>
      </c>
      <c r="C7672" t="n">
        <v>1.4479</v>
      </c>
    </row>
    <row r="7673">
      <c r="A7673" t="n">
        <v>1.5309</v>
      </c>
      <c r="B7673" t="n">
        <v>1.6804</v>
      </c>
      <c r="C7673" t="n">
        <v>1.4245</v>
      </c>
    </row>
    <row r="7674">
      <c r="A7674" t="n">
        <v>1.6937</v>
      </c>
      <c r="B7674" t="n">
        <v>1.6676</v>
      </c>
      <c r="C7674" t="n">
        <v>1.6909</v>
      </c>
    </row>
    <row r="7675">
      <c r="A7675" t="n">
        <v>1.4846</v>
      </c>
      <c r="B7675" t="n">
        <v>1.524</v>
      </c>
      <c r="C7675" t="n">
        <v>1.7064</v>
      </c>
    </row>
    <row r="7676">
      <c r="A7676" t="n">
        <v>1.4321</v>
      </c>
      <c r="B7676" t="n">
        <v>1.6671</v>
      </c>
      <c r="C7676" t="n">
        <v>1.4742</v>
      </c>
    </row>
    <row r="7677">
      <c r="A7677" t="n">
        <v>1.6358</v>
      </c>
      <c r="B7677" t="n">
        <v>1.6871</v>
      </c>
      <c r="C7677" t="n">
        <v>1.454</v>
      </c>
    </row>
    <row r="7678">
      <c r="A7678" t="n">
        <v>1.5309</v>
      </c>
      <c r="B7678" t="n">
        <v>1.5244</v>
      </c>
      <c r="C7678" t="n">
        <v>1.4498</v>
      </c>
    </row>
    <row r="7679">
      <c r="A7679" t="n">
        <v>1.6055</v>
      </c>
      <c r="B7679" t="n">
        <v>1.6318</v>
      </c>
      <c r="C7679" t="n">
        <v>1.5983</v>
      </c>
    </row>
    <row r="7680">
      <c r="A7680" t="n">
        <v>1.5244</v>
      </c>
      <c r="B7680" t="n">
        <v>1.4925</v>
      </c>
      <c r="C7680" t="n">
        <v>1.5787</v>
      </c>
    </row>
    <row r="7681">
      <c r="A7681" t="n">
        <v>1.4557</v>
      </c>
      <c r="B7681" t="n">
        <v>1.4045</v>
      </c>
      <c r="C7681" t="n">
        <v>1.4433</v>
      </c>
    </row>
    <row r="7682">
      <c r="A7682" t="n">
        <v>1.697</v>
      </c>
      <c r="B7682" t="n">
        <v>1.4403</v>
      </c>
      <c r="C7682" t="n">
        <v>1.7468</v>
      </c>
    </row>
    <row r="7683">
      <c r="A7683" t="n">
        <v>1.4699</v>
      </c>
      <c r="B7683" t="n">
        <v>1.4425</v>
      </c>
      <c r="C7683" t="n">
        <v>1.4547</v>
      </c>
    </row>
    <row r="7684">
      <c r="A7684" t="n">
        <v>1.6231</v>
      </c>
      <c r="B7684" t="n">
        <v>1.4535</v>
      </c>
      <c r="C7684" t="n">
        <v>1.6695</v>
      </c>
    </row>
    <row r="7685">
      <c r="A7685" t="n">
        <v>1.5037</v>
      </c>
      <c r="B7685" t="n">
        <v>1.6811</v>
      </c>
      <c r="C7685" t="n">
        <v>1.7794</v>
      </c>
    </row>
    <row r="7686">
      <c r="A7686" t="n">
        <v>1.4344</v>
      </c>
      <c r="B7686" t="n">
        <v>1.8642</v>
      </c>
      <c r="C7686" t="n">
        <v>1.4959</v>
      </c>
    </row>
    <row r="7687">
      <c r="A7687" t="n">
        <v>1.427</v>
      </c>
      <c r="B7687" t="n">
        <v>1.5017</v>
      </c>
      <c r="C7687" t="n">
        <v>1.4797</v>
      </c>
    </row>
    <row r="7688">
      <c r="A7688" t="n">
        <v>1.4325</v>
      </c>
      <c r="B7688" t="n">
        <v>1.526</v>
      </c>
      <c r="C7688" t="n">
        <v>1.4602</v>
      </c>
    </row>
    <row r="7689">
      <c r="A7689" t="n">
        <v>1.4405</v>
      </c>
      <c r="B7689" t="n">
        <v>1.4554</v>
      </c>
      <c r="C7689" t="n">
        <v>1.7497</v>
      </c>
    </row>
    <row r="7690">
      <c r="A7690" t="n">
        <v>1.6568</v>
      </c>
      <c r="B7690" t="n">
        <v>1.462</v>
      </c>
      <c r="C7690" t="n">
        <v>1.7057</v>
      </c>
    </row>
    <row r="7691">
      <c r="A7691" t="n">
        <v>1.7249</v>
      </c>
      <c r="B7691" t="n">
        <v>1.4325</v>
      </c>
      <c r="C7691" t="n">
        <v>1.506</v>
      </c>
    </row>
    <row r="7692">
      <c r="A7692" t="n">
        <v>1.5219</v>
      </c>
      <c r="B7692" t="n">
        <v>1.4782</v>
      </c>
      <c r="C7692" t="n">
        <v>1.7195</v>
      </c>
    </row>
    <row r="7693">
      <c r="A7693" t="n">
        <v>1.4545</v>
      </c>
      <c r="B7693" t="n">
        <v>1.4839</v>
      </c>
      <c r="C7693" t="n">
        <v>1.7287</v>
      </c>
    </row>
    <row r="7694">
      <c r="A7694" t="n">
        <v>1.43</v>
      </c>
      <c r="B7694" t="n">
        <v>1.4701</v>
      </c>
      <c r="C7694" t="n">
        <v>1.5321</v>
      </c>
    </row>
    <row r="7695">
      <c r="A7695" t="n">
        <v>1.639</v>
      </c>
      <c r="B7695" t="n">
        <v>1.7367</v>
      </c>
      <c r="C7695" t="n">
        <v>1.4379</v>
      </c>
    </row>
    <row r="7696">
      <c r="A7696" t="n">
        <v>1.7423</v>
      </c>
      <c r="B7696" t="n">
        <v>1.5427</v>
      </c>
      <c r="C7696" t="n">
        <v>1.7837</v>
      </c>
    </row>
    <row r="7697">
      <c r="A7697" t="n">
        <v>1.4813</v>
      </c>
      <c r="B7697" t="n">
        <v>1.6734</v>
      </c>
      <c r="C7697" t="n">
        <v>1.5265</v>
      </c>
    </row>
    <row r="7698">
      <c r="A7698" t="n">
        <v>1.4648</v>
      </c>
      <c r="B7698" t="n">
        <v>1.8224</v>
      </c>
      <c r="C7698" t="n">
        <v>1.6508</v>
      </c>
    </row>
    <row r="7699">
      <c r="A7699" t="n">
        <v>1.4577</v>
      </c>
      <c r="B7699" t="n">
        <v>1.4181</v>
      </c>
      <c r="C7699" t="n">
        <v>1.4869</v>
      </c>
    </row>
    <row r="7700">
      <c r="A7700" t="n">
        <v>1.6098</v>
      </c>
      <c r="B7700" t="n">
        <v>1.6745</v>
      </c>
      <c r="C7700" t="n">
        <v>1.4435</v>
      </c>
    </row>
    <row r="7701">
      <c r="A7701" t="n">
        <v>1.5311</v>
      </c>
      <c r="B7701" t="n">
        <v>1.7625</v>
      </c>
      <c r="C7701" t="n">
        <v>1.4212</v>
      </c>
    </row>
    <row r="7702">
      <c r="A7702" t="n">
        <v>1.6562</v>
      </c>
      <c r="B7702" t="n">
        <v>1.5478</v>
      </c>
      <c r="C7702" t="n">
        <v>1.4505</v>
      </c>
    </row>
    <row r="7703">
      <c r="A7703" t="n">
        <v>1.4712</v>
      </c>
      <c r="B7703" t="n">
        <v>1.4919</v>
      </c>
      <c r="C7703" t="n">
        <v>1.447</v>
      </c>
    </row>
    <row r="7704">
      <c r="A7704" t="n">
        <v>1.4553</v>
      </c>
      <c r="B7704" t="n">
        <v>1.6496</v>
      </c>
      <c r="C7704" t="n">
        <v>1.4629</v>
      </c>
    </row>
    <row r="7705">
      <c r="A7705" t="n">
        <v>1.6215</v>
      </c>
      <c r="B7705" t="n">
        <v>1.5161</v>
      </c>
      <c r="C7705" t="n">
        <v>1.7601</v>
      </c>
    </row>
    <row r="7706">
      <c r="A7706" t="n">
        <v>1.5155</v>
      </c>
      <c r="B7706" t="n">
        <v>1.7386</v>
      </c>
      <c r="C7706" t="n">
        <v>1.5161</v>
      </c>
    </row>
    <row r="7707">
      <c r="A7707" t="n">
        <v>1.6232</v>
      </c>
      <c r="B7707" t="n">
        <v>1.7235</v>
      </c>
      <c r="C7707" t="n">
        <v>1.4661</v>
      </c>
    </row>
    <row r="7708">
      <c r="A7708" t="n">
        <v>1.5173</v>
      </c>
      <c r="B7708" t="n">
        <v>1.5319</v>
      </c>
      <c r="C7708" t="n">
        <v>1.4429</v>
      </c>
    </row>
    <row r="7709">
      <c r="A7709" t="n">
        <v>1.4315</v>
      </c>
      <c r="B7709" t="n">
        <v>1.6644</v>
      </c>
      <c r="C7709" t="n">
        <v>1.6206</v>
      </c>
    </row>
    <row r="7710">
      <c r="A7710" t="n">
        <v>1.4989</v>
      </c>
      <c r="B7710" t="n">
        <v>1.4983</v>
      </c>
      <c r="C7710" t="n">
        <v>1.7592</v>
      </c>
    </row>
    <row r="7711">
      <c r="A7711" t="n">
        <v>1.4806</v>
      </c>
      <c r="B7711" t="n">
        <v>1.4768</v>
      </c>
      <c r="C7711" t="n">
        <v>1.5171</v>
      </c>
    </row>
    <row r="7712">
      <c r="A7712" t="n">
        <v>1.4275</v>
      </c>
      <c r="B7712" t="n">
        <v>1.6439</v>
      </c>
      <c r="C7712" t="n">
        <v>1.436</v>
      </c>
    </row>
    <row r="7713">
      <c r="A7713" t="n">
        <v>1.395</v>
      </c>
      <c r="B7713" t="n">
        <v>1.5436</v>
      </c>
      <c r="C7713" t="n">
        <v>1.4612</v>
      </c>
    </row>
    <row r="7714">
      <c r="A7714" t="n">
        <v>2.061</v>
      </c>
      <c r="B7714" t="n">
        <v>1.6562</v>
      </c>
      <c r="C7714" t="n">
        <v>1.9751</v>
      </c>
    </row>
    <row r="7715">
      <c r="A7715" t="n">
        <v>1.773</v>
      </c>
      <c r="B7715" t="n">
        <v>1.5197</v>
      </c>
      <c r="C7715" t="n">
        <v>1.6933</v>
      </c>
    </row>
    <row r="7716">
      <c r="A7716" t="n">
        <v>1.5642</v>
      </c>
      <c r="B7716" t="n">
        <v>1.459</v>
      </c>
      <c r="C7716" t="n">
        <v>1.6965</v>
      </c>
    </row>
    <row r="7717">
      <c r="A7717" t="n">
        <v>1.6702</v>
      </c>
      <c r="B7717" t="n">
        <v>1.394</v>
      </c>
      <c r="C7717" t="n">
        <v>1.519</v>
      </c>
    </row>
    <row r="7718">
      <c r="A7718" t="n">
        <v>1.4745</v>
      </c>
      <c r="B7718" t="n">
        <v>1.4286</v>
      </c>
      <c r="C7718" t="n">
        <v>1.6199</v>
      </c>
    </row>
    <row r="7719">
      <c r="A7719" t="n">
        <v>1.4442</v>
      </c>
      <c r="B7719" t="n">
        <v>1.4246</v>
      </c>
      <c r="C7719" t="n">
        <v>1.5406</v>
      </c>
    </row>
    <row r="7720">
      <c r="A7720" t="n">
        <v>1.3995</v>
      </c>
      <c r="B7720" t="n">
        <v>1.3994</v>
      </c>
      <c r="C7720" t="n">
        <v>1.444</v>
      </c>
    </row>
    <row r="7721">
      <c r="A7721" t="n">
        <v>1.4088</v>
      </c>
      <c r="B7721" t="n">
        <v>1.4745</v>
      </c>
      <c r="C7721" t="n">
        <v>1.4632</v>
      </c>
    </row>
    <row r="7722">
      <c r="A7722" t="n">
        <v>1.4352</v>
      </c>
      <c r="B7722" t="n">
        <v>1.6457</v>
      </c>
      <c r="C7722" t="n">
        <v>1.454</v>
      </c>
    </row>
    <row r="7723">
      <c r="A7723" t="n">
        <v>1.4437</v>
      </c>
      <c r="B7723" t="n">
        <v>1.5153</v>
      </c>
      <c r="C7723" t="n">
        <v>1.4739</v>
      </c>
    </row>
    <row r="7724">
      <c r="A7724" t="n">
        <v>1.4594</v>
      </c>
      <c r="B7724" t="n">
        <v>1.4587</v>
      </c>
      <c r="C7724" t="n">
        <v>1.4124</v>
      </c>
    </row>
    <row r="7725">
      <c r="A7725" t="n">
        <v>1.6293</v>
      </c>
      <c r="B7725" t="n">
        <v>1.4284</v>
      </c>
      <c r="C7725" t="n">
        <v>1.4451</v>
      </c>
    </row>
    <row r="7726">
      <c r="A7726" t="n">
        <v>1.4813</v>
      </c>
      <c r="B7726" t="n">
        <v>1.4098</v>
      </c>
      <c r="C7726" t="n">
        <v>1.6693</v>
      </c>
    </row>
    <row r="7727">
      <c r="A7727" t="n">
        <v>1.4219</v>
      </c>
      <c r="B7727" t="n">
        <v>1.4439</v>
      </c>
      <c r="C7727" t="n">
        <v>1.4801</v>
      </c>
    </row>
    <row r="7728">
      <c r="A7728" t="n">
        <v>1.4186</v>
      </c>
      <c r="B7728" t="n">
        <v>1.4189</v>
      </c>
      <c r="C7728" t="n">
        <v>1.4387</v>
      </c>
    </row>
    <row r="7729">
      <c r="A7729" t="n">
        <v>1.4266</v>
      </c>
      <c r="B7729" t="n">
        <v>1.574</v>
      </c>
      <c r="C7729" t="n">
        <v>1.6366</v>
      </c>
    </row>
    <row r="7730">
      <c r="A7730" t="n">
        <v>1.4372</v>
      </c>
      <c r="B7730" t="n">
        <v>1.7922</v>
      </c>
      <c r="C7730" t="n">
        <v>1.5314</v>
      </c>
    </row>
    <row r="7731">
      <c r="A7731" t="n">
        <v>1.6635</v>
      </c>
      <c r="B7731" t="n">
        <v>1.4297</v>
      </c>
      <c r="C7731" t="n">
        <v>1.6276</v>
      </c>
    </row>
    <row r="7732">
      <c r="A7732" t="n">
        <v>1.7308</v>
      </c>
      <c r="B7732" t="n">
        <v>1.4264</v>
      </c>
      <c r="C7732" t="n">
        <v>1.5155</v>
      </c>
    </row>
    <row r="7733">
      <c r="A7733" t="n">
        <v>1.4686</v>
      </c>
      <c r="B7733" t="n">
        <v>1.6897</v>
      </c>
      <c r="C7733" t="n">
        <v>1.4384</v>
      </c>
    </row>
    <row r="7734">
      <c r="A7734" t="n">
        <v>1.48</v>
      </c>
      <c r="B7734" t="n">
        <v>1.8099</v>
      </c>
      <c r="C7734" t="n">
        <v>1.4205</v>
      </c>
    </row>
    <row r="7735">
      <c r="A7735" t="n">
        <v>1.4411</v>
      </c>
      <c r="B7735" t="n">
        <v>1.5029</v>
      </c>
      <c r="C7735" t="n">
        <v>1.4551</v>
      </c>
    </row>
    <row r="7736">
      <c r="A7736" t="n">
        <v>1.6831</v>
      </c>
      <c r="B7736" t="n">
        <v>1.4566</v>
      </c>
      <c r="C7736" t="n">
        <v>1.4644</v>
      </c>
    </row>
    <row r="7737">
      <c r="A7737" t="n">
        <v>1.7088</v>
      </c>
      <c r="B7737" t="n">
        <v>1.4362</v>
      </c>
      <c r="C7737" t="n">
        <v>1.4091</v>
      </c>
    </row>
    <row r="7738">
      <c r="A7738" t="n">
        <v>1.4961</v>
      </c>
      <c r="B7738" t="n">
        <v>1.7254</v>
      </c>
      <c r="C7738" t="n">
        <v>1.4819</v>
      </c>
    </row>
    <row r="7739">
      <c r="A7739" t="n">
        <v>1.4238</v>
      </c>
      <c r="B7739" t="n">
        <v>1.7603</v>
      </c>
      <c r="C7739" t="n">
        <v>1.6727</v>
      </c>
    </row>
    <row r="7740">
      <c r="A7740" t="n">
        <v>1.4533</v>
      </c>
      <c r="B7740" t="n">
        <v>1.5126</v>
      </c>
      <c r="C7740" t="n">
        <v>1.5309</v>
      </c>
    </row>
    <row r="7741">
      <c r="A7741" t="n">
        <v>1.6057</v>
      </c>
      <c r="B7741" t="n">
        <v>1.4286</v>
      </c>
      <c r="C7741" t="n">
        <v>1.5258</v>
      </c>
    </row>
    <row r="7742">
      <c r="A7742" t="n">
        <v>1.5694</v>
      </c>
      <c r="B7742" t="n">
        <v>1.4433</v>
      </c>
      <c r="C7742" t="n">
        <v>1.4192</v>
      </c>
    </row>
    <row r="7743">
      <c r="A7743" t="n">
        <v>1.4321</v>
      </c>
      <c r="B7743" t="n">
        <v>1.6555</v>
      </c>
      <c r="C7743" t="n">
        <v>1.4888</v>
      </c>
    </row>
    <row r="7744">
      <c r="A7744" t="n">
        <v>1.4109</v>
      </c>
      <c r="B7744" t="n">
        <v>1.7277</v>
      </c>
      <c r="C7744" t="n">
        <v>1.4449</v>
      </c>
    </row>
    <row r="7745">
      <c r="A7745" t="n">
        <v>1.4008</v>
      </c>
      <c r="B7745" t="n">
        <v>1.5223</v>
      </c>
      <c r="C7745" t="n">
        <v>1.445</v>
      </c>
    </row>
    <row r="7746">
      <c r="A7746" t="n">
        <v>1.7851</v>
      </c>
      <c r="B7746" t="n">
        <v>1.7251</v>
      </c>
      <c r="C7746" t="n">
        <v>2.0726</v>
      </c>
    </row>
    <row r="7747">
      <c r="A7747" t="n">
        <v>1.5019</v>
      </c>
      <c r="B7747" t="n">
        <v>1.7005</v>
      </c>
      <c r="C7747" t="n">
        <v>1.6856</v>
      </c>
    </row>
    <row r="7748">
      <c r="A7748" t="n">
        <v>1.6647</v>
      </c>
      <c r="B7748" t="n">
        <v>1.545</v>
      </c>
      <c r="C7748" t="n">
        <v>1.7088</v>
      </c>
    </row>
    <row r="7749">
      <c r="A7749" t="n">
        <v>1.5364</v>
      </c>
      <c r="B7749" t="n">
        <v>1.4338</v>
      </c>
      <c r="C7749" t="n">
        <v>1.5025</v>
      </c>
    </row>
    <row r="7750">
      <c r="A7750" t="n">
        <v>1.4475</v>
      </c>
      <c r="B7750" t="n">
        <v>1.4133</v>
      </c>
      <c r="C7750" t="n">
        <v>1.4593</v>
      </c>
    </row>
    <row r="7751">
      <c r="A7751" t="n">
        <v>1.4313</v>
      </c>
      <c r="B7751" t="n">
        <v>1.4396</v>
      </c>
      <c r="C7751" t="n">
        <v>1.4272</v>
      </c>
    </row>
    <row r="7752">
      <c r="A7752" t="n">
        <v>1.4555</v>
      </c>
      <c r="B7752" t="n">
        <v>1.4628</v>
      </c>
      <c r="C7752" t="n">
        <v>1.6589</v>
      </c>
    </row>
    <row r="7753">
      <c r="A7753" t="n">
        <v>1.4308</v>
      </c>
      <c r="B7753" t="n">
        <v>1.6428</v>
      </c>
      <c r="C7753" t="n">
        <v>1.7687</v>
      </c>
    </row>
    <row r="7754">
      <c r="A7754" t="n">
        <v>1.6647</v>
      </c>
      <c r="B7754" t="n">
        <v>1.7163</v>
      </c>
      <c r="C7754" t="n">
        <v>1.4867</v>
      </c>
    </row>
    <row r="7755">
      <c r="A7755" t="n">
        <v>1.7486</v>
      </c>
      <c r="B7755" t="n">
        <v>1.5184</v>
      </c>
      <c r="C7755" t="n">
        <v>1.4602</v>
      </c>
    </row>
    <row r="7756">
      <c r="A7756" t="n">
        <v>1.4922</v>
      </c>
      <c r="B7756" t="n">
        <v>1.4386</v>
      </c>
      <c r="C7756" t="n">
        <v>1.4588</v>
      </c>
    </row>
    <row r="7757">
      <c r="A7757" t="n">
        <v>1.4446</v>
      </c>
      <c r="B7757" t="n">
        <v>1.4541</v>
      </c>
      <c r="C7757" t="n">
        <v>1.7117</v>
      </c>
    </row>
    <row r="7758">
      <c r="A7758" t="n">
        <v>1.4719</v>
      </c>
      <c r="B7758" t="n">
        <v>1.6703</v>
      </c>
      <c r="C7758" t="n">
        <v>1.7321</v>
      </c>
    </row>
    <row r="7759">
      <c r="A7759" t="n">
        <v>1.6445</v>
      </c>
      <c r="B7759" t="n">
        <v>1.6947</v>
      </c>
      <c r="C7759" t="n">
        <v>1.5209</v>
      </c>
    </row>
    <row r="7760">
      <c r="A7760" t="n">
        <v>1.7592</v>
      </c>
      <c r="B7760" t="n">
        <v>1.5025</v>
      </c>
      <c r="C7760" t="n">
        <v>1.4424</v>
      </c>
    </row>
    <row r="7761">
      <c r="A7761" t="n">
        <v>1.4997</v>
      </c>
      <c r="B7761" t="n">
        <v>1.4374</v>
      </c>
      <c r="C7761" t="n">
        <v>1.4552</v>
      </c>
    </row>
    <row r="7762">
      <c r="A7762" t="n">
        <v>1.4561</v>
      </c>
      <c r="B7762" t="n">
        <v>1.7368</v>
      </c>
      <c r="C7762" t="n">
        <v>1.6323</v>
      </c>
    </row>
    <row r="7763">
      <c r="A7763" t="n">
        <v>1.4265</v>
      </c>
      <c r="B7763" t="n">
        <v>1.4407</v>
      </c>
      <c r="C7763" t="n">
        <v>1.7851</v>
      </c>
    </row>
    <row r="7764">
      <c r="A7764" t="n">
        <v>1.629</v>
      </c>
      <c r="B7764" t="n">
        <v>1.7666</v>
      </c>
      <c r="C7764" t="n">
        <v>1.4912</v>
      </c>
    </row>
    <row r="7765">
      <c r="A7765" t="n">
        <v>1.8287</v>
      </c>
      <c r="B7765" t="n">
        <v>1.499</v>
      </c>
      <c r="C7765" t="n">
        <v>1.4645</v>
      </c>
    </row>
    <row r="7766">
      <c r="A7766" t="n">
        <v>1.4791</v>
      </c>
      <c r="B7766" t="n">
        <v>1.4696</v>
      </c>
      <c r="C7766" t="n">
        <v>1.4404</v>
      </c>
    </row>
    <row r="7767">
      <c r="A7767" t="n">
        <v>1.4468</v>
      </c>
      <c r="B7767" t="n">
        <v>1.4479</v>
      </c>
      <c r="C7767" t="n">
        <v>1.6622</v>
      </c>
    </row>
    <row r="7768">
      <c r="A7768" t="n">
        <v>1.4582</v>
      </c>
      <c r="B7768" t="n">
        <v>1.6202</v>
      </c>
      <c r="C7768" t="n">
        <v>1.789</v>
      </c>
    </row>
    <row r="7769">
      <c r="A7769" t="n">
        <v>1.6403</v>
      </c>
      <c r="B7769" t="n">
        <v>1.7859</v>
      </c>
      <c r="C7769" t="n">
        <v>1.5131</v>
      </c>
    </row>
    <row r="7770">
      <c r="A7770" t="n">
        <v>1.7283</v>
      </c>
      <c r="B7770" t="n">
        <v>1.5038</v>
      </c>
      <c r="C7770" t="n">
        <v>1.4696</v>
      </c>
    </row>
    <row r="7771">
      <c r="A7771" t="n">
        <v>1.4872</v>
      </c>
      <c r="B7771" t="n">
        <v>1.433</v>
      </c>
      <c r="C7771" t="n">
        <v>1.4812</v>
      </c>
    </row>
    <row r="7772">
      <c r="A7772" t="n">
        <v>1.4193</v>
      </c>
      <c r="B7772" t="n">
        <v>1.4606</v>
      </c>
      <c r="C7772" t="n">
        <v>1.746</v>
      </c>
    </row>
    <row r="7773">
      <c r="A7773" t="n">
        <v>1.4349</v>
      </c>
      <c r="B7773" t="n">
        <v>1.7488</v>
      </c>
      <c r="C7773" t="n">
        <v>1.7629</v>
      </c>
    </row>
    <row r="7774">
      <c r="A7774" t="n">
        <v>1.7267</v>
      </c>
      <c r="B7774" t="n">
        <v>1.7385</v>
      </c>
      <c r="C7774" t="n">
        <v>1.8726</v>
      </c>
    </row>
    <row r="7775">
      <c r="A7775" t="n">
        <v>1.7958</v>
      </c>
      <c r="B7775" t="n">
        <v>1.5332</v>
      </c>
      <c r="C7775" t="n">
        <v>1.5507</v>
      </c>
    </row>
    <row r="7776">
      <c r="A7776" t="n">
        <v>1.5186</v>
      </c>
      <c r="B7776" t="n">
        <v>1.4656</v>
      </c>
      <c r="C7776" t="n">
        <v>1.7317</v>
      </c>
    </row>
    <row r="7777">
      <c r="A7777" t="n">
        <v>1.4368</v>
      </c>
      <c r="B7777" t="n">
        <v>1.4248</v>
      </c>
      <c r="C7777" t="n">
        <v>1.7454</v>
      </c>
    </row>
    <row r="7778">
      <c r="A7778" t="n">
        <v>1.9578</v>
      </c>
      <c r="B7778" t="n">
        <v>1.708</v>
      </c>
      <c r="C7778" t="n">
        <v>2.0037</v>
      </c>
    </row>
    <row r="7779">
      <c r="A7779" t="n">
        <v>1.5261</v>
      </c>
      <c r="B7779" t="n">
        <v>1.7405</v>
      </c>
      <c r="C7779" t="n">
        <v>1.5062</v>
      </c>
    </row>
    <row r="7780">
      <c r="A7780" t="n">
        <v>1.447</v>
      </c>
      <c r="B7780" t="n">
        <v>1.4924</v>
      </c>
      <c r="C7780" t="n">
        <v>1.4682</v>
      </c>
    </row>
    <row r="7781">
      <c r="A7781" t="n">
        <v>1.412</v>
      </c>
      <c r="B7781" t="n">
        <v>1.4419</v>
      </c>
      <c r="C7781" t="n">
        <v>1.4981</v>
      </c>
    </row>
    <row r="7782">
      <c r="A7782" t="n">
        <v>1.4393</v>
      </c>
      <c r="B7782" t="n">
        <v>1.4237</v>
      </c>
      <c r="C7782" t="n">
        <v>1.5124</v>
      </c>
    </row>
    <row r="7783">
      <c r="A7783" t="n">
        <v>1.4648</v>
      </c>
      <c r="B7783" t="n">
        <v>1.6313</v>
      </c>
      <c r="C7783" t="n">
        <v>1.6413</v>
      </c>
    </row>
    <row r="7784">
      <c r="A7784" t="n">
        <v>1.6794</v>
      </c>
      <c r="B7784" t="n">
        <v>1.7072</v>
      </c>
      <c r="C7784" t="n">
        <v>1.4971</v>
      </c>
    </row>
    <row r="7785">
      <c r="A7785" t="n">
        <v>1.6976</v>
      </c>
      <c r="B7785" t="n">
        <v>1.5016</v>
      </c>
      <c r="C7785" t="n">
        <v>1.4709</v>
      </c>
    </row>
    <row r="7786">
      <c r="A7786" t="n">
        <v>1.501</v>
      </c>
      <c r="B7786" t="n">
        <v>1.4295</v>
      </c>
      <c r="C7786" t="n">
        <v>1.4414</v>
      </c>
    </row>
    <row r="7787">
      <c r="A7787" t="n">
        <v>1.4457</v>
      </c>
      <c r="B7787" t="n">
        <v>1.4531</v>
      </c>
      <c r="C7787" t="n">
        <v>1.425</v>
      </c>
    </row>
    <row r="7788">
      <c r="A7788" t="n">
        <v>1.4464</v>
      </c>
      <c r="B7788" t="n">
        <v>1.6245</v>
      </c>
      <c r="C7788" t="n">
        <v>1.4718</v>
      </c>
    </row>
    <row r="7789">
      <c r="A7789" t="n">
        <v>1.6338</v>
      </c>
      <c r="B7789" t="n">
        <v>1.5196</v>
      </c>
      <c r="C7789" t="n">
        <v>1.6768</v>
      </c>
    </row>
    <row r="7790">
      <c r="A7790" t="n">
        <v>1.5524</v>
      </c>
      <c r="B7790" t="n">
        <v>1.6809</v>
      </c>
      <c r="C7790" t="n">
        <v>1.7056</v>
      </c>
    </row>
    <row r="7791">
      <c r="A7791" t="n">
        <v>1.4264</v>
      </c>
      <c r="B7791" t="n">
        <v>1.4891</v>
      </c>
      <c r="C7791" t="n">
        <v>1.4924</v>
      </c>
    </row>
    <row r="7792">
      <c r="A7792" t="n">
        <v>1.4911</v>
      </c>
      <c r="B7792" t="n">
        <v>1.4639</v>
      </c>
      <c r="C7792" t="n">
        <v>1.4799</v>
      </c>
    </row>
    <row r="7793">
      <c r="A7793" t="n">
        <v>1.392</v>
      </c>
      <c r="B7793" t="n">
        <v>1.7361</v>
      </c>
      <c r="C7793" t="n">
        <v>1.4318</v>
      </c>
    </row>
    <row r="7794">
      <c r="A7794" t="n">
        <v>1.4318</v>
      </c>
      <c r="B7794" t="n">
        <v>2.0863</v>
      </c>
      <c r="C7794" t="n">
        <v>1.676</v>
      </c>
    </row>
    <row r="7795">
      <c r="A7795" t="n">
        <v>1.438</v>
      </c>
      <c r="B7795" t="n">
        <v>1.7</v>
      </c>
      <c r="C7795" t="n">
        <v>1.7142</v>
      </c>
    </row>
    <row r="7796">
      <c r="A7796" t="n">
        <v>1.4435</v>
      </c>
      <c r="B7796" t="n">
        <v>1.553</v>
      </c>
      <c r="C7796" t="n">
        <v>1.4835</v>
      </c>
    </row>
    <row r="7797">
      <c r="A7797" t="n">
        <v>1.6709</v>
      </c>
      <c r="B7797" t="n">
        <v>1.7341</v>
      </c>
      <c r="C7797" t="n">
        <v>1.4601</v>
      </c>
    </row>
    <row r="7798">
      <c r="A7798" t="n">
        <v>1.6929</v>
      </c>
      <c r="B7798" t="n">
        <v>1.4727</v>
      </c>
      <c r="C7798" t="n">
        <v>1.4837</v>
      </c>
    </row>
    <row r="7799">
      <c r="A7799" t="n">
        <v>1.4789</v>
      </c>
      <c r="B7799" t="n">
        <v>1.4901</v>
      </c>
      <c r="C7799" t="n">
        <v>1.6481</v>
      </c>
    </row>
    <row r="7800">
      <c r="A7800" t="n">
        <v>1.474</v>
      </c>
      <c r="B7800" t="n">
        <v>1.6381</v>
      </c>
      <c r="C7800" t="n">
        <v>1.7997</v>
      </c>
    </row>
    <row r="7801">
      <c r="A7801" t="n">
        <v>1.4312</v>
      </c>
      <c r="B7801" t="n">
        <v>1.6049</v>
      </c>
      <c r="C7801" t="n">
        <v>1.5143</v>
      </c>
    </row>
    <row r="7802">
      <c r="A7802" t="n">
        <v>1.7014</v>
      </c>
      <c r="B7802" t="n">
        <v>1.4719</v>
      </c>
      <c r="C7802" t="n">
        <v>1.4396</v>
      </c>
    </row>
    <row r="7803">
      <c r="A7803" t="n">
        <v>1.7592</v>
      </c>
      <c r="B7803" t="n">
        <v>1.4405</v>
      </c>
      <c r="C7803" t="n">
        <v>1.4343</v>
      </c>
    </row>
    <row r="7804">
      <c r="A7804" t="n">
        <v>1.5018</v>
      </c>
      <c r="B7804" t="n">
        <v>1.4109</v>
      </c>
      <c r="C7804" t="n">
        <v>1.6584</v>
      </c>
    </row>
    <row r="7805">
      <c r="A7805" t="n">
        <v>1.4299</v>
      </c>
      <c r="B7805" t="n">
        <v>1.4736</v>
      </c>
      <c r="C7805" t="n">
        <v>1.698</v>
      </c>
    </row>
    <row r="7806">
      <c r="A7806" t="n">
        <v>1.4772</v>
      </c>
      <c r="B7806" t="n">
        <v>1.4275</v>
      </c>
      <c r="C7806" t="n">
        <v>1.4947</v>
      </c>
    </row>
    <row r="7807">
      <c r="A7807" t="n">
        <v>1.6308</v>
      </c>
      <c r="B7807" t="n">
        <v>1.4157</v>
      </c>
      <c r="C7807" t="n">
        <v>1.4668</v>
      </c>
    </row>
    <row r="7808">
      <c r="A7808" t="n">
        <v>1.6891</v>
      </c>
      <c r="B7808" t="n">
        <v>1.6794</v>
      </c>
      <c r="C7808" t="n">
        <v>1.426</v>
      </c>
    </row>
    <row r="7809">
      <c r="A7809" t="n">
        <v>1.5248</v>
      </c>
      <c r="B7809" t="n">
        <v>1.7632</v>
      </c>
      <c r="C7809" t="n">
        <v>1.4443</v>
      </c>
    </row>
    <row r="7810">
      <c r="A7810" t="n">
        <v>1.7764</v>
      </c>
      <c r="B7810" t="n">
        <v>1.5043</v>
      </c>
      <c r="C7810" t="n">
        <v>1.8407</v>
      </c>
    </row>
    <row r="7811">
      <c r="A7811" t="n">
        <v>1.6241</v>
      </c>
      <c r="B7811" t="n">
        <v>1.4785</v>
      </c>
      <c r="C7811" t="n">
        <v>1.4163</v>
      </c>
    </row>
    <row r="7812">
      <c r="A7812" t="n">
        <v>1.5285</v>
      </c>
      <c r="B7812" t="n">
        <v>1.4343</v>
      </c>
      <c r="C7812" t="n">
        <v>1.4541</v>
      </c>
    </row>
    <row r="7813">
      <c r="A7813" t="n">
        <v>1.6392</v>
      </c>
      <c r="B7813" t="n">
        <v>1.6724</v>
      </c>
      <c r="C7813" t="n">
        <v>1.5028</v>
      </c>
    </row>
    <row r="7814">
      <c r="A7814" t="n">
        <v>1.7716</v>
      </c>
      <c r="B7814" t="n">
        <v>1.6891</v>
      </c>
      <c r="C7814" t="n">
        <v>1.6719</v>
      </c>
    </row>
    <row r="7815">
      <c r="A7815" t="n">
        <v>1.5471</v>
      </c>
      <c r="B7815" t="n">
        <v>1.5133</v>
      </c>
      <c r="C7815" t="n">
        <v>1.576</v>
      </c>
    </row>
    <row r="7816">
      <c r="A7816" t="n">
        <v>1.6568</v>
      </c>
      <c r="B7816" t="n">
        <v>1.4374</v>
      </c>
      <c r="C7816" t="n">
        <v>1.6797</v>
      </c>
    </row>
    <row r="7817">
      <c r="A7817" t="n">
        <v>1.4665</v>
      </c>
      <c r="B7817" t="n">
        <v>1.4399</v>
      </c>
      <c r="C7817" t="n">
        <v>1.4976</v>
      </c>
    </row>
    <row r="7818">
      <c r="A7818" t="n">
        <v>1.4442</v>
      </c>
      <c r="B7818" t="n">
        <v>1.6128</v>
      </c>
      <c r="C7818" t="n">
        <v>1.4801</v>
      </c>
    </row>
    <row r="7819">
      <c r="A7819" t="n">
        <v>1.7363</v>
      </c>
      <c r="B7819" t="n">
        <v>1.8219</v>
      </c>
      <c r="C7819" t="n">
        <v>1.429</v>
      </c>
    </row>
    <row r="7820">
      <c r="A7820" t="n">
        <v>1.4967</v>
      </c>
      <c r="B7820" t="n">
        <v>1.5042</v>
      </c>
      <c r="C7820" t="n">
        <v>1.4639</v>
      </c>
    </row>
    <row r="7821">
      <c r="A7821" t="n">
        <v>1.6435</v>
      </c>
      <c r="B7821" t="n">
        <v>1.469</v>
      </c>
      <c r="C7821" t="n">
        <v>1.4329</v>
      </c>
    </row>
    <row r="7822">
      <c r="A7822" t="n">
        <v>1.4744</v>
      </c>
      <c r="B7822" t="n">
        <v>1.4224</v>
      </c>
      <c r="C7822" t="n">
        <v>1.4479</v>
      </c>
    </row>
    <row r="7823">
      <c r="A7823" t="n">
        <v>1.3924</v>
      </c>
      <c r="B7823" t="n">
        <v>1.7356</v>
      </c>
      <c r="C7823" t="n">
        <v>1.7926</v>
      </c>
    </row>
    <row r="7824">
      <c r="A7824" t="n">
        <v>1.4414</v>
      </c>
      <c r="B7824" t="n">
        <v>1.6955</v>
      </c>
      <c r="C7824" t="n">
        <v>1.5676</v>
      </c>
    </row>
    <row r="7825">
      <c r="A7825" t="n">
        <v>1.4479</v>
      </c>
      <c r="B7825" t="n">
        <v>1.4863</v>
      </c>
      <c r="C7825" t="n">
        <v>1.477</v>
      </c>
    </row>
    <row r="7826">
      <c r="A7826" t="n">
        <v>1.4109</v>
      </c>
      <c r="B7826" t="n">
        <v>1.8319</v>
      </c>
      <c r="C7826" t="n">
        <v>1.4702</v>
      </c>
    </row>
    <row r="7827">
      <c r="A7827" t="n">
        <v>1.433</v>
      </c>
      <c r="B7827" t="n">
        <v>1.6629</v>
      </c>
      <c r="C7827" t="n">
        <v>1.6998</v>
      </c>
    </row>
    <row r="7828">
      <c r="A7828" t="n">
        <v>1.4807</v>
      </c>
      <c r="B7828" t="n">
        <v>1.5036</v>
      </c>
      <c r="C7828" t="n">
        <v>1.7868</v>
      </c>
    </row>
    <row r="7829">
      <c r="A7829" t="n">
        <v>1.6359</v>
      </c>
      <c r="B7829" t="n">
        <v>1.4293</v>
      </c>
      <c r="C7829" t="n">
        <v>1.735</v>
      </c>
    </row>
    <row r="7830">
      <c r="A7830" t="n">
        <v>1.4963</v>
      </c>
      <c r="B7830" t="n">
        <v>1.4399</v>
      </c>
      <c r="C7830" t="n">
        <v>1.5395</v>
      </c>
    </row>
    <row r="7831">
      <c r="A7831" t="n">
        <v>1.4602</v>
      </c>
      <c r="B7831" t="n">
        <v>1.4212</v>
      </c>
      <c r="C7831" t="n">
        <v>1.6585</v>
      </c>
    </row>
    <row r="7832">
      <c r="A7832" t="n">
        <v>1.395</v>
      </c>
      <c r="B7832" t="n">
        <v>1.4821</v>
      </c>
      <c r="C7832" t="n">
        <v>1.5069</v>
      </c>
    </row>
    <row r="7833">
      <c r="A7833" t="n">
        <v>1.4406</v>
      </c>
      <c r="B7833" t="n">
        <v>1.6453</v>
      </c>
      <c r="C7833" t="n">
        <v>1.4627</v>
      </c>
    </row>
    <row r="7834">
      <c r="A7834" t="n">
        <v>1.4269</v>
      </c>
      <c r="B7834" t="n">
        <v>1.727</v>
      </c>
      <c r="C7834" t="n">
        <v>1.4212</v>
      </c>
    </row>
    <row r="7835">
      <c r="A7835" t="n">
        <v>1.6165</v>
      </c>
      <c r="B7835" t="n">
        <v>1.5014</v>
      </c>
      <c r="C7835" t="n">
        <v>1.4221</v>
      </c>
    </row>
    <row r="7836">
      <c r="A7836" t="n">
        <v>1.7384</v>
      </c>
      <c r="B7836" t="n">
        <v>1.5313</v>
      </c>
      <c r="C7836" t="n">
        <v>1.462</v>
      </c>
    </row>
    <row r="7837">
      <c r="A7837" t="n">
        <v>1.4948</v>
      </c>
      <c r="B7837" t="n">
        <v>1.4328</v>
      </c>
      <c r="C7837" t="n">
        <v>1.4156</v>
      </c>
    </row>
    <row r="7838">
      <c r="A7838" t="n">
        <v>1.4617</v>
      </c>
      <c r="B7838" t="n">
        <v>1.6571</v>
      </c>
      <c r="C7838" t="n">
        <v>1.5064</v>
      </c>
    </row>
    <row r="7839">
      <c r="A7839" t="n">
        <v>1.4142</v>
      </c>
      <c r="B7839" t="n">
        <v>1.7139</v>
      </c>
      <c r="C7839" t="n">
        <v>1.6855</v>
      </c>
    </row>
    <row r="7840">
      <c r="A7840" t="n">
        <v>1.6872</v>
      </c>
      <c r="B7840" t="n">
        <v>1.5014</v>
      </c>
      <c r="C7840" t="n">
        <v>1.4914</v>
      </c>
    </row>
    <row r="7841">
      <c r="A7841" t="n">
        <v>1.7028</v>
      </c>
      <c r="B7841" t="n">
        <v>1.4553</v>
      </c>
      <c r="C7841" t="n">
        <v>1.4548</v>
      </c>
    </row>
    <row r="7842">
      <c r="A7842" t="n">
        <v>1.8744</v>
      </c>
      <c r="B7842" t="n">
        <v>1.4406</v>
      </c>
      <c r="C7842" t="n">
        <v>1.9954</v>
      </c>
    </row>
    <row r="7843">
      <c r="A7843" t="n">
        <v>1.5553</v>
      </c>
      <c r="B7843" t="n">
        <v>1.5979</v>
      </c>
      <c r="C7843" t="n">
        <v>1.7498</v>
      </c>
    </row>
    <row r="7844">
      <c r="A7844" t="n">
        <v>1.6546</v>
      </c>
      <c r="B7844" t="n">
        <v>1.6236</v>
      </c>
      <c r="C7844" t="n">
        <v>1.7052</v>
      </c>
    </row>
    <row r="7845">
      <c r="A7845" t="n">
        <v>1.5249</v>
      </c>
      <c r="B7845" t="n">
        <v>1.4693</v>
      </c>
      <c r="C7845" t="n">
        <v>1.5473</v>
      </c>
    </row>
    <row r="7846">
      <c r="A7846" t="n">
        <v>1.4366</v>
      </c>
      <c r="B7846" t="n">
        <v>1.403</v>
      </c>
      <c r="C7846" t="n">
        <v>1.5489</v>
      </c>
    </row>
    <row r="7847">
      <c r="A7847" t="n">
        <v>1.4665</v>
      </c>
      <c r="B7847" t="n">
        <v>1.425</v>
      </c>
      <c r="C7847" t="n">
        <v>1.5195</v>
      </c>
    </row>
    <row r="7848">
      <c r="A7848" t="n">
        <v>1.4655</v>
      </c>
      <c r="B7848" t="n">
        <v>1.4366</v>
      </c>
      <c r="C7848" t="n">
        <v>1.4504</v>
      </c>
    </row>
    <row r="7849">
      <c r="A7849" t="n">
        <v>1.4401</v>
      </c>
      <c r="B7849" t="n">
        <v>1.4344</v>
      </c>
      <c r="C7849" t="n">
        <v>1.7864</v>
      </c>
    </row>
    <row r="7850">
      <c r="A7850" t="n">
        <v>1.3948</v>
      </c>
      <c r="B7850" t="n">
        <v>1.4962</v>
      </c>
      <c r="C7850" t="n">
        <v>1.5434</v>
      </c>
    </row>
    <row r="7851">
      <c r="A7851" t="n">
        <v>1.4741</v>
      </c>
      <c r="B7851" t="n">
        <v>1.7117</v>
      </c>
      <c r="C7851" t="n">
        <v>1.7031</v>
      </c>
    </row>
    <row r="7852">
      <c r="A7852" t="n">
        <v>1.6603</v>
      </c>
      <c r="B7852" t="n">
        <v>1.7126</v>
      </c>
      <c r="C7852" t="n">
        <v>1.5245</v>
      </c>
    </row>
    <row r="7853">
      <c r="A7853" t="n">
        <v>1.4707</v>
      </c>
      <c r="B7853" t="n">
        <v>1.5341</v>
      </c>
      <c r="C7853" t="n">
        <v>1.4721</v>
      </c>
    </row>
    <row r="7854">
      <c r="A7854" t="n">
        <v>1.4553</v>
      </c>
      <c r="B7854" t="n">
        <v>1.4792</v>
      </c>
      <c r="C7854" t="n">
        <v>1.6324</v>
      </c>
    </row>
    <row r="7855">
      <c r="A7855" t="n">
        <v>1.4122</v>
      </c>
      <c r="B7855" t="n">
        <v>1.4032</v>
      </c>
      <c r="C7855" t="n">
        <v>1.55</v>
      </c>
    </row>
    <row r="7856">
      <c r="A7856" t="n">
        <v>1.4118</v>
      </c>
      <c r="B7856" t="n">
        <v>1.6647</v>
      </c>
      <c r="C7856" t="n">
        <v>1.6433</v>
      </c>
    </row>
    <row r="7857">
      <c r="A7857" t="n">
        <v>1.4234</v>
      </c>
      <c r="B7857" t="n">
        <v>1.7465</v>
      </c>
      <c r="C7857" t="n">
        <v>1.5154</v>
      </c>
    </row>
    <row r="7858">
      <c r="A7858" t="n">
        <v>1.6596</v>
      </c>
      <c r="B7858" t="n">
        <v>2.0202</v>
      </c>
      <c r="C7858" t="n">
        <v>1.4577</v>
      </c>
    </row>
    <row r="7859">
      <c r="A7859" t="n">
        <v>1.7093</v>
      </c>
      <c r="B7859" t="n">
        <v>1.8926</v>
      </c>
      <c r="C7859" t="n">
        <v>1.6203</v>
      </c>
    </row>
    <row r="7860">
      <c r="A7860" t="n">
        <v>1.5018</v>
      </c>
      <c r="B7860" t="n">
        <v>1.5266</v>
      </c>
      <c r="C7860" t="n">
        <v>1.5365</v>
      </c>
    </row>
    <row r="7861">
      <c r="A7861" t="n">
        <v>1.4591</v>
      </c>
      <c r="B7861" t="n">
        <v>1.4345</v>
      </c>
      <c r="C7861" t="n">
        <v>1.672</v>
      </c>
    </row>
    <row r="7862">
      <c r="A7862" t="n">
        <v>1.4273</v>
      </c>
      <c r="B7862" t="n">
        <v>1.4567</v>
      </c>
      <c r="C7862" t="n">
        <v>1.485</v>
      </c>
    </row>
    <row r="7863">
      <c r="A7863" t="n">
        <v>1.6584</v>
      </c>
      <c r="B7863" t="n">
        <v>1.6432</v>
      </c>
      <c r="C7863" t="n">
        <v>1.4467</v>
      </c>
    </row>
    <row r="7864">
      <c r="A7864" t="n">
        <v>1.6877</v>
      </c>
      <c r="B7864" t="n">
        <v>1.6489</v>
      </c>
      <c r="C7864" t="n">
        <v>1.4188</v>
      </c>
    </row>
    <row r="7865">
      <c r="A7865" t="n">
        <v>1.4886</v>
      </c>
      <c r="B7865" t="n">
        <v>1.4858</v>
      </c>
      <c r="C7865" t="n">
        <v>1.4262</v>
      </c>
    </row>
    <row r="7866">
      <c r="A7866" t="n">
        <v>1.4372</v>
      </c>
      <c r="B7866" t="n">
        <v>1.4511</v>
      </c>
      <c r="C7866" t="n">
        <v>1.4405</v>
      </c>
    </row>
    <row r="7867">
      <c r="A7867" t="n">
        <v>1.4507</v>
      </c>
      <c r="B7867" t="n">
        <v>1.4283</v>
      </c>
      <c r="C7867" t="n">
        <v>1.4328</v>
      </c>
    </row>
    <row r="7868">
      <c r="A7868" t="n">
        <v>1.6433</v>
      </c>
      <c r="B7868" t="n">
        <v>1.6731</v>
      </c>
      <c r="C7868" t="n">
        <v>1.4964</v>
      </c>
    </row>
    <row r="7869">
      <c r="A7869" t="n">
        <v>1.7793</v>
      </c>
      <c r="B7869" t="n">
        <v>1.8366</v>
      </c>
      <c r="C7869" t="n">
        <v>1.6747</v>
      </c>
    </row>
    <row r="7870">
      <c r="A7870" t="n">
        <v>1.5016</v>
      </c>
      <c r="B7870" t="n">
        <v>1.4896</v>
      </c>
      <c r="C7870" t="n">
        <v>1.4905</v>
      </c>
    </row>
    <row r="7871">
      <c r="A7871" t="n">
        <v>1.4263</v>
      </c>
      <c r="B7871" t="n">
        <v>1.4451</v>
      </c>
      <c r="C7871" t="n">
        <v>1.4428</v>
      </c>
    </row>
    <row r="7872">
      <c r="A7872" t="n">
        <v>1.4463</v>
      </c>
      <c r="B7872" t="n">
        <v>1.4784</v>
      </c>
      <c r="C7872" t="n">
        <v>1.6785</v>
      </c>
    </row>
    <row r="7873">
      <c r="A7873" t="n">
        <v>1.6739</v>
      </c>
      <c r="B7873" t="n">
        <v>1.6577</v>
      </c>
      <c r="C7873" t="n">
        <v>1.5704</v>
      </c>
    </row>
    <row r="7874">
      <c r="A7874" t="n">
        <v>2.018</v>
      </c>
      <c r="B7874" t="n">
        <v>1.6884</v>
      </c>
      <c r="C7874" t="n">
        <v>1.9419</v>
      </c>
    </row>
    <row r="7875">
      <c r="A7875" t="n">
        <v>1.7167</v>
      </c>
      <c r="B7875" t="n">
        <v>1.5029</v>
      </c>
      <c r="C7875" t="n">
        <v>1.8048</v>
      </c>
    </row>
    <row r="7876">
      <c r="A7876" t="n">
        <v>1.5379</v>
      </c>
      <c r="B7876" t="n">
        <v>1.4393</v>
      </c>
      <c r="C7876" t="n">
        <v>1.6941</v>
      </c>
    </row>
    <row r="7877">
      <c r="A7877" t="n">
        <v>1.6069</v>
      </c>
      <c r="B7877" t="n">
        <v>1.4713</v>
      </c>
      <c r="C7877" t="n">
        <v>1.492</v>
      </c>
    </row>
    <row r="7878">
      <c r="A7878" t="n">
        <v>1.5067</v>
      </c>
      <c r="B7878" t="n">
        <v>1.6786</v>
      </c>
      <c r="C7878" t="n">
        <v>1.4491</v>
      </c>
    </row>
    <row r="7879">
      <c r="A7879" t="n">
        <v>1.4525</v>
      </c>
      <c r="B7879" t="n">
        <v>1.7421</v>
      </c>
      <c r="C7879" t="n">
        <v>1.4334</v>
      </c>
    </row>
    <row r="7880">
      <c r="A7880" t="n">
        <v>1.3756</v>
      </c>
      <c r="B7880" t="n">
        <v>1.4856</v>
      </c>
      <c r="C7880" t="n">
        <v>1.418</v>
      </c>
    </row>
    <row r="7881">
      <c r="A7881" t="n">
        <v>1.4288</v>
      </c>
      <c r="B7881" t="n">
        <v>1.4371</v>
      </c>
      <c r="C7881" t="n">
        <v>1.4476</v>
      </c>
    </row>
    <row r="7882">
      <c r="A7882" t="n">
        <v>1.4355</v>
      </c>
      <c r="B7882" t="n">
        <v>1.411</v>
      </c>
      <c r="C7882" t="n">
        <v>1.6882</v>
      </c>
    </row>
    <row r="7883">
      <c r="A7883" t="n">
        <v>1.4126</v>
      </c>
      <c r="B7883" t="n">
        <v>1.6442</v>
      </c>
      <c r="C7883" t="n">
        <v>1.7336</v>
      </c>
    </row>
    <row r="7884">
      <c r="A7884" t="n">
        <v>1.4449</v>
      </c>
      <c r="B7884" t="n">
        <v>1.5379</v>
      </c>
      <c r="C7884" t="n">
        <v>1.8405</v>
      </c>
    </row>
    <row r="7885">
      <c r="A7885" t="n">
        <v>1.6395</v>
      </c>
      <c r="B7885" t="n">
        <v>1.7125</v>
      </c>
      <c r="C7885" t="n">
        <v>1.5614</v>
      </c>
    </row>
    <row r="7886">
      <c r="A7886" t="n">
        <v>1.503</v>
      </c>
      <c r="B7886" t="n">
        <v>1.4938</v>
      </c>
      <c r="C7886" t="n">
        <v>1.6554</v>
      </c>
    </row>
    <row r="7887">
      <c r="A7887" t="n">
        <v>1.435</v>
      </c>
      <c r="B7887" t="n">
        <v>1.4704</v>
      </c>
      <c r="C7887" t="n">
        <v>1.5109</v>
      </c>
    </row>
    <row r="7888">
      <c r="A7888" t="n">
        <v>1.4284</v>
      </c>
      <c r="B7888" t="n">
        <v>1.605</v>
      </c>
      <c r="C7888" t="n">
        <v>1.4676</v>
      </c>
    </row>
    <row r="7889">
      <c r="A7889" t="n">
        <v>1.4276</v>
      </c>
      <c r="B7889" t="n">
        <v>1.5379</v>
      </c>
      <c r="C7889" t="n">
        <v>1.5975</v>
      </c>
    </row>
    <row r="7890">
      <c r="A7890" t="n">
        <v>1.4609</v>
      </c>
      <c r="B7890" t="n">
        <v>2.0506</v>
      </c>
      <c r="C7890" t="n">
        <v>1.5911</v>
      </c>
    </row>
    <row r="7891">
      <c r="A7891" t="n">
        <v>1.6352</v>
      </c>
      <c r="B7891" t="n">
        <v>1.7377</v>
      </c>
      <c r="C7891" t="n">
        <v>1.6757</v>
      </c>
    </row>
    <row r="7892">
      <c r="A7892" t="n">
        <v>1.6777</v>
      </c>
      <c r="B7892" t="n">
        <v>1.7612</v>
      </c>
      <c r="C7892" t="n">
        <v>2.0202</v>
      </c>
    </row>
    <row r="7893">
      <c r="A7893" t="n">
        <v>1.5122</v>
      </c>
      <c r="B7893" t="n">
        <v>1.7308</v>
      </c>
      <c r="C7893" t="n">
        <v>1.9984</v>
      </c>
    </row>
    <row r="7894">
      <c r="A7894" t="n">
        <v>1.4473</v>
      </c>
      <c r="B7894" t="n">
        <v>1.4937</v>
      </c>
      <c r="C7894" t="n">
        <v>1.9732</v>
      </c>
    </row>
    <row r="7895">
      <c r="A7895" t="n">
        <v>1.4309</v>
      </c>
      <c r="B7895" t="n">
        <v>1.6755</v>
      </c>
      <c r="C7895" t="n">
        <v>1.9344</v>
      </c>
    </row>
    <row r="7896">
      <c r="A7896" t="n">
        <v>1.6634</v>
      </c>
      <c r="B7896" t="n">
        <v>1.7692</v>
      </c>
      <c r="C7896" t="n">
        <v>1.8512</v>
      </c>
    </row>
    <row r="7897">
      <c r="A7897" t="n">
        <v>1.8631</v>
      </c>
      <c r="B7897" t="n">
        <v>1.5418</v>
      </c>
      <c r="C7897" t="n">
        <v>1.5314</v>
      </c>
    </row>
    <row r="7898">
      <c r="A7898" t="n">
        <v>1.4809</v>
      </c>
      <c r="B7898" t="n">
        <v>1.4953</v>
      </c>
      <c r="C7898" t="n">
        <v>1.4688</v>
      </c>
    </row>
    <row r="7899">
      <c r="A7899" t="n">
        <v>1.4391</v>
      </c>
      <c r="B7899" t="n">
        <v>1.661</v>
      </c>
      <c r="C7899" t="n">
        <v>1.4669</v>
      </c>
    </row>
    <row r="7900">
      <c r="A7900" t="n">
        <v>1.4535</v>
      </c>
      <c r="B7900" t="n">
        <v>1.4993</v>
      </c>
      <c r="C7900" t="n">
        <v>1.4651</v>
      </c>
    </row>
    <row r="7901">
      <c r="A7901" t="n">
        <v>1.6399</v>
      </c>
      <c r="B7901" t="n">
        <v>1.6717</v>
      </c>
      <c r="C7901" t="n">
        <v>1.4216</v>
      </c>
    </row>
    <row r="7902">
      <c r="A7902" t="n">
        <v>1.7365</v>
      </c>
      <c r="B7902" t="n">
        <v>1.8066</v>
      </c>
      <c r="C7902" t="n">
        <v>1.4904</v>
      </c>
    </row>
    <row r="7903">
      <c r="A7903" t="n">
        <v>1.5092</v>
      </c>
      <c r="B7903" t="n">
        <v>1.4883</v>
      </c>
      <c r="C7903" t="n">
        <v>1.4341</v>
      </c>
    </row>
    <row r="7904">
      <c r="A7904" t="n">
        <v>1.4493</v>
      </c>
      <c r="B7904" t="n">
        <v>1.6505</v>
      </c>
      <c r="C7904" t="n">
        <v>1.4313</v>
      </c>
    </row>
    <row r="7905">
      <c r="A7905" t="n">
        <v>1.4644</v>
      </c>
      <c r="B7905" t="n">
        <v>1.5113</v>
      </c>
      <c r="C7905" t="n">
        <v>1.4372</v>
      </c>
    </row>
    <row r="7906">
      <c r="A7906" t="n">
        <v>1.9936</v>
      </c>
      <c r="B7906" t="n">
        <v>1.4367</v>
      </c>
      <c r="C7906" t="n">
        <v>1.8007</v>
      </c>
    </row>
    <row r="7907">
      <c r="A7907" t="n">
        <v>1.7451</v>
      </c>
      <c r="B7907" t="n">
        <v>1.4229</v>
      </c>
      <c r="C7907" t="n">
        <v>1.6568</v>
      </c>
    </row>
    <row r="7908">
      <c r="A7908" t="n">
        <v>1.6825</v>
      </c>
      <c r="B7908" t="n">
        <v>1.4791</v>
      </c>
      <c r="C7908" t="n">
        <v>1.7146</v>
      </c>
    </row>
    <row r="7909">
      <c r="A7909" t="n">
        <v>1.5386</v>
      </c>
      <c r="B7909" t="n">
        <v>1.4388</v>
      </c>
      <c r="C7909" t="n">
        <v>1.5504</v>
      </c>
    </row>
    <row r="7910">
      <c r="A7910" t="n">
        <v>1.6287</v>
      </c>
      <c r="B7910" t="n">
        <v>1.4154</v>
      </c>
      <c r="C7910" t="n">
        <v>1.6444</v>
      </c>
    </row>
    <row r="7911">
      <c r="A7911" t="n">
        <v>1.7515</v>
      </c>
      <c r="B7911" t="n">
        <v>1.4443</v>
      </c>
      <c r="C7911" t="n">
        <v>1.5086</v>
      </c>
    </row>
    <row r="7912">
      <c r="A7912" t="n">
        <v>1.5071</v>
      </c>
      <c r="B7912" t="n">
        <v>1.6322</v>
      </c>
      <c r="C7912" t="n">
        <v>1.469</v>
      </c>
    </row>
    <row r="7913">
      <c r="A7913" t="n">
        <v>1.6578</v>
      </c>
      <c r="B7913" t="n">
        <v>1.4906</v>
      </c>
      <c r="C7913" t="n">
        <v>1.4402</v>
      </c>
    </row>
    <row r="7914">
      <c r="A7914" t="n">
        <v>1.7538</v>
      </c>
      <c r="B7914" t="n">
        <v>1.4382</v>
      </c>
      <c r="C7914" t="n">
        <v>1.4515</v>
      </c>
    </row>
    <row r="7915">
      <c r="A7915" t="n">
        <v>1.4931</v>
      </c>
      <c r="B7915" t="n">
        <v>1.4045</v>
      </c>
      <c r="C7915" t="n">
        <v>1.4354</v>
      </c>
    </row>
    <row r="7916">
      <c r="A7916" t="n">
        <v>1.6645</v>
      </c>
      <c r="B7916" t="n">
        <v>1.4344</v>
      </c>
      <c r="C7916" t="n">
        <v>1.3983</v>
      </c>
    </row>
    <row r="7917">
      <c r="A7917" t="n">
        <v>1.6823</v>
      </c>
      <c r="B7917" t="n">
        <v>1.4086</v>
      </c>
      <c r="C7917" t="n">
        <v>1.4499</v>
      </c>
    </row>
    <row r="7918">
      <c r="A7918" t="n">
        <v>1.4866</v>
      </c>
      <c r="B7918" t="n">
        <v>1.6203</v>
      </c>
      <c r="C7918" t="n">
        <v>1.6619</v>
      </c>
    </row>
    <row r="7919">
      <c r="A7919" t="n">
        <v>1.4298</v>
      </c>
      <c r="B7919" t="n">
        <v>1.6781</v>
      </c>
      <c r="C7919" t="n">
        <v>1.4727</v>
      </c>
    </row>
    <row r="7920">
      <c r="A7920" t="n">
        <v>1.4441</v>
      </c>
      <c r="B7920" t="n">
        <v>1.5106</v>
      </c>
      <c r="C7920" t="n">
        <v>1.4645</v>
      </c>
    </row>
    <row r="7921">
      <c r="A7921" t="n">
        <v>1.449</v>
      </c>
      <c r="B7921" t="n">
        <v>1.4377</v>
      </c>
      <c r="C7921" t="n">
        <v>1.4286</v>
      </c>
    </row>
    <row r="7922">
      <c r="A7922" t="n">
        <v>1.3993</v>
      </c>
      <c r="B7922" t="n">
        <v>1.7757</v>
      </c>
      <c r="C7922" t="n">
        <v>1.4284</v>
      </c>
    </row>
    <row r="7923">
      <c r="A7923" t="n">
        <v>1.6739</v>
      </c>
      <c r="B7923" t="n">
        <v>1.4752</v>
      </c>
      <c r="C7923" t="n">
        <v>1.4418</v>
      </c>
    </row>
    <row r="7924">
      <c r="A7924" t="n">
        <v>1.582</v>
      </c>
      <c r="B7924" t="n">
        <v>1.6493</v>
      </c>
      <c r="C7924" t="n">
        <v>1.4086</v>
      </c>
    </row>
    <row r="7925">
      <c r="A7925" t="n">
        <v>1.4413</v>
      </c>
      <c r="B7925" t="n">
        <v>1.5073</v>
      </c>
      <c r="C7925" t="n">
        <v>1.4555</v>
      </c>
    </row>
    <row r="7926">
      <c r="A7926" t="n">
        <v>1.4312</v>
      </c>
      <c r="B7926" t="n">
        <v>1.4494</v>
      </c>
      <c r="C7926" t="n">
        <v>1.6496</v>
      </c>
    </row>
    <row r="7927">
      <c r="A7927" t="n">
        <v>1.419</v>
      </c>
      <c r="B7927" t="n">
        <v>1.431</v>
      </c>
      <c r="C7927" t="n">
        <v>1.4989</v>
      </c>
    </row>
    <row r="7928">
      <c r="A7928" t="n">
        <v>1.4062</v>
      </c>
      <c r="B7928" t="n">
        <v>1.7012</v>
      </c>
      <c r="C7928" t="n">
        <v>1.4492</v>
      </c>
    </row>
    <row r="7929">
      <c r="A7929" t="n">
        <v>1.4432</v>
      </c>
      <c r="B7929" t="n">
        <v>1.7065</v>
      </c>
      <c r="C7929" t="n">
        <v>1.6417</v>
      </c>
    </row>
    <row r="7930">
      <c r="A7930" t="n">
        <v>1.4851</v>
      </c>
      <c r="B7930" t="n">
        <v>1.4828</v>
      </c>
      <c r="C7930" t="n">
        <v>1.5408</v>
      </c>
    </row>
    <row r="7931">
      <c r="A7931" t="n">
        <v>1.6481</v>
      </c>
      <c r="B7931" t="n">
        <v>1.4419</v>
      </c>
      <c r="C7931" t="n">
        <v>1.6578</v>
      </c>
    </row>
    <row r="7932">
      <c r="A7932" t="n">
        <v>1.7233</v>
      </c>
      <c r="B7932" t="n">
        <v>1.4502</v>
      </c>
      <c r="C7932" t="n">
        <v>1.5169</v>
      </c>
    </row>
    <row r="7933">
      <c r="A7933" t="n">
        <v>1.5149</v>
      </c>
      <c r="B7933" t="n">
        <v>1.6182</v>
      </c>
      <c r="C7933" t="n">
        <v>1.4477</v>
      </c>
    </row>
    <row r="7934">
      <c r="A7934" t="n">
        <v>1.4111</v>
      </c>
      <c r="B7934" t="n">
        <v>1.6109</v>
      </c>
      <c r="C7934" t="n">
        <v>1.3987</v>
      </c>
    </row>
    <row r="7935">
      <c r="A7935" t="n">
        <v>1.4478</v>
      </c>
      <c r="B7935" t="n">
        <v>1.4419</v>
      </c>
      <c r="C7935" t="n">
        <v>1.4348</v>
      </c>
    </row>
    <row r="7936">
      <c r="A7936" t="n">
        <v>1.6615</v>
      </c>
      <c r="B7936" t="n">
        <v>1.398</v>
      </c>
      <c r="C7936" t="n">
        <v>1.4616</v>
      </c>
    </row>
    <row r="7937">
      <c r="A7937" t="n">
        <v>1.8363</v>
      </c>
      <c r="B7937" t="n">
        <v>1.6726</v>
      </c>
      <c r="C7937" t="n">
        <v>1.4053</v>
      </c>
    </row>
    <row r="7938">
      <c r="A7938" t="n">
        <v>2.0201</v>
      </c>
      <c r="B7938" t="n">
        <v>1.6726</v>
      </c>
      <c r="C7938" t="n">
        <v>1.9953</v>
      </c>
    </row>
    <row r="7939">
      <c r="A7939" t="n">
        <v>1.7888</v>
      </c>
      <c r="B7939" t="n">
        <v>1.5202</v>
      </c>
      <c r="C7939" t="n">
        <v>1.819</v>
      </c>
    </row>
    <row r="7940">
      <c r="A7940" t="n">
        <v>1.4839</v>
      </c>
      <c r="B7940" t="n">
        <v>1.645</v>
      </c>
      <c r="C7940" t="n">
        <v>1.5131</v>
      </c>
    </row>
    <row r="7941">
      <c r="A7941" t="n">
        <v>1.4374</v>
      </c>
      <c r="B7941" t="n">
        <v>1.4794</v>
      </c>
      <c r="C7941" t="n">
        <v>1.6352</v>
      </c>
    </row>
    <row r="7942">
      <c r="A7942" t="n">
        <v>1.4596</v>
      </c>
      <c r="B7942" t="n">
        <v>1.444</v>
      </c>
      <c r="C7942" t="n">
        <v>1.5189</v>
      </c>
    </row>
    <row r="7943">
      <c r="A7943" t="n">
        <v>1.3875</v>
      </c>
      <c r="B7943" t="n">
        <v>1.4076</v>
      </c>
      <c r="C7943" t="n">
        <v>1.4341</v>
      </c>
    </row>
    <row r="7944">
      <c r="A7944" t="n">
        <v>1.4679</v>
      </c>
      <c r="B7944" t="n">
        <v>1.4307</v>
      </c>
      <c r="C7944" t="n">
        <v>1.4004</v>
      </c>
    </row>
    <row r="7945">
      <c r="A7945" t="n">
        <v>1.7205</v>
      </c>
      <c r="B7945" t="n">
        <v>1.4051</v>
      </c>
      <c r="C7945" t="n">
        <v>1.4259</v>
      </c>
    </row>
    <row r="7946">
      <c r="A7946" t="n">
        <v>1.5094</v>
      </c>
      <c r="B7946" t="n">
        <v>1.7007</v>
      </c>
      <c r="C7946" t="n">
        <v>1.4289</v>
      </c>
    </row>
    <row r="7947">
      <c r="A7947" t="n">
        <v>1.423</v>
      </c>
      <c r="B7947" t="n">
        <v>1.7587</v>
      </c>
      <c r="C7947" t="n">
        <v>1.4252</v>
      </c>
    </row>
    <row r="7948">
      <c r="A7948" t="n">
        <v>1.4339</v>
      </c>
      <c r="B7948" t="n">
        <v>1.4995</v>
      </c>
      <c r="C7948" t="n">
        <v>1.4941</v>
      </c>
    </row>
    <row r="7949">
      <c r="A7949" t="n">
        <v>1.4164</v>
      </c>
      <c r="B7949" t="n">
        <v>1.4451</v>
      </c>
      <c r="C7949" t="n">
        <v>1.5953</v>
      </c>
    </row>
    <row r="7950">
      <c r="A7950" t="n">
        <v>1.4574</v>
      </c>
      <c r="B7950" t="n">
        <v>1.4485</v>
      </c>
      <c r="C7950" t="n">
        <v>1.5344</v>
      </c>
    </row>
    <row r="7951">
      <c r="A7951" t="n">
        <v>1.7076</v>
      </c>
      <c r="B7951" t="n">
        <v>1.6393</v>
      </c>
      <c r="C7951" t="n">
        <v>1.4913</v>
      </c>
    </row>
    <row r="7952">
      <c r="A7952" t="n">
        <v>1.6975</v>
      </c>
      <c r="B7952" t="n">
        <v>1.7624</v>
      </c>
      <c r="C7952" t="n">
        <v>1.3884</v>
      </c>
    </row>
    <row r="7953">
      <c r="A7953" t="n">
        <v>1.4817</v>
      </c>
      <c r="B7953" t="n">
        <v>1.543</v>
      </c>
      <c r="C7953" t="n">
        <v>1.4177</v>
      </c>
    </row>
    <row r="7954">
      <c r="A7954" t="n">
        <v>1.4705</v>
      </c>
      <c r="B7954" t="n">
        <v>1.8017</v>
      </c>
      <c r="C7954" t="n">
        <v>1.4717</v>
      </c>
    </row>
    <row r="7955">
      <c r="A7955" t="n">
        <v>1.4332</v>
      </c>
      <c r="B7955" t="n">
        <v>1.6212</v>
      </c>
      <c r="C7955" t="n">
        <v>1.402</v>
      </c>
    </row>
    <row r="7956">
      <c r="A7956" t="n">
        <v>1.6287</v>
      </c>
      <c r="B7956" t="n">
        <v>1.5234</v>
      </c>
      <c r="C7956" t="n">
        <v>1.4748</v>
      </c>
    </row>
    <row r="7957">
      <c r="A7957" t="n">
        <v>1.9353</v>
      </c>
      <c r="B7957" t="n">
        <v>1.4509</v>
      </c>
      <c r="C7957" t="n">
        <v>1.7567</v>
      </c>
    </row>
    <row r="7958">
      <c r="A7958" t="n">
        <v>1.4959</v>
      </c>
      <c r="B7958" t="n">
        <v>1.7925</v>
      </c>
      <c r="C7958" t="n">
        <v>1.4951</v>
      </c>
    </row>
    <row r="7959">
      <c r="A7959" t="n">
        <v>1.4579</v>
      </c>
      <c r="B7959" t="n">
        <v>1.5558</v>
      </c>
      <c r="C7959" t="n">
        <v>1.4623</v>
      </c>
    </row>
    <row r="7960">
      <c r="A7960" t="n">
        <v>1.4425</v>
      </c>
      <c r="B7960" t="n">
        <v>1.653</v>
      </c>
      <c r="C7960" t="n">
        <v>1.6228</v>
      </c>
    </row>
    <row r="7961">
      <c r="A7961" t="n">
        <v>1.6248</v>
      </c>
      <c r="B7961" t="n">
        <v>1.5055</v>
      </c>
      <c r="C7961" t="n">
        <v>1.5316</v>
      </c>
    </row>
    <row r="7962">
      <c r="A7962" t="n">
        <v>1.7081</v>
      </c>
      <c r="B7962" t="n">
        <v>1.4629</v>
      </c>
      <c r="C7962" t="n">
        <v>1.6957</v>
      </c>
    </row>
    <row r="7963">
      <c r="A7963" t="n">
        <v>1.4927</v>
      </c>
      <c r="B7963" t="n">
        <v>1.3933</v>
      </c>
      <c r="C7963" t="n">
        <v>1.492</v>
      </c>
    </row>
    <row r="7964">
      <c r="A7964" t="n">
        <v>1.4372</v>
      </c>
      <c r="B7964" t="n">
        <v>1.4717</v>
      </c>
      <c r="C7964" t="n">
        <v>1.4558</v>
      </c>
    </row>
    <row r="7965">
      <c r="A7965" t="n">
        <v>1.4464</v>
      </c>
      <c r="B7965" t="n">
        <v>1.4422</v>
      </c>
      <c r="C7965" t="n">
        <v>1.4329</v>
      </c>
    </row>
    <row r="7966">
      <c r="A7966" t="n">
        <v>1.629</v>
      </c>
      <c r="B7966" t="n">
        <v>1.4002</v>
      </c>
      <c r="C7966" t="n">
        <v>1.4494</v>
      </c>
    </row>
    <row r="7967">
      <c r="A7967" t="n">
        <v>1.5074</v>
      </c>
      <c r="B7967" t="n">
        <v>1.4694</v>
      </c>
      <c r="C7967" t="n">
        <v>1.7548</v>
      </c>
    </row>
    <row r="7968">
      <c r="A7968" t="n">
        <v>1.6948</v>
      </c>
      <c r="B7968" t="n">
        <v>1.6401</v>
      </c>
      <c r="C7968" t="n">
        <v>1.5262</v>
      </c>
    </row>
    <row r="7969">
      <c r="A7969" t="n">
        <v>1.4945</v>
      </c>
      <c r="B7969" t="n">
        <v>1.4855</v>
      </c>
      <c r="C7969" t="n">
        <v>1.433</v>
      </c>
    </row>
    <row r="7970">
      <c r="A7970" t="n">
        <v>2.0536</v>
      </c>
      <c r="B7970" t="n">
        <v>1.4488</v>
      </c>
      <c r="C7970" t="n">
        <v>2.1072</v>
      </c>
    </row>
    <row r="7971">
      <c r="A7971" t="n">
        <v>1.5263</v>
      </c>
      <c r="B7971" t="n">
        <v>1.6527</v>
      </c>
      <c r="C7971" t="n">
        <v>1.759</v>
      </c>
    </row>
    <row r="7972">
      <c r="A7972" t="n">
        <v>1.6765</v>
      </c>
      <c r="B7972" t="n">
        <v>1.5118</v>
      </c>
      <c r="C7972" t="n">
        <v>1.5095</v>
      </c>
    </row>
    <row r="7973">
      <c r="A7973" t="n">
        <v>1.6826</v>
      </c>
      <c r="B7973" t="n">
        <v>1.6499</v>
      </c>
      <c r="C7973" t="n">
        <v>1.4294</v>
      </c>
    </row>
    <row r="7974">
      <c r="A7974" t="n">
        <v>1.5444</v>
      </c>
      <c r="B7974" t="n">
        <v>1.4936</v>
      </c>
      <c r="C7974" t="n">
        <v>1.4654</v>
      </c>
    </row>
    <row r="7975">
      <c r="A7975" t="n">
        <v>1.7006</v>
      </c>
      <c r="B7975" t="n">
        <v>1.4252</v>
      </c>
      <c r="C7975" t="n">
        <v>1.7664</v>
      </c>
    </row>
    <row r="7976">
      <c r="A7976" t="n">
        <v>1.4812</v>
      </c>
      <c r="B7976" t="n">
        <v>1.4468</v>
      </c>
      <c r="C7976" t="n">
        <v>1.719</v>
      </c>
    </row>
    <row r="7977">
      <c r="A7977" t="n">
        <v>1.4409</v>
      </c>
      <c r="B7977" t="n">
        <v>1.4615</v>
      </c>
      <c r="C7977" t="n">
        <v>1.5378</v>
      </c>
    </row>
    <row r="7978">
      <c r="A7978" t="n">
        <v>1.6159</v>
      </c>
      <c r="B7978" t="n">
        <v>1.4235</v>
      </c>
      <c r="C7978" t="n">
        <v>1.4465</v>
      </c>
    </row>
    <row r="7979">
      <c r="A7979" t="n">
        <v>1.5244</v>
      </c>
      <c r="B7979" t="n">
        <v>1.4881</v>
      </c>
      <c r="C7979" t="n">
        <v>1.4163</v>
      </c>
    </row>
    <row r="7980">
      <c r="A7980" t="n">
        <v>1.6332</v>
      </c>
      <c r="B7980" t="n">
        <v>1.7567</v>
      </c>
      <c r="C7980" t="n">
        <v>1.6616</v>
      </c>
    </row>
    <row r="7981">
      <c r="A7981" t="n">
        <v>1.4791</v>
      </c>
      <c r="B7981" t="n">
        <v>1.5118</v>
      </c>
      <c r="C7981" t="n">
        <v>1.6864</v>
      </c>
    </row>
    <row r="7982">
      <c r="A7982" t="n">
        <v>1.3969</v>
      </c>
      <c r="B7982" t="n">
        <v>1.4883</v>
      </c>
      <c r="C7982" t="n">
        <v>1.4806</v>
      </c>
    </row>
    <row r="7983">
      <c r="A7983" t="n">
        <v>1.4421</v>
      </c>
      <c r="B7983" t="n">
        <v>1.4679</v>
      </c>
      <c r="C7983" t="n">
        <v>1.4711</v>
      </c>
    </row>
    <row r="7984">
      <c r="A7984" t="n">
        <v>1.4343</v>
      </c>
      <c r="B7984" t="n">
        <v>1.6505</v>
      </c>
      <c r="C7984" t="n">
        <v>1.4568</v>
      </c>
    </row>
    <row r="7985">
      <c r="A7985" t="n">
        <v>1.4193</v>
      </c>
      <c r="B7985" t="n">
        <v>1.704</v>
      </c>
      <c r="C7985" t="n">
        <v>1.5958</v>
      </c>
    </row>
    <row r="7986">
      <c r="A7986" t="n">
        <v>1.7195</v>
      </c>
      <c r="B7986" t="n">
        <v>2.1093</v>
      </c>
      <c r="C7986" t="n">
        <v>1.7936</v>
      </c>
    </row>
    <row r="7987">
      <c r="A7987" t="n">
        <v>1.7356</v>
      </c>
      <c r="B7987" t="n">
        <v>1.7946</v>
      </c>
      <c r="C7987" t="n">
        <v>1.4953</v>
      </c>
    </row>
    <row r="7988">
      <c r="A7988" t="n">
        <v>1.4701</v>
      </c>
      <c r="B7988" t="n">
        <v>1.5183</v>
      </c>
      <c r="C7988" t="n">
        <v>1.434</v>
      </c>
    </row>
    <row r="7989">
      <c r="A7989" t="n">
        <v>1.4533</v>
      </c>
      <c r="B7989" t="n">
        <v>1.4696</v>
      </c>
      <c r="C7989" t="n">
        <v>1.4493</v>
      </c>
    </row>
    <row r="7990">
      <c r="A7990" t="n">
        <v>1.4533</v>
      </c>
      <c r="B7990" t="n">
        <v>1.4321</v>
      </c>
      <c r="C7990" t="n">
        <v>1.67</v>
      </c>
    </row>
    <row r="7991">
      <c r="A7991" t="n">
        <v>1.6256</v>
      </c>
      <c r="B7991" t="n">
        <v>1.6832</v>
      </c>
      <c r="C7991" t="n">
        <v>1.7726</v>
      </c>
    </row>
    <row r="7992">
      <c r="A7992" t="n">
        <v>1.8489</v>
      </c>
      <c r="B7992" t="n">
        <v>1.7511</v>
      </c>
      <c r="C7992" t="n">
        <v>1.4986</v>
      </c>
    </row>
    <row r="7993">
      <c r="A7993" t="n">
        <v>1.4893</v>
      </c>
      <c r="B7993" t="n">
        <v>1.4995</v>
      </c>
      <c r="C7993" t="n">
        <v>1.4843</v>
      </c>
    </row>
    <row r="7994">
      <c r="A7994" t="n">
        <v>1.4312</v>
      </c>
      <c r="B7994" t="n">
        <v>1.4775</v>
      </c>
      <c r="C7994" t="n">
        <v>1.4645</v>
      </c>
    </row>
    <row r="7995">
      <c r="A7995" t="n">
        <v>1.4633</v>
      </c>
      <c r="B7995" t="n">
        <v>1.4488</v>
      </c>
      <c r="C7995" t="n">
        <v>1.6699</v>
      </c>
    </row>
    <row r="7996">
      <c r="A7996" t="n">
        <v>1.6528</v>
      </c>
      <c r="B7996" t="n">
        <v>1.75</v>
      </c>
      <c r="C7996" t="n">
        <v>1.7061</v>
      </c>
    </row>
    <row r="7997">
      <c r="A7997" t="n">
        <v>1.8284</v>
      </c>
      <c r="B7997" t="n">
        <v>1.7123</v>
      </c>
      <c r="C7997" t="n">
        <v>1.4922</v>
      </c>
    </row>
    <row r="7998">
      <c r="A7998" t="n">
        <v>1.5655</v>
      </c>
      <c r="B7998" t="n">
        <v>1.6108</v>
      </c>
      <c r="C7998" t="n">
        <v>1.4544</v>
      </c>
    </row>
    <row r="7999">
      <c r="A7999" t="n">
        <v>1.4741</v>
      </c>
      <c r="B7999" t="n">
        <v>1.474</v>
      </c>
      <c r="C7999" t="n">
        <v>1.4478</v>
      </c>
    </row>
    <row r="8000">
      <c r="A8000" t="n">
        <v>1.4116</v>
      </c>
      <c r="B8000" t="n">
        <v>1.7325</v>
      </c>
      <c r="C8000" t="n">
        <v>1.6145</v>
      </c>
    </row>
    <row r="8001">
      <c r="A8001" t="n">
        <v>1.3875</v>
      </c>
      <c r="B8001" t="n">
        <v>1.5316</v>
      </c>
      <c r="C8001" t="n">
        <v>1.782</v>
      </c>
    </row>
    <row r="8002">
      <c r="A8002" t="n">
        <v>4.1986</v>
      </c>
      <c r="B8002" t="n">
        <v>4.3792</v>
      </c>
      <c r="C8002" t="n">
        <v>4.1813</v>
      </c>
    </row>
    <row r="8003">
      <c r="A8003" t="n">
        <v>1.6631</v>
      </c>
      <c r="B8003" t="n">
        <v>1.6601</v>
      </c>
      <c r="C8003" t="n">
        <v>2.397</v>
      </c>
    </row>
    <row r="8004">
      <c r="A8004" t="n">
        <v>1.5847</v>
      </c>
      <c r="B8004" t="n">
        <v>1.5637</v>
      </c>
      <c r="C8004" t="n">
        <v>1.8574</v>
      </c>
    </row>
    <row r="8005">
      <c r="A8005" t="n">
        <v>1.599</v>
      </c>
      <c r="B8005" t="n">
        <v>1.5655</v>
      </c>
      <c r="C8005" t="n">
        <v>2.2254</v>
      </c>
    </row>
    <row r="8006">
      <c r="A8006" t="n">
        <v>1.5895</v>
      </c>
      <c r="B8006" t="n">
        <v>1.5267</v>
      </c>
      <c r="C8006" t="n">
        <v>2.1368</v>
      </c>
    </row>
    <row r="8007">
      <c r="A8007" t="n">
        <v>1.55</v>
      </c>
      <c r="B8007" t="n">
        <v>1.5682</v>
      </c>
      <c r="C8007" t="n">
        <v>1.8693</v>
      </c>
    </row>
    <row r="8008">
      <c r="A8008" t="n">
        <v>1.6068</v>
      </c>
      <c r="B8008" t="n">
        <v>1.4982</v>
      </c>
      <c r="C8008" t="n">
        <v>1.6036</v>
      </c>
    </row>
    <row r="8009">
      <c r="A8009" t="n">
        <v>1.602</v>
      </c>
      <c r="B8009" t="n">
        <v>1.5509</v>
      </c>
      <c r="C8009" t="n">
        <v>1.5128</v>
      </c>
    </row>
    <row r="8010">
      <c r="A8010" t="n">
        <v>1.5693</v>
      </c>
      <c r="B8010" t="n">
        <v>1.5798</v>
      </c>
      <c r="C8010" t="n">
        <v>1.5251</v>
      </c>
    </row>
    <row r="8011">
      <c r="A8011" t="n">
        <v>1.5632</v>
      </c>
      <c r="B8011" t="n">
        <v>1.5621</v>
      </c>
      <c r="C8011" t="n">
        <v>1.5794</v>
      </c>
    </row>
    <row r="8012">
      <c r="A8012" t="n">
        <v>1.538</v>
      </c>
      <c r="B8012" t="n">
        <v>1.5863</v>
      </c>
      <c r="C8012" t="n">
        <v>1.5391</v>
      </c>
    </row>
    <row r="8013">
      <c r="A8013" t="n">
        <v>1.8227</v>
      </c>
      <c r="B8013" t="n">
        <v>1.5495</v>
      </c>
      <c r="C8013" t="n">
        <v>1.5691</v>
      </c>
    </row>
    <row r="8014">
      <c r="A8014" t="n">
        <v>1.5006</v>
      </c>
      <c r="B8014" t="n">
        <v>1.5144</v>
      </c>
      <c r="C8014" t="n">
        <v>1.543</v>
      </c>
    </row>
    <row r="8015">
      <c r="A8015" t="n">
        <v>1.481</v>
      </c>
      <c r="B8015" t="n">
        <v>1.5406</v>
      </c>
      <c r="C8015" t="n">
        <v>1.4946</v>
      </c>
    </row>
    <row r="8016">
      <c r="A8016" t="n">
        <v>1.4604</v>
      </c>
      <c r="B8016" t="n">
        <v>2.4244</v>
      </c>
      <c r="C8016" t="n">
        <v>1.5223</v>
      </c>
    </row>
    <row r="8017">
      <c r="A8017" t="n">
        <v>1.6927</v>
      </c>
      <c r="B8017" t="n">
        <v>1.6187</v>
      </c>
      <c r="C8017" t="n">
        <v>1.5253</v>
      </c>
    </row>
    <row r="8018">
      <c r="A8018" t="n">
        <v>1.7891</v>
      </c>
      <c r="B8018" t="n">
        <v>1.5961</v>
      </c>
      <c r="C8018" t="n">
        <v>1.864</v>
      </c>
    </row>
    <row r="8019">
      <c r="A8019" t="n">
        <v>1.8256</v>
      </c>
      <c r="B8019" t="n">
        <v>1.5216</v>
      </c>
      <c r="C8019" t="n">
        <v>1.7623</v>
      </c>
    </row>
    <row r="8020">
      <c r="A8020" t="n">
        <v>1.542</v>
      </c>
      <c r="B8020" t="n">
        <v>1.4664</v>
      </c>
      <c r="C8020" t="n">
        <v>1.7194</v>
      </c>
    </row>
    <row r="8021">
      <c r="A8021" t="n">
        <v>1.687</v>
      </c>
      <c r="B8021" t="n">
        <v>1.5076</v>
      </c>
      <c r="C8021" t="n">
        <v>1.827</v>
      </c>
    </row>
    <row r="8022">
      <c r="A8022" t="n">
        <v>1.4998</v>
      </c>
      <c r="B8022" t="n">
        <v>1.5159</v>
      </c>
      <c r="C8022" t="n">
        <v>1.5211</v>
      </c>
    </row>
    <row r="8023">
      <c r="A8023" t="n">
        <v>1.4507</v>
      </c>
      <c r="B8023" t="n">
        <v>1.5188</v>
      </c>
      <c r="C8023" t="n">
        <v>1.4997</v>
      </c>
    </row>
    <row r="8024">
      <c r="A8024" t="n">
        <v>1.4347</v>
      </c>
      <c r="B8024" t="n">
        <v>1.5068</v>
      </c>
      <c r="C8024" t="n">
        <v>1.4701</v>
      </c>
    </row>
    <row r="8025">
      <c r="A8025" t="n">
        <v>1.4906</v>
      </c>
      <c r="B8025" t="n">
        <v>1.5414</v>
      </c>
      <c r="C8025" t="n">
        <v>1.7432</v>
      </c>
    </row>
    <row r="8026">
      <c r="A8026" t="n">
        <v>1.6726</v>
      </c>
      <c r="B8026" t="n">
        <v>1.7608</v>
      </c>
      <c r="C8026" t="n">
        <v>1.722</v>
      </c>
    </row>
    <row r="8027">
      <c r="A8027" t="n">
        <v>1.5348</v>
      </c>
      <c r="B8027" t="n">
        <v>1.5373</v>
      </c>
      <c r="C8027" t="n">
        <v>1.7752</v>
      </c>
    </row>
    <row r="8028">
      <c r="A8028" t="n">
        <v>1.7069</v>
      </c>
      <c r="B8028" t="n">
        <v>1.4727</v>
      </c>
      <c r="C8028" t="n">
        <v>1.5239</v>
      </c>
    </row>
    <row r="8029">
      <c r="A8029" t="n">
        <v>1.7168</v>
      </c>
      <c r="B8029" t="n">
        <v>1.7608</v>
      </c>
      <c r="C8029" t="n">
        <v>1.6557</v>
      </c>
    </row>
    <row r="8030">
      <c r="A8030" t="n">
        <v>1.5541</v>
      </c>
      <c r="B8030" t="n">
        <v>1.7247</v>
      </c>
      <c r="C8030" t="n">
        <v>1.5062</v>
      </c>
    </row>
    <row r="8031">
      <c r="A8031" t="n">
        <v>1.6599</v>
      </c>
      <c r="B8031" t="n">
        <v>1.534</v>
      </c>
      <c r="C8031" t="n">
        <v>1.4725</v>
      </c>
    </row>
    <row r="8032">
      <c r="A8032" t="n">
        <v>1.471</v>
      </c>
      <c r="B8032" t="n">
        <v>1.4473</v>
      </c>
      <c r="C8032" t="n">
        <v>1.4174</v>
      </c>
    </row>
    <row r="8033">
      <c r="A8033" t="n">
        <v>1.477</v>
      </c>
      <c r="B8033" t="n">
        <v>1.4793</v>
      </c>
      <c r="C8033" t="n">
        <v>1.4789</v>
      </c>
    </row>
    <row r="8034">
      <c r="A8034" t="n">
        <v>2.0025</v>
      </c>
      <c r="B8034" t="n">
        <v>2.0334</v>
      </c>
      <c r="C8034" t="n">
        <v>1.4477</v>
      </c>
    </row>
    <row r="8035">
      <c r="A8035" t="n">
        <v>1.8104</v>
      </c>
      <c r="B8035" t="n">
        <v>1.8773</v>
      </c>
      <c r="C8035" t="n">
        <v>1.5178</v>
      </c>
    </row>
    <row r="8036">
      <c r="A8036" t="n">
        <v>1.6942</v>
      </c>
      <c r="B8036" t="n">
        <v>1.7903</v>
      </c>
      <c r="C8036" t="n">
        <v>1.6792</v>
      </c>
    </row>
    <row r="8037">
      <c r="A8037" t="n">
        <v>1.5275</v>
      </c>
      <c r="B8037" t="n">
        <v>1.7212</v>
      </c>
      <c r="C8037" t="n">
        <v>1.5214</v>
      </c>
    </row>
    <row r="8038">
      <c r="A8038" t="n">
        <v>1.6539</v>
      </c>
      <c r="B8038" t="n">
        <v>1.7679</v>
      </c>
      <c r="C8038" t="n">
        <v>1.4823</v>
      </c>
    </row>
    <row r="8039">
      <c r="A8039" t="n">
        <v>1.5212</v>
      </c>
      <c r="B8039" t="n">
        <v>1.5662</v>
      </c>
      <c r="C8039" t="n">
        <v>1.4519</v>
      </c>
    </row>
    <row r="8040">
      <c r="A8040" t="n">
        <v>1.5353</v>
      </c>
      <c r="B8040" t="n">
        <v>1.7455</v>
      </c>
      <c r="C8040" t="n">
        <v>1.7046</v>
      </c>
    </row>
    <row r="8041">
      <c r="A8041" t="n">
        <v>1.6864</v>
      </c>
      <c r="B8041" t="n">
        <v>1.7056</v>
      </c>
      <c r="C8041" t="n">
        <v>1.7778</v>
      </c>
    </row>
    <row r="8042">
      <c r="A8042" t="n">
        <v>1.8177</v>
      </c>
      <c r="B8042" t="n">
        <v>1.8302</v>
      </c>
      <c r="C8042" t="n">
        <v>1.4845</v>
      </c>
    </row>
    <row r="8043">
      <c r="A8043" t="n">
        <v>1.4933</v>
      </c>
      <c r="B8043" t="n">
        <v>1.5596</v>
      </c>
      <c r="C8043" t="n">
        <v>1.4729</v>
      </c>
    </row>
    <row r="8044">
      <c r="A8044" t="n">
        <v>1.4379</v>
      </c>
      <c r="B8044" t="n">
        <v>1.683</v>
      </c>
      <c r="C8044" t="n">
        <v>1.4647</v>
      </c>
    </row>
    <row r="8045">
      <c r="A8045" t="n">
        <v>1.4748</v>
      </c>
      <c r="B8045" t="n">
        <v>1.6957</v>
      </c>
      <c r="C8045" t="n">
        <v>1.7428</v>
      </c>
    </row>
    <row r="8046">
      <c r="A8046" t="n">
        <v>1.6495</v>
      </c>
      <c r="B8046" t="n">
        <v>1.5534</v>
      </c>
      <c r="C8046" t="n">
        <v>1.7158</v>
      </c>
    </row>
    <row r="8047">
      <c r="A8047" t="n">
        <v>1.7792</v>
      </c>
      <c r="B8047" t="n">
        <v>1.7332</v>
      </c>
      <c r="C8047" t="n">
        <v>1.7752</v>
      </c>
    </row>
    <row r="8048">
      <c r="A8048" t="n">
        <v>1.4977</v>
      </c>
      <c r="B8048" t="n">
        <v>1.5171</v>
      </c>
      <c r="C8048" t="n">
        <v>1.5351</v>
      </c>
    </row>
    <row r="8049">
      <c r="A8049" t="n">
        <v>1.4732</v>
      </c>
      <c r="B8049" t="n">
        <v>1.5534</v>
      </c>
      <c r="C8049" t="n">
        <v>1.682</v>
      </c>
    </row>
    <row r="8050">
      <c r="A8050" t="n">
        <v>1.4331</v>
      </c>
      <c r="B8050" t="n">
        <v>1.6744</v>
      </c>
      <c r="C8050" t="n">
        <v>1.8434</v>
      </c>
    </row>
    <row r="8051">
      <c r="A8051" t="n">
        <v>1.6689</v>
      </c>
      <c r="B8051" t="n">
        <v>1.8131</v>
      </c>
      <c r="C8051" t="n">
        <v>1.5414</v>
      </c>
    </row>
    <row r="8052">
      <c r="A8052" t="n">
        <v>1.761</v>
      </c>
      <c r="B8052" t="n">
        <v>1.5943</v>
      </c>
      <c r="C8052" t="n">
        <v>1.4914</v>
      </c>
    </row>
    <row r="8053">
      <c r="A8053" t="n">
        <v>1.4995</v>
      </c>
      <c r="B8053" t="n">
        <v>1.5009</v>
      </c>
      <c r="C8053" t="n">
        <v>1.7872</v>
      </c>
    </row>
    <row r="8054">
      <c r="A8054" t="n">
        <v>1.4628</v>
      </c>
      <c r="B8054" t="n">
        <v>1.6914</v>
      </c>
      <c r="C8054" t="n">
        <v>1.4974</v>
      </c>
    </row>
    <row r="8055">
      <c r="A8055" t="n">
        <v>1.4524</v>
      </c>
      <c r="B8055" t="n">
        <v>1.5276</v>
      </c>
      <c r="C8055" t="n">
        <v>1.5006</v>
      </c>
    </row>
    <row r="8056">
      <c r="A8056" t="n">
        <v>1.6366</v>
      </c>
      <c r="B8056" t="n">
        <v>1.7081</v>
      </c>
      <c r="C8056" t="n">
        <v>1.5648</v>
      </c>
    </row>
    <row r="8057">
      <c r="A8057" t="n">
        <v>1.7482</v>
      </c>
      <c r="B8057" t="n">
        <v>1.6877</v>
      </c>
      <c r="C8057" t="n">
        <v>1.4558</v>
      </c>
    </row>
    <row r="8058">
      <c r="A8058" t="n">
        <v>1.5163</v>
      </c>
      <c r="B8058" t="n">
        <v>1.5638</v>
      </c>
      <c r="C8058" t="n">
        <v>1.6946</v>
      </c>
    </row>
    <row r="8059">
      <c r="A8059" t="n">
        <v>1.4506</v>
      </c>
      <c r="B8059" t="n">
        <v>1.6884</v>
      </c>
      <c r="C8059" t="n">
        <v>1.5327</v>
      </c>
    </row>
    <row r="8060">
      <c r="A8060" t="n">
        <v>1.4708</v>
      </c>
      <c r="B8060" t="n">
        <v>1.4959</v>
      </c>
      <c r="C8060" t="n">
        <v>1.4655</v>
      </c>
    </row>
    <row r="8061">
      <c r="A8061" t="n">
        <v>1.6531</v>
      </c>
      <c r="B8061" t="n">
        <v>1.5037</v>
      </c>
      <c r="C8061" t="n">
        <v>1.4775</v>
      </c>
    </row>
    <row r="8062">
      <c r="A8062" t="n">
        <v>1.7326</v>
      </c>
      <c r="B8062" t="n">
        <v>1.6581</v>
      </c>
      <c r="C8062" t="n">
        <v>1.6706</v>
      </c>
    </row>
    <row r="8063">
      <c r="A8063" t="n">
        <v>1.4926</v>
      </c>
      <c r="B8063" t="n">
        <v>1.8135</v>
      </c>
      <c r="C8063" t="n">
        <v>1.6845</v>
      </c>
    </row>
    <row r="8064">
      <c r="A8064" t="n">
        <v>1.4578</v>
      </c>
      <c r="B8064" t="n">
        <v>1.5353</v>
      </c>
      <c r="C8064" t="n">
        <v>1.501</v>
      </c>
    </row>
    <row r="8065">
      <c r="A8065" t="n">
        <v>1.4453</v>
      </c>
      <c r="B8065" t="n">
        <v>1.4841</v>
      </c>
      <c r="C8065" t="n">
        <v>1.4734</v>
      </c>
    </row>
    <row r="8066">
      <c r="A8066" t="n">
        <v>2.0072</v>
      </c>
      <c r="B8066" t="n">
        <v>2.0246</v>
      </c>
      <c r="C8066" t="n">
        <v>1.437</v>
      </c>
    </row>
    <row r="8067">
      <c r="A8067" t="n">
        <v>1.7354</v>
      </c>
      <c r="B8067" t="n">
        <v>1.5583</v>
      </c>
      <c r="C8067" t="n">
        <v>1.6453</v>
      </c>
    </row>
    <row r="8068">
      <c r="A8068" t="n">
        <v>1.7214</v>
      </c>
      <c r="B8068" t="n">
        <v>1.4454</v>
      </c>
      <c r="C8068" t="n">
        <v>1.7641</v>
      </c>
    </row>
    <row r="8069">
      <c r="A8069" t="n">
        <v>1.562</v>
      </c>
      <c r="B8069" t="n">
        <v>1.436</v>
      </c>
      <c r="C8069" t="n">
        <v>1.5304</v>
      </c>
    </row>
    <row r="8070">
      <c r="A8070" t="n">
        <v>1.6824</v>
      </c>
      <c r="B8070" t="n">
        <v>1.4448</v>
      </c>
      <c r="C8070" t="n">
        <v>1.4748</v>
      </c>
    </row>
    <row r="8071">
      <c r="A8071" t="n">
        <v>1.7251</v>
      </c>
      <c r="B8071" t="n">
        <v>1.4476</v>
      </c>
      <c r="C8071" t="n">
        <v>1.456</v>
      </c>
    </row>
    <row r="8072">
      <c r="A8072" t="n">
        <v>1.7618</v>
      </c>
      <c r="B8072" t="n">
        <v>1.6782</v>
      </c>
      <c r="C8072" t="n">
        <v>1.6507</v>
      </c>
    </row>
    <row r="8073">
      <c r="A8073" t="n">
        <v>1.5257</v>
      </c>
      <c r="B8073" t="n">
        <v>1.7403</v>
      </c>
      <c r="C8073" t="n">
        <v>1.6743</v>
      </c>
    </row>
    <row r="8074">
      <c r="A8074" t="n">
        <v>1.6661</v>
      </c>
      <c r="B8074" t="n">
        <v>1.8286</v>
      </c>
      <c r="C8074" t="n">
        <v>1.5405</v>
      </c>
    </row>
    <row r="8075">
      <c r="A8075" t="n">
        <v>1.671</v>
      </c>
      <c r="B8075" t="n">
        <v>1.5748</v>
      </c>
      <c r="C8075" t="n">
        <v>1.4441</v>
      </c>
    </row>
    <row r="8076">
      <c r="A8076" t="n">
        <v>1.5502</v>
      </c>
      <c r="B8076" t="n">
        <v>1.7983</v>
      </c>
      <c r="C8076" t="n">
        <v>1.4713</v>
      </c>
    </row>
    <row r="8077">
      <c r="A8077" t="n">
        <v>1.62</v>
      </c>
      <c r="B8077" t="n">
        <v>1.5045</v>
      </c>
      <c r="C8077" t="n">
        <v>1.661</v>
      </c>
    </row>
    <row r="8078">
      <c r="A8078" t="n">
        <v>1.5179</v>
      </c>
      <c r="B8078" t="n">
        <v>1.4785</v>
      </c>
      <c r="C8078" t="n">
        <v>1.7152</v>
      </c>
    </row>
    <row r="8079">
      <c r="A8079" t="n">
        <v>1.4518</v>
      </c>
      <c r="B8079" t="n">
        <v>1.6414</v>
      </c>
      <c r="C8079" t="n">
        <v>1.4939</v>
      </c>
    </row>
    <row r="8080">
      <c r="A8080" t="n">
        <v>1.4084</v>
      </c>
      <c r="B8080" t="n">
        <v>1.7431</v>
      </c>
      <c r="C8080" t="n">
        <v>1.4825</v>
      </c>
    </row>
    <row r="8081">
      <c r="A8081" t="n">
        <v>1.4707</v>
      </c>
      <c r="B8081" t="n">
        <v>1.5135</v>
      </c>
      <c r="C8081" t="n">
        <v>1.4456</v>
      </c>
    </row>
    <row r="8082">
      <c r="A8082" t="n">
        <v>1.5262</v>
      </c>
      <c r="B8082" t="n">
        <v>1.4615</v>
      </c>
      <c r="C8082" t="n">
        <v>2.009</v>
      </c>
    </row>
    <row r="8083">
      <c r="A8083" t="n">
        <v>1.4768</v>
      </c>
      <c r="B8083" t="n">
        <v>1.4962</v>
      </c>
      <c r="C8083" t="n">
        <v>1.7773</v>
      </c>
    </row>
    <row r="8084">
      <c r="A8084" t="n">
        <v>1.7012</v>
      </c>
      <c r="B8084" t="n">
        <v>1.7049</v>
      </c>
      <c r="C8084" t="n">
        <v>1.6622</v>
      </c>
    </row>
    <row r="8085">
      <c r="A8085" t="n">
        <v>1.5199</v>
      </c>
      <c r="B8085" t="n">
        <v>1.7156</v>
      </c>
      <c r="C8085" t="n">
        <v>1.5602</v>
      </c>
    </row>
    <row r="8086">
      <c r="A8086" t="n">
        <v>1.4516</v>
      </c>
      <c r="B8086" t="n">
        <v>1.5148</v>
      </c>
      <c r="C8086" t="n">
        <v>1.6806</v>
      </c>
    </row>
    <row r="8087">
      <c r="A8087" t="n">
        <v>1.4785</v>
      </c>
      <c r="B8087" t="n">
        <v>1.4717</v>
      </c>
      <c r="C8087" t="n">
        <v>1.6904</v>
      </c>
    </row>
    <row r="8088">
      <c r="A8088" t="n">
        <v>1.6671</v>
      </c>
      <c r="B8088" t="n">
        <v>1.4844</v>
      </c>
      <c r="C8088" t="n">
        <v>1.5454</v>
      </c>
    </row>
    <row r="8089">
      <c r="A8089" t="n">
        <v>1.6912</v>
      </c>
      <c r="B8089" t="n">
        <v>1.7285</v>
      </c>
      <c r="C8089" t="n">
        <v>1.4525</v>
      </c>
    </row>
    <row r="8090">
      <c r="A8090" t="n">
        <v>1.5034</v>
      </c>
      <c r="B8090" t="n">
        <v>1.7592</v>
      </c>
      <c r="C8090" t="n">
        <v>1.7637</v>
      </c>
    </row>
    <row r="8091">
      <c r="A8091" t="n">
        <v>1.4555</v>
      </c>
      <c r="B8091" t="n">
        <v>1.7925</v>
      </c>
      <c r="C8091" t="n">
        <v>1.5355</v>
      </c>
    </row>
    <row r="8092">
      <c r="A8092" t="n">
        <v>1.452</v>
      </c>
      <c r="B8092" t="n">
        <v>1.5401</v>
      </c>
      <c r="C8092" t="n">
        <v>1.4854</v>
      </c>
    </row>
    <row r="8093">
      <c r="A8093" t="n">
        <v>1.656</v>
      </c>
      <c r="B8093" t="n">
        <v>1.7062</v>
      </c>
      <c r="C8093" t="n">
        <v>1.4739</v>
      </c>
    </row>
    <row r="8094">
      <c r="A8094" t="n">
        <v>1.7398</v>
      </c>
      <c r="B8094" t="n">
        <v>1.4972</v>
      </c>
      <c r="C8094" t="n">
        <v>1.7036</v>
      </c>
    </row>
    <row r="8095">
      <c r="A8095" t="n">
        <v>1.4891</v>
      </c>
      <c r="B8095" t="n">
        <v>1.4755</v>
      </c>
      <c r="C8095" t="n">
        <v>1.7472</v>
      </c>
    </row>
    <row r="8096">
      <c r="A8096" t="n">
        <v>1.4674</v>
      </c>
      <c r="B8096" t="n">
        <v>1.4544</v>
      </c>
      <c r="C8096" t="n">
        <v>1.5072</v>
      </c>
    </row>
    <row r="8097">
      <c r="A8097" t="n">
        <v>1.4589</v>
      </c>
      <c r="B8097" t="n">
        <v>1.4839</v>
      </c>
      <c r="C8097" t="n">
        <v>1.4658</v>
      </c>
    </row>
    <row r="8098">
      <c r="A8098" t="n">
        <v>1.9505</v>
      </c>
      <c r="B8098" t="n">
        <v>2.0124</v>
      </c>
      <c r="C8098" t="n">
        <v>1.451</v>
      </c>
    </row>
    <row r="8099">
      <c r="A8099" t="n">
        <v>1.8096</v>
      </c>
      <c r="B8099" t="n">
        <v>1.5358</v>
      </c>
      <c r="C8099" t="n">
        <v>1.7498</v>
      </c>
    </row>
    <row r="8100">
      <c r="A8100" t="n">
        <v>1.7216</v>
      </c>
      <c r="B8100" t="n">
        <v>1.5492</v>
      </c>
      <c r="C8100" t="n">
        <v>1.7416</v>
      </c>
    </row>
    <row r="8101">
      <c r="A8101" t="n">
        <v>1.5341</v>
      </c>
      <c r="B8101" t="n">
        <v>1.7837</v>
      </c>
      <c r="C8101" t="n">
        <v>1.7764</v>
      </c>
    </row>
    <row r="8102">
      <c r="A8102" t="n">
        <v>1.6795</v>
      </c>
      <c r="B8102" t="n">
        <v>1.8256</v>
      </c>
      <c r="C8102" t="n">
        <v>1.5324</v>
      </c>
    </row>
    <row r="8103">
      <c r="A8103" t="n">
        <v>1.5049</v>
      </c>
      <c r="B8103" t="n">
        <v>1.7546</v>
      </c>
      <c r="C8103" t="n">
        <v>1.6481</v>
      </c>
    </row>
    <row r="8104">
      <c r="A8104" t="n">
        <v>1.4631</v>
      </c>
      <c r="B8104" t="n">
        <v>1.5496</v>
      </c>
      <c r="C8104" t="n">
        <v>1.5318</v>
      </c>
    </row>
    <row r="8105">
      <c r="A8105" t="n">
        <v>1.6385</v>
      </c>
      <c r="B8105" t="n">
        <v>1.7391</v>
      </c>
      <c r="C8105" t="n">
        <v>1.4424</v>
      </c>
    </row>
    <row r="8106">
      <c r="A8106" t="n">
        <v>1.5133</v>
      </c>
      <c r="B8106" t="n">
        <v>1.4955</v>
      </c>
      <c r="C8106" t="n">
        <v>1.4033</v>
      </c>
    </row>
    <row r="8107">
      <c r="A8107" t="n">
        <v>1.6727</v>
      </c>
      <c r="B8107" t="n">
        <v>1.4514</v>
      </c>
      <c r="C8107" t="n">
        <v>1.502</v>
      </c>
    </row>
    <row r="8108">
      <c r="A8108" t="n">
        <v>1.5065</v>
      </c>
      <c r="B8108" t="n">
        <v>1.4301</v>
      </c>
      <c r="C8108" t="n">
        <v>1.447</v>
      </c>
    </row>
    <row r="8109">
      <c r="A8109" t="n">
        <v>1.4544</v>
      </c>
      <c r="B8109" t="n">
        <v>1.4591</v>
      </c>
      <c r="C8109" t="n">
        <v>1.4316</v>
      </c>
    </row>
    <row r="8110">
      <c r="A8110" t="n">
        <v>1.381</v>
      </c>
      <c r="B8110" t="n">
        <v>1.7014</v>
      </c>
      <c r="C8110" t="n">
        <v>1.7541</v>
      </c>
    </row>
    <row r="8111">
      <c r="A8111" t="n">
        <v>1.4224</v>
      </c>
      <c r="B8111" t="n">
        <v>1.5674</v>
      </c>
      <c r="C8111" t="n">
        <v>1.4855</v>
      </c>
    </row>
    <row r="8112">
      <c r="A8112" t="n">
        <v>1.4251</v>
      </c>
      <c r="B8112" t="n">
        <v>1.7107</v>
      </c>
      <c r="C8112" t="n">
        <v>1.4621</v>
      </c>
    </row>
    <row r="8113">
      <c r="A8113" t="n">
        <v>1.6588</v>
      </c>
      <c r="B8113" t="n">
        <v>1.6579</v>
      </c>
      <c r="C8113" t="n">
        <v>1.5054</v>
      </c>
    </row>
    <row r="8114">
      <c r="A8114" t="n">
        <v>1.6868</v>
      </c>
      <c r="B8114" t="n">
        <v>1.5553</v>
      </c>
      <c r="C8114" t="n">
        <v>1.9907</v>
      </c>
    </row>
    <row r="8115">
      <c r="A8115" t="n">
        <v>1.4896</v>
      </c>
      <c r="B8115" t="n">
        <v>1.7051</v>
      </c>
      <c r="C8115" t="n">
        <v>1.7517</v>
      </c>
    </row>
    <row r="8116">
      <c r="A8116" t="n">
        <v>1.4457</v>
      </c>
      <c r="B8116" t="n">
        <v>1.7482</v>
      </c>
      <c r="C8116" t="n">
        <v>1.6921</v>
      </c>
    </row>
    <row r="8117">
      <c r="A8117" t="n">
        <v>1.4304</v>
      </c>
      <c r="B8117" t="n">
        <v>1.7837</v>
      </c>
      <c r="C8117" t="n">
        <v>1.5321</v>
      </c>
    </row>
    <row r="8118">
      <c r="A8118" t="n">
        <v>1.6118</v>
      </c>
      <c r="B8118" t="n">
        <v>1.6083</v>
      </c>
      <c r="C8118" t="n">
        <v>1.6769</v>
      </c>
    </row>
    <row r="8119">
      <c r="A8119" t="n">
        <v>1.4692</v>
      </c>
      <c r="B8119" t="n">
        <v>1.4995</v>
      </c>
      <c r="C8119" t="n">
        <v>1.4904</v>
      </c>
    </row>
    <row r="8120">
      <c r="A8120" t="n">
        <v>1.6463</v>
      </c>
      <c r="B8120" t="n">
        <v>1.8412</v>
      </c>
      <c r="C8120" t="n">
        <v>1.4325</v>
      </c>
    </row>
    <row r="8121">
      <c r="A8121" t="n">
        <v>1.4779</v>
      </c>
      <c r="B8121" t="n">
        <v>1.573</v>
      </c>
      <c r="C8121" t="n">
        <v>1.694</v>
      </c>
    </row>
    <row r="8122">
      <c r="A8122" t="n">
        <v>1.4457</v>
      </c>
      <c r="B8122" t="n">
        <v>1.6665</v>
      </c>
      <c r="C8122" t="n">
        <v>1.5721</v>
      </c>
    </row>
    <row r="8123">
      <c r="A8123" t="n">
        <v>1.6031</v>
      </c>
      <c r="B8123" t="n">
        <v>1.5372</v>
      </c>
      <c r="C8123" t="n">
        <v>1.7895</v>
      </c>
    </row>
    <row r="8124">
      <c r="A8124" t="n">
        <v>1.5089</v>
      </c>
      <c r="B8124" t="n">
        <v>1.5514</v>
      </c>
      <c r="C8124" t="n">
        <v>1.5139</v>
      </c>
    </row>
    <row r="8125">
      <c r="A8125" t="n">
        <v>1.6127</v>
      </c>
      <c r="B8125" t="n">
        <v>1.757</v>
      </c>
      <c r="C8125" t="n">
        <v>1.4606</v>
      </c>
    </row>
    <row r="8126">
      <c r="A8126" t="n">
        <v>1.5156</v>
      </c>
      <c r="B8126" t="n">
        <v>1.8006</v>
      </c>
      <c r="C8126" t="n">
        <v>1.6166</v>
      </c>
    </row>
    <row r="8127">
      <c r="A8127" t="n">
        <v>1.4161</v>
      </c>
      <c r="B8127" t="n">
        <v>1.7519</v>
      </c>
      <c r="C8127" t="n">
        <v>1.7404</v>
      </c>
    </row>
    <row r="8128">
      <c r="A8128" t="n">
        <v>1.4126</v>
      </c>
      <c r="B8128" t="n">
        <v>1.5849</v>
      </c>
      <c r="C8128" t="n">
        <v>1.5006</v>
      </c>
    </row>
    <row r="8129">
      <c r="A8129" t="n">
        <v>1.4562</v>
      </c>
      <c r="B8129" t="n">
        <v>1.6715</v>
      </c>
      <c r="C8129" t="n">
        <v>1.4202</v>
      </c>
    </row>
    <row r="8130">
      <c r="A8130" t="n">
        <v>1.7749</v>
      </c>
      <c r="B8130" t="n">
        <v>1.8279</v>
      </c>
      <c r="C8130" t="n">
        <v>1.4369</v>
      </c>
    </row>
    <row r="8131">
      <c r="A8131" t="n">
        <v>1.4695</v>
      </c>
      <c r="B8131" t="n">
        <v>1.4472</v>
      </c>
      <c r="C8131" t="n">
        <v>1.6252</v>
      </c>
    </row>
    <row r="8132">
      <c r="A8132" t="n">
        <v>1.7007</v>
      </c>
      <c r="B8132" t="n">
        <v>1.7235</v>
      </c>
      <c r="C8132" t="n">
        <v>1.5367</v>
      </c>
    </row>
    <row r="8133">
      <c r="A8133" t="n">
        <v>1.4871</v>
      </c>
      <c r="B8133" t="n">
        <v>1.6447</v>
      </c>
      <c r="C8133" t="n">
        <v>1.6485</v>
      </c>
    </row>
    <row r="8134">
      <c r="A8134" t="n">
        <v>1.4374</v>
      </c>
      <c r="B8134" t="n">
        <v>1.4822</v>
      </c>
      <c r="C8134" t="n">
        <v>1.5039</v>
      </c>
    </row>
    <row r="8135">
      <c r="A8135" t="n">
        <v>1.4625</v>
      </c>
      <c r="B8135" t="n">
        <v>1.4585</v>
      </c>
      <c r="C8135" t="n">
        <v>1.4345</v>
      </c>
    </row>
    <row r="8136">
      <c r="A8136" t="n">
        <v>1.7314</v>
      </c>
      <c r="B8136" t="n">
        <v>1.4388</v>
      </c>
      <c r="C8136" t="n">
        <v>1.4014</v>
      </c>
    </row>
    <row r="8137">
      <c r="A8137" t="n">
        <v>1.6526</v>
      </c>
      <c r="B8137" t="n">
        <v>1.4535</v>
      </c>
      <c r="C8137" t="n">
        <v>1.4463</v>
      </c>
    </row>
    <row r="8138">
      <c r="A8138" t="n">
        <v>1.5024</v>
      </c>
      <c r="B8138" t="n">
        <v>1.5235</v>
      </c>
      <c r="C8138" t="n">
        <v>1.4011</v>
      </c>
    </row>
    <row r="8139">
      <c r="A8139" t="n">
        <v>1.4531</v>
      </c>
      <c r="B8139" t="n">
        <v>1.686</v>
      </c>
      <c r="C8139" t="n">
        <v>1.4238</v>
      </c>
    </row>
    <row r="8140">
      <c r="A8140" t="n">
        <v>1.4252</v>
      </c>
      <c r="B8140" t="n">
        <v>1.4895</v>
      </c>
      <c r="C8140" t="n">
        <v>1.5148</v>
      </c>
    </row>
    <row r="8141">
      <c r="A8141" t="n">
        <v>1.747</v>
      </c>
      <c r="B8141" t="n">
        <v>1.4731</v>
      </c>
      <c r="C8141" t="n">
        <v>1.7042</v>
      </c>
    </row>
    <row r="8142">
      <c r="A8142" t="n">
        <v>1.644</v>
      </c>
      <c r="B8142" t="n">
        <v>1.4747</v>
      </c>
      <c r="C8142" t="n">
        <v>1.495</v>
      </c>
    </row>
    <row r="8143">
      <c r="A8143" t="n">
        <v>1.4919</v>
      </c>
      <c r="B8143" t="n">
        <v>1.5135</v>
      </c>
      <c r="C8143" t="n">
        <v>1.4722</v>
      </c>
    </row>
    <row r="8144">
      <c r="A8144" t="n">
        <v>1.4505</v>
      </c>
      <c r="B8144" t="n">
        <v>1.664</v>
      </c>
      <c r="C8144" t="n">
        <v>1.5957</v>
      </c>
    </row>
    <row r="8145">
      <c r="A8145" t="n">
        <v>1.4615</v>
      </c>
      <c r="B8145" t="n">
        <v>1.543</v>
      </c>
      <c r="C8145" t="n">
        <v>1.5652</v>
      </c>
    </row>
    <row r="8146">
      <c r="A8146" t="n">
        <v>1.6338</v>
      </c>
      <c r="B8146" t="n">
        <v>1.4773</v>
      </c>
      <c r="C8146" t="n">
        <v>1.9539</v>
      </c>
    </row>
    <row r="8147">
      <c r="A8147" t="n">
        <v>1.5629</v>
      </c>
      <c r="B8147" t="n">
        <v>1.8338</v>
      </c>
      <c r="C8147" t="n">
        <v>1.7272</v>
      </c>
    </row>
    <row r="8148">
      <c r="A8148" t="n">
        <v>1.4218</v>
      </c>
      <c r="B8148" t="n">
        <v>1.6097</v>
      </c>
      <c r="C8148" t="n">
        <v>1.6796</v>
      </c>
    </row>
    <row r="8149">
      <c r="A8149" t="n">
        <v>1.4173</v>
      </c>
      <c r="B8149" t="n">
        <v>1.6932</v>
      </c>
      <c r="C8149" t="n">
        <v>1.5419</v>
      </c>
    </row>
    <row r="8150">
      <c r="A8150" t="n">
        <v>1.6446</v>
      </c>
      <c r="B8150" t="n">
        <v>1.5201</v>
      </c>
      <c r="C8150" t="n">
        <v>1.425</v>
      </c>
    </row>
    <row r="8151">
      <c r="A8151" t="n">
        <v>1.6782</v>
      </c>
      <c r="B8151" t="n">
        <v>1.5321</v>
      </c>
      <c r="C8151" t="n">
        <v>1.4353</v>
      </c>
    </row>
    <row r="8152">
      <c r="A8152" t="n">
        <v>1.5089</v>
      </c>
      <c r="B8152" t="n">
        <v>1.6145</v>
      </c>
      <c r="C8152" t="n">
        <v>1.435</v>
      </c>
    </row>
    <row r="8153">
      <c r="A8153" t="n">
        <v>1.654</v>
      </c>
      <c r="B8153" t="n">
        <v>1.7894</v>
      </c>
      <c r="C8153" t="n">
        <v>1.4207</v>
      </c>
    </row>
    <row r="8154">
      <c r="A8154" t="n">
        <v>1.4861</v>
      </c>
      <c r="B8154" t="n">
        <v>1.506</v>
      </c>
      <c r="C8154" t="n">
        <v>1.6383</v>
      </c>
    </row>
    <row r="8155">
      <c r="A8155" t="n">
        <v>1.4297</v>
      </c>
      <c r="B8155" t="n">
        <v>1.4656</v>
      </c>
      <c r="C8155" t="n">
        <v>1.6756</v>
      </c>
    </row>
    <row r="8156">
      <c r="A8156" t="n">
        <v>1.4072</v>
      </c>
      <c r="B8156" t="n">
        <v>1.4561</v>
      </c>
      <c r="C8156" t="n">
        <v>1.4784</v>
      </c>
    </row>
    <row r="8157">
      <c r="A8157" t="n">
        <v>1.4463</v>
      </c>
      <c r="B8157" t="n">
        <v>1.7629</v>
      </c>
      <c r="C8157" t="n">
        <v>1.475</v>
      </c>
    </row>
    <row r="8158">
      <c r="A8158" t="n">
        <v>1.4317</v>
      </c>
      <c r="B8158" t="n">
        <v>1.6617</v>
      </c>
      <c r="C8158" t="n">
        <v>1.441</v>
      </c>
    </row>
    <row r="8159">
      <c r="A8159" t="n">
        <v>1.6617</v>
      </c>
      <c r="B8159" t="n">
        <v>1.4918</v>
      </c>
      <c r="C8159" t="n">
        <v>1.5859</v>
      </c>
    </row>
    <row r="8160">
      <c r="A8160" t="n">
        <v>1.6814</v>
      </c>
      <c r="B8160" t="n">
        <v>1.4476</v>
      </c>
      <c r="C8160" t="n">
        <v>1.556</v>
      </c>
    </row>
    <row r="8161">
      <c r="A8161" t="n">
        <v>1.4848</v>
      </c>
      <c r="B8161" t="n">
        <v>1.4389</v>
      </c>
      <c r="C8161" t="n">
        <v>1.6542</v>
      </c>
    </row>
    <row r="8162">
      <c r="A8162" t="n">
        <v>1.7796</v>
      </c>
      <c r="B8162" t="n">
        <v>2.012</v>
      </c>
      <c r="C8162" t="n">
        <v>1.4736</v>
      </c>
    </row>
    <row r="8163">
      <c r="A8163" t="n">
        <v>1.6885</v>
      </c>
      <c r="B8163" t="n">
        <v>1.7352</v>
      </c>
      <c r="C8163" t="n">
        <v>1.4438</v>
      </c>
    </row>
    <row r="8164">
      <c r="A8164" t="n">
        <v>1.4994</v>
      </c>
      <c r="B8164" t="n">
        <v>1.6764</v>
      </c>
      <c r="C8164" t="n">
        <v>1.6166</v>
      </c>
    </row>
    <row r="8165">
      <c r="A8165" t="n">
        <v>1.422</v>
      </c>
      <c r="B8165" t="n">
        <v>1.5451</v>
      </c>
      <c r="C8165" t="n">
        <v>1.503</v>
      </c>
    </row>
    <row r="8166">
      <c r="A8166" t="n">
        <v>1.4367</v>
      </c>
      <c r="B8166" t="n">
        <v>1.6909</v>
      </c>
      <c r="C8166" t="n">
        <v>1.626</v>
      </c>
    </row>
    <row r="8167">
      <c r="A8167" t="n">
        <v>1.4024</v>
      </c>
      <c r="B8167" t="n">
        <v>1.6983</v>
      </c>
      <c r="C8167" t="n">
        <v>1.547</v>
      </c>
    </row>
    <row r="8168">
      <c r="A8168" t="n">
        <v>1.4401</v>
      </c>
      <c r="B8168" t="n">
        <v>1.5294</v>
      </c>
      <c r="C8168" t="n">
        <v>1.4167</v>
      </c>
    </row>
    <row r="8169">
      <c r="A8169" t="n">
        <v>1.6823</v>
      </c>
      <c r="B8169" t="n">
        <v>1.6882</v>
      </c>
      <c r="C8169" t="n">
        <v>1.5138</v>
      </c>
    </row>
    <row r="8170">
      <c r="A8170" t="n">
        <v>1.8144</v>
      </c>
      <c r="B8170" t="n">
        <v>1.7035</v>
      </c>
      <c r="C8170" t="n">
        <v>1.4944</v>
      </c>
    </row>
    <row r="8171">
      <c r="A8171" t="n">
        <v>1.4916</v>
      </c>
      <c r="B8171" t="n">
        <v>1.5871</v>
      </c>
      <c r="C8171" t="n">
        <v>1.4162</v>
      </c>
    </row>
    <row r="8172">
      <c r="A8172" t="n">
        <v>1.446</v>
      </c>
      <c r="B8172" t="n">
        <v>1.5538</v>
      </c>
      <c r="C8172" t="n">
        <v>1.383</v>
      </c>
    </row>
    <row r="8173">
      <c r="A8173" t="n">
        <v>1.4221</v>
      </c>
      <c r="B8173" t="n">
        <v>1.6213</v>
      </c>
      <c r="C8173" t="n">
        <v>1.4879</v>
      </c>
    </row>
    <row r="8174">
      <c r="A8174" t="n">
        <v>1.6127</v>
      </c>
      <c r="B8174" t="n">
        <v>1.5396</v>
      </c>
      <c r="C8174" t="n">
        <v>1.6711</v>
      </c>
    </row>
    <row r="8175">
      <c r="A8175" t="n">
        <v>1.579</v>
      </c>
      <c r="B8175" t="n">
        <v>1.7038</v>
      </c>
      <c r="C8175" t="n">
        <v>1.5069</v>
      </c>
    </row>
    <row r="8176">
      <c r="A8176" t="n">
        <v>1.4108</v>
      </c>
      <c r="B8176" t="n">
        <v>1.6616</v>
      </c>
      <c r="C8176" t="n">
        <v>1.4533</v>
      </c>
    </row>
    <row r="8177">
      <c r="A8177" t="n">
        <v>1.4398</v>
      </c>
      <c r="B8177" t="n">
        <v>1.545</v>
      </c>
      <c r="C8177" t="n">
        <v>1.6221</v>
      </c>
    </row>
    <row r="8178">
      <c r="A8178" t="n">
        <v>1.4145</v>
      </c>
      <c r="B8178" t="n">
        <v>1.734</v>
      </c>
      <c r="C8178" t="n">
        <v>1.8525</v>
      </c>
    </row>
    <row r="8179">
      <c r="A8179" t="n">
        <v>1.415</v>
      </c>
      <c r="B8179" t="n">
        <v>1.4736</v>
      </c>
      <c r="C8179" t="n">
        <v>1.4468</v>
      </c>
    </row>
    <row r="8180">
      <c r="A8180" t="n">
        <v>1.4687</v>
      </c>
      <c r="B8180" t="n">
        <v>1.4719</v>
      </c>
      <c r="C8180" t="n">
        <v>1.4378</v>
      </c>
    </row>
    <row r="8181">
      <c r="A8181" t="n">
        <v>1.4572</v>
      </c>
      <c r="B8181" t="n">
        <v>1.6388</v>
      </c>
      <c r="C8181" t="n">
        <v>1.4409</v>
      </c>
    </row>
    <row r="8182">
      <c r="A8182" t="n">
        <v>1.633</v>
      </c>
      <c r="B8182" t="n">
        <v>1.5275</v>
      </c>
      <c r="C8182" t="n">
        <v>1.4223</v>
      </c>
    </row>
    <row r="8183">
      <c r="A8183" t="n">
        <v>1.7197</v>
      </c>
      <c r="B8183" t="n">
        <v>1.647</v>
      </c>
      <c r="C8183" t="n">
        <v>1.4841</v>
      </c>
    </row>
    <row r="8184">
      <c r="A8184" t="n">
        <v>1.4863</v>
      </c>
      <c r="B8184" t="n">
        <v>1.4944</v>
      </c>
      <c r="C8184" t="n">
        <v>1.488</v>
      </c>
    </row>
    <row r="8185">
      <c r="A8185" t="n">
        <v>1.4323</v>
      </c>
      <c r="B8185" t="n">
        <v>1.4397</v>
      </c>
      <c r="C8185" t="n">
        <v>1.5067</v>
      </c>
    </row>
    <row r="8186">
      <c r="A8186" t="n">
        <v>1.4462</v>
      </c>
      <c r="B8186" t="n">
        <v>1.4134</v>
      </c>
      <c r="C8186" t="n">
        <v>1.4701</v>
      </c>
    </row>
    <row r="8187">
      <c r="A8187" t="n">
        <v>1.3915</v>
      </c>
      <c r="B8187" t="n">
        <v>1.4242</v>
      </c>
      <c r="C8187" t="n">
        <v>1.4565</v>
      </c>
    </row>
    <row r="8188">
      <c r="A8188" t="n">
        <v>1.4202</v>
      </c>
      <c r="B8188" t="n">
        <v>1.4295</v>
      </c>
      <c r="C8188" t="n">
        <v>1.4672</v>
      </c>
    </row>
    <row r="8189">
      <c r="A8189" t="n">
        <v>1.6494</v>
      </c>
      <c r="B8189" t="n">
        <v>1.6625</v>
      </c>
      <c r="C8189" t="n">
        <v>1.4826</v>
      </c>
    </row>
    <row r="8190">
      <c r="A8190" t="n">
        <v>1.5248</v>
      </c>
      <c r="B8190" t="n">
        <v>1.7591</v>
      </c>
      <c r="C8190" t="n">
        <v>1.4338</v>
      </c>
    </row>
    <row r="8191">
      <c r="A8191" t="n">
        <v>1.6643</v>
      </c>
      <c r="B8191" t="n">
        <v>1.4797</v>
      </c>
      <c r="C8191" t="n">
        <v>1.4821</v>
      </c>
    </row>
    <row r="8192">
      <c r="A8192" t="n">
        <v>1.7555</v>
      </c>
      <c r="B8192" t="n">
        <v>1.446</v>
      </c>
      <c r="C8192" t="n">
        <v>1.4551</v>
      </c>
    </row>
    <row r="8193">
      <c r="A8193" t="n">
        <v>1.5276</v>
      </c>
      <c r="B8193" t="n">
        <v>1.444</v>
      </c>
      <c r="C8193" t="n">
        <v>1.4676</v>
      </c>
    </row>
    <row r="8194">
      <c r="A8194" t="n">
        <v>1.9262</v>
      </c>
      <c r="B8194" t="n">
        <v>1.9706</v>
      </c>
      <c r="C8194" t="n">
        <v>1.5213</v>
      </c>
    </row>
    <row r="8195">
      <c r="A8195" t="n">
        <v>1.4905</v>
      </c>
      <c r="B8195" t="n">
        <v>1.7017</v>
      </c>
      <c r="C8195" t="n">
        <v>1.4562</v>
      </c>
    </row>
    <row r="8196">
      <c r="A8196" t="n">
        <v>1.4612</v>
      </c>
      <c r="B8196" t="n">
        <v>1.6992</v>
      </c>
      <c r="C8196" t="n">
        <v>1.4758</v>
      </c>
    </row>
    <row r="8197">
      <c r="A8197" t="n">
        <v>1.6391</v>
      </c>
      <c r="B8197" t="n">
        <v>1.516</v>
      </c>
      <c r="C8197" t="n">
        <v>1.4739</v>
      </c>
    </row>
    <row r="8198">
      <c r="A8198" t="n">
        <v>1.7454</v>
      </c>
      <c r="B8198" t="n">
        <v>1.6911</v>
      </c>
      <c r="C8198" t="n">
        <v>1.4002</v>
      </c>
    </row>
    <row r="8199">
      <c r="A8199" t="n">
        <v>1.4833</v>
      </c>
      <c r="B8199" t="n">
        <v>1.7665</v>
      </c>
      <c r="C8199" t="n">
        <v>1.4826</v>
      </c>
    </row>
    <row r="8200">
      <c r="A8200" t="n">
        <v>1.4315</v>
      </c>
      <c r="B8200" t="n">
        <v>1.7918</v>
      </c>
      <c r="C8200" t="n">
        <v>1.4476</v>
      </c>
    </row>
    <row r="8201">
      <c r="A8201" t="n">
        <v>1.4298</v>
      </c>
      <c r="B8201" t="n">
        <v>1.5197</v>
      </c>
      <c r="C8201" t="n">
        <v>1.4364</v>
      </c>
    </row>
    <row r="8202">
      <c r="A8202" t="n">
        <v>1.5985</v>
      </c>
      <c r="B8202" t="n">
        <v>1.6335</v>
      </c>
      <c r="C8202" t="n">
        <v>1.4587</v>
      </c>
    </row>
    <row r="8203">
      <c r="A8203" t="n">
        <v>1.5322</v>
      </c>
      <c r="B8203" t="n">
        <v>1.7061</v>
      </c>
      <c r="C8203" t="n">
        <v>1.4545</v>
      </c>
    </row>
    <row r="8204">
      <c r="A8204" t="n">
        <v>1.6468</v>
      </c>
      <c r="B8204" t="n">
        <v>1.5135</v>
      </c>
      <c r="C8204" t="n">
        <v>1.4897</v>
      </c>
    </row>
    <row r="8205">
      <c r="A8205" t="n">
        <v>1.4953</v>
      </c>
      <c r="B8205" t="n">
        <v>1.6712</v>
      </c>
      <c r="C8205" t="n">
        <v>1.4764</v>
      </c>
    </row>
    <row r="8206">
      <c r="A8206" t="n">
        <v>1.4375</v>
      </c>
      <c r="B8206" t="n">
        <v>1.4725</v>
      </c>
      <c r="C8206" t="n">
        <v>1.455</v>
      </c>
    </row>
    <row r="8207">
      <c r="A8207" t="n">
        <v>1.6923</v>
      </c>
      <c r="B8207" t="n">
        <v>1.4508</v>
      </c>
      <c r="C8207" t="n">
        <v>1.4722</v>
      </c>
    </row>
    <row r="8208">
      <c r="A8208" t="n">
        <v>1.5359</v>
      </c>
      <c r="B8208" t="n">
        <v>1.4272</v>
      </c>
      <c r="C8208" t="n">
        <v>1.5849</v>
      </c>
    </row>
    <row r="8209">
      <c r="A8209" t="n">
        <v>1.6728</v>
      </c>
      <c r="B8209" t="n">
        <v>1.4584</v>
      </c>
      <c r="C8209" t="n">
        <v>1.5073</v>
      </c>
    </row>
    <row r="8210">
      <c r="A8210" t="n">
        <v>1.4881</v>
      </c>
      <c r="B8210" t="n">
        <v>1.4413</v>
      </c>
      <c r="C8210" t="n">
        <v>2.0259</v>
      </c>
    </row>
    <row r="8211">
      <c r="A8211" t="n">
        <v>1.4517</v>
      </c>
      <c r="B8211" t="n">
        <v>1.412</v>
      </c>
      <c r="C8211" t="n">
        <v>1.7157</v>
      </c>
    </row>
    <row r="8212">
      <c r="A8212" t="n">
        <v>1.6154</v>
      </c>
      <c r="B8212" t="n">
        <v>1.459</v>
      </c>
      <c r="C8212" t="n">
        <v>1.5759</v>
      </c>
    </row>
    <row r="8213">
      <c r="A8213" t="n">
        <v>1.5303</v>
      </c>
      <c r="B8213" t="n">
        <v>1.6716</v>
      </c>
      <c r="C8213" t="n">
        <v>1.4139</v>
      </c>
    </row>
    <row r="8214">
      <c r="A8214" t="n">
        <v>1.605</v>
      </c>
      <c r="B8214" t="n">
        <v>1.5031</v>
      </c>
      <c r="C8214" t="n">
        <v>1.454</v>
      </c>
    </row>
    <row r="8215">
      <c r="A8215" t="n">
        <v>1.4882</v>
      </c>
      <c r="B8215" t="n">
        <v>1.4413</v>
      </c>
      <c r="C8215" t="n">
        <v>1.4336</v>
      </c>
    </row>
    <row r="8216">
      <c r="A8216" t="n">
        <v>1.4204</v>
      </c>
      <c r="B8216" t="n">
        <v>1.435</v>
      </c>
      <c r="C8216" t="n">
        <v>1.3994</v>
      </c>
    </row>
    <row r="8217">
      <c r="A8217" t="n">
        <v>1.4974</v>
      </c>
      <c r="B8217" t="n">
        <v>1.4722</v>
      </c>
      <c r="C8217" t="n">
        <v>1.4537</v>
      </c>
    </row>
    <row r="8218">
      <c r="A8218" t="n">
        <v>1.438</v>
      </c>
      <c r="B8218" t="n">
        <v>1.4059</v>
      </c>
      <c r="C8218" t="n">
        <v>1.4844</v>
      </c>
    </row>
    <row r="8219">
      <c r="A8219" t="n">
        <v>1.4114</v>
      </c>
      <c r="B8219" t="n">
        <v>1.4317</v>
      </c>
      <c r="C8219" t="n">
        <v>1.68</v>
      </c>
    </row>
    <row r="8220">
      <c r="A8220" t="n">
        <v>1.6529</v>
      </c>
      <c r="B8220" t="n">
        <v>1.848</v>
      </c>
      <c r="C8220" t="n">
        <v>1.6756</v>
      </c>
    </row>
    <row r="8221">
      <c r="A8221" t="n">
        <v>1.6789</v>
      </c>
      <c r="B8221" t="n">
        <v>1.5026</v>
      </c>
      <c r="C8221" t="n">
        <v>1.5139</v>
      </c>
    </row>
    <row r="8222">
      <c r="A8222" t="n">
        <v>1.4856</v>
      </c>
      <c r="B8222" t="n">
        <v>1.4416</v>
      </c>
      <c r="C8222" t="n">
        <v>1.4581</v>
      </c>
    </row>
    <row r="8223">
      <c r="A8223" t="n">
        <v>1.4408</v>
      </c>
      <c r="B8223" t="n">
        <v>1.4967</v>
      </c>
      <c r="C8223" t="n">
        <v>1.4778</v>
      </c>
    </row>
    <row r="8224">
      <c r="A8224" t="n">
        <v>1.4234</v>
      </c>
      <c r="B8224" t="n">
        <v>1.6761</v>
      </c>
      <c r="C8224" t="n">
        <v>1.6603</v>
      </c>
    </row>
    <row r="8225">
      <c r="A8225" t="n">
        <v>1.5887</v>
      </c>
      <c r="B8225" t="n">
        <v>1.6742</v>
      </c>
      <c r="C8225" t="n">
        <v>1.6547</v>
      </c>
    </row>
    <row r="8226">
      <c r="A8226" t="n">
        <v>2.0963</v>
      </c>
      <c r="B8226" t="n">
        <v>2.0523</v>
      </c>
      <c r="C8226" t="n">
        <v>1.496</v>
      </c>
    </row>
    <row r="8227">
      <c r="A8227" t="n">
        <v>1.7081</v>
      </c>
      <c r="B8227" t="n">
        <v>1.5464</v>
      </c>
      <c r="C8227" t="n">
        <v>1.46</v>
      </c>
    </row>
    <row r="8228">
      <c r="A8228" t="n">
        <v>1.5291</v>
      </c>
      <c r="B8228" t="n">
        <v>1.67</v>
      </c>
      <c r="C8228" t="n">
        <v>1.4192</v>
      </c>
    </row>
    <row r="8229">
      <c r="A8229" t="n">
        <v>1.6194</v>
      </c>
      <c r="B8229" t="n">
        <v>1.4973</v>
      </c>
      <c r="C8229" t="n">
        <v>1.5998</v>
      </c>
    </row>
    <row r="8230">
      <c r="A8230" t="n">
        <v>1.4813</v>
      </c>
      <c r="B8230" t="n">
        <v>1.4451</v>
      </c>
      <c r="C8230" t="n">
        <v>1.5213</v>
      </c>
    </row>
    <row r="8231">
      <c r="A8231" t="n">
        <v>1.4246</v>
      </c>
      <c r="B8231" t="n">
        <v>1.6425</v>
      </c>
      <c r="C8231" t="n">
        <v>1.5852</v>
      </c>
    </row>
    <row r="8232">
      <c r="A8232" t="n">
        <v>1.4197</v>
      </c>
      <c r="B8232" t="n">
        <v>1.5718</v>
      </c>
      <c r="C8232" t="n">
        <v>1.5203</v>
      </c>
    </row>
    <row r="8233">
      <c r="A8233" t="n">
        <v>1.4346</v>
      </c>
      <c r="B8233" t="n">
        <v>1.6658</v>
      </c>
      <c r="C8233" t="n">
        <v>1.4298</v>
      </c>
    </row>
    <row r="8234">
      <c r="A8234" t="n">
        <v>1.4361</v>
      </c>
      <c r="B8234" t="n">
        <v>1.5178</v>
      </c>
      <c r="C8234" t="n">
        <v>1.3665</v>
      </c>
    </row>
    <row r="8235">
      <c r="A8235" t="n">
        <v>1.6553</v>
      </c>
      <c r="B8235" t="n">
        <v>1.4583</v>
      </c>
      <c r="C8235" t="n">
        <v>1.4267</v>
      </c>
    </row>
    <row r="8236">
      <c r="A8236" t="n">
        <v>1.6708</v>
      </c>
      <c r="B8236" t="n">
        <v>1.604</v>
      </c>
      <c r="C8236" t="n">
        <v>1.4553</v>
      </c>
    </row>
    <row r="8237">
      <c r="A8237" t="n">
        <v>1.4751</v>
      </c>
      <c r="B8237" t="n">
        <v>1.5602</v>
      </c>
      <c r="C8237" t="n">
        <v>1.6455</v>
      </c>
    </row>
    <row r="8238">
      <c r="A8238" t="n">
        <v>1.4499</v>
      </c>
      <c r="B8238" t="n">
        <v>1.6715</v>
      </c>
      <c r="C8238" t="n">
        <v>1.7206</v>
      </c>
    </row>
    <row r="8239">
      <c r="A8239" t="n">
        <v>1.4053</v>
      </c>
      <c r="B8239" t="n">
        <v>1.461</v>
      </c>
      <c r="C8239" t="n">
        <v>1.5079</v>
      </c>
    </row>
    <row r="8240">
      <c r="A8240" t="n">
        <v>1.617</v>
      </c>
      <c r="B8240" t="n">
        <v>1.4355</v>
      </c>
      <c r="C8240" t="n">
        <v>1.4312</v>
      </c>
    </row>
    <row r="8241">
      <c r="A8241" t="n">
        <v>1.5255</v>
      </c>
      <c r="B8241" t="n">
        <v>1.4271</v>
      </c>
      <c r="C8241" t="n">
        <v>1.4409</v>
      </c>
    </row>
    <row r="8242">
      <c r="A8242" t="n">
        <v>1.6184</v>
      </c>
      <c r="B8242" t="n">
        <v>1.4236</v>
      </c>
      <c r="C8242" t="n">
        <v>2.0064</v>
      </c>
    </row>
    <row r="8243">
      <c r="A8243" t="n">
        <v>1.4702</v>
      </c>
      <c r="B8243" t="n">
        <v>1.4224</v>
      </c>
      <c r="C8243" t="n">
        <v>1.7215</v>
      </c>
    </row>
    <row r="8244">
      <c r="A8244" t="n">
        <v>1.424</v>
      </c>
      <c r="B8244" t="n">
        <v>1.4702</v>
      </c>
      <c r="C8244" t="n">
        <v>1.6745</v>
      </c>
    </row>
    <row r="8245">
      <c r="A8245" t="n">
        <v>1.374</v>
      </c>
      <c r="B8245" t="n">
        <v>1.445</v>
      </c>
      <c r="C8245" t="n">
        <v>1.5238</v>
      </c>
    </row>
    <row r="8246">
      <c r="A8246" t="n">
        <v>1.4219</v>
      </c>
      <c r="B8246" t="n">
        <v>1.6603</v>
      </c>
      <c r="C8246" t="n">
        <v>1.5944</v>
      </c>
    </row>
    <row r="8247">
      <c r="A8247" t="n">
        <v>1.4548</v>
      </c>
      <c r="B8247" t="n">
        <v>1.4964</v>
      </c>
      <c r="C8247" t="n">
        <v>1.5163</v>
      </c>
    </row>
    <row r="8248">
      <c r="A8248" t="n">
        <v>1.6074</v>
      </c>
      <c r="B8248" t="n">
        <v>1.4277</v>
      </c>
      <c r="C8248" t="n">
        <v>1.4635</v>
      </c>
    </row>
    <row r="8249">
      <c r="A8249" t="n">
        <v>1.7035</v>
      </c>
      <c r="B8249" t="n">
        <v>1.7023</v>
      </c>
      <c r="C8249" t="n">
        <v>1.6493</v>
      </c>
    </row>
    <row r="8250">
      <c r="A8250" t="n">
        <v>1.4888</v>
      </c>
      <c r="B8250" t="n">
        <v>1.5442</v>
      </c>
      <c r="C8250" t="n">
        <v>1.5359</v>
      </c>
    </row>
    <row r="8251">
      <c r="A8251" t="n">
        <v>1.43</v>
      </c>
      <c r="B8251" t="n">
        <v>1.6628</v>
      </c>
      <c r="C8251" t="n">
        <v>1.6639</v>
      </c>
    </row>
    <row r="8252">
      <c r="A8252" t="n">
        <v>1.4416</v>
      </c>
      <c r="B8252" t="n">
        <v>1.5009</v>
      </c>
      <c r="C8252" t="n">
        <v>1.4809</v>
      </c>
    </row>
    <row r="8253">
      <c r="A8253" t="n">
        <v>1.6327</v>
      </c>
      <c r="B8253" t="n">
        <v>1.4429</v>
      </c>
      <c r="C8253" t="n">
        <v>1.4387</v>
      </c>
    </row>
    <row r="8254">
      <c r="A8254" t="n">
        <v>1.5265</v>
      </c>
      <c r="B8254" t="n">
        <v>1.6095</v>
      </c>
      <c r="C8254" t="n">
        <v>1.3899</v>
      </c>
    </row>
    <row r="8255">
      <c r="A8255" t="n">
        <v>1.6702</v>
      </c>
      <c r="B8255" t="n">
        <v>1.5661</v>
      </c>
      <c r="C8255" t="n">
        <v>1.4528</v>
      </c>
    </row>
    <row r="8256">
      <c r="A8256" t="n">
        <v>1.486</v>
      </c>
      <c r="B8256" t="n">
        <v>1.6742</v>
      </c>
      <c r="C8256" t="n">
        <v>1.4413</v>
      </c>
    </row>
    <row r="8257">
      <c r="A8257" t="n">
        <v>1.4282</v>
      </c>
      <c r="B8257" t="n">
        <v>1.4876</v>
      </c>
      <c r="C8257" t="n">
        <v>1.7228</v>
      </c>
    </row>
    <row r="8258">
      <c r="A8258" t="n">
        <v>1.9507</v>
      </c>
      <c r="B8258" t="n">
        <v>1.7414</v>
      </c>
      <c r="C8258" t="n">
        <v>1.7191</v>
      </c>
    </row>
    <row r="8259">
      <c r="A8259" t="n">
        <v>1.7018</v>
      </c>
      <c r="B8259" t="n">
        <v>1.6483</v>
      </c>
      <c r="C8259" t="n">
        <v>1.5684</v>
      </c>
    </row>
    <row r="8260">
      <c r="A8260" t="n">
        <v>1.4733</v>
      </c>
      <c r="B8260" t="n">
        <v>1.7156</v>
      </c>
      <c r="C8260" t="n">
        <v>1.5009</v>
      </c>
    </row>
    <row r="8261">
      <c r="A8261" t="n">
        <v>1.4655</v>
      </c>
      <c r="B8261" t="n">
        <v>1.5229</v>
      </c>
      <c r="C8261" t="n">
        <v>1.4526</v>
      </c>
    </row>
    <row r="8262">
      <c r="A8262" t="n">
        <v>1.4463</v>
      </c>
      <c r="B8262" t="n">
        <v>1.4811</v>
      </c>
      <c r="C8262" t="n">
        <v>1.4141</v>
      </c>
    </row>
    <row r="8263">
      <c r="A8263" t="n">
        <v>1.6275</v>
      </c>
      <c r="B8263" t="n">
        <v>1.4547</v>
      </c>
      <c r="C8263" t="n">
        <v>1.523</v>
      </c>
    </row>
    <row r="8264">
      <c r="A8264" t="n">
        <v>1.683</v>
      </c>
      <c r="B8264" t="n">
        <v>1.6565</v>
      </c>
      <c r="C8264" t="n">
        <v>1.657</v>
      </c>
    </row>
    <row r="8265">
      <c r="A8265" t="n">
        <v>1.4792</v>
      </c>
      <c r="B8265" t="n">
        <v>1.7445</v>
      </c>
      <c r="C8265" t="n">
        <v>1.4967</v>
      </c>
    </row>
    <row r="8266">
      <c r="A8266" t="n">
        <v>1.4055</v>
      </c>
      <c r="B8266" t="n">
        <v>1.4898</v>
      </c>
      <c r="C8266" t="n">
        <v>1.4788</v>
      </c>
    </row>
    <row r="8267">
      <c r="A8267" t="n">
        <v>1.447</v>
      </c>
      <c r="B8267" t="n">
        <v>1.4612</v>
      </c>
      <c r="C8267" t="n">
        <v>1.6357</v>
      </c>
    </row>
    <row r="8268">
      <c r="A8268" t="n">
        <v>1.6506</v>
      </c>
      <c r="B8268" t="n">
        <v>1.4532</v>
      </c>
      <c r="C8268" t="n">
        <v>1.7463</v>
      </c>
    </row>
    <row r="8269">
      <c r="A8269" t="n">
        <v>1.5364</v>
      </c>
      <c r="B8269" t="n">
        <v>1.6185</v>
      </c>
      <c r="C8269" t="n">
        <v>1.4769</v>
      </c>
    </row>
    <row r="8270">
      <c r="A8270" t="n">
        <v>1.637</v>
      </c>
      <c r="B8270" t="n">
        <v>1.705</v>
      </c>
      <c r="C8270" t="n">
        <v>1.4808</v>
      </c>
    </row>
    <row r="8271">
      <c r="A8271" t="n">
        <v>1.4897</v>
      </c>
      <c r="B8271" t="n">
        <v>1.5073</v>
      </c>
      <c r="C8271" t="n">
        <v>1.4891</v>
      </c>
    </row>
    <row r="8272">
      <c r="A8272" t="n">
        <v>1.4426</v>
      </c>
      <c r="B8272" t="n">
        <v>1.4347</v>
      </c>
      <c r="C8272" t="n">
        <v>1.4305</v>
      </c>
    </row>
    <row r="8273">
      <c r="A8273" t="n">
        <v>1.4108</v>
      </c>
      <c r="B8273" t="n">
        <v>1.4512</v>
      </c>
      <c r="C8273" t="n">
        <v>1.4817</v>
      </c>
    </row>
    <row r="8274">
      <c r="A8274" t="n">
        <v>1.4383</v>
      </c>
      <c r="B8274" t="n">
        <v>1.7148</v>
      </c>
      <c r="C8274" t="n">
        <v>1.9723</v>
      </c>
    </row>
    <row r="8275">
      <c r="A8275" t="n">
        <v>1.396</v>
      </c>
      <c r="B8275" t="n">
        <v>1.677</v>
      </c>
      <c r="C8275" t="n">
        <v>1.5057</v>
      </c>
    </row>
    <row r="8276">
      <c r="A8276" t="n">
        <v>1.6572</v>
      </c>
      <c r="B8276" t="n">
        <v>1.5003</v>
      </c>
      <c r="C8276" t="n">
        <v>1.4276</v>
      </c>
    </row>
    <row r="8277">
      <c r="A8277" t="n">
        <v>1.7804</v>
      </c>
      <c r="B8277" t="n">
        <v>1.4331</v>
      </c>
      <c r="C8277" t="n">
        <v>1.7001</v>
      </c>
    </row>
    <row r="8278">
      <c r="A8278" t="n">
        <v>1.5399</v>
      </c>
      <c r="B8278" t="n">
        <v>1.4263</v>
      </c>
      <c r="C8278" t="n">
        <v>1.7116</v>
      </c>
    </row>
    <row r="8279">
      <c r="A8279" t="n">
        <v>1.4752</v>
      </c>
      <c r="B8279" t="n">
        <v>1.6397</v>
      </c>
      <c r="C8279" t="n">
        <v>1.4654</v>
      </c>
    </row>
    <row r="8280">
      <c r="A8280" t="n">
        <v>1.6614</v>
      </c>
      <c r="B8280" t="n">
        <v>1.6171</v>
      </c>
      <c r="C8280" t="n">
        <v>1.4302</v>
      </c>
    </row>
    <row r="8281">
      <c r="A8281" t="n">
        <v>1.4924</v>
      </c>
      <c r="B8281" t="n">
        <v>1.4619</v>
      </c>
      <c r="C8281" t="n">
        <v>1.4445</v>
      </c>
    </row>
    <row r="8282">
      <c r="A8282" t="n">
        <v>1.6468</v>
      </c>
      <c r="B8282" t="n">
        <v>1.4666</v>
      </c>
      <c r="C8282" t="n">
        <v>1.6044</v>
      </c>
    </row>
    <row r="8283">
      <c r="A8283" t="n">
        <v>1.5402</v>
      </c>
      <c r="B8283" t="n">
        <v>1.4395</v>
      </c>
      <c r="C8283" t="n">
        <v>1.5409</v>
      </c>
    </row>
    <row r="8284">
      <c r="A8284" t="n">
        <v>1.4812</v>
      </c>
      <c r="B8284" t="n">
        <v>1.4347</v>
      </c>
      <c r="C8284" t="n">
        <v>1.6954</v>
      </c>
    </row>
    <row r="8285">
      <c r="A8285" t="n">
        <v>1.4225</v>
      </c>
      <c r="B8285" t="n">
        <v>1.4568</v>
      </c>
      <c r="C8285" t="n">
        <v>1.4804</v>
      </c>
    </row>
    <row r="8286">
      <c r="A8286" t="n">
        <v>1.3842</v>
      </c>
      <c r="B8286" t="n">
        <v>1.4894</v>
      </c>
      <c r="C8286" t="n">
        <v>1.4679</v>
      </c>
    </row>
    <row r="8287">
      <c r="A8287" t="n">
        <v>1.47</v>
      </c>
      <c r="B8287" t="n">
        <v>1.4084</v>
      </c>
      <c r="C8287" t="n">
        <v>1.3995</v>
      </c>
    </row>
    <row r="8288">
      <c r="A8288" t="n">
        <v>1.649</v>
      </c>
      <c r="B8288" t="n">
        <v>1.5893</v>
      </c>
      <c r="C8288" t="n">
        <v>1.4426</v>
      </c>
    </row>
    <row r="8289">
      <c r="A8289" t="n">
        <v>1.4905</v>
      </c>
      <c r="B8289" t="n">
        <v>1.4649</v>
      </c>
      <c r="C8289" t="n">
        <v>1.6361</v>
      </c>
    </row>
    <row r="8290">
      <c r="A8290" t="n">
        <v>1.7213</v>
      </c>
      <c r="B8290" t="n">
        <v>1.7522</v>
      </c>
      <c r="C8290" t="n">
        <v>1.5148</v>
      </c>
    </row>
    <row r="8291">
      <c r="A8291" t="n">
        <v>1.6852</v>
      </c>
      <c r="B8291" t="n">
        <v>1.4937</v>
      </c>
      <c r="C8291" t="n">
        <v>1.6235</v>
      </c>
    </row>
    <row r="8292">
      <c r="A8292" t="n">
        <v>1.6959</v>
      </c>
      <c r="B8292" t="n">
        <v>1.7522</v>
      </c>
      <c r="C8292" t="n">
        <v>1.5438</v>
      </c>
    </row>
    <row r="8293">
      <c r="A8293" t="n">
        <v>1.4667</v>
      </c>
      <c r="B8293" t="n">
        <v>1.7427</v>
      </c>
      <c r="C8293" t="n">
        <v>1.494</v>
      </c>
    </row>
    <row r="8294">
      <c r="A8294" t="n">
        <v>1.4473</v>
      </c>
      <c r="B8294" t="n">
        <v>1.5602</v>
      </c>
      <c r="C8294" t="n">
        <v>1.3898</v>
      </c>
    </row>
    <row r="8295">
      <c r="A8295" t="n">
        <v>1.4536</v>
      </c>
      <c r="B8295" t="n">
        <v>1.4955</v>
      </c>
      <c r="C8295" t="n">
        <v>1.3997</v>
      </c>
    </row>
    <row r="8296">
      <c r="A8296" t="n">
        <v>1.5938</v>
      </c>
      <c r="B8296" t="n">
        <v>1.4263</v>
      </c>
      <c r="C8296" t="n">
        <v>1.4955</v>
      </c>
    </row>
    <row r="8297">
      <c r="A8297" t="n">
        <v>1.5028</v>
      </c>
      <c r="B8297" t="n">
        <v>1.3982</v>
      </c>
      <c r="C8297" t="n">
        <v>1.6164</v>
      </c>
    </row>
    <row r="8298">
      <c r="A8298" t="n">
        <v>1.6346</v>
      </c>
      <c r="B8298" t="n">
        <v>1.804</v>
      </c>
      <c r="C8298" t="n">
        <v>1.4862</v>
      </c>
    </row>
    <row r="8299">
      <c r="A8299" t="n">
        <v>1.4745</v>
      </c>
      <c r="B8299" t="n">
        <v>1.4798</v>
      </c>
      <c r="C8299" t="n">
        <v>1.4394</v>
      </c>
    </row>
    <row r="8300">
      <c r="A8300" t="n">
        <v>1.4405</v>
      </c>
      <c r="B8300" t="n">
        <v>1.456</v>
      </c>
      <c r="C8300" t="n">
        <v>1.3798</v>
      </c>
    </row>
    <row r="8301">
      <c r="A8301" t="n">
        <v>1.4063</v>
      </c>
      <c r="B8301" t="n">
        <v>1.4552</v>
      </c>
      <c r="C8301" t="n">
        <v>1.4363</v>
      </c>
    </row>
    <row r="8302">
      <c r="A8302" t="n">
        <v>1.419</v>
      </c>
      <c r="B8302" t="n">
        <v>1.5863</v>
      </c>
      <c r="C8302" t="n">
        <v>1.435</v>
      </c>
    </row>
    <row r="8303">
      <c r="A8303" t="n">
        <v>1.436</v>
      </c>
      <c r="B8303" t="n">
        <v>1.5883</v>
      </c>
      <c r="C8303" t="n">
        <v>1.6359</v>
      </c>
    </row>
    <row r="8304">
      <c r="A8304" t="n">
        <v>1.6833</v>
      </c>
      <c r="B8304" t="n">
        <v>1.427</v>
      </c>
      <c r="C8304" t="n">
        <v>1.6993</v>
      </c>
    </row>
    <row r="8305">
      <c r="A8305" t="n">
        <v>1.7102</v>
      </c>
      <c r="B8305" t="n">
        <v>1.4209</v>
      </c>
      <c r="C8305" t="n">
        <v>1.4822</v>
      </c>
    </row>
    <row r="8306">
      <c r="A8306" t="n">
        <v>1.4912</v>
      </c>
      <c r="B8306" t="n">
        <v>1.7987</v>
      </c>
      <c r="C8306" t="n">
        <v>1.7667</v>
      </c>
    </row>
    <row r="8307">
      <c r="A8307" t="n">
        <v>1.4306</v>
      </c>
      <c r="B8307" t="n">
        <v>1.7022</v>
      </c>
      <c r="C8307" t="n">
        <v>1.6431</v>
      </c>
    </row>
    <row r="8308">
      <c r="A8308" t="n">
        <v>1.4145</v>
      </c>
      <c r="B8308" t="n">
        <v>1.6777</v>
      </c>
      <c r="C8308" t="n">
        <v>1.5027</v>
      </c>
    </row>
    <row r="8309">
      <c r="A8309" t="n">
        <v>1.5885</v>
      </c>
      <c r="B8309" t="n">
        <v>1.5213</v>
      </c>
      <c r="C8309" t="n">
        <v>1.6204</v>
      </c>
    </row>
    <row r="8310">
      <c r="A8310" t="n">
        <v>1.5722</v>
      </c>
      <c r="B8310" t="n">
        <v>1.4538</v>
      </c>
      <c r="C8310" t="n">
        <v>1.7394</v>
      </c>
    </row>
    <row r="8311">
      <c r="A8311" t="n">
        <v>1.3932</v>
      </c>
      <c r="B8311" t="n">
        <v>1.4505</v>
      </c>
      <c r="C8311" t="n">
        <v>1.5538</v>
      </c>
    </row>
    <row r="8312">
      <c r="A8312" t="n">
        <v>1.4431</v>
      </c>
      <c r="B8312" t="n">
        <v>1.7766</v>
      </c>
      <c r="C8312" t="n">
        <v>1.6461</v>
      </c>
    </row>
    <row r="8313">
      <c r="A8313" t="n">
        <v>1.4172</v>
      </c>
      <c r="B8313" t="n">
        <v>1.718</v>
      </c>
      <c r="C8313" t="n">
        <v>1.5136</v>
      </c>
    </row>
    <row r="8314">
      <c r="A8314" t="n">
        <v>1.3901</v>
      </c>
      <c r="B8314" t="n">
        <v>1.4994</v>
      </c>
      <c r="C8314" t="n">
        <v>1.4563</v>
      </c>
    </row>
    <row r="8315">
      <c r="A8315" t="n">
        <v>1.4635</v>
      </c>
      <c r="B8315" t="n">
        <v>1.4666</v>
      </c>
      <c r="C8315" t="n">
        <v>1.3967</v>
      </c>
    </row>
    <row r="8316">
      <c r="A8316" t="n">
        <v>1.4537</v>
      </c>
      <c r="B8316" t="n">
        <v>1.4798</v>
      </c>
      <c r="C8316" t="n">
        <v>1.459</v>
      </c>
    </row>
    <row r="8317">
      <c r="A8317" t="n">
        <v>1.3972</v>
      </c>
      <c r="B8317" t="n">
        <v>1.6111</v>
      </c>
      <c r="C8317" t="n">
        <v>1.4369</v>
      </c>
    </row>
    <row r="8318">
      <c r="A8318" t="n">
        <v>1.4812</v>
      </c>
      <c r="B8318" t="n">
        <v>1.6584</v>
      </c>
      <c r="C8318" t="n">
        <v>1.3922</v>
      </c>
    </row>
    <row r="8319">
      <c r="A8319" t="n">
        <v>1.6442</v>
      </c>
      <c r="B8319" t="n">
        <v>1.5074</v>
      </c>
      <c r="C8319" t="n">
        <v>1.4662</v>
      </c>
    </row>
    <row r="8320">
      <c r="A8320" t="n">
        <v>1.4885</v>
      </c>
      <c r="B8320" t="n">
        <v>1.4259</v>
      </c>
      <c r="C8320" t="n">
        <v>1.6473</v>
      </c>
    </row>
    <row r="8321">
      <c r="A8321" t="n">
        <v>1.4334</v>
      </c>
      <c r="B8321" t="n">
        <v>1.4539</v>
      </c>
      <c r="C8321" t="n">
        <v>1.4823</v>
      </c>
    </row>
    <row r="8322">
      <c r="A8322" t="n">
        <v>1.9254</v>
      </c>
      <c r="B8322" t="n">
        <v>2.039</v>
      </c>
      <c r="C8322" t="n">
        <v>1.4354</v>
      </c>
    </row>
    <row r="8323">
      <c r="A8323" t="n">
        <v>1.5719</v>
      </c>
      <c r="B8323" t="n">
        <v>1.7149</v>
      </c>
      <c r="C8323" t="n">
        <v>1.4038</v>
      </c>
    </row>
    <row r="8324">
      <c r="A8324" t="n">
        <v>1.6653</v>
      </c>
      <c r="B8324" t="n">
        <v>1.7241</v>
      </c>
      <c r="C8324" t="n">
        <v>1.423</v>
      </c>
    </row>
    <row r="8325">
      <c r="A8325" t="n">
        <v>1.5065</v>
      </c>
      <c r="B8325" t="n">
        <v>1.5471</v>
      </c>
      <c r="C8325" t="n">
        <v>1.4346</v>
      </c>
    </row>
    <row r="8326">
      <c r="A8326" t="n">
        <v>1.446</v>
      </c>
      <c r="B8326" t="n">
        <v>1.6498</v>
      </c>
      <c r="C8326" t="n">
        <v>1.6611</v>
      </c>
    </row>
    <row r="8327">
      <c r="A8327" t="n">
        <v>1.6235</v>
      </c>
      <c r="B8327" t="n">
        <v>1.506</v>
      </c>
      <c r="C8327" t="n">
        <v>1.7195</v>
      </c>
    </row>
    <row r="8328">
      <c r="A8328" t="n">
        <v>1.5443</v>
      </c>
      <c r="B8328" t="n">
        <v>1.4782</v>
      </c>
      <c r="C8328" t="n">
        <v>1.516</v>
      </c>
    </row>
    <row r="8329">
      <c r="A8329" t="n">
        <v>1.5925</v>
      </c>
      <c r="B8329" t="n">
        <v>1.6119</v>
      </c>
      <c r="C8329" t="n">
        <v>1.4605</v>
      </c>
    </row>
    <row r="8330">
      <c r="A8330" t="n">
        <v>1.5122</v>
      </c>
      <c r="B8330" t="n">
        <v>1.5416</v>
      </c>
      <c r="C8330" t="n">
        <v>1.4236</v>
      </c>
    </row>
    <row r="8331">
      <c r="A8331" t="n">
        <v>1.426</v>
      </c>
      <c r="B8331" t="n">
        <v>1.6336</v>
      </c>
      <c r="C8331" t="n">
        <v>1.6463</v>
      </c>
    </row>
    <row r="8332">
      <c r="A8332" t="n">
        <v>1.3823</v>
      </c>
      <c r="B8332" t="n">
        <v>1.4802</v>
      </c>
      <c r="C8332" t="n">
        <v>1.7588</v>
      </c>
    </row>
    <row r="8333">
      <c r="A8333" t="n">
        <v>1.4415</v>
      </c>
      <c r="B8333" t="n">
        <v>1.4643</v>
      </c>
      <c r="C8333" t="n">
        <v>1.5052</v>
      </c>
    </row>
    <row r="8334">
      <c r="A8334" t="n">
        <v>1.4294</v>
      </c>
      <c r="B8334" t="n">
        <v>1.4339</v>
      </c>
      <c r="C8334" t="n">
        <v>1.4394</v>
      </c>
    </row>
    <row r="8335">
      <c r="A8335" t="n">
        <v>1.6076</v>
      </c>
      <c r="B8335" t="n">
        <v>1.4202</v>
      </c>
      <c r="C8335" t="n">
        <v>1.422</v>
      </c>
    </row>
    <row r="8336">
      <c r="A8336" t="n">
        <v>1.7724</v>
      </c>
      <c r="B8336" t="n">
        <v>1.4482</v>
      </c>
      <c r="C8336" t="n">
        <v>1.6283</v>
      </c>
    </row>
    <row r="8337">
      <c r="A8337" t="n">
        <v>1.4795</v>
      </c>
      <c r="B8337" t="n">
        <v>1.7107</v>
      </c>
      <c r="C8337" t="n">
        <v>1.7303</v>
      </c>
    </row>
    <row r="8338">
      <c r="A8338" t="n">
        <v>1.4161</v>
      </c>
      <c r="B8338" t="n">
        <v>1.6922</v>
      </c>
      <c r="C8338" t="n">
        <v>2.0222</v>
      </c>
    </row>
    <row r="8339">
      <c r="A8339" t="n">
        <v>1.4457</v>
      </c>
      <c r="B8339" t="n">
        <v>1.5608</v>
      </c>
      <c r="C8339" t="n">
        <v>1.5352</v>
      </c>
    </row>
    <row r="8340">
      <c r="A8340" t="n">
        <v>1.6237</v>
      </c>
      <c r="B8340" t="n">
        <v>1.4818</v>
      </c>
      <c r="C8340" t="n">
        <v>1.6795</v>
      </c>
    </row>
    <row r="8341">
      <c r="A8341" t="n">
        <v>1.7689</v>
      </c>
      <c r="B8341" t="n">
        <v>1.659</v>
      </c>
      <c r="C8341" t="n">
        <v>1.5014</v>
      </c>
    </row>
    <row r="8342">
      <c r="A8342" t="n">
        <v>1.5086</v>
      </c>
      <c r="B8342" t="n">
        <v>1.5082</v>
      </c>
      <c r="C8342" t="n">
        <v>1.4336</v>
      </c>
    </row>
    <row r="8343">
      <c r="A8343" t="n">
        <v>1.426</v>
      </c>
      <c r="B8343" t="n">
        <v>1.6795</v>
      </c>
      <c r="C8343" t="n">
        <v>1.3947</v>
      </c>
    </row>
    <row r="8344">
      <c r="A8344" t="n">
        <v>1.4294</v>
      </c>
      <c r="B8344" t="n">
        <v>1.6623</v>
      </c>
      <c r="C8344" t="n">
        <v>1.4412</v>
      </c>
    </row>
    <row r="8345">
      <c r="A8345" t="n">
        <v>1.649</v>
      </c>
      <c r="B8345" t="n">
        <v>1.5373</v>
      </c>
      <c r="C8345" t="n">
        <v>1.4573</v>
      </c>
    </row>
    <row r="8346">
      <c r="A8346" t="n">
        <v>1.5384</v>
      </c>
      <c r="B8346" t="n">
        <v>1.6796</v>
      </c>
      <c r="C8346" t="n">
        <v>1.6904</v>
      </c>
    </row>
    <row r="8347">
      <c r="A8347" t="n">
        <v>1.6412</v>
      </c>
      <c r="B8347" t="n">
        <v>1.4684</v>
      </c>
      <c r="C8347" t="n">
        <v>1.7159</v>
      </c>
    </row>
    <row r="8348">
      <c r="A8348" t="n">
        <v>1.4846</v>
      </c>
      <c r="B8348" t="n">
        <v>1.43</v>
      </c>
      <c r="C8348" t="n">
        <v>1.542</v>
      </c>
    </row>
    <row r="8349">
      <c r="A8349" t="n">
        <v>1.4522</v>
      </c>
      <c r="B8349" t="n">
        <v>1.4063</v>
      </c>
      <c r="C8349" t="n">
        <v>1.4746</v>
      </c>
    </row>
    <row r="8350">
      <c r="A8350" t="n">
        <v>1.5799</v>
      </c>
      <c r="B8350" t="n">
        <v>1.4177</v>
      </c>
      <c r="C8350" t="n">
        <v>1.6569</v>
      </c>
    </row>
    <row r="8351">
      <c r="A8351" t="n">
        <v>1.5091</v>
      </c>
      <c r="B8351" t="n">
        <v>1.4377</v>
      </c>
      <c r="C8351" t="n">
        <v>1.4945</v>
      </c>
    </row>
    <row r="8352">
      <c r="A8352" t="n">
        <v>1.6284</v>
      </c>
      <c r="B8352" t="n">
        <v>1.6764</v>
      </c>
      <c r="C8352" t="n">
        <v>1.6892</v>
      </c>
    </row>
    <row r="8353">
      <c r="A8353" t="n">
        <v>1.5054</v>
      </c>
      <c r="B8353" t="n">
        <v>1.7245</v>
      </c>
      <c r="C8353" t="n">
        <v>1.7553</v>
      </c>
    </row>
    <row r="8354">
      <c r="A8354" t="n">
        <v>1.7711</v>
      </c>
      <c r="B8354" t="n">
        <v>2.0384</v>
      </c>
      <c r="C8354" t="n">
        <v>1.5041</v>
      </c>
    </row>
    <row r="8355">
      <c r="A8355" t="n">
        <v>1.646</v>
      </c>
      <c r="B8355" t="n">
        <v>1.7821</v>
      </c>
      <c r="C8355" t="n">
        <v>1.6007</v>
      </c>
    </row>
    <row r="8356">
      <c r="A8356" t="n">
        <v>1.7664</v>
      </c>
      <c r="B8356" t="n">
        <v>1.482</v>
      </c>
      <c r="C8356" t="n">
        <v>1.5011</v>
      </c>
    </row>
    <row r="8357">
      <c r="A8357" t="n">
        <v>1.509</v>
      </c>
      <c r="B8357" t="n">
        <v>1.449</v>
      </c>
      <c r="C8357" t="n">
        <v>1.4185</v>
      </c>
    </row>
    <row r="8358">
      <c r="A8358" t="n">
        <v>1.4517</v>
      </c>
      <c r="B8358" t="n">
        <v>1.4248</v>
      </c>
      <c r="C8358" t="n">
        <v>1.4173</v>
      </c>
    </row>
    <row r="8359">
      <c r="A8359" t="n">
        <v>1.4457</v>
      </c>
      <c r="B8359" t="n">
        <v>1.6159</v>
      </c>
      <c r="C8359" t="n">
        <v>1.4553</v>
      </c>
    </row>
    <row r="8360">
      <c r="A8360" t="n">
        <v>1.6756</v>
      </c>
      <c r="B8360" t="n">
        <v>1.5128</v>
      </c>
      <c r="C8360" t="n">
        <v>1.4293</v>
      </c>
    </row>
    <row r="8361">
      <c r="A8361" t="n">
        <v>1.8159</v>
      </c>
      <c r="B8361" t="n">
        <v>1.6508</v>
      </c>
      <c r="C8361" t="n">
        <v>1.6684</v>
      </c>
    </row>
    <row r="8362">
      <c r="A8362" t="n">
        <v>1.4801</v>
      </c>
      <c r="B8362" t="n">
        <v>1.4702</v>
      </c>
      <c r="C8362" t="n">
        <v>1.7352</v>
      </c>
    </row>
    <row r="8363">
      <c r="A8363" t="n">
        <v>1.4467</v>
      </c>
      <c r="B8363" t="n">
        <v>1.4347</v>
      </c>
      <c r="C8363" t="n">
        <v>1.4771</v>
      </c>
    </row>
    <row r="8364">
      <c r="A8364" t="n">
        <v>1.4452</v>
      </c>
      <c r="B8364" t="n">
        <v>1.4038</v>
      </c>
      <c r="C8364" t="n">
        <v>1.453</v>
      </c>
    </row>
    <row r="8365">
      <c r="A8365" t="n">
        <v>1.6976</v>
      </c>
      <c r="B8365" t="n">
        <v>1.4195</v>
      </c>
      <c r="C8365" t="n">
        <v>1.47</v>
      </c>
    </row>
    <row r="8366">
      <c r="A8366" t="n">
        <v>1.6896</v>
      </c>
      <c r="B8366" t="n">
        <v>1.4416</v>
      </c>
      <c r="C8366" t="n">
        <v>1.6684</v>
      </c>
    </row>
    <row r="8367">
      <c r="A8367" t="n">
        <v>1.5209</v>
      </c>
      <c r="B8367" t="n">
        <v>1.6589</v>
      </c>
      <c r="C8367" t="n">
        <v>1.7374</v>
      </c>
    </row>
    <row r="8368">
      <c r="A8368" t="n">
        <v>1.4228</v>
      </c>
      <c r="B8368" t="n">
        <v>1.7323</v>
      </c>
      <c r="C8368" t="n">
        <v>1.505</v>
      </c>
    </row>
    <row r="8369">
      <c r="A8369" t="n">
        <v>1.4587</v>
      </c>
      <c r="B8369" t="n">
        <v>1.5264</v>
      </c>
      <c r="C8369" t="n">
        <v>1.4566</v>
      </c>
    </row>
    <row r="8370">
      <c r="A8370" t="n">
        <v>1.6274</v>
      </c>
      <c r="B8370" t="n">
        <v>1.4632</v>
      </c>
      <c r="C8370" t="n">
        <v>1.9966</v>
      </c>
    </row>
    <row r="8371">
      <c r="A8371" t="n">
        <v>1.8797</v>
      </c>
      <c r="B8371" t="n">
        <v>1.4244</v>
      </c>
      <c r="C8371" t="n">
        <v>1.5518</v>
      </c>
    </row>
    <row r="8372">
      <c r="A8372" t="n">
        <v>1.4915</v>
      </c>
      <c r="B8372" t="n">
        <v>1.6511</v>
      </c>
      <c r="C8372" t="n">
        <v>1.4224</v>
      </c>
    </row>
    <row r="8373">
      <c r="A8373" t="n">
        <v>1.4549</v>
      </c>
      <c r="B8373" t="n">
        <v>1.7046</v>
      </c>
      <c r="C8373" t="n">
        <v>1.4311</v>
      </c>
    </row>
    <row r="8374">
      <c r="A8374" t="n">
        <v>1.4364</v>
      </c>
      <c r="B8374" t="n">
        <v>1.4923</v>
      </c>
      <c r="C8374" t="n">
        <v>1.4622</v>
      </c>
    </row>
    <row r="8375">
      <c r="A8375" t="n">
        <v>1.6175</v>
      </c>
      <c r="B8375" t="n">
        <v>1.4517</v>
      </c>
      <c r="C8375" t="n">
        <v>1.4394</v>
      </c>
    </row>
    <row r="8376">
      <c r="A8376" t="n">
        <v>1.7311</v>
      </c>
      <c r="B8376" t="n">
        <v>1.4649</v>
      </c>
      <c r="C8376" t="n">
        <v>1.7172</v>
      </c>
    </row>
    <row r="8377">
      <c r="A8377" t="n">
        <v>1.5003</v>
      </c>
      <c r="B8377" t="n">
        <v>1.6751</v>
      </c>
      <c r="C8377" t="n">
        <v>1.762</v>
      </c>
    </row>
    <row r="8378">
      <c r="A8378" t="n">
        <v>1.4448</v>
      </c>
      <c r="B8378" t="n">
        <v>1.7067</v>
      </c>
      <c r="C8378" t="n">
        <v>1.5582</v>
      </c>
    </row>
    <row r="8379">
      <c r="A8379" t="n">
        <v>1.4478</v>
      </c>
      <c r="B8379" t="n">
        <v>1.5077</v>
      </c>
      <c r="C8379" t="n">
        <v>1.4908</v>
      </c>
    </row>
    <row r="8380">
      <c r="A8380" t="n">
        <v>1.5952</v>
      </c>
      <c r="B8380" t="n">
        <v>1.4356</v>
      </c>
      <c r="C8380" t="n">
        <v>1.6464</v>
      </c>
    </row>
    <row r="8381">
      <c r="A8381" t="n">
        <v>1.5971</v>
      </c>
      <c r="B8381" t="n">
        <v>1.449</v>
      </c>
      <c r="C8381" t="n">
        <v>1.5015</v>
      </c>
    </row>
    <row r="8382">
      <c r="A8382" t="n">
        <v>1.4551</v>
      </c>
      <c r="B8382" t="n">
        <v>1.6388</v>
      </c>
      <c r="C8382" t="n">
        <v>1.6799</v>
      </c>
    </row>
    <row r="8383">
      <c r="A8383" t="n">
        <v>1.4171</v>
      </c>
      <c r="B8383" t="n">
        <v>1.5466</v>
      </c>
      <c r="C8383" t="n">
        <v>1.7699</v>
      </c>
    </row>
    <row r="8384">
      <c r="A8384" t="n">
        <v>1.4219</v>
      </c>
      <c r="B8384" t="n">
        <v>1.4588</v>
      </c>
      <c r="C8384" t="n">
        <v>1.5154</v>
      </c>
    </row>
    <row r="8385">
      <c r="A8385" t="n">
        <v>1.4519</v>
      </c>
      <c r="B8385" t="n">
        <v>1.4275</v>
      </c>
      <c r="C8385" t="n">
        <v>1.6191</v>
      </c>
    </row>
    <row r="8386">
      <c r="A8386" t="n">
        <v>1.7577</v>
      </c>
      <c r="B8386" t="n">
        <v>1.7505</v>
      </c>
      <c r="C8386" t="n">
        <v>1.4729</v>
      </c>
    </row>
    <row r="8387">
      <c r="A8387" t="n">
        <v>1.6372</v>
      </c>
      <c r="B8387" t="n">
        <v>1.7576</v>
      </c>
      <c r="C8387" t="n">
        <v>1.3982</v>
      </c>
    </row>
    <row r="8388">
      <c r="A8388" t="n">
        <v>1.5296</v>
      </c>
      <c r="B8388" t="n">
        <v>1.7846</v>
      </c>
      <c r="C8388" t="n">
        <v>1.4456</v>
      </c>
    </row>
    <row r="8389">
      <c r="A8389" t="n">
        <v>1.4184</v>
      </c>
      <c r="B8389" t="n">
        <v>1.4918</v>
      </c>
      <c r="C8389" t="n">
        <v>1.4385</v>
      </c>
    </row>
    <row r="8390">
      <c r="A8390" t="n">
        <v>1.4364</v>
      </c>
      <c r="B8390" t="n">
        <v>1.4587</v>
      </c>
      <c r="C8390" t="n">
        <v>1.4389</v>
      </c>
    </row>
    <row r="8391">
      <c r="A8391" t="n">
        <v>1.4456</v>
      </c>
      <c r="B8391" t="n">
        <v>1.4594</v>
      </c>
      <c r="C8391" t="n">
        <v>1.6865</v>
      </c>
    </row>
    <row r="8392">
      <c r="A8392" t="n">
        <v>1.4522</v>
      </c>
      <c r="B8392" t="n">
        <v>1.6718</v>
      </c>
      <c r="C8392" t="n">
        <v>1.7362</v>
      </c>
    </row>
    <row r="8393">
      <c r="A8393" t="n">
        <v>1.734</v>
      </c>
      <c r="B8393" t="n">
        <v>1.7576</v>
      </c>
      <c r="C8393" t="n">
        <v>1.4726</v>
      </c>
    </row>
    <row r="8394">
      <c r="A8394" t="n">
        <v>1.7111</v>
      </c>
      <c r="B8394" t="n">
        <v>1.5228</v>
      </c>
      <c r="C8394" t="n">
        <v>1.4707</v>
      </c>
    </row>
    <row r="8395">
      <c r="A8395" t="n">
        <v>1.4934</v>
      </c>
      <c r="B8395" t="n">
        <v>1.6476</v>
      </c>
      <c r="C8395" t="n">
        <v>1.4716</v>
      </c>
    </row>
    <row r="8396">
      <c r="A8396" t="n">
        <v>1.4485</v>
      </c>
      <c r="B8396" t="n">
        <v>1.6609</v>
      </c>
      <c r="C8396" t="n">
        <v>1.6198</v>
      </c>
    </row>
    <row r="8397">
      <c r="A8397" t="n">
        <v>1.4512</v>
      </c>
      <c r="B8397" t="n">
        <v>1.5138</v>
      </c>
      <c r="C8397" t="n">
        <v>1.6821</v>
      </c>
    </row>
    <row r="8398">
      <c r="A8398" t="n">
        <v>1.5978</v>
      </c>
      <c r="B8398" t="n">
        <v>1.4082</v>
      </c>
      <c r="C8398" t="n">
        <v>1.4927</v>
      </c>
    </row>
    <row r="8399">
      <c r="A8399" t="n">
        <v>1.7589</v>
      </c>
      <c r="B8399" t="n">
        <v>1.424</v>
      </c>
      <c r="C8399" t="n">
        <v>1.4207</v>
      </c>
    </row>
    <row r="8400">
      <c r="A8400" t="n">
        <v>1.4988</v>
      </c>
      <c r="B8400" t="n">
        <v>1.4402</v>
      </c>
      <c r="C8400" t="n">
        <v>1.465</v>
      </c>
    </row>
    <row r="8401">
      <c r="A8401" t="n">
        <v>1.4192</v>
      </c>
      <c r="B8401" t="n">
        <v>1.4259</v>
      </c>
      <c r="C8401" t="n">
        <v>1.6158</v>
      </c>
    </row>
    <row r="8402">
      <c r="A8402" t="n">
        <v>1.4384</v>
      </c>
      <c r="B8402" t="n">
        <v>1.617</v>
      </c>
      <c r="C8402" t="n">
        <v>2.0672</v>
      </c>
    </row>
    <row r="8403">
      <c r="A8403" t="n">
        <v>1.6188</v>
      </c>
      <c r="B8403" t="n">
        <v>1.505</v>
      </c>
      <c r="C8403" t="n">
        <v>1.7834</v>
      </c>
    </row>
    <row r="8404">
      <c r="A8404" t="n">
        <v>1.5046</v>
      </c>
      <c r="B8404" t="n">
        <v>1.6489</v>
      </c>
      <c r="C8404" t="n">
        <v>1.5424</v>
      </c>
    </row>
    <row r="8405">
      <c r="A8405" t="n">
        <v>1.6787</v>
      </c>
      <c r="B8405" t="n">
        <v>1.5135</v>
      </c>
      <c r="C8405" t="n">
        <v>1.6362</v>
      </c>
    </row>
    <row r="8406">
      <c r="A8406" t="n">
        <v>1.4857</v>
      </c>
      <c r="B8406" t="n">
        <v>1.468</v>
      </c>
      <c r="C8406" t="n">
        <v>1.4662</v>
      </c>
    </row>
    <row r="8407">
      <c r="A8407" t="n">
        <v>1.4295</v>
      </c>
      <c r="B8407" t="n">
        <v>1.4368</v>
      </c>
      <c r="C8407" t="n">
        <v>1.4483</v>
      </c>
    </row>
    <row r="8408">
      <c r="A8408" t="n">
        <v>1.404</v>
      </c>
      <c r="B8408" t="n">
        <v>1.4458</v>
      </c>
      <c r="C8408" t="n">
        <v>1.4072</v>
      </c>
    </row>
    <row r="8409">
      <c r="A8409" t="n">
        <v>1.426</v>
      </c>
      <c r="B8409" t="n">
        <v>1.4377</v>
      </c>
      <c r="C8409" t="n">
        <v>1.4391</v>
      </c>
    </row>
    <row r="8410">
      <c r="A8410" t="n">
        <v>1.4271</v>
      </c>
      <c r="B8410" t="n">
        <v>1.4506</v>
      </c>
      <c r="C8410" t="n">
        <v>1.454</v>
      </c>
    </row>
    <row r="8411">
      <c r="A8411" t="n">
        <v>1.689</v>
      </c>
      <c r="B8411" t="n">
        <v>1.7114</v>
      </c>
      <c r="C8411" t="n">
        <v>1.6965</v>
      </c>
    </row>
    <row r="8412">
      <c r="A8412" t="n">
        <v>1.7329</v>
      </c>
      <c r="B8412" t="n">
        <v>1.5097</v>
      </c>
      <c r="C8412" t="n">
        <v>1.6903</v>
      </c>
    </row>
    <row r="8413">
      <c r="A8413" t="n">
        <v>1.485</v>
      </c>
      <c r="B8413" t="n">
        <v>1.4467</v>
      </c>
      <c r="C8413" t="n">
        <v>1.575</v>
      </c>
    </row>
    <row r="8414">
      <c r="A8414" t="n">
        <v>1.4528</v>
      </c>
      <c r="B8414" t="n">
        <v>1.4432</v>
      </c>
      <c r="C8414" t="n">
        <v>1.4411</v>
      </c>
    </row>
    <row r="8415">
      <c r="A8415" t="n">
        <v>1.4396</v>
      </c>
      <c r="B8415" t="n">
        <v>1.6301</v>
      </c>
      <c r="C8415" t="n">
        <v>1.7099</v>
      </c>
    </row>
    <row r="8416">
      <c r="A8416" t="n">
        <v>1.6486</v>
      </c>
      <c r="B8416" t="n">
        <v>1.5548</v>
      </c>
      <c r="C8416" t="n">
        <v>1.5272</v>
      </c>
    </row>
    <row r="8417">
      <c r="A8417" t="n">
        <v>1.7584</v>
      </c>
      <c r="B8417" t="n">
        <v>1.4955</v>
      </c>
      <c r="C8417" t="n">
        <v>1.6868</v>
      </c>
    </row>
    <row r="8418">
      <c r="A8418" t="n">
        <v>2.0216</v>
      </c>
      <c r="B8418" t="n">
        <v>1.802</v>
      </c>
      <c r="C8418" t="n">
        <v>1.6932</v>
      </c>
    </row>
    <row r="8419">
      <c r="A8419" t="n">
        <v>1.8215</v>
      </c>
      <c r="B8419" t="n">
        <v>1.4709</v>
      </c>
      <c r="C8419" t="n">
        <v>1.5337</v>
      </c>
    </row>
    <row r="8420">
      <c r="A8420" t="n">
        <v>1.5102</v>
      </c>
      <c r="B8420" t="n">
        <v>1.7326</v>
      </c>
      <c r="C8420" t="n">
        <v>1.6017</v>
      </c>
    </row>
    <row r="8421">
      <c r="A8421" t="n">
        <v>1.4669</v>
      </c>
      <c r="B8421" t="n">
        <v>1.6721</v>
      </c>
      <c r="C8421" t="n">
        <v>1.5281</v>
      </c>
    </row>
    <row r="8422">
      <c r="A8422" t="n">
        <v>1.4365</v>
      </c>
      <c r="B8422" t="n">
        <v>1.4754</v>
      </c>
      <c r="C8422" t="n">
        <v>1.455</v>
      </c>
    </row>
    <row r="8423">
      <c r="A8423" t="n">
        <v>1.6541</v>
      </c>
      <c r="B8423" t="n">
        <v>1.4525</v>
      </c>
      <c r="C8423" t="n">
        <v>1.3822</v>
      </c>
    </row>
    <row r="8424">
      <c r="A8424" t="n">
        <v>1.6977</v>
      </c>
      <c r="B8424" t="n">
        <v>1.4722</v>
      </c>
      <c r="C8424" t="n">
        <v>1.4392</v>
      </c>
    </row>
    <row r="8425">
      <c r="A8425" t="n">
        <v>1.4743</v>
      </c>
      <c r="B8425" t="n">
        <v>1.6325</v>
      </c>
      <c r="C8425" t="n">
        <v>1.4942</v>
      </c>
    </row>
    <row r="8426">
      <c r="A8426" t="n">
        <v>1.436</v>
      </c>
      <c r="B8426" t="n">
        <v>1.7449</v>
      </c>
      <c r="C8426" t="n">
        <v>1.4189</v>
      </c>
    </row>
    <row r="8427">
      <c r="A8427" t="n">
        <v>1.4572</v>
      </c>
      <c r="B8427" t="n">
        <v>1.5072</v>
      </c>
      <c r="C8427" t="n">
        <v>1.4844</v>
      </c>
    </row>
    <row r="8428">
      <c r="A8428" t="n">
        <v>1.6126</v>
      </c>
      <c r="B8428" t="n">
        <v>1.4381</v>
      </c>
      <c r="C8428" t="n">
        <v>1.6476</v>
      </c>
    </row>
    <row r="8429">
      <c r="A8429" t="n">
        <v>1.5429</v>
      </c>
      <c r="B8429" t="n">
        <v>1.4553</v>
      </c>
      <c r="C8429" t="n">
        <v>1.4915</v>
      </c>
    </row>
    <row r="8430">
      <c r="A8430" t="n">
        <v>1.6505</v>
      </c>
      <c r="B8430" t="n">
        <v>1.424</v>
      </c>
      <c r="C8430" t="n">
        <v>1.4511</v>
      </c>
    </row>
    <row r="8431">
      <c r="A8431" t="n">
        <v>1.495</v>
      </c>
      <c r="B8431" t="n">
        <v>1.4856</v>
      </c>
      <c r="C8431" t="n">
        <v>1.4057</v>
      </c>
    </row>
    <row r="8432">
      <c r="A8432" t="n">
        <v>1.47</v>
      </c>
      <c r="B8432" t="n">
        <v>1.6401</v>
      </c>
      <c r="C8432" t="n">
        <v>1.4231</v>
      </c>
    </row>
    <row r="8433">
      <c r="A8433" t="n">
        <v>1.6381</v>
      </c>
      <c r="B8433" t="n">
        <v>1.5216</v>
      </c>
      <c r="C8433" t="n">
        <v>1.4623</v>
      </c>
    </row>
    <row r="8434">
      <c r="A8434" t="n">
        <v>1.5452</v>
      </c>
      <c r="B8434" t="n">
        <v>1.4231</v>
      </c>
      <c r="C8434" t="n">
        <v>1.7952</v>
      </c>
    </row>
    <row r="8435">
      <c r="A8435" t="n">
        <v>1.6613</v>
      </c>
      <c r="B8435" t="n">
        <v>1.436</v>
      </c>
      <c r="C8435" t="n">
        <v>1.7242</v>
      </c>
    </row>
    <row r="8436">
      <c r="A8436" t="n">
        <v>1.4754</v>
      </c>
      <c r="B8436" t="n">
        <v>1.4382</v>
      </c>
      <c r="C8436" t="n">
        <v>1.741</v>
      </c>
    </row>
    <row r="8437">
      <c r="A8437" t="n">
        <v>1.4242</v>
      </c>
      <c r="B8437" t="n">
        <v>1.439</v>
      </c>
      <c r="C8437" t="n">
        <v>1.5426</v>
      </c>
    </row>
    <row r="8438">
      <c r="A8438" t="n">
        <v>1.407</v>
      </c>
      <c r="B8438" t="n">
        <v>1.6956</v>
      </c>
      <c r="C8438" t="n">
        <v>1.6416</v>
      </c>
    </row>
    <row r="8439">
      <c r="A8439" t="n">
        <v>1.4166</v>
      </c>
      <c r="B8439" t="n">
        <v>1.7321</v>
      </c>
      <c r="C8439" t="n">
        <v>1.506</v>
      </c>
    </row>
    <row r="8440">
      <c r="A8440" t="n">
        <v>1.3954</v>
      </c>
      <c r="B8440" t="n">
        <v>1.4939</v>
      </c>
      <c r="C8440" t="n">
        <v>1.4568</v>
      </c>
    </row>
    <row r="8441">
      <c r="A8441" t="n">
        <v>1.6495</v>
      </c>
      <c r="B8441" t="n">
        <v>1.4481</v>
      </c>
      <c r="C8441" t="n">
        <v>1.633</v>
      </c>
    </row>
    <row r="8442">
      <c r="A8442" t="n">
        <v>1.6919</v>
      </c>
      <c r="B8442" t="n">
        <v>1.4587</v>
      </c>
      <c r="C8442" t="n">
        <v>1.5138</v>
      </c>
    </row>
    <row r="8443">
      <c r="A8443" t="n">
        <v>1.4736</v>
      </c>
      <c r="B8443" t="n">
        <v>1.6137</v>
      </c>
      <c r="C8443" t="n">
        <v>1.6325</v>
      </c>
    </row>
    <row r="8444">
      <c r="A8444" t="n">
        <v>1.4422</v>
      </c>
      <c r="B8444" t="n">
        <v>1.7137</v>
      </c>
      <c r="C8444" t="n">
        <v>1.4673</v>
      </c>
    </row>
    <row r="8445">
      <c r="A8445" t="n">
        <v>1.4425</v>
      </c>
      <c r="B8445" t="n">
        <v>1.5102</v>
      </c>
      <c r="C8445" t="n">
        <v>1.4125</v>
      </c>
    </row>
    <row r="8446">
      <c r="A8446" t="n">
        <v>1.6167</v>
      </c>
      <c r="B8446" t="n">
        <v>1.4321</v>
      </c>
      <c r="C8446" t="n">
        <v>1.4152</v>
      </c>
    </row>
    <row r="8447">
      <c r="A8447" t="n">
        <v>1.5282</v>
      </c>
      <c r="B8447" t="n">
        <v>1.4351</v>
      </c>
      <c r="C8447" t="n">
        <v>1.4296</v>
      </c>
    </row>
    <row r="8448">
      <c r="A8448" t="n">
        <v>1.6638</v>
      </c>
      <c r="B8448" t="n">
        <v>1.6206</v>
      </c>
      <c r="C8448" t="n">
        <v>1.4287</v>
      </c>
    </row>
    <row r="8449">
      <c r="A8449" t="n">
        <v>1.4805</v>
      </c>
      <c r="B8449" t="n">
        <v>1.6014</v>
      </c>
      <c r="C8449" t="n">
        <v>1.6393</v>
      </c>
    </row>
    <row r="8450">
      <c r="A8450" t="n">
        <v>1.7672</v>
      </c>
      <c r="B8450" t="n">
        <v>1.8235</v>
      </c>
      <c r="C8450" t="n">
        <v>1.7394</v>
      </c>
    </row>
    <row r="8451">
      <c r="A8451" t="n">
        <v>1.4146</v>
      </c>
      <c r="B8451" t="n">
        <v>1.469</v>
      </c>
      <c r="C8451" t="n">
        <v>1.4793</v>
      </c>
    </row>
    <row r="8452">
      <c r="A8452" t="n">
        <v>1.4678</v>
      </c>
      <c r="B8452" t="n">
        <v>1.4217</v>
      </c>
      <c r="C8452" t="n">
        <v>1.4622</v>
      </c>
    </row>
    <row r="8453">
      <c r="A8453" t="n">
        <v>1.6494</v>
      </c>
      <c r="B8453" t="n">
        <v>1.6311</v>
      </c>
      <c r="C8453" t="n">
        <v>1.4351</v>
      </c>
    </row>
    <row r="8454">
      <c r="A8454" t="n">
        <v>1.4759</v>
      </c>
      <c r="B8454" t="n">
        <v>1.7169</v>
      </c>
      <c r="C8454" t="n">
        <v>1.7193</v>
      </c>
    </row>
    <row r="8455">
      <c r="A8455" t="n">
        <v>1.3973</v>
      </c>
      <c r="B8455" t="n">
        <v>1.4902</v>
      </c>
      <c r="C8455" t="n">
        <v>1.6843</v>
      </c>
    </row>
    <row r="8456">
      <c r="A8456" t="n">
        <v>1.3937</v>
      </c>
      <c r="B8456" t="n">
        <v>1.458</v>
      </c>
      <c r="C8456" t="n">
        <v>1.4656</v>
      </c>
    </row>
    <row r="8457">
      <c r="A8457" t="n">
        <v>1.435</v>
      </c>
      <c r="B8457" t="n">
        <v>1.4753</v>
      </c>
      <c r="C8457" t="n">
        <v>1.4735</v>
      </c>
    </row>
    <row r="8458">
      <c r="A8458" t="n">
        <v>1.42</v>
      </c>
      <c r="B8458" t="n">
        <v>1.6736</v>
      </c>
      <c r="C8458" t="n">
        <v>1.4439</v>
      </c>
    </row>
    <row r="8459">
      <c r="A8459" t="n">
        <v>1.7239</v>
      </c>
      <c r="B8459" t="n">
        <v>1.7513</v>
      </c>
      <c r="C8459" t="n">
        <v>1.639</v>
      </c>
    </row>
    <row r="8460">
      <c r="A8460" t="n">
        <v>1.7377</v>
      </c>
      <c r="B8460" t="n">
        <v>1.5754</v>
      </c>
      <c r="C8460" t="n">
        <v>1.8172</v>
      </c>
    </row>
    <row r="8461">
      <c r="A8461" t="n">
        <v>1.4835</v>
      </c>
      <c r="B8461" t="n">
        <v>1.4557</v>
      </c>
      <c r="C8461" t="n">
        <v>1.4929</v>
      </c>
    </row>
    <row r="8462">
      <c r="A8462" t="n">
        <v>1.463</v>
      </c>
      <c r="B8462" t="n">
        <v>1.4607</v>
      </c>
      <c r="C8462" t="n">
        <v>1.4253</v>
      </c>
    </row>
    <row r="8463">
      <c r="A8463" t="n">
        <v>1.4496</v>
      </c>
      <c r="B8463" t="n">
        <v>1.721</v>
      </c>
      <c r="C8463" t="n">
        <v>1.4453</v>
      </c>
    </row>
    <row r="8464">
      <c r="A8464" t="n">
        <v>1.5921</v>
      </c>
      <c r="B8464" t="n">
        <v>1.713</v>
      </c>
      <c r="C8464" t="n">
        <v>1.6354</v>
      </c>
    </row>
    <row r="8465">
      <c r="A8465" t="n">
        <v>1.6886</v>
      </c>
      <c r="B8465" t="n">
        <v>1.8188</v>
      </c>
      <c r="C8465" t="n">
        <v>1.766</v>
      </c>
    </row>
    <row r="8466">
      <c r="A8466" t="n">
        <v>1.4977</v>
      </c>
      <c r="B8466" t="n">
        <v>1.5577</v>
      </c>
      <c r="C8466" t="n">
        <v>2.0741</v>
      </c>
    </row>
    <row r="8467">
      <c r="A8467" t="n">
        <v>1.4385</v>
      </c>
      <c r="B8467" t="n">
        <v>1.7651</v>
      </c>
      <c r="C8467" t="n">
        <v>1.5442</v>
      </c>
    </row>
    <row r="8468">
      <c r="A8468" t="n">
        <v>1.4358</v>
      </c>
      <c r="B8468" t="n">
        <v>1.5211</v>
      </c>
      <c r="C8468" t="n">
        <v>1.6796</v>
      </c>
    </row>
    <row r="8469">
      <c r="A8469" t="n">
        <v>1.6438</v>
      </c>
      <c r="B8469" t="n">
        <v>1.4799</v>
      </c>
      <c r="C8469" t="n">
        <v>1.5025</v>
      </c>
    </row>
    <row r="8470">
      <c r="A8470" t="n">
        <v>1.5713</v>
      </c>
      <c r="B8470" t="n">
        <v>1.6576</v>
      </c>
      <c r="C8470" t="n">
        <v>1.4632</v>
      </c>
    </row>
    <row r="8471">
      <c r="A8471" t="n">
        <v>1.4363</v>
      </c>
      <c r="B8471" t="n">
        <v>1.8023</v>
      </c>
      <c r="C8471" t="n">
        <v>1.7085</v>
      </c>
    </row>
    <row r="8472">
      <c r="A8472" t="n">
        <v>1.4117</v>
      </c>
      <c r="B8472" t="n">
        <v>1.5308</v>
      </c>
      <c r="C8472" t="n">
        <v>1.7814</v>
      </c>
    </row>
    <row r="8473">
      <c r="A8473" t="n">
        <v>1.4011</v>
      </c>
      <c r="B8473" t="n">
        <v>1.4531</v>
      </c>
      <c r="C8473" t="n">
        <v>1.5137</v>
      </c>
    </row>
    <row r="8474">
      <c r="A8474" t="n">
        <v>1.4675</v>
      </c>
      <c r="B8474" t="n">
        <v>1.4695</v>
      </c>
      <c r="C8474" t="n">
        <v>1.466</v>
      </c>
    </row>
    <row r="8475">
      <c r="A8475" t="n">
        <v>1.4771</v>
      </c>
      <c r="B8475" t="n">
        <v>1.6845</v>
      </c>
      <c r="C8475" t="n">
        <v>1.4581</v>
      </c>
    </row>
    <row r="8476">
      <c r="A8476" t="n">
        <v>1.4421</v>
      </c>
      <c r="B8476" t="n">
        <v>1.6865</v>
      </c>
      <c r="C8476" t="n">
        <v>1.6402</v>
      </c>
    </row>
    <row r="8477">
      <c r="A8477" t="n">
        <v>1.6671</v>
      </c>
      <c r="B8477" t="n">
        <v>1.5248</v>
      </c>
      <c r="C8477" t="n">
        <v>1.7563</v>
      </c>
    </row>
    <row r="8478">
      <c r="A8478" t="n">
        <v>1.6859</v>
      </c>
      <c r="B8478" t="n">
        <v>1.4688</v>
      </c>
      <c r="C8478" t="n">
        <v>1.5051</v>
      </c>
    </row>
    <row r="8479">
      <c r="A8479" t="n">
        <v>1.4717</v>
      </c>
      <c r="B8479" t="n">
        <v>1.4426</v>
      </c>
      <c r="C8479" t="n">
        <v>1.4612</v>
      </c>
    </row>
    <row r="8480">
      <c r="A8480" t="n">
        <v>1.4266</v>
      </c>
      <c r="B8480" t="n">
        <v>1.6822</v>
      </c>
      <c r="C8480" t="n">
        <v>1.4314</v>
      </c>
    </row>
    <row r="8481">
      <c r="A8481" t="n">
        <v>1.4422</v>
      </c>
      <c r="B8481" t="n">
        <v>1.6753</v>
      </c>
      <c r="C8481" t="n">
        <v>1.6537</v>
      </c>
    </row>
    <row r="8482">
      <c r="A8482" t="n">
        <v>1.9714</v>
      </c>
      <c r="B8482" t="n">
        <v>2.0038</v>
      </c>
      <c r="C8482" t="n">
        <v>1.7862</v>
      </c>
    </row>
    <row r="8483">
      <c r="A8483" t="n">
        <v>1.6822</v>
      </c>
      <c r="B8483" t="n">
        <v>1.5669</v>
      </c>
      <c r="C8483" t="n">
        <v>1.4723</v>
      </c>
    </row>
    <row r="8484">
      <c r="A8484" t="n">
        <v>1.4941</v>
      </c>
      <c r="B8484" t="n">
        <v>1.6583</v>
      </c>
      <c r="C8484" t="n">
        <v>1.4365</v>
      </c>
    </row>
    <row r="8485">
      <c r="A8485" t="n">
        <v>1.4579</v>
      </c>
      <c r="B8485" t="n">
        <v>1.4893</v>
      </c>
      <c r="C8485" t="n">
        <v>1.4371</v>
      </c>
    </row>
    <row r="8486">
      <c r="A8486" t="n">
        <v>1.4569</v>
      </c>
      <c r="B8486" t="n">
        <v>1.4836</v>
      </c>
      <c r="C8486" t="n">
        <v>1.4057</v>
      </c>
    </row>
    <row r="8487">
      <c r="A8487" t="n">
        <v>1.6646</v>
      </c>
      <c r="B8487" t="n">
        <v>1.4614</v>
      </c>
      <c r="C8487" t="n">
        <v>1.4638</v>
      </c>
    </row>
    <row r="8488">
      <c r="A8488" t="n">
        <v>1.7571</v>
      </c>
      <c r="B8488" t="n">
        <v>1.4247</v>
      </c>
      <c r="C8488" t="n">
        <v>1.6829</v>
      </c>
    </row>
    <row r="8489">
      <c r="A8489" t="n">
        <v>1.6044</v>
      </c>
      <c r="B8489" t="n">
        <v>1.4094</v>
      </c>
      <c r="C8489" t="n">
        <v>1.509</v>
      </c>
    </row>
    <row r="8490">
      <c r="A8490" t="n">
        <v>1.5034</v>
      </c>
      <c r="B8490" t="n">
        <v>1.4295</v>
      </c>
      <c r="C8490" t="n">
        <v>1.7137</v>
      </c>
    </row>
    <row r="8491">
      <c r="A8491" t="n">
        <v>1.6905</v>
      </c>
      <c r="B8491" t="n">
        <v>1.528</v>
      </c>
      <c r="C8491" t="n">
        <v>1.7037</v>
      </c>
    </row>
    <row r="8492">
      <c r="A8492" t="n">
        <v>1.5148</v>
      </c>
      <c r="B8492" t="n">
        <v>1.6929</v>
      </c>
      <c r="C8492" t="n">
        <v>1.5359</v>
      </c>
    </row>
    <row r="8493">
      <c r="A8493" t="n">
        <v>1.7668</v>
      </c>
      <c r="B8493" t="n">
        <v>1.4885</v>
      </c>
      <c r="C8493" t="n">
        <v>1.6438</v>
      </c>
    </row>
    <row r="8494">
      <c r="A8494" t="n">
        <v>1.6752</v>
      </c>
      <c r="B8494" t="n">
        <v>1.4416</v>
      </c>
      <c r="C8494" t="n">
        <v>1.5126</v>
      </c>
    </row>
    <row r="8495">
      <c r="A8495" t="n">
        <v>1.5183</v>
      </c>
      <c r="B8495" t="n">
        <v>1.6522</v>
      </c>
      <c r="C8495" t="n">
        <v>1.4367</v>
      </c>
    </row>
    <row r="8496">
      <c r="A8496" t="n">
        <v>1.6632</v>
      </c>
      <c r="B8496" t="n">
        <v>1.7762</v>
      </c>
      <c r="C8496" t="n">
        <v>1.671</v>
      </c>
    </row>
    <row r="8497">
      <c r="A8497" t="n">
        <v>1.4772</v>
      </c>
      <c r="B8497" t="n">
        <v>1.4818</v>
      </c>
      <c r="C8497" t="n">
        <v>1.529</v>
      </c>
    </row>
    <row r="8498">
      <c r="A8498" t="n">
        <v>1.4612</v>
      </c>
      <c r="B8498" t="n">
        <v>1.4772</v>
      </c>
      <c r="C8498" t="n">
        <v>1.9609</v>
      </c>
    </row>
    <row r="8499">
      <c r="A8499" t="n">
        <v>1.6274</v>
      </c>
      <c r="B8499" t="n">
        <v>1.4573</v>
      </c>
      <c r="C8499" t="n">
        <v>1.7238</v>
      </c>
    </row>
    <row r="8500">
      <c r="A8500" t="n">
        <v>1.5073</v>
      </c>
      <c r="B8500" t="n">
        <v>1.7082</v>
      </c>
      <c r="C8500" t="n">
        <v>1.6833</v>
      </c>
    </row>
    <row r="8501">
      <c r="A8501" t="n">
        <v>1.6927</v>
      </c>
      <c r="B8501" t="n">
        <v>1.715</v>
      </c>
      <c r="C8501" t="n">
        <v>1.4938</v>
      </c>
    </row>
    <row r="8502">
      <c r="A8502" t="n">
        <v>1.4765</v>
      </c>
      <c r="B8502" t="n">
        <v>1.5056</v>
      </c>
      <c r="C8502" t="n">
        <v>1.4443</v>
      </c>
    </row>
    <row r="8503">
      <c r="A8503" t="n">
        <v>1.4421</v>
      </c>
      <c r="B8503" t="n">
        <v>1.432</v>
      </c>
      <c r="C8503" t="n">
        <v>1.4304</v>
      </c>
    </row>
    <row r="8504">
      <c r="A8504" t="n">
        <v>1.4043</v>
      </c>
      <c r="B8504" t="n">
        <v>1.4466</v>
      </c>
      <c r="C8504" t="n">
        <v>1.4305</v>
      </c>
    </row>
    <row r="8505">
      <c r="A8505" t="n">
        <v>1.4392</v>
      </c>
      <c r="B8505" t="n">
        <v>1.6269</v>
      </c>
      <c r="C8505" t="n">
        <v>1.4291</v>
      </c>
    </row>
    <row r="8506">
      <c r="A8506" t="n">
        <v>1.4121</v>
      </c>
      <c r="B8506" t="n">
        <v>1.7877</v>
      </c>
      <c r="C8506" t="n">
        <v>1.6496</v>
      </c>
    </row>
    <row r="8507">
      <c r="A8507" t="n">
        <v>1.6513</v>
      </c>
      <c r="B8507" t="n">
        <v>1.5047</v>
      </c>
      <c r="C8507" t="n">
        <v>1.7493</v>
      </c>
    </row>
    <row r="8508">
      <c r="A8508" t="n">
        <v>1.6833</v>
      </c>
      <c r="B8508" t="n">
        <v>1.4542</v>
      </c>
      <c r="C8508" t="n">
        <v>1.5043</v>
      </c>
    </row>
    <row r="8509">
      <c r="A8509" t="n">
        <v>1.4667</v>
      </c>
      <c r="B8509" t="n">
        <v>1.4297</v>
      </c>
      <c r="C8509" t="n">
        <v>1.4854</v>
      </c>
    </row>
    <row r="8510">
      <c r="A8510" t="n">
        <v>1.4516</v>
      </c>
      <c r="B8510" t="n">
        <v>1.7383</v>
      </c>
      <c r="C8510" t="n">
        <v>1.4179</v>
      </c>
    </row>
    <row r="8511">
      <c r="A8511" t="n">
        <v>1.4353</v>
      </c>
      <c r="B8511" t="n">
        <v>1.6688</v>
      </c>
      <c r="C8511" t="n">
        <v>1.6129</v>
      </c>
    </row>
    <row r="8512">
      <c r="A8512" t="n">
        <v>1.5967</v>
      </c>
      <c r="B8512" t="n">
        <v>1.4864</v>
      </c>
      <c r="C8512" t="n">
        <v>1.5878</v>
      </c>
    </row>
    <row r="8513">
      <c r="A8513" t="n">
        <v>1.5439</v>
      </c>
      <c r="B8513" t="n">
        <v>1.4672</v>
      </c>
      <c r="C8513" t="n">
        <v>1.4187</v>
      </c>
    </row>
    <row r="8514">
      <c r="A8514" t="n">
        <v>1.9584</v>
      </c>
      <c r="B8514" t="n">
        <v>1.7985</v>
      </c>
      <c r="C8514" t="n">
        <v>1.4456</v>
      </c>
    </row>
    <row r="8515">
      <c r="A8515" t="n">
        <v>1.6968</v>
      </c>
      <c r="B8515" t="n">
        <v>1.4729</v>
      </c>
      <c r="C8515" t="n">
        <v>1.4301</v>
      </c>
    </row>
    <row r="8516">
      <c r="A8516" t="n">
        <v>1.6938</v>
      </c>
      <c r="B8516" t="n">
        <v>1.4612</v>
      </c>
      <c r="C8516" t="n">
        <v>1.4238</v>
      </c>
    </row>
    <row r="8517">
      <c r="A8517" t="n">
        <v>1.5201</v>
      </c>
      <c r="B8517" t="n">
        <v>1.445</v>
      </c>
      <c r="C8517" t="n">
        <v>1.4641</v>
      </c>
    </row>
    <row r="8518">
      <c r="A8518" t="n">
        <v>1.4105</v>
      </c>
      <c r="B8518" t="n">
        <v>1.4581</v>
      </c>
      <c r="C8518" t="n">
        <v>1.478</v>
      </c>
    </row>
    <row r="8519">
      <c r="A8519" t="n">
        <v>1.4244</v>
      </c>
      <c r="B8519" t="n">
        <v>1.501</v>
      </c>
      <c r="C8519" t="n">
        <v>1.6732</v>
      </c>
    </row>
    <row r="8520">
      <c r="A8520" t="n">
        <v>1.4117</v>
      </c>
      <c r="B8520" t="n">
        <v>1.4843</v>
      </c>
      <c r="C8520" t="n">
        <v>1.7129</v>
      </c>
    </row>
    <row r="8521">
      <c r="A8521" t="n">
        <v>1.4563</v>
      </c>
      <c r="B8521" t="n">
        <v>1.5176</v>
      </c>
      <c r="C8521" t="n">
        <v>1.508</v>
      </c>
    </row>
    <row r="8522">
      <c r="A8522" t="n">
        <v>1.691</v>
      </c>
      <c r="B8522" t="n">
        <v>1.4802</v>
      </c>
      <c r="C8522" t="n">
        <v>1.4311</v>
      </c>
    </row>
    <row r="8523">
      <c r="A8523" t="n">
        <v>1.6772</v>
      </c>
      <c r="B8523" t="n">
        <v>1.4885</v>
      </c>
      <c r="C8523" t="n">
        <v>1.4336</v>
      </c>
    </row>
    <row r="8524">
      <c r="A8524" t="n">
        <v>1.4733</v>
      </c>
      <c r="B8524" t="n">
        <v>1.7294</v>
      </c>
      <c r="C8524" t="n">
        <v>1.8165</v>
      </c>
    </row>
    <row r="8525">
      <c r="A8525" t="n">
        <v>1.4546</v>
      </c>
      <c r="B8525" t="n">
        <v>1.806</v>
      </c>
      <c r="C8525" t="n">
        <v>1.6612</v>
      </c>
    </row>
    <row r="8526">
      <c r="A8526" t="n">
        <v>1.4447</v>
      </c>
      <c r="B8526" t="n">
        <v>1.5331</v>
      </c>
      <c r="C8526" t="n">
        <v>1.5156</v>
      </c>
    </row>
    <row r="8527">
      <c r="A8527" t="n">
        <v>1.62</v>
      </c>
      <c r="B8527" t="n">
        <v>1.6383</v>
      </c>
      <c r="C8527" t="n">
        <v>1.4867</v>
      </c>
    </row>
    <row r="8528">
      <c r="A8528" t="n">
        <v>1.6069</v>
      </c>
      <c r="B8528" t="n">
        <v>1.4991</v>
      </c>
      <c r="C8528" t="n">
        <v>1.4522</v>
      </c>
    </row>
    <row r="8529">
      <c r="A8529" t="n">
        <v>1.4345</v>
      </c>
      <c r="B8529" t="n">
        <v>1.4487</v>
      </c>
      <c r="C8529" t="n">
        <v>1.677</v>
      </c>
    </row>
    <row r="8530">
      <c r="A8530" t="n">
        <v>1.4016</v>
      </c>
      <c r="B8530" t="n">
        <v>1.4024</v>
      </c>
      <c r="C8530" t="n">
        <v>2.0625</v>
      </c>
    </row>
    <row r="8531">
      <c r="A8531" t="n">
        <v>1.667</v>
      </c>
      <c r="B8531" t="n">
        <v>1.4387</v>
      </c>
      <c r="C8531" t="n">
        <v>1.6722</v>
      </c>
    </row>
    <row r="8532">
      <c r="A8532" t="n">
        <v>1.7366</v>
      </c>
      <c r="B8532" t="n">
        <v>1.502</v>
      </c>
      <c r="C8532" t="n">
        <v>1.8261</v>
      </c>
    </row>
    <row r="8533">
      <c r="A8533" t="n">
        <v>1.5556</v>
      </c>
      <c r="B8533" t="n">
        <v>1.401</v>
      </c>
      <c r="C8533" t="n">
        <v>1.5004</v>
      </c>
    </row>
    <row r="8534">
      <c r="A8534" t="n">
        <v>1.4204</v>
      </c>
      <c r="B8534" t="n">
        <v>1.4877</v>
      </c>
      <c r="C8534" t="n">
        <v>1.4202</v>
      </c>
    </row>
    <row r="8535">
      <c r="A8535" t="n">
        <v>1.4701</v>
      </c>
      <c r="B8535" t="n">
        <v>1.679</v>
      </c>
      <c r="C8535" t="n">
        <v>1.4631</v>
      </c>
    </row>
    <row r="8536">
      <c r="A8536" t="n">
        <v>1.4461</v>
      </c>
      <c r="B8536" t="n">
        <v>1.4738</v>
      </c>
      <c r="C8536" t="n">
        <v>1.6353</v>
      </c>
    </row>
    <row r="8537">
      <c r="A8537" t="n">
        <v>1.4375</v>
      </c>
      <c r="B8537" t="n">
        <v>1.4718</v>
      </c>
      <c r="C8537" t="n">
        <v>1.7488</v>
      </c>
    </row>
    <row r="8538">
      <c r="A8538" t="n">
        <v>1.4708</v>
      </c>
      <c r="B8538" t="n">
        <v>1.4378</v>
      </c>
      <c r="C8538" t="n">
        <v>1.494</v>
      </c>
    </row>
    <row r="8539">
      <c r="A8539" t="n">
        <v>1.4572</v>
      </c>
      <c r="B8539" t="n">
        <v>1.4508</v>
      </c>
      <c r="C8539" t="n">
        <v>1.5084</v>
      </c>
    </row>
    <row r="8540">
      <c r="A8540" t="n">
        <v>1.7007</v>
      </c>
      <c r="B8540" t="n">
        <v>1.6746</v>
      </c>
      <c r="C8540" t="n">
        <v>1.4522</v>
      </c>
    </row>
    <row r="8541">
      <c r="A8541" t="n">
        <v>1.7208</v>
      </c>
      <c r="B8541" t="n">
        <v>1.5231</v>
      </c>
      <c r="C8541" t="n">
        <v>1.6502</v>
      </c>
    </row>
    <row r="8542">
      <c r="A8542" t="n">
        <v>1.4928</v>
      </c>
      <c r="B8542" t="n">
        <v>1.7682</v>
      </c>
      <c r="C8542" t="n">
        <v>1.7099</v>
      </c>
    </row>
    <row r="8543">
      <c r="A8543" t="n">
        <v>1.4491</v>
      </c>
      <c r="B8543" t="n">
        <v>1.7233</v>
      </c>
      <c r="C8543" t="n">
        <v>1.479</v>
      </c>
    </row>
    <row r="8544">
      <c r="A8544" t="n">
        <v>1.4573</v>
      </c>
      <c r="B8544" t="n">
        <v>1.7968</v>
      </c>
      <c r="C8544" t="n">
        <v>1.4791</v>
      </c>
    </row>
    <row r="8545">
      <c r="A8545" t="n">
        <v>1.664</v>
      </c>
      <c r="B8545" t="n">
        <v>1.5342</v>
      </c>
      <c r="C8545" t="n">
        <v>1.4606</v>
      </c>
    </row>
    <row r="8546">
      <c r="A8546" t="n">
        <v>2.0482</v>
      </c>
      <c r="B8546" t="n">
        <v>1.7917</v>
      </c>
      <c r="C8546" t="n">
        <v>1.6299</v>
      </c>
    </row>
    <row r="8547">
      <c r="A8547" t="n">
        <v>1.6868</v>
      </c>
      <c r="B8547" t="n">
        <v>1.6697</v>
      </c>
      <c r="C8547" t="n">
        <v>1.8152</v>
      </c>
    </row>
    <row r="8548">
      <c r="A8548" t="n">
        <v>1.4995</v>
      </c>
      <c r="B8548" t="n">
        <v>1.4969</v>
      </c>
      <c r="C8548" t="n">
        <v>1.4747</v>
      </c>
    </row>
    <row r="8549">
      <c r="A8549" t="n">
        <v>1.6562</v>
      </c>
      <c r="B8549" t="n">
        <v>1.4457</v>
      </c>
      <c r="C8549" t="n">
        <v>1.4227</v>
      </c>
    </row>
    <row r="8550">
      <c r="A8550" t="n">
        <v>1.5053</v>
      </c>
      <c r="B8550" t="n">
        <v>1.4813</v>
      </c>
      <c r="C8550" t="n">
        <v>1.4496</v>
      </c>
    </row>
    <row r="8551">
      <c r="A8551" t="n">
        <v>1.4282</v>
      </c>
      <c r="B8551" t="n">
        <v>1.4428</v>
      </c>
      <c r="C8551" t="n">
        <v>1.63</v>
      </c>
    </row>
    <row r="8552">
      <c r="A8552" t="n">
        <v>1.6279</v>
      </c>
      <c r="B8552" t="n">
        <v>1.4649</v>
      </c>
      <c r="C8552" t="n">
        <v>1.5714</v>
      </c>
    </row>
    <row r="8553">
      <c r="A8553" t="n">
        <v>1.5176</v>
      </c>
      <c r="B8553" t="n">
        <v>1.6953</v>
      </c>
      <c r="C8553" t="n">
        <v>1.4676</v>
      </c>
    </row>
    <row r="8554">
      <c r="A8554" t="n">
        <v>1.6252</v>
      </c>
      <c r="B8554" t="n">
        <v>1.718</v>
      </c>
      <c r="C8554" t="n">
        <v>1.4402</v>
      </c>
    </row>
    <row r="8555">
      <c r="A8555" t="n">
        <v>1.5391</v>
      </c>
      <c r="B8555" t="n">
        <v>1.4931</v>
      </c>
      <c r="C8555" t="n">
        <v>1.4246</v>
      </c>
    </row>
    <row r="8556">
      <c r="A8556" t="n">
        <v>1.4467</v>
      </c>
      <c r="B8556" t="n">
        <v>1.4692</v>
      </c>
      <c r="C8556" t="n">
        <v>1.499</v>
      </c>
    </row>
    <row r="8557">
      <c r="A8557" t="n">
        <v>1.4654</v>
      </c>
      <c r="B8557" t="n">
        <v>1.4544</v>
      </c>
      <c r="C8557" t="n">
        <v>1.4562</v>
      </c>
    </row>
    <row r="8558">
      <c r="A8558" t="n">
        <v>1.4941</v>
      </c>
      <c r="B8558" t="n">
        <v>1.6318</v>
      </c>
      <c r="C8558" t="n">
        <v>1.4393</v>
      </c>
    </row>
    <row r="8559">
      <c r="A8559" t="n">
        <v>1.4508</v>
      </c>
      <c r="B8559" t="n">
        <v>1.813</v>
      </c>
      <c r="C8559" t="n">
        <v>1.7143</v>
      </c>
    </row>
    <row r="8560">
      <c r="A8560" t="n">
        <v>1.4215</v>
      </c>
      <c r="B8560" t="n">
        <v>1.4898</v>
      </c>
      <c r="C8560" t="n">
        <v>1.7066</v>
      </c>
    </row>
    <row r="8561">
      <c r="A8561" t="n">
        <v>1.8754</v>
      </c>
      <c r="B8561" t="n">
        <v>1.4554</v>
      </c>
      <c r="C8561" t="n">
        <v>1.4828</v>
      </c>
    </row>
    <row r="8562">
      <c r="A8562" t="n">
        <v>1.5235</v>
      </c>
      <c r="B8562" t="n">
        <v>1.4731</v>
      </c>
      <c r="C8562" t="n">
        <v>1.8162</v>
      </c>
    </row>
    <row r="8563">
      <c r="A8563" t="n">
        <v>1.4316</v>
      </c>
      <c r="B8563" t="n">
        <v>1.6679</v>
      </c>
      <c r="C8563" t="n">
        <v>1.636</v>
      </c>
    </row>
    <row r="8564">
      <c r="A8564" t="n">
        <v>1.4369</v>
      </c>
      <c r="B8564" t="n">
        <v>1.6981</v>
      </c>
      <c r="C8564" t="n">
        <v>1.513</v>
      </c>
    </row>
    <row r="8565">
      <c r="A8565" t="n">
        <v>1.6938</v>
      </c>
      <c r="B8565" t="n">
        <v>1.4977</v>
      </c>
      <c r="C8565" t="n">
        <v>1.4424</v>
      </c>
    </row>
    <row r="8566">
      <c r="A8566" t="n">
        <v>1.6966</v>
      </c>
      <c r="B8566" t="n">
        <v>1.4337</v>
      </c>
      <c r="C8566" t="n">
        <v>1.4236</v>
      </c>
    </row>
    <row r="8567">
      <c r="A8567" t="n">
        <v>1.5102</v>
      </c>
      <c r="B8567" t="n">
        <v>1.4518</v>
      </c>
      <c r="C8567" t="n">
        <v>1.4476</v>
      </c>
    </row>
    <row r="8568">
      <c r="A8568" t="n">
        <v>1.4472</v>
      </c>
      <c r="B8568" t="n">
        <v>1.6932</v>
      </c>
      <c r="C8568" t="n">
        <v>1.4632</v>
      </c>
    </row>
    <row r="8569">
      <c r="A8569" t="n">
        <v>1.4286</v>
      </c>
      <c r="B8569" t="n">
        <v>1.6964</v>
      </c>
      <c r="C8569" t="n">
        <v>1.724</v>
      </c>
    </row>
    <row r="8570">
      <c r="A8570" t="n">
        <v>1.6477</v>
      </c>
      <c r="B8570" t="n">
        <v>1.5113</v>
      </c>
      <c r="C8570" t="n">
        <v>1.713</v>
      </c>
    </row>
    <row r="8571">
      <c r="A8571" t="n">
        <v>1.7265</v>
      </c>
      <c r="B8571" t="n">
        <v>1.4414</v>
      </c>
      <c r="C8571" t="n">
        <v>1.5018</v>
      </c>
    </row>
    <row r="8572">
      <c r="A8572" t="n">
        <v>1.4832</v>
      </c>
      <c r="B8572" t="n">
        <v>1.4251</v>
      </c>
      <c r="C8572" t="n">
        <v>1.4744</v>
      </c>
    </row>
    <row r="8573">
      <c r="A8573" t="n">
        <v>1.4677</v>
      </c>
      <c r="B8573" t="n">
        <v>1.7011</v>
      </c>
      <c r="C8573" t="n">
        <v>1.4525</v>
      </c>
    </row>
    <row r="8574">
      <c r="A8574" t="n">
        <v>1.4372</v>
      </c>
      <c r="B8574" t="n">
        <v>3.2397</v>
      </c>
      <c r="C8574" t="n">
        <v>1.6818</v>
      </c>
    </row>
    <row r="8575">
      <c r="A8575" t="n">
        <v>1.439</v>
      </c>
      <c r="B8575" t="n">
        <v>1.5037</v>
      </c>
      <c r="C8575" t="n">
        <v>1.7672</v>
      </c>
    </row>
    <row r="8576">
      <c r="A8576" t="n">
        <v>1.5017</v>
      </c>
      <c r="B8576" t="n">
        <v>1.4957</v>
      </c>
      <c r="C8576" t="n">
        <v>1.4765</v>
      </c>
    </row>
    <row r="8577">
      <c r="A8577" t="n">
        <v>1.701</v>
      </c>
      <c r="B8577" t="n">
        <v>2.8749</v>
      </c>
      <c r="C8577" t="n">
        <v>1.6731</v>
      </c>
    </row>
    <row r="8578">
      <c r="A8578" t="n">
        <v>1.8005</v>
      </c>
      <c r="B8578" t="n">
        <v>1.9507</v>
      </c>
      <c r="C8578" t="n">
        <v>1.7096</v>
      </c>
    </row>
    <row r="8579">
      <c r="A8579" t="n">
        <v>1.4859</v>
      </c>
      <c r="B8579" t="n">
        <v>1.5516</v>
      </c>
      <c r="C8579" t="n">
        <v>1.5513</v>
      </c>
    </row>
    <row r="8580">
      <c r="A8580" t="n">
        <v>1.711</v>
      </c>
      <c r="B8580" t="n">
        <v>1.4958</v>
      </c>
      <c r="C8580" t="n">
        <v>1.466</v>
      </c>
    </row>
    <row r="8581">
      <c r="A8581" t="n">
        <v>1.715</v>
      </c>
      <c r="B8581" t="n">
        <v>1.737</v>
      </c>
      <c r="C8581" t="n">
        <v>1.84</v>
      </c>
    </row>
    <row r="8582">
      <c r="A8582" t="n">
        <v>1.4937</v>
      </c>
      <c r="B8582" t="n">
        <v>1.7312</v>
      </c>
      <c r="C8582" t="n">
        <v>2.9181</v>
      </c>
    </row>
    <row r="8583">
      <c r="A8583" t="n">
        <v>1.4582</v>
      </c>
      <c r="B8583" t="n">
        <v>1.5085</v>
      </c>
      <c r="C8583" t="n">
        <v>1.5826</v>
      </c>
    </row>
    <row r="8584">
      <c r="A8584" t="n">
        <v>1.6601</v>
      </c>
      <c r="B8584" t="n">
        <v>1.4471</v>
      </c>
      <c r="C8584" t="n">
        <v>1.595</v>
      </c>
    </row>
    <row r="8585">
      <c r="A8585" t="n">
        <v>2.8405</v>
      </c>
      <c r="B8585" t="n">
        <v>1.4626</v>
      </c>
      <c r="C8585" t="n">
        <v>1.7314</v>
      </c>
    </row>
    <row r="8586">
      <c r="A8586" t="n">
        <v>1.5178</v>
      </c>
      <c r="B8586" t="n">
        <v>1.7269</v>
      </c>
      <c r="C8586" t="n">
        <v>2.0055</v>
      </c>
    </row>
    <row r="8587">
      <c r="A8587" t="n">
        <v>2.5774</v>
      </c>
      <c r="B8587" t="n">
        <v>1.7173</v>
      </c>
      <c r="C8587" t="n">
        <v>1.6134</v>
      </c>
    </row>
    <row r="8588">
      <c r="A8588" t="n">
        <v>1.5363</v>
      </c>
      <c r="B8588" t="n">
        <v>1.5506</v>
      </c>
      <c r="C8588" t="n">
        <v>1.4957</v>
      </c>
    </row>
    <row r="8589">
      <c r="A8589" t="n">
        <v>1.5958</v>
      </c>
      <c r="B8589" t="n">
        <v>1.4617</v>
      </c>
      <c r="C8589" t="n">
        <v>1.7156</v>
      </c>
    </row>
    <row r="8590">
      <c r="A8590" t="n">
        <v>1.5505</v>
      </c>
      <c r="B8590" t="n">
        <v>1.5256</v>
      </c>
      <c r="C8590" t="n">
        <v>1.5261</v>
      </c>
    </row>
    <row r="8591">
      <c r="A8591" t="n">
        <v>1.7456</v>
      </c>
      <c r="B8591" t="n">
        <v>1.7107</v>
      </c>
      <c r="C8591" t="n">
        <v>1.5991</v>
      </c>
    </row>
    <row r="8592">
      <c r="A8592" t="n">
        <v>1.7028</v>
      </c>
      <c r="B8592" t="n">
        <v>1.7731</v>
      </c>
      <c r="C8592" t="n">
        <v>1.7928</v>
      </c>
    </row>
    <row r="8593">
      <c r="A8593" t="n">
        <v>1.9342</v>
      </c>
      <c r="B8593" t="n">
        <v>1.7479</v>
      </c>
      <c r="C8593" t="n">
        <v>1.554</v>
      </c>
    </row>
    <row r="8594">
      <c r="A8594" t="n">
        <v>1.5383</v>
      </c>
      <c r="B8594" t="n">
        <v>1.8975</v>
      </c>
      <c r="C8594" t="n">
        <v>1.9844</v>
      </c>
    </row>
    <row r="8595">
      <c r="A8595" t="n">
        <v>1.7455</v>
      </c>
      <c r="B8595" t="n">
        <v>1.543</v>
      </c>
      <c r="C8595" t="n">
        <v>1.5544</v>
      </c>
    </row>
    <row r="8596">
      <c r="A8596" t="n">
        <v>1.5318</v>
      </c>
      <c r="B8596" t="n">
        <v>1.484</v>
      </c>
      <c r="C8596" t="n">
        <v>1.7031</v>
      </c>
    </row>
    <row r="8597">
      <c r="A8597" t="n">
        <v>1.4831</v>
      </c>
      <c r="B8597" t="n">
        <v>1.4821</v>
      </c>
      <c r="C8597" t="n">
        <v>1.5347</v>
      </c>
    </row>
    <row r="8598">
      <c r="A8598" t="n">
        <v>1.7479</v>
      </c>
      <c r="B8598" t="n">
        <v>1.6747</v>
      </c>
      <c r="C8598" t="n">
        <v>1.4798</v>
      </c>
    </row>
    <row r="8599">
      <c r="A8599" t="n">
        <v>1.7811</v>
      </c>
      <c r="B8599" t="n">
        <v>1.7663</v>
      </c>
      <c r="C8599" t="n">
        <v>1.4574</v>
      </c>
    </row>
    <row r="8600">
      <c r="A8600" t="n">
        <v>1.8504</v>
      </c>
      <c r="B8600" t="n">
        <v>1.8132</v>
      </c>
      <c r="C8600" t="n">
        <v>1.4546</v>
      </c>
    </row>
    <row r="8601">
      <c r="A8601" t="n">
        <v>1.6386</v>
      </c>
      <c r="B8601" t="n">
        <v>1.5456</v>
      </c>
      <c r="C8601" t="n">
        <v>1.5045</v>
      </c>
    </row>
    <row r="8602">
      <c r="A8602" t="n">
        <v>1.5238</v>
      </c>
      <c r="B8602" t="n">
        <v>1.8289</v>
      </c>
      <c r="C8602" t="n">
        <v>1.7227</v>
      </c>
    </row>
    <row r="8603">
      <c r="A8603" t="n">
        <v>1.4344</v>
      </c>
      <c r="B8603" t="n">
        <v>1.5426</v>
      </c>
      <c r="C8603" t="n">
        <v>1.7481</v>
      </c>
    </row>
    <row r="8604">
      <c r="A8604" t="n">
        <v>1.4698</v>
      </c>
      <c r="B8604" t="n">
        <v>1.503</v>
      </c>
      <c r="C8604" t="n">
        <v>1.8104</v>
      </c>
    </row>
    <row r="8605">
      <c r="A8605" t="n">
        <v>1.4839</v>
      </c>
      <c r="B8605" t="n">
        <v>1.7334</v>
      </c>
      <c r="C8605" t="n">
        <v>1.572</v>
      </c>
    </row>
    <row r="8606">
      <c r="A8606" t="n">
        <v>1.4953</v>
      </c>
      <c r="B8606" t="n">
        <v>1.7123</v>
      </c>
      <c r="C8606" t="n">
        <v>1.6679</v>
      </c>
    </row>
    <row r="8607">
      <c r="A8607" t="n">
        <v>1.4537</v>
      </c>
      <c r="B8607" t="n">
        <v>1.7623</v>
      </c>
      <c r="C8607" t="n">
        <v>1.5407</v>
      </c>
    </row>
    <row r="8608">
      <c r="A8608" t="n">
        <v>1.5362</v>
      </c>
      <c r="B8608" t="n">
        <v>1.575</v>
      </c>
      <c r="C8608" t="n">
        <v>1.5212</v>
      </c>
    </row>
    <row r="8609">
      <c r="A8609" t="n">
        <v>1.4962</v>
      </c>
      <c r="B8609" t="n">
        <v>1.7117</v>
      </c>
      <c r="C8609" t="n">
        <v>1.6544</v>
      </c>
    </row>
    <row r="8610">
      <c r="A8610" t="n">
        <v>2.1079</v>
      </c>
      <c r="B8610" t="n">
        <v>1.8178</v>
      </c>
      <c r="C8610" t="n">
        <v>1.8711</v>
      </c>
    </row>
    <row r="8611">
      <c r="A8611" t="n">
        <v>1.5805</v>
      </c>
      <c r="B8611" t="n">
        <v>1.7823</v>
      </c>
      <c r="C8611" t="n">
        <v>1.5255</v>
      </c>
    </row>
    <row r="8612">
      <c r="A8612" t="n">
        <v>1.705</v>
      </c>
      <c r="B8612" t="n">
        <v>1.5466</v>
      </c>
      <c r="C8612" t="n">
        <v>1.4676</v>
      </c>
    </row>
    <row r="8613">
      <c r="A8613" t="n">
        <v>1.5308</v>
      </c>
      <c r="B8613" t="n">
        <v>1.4462</v>
      </c>
      <c r="C8613" t="n">
        <v>1.5645</v>
      </c>
    </row>
    <row r="8614">
      <c r="A8614" t="n">
        <v>1.5029</v>
      </c>
      <c r="B8614" t="n">
        <v>1.4405</v>
      </c>
      <c r="C8614" t="n">
        <v>1.479</v>
      </c>
    </row>
    <row r="8615">
      <c r="A8615" t="n">
        <v>1.6648</v>
      </c>
      <c r="B8615" t="n">
        <v>1.4744</v>
      </c>
      <c r="C8615" t="n">
        <v>1.7293</v>
      </c>
    </row>
    <row r="8616">
      <c r="A8616" t="n">
        <v>1.7384</v>
      </c>
      <c r="B8616" t="n">
        <v>1.4732</v>
      </c>
      <c r="C8616" t="n">
        <v>1.559</v>
      </c>
    </row>
    <row r="8617">
      <c r="A8617" t="n">
        <v>1.5344</v>
      </c>
      <c r="B8617" t="n">
        <v>1.7135</v>
      </c>
      <c r="C8617" t="n">
        <v>1.4797</v>
      </c>
    </row>
    <row r="8618">
      <c r="A8618" t="n">
        <v>1.4671</v>
      </c>
      <c r="B8618" t="n">
        <v>1.7433</v>
      </c>
      <c r="C8618" t="n">
        <v>1.4661</v>
      </c>
    </row>
    <row r="8619">
      <c r="A8619" t="n">
        <v>1.5048</v>
      </c>
      <c r="B8619" t="n">
        <v>1.5756</v>
      </c>
      <c r="C8619" t="n">
        <v>1.7184</v>
      </c>
    </row>
    <row r="8620">
      <c r="A8620" t="n">
        <v>1.7594</v>
      </c>
      <c r="B8620" t="n">
        <v>1.5157</v>
      </c>
      <c r="C8620" t="n">
        <v>1.7652</v>
      </c>
    </row>
    <row r="8621">
      <c r="A8621" t="n">
        <v>1.6942</v>
      </c>
      <c r="B8621" t="n">
        <v>1.6639</v>
      </c>
      <c r="C8621" t="n">
        <v>1.756</v>
      </c>
    </row>
    <row r="8622">
      <c r="A8622" t="n">
        <v>1.7633</v>
      </c>
      <c r="B8622" t="n">
        <v>1.553</v>
      </c>
      <c r="C8622" t="n">
        <v>1.527</v>
      </c>
    </row>
    <row r="8623">
      <c r="A8623" t="n">
        <v>1.566</v>
      </c>
      <c r="B8623" t="n">
        <v>1.4629</v>
      </c>
      <c r="C8623" t="n">
        <v>1.6782</v>
      </c>
    </row>
    <row r="8624">
      <c r="A8624" t="n">
        <v>1.6628</v>
      </c>
      <c r="B8624" t="n">
        <v>1.4509</v>
      </c>
      <c r="C8624" t="n">
        <v>1.49</v>
      </c>
    </row>
    <row r="8625">
      <c r="A8625" t="n">
        <v>1.5204</v>
      </c>
      <c r="B8625" t="n">
        <v>1.4554</v>
      </c>
      <c r="C8625" t="n">
        <v>1.5013</v>
      </c>
    </row>
    <row r="8626">
      <c r="A8626" t="n">
        <v>1.4705</v>
      </c>
      <c r="B8626" t="n">
        <v>1.4907</v>
      </c>
      <c r="C8626" t="n">
        <v>2.0015</v>
      </c>
    </row>
    <row r="8627">
      <c r="A8627" t="n">
        <v>1.6757</v>
      </c>
      <c r="B8627" t="n">
        <v>1.7149</v>
      </c>
      <c r="C8627" t="n">
        <v>1.6717</v>
      </c>
    </row>
    <row r="8628">
      <c r="A8628" t="n">
        <v>1.5422</v>
      </c>
      <c r="B8628" t="n">
        <v>1.7659</v>
      </c>
      <c r="C8628" t="n">
        <v>1.7692</v>
      </c>
    </row>
    <row r="8629">
      <c r="A8629" t="n">
        <v>1.7747</v>
      </c>
      <c r="B8629" t="n">
        <v>1.7701</v>
      </c>
      <c r="C8629" t="n">
        <v>1.5538</v>
      </c>
    </row>
    <row r="8630">
      <c r="A8630" t="n">
        <v>1.497</v>
      </c>
      <c r="B8630" t="n">
        <v>1.546</v>
      </c>
      <c r="C8630" t="n">
        <v>1.6593</v>
      </c>
    </row>
    <row r="8631">
      <c r="A8631" t="n">
        <v>1.491</v>
      </c>
      <c r="B8631" t="n">
        <v>1.7338</v>
      </c>
      <c r="C8631" t="n">
        <v>1.5248</v>
      </c>
    </row>
    <row r="8632">
      <c r="A8632" t="n">
        <v>1.7624</v>
      </c>
      <c r="B8632" t="n">
        <v>1.5306</v>
      </c>
      <c r="C8632" t="n">
        <v>1.4661</v>
      </c>
    </row>
    <row r="8633">
      <c r="A8633" t="n">
        <v>1.7344</v>
      </c>
      <c r="B8633" t="n">
        <v>1.4809</v>
      </c>
      <c r="C8633" t="n">
        <v>1.4986</v>
      </c>
    </row>
    <row r="8634">
      <c r="A8634" t="n">
        <v>1.8273</v>
      </c>
      <c r="B8634" t="n">
        <v>1.6399</v>
      </c>
      <c r="C8634" t="n">
        <v>2.0338</v>
      </c>
    </row>
    <row r="8635">
      <c r="A8635" t="n">
        <v>1.5647</v>
      </c>
      <c r="B8635" t="n">
        <v>1.841</v>
      </c>
      <c r="C8635" t="n">
        <v>2.0504</v>
      </c>
    </row>
    <row r="8636">
      <c r="A8636" t="n">
        <v>1.7164</v>
      </c>
      <c r="B8636" t="n">
        <v>1.5091</v>
      </c>
      <c r="C8636" t="n">
        <v>2.1794</v>
      </c>
    </row>
    <row r="8637">
      <c r="A8637" t="n">
        <v>1.5262</v>
      </c>
      <c r="B8637" t="n">
        <v>1.516</v>
      </c>
      <c r="C8637" t="n">
        <v>2.1421</v>
      </c>
    </row>
    <row r="8638">
      <c r="A8638" t="n">
        <v>1.4888</v>
      </c>
      <c r="B8638" t="n">
        <v>1.4754</v>
      </c>
      <c r="C8638" t="n">
        <v>1.8119</v>
      </c>
    </row>
    <row r="8639">
      <c r="A8639" t="n">
        <v>1.6602</v>
      </c>
      <c r="B8639" t="n">
        <v>1.4549</v>
      </c>
      <c r="C8639" t="n">
        <v>1.7842</v>
      </c>
    </row>
    <row r="8640">
      <c r="A8640" t="n">
        <v>1.773</v>
      </c>
      <c r="B8640" t="n">
        <v>1.4989</v>
      </c>
      <c r="C8640" t="n">
        <v>1.6653</v>
      </c>
    </row>
    <row r="8641">
      <c r="A8641" t="n">
        <v>1.5139</v>
      </c>
      <c r="B8641" t="n">
        <v>1.6962</v>
      </c>
      <c r="C8641" t="n">
        <v>1.5263</v>
      </c>
    </row>
    <row r="8642">
      <c r="A8642" t="n">
        <v>1.7942</v>
      </c>
      <c r="B8642" t="n">
        <v>1.8785</v>
      </c>
      <c r="C8642" t="n">
        <v>1.5143</v>
      </c>
    </row>
    <row r="8643">
      <c r="A8643" t="n">
        <v>1.6608</v>
      </c>
      <c r="B8643" t="n">
        <v>1.6822</v>
      </c>
      <c r="C8643" t="n">
        <v>1.4905</v>
      </c>
    </row>
    <row r="8644">
      <c r="A8644" t="n">
        <v>1.5493</v>
      </c>
      <c r="B8644" t="n">
        <v>1.5418</v>
      </c>
      <c r="C8644" t="n">
        <v>1.4234</v>
      </c>
    </row>
    <row r="8645">
      <c r="A8645" t="n">
        <v>1.4487</v>
      </c>
      <c r="B8645" t="n">
        <v>1.6986</v>
      </c>
      <c r="C8645" t="n">
        <v>1.5779</v>
      </c>
    </row>
    <row r="8646">
      <c r="A8646" t="n">
        <v>1.4554</v>
      </c>
      <c r="B8646" t="n">
        <v>1.7017</v>
      </c>
      <c r="C8646" t="n">
        <v>1.5169</v>
      </c>
    </row>
    <row r="8647">
      <c r="A8647" t="n">
        <v>1.4704</v>
      </c>
      <c r="B8647" t="n">
        <v>1.6224</v>
      </c>
      <c r="C8647" t="n">
        <v>1.4862</v>
      </c>
    </row>
    <row r="8648">
      <c r="A8648" t="n">
        <v>1.4912</v>
      </c>
      <c r="B8648" t="n">
        <v>1.4804</v>
      </c>
      <c r="C8648" t="n">
        <v>1.8083</v>
      </c>
    </row>
    <row r="8649">
      <c r="A8649" t="n">
        <v>1.7234</v>
      </c>
      <c r="B8649" t="n">
        <v>1.441</v>
      </c>
      <c r="C8649" t="n">
        <v>1.7199</v>
      </c>
    </row>
    <row r="8650">
      <c r="A8650" t="n">
        <v>1.8252</v>
      </c>
      <c r="B8650" t="n">
        <v>1.4427</v>
      </c>
      <c r="C8650" t="n">
        <v>1.8352</v>
      </c>
    </row>
    <row r="8651">
      <c r="A8651" t="n">
        <v>1.7033</v>
      </c>
      <c r="B8651" t="n">
        <v>1.6958</v>
      </c>
      <c r="C8651" t="n">
        <v>1.582</v>
      </c>
    </row>
    <row r="8652">
      <c r="A8652" t="n">
        <v>1.5908</v>
      </c>
      <c r="B8652" t="n">
        <v>1.5459</v>
      </c>
      <c r="C8652" t="n">
        <v>1.5417</v>
      </c>
    </row>
    <row r="8653">
      <c r="A8653" t="n">
        <v>1.6895</v>
      </c>
      <c r="B8653" t="n">
        <v>1.5801</v>
      </c>
      <c r="C8653" t="n">
        <v>1.6561</v>
      </c>
    </row>
    <row r="8654">
      <c r="A8654" t="n">
        <v>1.4807</v>
      </c>
      <c r="B8654" t="n">
        <v>1.5381</v>
      </c>
      <c r="C8654" t="n">
        <v>1.5549</v>
      </c>
    </row>
    <row r="8655">
      <c r="A8655" t="n">
        <v>1.4893</v>
      </c>
      <c r="B8655" t="n">
        <v>1.45</v>
      </c>
      <c r="C8655" t="n">
        <v>1.7263</v>
      </c>
    </row>
    <row r="8656">
      <c r="A8656" t="n">
        <v>1.7174</v>
      </c>
      <c r="B8656" t="n">
        <v>1.4409</v>
      </c>
      <c r="C8656" t="n">
        <v>1.6548</v>
      </c>
    </row>
    <row r="8657">
      <c r="A8657" t="n">
        <v>1.796</v>
      </c>
      <c r="B8657" t="n">
        <v>1.5034</v>
      </c>
      <c r="C8657" t="n">
        <v>1.5605</v>
      </c>
    </row>
    <row r="8658">
      <c r="A8658" t="n">
        <v>1.5146</v>
      </c>
      <c r="B8658" t="n">
        <v>1.4369</v>
      </c>
      <c r="C8658" t="n">
        <v>2.0194</v>
      </c>
    </row>
    <row r="8659">
      <c r="A8659" t="n">
        <v>1.4685</v>
      </c>
      <c r="B8659" t="n">
        <v>1.4803</v>
      </c>
      <c r="C8659" t="n">
        <v>1.7339</v>
      </c>
    </row>
    <row r="8660">
      <c r="A8660" t="n">
        <v>1.4672</v>
      </c>
      <c r="B8660" t="n">
        <v>1.7232</v>
      </c>
      <c r="C8660" t="n">
        <v>1.7329</v>
      </c>
    </row>
    <row r="8661">
      <c r="A8661" t="n">
        <v>1.6771</v>
      </c>
      <c r="B8661" t="n">
        <v>1.491</v>
      </c>
      <c r="C8661" t="n">
        <v>1.7343</v>
      </c>
    </row>
    <row r="8662">
      <c r="A8662" t="n">
        <v>1.7691</v>
      </c>
      <c r="B8662" t="n">
        <v>1.4796</v>
      </c>
      <c r="C8662" t="n">
        <v>1.5057</v>
      </c>
    </row>
    <row r="8663">
      <c r="A8663" t="n">
        <v>1.4967</v>
      </c>
      <c r="B8663" t="n">
        <v>1.4564</v>
      </c>
      <c r="C8663" t="n">
        <v>1.6933</v>
      </c>
    </row>
    <row r="8664">
      <c r="A8664" t="n">
        <v>1.4919</v>
      </c>
      <c r="B8664" t="n">
        <v>1.6434</v>
      </c>
      <c r="C8664" t="n">
        <v>1.7364</v>
      </c>
    </row>
    <row r="8665">
      <c r="A8665" t="n">
        <v>1.7637</v>
      </c>
      <c r="B8665" t="n">
        <v>1.7199</v>
      </c>
      <c r="C8665" t="n">
        <v>1.5071</v>
      </c>
    </row>
    <row r="8666">
      <c r="A8666" t="n">
        <v>1.5294</v>
      </c>
      <c r="B8666" t="n">
        <v>1.5158</v>
      </c>
      <c r="C8666" t="n">
        <v>1.7256</v>
      </c>
    </row>
    <row r="8667">
      <c r="A8667" t="n">
        <v>1.7805</v>
      </c>
      <c r="B8667" t="n">
        <v>1.4657</v>
      </c>
      <c r="C8667" t="n">
        <v>1.7018</v>
      </c>
    </row>
    <row r="8668">
      <c r="A8668" t="n">
        <v>1.8312</v>
      </c>
      <c r="B8668" t="n">
        <v>1.459</v>
      </c>
      <c r="C8668" t="n">
        <v>1.4937</v>
      </c>
    </row>
    <row r="8669">
      <c r="A8669" t="n">
        <v>1.7508</v>
      </c>
      <c r="B8669" t="n">
        <v>1.6895</v>
      </c>
      <c r="C8669" t="n">
        <v>1.4299</v>
      </c>
    </row>
    <row r="8670">
      <c r="A8670" t="n">
        <v>1.52</v>
      </c>
      <c r="B8670" t="n">
        <v>1.6727</v>
      </c>
      <c r="C8670" t="n">
        <v>1.4419</v>
      </c>
    </row>
    <row r="8671">
      <c r="A8671" t="n">
        <v>1.4961</v>
      </c>
      <c r="B8671" t="n">
        <v>1.5198</v>
      </c>
      <c r="C8671" t="n">
        <v>1.4791</v>
      </c>
    </row>
    <row r="8672">
      <c r="A8672" t="n">
        <v>1.4495</v>
      </c>
      <c r="B8672" t="n">
        <v>1.4843</v>
      </c>
      <c r="C8672" t="n">
        <v>1.5091</v>
      </c>
    </row>
    <row r="8673">
      <c r="A8673" t="n">
        <v>1.7623</v>
      </c>
      <c r="B8673" t="n">
        <v>1.4406</v>
      </c>
      <c r="C8673" t="n">
        <v>1.4897</v>
      </c>
    </row>
    <row r="8674">
      <c r="A8674" t="n">
        <v>2.0791</v>
      </c>
      <c r="B8674" t="n">
        <v>2.0115</v>
      </c>
      <c r="C8674" t="n">
        <v>1.4867</v>
      </c>
    </row>
    <row r="8675">
      <c r="A8675" t="n">
        <v>1.7087</v>
      </c>
      <c r="B8675" t="n">
        <v>1.8051</v>
      </c>
      <c r="C8675" t="n">
        <v>1.4767</v>
      </c>
    </row>
    <row r="8676">
      <c r="A8676" t="n">
        <v>1.713</v>
      </c>
      <c r="B8676" t="n">
        <v>1.6451</v>
      </c>
      <c r="C8676" t="n">
        <v>1.4797</v>
      </c>
    </row>
    <row r="8677">
      <c r="A8677" t="n">
        <v>1.4933</v>
      </c>
      <c r="B8677" t="n">
        <v>1.8641</v>
      </c>
      <c r="C8677" t="n">
        <v>1.4895</v>
      </c>
    </row>
    <row r="8678">
      <c r="A8678" t="n">
        <v>1.6546</v>
      </c>
      <c r="B8678" t="n">
        <v>1.4867</v>
      </c>
      <c r="C8678" t="n">
        <v>1.4556</v>
      </c>
    </row>
    <row r="8679">
      <c r="A8679" t="n">
        <v>1.6775</v>
      </c>
      <c r="B8679" t="n">
        <v>1.7018</v>
      </c>
      <c r="C8679" t="n">
        <v>1.5087</v>
      </c>
    </row>
    <row r="8680">
      <c r="A8680" t="n">
        <v>1.5056</v>
      </c>
      <c r="B8680" t="n">
        <v>1.6658</v>
      </c>
      <c r="C8680" t="n">
        <v>1.4553</v>
      </c>
    </row>
    <row r="8681">
      <c r="A8681" t="n">
        <v>1.6529</v>
      </c>
      <c r="B8681" t="n">
        <v>1.4927</v>
      </c>
      <c r="C8681" t="n">
        <v>1.517</v>
      </c>
    </row>
    <row r="8682">
      <c r="A8682" t="n">
        <v>1.6963</v>
      </c>
      <c r="B8682" t="n">
        <v>1.613</v>
      </c>
      <c r="C8682" t="n">
        <v>1.7253</v>
      </c>
    </row>
    <row r="8683">
      <c r="A8683" t="n">
        <v>1.543</v>
      </c>
      <c r="B8683" t="n">
        <v>1.7769</v>
      </c>
      <c r="C8683" t="n">
        <v>1.4944</v>
      </c>
    </row>
    <row r="8684">
      <c r="A8684" t="n">
        <v>1.5958</v>
      </c>
      <c r="B8684" t="n">
        <v>1.5288</v>
      </c>
      <c r="C8684" t="n">
        <v>1.4221</v>
      </c>
    </row>
    <row r="8685">
      <c r="A8685" t="n">
        <v>1.5298</v>
      </c>
      <c r="B8685" t="n">
        <v>1.6781</v>
      </c>
      <c r="C8685" t="n">
        <v>1.4616</v>
      </c>
    </row>
    <row r="8686">
      <c r="A8686" t="n">
        <v>1.4763</v>
      </c>
      <c r="B8686" t="n">
        <v>1.5037</v>
      </c>
      <c r="C8686" t="n">
        <v>1.668</v>
      </c>
    </row>
    <row r="8687">
      <c r="A8687" t="n">
        <v>1.3829</v>
      </c>
      <c r="B8687" t="n">
        <v>1.4701</v>
      </c>
      <c r="C8687" t="n">
        <v>1.6903</v>
      </c>
    </row>
    <row r="8688">
      <c r="A8688" t="n">
        <v>1.4225</v>
      </c>
      <c r="B8688" t="n">
        <v>1.6314</v>
      </c>
      <c r="C8688" t="n">
        <v>1.5098</v>
      </c>
    </row>
    <row r="8689">
      <c r="A8689" t="n">
        <v>1.4312</v>
      </c>
      <c r="B8689" t="n">
        <v>1.5324</v>
      </c>
      <c r="C8689" t="n">
        <v>1.4469</v>
      </c>
    </row>
    <row r="8690">
      <c r="A8690" t="n">
        <v>1.6221</v>
      </c>
      <c r="B8690" t="n">
        <v>1.6424</v>
      </c>
      <c r="C8690" t="n">
        <v>1.9839</v>
      </c>
    </row>
    <row r="8691">
      <c r="A8691" t="n">
        <v>1.6657</v>
      </c>
      <c r="B8691" t="n">
        <v>1.4846</v>
      </c>
      <c r="C8691" t="n">
        <v>1.5339</v>
      </c>
    </row>
    <row r="8692">
      <c r="A8692" t="n">
        <v>1.4934</v>
      </c>
      <c r="B8692" t="n">
        <v>1.4403</v>
      </c>
      <c r="C8692" t="n">
        <v>1.4314</v>
      </c>
    </row>
    <row r="8693">
      <c r="A8693" t="n">
        <v>1.4196</v>
      </c>
      <c r="B8693" t="n">
        <v>1.4074</v>
      </c>
      <c r="C8693" t="n">
        <v>1.4647</v>
      </c>
    </row>
    <row r="8694">
      <c r="A8694" t="n">
        <v>1.4421</v>
      </c>
      <c r="B8694" t="n">
        <v>1.4291</v>
      </c>
      <c r="C8694" t="n">
        <v>1.4739</v>
      </c>
    </row>
    <row r="8695">
      <c r="A8695" t="n">
        <v>1.5995</v>
      </c>
      <c r="B8695" t="n">
        <v>1.4426</v>
      </c>
      <c r="C8695" t="n">
        <v>1.4856</v>
      </c>
    </row>
    <row r="8696">
      <c r="A8696" t="n">
        <v>1.5126</v>
      </c>
      <c r="B8696" t="n">
        <v>1.6712</v>
      </c>
      <c r="C8696" t="n">
        <v>1.707</v>
      </c>
    </row>
    <row r="8697">
      <c r="A8697" t="n">
        <v>1.6023</v>
      </c>
      <c r="B8697" t="n">
        <v>1.7058</v>
      </c>
      <c r="C8697" t="n">
        <v>1.7092</v>
      </c>
    </row>
    <row r="8698">
      <c r="A8698" t="n">
        <v>1.4787</v>
      </c>
      <c r="B8698" t="n">
        <v>1.4853</v>
      </c>
      <c r="C8698" t="n">
        <v>1.4747</v>
      </c>
    </row>
    <row r="8699">
      <c r="A8699" t="n">
        <v>1.4523</v>
      </c>
      <c r="B8699" t="n">
        <v>1.4446</v>
      </c>
      <c r="C8699" t="n">
        <v>1.7307</v>
      </c>
    </row>
    <row r="8700">
      <c r="A8700" t="n">
        <v>1.4183</v>
      </c>
      <c r="B8700" t="n">
        <v>1.4174</v>
      </c>
      <c r="C8700" t="n">
        <v>1.6842</v>
      </c>
    </row>
    <row r="8701">
      <c r="A8701" t="n">
        <v>1.4419</v>
      </c>
      <c r="B8701" t="n">
        <v>1.6134</v>
      </c>
      <c r="C8701" t="n">
        <v>1.4987</v>
      </c>
    </row>
    <row r="8702">
      <c r="A8702" t="n">
        <v>1.4239</v>
      </c>
      <c r="B8702" t="n">
        <v>1.8638</v>
      </c>
      <c r="C8702" t="n">
        <v>1.6632</v>
      </c>
    </row>
    <row r="8703">
      <c r="A8703" t="n">
        <v>1.6305</v>
      </c>
      <c r="B8703" t="n">
        <v>1.4638</v>
      </c>
      <c r="C8703" t="n">
        <v>1.6737</v>
      </c>
    </row>
    <row r="8704">
      <c r="A8704" t="n">
        <v>1.6544</v>
      </c>
      <c r="B8704" t="n">
        <v>1.4391</v>
      </c>
      <c r="C8704" t="n">
        <v>1.5345</v>
      </c>
    </row>
    <row r="8705">
      <c r="A8705" t="n">
        <v>1.4708</v>
      </c>
      <c r="B8705" t="n">
        <v>1.4248</v>
      </c>
      <c r="C8705" t="n">
        <v>1.6472</v>
      </c>
    </row>
    <row r="8706">
      <c r="A8706" t="n">
        <v>1.7865</v>
      </c>
      <c r="B8706" t="n">
        <v>1.9772</v>
      </c>
      <c r="C8706" t="n">
        <v>1.5247</v>
      </c>
    </row>
    <row r="8707">
      <c r="A8707" t="n">
        <v>1.6229</v>
      </c>
      <c r="B8707" t="n">
        <v>1.7508</v>
      </c>
      <c r="C8707" t="n">
        <v>1.4385</v>
      </c>
    </row>
    <row r="8708">
      <c r="A8708" t="n">
        <v>1.4811</v>
      </c>
      <c r="B8708" t="n">
        <v>1.6537</v>
      </c>
      <c r="C8708" t="n">
        <v>1.606</v>
      </c>
    </row>
    <row r="8709">
      <c r="A8709" t="n">
        <v>1.6554</v>
      </c>
      <c r="B8709" t="n">
        <v>1.5255</v>
      </c>
      <c r="C8709" t="n">
        <v>1.5326</v>
      </c>
    </row>
    <row r="8710">
      <c r="A8710" t="n">
        <v>1.5391</v>
      </c>
      <c r="B8710" t="n">
        <v>1.633</v>
      </c>
      <c r="C8710" t="n">
        <v>1.592</v>
      </c>
    </row>
    <row r="8711">
      <c r="A8711" t="n">
        <v>1.4257</v>
      </c>
      <c r="B8711" t="n">
        <v>1.5118</v>
      </c>
      <c r="C8711" t="n">
        <v>1.5085</v>
      </c>
    </row>
    <row r="8712">
      <c r="A8712" t="n">
        <v>1.4292</v>
      </c>
      <c r="B8712" t="n">
        <v>1.4112</v>
      </c>
      <c r="C8712" t="n">
        <v>1.4257</v>
      </c>
    </row>
    <row r="8713">
      <c r="A8713" t="n">
        <v>1.3911</v>
      </c>
      <c r="B8713" t="n">
        <v>1.4013</v>
      </c>
      <c r="C8713" t="n">
        <v>1.4004</v>
      </c>
    </row>
    <row r="8714">
      <c r="A8714" t="n">
        <v>1.4401</v>
      </c>
      <c r="B8714" t="n">
        <v>1.4247</v>
      </c>
      <c r="C8714" t="n">
        <v>1.4369</v>
      </c>
    </row>
    <row r="8715">
      <c r="A8715" t="n">
        <v>1.6094</v>
      </c>
      <c r="B8715" t="n">
        <v>1.4294</v>
      </c>
      <c r="C8715" t="n">
        <v>1.4771</v>
      </c>
    </row>
    <row r="8716">
      <c r="A8716" t="n">
        <v>1.5206</v>
      </c>
      <c r="B8716" t="n">
        <v>1.6322</v>
      </c>
      <c r="C8716" t="n">
        <v>1.6173</v>
      </c>
    </row>
    <row r="8717">
      <c r="A8717" t="n">
        <v>1.4153</v>
      </c>
      <c r="B8717" t="n">
        <v>1.6501</v>
      </c>
      <c r="C8717" t="n">
        <v>1.6983</v>
      </c>
    </row>
    <row r="8718">
      <c r="A8718" t="n">
        <v>1.4199</v>
      </c>
      <c r="B8718" t="n">
        <v>1.4625</v>
      </c>
      <c r="C8718" t="n">
        <v>1.4969</v>
      </c>
    </row>
    <row r="8719">
      <c r="A8719" t="n">
        <v>1.4463</v>
      </c>
      <c r="B8719" t="n">
        <v>1.4442</v>
      </c>
      <c r="C8719" t="n">
        <v>1.4282</v>
      </c>
    </row>
    <row r="8720">
      <c r="A8720" t="n">
        <v>1.4216</v>
      </c>
      <c r="B8720" t="n">
        <v>1.4513</v>
      </c>
      <c r="C8720" t="n">
        <v>1.4314</v>
      </c>
    </row>
    <row r="8721">
      <c r="A8721" t="n">
        <v>1.6198</v>
      </c>
      <c r="B8721" t="n">
        <v>1.386</v>
      </c>
      <c r="C8721" t="n">
        <v>1.587</v>
      </c>
    </row>
    <row r="8722">
      <c r="A8722" t="n">
        <v>1.6923</v>
      </c>
      <c r="B8722" t="n">
        <v>1.4883</v>
      </c>
      <c r="C8722" t="n">
        <v>2.1028</v>
      </c>
    </row>
    <row r="8723">
      <c r="A8723" t="n">
        <v>1.4774</v>
      </c>
      <c r="B8723" t="n">
        <v>1.7649</v>
      </c>
      <c r="C8723" t="n">
        <v>1.706</v>
      </c>
    </row>
    <row r="8724">
      <c r="A8724" t="n">
        <v>1.4348</v>
      </c>
      <c r="B8724" t="n">
        <v>1.5024</v>
      </c>
      <c r="C8724" t="n">
        <v>1.5528</v>
      </c>
    </row>
    <row r="8725">
      <c r="A8725" t="n">
        <v>1.428</v>
      </c>
      <c r="B8725" t="n">
        <v>1.4172</v>
      </c>
      <c r="C8725" t="n">
        <v>1.5996</v>
      </c>
    </row>
    <row r="8726">
      <c r="A8726" t="n">
        <v>1.5894</v>
      </c>
      <c r="B8726" t="n">
        <v>1.4088</v>
      </c>
      <c r="C8726" t="n">
        <v>1.5411</v>
      </c>
    </row>
    <row r="8727">
      <c r="A8727" t="n">
        <v>1.55</v>
      </c>
      <c r="B8727" t="n">
        <v>1.4331</v>
      </c>
      <c r="C8727" t="n">
        <v>1.5222</v>
      </c>
    </row>
    <row r="8728">
      <c r="A8728" t="n">
        <v>1.7173</v>
      </c>
      <c r="B8728" t="n">
        <v>1.4416</v>
      </c>
      <c r="C8728" t="n">
        <v>1.3944</v>
      </c>
    </row>
    <row r="8729">
      <c r="A8729" t="n">
        <v>1.4651</v>
      </c>
      <c r="B8729" t="n">
        <v>1.7033</v>
      </c>
      <c r="C8729" t="n">
        <v>1.4674</v>
      </c>
    </row>
    <row r="8730">
      <c r="A8730" t="n">
        <v>1.4392</v>
      </c>
      <c r="B8730" t="n">
        <v>1.6927</v>
      </c>
      <c r="C8730" t="n">
        <v>1.4646</v>
      </c>
    </row>
    <row r="8731">
      <c r="A8731" t="n">
        <v>1.3954</v>
      </c>
      <c r="B8731" t="n">
        <v>1.4921</v>
      </c>
      <c r="C8731" t="n">
        <v>1.4137</v>
      </c>
    </row>
    <row r="8732">
      <c r="A8732" t="n">
        <v>1.4031</v>
      </c>
      <c r="B8732" t="n">
        <v>1.4325</v>
      </c>
      <c r="C8732" t="n">
        <v>1.4467</v>
      </c>
    </row>
    <row r="8733">
      <c r="A8733" t="n">
        <v>1.4075</v>
      </c>
      <c r="B8733" t="n">
        <v>1.4111</v>
      </c>
      <c r="C8733" t="n">
        <v>1.4305</v>
      </c>
    </row>
    <row r="8734">
      <c r="A8734" t="n">
        <v>1.6602</v>
      </c>
      <c r="B8734" t="n">
        <v>1.4042</v>
      </c>
      <c r="C8734" t="n">
        <v>1.4606</v>
      </c>
    </row>
    <row r="8735">
      <c r="A8735" t="n">
        <v>1.7203</v>
      </c>
      <c r="B8735" t="n">
        <v>1.4444</v>
      </c>
      <c r="C8735" t="n">
        <v>1.4794</v>
      </c>
    </row>
    <row r="8736">
      <c r="A8736" t="n">
        <v>1.485</v>
      </c>
      <c r="B8736" t="n">
        <v>1.6472</v>
      </c>
      <c r="C8736" t="n">
        <v>1.5599</v>
      </c>
    </row>
    <row r="8737">
      <c r="A8737" t="n">
        <v>1.4447</v>
      </c>
      <c r="B8737" t="n">
        <v>1.5223</v>
      </c>
      <c r="C8737" t="n">
        <v>1.4466</v>
      </c>
    </row>
    <row r="8738">
      <c r="A8738" t="n">
        <v>1.9439</v>
      </c>
      <c r="B8738" t="n">
        <v>2.0086</v>
      </c>
      <c r="C8738" t="n">
        <v>1.6937</v>
      </c>
    </row>
    <row r="8739">
      <c r="A8739" t="n">
        <v>1.5076</v>
      </c>
      <c r="B8739" t="n">
        <v>1.7256</v>
      </c>
      <c r="C8739" t="n">
        <v>1.5167</v>
      </c>
    </row>
    <row r="8740">
      <c r="A8740" t="n">
        <v>1.6464</v>
      </c>
      <c r="B8740" t="n">
        <v>1.7026</v>
      </c>
      <c r="C8740" t="n">
        <v>1.7259</v>
      </c>
    </row>
    <row r="8741">
      <c r="A8741" t="n">
        <v>1.6669</v>
      </c>
      <c r="B8741" t="n">
        <v>1.5109</v>
      </c>
      <c r="C8741" t="n">
        <v>1.7114</v>
      </c>
    </row>
    <row r="8742">
      <c r="A8742" t="n">
        <v>1.5258</v>
      </c>
      <c r="B8742" t="n">
        <v>1.4376</v>
      </c>
      <c r="C8742" t="n">
        <v>1.528</v>
      </c>
    </row>
    <row r="8743">
      <c r="A8743" t="n">
        <v>1.6132</v>
      </c>
      <c r="B8743" t="n">
        <v>1.4622</v>
      </c>
      <c r="C8743" t="n">
        <v>1.6499</v>
      </c>
    </row>
    <row r="8744">
      <c r="A8744" t="n">
        <v>1.4888</v>
      </c>
      <c r="B8744" t="n">
        <v>1.6807</v>
      </c>
      <c r="C8744" t="n">
        <v>1.4879</v>
      </c>
    </row>
    <row r="8745">
      <c r="A8745" t="n">
        <v>1.4326</v>
      </c>
      <c r="B8745" t="n">
        <v>1.7302</v>
      </c>
      <c r="C8745" t="n">
        <v>1.4503</v>
      </c>
    </row>
    <row r="8746">
      <c r="A8746" t="n">
        <v>1.4264</v>
      </c>
      <c r="B8746" t="n">
        <v>1.5088</v>
      </c>
      <c r="C8746" t="n">
        <v>1.3902</v>
      </c>
    </row>
    <row r="8747">
      <c r="A8747" t="n">
        <v>1.4074</v>
      </c>
      <c r="B8747" t="n">
        <v>1.4658</v>
      </c>
      <c r="C8747" t="n">
        <v>1.4266</v>
      </c>
    </row>
    <row r="8748">
      <c r="A8748" t="n">
        <v>1.4155</v>
      </c>
      <c r="B8748" t="n">
        <v>1.4178</v>
      </c>
      <c r="C8748" t="n">
        <v>1.4327</v>
      </c>
    </row>
    <row r="8749">
      <c r="A8749" t="n">
        <v>1.6255</v>
      </c>
      <c r="B8749" t="n">
        <v>1.6245</v>
      </c>
      <c r="C8749" t="n">
        <v>1.6454</v>
      </c>
    </row>
    <row r="8750">
      <c r="A8750" t="n">
        <v>1.5516</v>
      </c>
      <c r="B8750" t="n">
        <v>1.7334</v>
      </c>
      <c r="C8750" t="n">
        <v>1.6903</v>
      </c>
    </row>
    <row r="8751">
      <c r="A8751" t="n">
        <v>1.4193</v>
      </c>
      <c r="B8751" t="n">
        <v>1.4695</v>
      </c>
      <c r="C8751" t="n">
        <v>1.4987</v>
      </c>
    </row>
    <row r="8752">
      <c r="A8752" t="n">
        <v>1.4223</v>
      </c>
      <c r="B8752" t="n">
        <v>1.4482</v>
      </c>
      <c r="C8752" t="n">
        <v>1.4415</v>
      </c>
    </row>
    <row r="8753">
      <c r="A8753" t="n">
        <v>1.3934</v>
      </c>
      <c r="B8753" t="n">
        <v>1.4392</v>
      </c>
      <c r="C8753" t="n">
        <v>1.449</v>
      </c>
    </row>
    <row r="8754">
      <c r="A8754" t="n">
        <v>1.4212</v>
      </c>
      <c r="B8754" t="n">
        <v>1.5971</v>
      </c>
      <c r="C8754" t="n">
        <v>1.986</v>
      </c>
    </row>
    <row r="8755">
      <c r="A8755" t="n">
        <v>1.4274</v>
      </c>
      <c r="B8755" t="n">
        <v>1.5274</v>
      </c>
      <c r="C8755" t="n">
        <v>1.7312</v>
      </c>
    </row>
    <row r="8756">
      <c r="A8756" t="n">
        <v>1.4475</v>
      </c>
      <c r="B8756" t="n">
        <v>1.6404</v>
      </c>
      <c r="C8756" t="n">
        <v>1.6561</v>
      </c>
    </row>
    <row r="8757">
      <c r="A8757" t="n">
        <v>1.6259</v>
      </c>
      <c r="B8757" t="n">
        <v>1.4707</v>
      </c>
      <c r="C8757" t="n">
        <v>1.5009</v>
      </c>
    </row>
    <row r="8758">
      <c r="A8758" t="n">
        <v>1.8475</v>
      </c>
      <c r="B8758" t="n">
        <v>1.4426</v>
      </c>
      <c r="C8758" t="n">
        <v>1.6388</v>
      </c>
    </row>
    <row r="8759">
      <c r="A8759" t="n">
        <v>1.5003</v>
      </c>
      <c r="B8759" t="n">
        <v>1.4047</v>
      </c>
      <c r="C8759" t="n">
        <v>1.5049</v>
      </c>
    </row>
    <row r="8760">
      <c r="A8760" t="n">
        <v>1.4318</v>
      </c>
      <c r="B8760" t="n">
        <v>1.4183</v>
      </c>
      <c r="C8760" t="n">
        <v>1.4665</v>
      </c>
    </row>
    <row r="8761">
      <c r="A8761" t="n">
        <v>1.4338</v>
      </c>
      <c r="B8761" t="n">
        <v>1.4471</v>
      </c>
      <c r="C8761" t="n">
        <v>1.3722</v>
      </c>
    </row>
    <row r="8762">
      <c r="A8762" t="n">
        <v>1.5984</v>
      </c>
      <c r="B8762" t="n">
        <v>1.7026</v>
      </c>
      <c r="C8762" t="n">
        <v>1.4347</v>
      </c>
    </row>
    <row r="8763">
      <c r="A8763" t="n">
        <v>1.7598</v>
      </c>
      <c r="B8763" t="n">
        <v>1.6645</v>
      </c>
      <c r="C8763" t="n">
        <v>1.484</v>
      </c>
    </row>
    <row r="8764">
      <c r="A8764" t="n">
        <v>1.501</v>
      </c>
      <c r="B8764" t="n">
        <v>1.4847</v>
      </c>
      <c r="C8764" t="n">
        <v>1.4108</v>
      </c>
    </row>
    <row r="8765">
      <c r="A8765" t="n">
        <v>1.426</v>
      </c>
      <c r="B8765" t="n">
        <v>1.4646</v>
      </c>
      <c r="C8765" t="n">
        <v>1.4767</v>
      </c>
    </row>
    <row r="8766">
      <c r="A8766" t="n">
        <v>1.4388</v>
      </c>
      <c r="B8766" t="n">
        <v>1.4182</v>
      </c>
      <c r="C8766" t="n">
        <v>1.6576</v>
      </c>
    </row>
    <row r="8767">
      <c r="A8767" t="n">
        <v>1.6135</v>
      </c>
      <c r="B8767" t="n">
        <v>1.6276</v>
      </c>
      <c r="C8767" t="n">
        <v>1.4856</v>
      </c>
    </row>
    <row r="8768">
      <c r="A8768" t="n">
        <v>1.5145</v>
      </c>
      <c r="B8768" t="n">
        <v>1.6757</v>
      </c>
      <c r="C8768" t="n">
        <v>1.4763</v>
      </c>
    </row>
    <row r="8769">
      <c r="A8769" t="n">
        <v>1.644</v>
      </c>
      <c r="B8769" t="n">
        <v>1.4665</v>
      </c>
      <c r="C8769" t="n">
        <v>1.4136</v>
      </c>
    </row>
    <row r="8770">
      <c r="A8770" t="n">
        <v>1.8165</v>
      </c>
      <c r="B8770" t="n">
        <v>1.7836</v>
      </c>
      <c r="C8770" t="n">
        <v>1.4322</v>
      </c>
    </row>
    <row r="8771">
      <c r="A8771" t="n">
        <v>1.43</v>
      </c>
      <c r="B8771" t="n">
        <v>1.6967</v>
      </c>
      <c r="C8771" t="n">
        <v>1.4276</v>
      </c>
    </row>
    <row r="8772">
      <c r="A8772" t="n">
        <v>1.6704</v>
      </c>
      <c r="B8772" t="n">
        <v>1.4876</v>
      </c>
      <c r="C8772" t="n">
        <v>1.412</v>
      </c>
    </row>
    <row r="8773">
      <c r="A8773" t="n">
        <v>1.7316</v>
      </c>
      <c r="B8773" t="n">
        <v>1.7191</v>
      </c>
      <c r="C8773" t="n">
        <v>1.4585</v>
      </c>
    </row>
    <row r="8774">
      <c r="A8774" t="n">
        <v>1.4587</v>
      </c>
      <c r="B8774" t="n">
        <v>1.7397</v>
      </c>
      <c r="C8774" t="n">
        <v>1.6723</v>
      </c>
    </row>
    <row r="8775">
      <c r="A8775" t="n">
        <v>1.4542</v>
      </c>
      <c r="B8775" t="n">
        <v>1.5418</v>
      </c>
      <c r="C8775" t="n">
        <v>1.5043</v>
      </c>
    </row>
    <row r="8776">
      <c r="A8776" t="n">
        <v>1.4384</v>
      </c>
      <c r="B8776" t="n">
        <v>1.6315</v>
      </c>
      <c r="C8776" t="n">
        <v>1.4506</v>
      </c>
    </row>
    <row r="8777">
      <c r="A8777" t="n">
        <v>1.6026</v>
      </c>
      <c r="B8777" t="n">
        <v>1.4821</v>
      </c>
      <c r="C8777" t="n">
        <v>1.6222</v>
      </c>
    </row>
    <row r="8778">
      <c r="A8778" t="n">
        <v>1.8038</v>
      </c>
      <c r="B8778" t="n">
        <v>1.4282</v>
      </c>
      <c r="C8778" t="n">
        <v>1.5499</v>
      </c>
    </row>
    <row r="8779">
      <c r="A8779" t="n">
        <v>1.4839</v>
      </c>
      <c r="B8779" t="n">
        <v>1.4246</v>
      </c>
      <c r="C8779" t="n">
        <v>1.6395</v>
      </c>
    </row>
    <row r="8780">
      <c r="A8780" t="n">
        <v>1.4233</v>
      </c>
      <c r="B8780" t="n">
        <v>1.4418</v>
      </c>
      <c r="C8780" t="n">
        <v>1.5005</v>
      </c>
    </row>
    <row r="8781">
      <c r="A8781" t="n">
        <v>1.4577</v>
      </c>
      <c r="B8781" t="n">
        <v>1.4285</v>
      </c>
      <c r="C8781" t="n">
        <v>1.448</v>
      </c>
    </row>
    <row r="8782">
      <c r="A8782" t="n">
        <v>1.6191</v>
      </c>
      <c r="B8782" t="n">
        <v>1.4725</v>
      </c>
      <c r="C8782" t="n">
        <v>1.3829</v>
      </c>
    </row>
    <row r="8783">
      <c r="A8783" t="n">
        <v>1.5771</v>
      </c>
      <c r="B8783" t="n">
        <v>1.4722</v>
      </c>
      <c r="C8783" t="n">
        <v>1.4469</v>
      </c>
    </row>
    <row r="8784">
      <c r="A8784" t="n">
        <v>1.4238</v>
      </c>
      <c r="B8784" t="n">
        <v>1.6808</v>
      </c>
      <c r="C8784" t="n">
        <v>1.4495</v>
      </c>
    </row>
    <row r="8785">
      <c r="A8785" t="n">
        <v>1.4234</v>
      </c>
      <c r="B8785" t="n">
        <v>1.5207</v>
      </c>
      <c r="C8785" t="n">
        <v>1.6488</v>
      </c>
    </row>
    <row r="8786">
      <c r="A8786" t="n">
        <v>1.3821</v>
      </c>
      <c r="B8786" t="n">
        <v>1.4838</v>
      </c>
      <c r="C8786" t="n">
        <v>2.0571</v>
      </c>
    </row>
    <row r="8787">
      <c r="A8787" t="n">
        <v>1.4062</v>
      </c>
      <c r="B8787" t="n">
        <v>1.6585</v>
      </c>
      <c r="C8787" t="n">
        <v>1.7023</v>
      </c>
    </row>
    <row r="8788">
      <c r="A8788" t="n">
        <v>1.4396</v>
      </c>
      <c r="B8788" t="n">
        <v>1.8238</v>
      </c>
      <c r="C8788" t="n">
        <v>1.7238</v>
      </c>
    </row>
    <row r="8789">
      <c r="A8789" t="n">
        <v>1.4431</v>
      </c>
      <c r="B8789" t="n">
        <v>1.4941</v>
      </c>
      <c r="C8789" t="n">
        <v>1.5249</v>
      </c>
    </row>
    <row r="8790">
      <c r="A8790" t="n">
        <v>1.427</v>
      </c>
      <c r="B8790" t="n">
        <v>1.4454</v>
      </c>
      <c r="C8790" t="n">
        <v>1.4544</v>
      </c>
    </row>
    <row r="8791">
      <c r="A8791" t="n">
        <v>1.4785</v>
      </c>
      <c r="B8791" t="n">
        <v>1.4603</v>
      </c>
      <c r="C8791" t="n">
        <v>1.4379</v>
      </c>
    </row>
    <row r="8792">
      <c r="A8792" t="n">
        <v>1.6508</v>
      </c>
      <c r="B8792" t="n">
        <v>1.6537</v>
      </c>
      <c r="C8792" t="n">
        <v>1.6152</v>
      </c>
    </row>
    <row r="8793">
      <c r="A8793" t="n">
        <v>1.5291</v>
      </c>
      <c r="B8793" t="n">
        <v>1.8335</v>
      </c>
      <c r="C8793" t="n">
        <v>1.5194</v>
      </c>
    </row>
    <row r="8794">
      <c r="A8794" t="n">
        <v>1.4449</v>
      </c>
      <c r="B8794" t="n">
        <v>1.4854</v>
      </c>
      <c r="C8794" t="n">
        <v>1.6203</v>
      </c>
    </row>
    <row r="8795">
      <c r="A8795" t="n">
        <v>1.4267</v>
      </c>
      <c r="B8795" t="n">
        <v>1.4506</v>
      </c>
      <c r="C8795" t="n">
        <v>1.5015</v>
      </c>
    </row>
    <row r="8796">
      <c r="A8796" t="n">
        <v>1.4535</v>
      </c>
      <c r="B8796" t="n">
        <v>1.4142</v>
      </c>
      <c r="C8796" t="n">
        <v>1.4694</v>
      </c>
    </row>
    <row r="8797">
      <c r="A8797" t="n">
        <v>1.4873</v>
      </c>
      <c r="B8797" t="n">
        <v>1.6911</v>
      </c>
      <c r="C8797" t="n">
        <v>1.5854</v>
      </c>
    </row>
    <row r="8798">
      <c r="A8798" t="n">
        <v>1.7066</v>
      </c>
      <c r="B8798" t="n">
        <v>1.733</v>
      </c>
      <c r="C8798" t="n">
        <v>1.5603</v>
      </c>
    </row>
    <row r="8799">
      <c r="A8799" t="n">
        <v>1.7271</v>
      </c>
      <c r="B8799" t="n">
        <v>1.4561</v>
      </c>
      <c r="C8799" t="n">
        <v>1.6372</v>
      </c>
    </row>
    <row r="8800">
      <c r="A8800" t="n">
        <v>1.5035</v>
      </c>
      <c r="B8800" t="n">
        <v>1.4577</v>
      </c>
      <c r="C8800" t="n">
        <v>1.4815</v>
      </c>
    </row>
    <row r="8801">
      <c r="A8801" t="n">
        <v>1.4225</v>
      </c>
      <c r="B8801" t="n">
        <v>1.4533</v>
      </c>
      <c r="C8801" t="n">
        <v>1.4597</v>
      </c>
    </row>
    <row r="8802">
      <c r="A8802" t="n">
        <v>2.0289</v>
      </c>
      <c r="B8802" t="n">
        <v>1.9711</v>
      </c>
      <c r="C8802" t="n">
        <v>1.4102</v>
      </c>
    </row>
    <row r="8803">
      <c r="A8803" t="n">
        <v>1.5294</v>
      </c>
      <c r="B8803" t="n">
        <v>1.7513</v>
      </c>
      <c r="C8803" t="n">
        <v>1.4132</v>
      </c>
    </row>
    <row r="8804">
      <c r="A8804" t="n">
        <v>1.4223</v>
      </c>
      <c r="B8804" t="n">
        <v>1.6693</v>
      </c>
      <c r="C8804" t="n">
        <v>1.4712</v>
      </c>
    </row>
    <row r="8805">
      <c r="A8805" t="n">
        <v>1.4144</v>
      </c>
      <c r="B8805" t="n">
        <v>1.5215</v>
      </c>
      <c r="C8805" t="n">
        <v>1.6471</v>
      </c>
    </row>
    <row r="8806">
      <c r="A8806" t="n">
        <v>1.4125</v>
      </c>
      <c r="B8806" t="n">
        <v>1.6736</v>
      </c>
      <c r="C8806" t="n">
        <v>1.6925</v>
      </c>
    </row>
    <row r="8807">
      <c r="A8807" t="n">
        <v>1.412</v>
      </c>
      <c r="B8807" t="n">
        <v>1.4947</v>
      </c>
      <c r="C8807" t="n">
        <v>1.4871</v>
      </c>
    </row>
    <row r="8808">
      <c r="A8808" t="n">
        <v>1.6208</v>
      </c>
      <c r="B8808" t="n">
        <v>1.3992</v>
      </c>
      <c r="C8808" t="n">
        <v>1.4431</v>
      </c>
    </row>
    <row r="8809">
      <c r="A8809" t="n">
        <v>1.4998</v>
      </c>
      <c r="B8809" t="n">
        <v>1.3986</v>
      </c>
      <c r="C8809" t="n">
        <v>1.4282</v>
      </c>
    </row>
    <row r="8810">
      <c r="A8810" t="n">
        <v>1.7093</v>
      </c>
      <c r="B8810" t="n">
        <v>1.4549</v>
      </c>
      <c r="C8810" t="n">
        <v>1.6411</v>
      </c>
    </row>
    <row r="8811">
      <c r="A8811" t="n">
        <v>1.4815</v>
      </c>
      <c r="B8811" t="n">
        <v>1.4298</v>
      </c>
      <c r="C8811" t="n">
        <v>1.8269</v>
      </c>
    </row>
    <row r="8812">
      <c r="A8812" t="n">
        <v>1.4424</v>
      </c>
      <c r="B8812" t="n">
        <v>1.6439</v>
      </c>
      <c r="C8812" t="n">
        <v>1.4667</v>
      </c>
    </row>
    <row r="8813">
      <c r="A8813" t="n">
        <v>1.6509</v>
      </c>
      <c r="B8813" t="n">
        <v>1.6803</v>
      </c>
      <c r="C8813" t="n">
        <v>1.4398</v>
      </c>
    </row>
    <row r="8814">
      <c r="A8814" t="n">
        <v>1.647</v>
      </c>
      <c r="B8814" t="n">
        <v>1.4776</v>
      </c>
      <c r="C8814" t="n">
        <v>1.4711</v>
      </c>
    </row>
    <row r="8815">
      <c r="A8815" t="n">
        <v>1.4904</v>
      </c>
      <c r="B8815" t="n">
        <v>1.4369</v>
      </c>
      <c r="C8815" t="n">
        <v>1.6748</v>
      </c>
    </row>
    <row r="8816">
      <c r="A8816" t="n">
        <v>1.4375</v>
      </c>
      <c r="B8816" t="n">
        <v>1.4494</v>
      </c>
      <c r="C8816" t="n">
        <v>1.7291</v>
      </c>
    </row>
    <row r="8817">
      <c r="A8817" t="n">
        <v>1.4529</v>
      </c>
      <c r="B8817" t="n">
        <v>1.6003</v>
      </c>
      <c r="C8817" t="n">
        <v>1.4949</v>
      </c>
    </row>
    <row r="8818">
      <c r="A8818" t="n">
        <v>1.4323</v>
      </c>
      <c r="B8818" t="n">
        <v>1.5988</v>
      </c>
      <c r="C8818" t="n">
        <v>1.8042</v>
      </c>
    </row>
    <row r="8819">
      <c r="A8819" t="n">
        <v>1.4108</v>
      </c>
      <c r="B8819" t="n">
        <v>1.4384</v>
      </c>
      <c r="C8819" t="n">
        <v>1.4645</v>
      </c>
    </row>
    <row r="8820">
      <c r="A8820" t="n">
        <v>1.4276</v>
      </c>
      <c r="B8820" t="n">
        <v>1.446</v>
      </c>
      <c r="C8820" t="n">
        <v>1.469</v>
      </c>
    </row>
    <row r="8821">
      <c r="A8821" t="n">
        <v>1.7157</v>
      </c>
      <c r="B8821" t="n">
        <v>1.7063</v>
      </c>
      <c r="C8821" t="n">
        <v>1.6212</v>
      </c>
    </row>
    <row r="8822">
      <c r="A8822" t="n">
        <v>1.6994</v>
      </c>
      <c r="B8822" t="n">
        <v>1.6794</v>
      </c>
      <c r="C8822" t="n">
        <v>1.4885</v>
      </c>
    </row>
    <row r="8823">
      <c r="A8823" t="n">
        <v>1.4708</v>
      </c>
      <c r="B8823" t="n">
        <v>1.5651</v>
      </c>
      <c r="C8823" t="n">
        <v>1.4711</v>
      </c>
    </row>
    <row r="8824">
      <c r="A8824" t="n">
        <v>1.4602</v>
      </c>
      <c r="B8824" t="n">
        <v>1.4229</v>
      </c>
      <c r="C8824" t="n">
        <v>1.4302</v>
      </c>
    </row>
    <row r="8825">
      <c r="A8825" t="n">
        <v>1.4167</v>
      </c>
      <c r="B8825" t="n">
        <v>1.4245</v>
      </c>
      <c r="C8825" t="n">
        <v>1.6565</v>
      </c>
    </row>
    <row r="8826">
      <c r="A8826" t="n">
        <v>1.6505</v>
      </c>
      <c r="B8826" t="n">
        <v>1.3845</v>
      </c>
      <c r="C8826" t="n">
        <v>1.7684</v>
      </c>
    </row>
    <row r="8827">
      <c r="A8827" t="n">
        <v>1.8187</v>
      </c>
      <c r="B8827" t="n">
        <v>1.4227</v>
      </c>
      <c r="C8827" t="n">
        <v>1.4837</v>
      </c>
    </row>
    <row r="8828">
      <c r="A8828" t="n">
        <v>1.4759</v>
      </c>
      <c r="B8828" t="n">
        <v>1.4771</v>
      </c>
      <c r="C8828" t="n">
        <v>1.4394</v>
      </c>
    </row>
    <row r="8829">
      <c r="A8829" t="n">
        <v>1.4552</v>
      </c>
      <c r="B8829" t="n">
        <v>1.4557</v>
      </c>
      <c r="C8829" t="n">
        <v>1.4496</v>
      </c>
    </row>
    <row r="8830">
      <c r="A8830" t="n">
        <v>1.436</v>
      </c>
      <c r="B8830" t="n">
        <v>1.6581</v>
      </c>
      <c r="C8830" t="n">
        <v>1.611</v>
      </c>
    </row>
    <row r="8831">
      <c r="A8831" t="n">
        <v>1.6187</v>
      </c>
      <c r="B8831" t="n">
        <v>1.6948</v>
      </c>
      <c r="C8831" t="n">
        <v>1.844</v>
      </c>
    </row>
    <row r="8832">
      <c r="A8832" t="n">
        <v>1.7602</v>
      </c>
      <c r="B8832" t="n">
        <v>1.4766</v>
      </c>
      <c r="C8832" t="n">
        <v>1.5198</v>
      </c>
    </row>
    <row r="8833">
      <c r="A8833" t="n">
        <v>1.5033</v>
      </c>
      <c r="B8833" t="n">
        <v>1.4524</v>
      </c>
      <c r="C8833" t="n">
        <v>1.4344</v>
      </c>
    </row>
    <row r="8834">
      <c r="A8834" t="n">
        <v>1.7451</v>
      </c>
      <c r="B8834" t="n">
        <v>1.7781</v>
      </c>
      <c r="C8834" t="n">
        <v>1.4383</v>
      </c>
    </row>
    <row r="8835">
      <c r="A8835" t="n">
        <v>1.6527</v>
      </c>
      <c r="B8835" t="n">
        <v>1.4136</v>
      </c>
      <c r="C8835" t="n">
        <v>1.6343</v>
      </c>
    </row>
    <row r="8836">
      <c r="A8836" t="n">
        <v>1.5144</v>
      </c>
      <c r="B8836" t="n">
        <v>1.4251</v>
      </c>
      <c r="C8836" t="n">
        <v>1.679</v>
      </c>
    </row>
    <row r="8837">
      <c r="A8837" t="n">
        <v>1.7325</v>
      </c>
      <c r="B8837" t="n">
        <v>1.4562</v>
      </c>
      <c r="C8837" t="n">
        <v>1.4985</v>
      </c>
    </row>
    <row r="8838">
      <c r="A8838" t="n">
        <v>1.6865</v>
      </c>
      <c r="B8838" t="n">
        <v>1.4706</v>
      </c>
      <c r="C8838" t="n">
        <v>1.4516</v>
      </c>
    </row>
    <row r="8839">
      <c r="A8839" t="n">
        <v>1.5319</v>
      </c>
      <c r="B8839" t="n">
        <v>1.455</v>
      </c>
      <c r="C8839" t="n">
        <v>1.4329</v>
      </c>
    </row>
    <row r="8840">
      <c r="A8840" t="n">
        <v>1.6008</v>
      </c>
      <c r="B8840" t="n">
        <v>1.4559</v>
      </c>
      <c r="C8840" t="n">
        <v>1.6187</v>
      </c>
    </row>
    <row r="8841">
      <c r="A8841" t="n">
        <v>1.5074</v>
      </c>
      <c r="B8841" t="n">
        <v>1.4435</v>
      </c>
      <c r="C8841" t="n">
        <v>1.5342</v>
      </c>
    </row>
    <row r="8842">
      <c r="A8842" t="n">
        <v>1.4239</v>
      </c>
      <c r="B8842" t="n">
        <v>1.4799</v>
      </c>
      <c r="C8842" t="n">
        <v>1.6454</v>
      </c>
    </row>
    <row r="8843">
      <c r="A8843" t="n">
        <v>1.3934</v>
      </c>
      <c r="B8843" t="n">
        <v>1.6901</v>
      </c>
      <c r="C8843" t="n">
        <v>1.5012</v>
      </c>
    </row>
    <row r="8844">
      <c r="A8844" t="n">
        <v>1.4752</v>
      </c>
      <c r="B8844" t="n">
        <v>1.6513</v>
      </c>
      <c r="C8844" t="n">
        <v>1.4557</v>
      </c>
    </row>
    <row r="8845">
      <c r="A8845" t="n">
        <v>1.4609</v>
      </c>
      <c r="B8845" t="n">
        <v>1.532</v>
      </c>
      <c r="C8845" t="n">
        <v>1.4097</v>
      </c>
    </row>
    <row r="8846">
      <c r="A8846" t="n">
        <v>1.3989</v>
      </c>
      <c r="B8846" t="n">
        <v>1.465</v>
      </c>
      <c r="C8846" t="n">
        <v>1.4548</v>
      </c>
    </row>
    <row r="8847">
      <c r="A8847" t="n">
        <v>1.4696</v>
      </c>
      <c r="B8847" t="n">
        <v>1.4079</v>
      </c>
      <c r="C8847" t="n">
        <v>1.6561</v>
      </c>
    </row>
    <row r="8848">
      <c r="A8848" t="n">
        <v>1.6284</v>
      </c>
      <c r="B8848" t="n">
        <v>1.6568</v>
      </c>
      <c r="C8848" t="n">
        <v>1.5044</v>
      </c>
    </row>
    <row r="8849">
      <c r="A8849" t="n">
        <v>1.4791</v>
      </c>
      <c r="B8849" t="n">
        <v>1.6813</v>
      </c>
      <c r="C8849" t="n">
        <v>1.7293</v>
      </c>
    </row>
    <row r="8850">
      <c r="A8850" t="n">
        <v>1.4577</v>
      </c>
      <c r="B8850" t="n">
        <v>1.4774</v>
      </c>
      <c r="C8850" t="n">
        <v>2.0552</v>
      </c>
    </row>
    <row r="8851">
      <c r="A8851" t="n">
        <v>1.4174</v>
      </c>
      <c r="B8851" t="n">
        <v>1.43</v>
      </c>
      <c r="C8851" t="n">
        <v>1.7101</v>
      </c>
    </row>
    <row r="8852">
      <c r="A8852" t="n">
        <v>1.4223</v>
      </c>
      <c r="B8852" t="n">
        <v>1.4446</v>
      </c>
      <c r="C8852" t="n">
        <v>1.5759</v>
      </c>
    </row>
    <row r="8853">
      <c r="A8853" t="n">
        <v>1.457</v>
      </c>
      <c r="B8853" t="n">
        <v>1.5918</v>
      </c>
      <c r="C8853" t="n">
        <v>1.4895</v>
      </c>
    </row>
    <row r="8854">
      <c r="A8854" t="n">
        <v>1.6779</v>
      </c>
      <c r="B8854" t="n">
        <v>1.5388</v>
      </c>
      <c r="C8854" t="n">
        <v>1.4392</v>
      </c>
    </row>
    <row r="8855">
      <c r="A8855" t="n">
        <v>1.7442</v>
      </c>
      <c r="B8855" t="n">
        <v>1.6775</v>
      </c>
      <c r="C8855" t="n">
        <v>1.4397</v>
      </c>
    </row>
    <row r="8856">
      <c r="A8856" t="n">
        <v>1.5724</v>
      </c>
      <c r="B8856" t="n">
        <v>1.4989</v>
      </c>
      <c r="C8856" t="n">
        <v>1.7593</v>
      </c>
    </row>
    <row r="8857">
      <c r="A8857" t="n">
        <v>1.4931</v>
      </c>
      <c r="B8857" t="n">
        <v>1.4868</v>
      </c>
      <c r="C8857" t="n">
        <v>1.4646</v>
      </c>
    </row>
    <row r="8858">
      <c r="A8858" t="n">
        <v>1.4071</v>
      </c>
      <c r="B8858" t="n">
        <v>1.4149</v>
      </c>
      <c r="C8858" t="n">
        <v>1.4249</v>
      </c>
    </row>
    <row r="8859">
      <c r="A8859" t="n">
        <v>1.3866</v>
      </c>
      <c r="B8859" t="n">
        <v>1.4307</v>
      </c>
      <c r="C8859" t="n">
        <v>1.4625</v>
      </c>
    </row>
    <row r="8860">
      <c r="A8860" t="n">
        <v>1.4696</v>
      </c>
      <c r="B8860" t="n">
        <v>1.6486</v>
      </c>
      <c r="C8860" t="n">
        <v>1.6483</v>
      </c>
    </row>
    <row r="8861">
      <c r="A8861" t="n">
        <v>1.6277</v>
      </c>
      <c r="B8861" t="n">
        <v>1.514</v>
      </c>
      <c r="C8861" t="n">
        <v>1.8455</v>
      </c>
    </row>
    <row r="8862">
      <c r="A8862" t="n">
        <v>1.5024</v>
      </c>
      <c r="B8862" t="n">
        <v>1.6537</v>
      </c>
      <c r="C8862" t="n">
        <v>1.5207</v>
      </c>
    </row>
    <row r="8863">
      <c r="A8863" t="n">
        <v>1.441</v>
      </c>
      <c r="B8863" t="n">
        <v>1.8187</v>
      </c>
      <c r="C8863" t="n">
        <v>1.4409</v>
      </c>
    </row>
    <row r="8864">
      <c r="A8864" t="n">
        <v>1.4166</v>
      </c>
      <c r="B8864" t="n">
        <v>1.5245</v>
      </c>
      <c r="C8864" t="n">
        <v>1.463</v>
      </c>
    </row>
    <row r="8865">
      <c r="A8865" t="n">
        <v>1.4331</v>
      </c>
      <c r="B8865" t="n">
        <v>1.5793</v>
      </c>
      <c r="C8865" t="n">
        <v>1.6567</v>
      </c>
    </row>
    <row r="8866">
      <c r="A8866" t="n">
        <v>1.7506</v>
      </c>
      <c r="B8866" t="n">
        <v>1.82</v>
      </c>
      <c r="C8866" t="n">
        <v>1.715</v>
      </c>
    </row>
    <row r="8867">
      <c r="A8867" t="n">
        <v>1.4189</v>
      </c>
      <c r="B8867" t="n">
        <v>1.4502</v>
      </c>
      <c r="C8867" t="n">
        <v>1.5276</v>
      </c>
    </row>
    <row r="8868">
      <c r="A8868" t="n">
        <v>1.6337</v>
      </c>
      <c r="B8868" t="n">
        <v>1.639</v>
      </c>
      <c r="C8868" t="n">
        <v>1.4796</v>
      </c>
    </row>
    <row r="8869">
      <c r="A8869" t="n">
        <v>1.4932</v>
      </c>
      <c r="B8869" t="n">
        <v>1.6704</v>
      </c>
      <c r="C8869" t="n">
        <v>1.4315</v>
      </c>
    </row>
    <row r="8870">
      <c r="A8870" t="n">
        <v>1.4331</v>
      </c>
      <c r="B8870" t="n">
        <v>1.4789</v>
      </c>
      <c r="C8870" t="n">
        <v>1.6529</v>
      </c>
    </row>
    <row r="8871">
      <c r="A8871" t="n">
        <v>1.448</v>
      </c>
      <c r="B8871" t="n">
        <v>1.4293</v>
      </c>
      <c r="C8871" t="n">
        <v>1.7339</v>
      </c>
    </row>
    <row r="8872">
      <c r="A8872" t="n">
        <v>1.7101</v>
      </c>
      <c r="B8872" t="n">
        <v>1.4499</v>
      </c>
      <c r="C8872" t="n">
        <v>1.481</v>
      </c>
    </row>
    <row r="8873">
      <c r="A8873" t="n">
        <v>1.6596</v>
      </c>
      <c r="B8873" t="n">
        <v>1.6654</v>
      </c>
      <c r="C8873" t="n">
        <v>1.4723</v>
      </c>
    </row>
    <row r="8874">
      <c r="A8874" t="n">
        <v>1.4941</v>
      </c>
      <c r="B8874" t="n">
        <v>1.7677</v>
      </c>
      <c r="C8874" t="n">
        <v>1.4795</v>
      </c>
    </row>
    <row r="8875">
      <c r="A8875" t="n">
        <v>1.4446</v>
      </c>
      <c r="B8875" t="n">
        <v>1.4921</v>
      </c>
      <c r="C8875" t="n">
        <v>1.6237</v>
      </c>
    </row>
    <row r="8876">
      <c r="A8876" t="n">
        <v>1.4059</v>
      </c>
      <c r="B8876" t="n">
        <v>1.4674</v>
      </c>
      <c r="C8876" t="n">
        <v>1.8128</v>
      </c>
    </row>
    <row r="8877">
      <c r="A8877" t="n">
        <v>1.6092</v>
      </c>
      <c r="B8877" t="n">
        <v>1.4341</v>
      </c>
      <c r="C8877" t="n">
        <v>1.4889</v>
      </c>
    </row>
    <row r="8878">
      <c r="A8878" t="n">
        <v>1.5035</v>
      </c>
      <c r="B8878" t="n">
        <v>1.617</v>
      </c>
      <c r="C8878" t="n">
        <v>1.4447</v>
      </c>
    </row>
    <row r="8879">
      <c r="A8879" t="n">
        <v>1.6478</v>
      </c>
      <c r="B8879" t="n">
        <v>1.6159</v>
      </c>
      <c r="C8879" t="n">
        <v>1.4811</v>
      </c>
    </row>
    <row r="8880">
      <c r="A8880" t="n">
        <v>1.5038</v>
      </c>
      <c r="B8880" t="n">
        <v>1.4215</v>
      </c>
      <c r="C8880" t="n">
        <v>1.736</v>
      </c>
    </row>
    <row r="8881">
      <c r="A8881" t="n">
        <v>1.4435</v>
      </c>
      <c r="B8881" t="n">
        <v>1.4467</v>
      </c>
      <c r="C8881" t="n">
        <v>1.671</v>
      </c>
    </row>
    <row r="8882">
      <c r="A8882" t="n">
        <v>1.375</v>
      </c>
      <c r="B8882" t="n">
        <v>1.4223</v>
      </c>
      <c r="C8882" t="n">
        <v>2.076</v>
      </c>
    </row>
    <row r="8883">
      <c r="A8883" t="n">
        <v>1.4143</v>
      </c>
      <c r="B8883" t="n">
        <v>1.4209</v>
      </c>
      <c r="C8883" t="n">
        <v>1.7718</v>
      </c>
    </row>
    <row r="8884">
      <c r="A8884" t="n">
        <v>1.4404</v>
      </c>
      <c r="B8884" t="n">
        <v>1.4308</v>
      </c>
      <c r="C8884" t="n">
        <v>1.4776</v>
      </c>
    </row>
    <row r="8885">
      <c r="A8885" t="n">
        <v>1.6971</v>
      </c>
      <c r="B8885" t="n">
        <v>1.4396</v>
      </c>
      <c r="C8885" t="n">
        <v>1.4789</v>
      </c>
    </row>
    <row r="8886">
      <c r="A8886" t="n">
        <v>1.6956</v>
      </c>
      <c r="B8886" t="n">
        <v>1.6767</v>
      </c>
      <c r="C8886" t="n">
        <v>1.4903</v>
      </c>
    </row>
    <row r="8887">
      <c r="A8887" t="n">
        <v>1.4945</v>
      </c>
      <c r="B8887" t="n">
        <v>1.6672</v>
      </c>
      <c r="C8887" t="n">
        <v>1.6357</v>
      </c>
    </row>
    <row r="8888">
      <c r="A8888" t="n">
        <v>1.4099</v>
      </c>
      <c r="B8888" t="n">
        <v>1.4781</v>
      </c>
      <c r="C8888" t="n">
        <v>1.7116</v>
      </c>
    </row>
    <row r="8889">
      <c r="A8889" t="n">
        <v>1.4207</v>
      </c>
      <c r="B8889" t="n">
        <v>1.4392</v>
      </c>
      <c r="C8889" t="n">
        <v>1.5133</v>
      </c>
    </row>
    <row r="8890">
      <c r="A8890" t="n">
        <v>1.6034</v>
      </c>
      <c r="B8890" t="n">
        <v>1.4506</v>
      </c>
      <c r="C8890" t="n">
        <v>1.4341</v>
      </c>
    </row>
    <row r="8891">
      <c r="A8891" t="n">
        <v>1.7966</v>
      </c>
      <c r="B8891" t="n">
        <v>1.667</v>
      </c>
      <c r="C8891" t="n">
        <v>1.4704</v>
      </c>
    </row>
    <row r="8892">
      <c r="A8892" t="n">
        <v>1.4765</v>
      </c>
      <c r="B8892" t="n">
        <v>1.5593</v>
      </c>
      <c r="C8892" t="n">
        <v>1.6591</v>
      </c>
    </row>
    <row r="8893">
      <c r="A8893" t="n">
        <v>1.4411</v>
      </c>
      <c r="B8893" t="n">
        <v>1.4326</v>
      </c>
      <c r="C8893" t="n">
        <v>1.7145</v>
      </c>
    </row>
    <row r="8894">
      <c r="A8894" t="n">
        <v>1.4219</v>
      </c>
      <c r="B8894" t="n">
        <v>1.4203</v>
      </c>
      <c r="C8894" t="n">
        <v>1.5026</v>
      </c>
    </row>
    <row r="8895">
      <c r="A8895" t="n">
        <v>1.5938</v>
      </c>
      <c r="B8895" t="n">
        <v>1.3929</v>
      </c>
      <c r="C8895" t="n">
        <v>1.4362</v>
      </c>
    </row>
    <row r="8896">
      <c r="A8896" t="n">
        <v>1.5185</v>
      </c>
      <c r="B8896" t="n">
        <v>1.4564</v>
      </c>
      <c r="C8896" t="n">
        <v>1.421</v>
      </c>
    </row>
    <row r="8897">
      <c r="A8897" t="n">
        <v>1.604</v>
      </c>
      <c r="B8897" t="n">
        <v>1.4905</v>
      </c>
      <c r="C8897" t="n">
        <v>1.652</v>
      </c>
    </row>
    <row r="8898">
      <c r="A8898" t="n">
        <v>1.8366</v>
      </c>
      <c r="B8898" t="n">
        <v>1.7667</v>
      </c>
      <c r="C8898" t="n">
        <v>1.7875</v>
      </c>
    </row>
    <row r="8899">
      <c r="A8899" t="n">
        <v>1.4654</v>
      </c>
      <c r="B8899" t="n">
        <v>1.4918</v>
      </c>
      <c r="C8899" t="n">
        <v>1.4861</v>
      </c>
    </row>
    <row r="8900">
      <c r="A8900" t="n">
        <v>1.6382</v>
      </c>
      <c r="B8900" t="n">
        <v>1.6906</v>
      </c>
      <c r="C8900" t="n">
        <v>1.4519</v>
      </c>
    </row>
    <row r="8901">
      <c r="A8901" t="n">
        <v>1.6911</v>
      </c>
      <c r="B8901" t="n">
        <v>1.4837</v>
      </c>
      <c r="C8901" t="n">
        <v>1.4654</v>
      </c>
    </row>
    <row r="8902">
      <c r="A8902" t="n">
        <v>1.4914</v>
      </c>
      <c r="B8902" t="n">
        <v>1.479</v>
      </c>
      <c r="C8902" t="n">
        <v>1.6358</v>
      </c>
    </row>
    <row r="8903">
      <c r="A8903" t="n">
        <v>1.4214</v>
      </c>
      <c r="B8903" t="n">
        <v>1.4685</v>
      </c>
      <c r="C8903" t="n">
        <v>1.7865</v>
      </c>
    </row>
    <row r="8904">
      <c r="A8904" t="n">
        <v>1.4325</v>
      </c>
      <c r="B8904" t="n">
        <v>1.4009</v>
      </c>
      <c r="C8904" t="n">
        <v>1.5302</v>
      </c>
    </row>
    <row r="8905">
      <c r="A8905" t="n">
        <v>1.6223</v>
      </c>
      <c r="B8905" t="n">
        <v>1.455</v>
      </c>
      <c r="C8905" t="n">
        <v>1.4414</v>
      </c>
    </row>
    <row r="8906">
      <c r="A8906" t="n">
        <v>1.5328</v>
      </c>
      <c r="B8906" t="n">
        <v>1.6311</v>
      </c>
      <c r="C8906" t="n">
        <v>1.4697</v>
      </c>
    </row>
    <row r="8907">
      <c r="A8907" t="n">
        <v>1.6493</v>
      </c>
      <c r="B8907" t="n">
        <v>1.4717</v>
      </c>
      <c r="C8907" t="n">
        <v>1.6267</v>
      </c>
    </row>
    <row r="8908">
      <c r="A8908" t="n">
        <v>1.4999</v>
      </c>
      <c r="B8908" t="n">
        <v>1.4705</v>
      </c>
      <c r="C8908" t="n">
        <v>1.8723</v>
      </c>
    </row>
    <row r="8909">
      <c r="A8909" t="n">
        <v>1.435</v>
      </c>
      <c r="B8909" t="n">
        <v>1.4403</v>
      </c>
      <c r="C8909" t="n">
        <v>1.4872</v>
      </c>
    </row>
    <row r="8910">
      <c r="A8910" t="n">
        <v>1.6122</v>
      </c>
      <c r="B8910" t="n">
        <v>1.4242</v>
      </c>
      <c r="C8910" t="n">
        <v>1.4596</v>
      </c>
    </row>
    <row r="8911">
      <c r="A8911" t="n">
        <v>1.5295</v>
      </c>
      <c r="B8911" t="n">
        <v>1.4637</v>
      </c>
      <c r="C8911" t="n">
        <v>1.4336</v>
      </c>
    </row>
    <row r="8912">
      <c r="A8912" t="n">
        <v>1.5941</v>
      </c>
      <c r="B8912" t="n">
        <v>1.4302</v>
      </c>
      <c r="C8912" t="n">
        <v>1.6703</v>
      </c>
    </row>
    <row r="8913">
      <c r="A8913" t="n">
        <v>1.505</v>
      </c>
      <c r="B8913" t="n">
        <v>1.4683</v>
      </c>
      <c r="C8913" t="n">
        <v>1.6892</v>
      </c>
    </row>
    <row r="8914">
      <c r="A8914" t="n">
        <v>1.4264</v>
      </c>
      <c r="B8914" t="n">
        <v>1.7447</v>
      </c>
      <c r="C8914" t="n">
        <v>2.0057</v>
      </c>
    </row>
    <row r="8915">
      <c r="A8915" t="n">
        <v>1.3905</v>
      </c>
      <c r="B8915" t="n">
        <v>1.4813</v>
      </c>
      <c r="C8915" t="n">
        <v>1.5583</v>
      </c>
    </row>
    <row r="8916">
      <c r="A8916" t="n">
        <v>1.456</v>
      </c>
      <c r="B8916" t="n">
        <v>1.4383</v>
      </c>
      <c r="C8916" t="n">
        <v>1.6492</v>
      </c>
    </row>
    <row r="8917">
      <c r="A8917" t="n">
        <v>1.426</v>
      </c>
      <c r="B8917" t="n">
        <v>1.7453</v>
      </c>
      <c r="C8917" t="n">
        <v>1.4777</v>
      </c>
    </row>
    <row r="8918">
      <c r="A8918" t="n">
        <v>1.5798</v>
      </c>
      <c r="B8918" t="n">
        <v>1.7397</v>
      </c>
      <c r="C8918" t="n">
        <v>1.4654</v>
      </c>
    </row>
    <row r="8919">
      <c r="A8919" t="n">
        <v>1.8233</v>
      </c>
      <c r="B8919" t="n">
        <v>1.4942</v>
      </c>
      <c r="C8919" t="n">
        <v>1.6354</v>
      </c>
    </row>
    <row r="8920">
      <c r="A8920" t="n">
        <v>1.4924</v>
      </c>
      <c r="B8920" t="n">
        <v>1.4371</v>
      </c>
      <c r="C8920" t="n">
        <v>1.5271</v>
      </c>
    </row>
    <row r="8921">
      <c r="A8921" t="n">
        <v>1.4306</v>
      </c>
      <c r="B8921" t="n">
        <v>1.4531</v>
      </c>
      <c r="C8921" t="n">
        <v>1.6274</v>
      </c>
    </row>
    <row r="8922">
      <c r="A8922" t="n">
        <v>1.4503</v>
      </c>
      <c r="B8922" t="n">
        <v>1.619</v>
      </c>
      <c r="C8922" t="n">
        <v>1.4988</v>
      </c>
    </row>
    <row r="8923">
      <c r="A8923" t="n">
        <v>1.6823</v>
      </c>
      <c r="B8923" t="n">
        <v>1.6092</v>
      </c>
      <c r="C8923" t="n">
        <v>1.4342</v>
      </c>
    </row>
    <row r="8924">
      <c r="A8924" t="n">
        <v>1.7483</v>
      </c>
      <c r="B8924" t="n">
        <v>1.4717</v>
      </c>
      <c r="C8924" t="n">
        <v>1.4148</v>
      </c>
    </row>
    <row r="8925">
      <c r="A8925" t="n">
        <v>1.5016</v>
      </c>
      <c r="B8925" t="n">
        <v>1.4485</v>
      </c>
      <c r="C8925" t="n">
        <v>1.4532</v>
      </c>
    </row>
    <row r="8926">
      <c r="A8926" t="n">
        <v>1.4436</v>
      </c>
      <c r="B8926" t="n">
        <v>1.4218</v>
      </c>
      <c r="C8926" t="n">
        <v>1.4438</v>
      </c>
    </row>
    <row r="8927">
      <c r="A8927" t="n">
        <v>1.4151</v>
      </c>
      <c r="B8927" t="n">
        <v>1.4606</v>
      </c>
      <c r="C8927" t="n">
        <v>1.6776</v>
      </c>
    </row>
    <row r="8928">
      <c r="A8928" t="n">
        <v>1.5899</v>
      </c>
      <c r="B8928" t="n">
        <v>1.4729</v>
      </c>
      <c r="C8928" t="n">
        <v>1.7316</v>
      </c>
    </row>
    <row r="8929">
      <c r="A8929" t="n">
        <v>1.5424</v>
      </c>
      <c r="B8929" t="n">
        <v>1.4916</v>
      </c>
      <c r="C8929" t="n">
        <v>1.4927</v>
      </c>
    </row>
    <row r="8930">
      <c r="A8930" t="n">
        <v>1.9816</v>
      </c>
      <c r="B8930" t="n">
        <v>1.8023</v>
      </c>
      <c r="C8930" t="n">
        <v>1.4494</v>
      </c>
    </row>
    <row r="8931">
      <c r="A8931" t="n">
        <v>1.7258</v>
      </c>
      <c r="B8931" t="n">
        <v>1.8368</v>
      </c>
      <c r="C8931" t="n">
        <v>1.5034</v>
      </c>
    </row>
    <row r="8932">
      <c r="A8932" t="n">
        <v>1.6955</v>
      </c>
      <c r="B8932" t="n">
        <v>1.6895</v>
      </c>
      <c r="C8932" t="n">
        <v>1.652</v>
      </c>
    </row>
    <row r="8933">
      <c r="A8933" t="n">
        <v>1.4897</v>
      </c>
      <c r="B8933" t="n">
        <v>1.5989</v>
      </c>
      <c r="C8933" t="n">
        <v>1.757</v>
      </c>
    </row>
    <row r="8934">
      <c r="A8934" t="n">
        <v>1.4277</v>
      </c>
      <c r="B8934" t="n">
        <v>1.4099</v>
      </c>
      <c r="C8934" t="n">
        <v>1.7907</v>
      </c>
    </row>
    <row r="8935">
      <c r="A8935" t="n">
        <v>1.4469</v>
      </c>
      <c r="B8935" t="n">
        <v>1.4633</v>
      </c>
      <c r="C8935" t="n">
        <v>1.5049</v>
      </c>
    </row>
    <row r="8936">
      <c r="A8936" t="n">
        <v>1.4372</v>
      </c>
      <c r="B8936" t="n">
        <v>1.4256</v>
      </c>
      <c r="C8936" t="n">
        <v>1.6481</v>
      </c>
    </row>
    <row r="8937">
      <c r="A8937" t="n">
        <v>1.4554</v>
      </c>
      <c r="B8937" t="n">
        <v>1.4224</v>
      </c>
      <c r="C8937" t="n">
        <v>1.4896</v>
      </c>
    </row>
    <row r="8938">
      <c r="A8938" t="n">
        <v>1.7109</v>
      </c>
      <c r="B8938" t="n">
        <v>1.4689</v>
      </c>
      <c r="C8938" t="n">
        <v>1.4244</v>
      </c>
    </row>
    <row r="8939">
      <c r="A8939" t="n">
        <v>1.7043</v>
      </c>
      <c r="B8939" t="n">
        <v>1.4601</v>
      </c>
      <c r="C8939" t="n">
        <v>1.4399</v>
      </c>
    </row>
    <row r="8940">
      <c r="A8940" t="n">
        <v>1.4749</v>
      </c>
      <c r="B8940" t="n">
        <v>1.695</v>
      </c>
      <c r="C8940" t="n">
        <v>1.4433</v>
      </c>
    </row>
    <row r="8941">
      <c r="A8941" t="n">
        <v>1.4351</v>
      </c>
      <c r="B8941" t="n">
        <v>1.7261</v>
      </c>
      <c r="C8941" t="n">
        <v>1.4291</v>
      </c>
    </row>
    <row r="8942">
      <c r="A8942" t="n">
        <v>1.4155</v>
      </c>
      <c r="B8942" t="n">
        <v>1.4943</v>
      </c>
      <c r="C8942" t="n">
        <v>1.6804</v>
      </c>
    </row>
    <row r="8943">
      <c r="A8943" t="n">
        <v>1.6262</v>
      </c>
      <c r="B8943" t="n">
        <v>1.4557</v>
      </c>
      <c r="C8943" t="n">
        <v>1.7752</v>
      </c>
    </row>
    <row r="8944">
      <c r="A8944" t="n">
        <v>1.8624</v>
      </c>
      <c r="B8944" t="n">
        <v>1.449</v>
      </c>
      <c r="C8944" t="n">
        <v>1.7515</v>
      </c>
    </row>
    <row r="8945">
      <c r="A8945" t="n">
        <v>1.4715</v>
      </c>
      <c r="B8945" t="n">
        <v>1.6492</v>
      </c>
      <c r="C8945" t="n">
        <v>1.542</v>
      </c>
    </row>
    <row r="8946">
      <c r="A8946" t="n">
        <v>1.4326</v>
      </c>
      <c r="B8946" t="n">
        <v>1.7965</v>
      </c>
      <c r="C8946" t="n">
        <v>1.9725</v>
      </c>
    </row>
    <row r="8947">
      <c r="A8947" t="n">
        <v>1.4376</v>
      </c>
      <c r="B8947" t="n">
        <v>1.4994</v>
      </c>
      <c r="C8947" t="n">
        <v>1.4921</v>
      </c>
    </row>
    <row r="8948">
      <c r="A8948" t="n">
        <v>1.5866</v>
      </c>
      <c r="B8948" t="n">
        <v>1.4359</v>
      </c>
      <c r="C8948" t="n">
        <v>1.472</v>
      </c>
    </row>
    <row r="8949">
      <c r="A8949" t="n">
        <v>1.5305</v>
      </c>
      <c r="B8949" t="n">
        <v>1.4252</v>
      </c>
      <c r="C8949" t="n">
        <v>1.6711</v>
      </c>
    </row>
    <row r="8950">
      <c r="A8950" t="n">
        <v>1.6634</v>
      </c>
      <c r="B8950" t="n">
        <v>1.6451</v>
      </c>
      <c r="C8950" t="n">
        <v>1.6839</v>
      </c>
    </row>
    <row r="8951">
      <c r="A8951" t="n">
        <v>1.4779</v>
      </c>
      <c r="B8951" t="n">
        <v>1.7057</v>
      </c>
      <c r="C8951" t="n">
        <v>1.5047</v>
      </c>
    </row>
    <row r="8952">
      <c r="A8952" t="n">
        <v>1.4942</v>
      </c>
      <c r="B8952" t="n">
        <v>1.48</v>
      </c>
      <c r="C8952" t="n">
        <v>1.4631</v>
      </c>
    </row>
    <row r="8953">
      <c r="A8953" t="n">
        <v>1.6787</v>
      </c>
      <c r="B8953" t="n">
        <v>1.4629</v>
      </c>
      <c r="C8953" t="n">
        <v>1.4297</v>
      </c>
    </row>
    <row r="8954">
      <c r="A8954" t="n">
        <v>1.5181</v>
      </c>
      <c r="B8954" t="n">
        <v>1.465</v>
      </c>
      <c r="C8954" t="n">
        <v>1.6583</v>
      </c>
    </row>
    <row r="8955">
      <c r="A8955" t="n">
        <v>1.6424</v>
      </c>
      <c r="B8955" t="n">
        <v>1.5982</v>
      </c>
      <c r="C8955" t="n">
        <v>1.7059</v>
      </c>
    </row>
    <row r="8956">
      <c r="A8956" t="n">
        <v>1.4829</v>
      </c>
      <c r="B8956" t="n">
        <v>1.7918</v>
      </c>
      <c r="C8956" t="n">
        <v>1.483</v>
      </c>
    </row>
    <row r="8957">
      <c r="A8957" t="n">
        <v>1.419</v>
      </c>
      <c r="B8957" t="n">
        <v>1.5044</v>
      </c>
      <c r="C8957" t="n">
        <v>1.4491</v>
      </c>
    </row>
    <row r="8958">
      <c r="A8958" t="n">
        <v>1.6021</v>
      </c>
      <c r="B8958" t="n">
        <v>1.4242</v>
      </c>
      <c r="C8958" t="n">
        <v>1.4543</v>
      </c>
    </row>
    <row r="8959">
      <c r="A8959" t="n">
        <v>1.5172</v>
      </c>
      <c r="B8959" t="n">
        <v>1.442</v>
      </c>
      <c r="C8959" t="n">
        <v>1.5974</v>
      </c>
    </row>
    <row r="8960">
      <c r="A8960" t="n">
        <v>1.6372</v>
      </c>
      <c r="B8960" t="n">
        <v>1.6387</v>
      </c>
      <c r="C8960" t="n">
        <v>1.5484</v>
      </c>
    </row>
    <row r="8961">
      <c r="A8961" t="n">
        <v>1.5066</v>
      </c>
      <c r="B8961" t="n">
        <v>1.6013</v>
      </c>
      <c r="C8961" t="n">
        <v>1.6632</v>
      </c>
    </row>
    <row r="8962">
      <c r="A8962" t="n">
        <v>1.7541</v>
      </c>
      <c r="B8962" t="n">
        <v>1.7793</v>
      </c>
      <c r="C8962" t="n">
        <v>1.4651</v>
      </c>
    </row>
    <row r="8963">
      <c r="A8963" t="n">
        <v>1.5951</v>
      </c>
      <c r="B8963" t="n">
        <v>1.4791</v>
      </c>
      <c r="C8963" t="n">
        <v>1.4329</v>
      </c>
    </row>
    <row r="8964">
      <c r="A8964" t="n">
        <v>1.8104</v>
      </c>
      <c r="B8964" t="n">
        <v>1.4264</v>
      </c>
      <c r="C8964" t="n">
        <v>1.4073</v>
      </c>
    </row>
    <row r="8965">
      <c r="A8965" t="n">
        <v>1.502</v>
      </c>
      <c r="B8965" t="n">
        <v>1.663</v>
      </c>
      <c r="C8965" t="n">
        <v>1.4281</v>
      </c>
    </row>
    <row r="8966">
      <c r="A8966" t="n">
        <v>1.4527</v>
      </c>
      <c r="B8966" t="n">
        <v>1.7473</v>
      </c>
      <c r="C8966" t="n">
        <v>1.4775</v>
      </c>
    </row>
    <row r="8967">
      <c r="A8967" t="n">
        <v>1.4266</v>
      </c>
      <c r="B8967" t="n">
        <v>1.4866</v>
      </c>
      <c r="C8967" t="n">
        <v>1.4933</v>
      </c>
    </row>
    <row r="8968">
      <c r="A8968" t="n">
        <v>1.5839</v>
      </c>
      <c r="B8968" t="n">
        <v>1.4575</v>
      </c>
      <c r="C8968" t="n">
        <v>1.687</v>
      </c>
    </row>
    <row r="8969">
      <c r="A8969" t="n">
        <v>1.5227</v>
      </c>
      <c r="B8969" t="n">
        <v>1.4592</v>
      </c>
      <c r="C8969" t="n">
        <v>1.4936</v>
      </c>
    </row>
    <row r="8970">
      <c r="A8970" t="n">
        <v>1.6525</v>
      </c>
      <c r="B8970" t="n">
        <v>1.3773</v>
      </c>
      <c r="C8970" t="n">
        <v>1.4595</v>
      </c>
    </row>
    <row r="8971">
      <c r="A8971" t="n">
        <v>1.4798</v>
      </c>
      <c r="B8971" t="n">
        <v>1.4489</v>
      </c>
      <c r="C8971" t="n">
        <v>1.4306</v>
      </c>
    </row>
    <row r="8972">
      <c r="A8972" t="n">
        <v>1.4173</v>
      </c>
      <c r="B8972" t="n">
        <v>1.6263</v>
      </c>
      <c r="C8972" t="n">
        <v>1.6954</v>
      </c>
    </row>
    <row r="8973">
      <c r="A8973" t="n">
        <v>1.7322</v>
      </c>
      <c r="B8973" t="n">
        <v>1.4851</v>
      </c>
      <c r="C8973" t="n">
        <v>1.7396</v>
      </c>
    </row>
    <row r="8974">
      <c r="A8974" t="n">
        <v>1.5127</v>
      </c>
      <c r="B8974" t="n">
        <v>1.6241</v>
      </c>
      <c r="C8974" t="n">
        <v>1.4828</v>
      </c>
    </row>
    <row r="8975">
      <c r="A8975" t="n">
        <v>1.6275</v>
      </c>
      <c r="B8975" t="n">
        <v>1.6553</v>
      </c>
      <c r="C8975" t="n">
        <v>1.4494</v>
      </c>
    </row>
    <row r="8976">
      <c r="A8976" t="n">
        <v>1.467</v>
      </c>
      <c r="B8976" t="n">
        <v>1.5169</v>
      </c>
      <c r="C8976" t="n">
        <v>1.4468</v>
      </c>
    </row>
    <row r="8977">
      <c r="A8977" t="n">
        <v>1.437</v>
      </c>
      <c r="B8977" t="n">
        <v>1.6175</v>
      </c>
      <c r="C8977" t="n">
        <v>1.6258</v>
      </c>
    </row>
    <row r="8978">
      <c r="A8978" t="n">
        <v>1.3795</v>
      </c>
      <c r="B8978" t="n">
        <v>1.5039</v>
      </c>
      <c r="C8978" t="n">
        <v>1.8849</v>
      </c>
    </row>
    <row r="8979">
      <c r="A8979" t="n">
        <v>1.3962</v>
      </c>
      <c r="B8979" t="n">
        <v>1.3961</v>
      </c>
      <c r="C8979" t="n">
        <v>1.4674</v>
      </c>
    </row>
    <row r="8980">
      <c r="A8980" t="n">
        <v>1.447</v>
      </c>
      <c r="B8980" t="n">
        <v>1.4146</v>
      </c>
      <c r="C8980" t="n">
        <v>1.4223</v>
      </c>
    </row>
    <row r="8981">
      <c r="A8981" t="n">
        <v>1.3781</v>
      </c>
      <c r="B8981" t="n">
        <v>1.4454</v>
      </c>
      <c r="C8981" t="n">
        <v>1.4721</v>
      </c>
    </row>
    <row r="8982">
      <c r="A8982" t="n">
        <v>1.43</v>
      </c>
      <c r="B8982" t="n">
        <v>1.433</v>
      </c>
      <c r="C8982" t="n">
        <v>1.6429</v>
      </c>
    </row>
    <row r="8983">
      <c r="A8983" t="n">
        <v>1.615</v>
      </c>
      <c r="B8983" t="n">
        <v>1.6439</v>
      </c>
      <c r="C8983" t="n">
        <v>1.8519</v>
      </c>
    </row>
    <row r="8984">
      <c r="A8984" t="n">
        <v>1.475</v>
      </c>
      <c r="B8984" t="n">
        <v>1.7519</v>
      </c>
      <c r="C8984" t="n">
        <v>1.5012</v>
      </c>
    </row>
    <row r="8985">
      <c r="A8985" t="n">
        <v>1.7397</v>
      </c>
      <c r="B8985" t="n">
        <v>1.4567</v>
      </c>
      <c r="C8985" t="n">
        <v>1.4447</v>
      </c>
    </row>
    <row r="8986">
      <c r="A8986" t="n">
        <v>1.6584</v>
      </c>
      <c r="B8986" t="n">
        <v>1.439</v>
      </c>
      <c r="C8986" t="n">
        <v>1.4244</v>
      </c>
    </row>
    <row r="8987">
      <c r="A8987" t="n">
        <v>1.492</v>
      </c>
      <c r="B8987" t="n">
        <v>1.4362</v>
      </c>
      <c r="C8987" t="n">
        <v>1.6565</v>
      </c>
    </row>
    <row r="8988">
      <c r="A8988" t="n">
        <v>1.656</v>
      </c>
      <c r="B8988" t="n">
        <v>1.3778</v>
      </c>
      <c r="C8988" t="n">
        <v>1.7497</v>
      </c>
    </row>
    <row r="8989">
      <c r="A8989" t="n">
        <v>1.4927</v>
      </c>
      <c r="B8989" t="n">
        <v>1.4524</v>
      </c>
      <c r="C8989" t="n">
        <v>1.4895</v>
      </c>
    </row>
    <row r="8990">
      <c r="A8990" t="n">
        <v>1.3772</v>
      </c>
      <c r="B8990" t="n">
        <v>1.6467</v>
      </c>
      <c r="C8990" t="n">
        <v>1.4279</v>
      </c>
    </row>
    <row r="8991">
      <c r="A8991" t="n">
        <v>1.4075</v>
      </c>
      <c r="B8991" t="n">
        <v>1.4981</v>
      </c>
      <c r="C8991" t="n">
        <v>1.4428</v>
      </c>
    </row>
    <row r="8992">
      <c r="A8992" t="n">
        <v>1.4254</v>
      </c>
      <c r="B8992" t="n">
        <v>1.6549</v>
      </c>
      <c r="C8992" t="n">
        <v>1.3906</v>
      </c>
    </row>
    <row r="8993">
      <c r="A8993" t="n">
        <v>1.4471</v>
      </c>
      <c r="B8993" t="n">
        <v>1.762</v>
      </c>
      <c r="C8993" t="n">
        <v>1.4523</v>
      </c>
    </row>
    <row r="8994">
      <c r="A8994" t="n">
        <v>1.9804</v>
      </c>
      <c r="B8994" t="n">
        <v>2.0491</v>
      </c>
      <c r="C8994" t="n">
        <v>1.6564</v>
      </c>
    </row>
    <row r="8995">
      <c r="A8995" t="n">
        <v>1.7587</v>
      </c>
      <c r="B8995" t="n">
        <v>1.5055</v>
      </c>
      <c r="C8995" t="n">
        <v>1.5237</v>
      </c>
    </row>
    <row r="8996">
      <c r="A8996" t="n">
        <v>1.6503</v>
      </c>
      <c r="B8996" t="n">
        <v>1.4564</v>
      </c>
      <c r="C8996" t="n">
        <v>1.7032</v>
      </c>
    </row>
    <row r="8997">
      <c r="A8997" t="n">
        <v>1.5265</v>
      </c>
      <c r="B8997" t="n">
        <v>1.4303</v>
      </c>
      <c r="C8997" t="n">
        <v>1.662</v>
      </c>
    </row>
    <row r="8998">
      <c r="A8998" t="n">
        <v>1.6352</v>
      </c>
      <c r="B8998" t="n">
        <v>1.6381</v>
      </c>
      <c r="C8998" t="n">
        <v>1.5023</v>
      </c>
    </row>
    <row r="8999">
      <c r="A8999" t="n">
        <v>1.7464</v>
      </c>
      <c r="B8999" t="n">
        <v>1.6801</v>
      </c>
      <c r="C8999" t="n">
        <v>1.6557</v>
      </c>
    </row>
    <row r="9000">
      <c r="A9000" t="n">
        <v>1.5034</v>
      </c>
      <c r="B9000" t="n">
        <v>1.465</v>
      </c>
      <c r="C9000" t="n">
        <v>1.4854</v>
      </c>
    </row>
    <row r="9001">
      <c r="A9001" t="n">
        <v>1.6567</v>
      </c>
      <c r="B9001" t="n">
        <v>1.478</v>
      </c>
      <c r="C9001" t="n">
        <v>1.4138</v>
      </c>
    </row>
    <row r="9002">
      <c r="A9002" t="n">
        <v>1.7181</v>
      </c>
      <c r="B9002" t="n">
        <v>1.4369</v>
      </c>
      <c r="C9002" t="n">
        <v>1.4116</v>
      </c>
    </row>
    <row r="9003">
      <c r="A9003" t="n">
        <v>1.504</v>
      </c>
      <c r="B9003" t="n">
        <v>1.6091</v>
      </c>
      <c r="C9003" t="n">
        <v>1.4287</v>
      </c>
    </row>
    <row r="9004">
      <c r="A9004" t="n">
        <v>1.4476</v>
      </c>
      <c r="B9004" t="n">
        <v>1.6109</v>
      </c>
      <c r="C9004" t="n">
        <v>1.4351</v>
      </c>
    </row>
    <row r="9005">
      <c r="A9005" t="n">
        <v>1.4197</v>
      </c>
      <c r="B9005" t="n">
        <v>1.4542</v>
      </c>
      <c r="C9005" t="n">
        <v>1.7051</v>
      </c>
    </row>
    <row r="9006">
      <c r="A9006" t="n">
        <v>1.663</v>
      </c>
      <c r="B9006" t="n">
        <v>1.4268</v>
      </c>
      <c r="C9006" t="n">
        <v>1.7226</v>
      </c>
    </row>
    <row r="9007">
      <c r="A9007" t="n">
        <v>1.782</v>
      </c>
      <c r="B9007" t="n">
        <v>1.4192</v>
      </c>
      <c r="C9007" t="n">
        <v>1.4635</v>
      </c>
    </row>
    <row r="9008">
      <c r="A9008" t="n">
        <v>1.4644</v>
      </c>
      <c r="B9008" t="n">
        <v>1.4159</v>
      </c>
      <c r="C9008" t="n">
        <v>1.4359</v>
      </c>
    </row>
    <row r="9009">
      <c r="A9009" t="n">
        <v>1.4336</v>
      </c>
      <c r="B9009" t="n">
        <v>1.4339</v>
      </c>
      <c r="C9009" t="n">
        <v>1.4403</v>
      </c>
    </row>
    <row r="9010">
      <c r="A9010" t="n">
        <v>1.427</v>
      </c>
      <c r="B9010" t="n">
        <v>1.4186</v>
      </c>
      <c r="C9010" t="n">
        <v>1.9613</v>
      </c>
    </row>
    <row r="9011">
      <c r="A9011" t="n">
        <v>1.6078</v>
      </c>
      <c r="B9011" t="n">
        <v>1.6095</v>
      </c>
      <c r="C9011" t="n">
        <v>1.7074</v>
      </c>
    </row>
    <row r="9012">
      <c r="A9012" t="n">
        <v>1.8819</v>
      </c>
      <c r="B9012" t="n">
        <v>1.5584</v>
      </c>
      <c r="C9012" t="n">
        <v>1.6866</v>
      </c>
    </row>
    <row r="9013">
      <c r="A9013" t="n">
        <v>1.4824</v>
      </c>
      <c r="B9013" t="n">
        <v>1.4344</v>
      </c>
      <c r="C9013" t="n">
        <v>1.5144</v>
      </c>
    </row>
    <row r="9014">
      <c r="A9014" t="n">
        <v>1.4174</v>
      </c>
      <c r="B9014" t="n">
        <v>1.4414</v>
      </c>
      <c r="C9014" t="n">
        <v>1.6117</v>
      </c>
    </row>
    <row r="9015">
      <c r="A9015" t="n">
        <v>1.4478</v>
      </c>
      <c r="B9015" t="n">
        <v>1.399</v>
      </c>
      <c r="C9015" t="n">
        <v>1.4945</v>
      </c>
    </row>
    <row r="9016">
      <c r="A9016" t="n">
        <v>1.6161</v>
      </c>
      <c r="B9016" t="n">
        <v>1.4284</v>
      </c>
      <c r="C9016" t="n">
        <v>1.4122</v>
      </c>
    </row>
    <row r="9017">
      <c r="A9017" t="n">
        <v>1.569</v>
      </c>
      <c r="B9017" t="n">
        <v>1.4397</v>
      </c>
      <c r="C9017" t="n">
        <v>1.4116</v>
      </c>
    </row>
    <row r="9018">
      <c r="A9018" t="n">
        <v>1.4339</v>
      </c>
      <c r="B9018" t="n">
        <v>1.4352</v>
      </c>
      <c r="C9018" t="n">
        <v>1.4377</v>
      </c>
    </row>
    <row r="9019">
      <c r="A9019" t="n">
        <v>1.4276</v>
      </c>
      <c r="B9019" t="n">
        <v>1.6393</v>
      </c>
      <c r="C9019" t="n">
        <v>1.4413</v>
      </c>
    </row>
    <row r="9020">
      <c r="A9020" t="n">
        <v>1.4138</v>
      </c>
      <c r="B9020" t="n">
        <v>1.7334</v>
      </c>
      <c r="C9020" t="n">
        <v>1.6433</v>
      </c>
    </row>
    <row r="9021">
      <c r="A9021" t="n">
        <v>1.4186</v>
      </c>
      <c r="B9021" t="n">
        <v>1.4602</v>
      </c>
      <c r="C9021" t="n">
        <v>1.6905</v>
      </c>
    </row>
    <row r="9022">
      <c r="A9022" t="n">
        <v>1.45</v>
      </c>
      <c r="B9022" t="n">
        <v>1.4254</v>
      </c>
      <c r="C9022" t="n">
        <v>1.4694</v>
      </c>
    </row>
    <row r="9023">
      <c r="A9023" t="n">
        <v>1.4228</v>
      </c>
      <c r="B9023" t="n">
        <v>1.4272</v>
      </c>
      <c r="C9023" t="n">
        <v>1.4358</v>
      </c>
    </row>
    <row r="9024">
      <c r="A9024" t="n">
        <v>1.693</v>
      </c>
      <c r="B9024" t="n">
        <v>1.3898</v>
      </c>
      <c r="C9024" t="n">
        <v>1.4376</v>
      </c>
    </row>
    <row r="9025">
      <c r="A9025" t="n">
        <v>1.7624</v>
      </c>
      <c r="B9025" t="n">
        <v>1.402</v>
      </c>
      <c r="C9025" t="n">
        <v>1.6072</v>
      </c>
    </row>
    <row r="9026">
      <c r="A9026" t="n">
        <v>2.0378</v>
      </c>
      <c r="B9026" t="n">
        <v>1.7572</v>
      </c>
      <c r="C9026" t="n">
        <v>1.5435</v>
      </c>
    </row>
    <row r="9027">
      <c r="A9027" t="n">
        <v>1.8656</v>
      </c>
      <c r="B9027" t="n">
        <v>1.4365</v>
      </c>
      <c r="C9027" t="n">
        <v>1.6526</v>
      </c>
    </row>
    <row r="9028">
      <c r="A9028" t="n">
        <v>1.4883</v>
      </c>
      <c r="B9028" t="n">
        <v>1.6624</v>
      </c>
      <c r="C9028" t="n">
        <v>1.466</v>
      </c>
    </row>
    <row r="9029">
      <c r="A9029" t="n">
        <v>1.4296</v>
      </c>
      <c r="B9029" t="n">
        <v>1.4849</v>
      </c>
      <c r="C9029" t="n">
        <v>1.4619</v>
      </c>
    </row>
    <row r="9030">
      <c r="A9030" t="n">
        <v>1.438</v>
      </c>
      <c r="B9030" t="n">
        <v>1.4355</v>
      </c>
      <c r="C9030" t="n">
        <v>1.4182</v>
      </c>
    </row>
    <row r="9031">
      <c r="A9031" t="n">
        <v>1.6192</v>
      </c>
      <c r="B9031" t="n">
        <v>1.4283</v>
      </c>
      <c r="C9031" t="n">
        <v>1.4241</v>
      </c>
    </row>
    <row r="9032">
      <c r="A9032" t="n">
        <v>1.5352</v>
      </c>
      <c r="B9032" t="n">
        <v>1.3963</v>
      </c>
      <c r="C9032" t="n">
        <v>1.6767</v>
      </c>
    </row>
    <row r="9033">
      <c r="A9033" t="n">
        <v>1.4106</v>
      </c>
      <c r="B9033" t="n">
        <v>1.4668</v>
      </c>
      <c r="C9033" t="n">
        <v>1.5155</v>
      </c>
    </row>
    <row r="9034">
      <c r="A9034" t="n">
        <v>1.4386</v>
      </c>
      <c r="B9034" t="n">
        <v>1.5587</v>
      </c>
      <c r="C9034" t="n">
        <v>1.6629</v>
      </c>
    </row>
    <row r="9035">
      <c r="A9035" t="n">
        <v>1.6612</v>
      </c>
      <c r="B9035" t="n">
        <v>1.5605</v>
      </c>
      <c r="C9035" t="n">
        <v>1.5247</v>
      </c>
    </row>
    <row r="9036">
      <c r="A9036" t="n">
        <v>1.6721</v>
      </c>
      <c r="B9036" t="n">
        <v>1.6616</v>
      </c>
      <c r="C9036" t="n">
        <v>1.4938</v>
      </c>
    </row>
    <row r="9037">
      <c r="A9037" t="n">
        <v>1.5204</v>
      </c>
      <c r="B9037" t="n">
        <v>1.7208</v>
      </c>
      <c r="C9037" t="n">
        <v>1.6371</v>
      </c>
    </row>
    <row r="9038">
      <c r="A9038" t="n">
        <v>1.5961</v>
      </c>
      <c r="B9038" t="n">
        <v>1.7791</v>
      </c>
      <c r="C9038" t="n">
        <v>1.5037</v>
      </c>
    </row>
    <row r="9039">
      <c r="A9039" t="n">
        <v>1.4753</v>
      </c>
      <c r="B9039" t="n">
        <v>1.4592</v>
      </c>
      <c r="C9039" t="n">
        <v>1.6556</v>
      </c>
    </row>
    <row r="9040">
      <c r="A9040" t="n">
        <v>1.4044</v>
      </c>
      <c r="B9040" t="n">
        <v>1.4693</v>
      </c>
      <c r="C9040" t="n">
        <v>1.6846</v>
      </c>
    </row>
    <row r="9041">
      <c r="A9041" t="n">
        <v>1.4164</v>
      </c>
      <c r="B9041" t="n">
        <v>1.4461</v>
      </c>
      <c r="C9041" t="n">
        <v>1.5466</v>
      </c>
    </row>
    <row r="9042">
      <c r="A9042" t="n">
        <v>1.4336</v>
      </c>
      <c r="B9042" t="n">
        <v>1.6006</v>
      </c>
      <c r="C9042" t="n">
        <v>1.9747</v>
      </c>
    </row>
    <row r="9043">
      <c r="A9043" t="n">
        <v>1.4487</v>
      </c>
      <c r="B9043" t="n">
        <v>1.5433</v>
      </c>
      <c r="C9043" t="n">
        <v>1.6997</v>
      </c>
    </row>
    <row r="9044">
      <c r="A9044" t="n">
        <v>1.6241</v>
      </c>
      <c r="B9044" t="n">
        <v>1.6417</v>
      </c>
      <c r="C9044" t="n">
        <v>1.6781</v>
      </c>
    </row>
    <row r="9045">
      <c r="A9045" t="n">
        <v>1.7326</v>
      </c>
      <c r="B9045" t="n">
        <v>1.4746</v>
      </c>
      <c r="C9045" t="n">
        <v>1.5199</v>
      </c>
    </row>
    <row r="9046">
      <c r="A9046" t="n">
        <v>1.4944</v>
      </c>
      <c r="B9046" t="n">
        <v>1.4423</v>
      </c>
      <c r="C9046" t="n">
        <v>1.6629</v>
      </c>
    </row>
    <row r="9047">
      <c r="A9047" t="n">
        <v>1.4401</v>
      </c>
      <c r="B9047" t="n">
        <v>1.4233</v>
      </c>
      <c r="C9047" t="n">
        <v>1.7215</v>
      </c>
    </row>
    <row r="9048">
      <c r="A9048" t="n">
        <v>1.4482</v>
      </c>
      <c r="B9048" t="n">
        <v>1.422</v>
      </c>
      <c r="C9048" t="n">
        <v>1.5148</v>
      </c>
    </row>
    <row r="9049">
      <c r="A9049" t="n">
        <v>1.6862</v>
      </c>
      <c r="B9049" t="n">
        <v>1.4102</v>
      </c>
      <c r="C9049" t="n">
        <v>1.6411</v>
      </c>
    </row>
    <row r="9050">
      <c r="A9050" t="n">
        <v>1.6757</v>
      </c>
      <c r="B9050" t="n">
        <v>1.4022</v>
      </c>
      <c r="C9050" t="n">
        <v>1.5294</v>
      </c>
    </row>
    <row r="9051">
      <c r="A9051" t="n">
        <v>1.4807</v>
      </c>
      <c r="B9051" t="n">
        <v>1.4654</v>
      </c>
      <c r="C9051" t="n">
        <v>1.4471</v>
      </c>
    </row>
    <row r="9052">
      <c r="A9052" t="n">
        <v>1.4364</v>
      </c>
      <c r="B9052" t="n">
        <v>1.6267</v>
      </c>
      <c r="C9052" t="n">
        <v>1.3869</v>
      </c>
    </row>
    <row r="9053">
      <c r="A9053" t="n">
        <v>1.4233</v>
      </c>
      <c r="B9053" t="n">
        <v>1.5315</v>
      </c>
      <c r="C9053" t="n">
        <v>1.4417</v>
      </c>
    </row>
    <row r="9054">
      <c r="A9054" t="n">
        <v>1.6476</v>
      </c>
      <c r="B9054" t="n">
        <v>1.4326</v>
      </c>
      <c r="C9054" t="n">
        <v>1.4531</v>
      </c>
    </row>
    <row r="9055">
      <c r="A9055" t="n">
        <v>1.5376</v>
      </c>
      <c r="B9055" t="n">
        <v>1.4011</v>
      </c>
      <c r="C9055" t="n">
        <v>1.4235</v>
      </c>
    </row>
    <row r="9056">
      <c r="A9056" t="n">
        <v>1.6503</v>
      </c>
      <c r="B9056" t="n">
        <v>1.4393</v>
      </c>
      <c r="C9056" t="n">
        <v>1.4771</v>
      </c>
    </row>
    <row r="9057">
      <c r="A9057" t="n">
        <v>1.4976</v>
      </c>
      <c r="B9057" t="n">
        <v>1.4665</v>
      </c>
      <c r="C9057" t="n">
        <v>1.6715</v>
      </c>
    </row>
    <row r="9058">
      <c r="A9058" t="n">
        <v>1.8281</v>
      </c>
      <c r="B9058" t="n">
        <v>1.7932</v>
      </c>
      <c r="C9058" t="n">
        <v>1.5159</v>
      </c>
    </row>
    <row r="9059">
      <c r="A9059" t="n">
        <v>1.3924</v>
      </c>
      <c r="B9059" t="n">
        <v>1.8115</v>
      </c>
      <c r="C9059" t="n">
        <v>1.4446</v>
      </c>
    </row>
    <row r="9060">
      <c r="A9060" t="n">
        <v>1.4781</v>
      </c>
      <c r="B9060" t="n">
        <v>1.6427</v>
      </c>
      <c r="C9060" t="n">
        <v>1.6038</v>
      </c>
    </row>
    <row r="9061">
      <c r="A9061" t="n">
        <v>1.6622</v>
      </c>
      <c r="B9061" t="n">
        <v>1.5355</v>
      </c>
      <c r="C9061" t="n">
        <v>1.5191</v>
      </c>
    </row>
    <row r="9062">
      <c r="A9062" t="n">
        <v>1.4687</v>
      </c>
      <c r="B9062" t="n">
        <v>1.6476</v>
      </c>
      <c r="C9062" t="n">
        <v>1.7092</v>
      </c>
    </row>
    <row r="9063">
      <c r="A9063" t="n">
        <v>1.4456</v>
      </c>
      <c r="B9063" t="n">
        <v>1.4914</v>
      </c>
      <c r="C9063" t="n">
        <v>1.5033</v>
      </c>
    </row>
    <row r="9064">
      <c r="A9064" t="n">
        <v>1.6356</v>
      </c>
      <c r="B9064" t="n">
        <v>1.4645</v>
      </c>
      <c r="C9064" t="n">
        <v>1.442</v>
      </c>
    </row>
    <row r="9065">
      <c r="A9065" t="n">
        <v>1.5029</v>
      </c>
      <c r="B9065" t="n">
        <v>1.3873</v>
      </c>
      <c r="C9065" t="n">
        <v>1.421</v>
      </c>
    </row>
    <row r="9066">
      <c r="A9066" t="n">
        <v>1.6223</v>
      </c>
      <c r="B9066" t="n">
        <v>1.4121</v>
      </c>
      <c r="C9066" t="n">
        <v>1.435</v>
      </c>
    </row>
    <row r="9067">
      <c r="A9067" t="n">
        <v>1.5154</v>
      </c>
      <c r="B9067" t="n">
        <v>1.4421</v>
      </c>
      <c r="C9067" t="n">
        <v>1.4042</v>
      </c>
    </row>
    <row r="9068">
      <c r="A9068" t="n">
        <v>1.3998</v>
      </c>
      <c r="B9068" t="n">
        <v>1.648</v>
      </c>
      <c r="C9068" t="n">
        <v>1.4075</v>
      </c>
    </row>
    <row r="9069">
      <c r="A9069" t="n">
        <v>1.4201</v>
      </c>
      <c r="B9069" t="n">
        <v>1.7291</v>
      </c>
      <c r="C9069" t="n">
        <v>1.4793</v>
      </c>
    </row>
    <row r="9070">
      <c r="A9070" t="n">
        <v>1.4405</v>
      </c>
      <c r="B9070" t="n">
        <v>1.5059</v>
      </c>
      <c r="C9070" t="n">
        <v>1.6455</v>
      </c>
    </row>
    <row r="9071">
      <c r="A9071" t="n">
        <v>1.4275</v>
      </c>
      <c r="B9071" t="n">
        <v>1.4676</v>
      </c>
      <c r="C9071" t="n">
        <v>1.486</v>
      </c>
    </row>
    <row r="9072">
      <c r="A9072" t="n">
        <v>1.6326</v>
      </c>
      <c r="B9072" t="n">
        <v>1.4181</v>
      </c>
      <c r="C9072" t="n">
        <v>1.4331</v>
      </c>
    </row>
    <row r="9073">
      <c r="A9073" t="n">
        <v>1.7379</v>
      </c>
      <c r="B9073" t="n">
        <v>1.7311</v>
      </c>
      <c r="C9073" t="n">
        <v>1.3856</v>
      </c>
    </row>
    <row r="9074">
      <c r="A9074" t="n">
        <v>1.4712</v>
      </c>
      <c r="B9074" t="n">
        <v>1.6897</v>
      </c>
      <c r="C9074" t="n">
        <v>1.7519</v>
      </c>
    </row>
    <row r="9075">
      <c r="A9075" t="n">
        <v>1.4445</v>
      </c>
      <c r="B9075" t="n">
        <v>1.4611</v>
      </c>
      <c r="C9075" t="n">
        <v>1.4417</v>
      </c>
    </row>
    <row r="9076">
      <c r="A9076" t="n">
        <v>1.4465</v>
      </c>
      <c r="B9076" t="n">
        <v>1.4549</v>
      </c>
      <c r="C9076" t="n">
        <v>1.4503</v>
      </c>
    </row>
    <row r="9077">
      <c r="A9077" t="n">
        <v>1.611</v>
      </c>
      <c r="B9077" t="n">
        <v>1.4312</v>
      </c>
      <c r="C9077" t="n">
        <v>1.6473</v>
      </c>
    </row>
    <row r="9078">
      <c r="A9078" t="n">
        <v>1.6087</v>
      </c>
      <c r="B9078" t="n">
        <v>1.5945</v>
      </c>
      <c r="C9078" t="n">
        <v>1.4917</v>
      </c>
    </row>
    <row r="9079">
      <c r="A9079" t="n">
        <v>1.4361</v>
      </c>
      <c r="B9079" t="n">
        <v>1.5763</v>
      </c>
      <c r="C9079" t="n">
        <v>1.4248</v>
      </c>
    </row>
    <row r="9080">
      <c r="A9080" t="n">
        <v>1.4092</v>
      </c>
      <c r="B9080" t="n">
        <v>1.4299</v>
      </c>
      <c r="C9080" t="n">
        <v>1.4358</v>
      </c>
    </row>
    <row r="9081">
      <c r="A9081" t="n">
        <v>1.4206</v>
      </c>
      <c r="B9081" t="n">
        <v>1.4114</v>
      </c>
      <c r="C9081" t="n">
        <v>1.6434</v>
      </c>
    </row>
    <row r="9082">
      <c r="A9082" t="n">
        <v>1.4752</v>
      </c>
      <c r="B9082" t="n">
        <v>1.3978</v>
      </c>
      <c r="C9082" t="n">
        <v>1.6866</v>
      </c>
    </row>
    <row r="9083">
      <c r="A9083" t="n">
        <v>1.4399</v>
      </c>
      <c r="B9083" t="n">
        <v>1.4227</v>
      </c>
      <c r="C9083" t="n">
        <v>1.5438</v>
      </c>
    </row>
    <row r="9084">
      <c r="A9084" t="n">
        <v>1.4574</v>
      </c>
      <c r="B9084" t="n">
        <v>1.4473</v>
      </c>
      <c r="C9084" t="n">
        <v>1.4759</v>
      </c>
    </row>
    <row r="9085">
      <c r="A9085" t="n">
        <v>1.6694</v>
      </c>
      <c r="B9085" t="n">
        <v>1.4374</v>
      </c>
      <c r="C9085" t="n">
        <v>1.421</v>
      </c>
    </row>
    <row r="9086">
      <c r="A9086" t="n">
        <v>1.7007</v>
      </c>
      <c r="B9086" t="n">
        <v>1.6119</v>
      </c>
      <c r="C9086" t="n">
        <v>1.6049</v>
      </c>
    </row>
    <row r="9087">
      <c r="A9087" t="n">
        <v>1.4875</v>
      </c>
      <c r="B9087" t="n">
        <v>1.5619</v>
      </c>
      <c r="C9087" t="n">
        <v>1.527</v>
      </c>
    </row>
    <row r="9088">
      <c r="A9088" t="n">
        <v>1.4221</v>
      </c>
      <c r="B9088" t="n">
        <v>1.4383</v>
      </c>
      <c r="C9088" t="n">
        <v>1.6278</v>
      </c>
    </row>
    <row r="9089">
      <c r="A9089" t="n">
        <v>1.4252</v>
      </c>
      <c r="B9089" t="n">
        <v>1.4496</v>
      </c>
      <c r="C9089" t="n">
        <v>1.4867</v>
      </c>
    </row>
    <row r="9090">
      <c r="A9090" t="n">
        <v>2.0026</v>
      </c>
      <c r="B9090" t="n">
        <v>1.7214</v>
      </c>
      <c r="C9090" t="n">
        <v>1.4415</v>
      </c>
    </row>
    <row r="9091">
      <c r="A9091" t="n">
        <v>1.794</v>
      </c>
      <c r="B9091" t="n">
        <v>1.7191</v>
      </c>
      <c r="C9091" t="n">
        <v>1.6004</v>
      </c>
    </row>
    <row r="9092">
      <c r="A9092" t="n">
        <v>1.7376</v>
      </c>
      <c r="B9092" t="n">
        <v>1.6959</v>
      </c>
      <c r="C9092" t="n">
        <v>1.5167</v>
      </c>
    </row>
    <row r="9093">
      <c r="A9093" t="n">
        <v>1.5326</v>
      </c>
      <c r="B9093" t="n">
        <v>1.4953</v>
      </c>
      <c r="C9093" t="n">
        <v>1.642</v>
      </c>
    </row>
    <row r="9094">
      <c r="A9094" t="n">
        <v>1.6457</v>
      </c>
      <c r="B9094" t="n">
        <v>1.4377</v>
      </c>
      <c r="C9094" t="n">
        <v>1.4657</v>
      </c>
    </row>
    <row r="9095">
      <c r="A9095" t="n">
        <v>1.4628</v>
      </c>
      <c r="B9095" t="n">
        <v>1.4256</v>
      </c>
      <c r="C9095" t="n">
        <v>1.415</v>
      </c>
    </row>
    <row r="9096">
      <c r="A9096" t="n">
        <v>1.4609</v>
      </c>
      <c r="B9096" t="n">
        <v>1.5874</v>
      </c>
      <c r="C9096" t="n">
        <v>1.738</v>
      </c>
    </row>
    <row r="9097">
      <c r="A9097" t="n">
        <v>1.4722</v>
      </c>
      <c r="B9097" t="n">
        <v>1.5136</v>
      </c>
      <c r="C9097" t="n">
        <v>1.5078</v>
      </c>
    </row>
    <row r="9098">
      <c r="A9098" t="n">
        <v>1.4826</v>
      </c>
      <c r="B9098" t="n">
        <v>1.6867</v>
      </c>
      <c r="C9098" t="n">
        <v>1.6141</v>
      </c>
    </row>
    <row r="9099">
      <c r="A9099" t="n">
        <v>1.6771</v>
      </c>
      <c r="B9099" t="n">
        <v>1.4752</v>
      </c>
      <c r="C9099" t="n">
        <v>1.5356</v>
      </c>
    </row>
    <row r="9100">
      <c r="A9100" t="n">
        <v>1.5145</v>
      </c>
      <c r="B9100" t="n">
        <v>1.4327</v>
      </c>
      <c r="C9100" t="n">
        <v>1.4362</v>
      </c>
    </row>
    <row r="9101">
      <c r="A9101" t="n">
        <v>1.6962</v>
      </c>
      <c r="B9101" t="n">
        <v>1.4089</v>
      </c>
      <c r="C9101" t="n">
        <v>1.4506</v>
      </c>
    </row>
    <row r="9102">
      <c r="A9102" t="n">
        <v>1.684</v>
      </c>
      <c r="B9102" t="n">
        <v>1.4147</v>
      </c>
      <c r="C9102" t="n">
        <v>1.4349</v>
      </c>
    </row>
    <row r="9103">
      <c r="A9103" t="n">
        <v>1.5465</v>
      </c>
      <c r="B9103" t="n">
        <v>1.4355</v>
      </c>
      <c r="C9103" t="n">
        <v>1.4295</v>
      </c>
    </row>
    <row r="9104">
      <c r="A9104" t="n">
        <v>1.6813</v>
      </c>
      <c r="B9104" t="n">
        <v>1.6808</v>
      </c>
      <c r="C9104" t="n">
        <v>1.6515</v>
      </c>
    </row>
    <row r="9105">
      <c r="A9105" t="n">
        <v>1.489</v>
      </c>
      <c r="B9105" t="n">
        <v>1.6779</v>
      </c>
      <c r="C9105" t="n">
        <v>1.735</v>
      </c>
    </row>
    <row r="9106">
      <c r="A9106" t="n">
        <v>1.4475</v>
      </c>
      <c r="B9106" t="n">
        <v>1.5246</v>
      </c>
      <c r="C9106" t="n">
        <v>2.0203</v>
      </c>
    </row>
    <row r="9107">
      <c r="A9107" t="n">
        <v>1.6248</v>
      </c>
      <c r="B9107" t="n">
        <v>1.4782</v>
      </c>
      <c r="C9107" t="n">
        <v>1.7631</v>
      </c>
    </row>
    <row r="9108">
      <c r="A9108" t="n">
        <v>1.4943</v>
      </c>
      <c r="B9108" t="n">
        <v>1.4274</v>
      </c>
      <c r="C9108" t="n">
        <v>1.4919</v>
      </c>
    </row>
    <row r="9109">
      <c r="A9109" t="n">
        <v>1.6383</v>
      </c>
      <c r="B9109" t="n">
        <v>1.6655</v>
      </c>
      <c r="C9109" t="n">
        <v>1.4286</v>
      </c>
    </row>
    <row r="9110">
      <c r="A9110" t="n">
        <v>1.5056</v>
      </c>
      <c r="B9110" t="n">
        <v>1.7362</v>
      </c>
      <c r="C9110" t="n">
        <v>1.4635</v>
      </c>
    </row>
    <row r="9111">
      <c r="A9111" t="n">
        <v>1.4782</v>
      </c>
      <c r="B9111" t="n">
        <v>1.4676</v>
      </c>
      <c r="C9111" t="n">
        <v>1.6217</v>
      </c>
    </row>
    <row r="9112">
      <c r="A9112" t="n">
        <v>1.4153</v>
      </c>
      <c r="B9112" t="n">
        <v>1.4572</v>
      </c>
      <c r="C9112" t="n">
        <v>1.511</v>
      </c>
    </row>
    <row r="9113">
      <c r="A9113" t="n">
        <v>1.4217</v>
      </c>
      <c r="B9113" t="n">
        <v>1.4304</v>
      </c>
      <c r="C9113" t="n">
        <v>1.6557</v>
      </c>
    </row>
    <row r="9114">
      <c r="A9114" t="n">
        <v>1.4957</v>
      </c>
      <c r="B9114" t="n">
        <v>1.6484</v>
      </c>
      <c r="C9114" t="n">
        <v>1.4861</v>
      </c>
    </row>
    <row r="9115">
      <c r="A9115" t="n">
        <v>1.4725</v>
      </c>
      <c r="B9115" t="n">
        <v>1.6825</v>
      </c>
      <c r="C9115" t="n">
        <v>1.4317</v>
      </c>
    </row>
    <row r="9116">
      <c r="A9116" t="n">
        <v>1.8215</v>
      </c>
      <c r="B9116" t="n">
        <v>1.5207</v>
      </c>
      <c r="C9116" t="n">
        <v>1.418</v>
      </c>
    </row>
    <row r="9117">
      <c r="A9117" t="n">
        <v>1.5137</v>
      </c>
      <c r="B9117" t="n">
        <v>1.4403</v>
      </c>
      <c r="C9117" t="n">
        <v>1.4279</v>
      </c>
    </row>
    <row r="9118">
      <c r="A9118" t="n">
        <v>1.4683</v>
      </c>
      <c r="B9118" t="n">
        <v>1.4436</v>
      </c>
      <c r="C9118" t="n">
        <v>1.4241</v>
      </c>
    </row>
    <row r="9119">
      <c r="A9119" t="n">
        <v>1.4345</v>
      </c>
      <c r="B9119" t="n">
        <v>1.5937</v>
      </c>
      <c r="C9119" t="n">
        <v>1.4548</v>
      </c>
    </row>
    <row r="9120">
      <c r="A9120" t="n">
        <v>1.6238</v>
      </c>
      <c r="B9120" t="n">
        <v>1.5448</v>
      </c>
      <c r="C9120" t="n">
        <v>1.4621</v>
      </c>
    </row>
    <row r="9121">
      <c r="A9121" t="n">
        <v>1.7765</v>
      </c>
      <c r="B9121" t="n">
        <v>1.6399</v>
      </c>
      <c r="C9121" t="n">
        <v>1.6469</v>
      </c>
    </row>
    <row r="9122">
      <c r="A9122" t="n">
        <v>1.9913</v>
      </c>
      <c r="B9122" t="n">
        <v>1.8326</v>
      </c>
      <c r="C9122" t="n">
        <v>1.5256</v>
      </c>
    </row>
    <row r="9123">
      <c r="A9123" t="n">
        <v>1.5392</v>
      </c>
      <c r="B9123" t="n">
        <v>1.7136</v>
      </c>
      <c r="C9123" t="n">
        <v>1.4398</v>
      </c>
    </row>
    <row r="9124">
      <c r="A9124" t="n">
        <v>1.6515</v>
      </c>
      <c r="B9124" t="n">
        <v>1.5217</v>
      </c>
      <c r="C9124" t="n">
        <v>1.3761</v>
      </c>
    </row>
    <row r="9125">
      <c r="A9125" t="n">
        <v>1.4659</v>
      </c>
      <c r="B9125" t="n">
        <v>1.722</v>
      </c>
      <c r="C9125" t="n">
        <v>1.4535</v>
      </c>
    </row>
    <row r="9126">
      <c r="A9126" t="n">
        <v>1.4498</v>
      </c>
      <c r="B9126" t="n">
        <v>1.6481</v>
      </c>
      <c r="C9126" t="n">
        <v>1.4313</v>
      </c>
    </row>
    <row r="9127">
      <c r="A9127" t="n">
        <v>1.6391</v>
      </c>
      <c r="B9127" t="n">
        <v>1.5229</v>
      </c>
      <c r="C9127" t="n">
        <v>1.3985</v>
      </c>
    </row>
    <row r="9128">
      <c r="A9128" t="n">
        <v>1.5184</v>
      </c>
      <c r="B9128" t="n">
        <v>1.6119</v>
      </c>
      <c r="C9128" t="n">
        <v>1.4608</v>
      </c>
    </row>
    <row r="9129">
      <c r="A9129" t="n">
        <v>1.6174</v>
      </c>
      <c r="B9129" t="n">
        <v>1.534</v>
      </c>
      <c r="C9129" t="n">
        <v>1.6724</v>
      </c>
    </row>
    <row r="9130">
      <c r="A9130" t="n">
        <v>1.4914</v>
      </c>
      <c r="B9130" t="n">
        <v>1.4385</v>
      </c>
      <c r="C9130" t="n">
        <v>1.4799</v>
      </c>
    </row>
    <row r="9131">
      <c r="A9131" t="n">
        <v>1.4112</v>
      </c>
      <c r="B9131" t="n">
        <v>1.4173</v>
      </c>
      <c r="C9131" t="n">
        <v>1.4306</v>
      </c>
    </row>
    <row r="9132">
      <c r="A9132" t="n">
        <v>1.4266</v>
      </c>
      <c r="B9132" t="n">
        <v>1.4167</v>
      </c>
      <c r="C9132" t="n">
        <v>1.4095</v>
      </c>
    </row>
    <row r="9133">
      <c r="A9133" t="n">
        <v>1.4357</v>
      </c>
      <c r="B9133" t="n">
        <v>1.4714</v>
      </c>
      <c r="C9133" t="n">
        <v>1.4003</v>
      </c>
    </row>
    <row r="9134">
      <c r="A9134" t="n">
        <v>1.4156</v>
      </c>
      <c r="B9134" t="n">
        <v>1.6954</v>
      </c>
      <c r="C9134" t="n">
        <v>1.436</v>
      </c>
    </row>
    <row r="9135">
      <c r="A9135" t="n">
        <v>1.4012</v>
      </c>
      <c r="B9135" t="n">
        <v>1.6992</v>
      </c>
      <c r="C9135" t="n">
        <v>1.6674</v>
      </c>
    </row>
    <row r="9136">
      <c r="A9136" t="n">
        <v>1.4438</v>
      </c>
      <c r="B9136" t="n">
        <v>1.4807</v>
      </c>
      <c r="C9136" t="n">
        <v>1.66</v>
      </c>
    </row>
    <row r="9137">
      <c r="A9137" t="n">
        <v>1.6</v>
      </c>
      <c r="B9137" t="n">
        <v>1.4461</v>
      </c>
      <c r="C9137" t="n">
        <v>1.5148</v>
      </c>
    </row>
    <row r="9138">
      <c r="A9138" t="n">
        <v>1.5241</v>
      </c>
      <c r="B9138" t="n">
        <v>1.4062</v>
      </c>
      <c r="C9138" t="n">
        <v>1.8093</v>
      </c>
    </row>
    <row r="9139">
      <c r="A9139" t="n">
        <v>1.4447</v>
      </c>
      <c r="B9139" t="n">
        <v>1.6613</v>
      </c>
      <c r="C9139" t="n">
        <v>1.6377</v>
      </c>
    </row>
    <row r="9140">
      <c r="A9140" t="n">
        <v>1.3944</v>
      </c>
      <c r="B9140" t="n">
        <v>1.744</v>
      </c>
      <c r="C9140" t="n">
        <v>1.4995</v>
      </c>
    </row>
    <row r="9141">
      <c r="A9141" t="n">
        <v>1.4106</v>
      </c>
      <c r="B9141" t="n">
        <v>1.4664</v>
      </c>
      <c r="C9141" t="n">
        <v>1.431</v>
      </c>
    </row>
    <row r="9142">
      <c r="A9142" t="n">
        <v>1.4222</v>
      </c>
      <c r="B9142" t="n">
        <v>1.4507</v>
      </c>
      <c r="C9142" t="n">
        <v>1.4065</v>
      </c>
    </row>
    <row r="9143">
      <c r="A9143" t="n">
        <v>1.6122</v>
      </c>
      <c r="B9143" t="n">
        <v>1.4549</v>
      </c>
      <c r="C9143" t="n">
        <v>1.4418</v>
      </c>
    </row>
    <row r="9144">
      <c r="A9144" t="n">
        <v>1.5427</v>
      </c>
      <c r="B9144" t="n">
        <v>1.627</v>
      </c>
      <c r="C9144" t="n">
        <v>1.4825</v>
      </c>
    </row>
    <row r="9145">
      <c r="A9145" t="n">
        <v>1.6638</v>
      </c>
      <c r="B9145" t="n">
        <v>1.5656</v>
      </c>
      <c r="C9145" t="n">
        <v>1.6595</v>
      </c>
    </row>
    <row r="9146">
      <c r="A9146" t="n">
        <v>1.443</v>
      </c>
      <c r="B9146" t="n">
        <v>1.6509</v>
      </c>
      <c r="C9146" t="n">
        <v>1.7827</v>
      </c>
    </row>
    <row r="9147">
      <c r="A9147" t="n">
        <v>1.4263</v>
      </c>
      <c r="B9147" t="n">
        <v>1.4716</v>
      </c>
      <c r="C9147" t="n">
        <v>1.5162</v>
      </c>
    </row>
    <row r="9148">
      <c r="A9148" t="n">
        <v>1.6284</v>
      </c>
      <c r="B9148" t="n">
        <v>1.4824</v>
      </c>
      <c r="C9148" t="n">
        <v>1.4281</v>
      </c>
    </row>
    <row r="9149">
      <c r="A9149" t="n">
        <v>1.501</v>
      </c>
      <c r="B9149" t="n">
        <v>1.6167</v>
      </c>
      <c r="C9149" t="n">
        <v>1.4508</v>
      </c>
    </row>
    <row r="9150">
      <c r="A9150" t="n">
        <v>1.6248</v>
      </c>
      <c r="B9150" t="n">
        <v>1.4894</v>
      </c>
      <c r="C9150" t="n">
        <v>1.6073</v>
      </c>
    </row>
    <row r="9151">
      <c r="A9151" t="n">
        <v>1.5281</v>
      </c>
      <c r="B9151" t="n">
        <v>1.6438</v>
      </c>
      <c r="C9151" t="n">
        <v>1.7848</v>
      </c>
    </row>
    <row r="9152">
      <c r="A9152" t="n">
        <v>1.3931</v>
      </c>
      <c r="B9152" t="n">
        <v>1.4968</v>
      </c>
      <c r="C9152" t="n">
        <v>1.4926</v>
      </c>
    </row>
    <row r="9153">
      <c r="A9153" t="n">
        <v>1.4134</v>
      </c>
      <c r="B9153" t="n">
        <v>1.4236</v>
      </c>
      <c r="C9153" t="n">
        <v>1.4483</v>
      </c>
    </row>
    <row r="9154">
      <c r="A9154" t="n">
        <v>1.7574</v>
      </c>
      <c r="B9154" t="n">
        <v>1.7162</v>
      </c>
      <c r="C9154" t="n">
        <v>1.4325</v>
      </c>
    </row>
    <row r="9155">
      <c r="A9155" t="n">
        <v>1.6171</v>
      </c>
      <c r="B9155" t="n">
        <v>1.476</v>
      </c>
      <c r="C9155" t="n">
        <v>1.6277</v>
      </c>
    </row>
    <row r="9156">
      <c r="A9156" t="n">
        <v>1.5136</v>
      </c>
      <c r="B9156" t="n">
        <v>1.5876</v>
      </c>
      <c r="C9156" t="n">
        <v>1.5117</v>
      </c>
    </row>
    <row r="9157">
      <c r="A9157" t="n">
        <v>1.7322</v>
      </c>
      <c r="B9157" t="n">
        <v>1.5188</v>
      </c>
      <c r="C9157" t="n">
        <v>1.6489</v>
      </c>
    </row>
    <row r="9158">
      <c r="A9158" t="n">
        <v>1.6287</v>
      </c>
      <c r="B9158" t="n">
        <v>1.4581</v>
      </c>
      <c r="C9158" t="n">
        <v>1.4828</v>
      </c>
    </row>
    <row r="9159">
      <c r="A9159" t="n">
        <v>1.5251</v>
      </c>
      <c r="B9159" t="n">
        <v>1.4096</v>
      </c>
      <c r="C9159" t="n">
        <v>1.4258</v>
      </c>
    </row>
    <row r="9160">
      <c r="A9160" t="n">
        <v>1.6156</v>
      </c>
      <c r="B9160" t="n">
        <v>1.4531</v>
      </c>
      <c r="C9160" t="n">
        <v>1.603</v>
      </c>
    </row>
    <row r="9161">
      <c r="A9161" t="n">
        <v>1.4568</v>
      </c>
      <c r="B9161" t="n">
        <v>1.5226</v>
      </c>
      <c r="C9161" t="n">
        <v>1.5406</v>
      </c>
    </row>
    <row r="9162">
      <c r="A9162" t="n">
        <v>1.4388</v>
      </c>
      <c r="B9162" t="n">
        <v>1.7451</v>
      </c>
      <c r="C9162" t="n">
        <v>1.6587</v>
      </c>
    </row>
    <row r="9163">
      <c r="A9163" t="n">
        <v>1.4315</v>
      </c>
      <c r="B9163" t="n">
        <v>1.7272</v>
      </c>
      <c r="C9163" t="n">
        <v>1.4663</v>
      </c>
    </row>
    <row r="9164">
      <c r="A9164" t="n">
        <v>1.4304</v>
      </c>
      <c r="B9164" t="n">
        <v>1.7664</v>
      </c>
      <c r="C9164" t="n">
        <v>1.4475</v>
      </c>
    </row>
    <row r="9165">
      <c r="A9165" t="n">
        <v>1.4746</v>
      </c>
      <c r="B9165" t="n">
        <v>1.5159</v>
      </c>
      <c r="C9165" t="n">
        <v>1.4636</v>
      </c>
    </row>
    <row r="9166">
      <c r="A9166" t="n">
        <v>1.6416</v>
      </c>
      <c r="B9166" t="n">
        <v>1.6403</v>
      </c>
      <c r="C9166" t="n">
        <v>1.4502</v>
      </c>
    </row>
    <row r="9167">
      <c r="A9167" t="n">
        <v>1.6922</v>
      </c>
      <c r="B9167" t="n">
        <v>1.5058</v>
      </c>
      <c r="C9167" t="n">
        <v>1.4099</v>
      </c>
    </row>
    <row r="9168">
      <c r="A9168" t="n">
        <v>1.5241</v>
      </c>
      <c r="B9168" t="n">
        <v>1.4266</v>
      </c>
      <c r="C9168" t="n">
        <v>1.44</v>
      </c>
    </row>
    <row r="9169">
      <c r="A9169" t="n">
        <v>1.448</v>
      </c>
      <c r="B9169" t="n">
        <v>1.4023</v>
      </c>
      <c r="C9169" t="n">
        <v>1.4538</v>
      </c>
    </row>
    <row r="9170">
      <c r="A9170" t="n">
        <v>1.545</v>
      </c>
      <c r="B9170" t="n">
        <v>1.4399</v>
      </c>
      <c r="C9170" t="n">
        <v>1.9515</v>
      </c>
    </row>
    <row r="9171">
      <c r="A9171" t="n">
        <v>1.7</v>
      </c>
      <c r="B9171" t="n">
        <v>1.4194</v>
      </c>
      <c r="C9171" t="n">
        <v>1.7626</v>
      </c>
    </row>
    <row r="9172">
      <c r="A9172" t="n">
        <v>1.6567</v>
      </c>
      <c r="B9172" t="n">
        <v>1.4021</v>
      </c>
      <c r="C9172" t="n">
        <v>1.6481</v>
      </c>
    </row>
    <row r="9173">
      <c r="A9173" t="n">
        <v>1.4702</v>
      </c>
      <c r="B9173" t="n">
        <v>1.453</v>
      </c>
      <c r="C9173" t="n">
        <v>1.5296</v>
      </c>
    </row>
    <row r="9174">
      <c r="A9174" t="n">
        <v>1.4538</v>
      </c>
      <c r="B9174" t="n">
        <v>1.6334</v>
      </c>
      <c r="C9174" t="n">
        <v>1.4372</v>
      </c>
    </row>
    <row r="9175">
      <c r="A9175" t="n">
        <v>1.452</v>
      </c>
      <c r="B9175" t="n">
        <v>1.5169</v>
      </c>
      <c r="C9175" t="n">
        <v>1.4138</v>
      </c>
    </row>
    <row r="9176">
      <c r="A9176" t="n">
        <v>1.6533</v>
      </c>
      <c r="B9176" t="n">
        <v>1.4271</v>
      </c>
      <c r="C9176" t="n">
        <v>1.4313</v>
      </c>
    </row>
    <row r="9177">
      <c r="A9177" t="n">
        <v>1.7298</v>
      </c>
      <c r="B9177" t="n">
        <v>1.3944</v>
      </c>
      <c r="C9177" t="n">
        <v>1.4742</v>
      </c>
    </row>
    <row r="9178">
      <c r="A9178" t="n">
        <v>1.4861</v>
      </c>
      <c r="B9178" t="n">
        <v>1.4313</v>
      </c>
      <c r="C9178" t="n">
        <v>1.6442</v>
      </c>
    </row>
    <row r="9179">
      <c r="A9179" t="n">
        <v>1.4162</v>
      </c>
      <c r="B9179" t="n">
        <v>1.4783</v>
      </c>
      <c r="C9179" t="n">
        <v>1.7245</v>
      </c>
    </row>
    <row r="9180">
      <c r="A9180" t="n">
        <v>1.4548</v>
      </c>
      <c r="B9180" t="n">
        <v>1.7288</v>
      </c>
      <c r="C9180" t="n">
        <v>1.4884</v>
      </c>
    </row>
    <row r="9181">
      <c r="A9181" t="n">
        <v>1.5991</v>
      </c>
      <c r="B9181" t="n">
        <v>1.652</v>
      </c>
      <c r="C9181" t="n">
        <v>1.4233</v>
      </c>
    </row>
    <row r="9182">
      <c r="A9182" t="n">
        <v>1.5062</v>
      </c>
      <c r="B9182" t="n">
        <v>1.4815</v>
      </c>
      <c r="C9182" t="n">
        <v>1.4252</v>
      </c>
    </row>
    <row r="9183">
      <c r="A9183" t="n">
        <v>1.6582</v>
      </c>
      <c r="B9183" t="n">
        <v>1.4296</v>
      </c>
      <c r="C9183" t="n">
        <v>1.6045</v>
      </c>
    </row>
    <row r="9184">
      <c r="A9184" t="n">
        <v>1.482</v>
      </c>
      <c r="B9184" t="n">
        <v>1.4498</v>
      </c>
      <c r="C9184" t="n">
        <v>1.5085</v>
      </c>
    </row>
    <row r="9185">
      <c r="A9185" t="n">
        <v>1.4212</v>
      </c>
      <c r="B9185" t="n">
        <v>1.6312</v>
      </c>
      <c r="C9185" t="n">
        <v>1.6548</v>
      </c>
    </row>
    <row r="9186">
      <c r="A9186" t="n">
        <v>1.7459</v>
      </c>
      <c r="B9186" t="n">
        <v>2.1445</v>
      </c>
      <c r="C9186" t="n">
        <v>1.499</v>
      </c>
    </row>
    <row r="9187">
      <c r="A9187" t="n">
        <v>1.4506</v>
      </c>
      <c r="B9187" t="n">
        <v>1.6636</v>
      </c>
      <c r="C9187" t="n">
        <v>1.4255</v>
      </c>
    </row>
    <row r="9188">
      <c r="A9188" t="n">
        <v>1.5953</v>
      </c>
      <c r="B9188" t="n">
        <v>1.5302</v>
      </c>
      <c r="C9188" t="n">
        <v>1.4103</v>
      </c>
    </row>
    <row r="9189">
      <c r="A9189" t="n">
        <v>1.4973</v>
      </c>
      <c r="B9189" t="n">
        <v>1.622</v>
      </c>
      <c r="C9189" t="n">
        <v>1.4406</v>
      </c>
    </row>
    <row r="9190">
      <c r="A9190" t="n">
        <v>1.4251</v>
      </c>
      <c r="B9190" t="n">
        <v>1.5185</v>
      </c>
      <c r="C9190" t="n">
        <v>1.4618</v>
      </c>
    </row>
    <row r="9191">
      <c r="A9191" t="n">
        <v>1.4179</v>
      </c>
      <c r="B9191" t="n">
        <v>1.4684</v>
      </c>
      <c r="C9191" t="n">
        <v>1.4686</v>
      </c>
    </row>
    <row r="9192">
      <c r="A9192" t="n">
        <v>1.4182</v>
      </c>
      <c r="B9192" t="n">
        <v>1.3796</v>
      </c>
      <c r="C9192" t="n">
        <v>1.5376</v>
      </c>
    </row>
    <row r="9193">
      <c r="A9193" t="n">
        <v>1.4314</v>
      </c>
      <c r="B9193" t="n">
        <v>1.4486</v>
      </c>
      <c r="C9193" t="n">
        <v>1.4519</v>
      </c>
    </row>
    <row r="9194">
      <c r="A9194" t="n">
        <v>1.5821</v>
      </c>
      <c r="B9194" t="n">
        <v>1.446</v>
      </c>
      <c r="C9194" t="n">
        <v>1.4889</v>
      </c>
    </row>
    <row r="9195">
      <c r="A9195" t="n">
        <v>1.5163</v>
      </c>
      <c r="B9195" t="n">
        <v>1.423</v>
      </c>
      <c r="C9195" t="n">
        <v>1.4856</v>
      </c>
    </row>
    <row r="9196">
      <c r="A9196" t="n">
        <v>1.6433</v>
      </c>
      <c r="B9196" t="n">
        <v>1.4963</v>
      </c>
      <c r="C9196" t="n">
        <v>1.758</v>
      </c>
    </row>
    <row r="9197">
      <c r="A9197" t="n">
        <v>1.4926</v>
      </c>
      <c r="B9197" t="n">
        <v>1.7224</v>
      </c>
      <c r="C9197" t="n">
        <v>1.5652</v>
      </c>
    </row>
    <row r="9198">
      <c r="A9198" t="n">
        <v>1.4359</v>
      </c>
      <c r="B9198" t="n">
        <v>1.4813</v>
      </c>
      <c r="C9198" t="n">
        <v>1.6522</v>
      </c>
    </row>
    <row r="9199">
      <c r="A9199" t="n">
        <v>1.3838</v>
      </c>
      <c r="B9199" t="n">
        <v>1.4683</v>
      </c>
      <c r="C9199" t="n">
        <v>1.4636</v>
      </c>
    </row>
    <row r="9200">
      <c r="A9200" t="n">
        <v>1.4049</v>
      </c>
      <c r="B9200" t="n">
        <v>1.6247</v>
      </c>
      <c r="C9200" t="n">
        <v>1.434</v>
      </c>
    </row>
    <row r="9201">
      <c r="A9201" t="n">
        <v>1.432</v>
      </c>
      <c r="B9201" t="n">
        <v>1.5225</v>
      </c>
      <c r="C9201" t="n">
        <v>1.6014</v>
      </c>
    </row>
    <row r="9202">
      <c r="A9202" t="n">
        <v>1.706</v>
      </c>
      <c r="B9202" t="n">
        <v>1.688</v>
      </c>
      <c r="C9202" t="n">
        <v>1.8239</v>
      </c>
    </row>
    <row r="9203">
      <c r="A9203" t="n">
        <v>1.705</v>
      </c>
      <c r="B9203" t="n">
        <v>1.5146</v>
      </c>
      <c r="C9203" t="n">
        <v>1.4511</v>
      </c>
    </row>
    <row r="9204">
      <c r="A9204" t="n">
        <v>1.4825</v>
      </c>
      <c r="B9204" t="n">
        <v>1.4415</v>
      </c>
      <c r="C9204" t="n">
        <v>1.4224</v>
      </c>
    </row>
    <row r="9205">
      <c r="A9205" t="n">
        <v>1.4321</v>
      </c>
      <c r="B9205" t="n">
        <v>1.6099</v>
      </c>
      <c r="C9205" t="n">
        <v>1.4139</v>
      </c>
    </row>
    <row r="9206">
      <c r="A9206" t="n">
        <v>1.42</v>
      </c>
      <c r="B9206" t="n">
        <v>1.5547</v>
      </c>
      <c r="C9206" t="n">
        <v>1.4328</v>
      </c>
    </row>
    <row r="9207">
      <c r="A9207" t="n">
        <v>1.6215</v>
      </c>
      <c r="B9207" t="n">
        <v>1.6251</v>
      </c>
      <c r="C9207" t="n">
        <v>1.4558</v>
      </c>
    </row>
    <row r="9208">
      <c r="A9208" t="n">
        <v>1.8402</v>
      </c>
      <c r="B9208" t="n">
        <v>1.4944</v>
      </c>
      <c r="C9208" t="n">
        <v>1.4298</v>
      </c>
    </row>
    <row r="9209">
      <c r="A9209" t="n">
        <v>1.4666</v>
      </c>
      <c r="B9209" t="n">
        <v>1.4688</v>
      </c>
      <c r="C9209" t="n">
        <v>1.7181</v>
      </c>
    </row>
    <row r="9210">
      <c r="A9210" t="n">
        <v>1.4354</v>
      </c>
      <c r="B9210" t="n">
        <v>1.3807</v>
      </c>
      <c r="C9210" t="n">
        <v>1.7066</v>
      </c>
    </row>
    <row r="9211">
      <c r="A9211" t="n">
        <v>1.4338</v>
      </c>
      <c r="B9211" t="n">
        <v>1.4243</v>
      </c>
      <c r="C9211" t="n">
        <v>1.4908</v>
      </c>
    </row>
    <row r="9212">
      <c r="A9212" t="n">
        <v>1.5858</v>
      </c>
      <c r="B9212" t="n">
        <v>1.4318</v>
      </c>
      <c r="C9212" t="n">
        <v>1.4414</v>
      </c>
    </row>
    <row r="9213">
      <c r="A9213" t="n">
        <v>1.5157</v>
      </c>
      <c r="B9213" t="n">
        <v>1.6413</v>
      </c>
      <c r="C9213" t="n">
        <v>1.4312</v>
      </c>
    </row>
    <row r="9214">
      <c r="A9214" t="n">
        <v>1.6453</v>
      </c>
      <c r="B9214" t="n">
        <v>1.7124</v>
      </c>
      <c r="C9214" t="n">
        <v>1.6484</v>
      </c>
    </row>
    <row r="9215">
      <c r="A9215" t="n">
        <v>1.4673</v>
      </c>
      <c r="B9215" t="n">
        <v>1.4966</v>
      </c>
      <c r="C9215" t="n">
        <v>1.7497</v>
      </c>
    </row>
    <row r="9216">
      <c r="A9216" t="n">
        <v>1.4567</v>
      </c>
      <c r="B9216" t="n">
        <v>1.4476</v>
      </c>
      <c r="C9216" t="n">
        <v>1.5158</v>
      </c>
    </row>
    <row r="9217">
      <c r="A9217" t="n">
        <v>1.5985</v>
      </c>
      <c r="B9217" t="n">
        <v>1.4562</v>
      </c>
      <c r="C9217" t="n">
        <v>1.4635</v>
      </c>
    </row>
    <row r="9218">
      <c r="A9218" t="n">
        <v>1.8122</v>
      </c>
      <c r="B9218" t="n">
        <v>1.9853</v>
      </c>
      <c r="C9218" t="n">
        <v>1.4518</v>
      </c>
    </row>
    <row r="9219">
      <c r="A9219" t="n">
        <v>1.5837</v>
      </c>
      <c r="B9219" t="n">
        <v>1.7449</v>
      </c>
      <c r="C9219" t="n">
        <v>1.6358</v>
      </c>
    </row>
    <row r="9220">
      <c r="A9220" t="n">
        <v>1.459</v>
      </c>
      <c r="B9220" t="n">
        <v>1.6843</v>
      </c>
      <c r="C9220" t="n">
        <v>1.7027</v>
      </c>
    </row>
    <row r="9221">
      <c r="A9221" t="n">
        <v>1.4404</v>
      </c>
      <c r="B9221" t="n">
        <v>1.5865</v>
      </c>
      <c r="C9221" t="n">
        <v>1.4869</v>
      </c>
    </row>
    <row r="9222">
      <c r="A9222" t="n">
        <v>1.437</v>
      </c>
      <c r="B9222" t="n">
        <v>1.3996</v>
      </c>
      <c r="C9222" t="n">
        <v>1.4289</v>
      </c>
    </row>
    <row r="9223">
      <c r="A9223" t="n">
        <v>1.4464</v>
      </c>
      <c r="B9223" t="n">
        <v>1.4518</v>
      </c>
      <c r="C9223" t="n">
        <v>1.4341</v>
      </c>
    </row>
    <row r="9224">
      <c r="A9224" t="n">
        <v>1.6514</v>
      </c>
      <c r="B9224" t="n">
        <v>1.4221</v>
      </c>
      <c r="C9224" t="n">
        <v>1.6259</v>
      </c>
    </row>
    <row r="9225">
      <c r="A9225" t="n">
        <v>1.511</v>
      </c>
      <c r="B9225" t="n">
        <v>1.4084</v>
      </c>
      <c r="C9225" t="n">
        <v>1.5309</v>
      </c>
    </row>
    <row r="9226">
      <c r="A9226" t="n">
        <v>1.7366</v>
      </c>
      <c r="B9226" t="n">
        <v>1.4728</v>
      </c>
      <c r="C9226" t="n">
        <v>1.666</v>
      </c>
    </row>
    <row r="9227">
      <c r="A9227" t="n">
        <v>1.687</v>
      </c>
      <c r="B9227" t="n">
        <v>1.4847</v>
      </c>
      <c r="C9227" t="n">
        <v>1.4838</v>
      </c>
    </row>
    <row r="9228">
      <c r="A9228" t="n">
        <v>1.5157</v>
      </c>
      <c r="B9228" t="n">
        <v>1.6465</v>
      </c>
      <c r="C9228" t="n">
        <v>1.4429</v>
      </c>
    </row>
    <row r="9229">
      <c r="A9229" t="n">
        <v>1.6702</v>
      </c>
      <c r="B9229" t="n">
        <v>1.754</v>
      </c>
      <c r="C9229" t="n">
        <v>1.6002</v>
      </c>
    </row>
    <row r="9230">
      <c r="A9230" t="n">
        <v>1.4683</v>
      </c>
      <c r="B9230" t="n">
        <v>1.4987</v>
      </c>
      <c r="C9230" t="n">
        <v>1.5166</v>
      </c>
    </row>
    <row r="9231">
      <c r="A9231" t="n">
        <v>1.4392</v>
      </c>
      <c r="B9231" t="n">
        <v>1.4366</v>
      </c>
      <c r="C9231" t="n">
        <v>1.614</v>
      </c>
    </row>
    <row r="9232">
      <c r="A9232" t="n">
        <v>1.3967</v>
      </c>
      <c r="B9232" t="n">
        <v>1.4323</v>
      </c>
      <c r="C9232" t="n">
        <v>1.5047</v>
      </c>
    </row>
    <row r="9233">
      <c r="A9233" t="n">
        <v>1.4011</v>
      </c>
      <c r="B9233" t="n">
        <v>1.6217</v>
      </c>
      <c r="C9233" t="n">
        <v>1.4402</v>
      </c>
    </row>
    <row r="9234">
      <c r="A9234" t="n">
        <v>1.4272</v>
      </c>
      <c r="B9234" t="n">
        <v>1.7448</v>
      </c>
      <c r="C9234" t="n">
        <v>1.7768</v>
      </c>
    </row>
    <row r="9235">
      <c r="A9235" t="n">
        <v>1.625</v>
      </c>
      <c r="B9235" t="n">
        <v>1.504</v>
      </c>
      <c r="C9235" t="n">
        <v>1.4715</v>
      </c>
    </row>
    <row r="9236">
      <c r="A9236" t="n">
        <v>1.7106</v>
      </c>
      <c r="B9236" t="n">
        <v>1.4591</v>
      </c>
      <c r="C9236" t="n">
        <v>1.6547</v>
      </c>
    </row>
    <row r="9237">
      <c r="A9237" t="n">
        <v>1.4879</v>
      </c>
      <c r="B9237" t="n">
        <v>1.4392</v>
      </c>
      <c r="C9237" t="n">
        <v>1.5458</v>
      </c>
    </row>
    <row r="9238">
      <c r="A9238" t="n">
        <v>1.4425</v>
      </c>
      <c r="B9238" t="n">
        <v>1.6076</v>
      </c>
      <c r="C9238" t="n">
        <v>1.4354</v>
      </c>
    </row>
    <row r="9239">
      <c r="A9239" t="n">
        <v>1.4175</v>
      </c>
      <c r="B9239" t="n">
        <v>1.5459</v>
      </c>
      <c r="C9239" t="n">
        <v>1.4152</v>
      </c>
    </row>
    <row r="9240">
      <c r="A9240" t="n">
        <v>1.6335</v>
      </c>
      <c r="B9240" t="n">
        <v>1.6159</v>
      </c>
      <c r="C9240" t="n">
        <v>1.4394</v>
      </c>
    </row>
    <row r="9241">
      <c r="A9241" t="n">
        <v>1.5983</v>
      </c>
      <c r="B9241" t="n">
        <v>1.4998</v>
      </c>
      <c r="C9241" t="n">
        <v>1.4453</v>
      </c>
    </row>
    <row r="9242">
      <c r="A9242" t="n">
        <v>1.4105</v>
      </c>
      <c r="B9242" t="n">
        <v>1.4395</v>
      </c>
      <c r="C9242" t="n">
        <v>1.4526</v>
      </c>
    </row>
    <row r="9243">
      <c r="A9243" t="n">
        <v>1.4391</v>
      </c>
      <c r="B9243" t="n">
        <v>1.6474</v>
      </c>
      <c r="C9243" t="n">
        <v>1.5307</v>
      </c>
    </row>
    <row r="9244">
      <c r="A9244" t="n">
        <v>1.4211</v>
      </c>
      <c r="B9244" t="n">
        <v>1.5252</v>
      </c>
      <c r="C9244" t="n">
        <v>1.6958</v>
      </c>
    </row>
    <row r="9245">
      <c r="A9245" t="n">
        <v>1.3773</v>
      </c>
      <c r="B9245" t="n">
        <v>1.669</v>
      </c>
      <c r="C9245" t="n">
        <v>1.5223</v>
      </c>
    </row>
    <row r="9246">
      <c r="A9246" t="n">
        <v>1.4447</v>
      </c>
      <c r="B9246" t="n">
        <v>1.4778</v>
      </c>
      <c r="C9246" t="n">
        <v>1.4748</v>
      </c>
    </row>
    <row r="9247">
      <c r="A9247" t="n">
        <v>1.4698</v>
      </c>
      <c r="B9247" t="n">
        <v>1.4401</v>
      </c>
      <c r="C9247" t="n">
        <v>1.6091</v>
      </c>
    </row>
    <row r="9248">
      <c r="A9248" t="n">
        <v>1.6037</v>
      </c>
      <c r="B9248" t="n">
        <v>1.391</v>
      </c>
      <c r="C9248" t="n">
        <v>1.7978</v>
      </c>
    </row>
    <row r="9249">
      <c r="A9249" t="n">
        <v>1.5739</v>
      </c>
      <c r="B9249" t="n">
        <v>1.4419</v>
      </c>
      <c r="C9249" t="n">
        <v>1.5052</v>
      </c>
    </row>
    <row r="9250">
      <c r="A9250" t="n">
        <v>1.7626</v>
      </c>
      <c r="B9250" t="n">
        <v>1.7866</v>
      </c>
      <c r="C9250" t="n">
        <v>1.4068</v>
      </c>
    </row>
    <row r="9251">
      <c r="A9251" t="n">
        <v>1.4935</v>
      </c>
      <c r="B9251" t="n">
        <v>1.456</v>
      </c>
      <c r="C9251" t="n">
        <v>1.4195</v>
      </c>
    </row>
    <row r="9252">
      <c r="A9252" t="n">
        <v>1.4325</v>
      </c>
      <c r="B9252" t="n">
        <v>1.6736</v>
      </c>
      <c r="C9252" t="n">
        <v>1.6478</v>
      </c>
    </row>
    <row r="9253">
      <c r="A9253" t="n">
        <v>1.6618</v>
      </c>
      <c r="B9253" t="n">
        <v>1.7687</v>
      </c>
      <c r="C9253" t="n">
        <v>1.5157</v>
      </c>
    </row>
    <row r="9254">
      <c r="A9254" t="n">
        <v>1.7176</v>
      </c>
      <c r="B9254" t="n">
        <v>1.5187</v>
      </c>
      <c r="C9254" t="n">
        <v>1.6661</v>
      </c>
    </row>
    <row r="9255">
      <c r="A9255" t="n">
        <v>1.4884</v>
      </c>
      <c r="B9255" t="n">
        <v>1.6178</v>
      </c>
      <c r="C9255" t="n">
        <v>1.5068</v>
      </c>
    </row>
    <row r="9256">
      <c r="A9256" t="n">
        <v>1.4299</v>
      </c>
      <c r="B9256" t="n">
        <v>1.5424</v>
      </c>
      <c r="C9256" t="n">
        <v>1.4234</v>
      </c>
    </row>
    <row r="9257">
      <c r="A9257" t="n">
        <v>1.4357</v>
      </c>
      <c r="B9257" t="n">
        <v>1.4552</v>
      </c>
      <c r="C9257" t="n">
        <v>1.4067</v>
      </c>
    </row>
    <row r="9258">
      <c r="A9258" t="n">
        <v>1.6218</v>
      </c>
      <c r="B9258" t="n">
        <v>1.3739</v>
      </c>
      <c r="C9258" t="n">
        <v>1.436</v>
      </c>
    </row>
    <row r="9259">
      <c r="A9259" t="n">
        <v>1.5366</v>
      </c>
      <c r="B9259" t="n">
        <v>1.4311</v>
      </c>
      <c r="C9259" t="n">
        <v>1.4226</v>
      </c>
    </row>
    <row r="9260">
      <c r="A9260" t="n">
        <v>1.6149</v>
      </c>
      <c r="B9260" t="n">
        <v>1.4263</v>
      </c>
      <c r="C9260" t="n">
        <v>1.4369</v>
      </c>
    </row>
    <row r="9261">
      <c r="A9261" t="n">
        <v>1.4937</v>
      </c>
      <c r="B9261" t="n">
        <v>1.3996</v>
      </c>
      <c r="C9261" t="n">
        <v>1.4656</v>
      </c>
    </row>
    <row r="9262">
      <c r="A9262" t="n">
        <v>1.4416</v>
      </c>
      <c r="B9262" t="n">
        <v>1.4691</v>
      </c>
      <c r="C9262" t="n">
        <v>1.6562</v>
      </c>
    </row>
    <row r="9263">
      <c r="A9263" t="n">
        <v>1.6019</v>
      </c>
      <c r="B9263" t="n">
        <v>1.617</v>
      </c>
      <c r="C9263" t="n">
        <v>1.5052</v>
      </c>
    </row>
    <row r="9264">
      <c r="A9264" t="n">
        <v>1.4988</v>
      </c>
      <c r="B9264" t="n">
        <v>1.5109</v>
      </c>
      <c r="C9264" t="n">
        <v>1.4556</v>
      </c>
    </row>
    <row r="9265">
      <c r="A9265" t="n">
        <v>1.6271</v>
      </c>
      <c r="B9265" t="n">
        <v>1.4489</v>
      </c>
      <c r="C9265" t="n">
        <v>1.5944</v>
      </c>
    </row>
    <row r="9266">
      <c r="A9266" t="n">
        <v>1.5045</v>
      </c>
      <c r="B9266" t="n">
        <v>1.442</v>
      </c>
      <c r="C9266" t="n">
        <v>2.185</v>
      </c>
    </row>
    <row r="9267">
      <c r="A9267" t="n">
        <v>1.424</v>
      </c>
      <c r="B9267" t="n">
        <v>1.4425</v>
      </c>
      <c r="C9267" t="n">
        <v>1.7165</v>
      </c>
    </row>
    <row r="9268">
      <c r="A9268" t="n">
        <v>1.4202</v>
      </c>
      <c r="B9268" t="n">
        <v>1.4621</v>
      </c>
      <c r="C9268" t="n">
        <v>1.5202</v>
      </c>
    </row>
    <row r="9269">
      <c r="A9269" t="n">
        <v>1.4233</v>
      </c>
      <c r="B9269" t="n">
        <v>1.7061</v>
      </c>
      <c r="C9269" t="n">
        <v>1.6495</v>
      </c>
    </row>
    <row r="9270">
      <c r="A9270" t="n">
        <v>1.437</v>
      </c>
      <c r="B9270" t="n">
        <v>1.6668</v>
      </c>
      <c r="C9270" t="n">
        <v>1.5238</v>
      </c>
    </row>
    <row r="9271">
      <c r="A9271" t="n">
        <v>1.6177</v>
      </c>
      <c r="B9271" t="n">
        <v>1.4885</v>
      </c>
      <c r="C9271" t="n">
        <v>1.5513</v>
      </c>
    </row>
    <row r="9272">
      <c r="A9272" t="n">
        <v>1.882</v>
      </c>
      <c r="B9272" t="n">
        <v>1.4605</v>
      </c>
      <c r="C9272" t="n">
        <v>2.0233</v>
      </c>
    </row>
    <row r="9273">
      <c r="A9273" t="n">
        <v>1.4723</v>
      </c>
      <c r="B9273" t="n">
        <v>1.4279</v>
      </c>
      <c r="C9273" t="n">
        <v>2.12</v>
      </c>
    </row>
    <row r="9274">
      <c r="A9274" t="n">
        <v>1.4375</v>
      </c>
      <c r="B9274" t="n">
        <v>1.618</v>
      </c>
      <c r="C9274" t="n">
        <v>2.0863</v>
      </c>
    </row>
    <row r="9275">
      <c r="A9275" t="n">
        <v>1.4526</v>
      </c>
      <c r="B9275" t="n">
        <v>1.7848</v>
      </c>
      <c r="C9275" t="n">
        <v>1.8965</v>
      </c>
    </row>
    <row r="9276">
      <c r="A9276" t="n">
        <v>1.6149</v>
      </c>
      <c r="B9276" t="n">
        <v>1.4884</v>
      </c>
      <c r="C9276" t="n">
        <v>2.0455</v>
      </c>
    </row>
    <row r="9277">
      <c r="A9277" t="n">
        <v>1.8071</v>
      </c>
      <c r="B9277" t="n">
        <v>1.4636</v>
      </c>
      <c r="C9277" t="n">
        <v>1.5625</v>
      </c>
    </row>
    <row r="9278">
      <c r="A9278" t="n">
        <v>1.4841</v>
      </c>
      <c r="B9278" t="n">
        <v>1.4585</v>
      </c>
      <c r="C9278" t="n">
        <v>1.4966</v>
      </c>
    </row>
    <row r="9279">
      <c r="A9279" t="n">
        <v>1.4525</v>
      </c>
      <c r="B9279" t="n">
        <v>1.6082</v>
      </c>
      <c r="C9279" t="n">
        <v>1.4994</v>
      </c>
    </row>
    <row r="9280">
      <c r="A9280" t="n">
        <v>1.4272</v>
      </c>
      <c r="B9280" t="n">
        <v>1.7918</v>
      </c>
      <c r="C9280" t="n">
        <v>1.4182</v>
      </c>
    </row>
    <row r="9281">
      <c r="A9281" t="n">
        <v>1.5805</v>
      </c>
      <c r="B9281" t="n">
        <v>1.4883</v>
      </c>
      <c r="C9281" t="n">
        <v>1.4768</v>
      </c>
    </row>
    <row r="9282">
      <c r="A9282" t="n">
        <v>2.0375</v>
      </c>
      <c r="B9282" t="n">
        <v>1.7535</v>
      </c>
      <c r="C9282" t="n">
        <v>1.4729</v>
      </c>
    </row>
    <row r="9283">
      <c r="A9283" t="n">
        <v>1.6732</v>
      </c>
      <c r="B9283" t="n">
        <v>1.6471</v>
      </c>
      <c r="C9283" t="n">
        <v>1.4287</v>
      </c>
    </row>
    <row r="9284">
      <c r="A9284" t="n">
        <v>1.5222</v>
      </c>
      <c r="B9284" t="n">
        <v>1.5179</v>
      </c>
      <c r="C9284" t="n">
        <v>1.4553</v>
      </c>
    </row>
    <row r="9285">
      <c r="A9285" t="n">
        <v>1.6348</v>
      </c>
      <c r="B9285" t="n">
        <v>1.6952</v>
      </c>
      <c r="C9285" t="n">
        <v>1.461</v>
      </c>
    </row>
    <row r="9286">
      <c r="A9286" t="n">
        <v>1.4961</v>
      </c>
      <c r="B9286" t="n">
        <v>1.6807</v>
      </c>
      <c r="C9286" t="n">
        <v>1.4334</v>
      </c>
    </row>
    <row r="9287">
      <c r="A9287" t="n">
        <v>1.3971</v>
      </c>
      <c r="B9287" t="n">
        <v>1.5316</v>
      </c>
      <c r="C9287" t="n">
        <v>1.5082</v>
      </c>
    </row>
    <row r="9288">
      <c r="A9288" t="n">
        <v>1.4134</v>
      </c>
      <c r="B9288" t="n">
        <v>1.6104</v>
      </c>
      <c r="C9288" t="n">
        <v>1.4799</v>
      </c>
    </row>
    <row r="9289">
      <c r="A9289" t="n">
        <v>1.4306</v>
      </c>
      <c r="B9289" t="n">
        <v>1.5253</v>
      </c>
      <c r="C9289" t="n">
        <v>1.4622</v>
      </c>
    </row>
    <row r="9290">
      <c r="A9290" t="n">
        <v>1.4319</v>
      </c>
      <c r="B9290" t="n">
        <v>1.4478</v>
      </c>
      <c r="C9290" t="n">
        <v>1.4557</v>
      </c>
    </row>
    <row r="9291">
      <c r="A9291" t="n">
        <v>1.7031</v>
      </c>
      <c r="B9291" t="n">
        <v>1.3779</v>
      </c>
      <c r="C9291" t="n">
        <v>1.4239</v>
      </c>
    </row>
    <row r="9292">
      <c r="A9292" t="n">
        <v>1.723</v>
      </c>
      <c r="B9292" t="n">
        <v>1.4258</v>
      </c>
      <c r="C9292" t="n">
        <v>1.4449</v>
      </c>
    </row>
    <row r="9293">
      <c r="A9293" t="n">
        <v>1.4674</v>
      </c>
      <c r="B9293" t="n">
        <v>1.438</v>
      </c>
      <c r="C9293" t="n">
        <v>1.4396</v>
      </c>
    </row>
    <row r="9294">
      <c r="A9294" t="n">
        <v>1.4521</v>
      </c>
      <c r="B9294" t="n">
        <v>1.3935</v>
      </c>
      <c r="C9294" t="n">
        <v>1.504</v>
      </c>
    </row>
    <row r="9295">
      <c r="A9295" t="n">
        <v>1.453</v>
      </c>
      <c r="B9295" t="n">
        <v>1.4547</v>
      </c>
      <c r="C9295" t="n">
        <v>1.4793</v>
      </c>
    </row>
    <row r="9296">
      <c r="A9296" t="n">
        <v>1.5845</v>
      </c>
      <c r="B9296" t="n">
        <v>1.6025</v>
      </c>
      <c r="C9296" t="n">
        <v>1.4697</v>
      </c>
    </row>
    <row r="9297">
      <c r="A9297" t="n">
        <v>1.5153</v>
      </c>
      <c r="B9297" t="n">
        <v>1.4934</v>
      </c>
      <c r="C9297" t="n">
        <v>1.4618</v>
      </c>
    </row>
    <row r="9298">
      <c r="A9298" t="n">
        <v>1.6455</v>
      </c>
      <c r="B9298" t="n">
        <v>1.4209</v>
      </c>
      <c r="C9298" t="n">
        <v>2.0326</v>
      </c>
    </row>
    <row r="9299">
      <c r="A9299" t="n">
        <v>1.4659</v>
      </c>
      <c r="B9299" t="n">
        <v>1.4229</v>
      </c>
      <c r="C9299" t="n">
        <v>1.7064</v>
      </c>
    </row>
    <row r="9300">
      <c r="A9300" t="n">
        <v>1.438</v>
      </c>
      <c r="B9300" t="n">
        <v>1.4316</v>
      </c>
      <c r="C9300" t="n">
        <v>1.5439</v>
      </c>
    </row>
    <row r="9301">
      <c r="A9301" t="n">
        <v>1.4</v>
      </c>
      <c r="B9301" t="n">
        <v>1.4663</v>
      </c>
      <c r="C9301" t="n">
        <v>1.6636</v>
      </c>
    </row>
    <row r="9302">
      <c r="A9302" t="n">
        <v>1.4064</v>
      </c>
      <c r="B9302" t="n">
        <v>1.6559</v>
      </c>
      <c r="C9302" t="n">
        <v>1.5003</v>
      </c>
    </row>
    <row r="9303">
      <c r="A9303" t="n">
        <v>1.4594</v>
      </c>
      <c r="B9303" t="n">
        <v>1.7952</v>
      </c>
      <c r="C9303" t="n">
        <v>1.4593</v>
      </c>
    </row>
    <row r="9304">
      <c r="A9304" t="n">
        <v>1.6974</v>
      </c>
      <c r="B9304" t="n">
        <v>1.4942</v>
      </c>
      <c r="C9304" t="n">
        <v>1.6713</v>
      </c>
    </row>
    <row r="9305">
      <c r="A9305" t="n">
        <v>1.7059</v>
      </c>
      <c r="B9305" t="n">
        <v>1.452</v>
      </c>
      <c r="C9305" t="n">
        <v>1.5549</v>
      </c>
    </row>
    <row r="9306">
      <c r="A9306" t="n">
        <v>1.5093</v>
      </c>
      <c r="B9306" t="n">
        <v>1.4369</v>
      </c>
      <c r="C9306" t="n">
        <v>1.6825</v>
      </c>
    </row>
    <row r="9307">
      <c r="A9307" t="n">
        <v>1.4599</v>
      </c>
      <c r="B9307" t="n">
        <v>1.6947</v>
      </c>
      <c r="C9307" t="n">
        <v>1.4971</v>
      </c>
    </row>
    <row r="9308">
      <c r="A9308" t="n">
        <v>1.4344</v>
      </c>
      <c r="B9308" t="n">
        <v>1.7107</v>
      </c>
      <c r="C9308" t="n">
        <v>1.4497</v>
      </c>
    </row>
    <row r="9309">
      <c r="A9309" t="n">
        <v>1.6447</v>
      </c>
      <c r="B9309" t="n">
        <v>1.4699</v>
      </c>
      <c r="C9309" t="n">
        <v>1.6381</v>
      </c>
    </row>
    <row r="9310">
      <c r="A9310" t="n">
        <v>1.6971</v>
      </c>
      <c r="B9310" t="n">
        <v>1.4393</v>
      </c>
      <c r="C9310" t="n">
        <v>1.5171</v>
      </c>
    </row>
    <row r="9311">
      <c r="A9311" t="n">
        <v>1.4939</v>
      </c>
      <c r="B9311" t="n">
        <v>1.4316</v>
      </c>
      <c r="C9311" t="n">
        <v>1.6546</v>
      </c>
    </row>
    <row r="9312">
      <c r="A9312" t="n">
        <v>1.4314</v>
      </c>
      <c r="B9312" t="n">
        <v>1.5988</v>
      </c>
      <c r="C9312" t="n">
        <v>1.5012</v>
      </c>
    </row>
    <row r="9313">
      <c r="A9313" t="n">
        <v>1.4518</v>
      </c>
      <c r="B9313" t="n">
        <v>1.5475</v>
      </c>
      <c r="C9313" t="n">
        <v>1.4471</v>
      </c>
    </row>
    <row r="9314">
      <c r="A9314" t="n">
        <v>1.9439</v>
      </c>
      <c r="B9314" t="n">
        <v>2.0046</v>
      </c>
      <c r="C9314" t="n">
        <v>1.4115</v>
      </c>
    </row>
    <row r="9315">
      <c r="A9315" t="n">
        <v>1.6913</v>
      </c>
      <c r="B9315" t="n">
        <v>1.7136</v>
      </c>
      <c r="C9315" t="n">
        <v>1.4317</v>
      </c>
    </row>
    <row r="9316">
      <c r="A9316" t="n">
        <v>1.7324</v>
      </c>
      <c r="B9316" t="n">
        <v>1.6545</v>
      </c>
      <c r="C9316" t="n">
        <v>1.4283</v>
      </c>
    </row>
    <row r="9317">
      <c r="A9317" t="n">
        <v>1.4972</v>
      </c>
      <c r="B9317" t="n">
        <v>1.5108</v>
      </c>
      <c r="C9317" t="n">
        <v>1.4801</v>
      </c>
    </row>
    <row r="9318">
      <c r="A9318" t="n">
        <v>1.6361</v>
      </c>
      <c r="B9318" t="n">
        <v>1.4342</v>
      </c>
      <c r="C9318" t="n">
        <v>1.7984</v>
      </c>
    </row>
    <row r="9319">
      <c r="A9319" t="n">
        <v>1.515</v>
      </c>
      <c r="B9319" t="n">
        <v>1.4257</v>
      </c>
      <c r="C9319" t="n">
        <v>1.4798</v>
      </c>
    </row>
    <row r="9320">
      <c r="A9320" t="n">
        <v>1.4038</v>
      </c>
      <c r="B9320" t="n">
        <v>1.4411</v>
      </c>
      <c r="C9320" t="n">
        <v>1.4406</v>
      </c>
    </row>
    <row r="9321">
      <c r="A9321" t="n">
        <v>1.4304</v>
      </c>
      <c r="B9321" t="n">
        <v>1.4227</v>
      </c>
      <c r="C9321" t="n">
        <v>1.4554</v>
      </c>
    </row>
    <row r="9322">
      <c r="A9322" t="n">
        <v>1.4395</v>
      </c>
      <c r="B9322" t="n">
        <v>1.6688</v>
      </c>
      <c r="C9322" t="n">
        <v>1.6409</v>
      </c>
    </row>
    <row r="9323">
      <c r="A9323" t="n">
        <v>1.4219</v>
      </c>
      <c r="B9323" t="n">
        <v>1.7</v>
      </c>
      <c r="C9323" t="n">
        <v>1.7597</v>
      </c>
    </row>
    <row r="9324">
      <c r="A9324" t="n">
        <v>1.6907</v>
      </c>
      <c r="B9324" t="n">
        <v>1.4793</v>
      </c>
      <c r="C9324" t="n">
        <v>1.5153</v>
      </c>
    </row>
    <row r="9325">
      <c r="A9325" t="n">
        <v>1.7295</v>
      </c>
      <c r="B9325" t="n">
        <v>1.443</v>
      </c>
      <c r="C9325" t="n">
        <v>1.4493</v>
      </c>
    </row>
    <row r="9326">
      <c r="A9326" t="n">
        <v>1.4671</v>
      </c>
      <c r="B9326" t="n">
        <v>1.4593</v>
      </c>
      <c r="C9326" t="n">
        <v>1.4497</v>
      </c>
    </row>
    <row r="9327">
      <c r="A9327" t="n">
        <v>1.4362</v>
      </c>
      <c r="B9327" t="n">
        <v>1.5962</v>
      </c>
      <c r="C9327" t="n">
        <v>1.4061</v>
      </c>
    </row>
    <row r="9328">
      <c r="A9328" t="n">
        <v>1.4357</v>
      </c>
      <c r="B9328" t="n">
        <v>1.5243</v>
      </c>
      <c r="C9328" t="n">
        <v>1.4639</v>
      </c>
    </row>
    <row r="9329">
      <c r="A9329" t="n">
        <v>1.6373</v>
      </c>
      <c r="B9329" t="n">
        <v>1.6639</v>
      </c>
      <c r="C9329" t="n">
        <v>1.6395</v>
      </c>
    </row>
    <row r="9330">
      <c r="A9330" t="n">
        <v>1.5213</v>
      </c>
      <c r="B9330" t="n">
        <v>1.4829</v>
      </c>
      <c r="C9330" t="n">
        <v>1.8728</v>
      </c>
    </row>
    <row r="9331">
      <c r="A9331" t="n">
        <v>1.6422</v>
      </c>
      <c r="B9331" t="n">
        <v>1.4398</v>
      </c>
      <c r="C9331" t="n">
        <v>1.4514</v>
      </c>
    </row>
    <row r="9332">
      <c r="A9332" t="n">
        <v>1.4708</v>
      </c>
      <c r="B9332" t="n">
        <v>1.4176</v>
      </c>
      <c r="C9332" t="n">
        <v>1.4018</v>
      </c>
    </row>
    <row r="9333">
      <c r="A9333" t="n">
        <v>1.4304</v>
      </c>
      <c r="B9333" t="n">
        <v>1.4205</v>
      </c>
      <c r="C9333" t="n">
        <v>1.4502</v>
      </c>
    </row>
    <row r="9334">
      <c r="A9334" t="n">
        <v>1.6032</v>
      </c>
      <c r="B9334" t="n">
        <v>1.4269</v>
      </c>
      <c r="C9334" t="n">
        <v>1.651</v>
      </c>
    </row>
    <row r="9335">
      <c r="A9335" t="n">
        <v>1.5203</v>
      </c>
      <c r="B9335" t="n">
        <v>1.3771</v>
      </c>
      <c r="C9335" t="n">
        <v>1.5566</v>
      </c>
    </row>
    <row r="9336">
      <c r="A9336" t="n">
        <v>1.6481</v>
      </c>
      <c r="B9336" t="n">
        <v>1.476</v>
      </c>
      <c r="C9336" t="n">
        <v>1.4526</v>
      </c>
    </row>
    <row r="9337">
      <c r="A9337" t="n">
        <v>1.4786</v>
      </c>
      <c r="B9337" t="n">
        <v>1.6198</v>
      </c>
      <c r="C9337" t="n">
        <v>1.4082</v>
      </c>
    </row>
    <row r="9338">
      <c r="A9338" t="n">
        <v>1.395</v>
      </c>
      <c r="B9338" t="n">
        <v>1.5456</v>
      </c>
      <c r="C9338" t="n">
        <v>1.4397</v>
      </c>
    </row>
    <row r="9339">
      <c r="A9339" t="n">
        <v>1.4182</v>
      </c>
      <c r="B9339" t="n">
        <v>1.4329</v>
      </c>
      <c r="C9339" t="n">
        <v>1.4255</v>
      </c>
    </row>
    <row r="9340">
      <c r="A9340" t="n">
        <v>1.4231</v>
      </c>
      <c r="B9340" t="n">
        <v>1.4053</v>
      </c>
      <c r="C9340" t="n">
        <v>1.5955</v>
      </c>
    </row>
    <row r="9341">
      <c r="A9341" t="n">
        <v>1.4062</v>
      </c>
      <c r="B9341" t="n">
        <v>1.4422</v>
      </c>
      <c r="C9341" t="n">
        <v>1.925</v>
      </c>
    </row>
    <row r="9342">
      <c r="A9342" t="n">
        <v>1.6189</v>
      </c>
      <c r="B9342" t="n">
        <v>1.4319</v>
      </c>
      <c r="C9342" t="n">
        <v>1.501</v>
      </c>
    </row>
    <row r="9343">
      <c r="A9343" t="n">
        <v>1.8119</v>
      </c>
      <c r="B9343" t="n">
        <v>1.6755</v>
      </c>
      <c r="C9343" t="n">
        <v>1.4318</v>
      </c>
    </row>
    <row r="9344">
      <c r="A9344" t="n">
        <v>1.4554</v>
      </c>
      <c r="B9344" t="n">
        <v>1.7317</v>
      </c>
      <c r="C9344" t="n">
        <v>1.4403</v>
      </c>
    </row>
    <row r="9345">
      <c r="A9345" t="n">
        <v>1.4401</v>
      </c>
      <c r="B9345" t="n">
        <v>1.4739</v>
      </c>
      <c r="C9345" t="n">
        <v>1.6692</v>
      </c>
    </row>
    <row r="9346">
      <c r="A9346" t="n">
        <v>1.7458</v>
      </c>
      <c r="B9346" t="n">
        <v>1.7893</v>
      </c>
      <c r="C9346" t="n">
        <v>1.6995</v>
      </c>
    </row>
    <row r="9347">
      <c r="A9347" t="n">
        <v>1.4191</v>
      </c>
      <c r="B9347" t="n">
        <v>1.671</v>
      </c>
      <c r="C9347" t="n">
        <v>1.5226</v>
      </c>
    </row>
    <row r="9348">
      <c r="A9348" t="n">
        <v>1.44</v>
      </c>
      <c r="B9348" t="n">
        <v>1.5007</v>
      </c>
      <c r="C9348" t="n">
        <v>1.4638</v>
      </c>
    </row>
    <row r="9349">
      <c r="A9349" t="n">
        <v>1.6269</v>
      </c>
      <c r="B9349" t="n">
        <v>1.4223</v>
      </c>
      <c r="C9349" t="n">
        <v>1.4328</v>
      </c>
    </row>
    <row r="9350">
      <c r="A9350" t="n">
        <v>1.4603</v>
      </c>
      <c r="B9350" t="n">
        <v>1.4159</v>
      </c>
      <c r="C9350" t="n">
        <v>1.6028</v>
      </c>
    </row>
    <row r="9351">
      <c r="A9351" t="n">
        <v>1.4418</v>
      </c>
      <c r="B9351" t="n">
        <v>1.448</v>
      </c>
      <c r="C9351" t="n">
        <v>1.5544</v>
      </c>
    </row>
    <row r="9352">
      <c r="A9352" t="n">
        <v>1.4031</v>
      </c>
      <c r="B9352" t="n">
        <v>1.4472</v>
      </c>
      <c r="C9352" t="n">
        <v>1.4074</v>
      </c>
    </row>
    <row r="9353">
      <c r="A9353" t="n">
        <v>1.3991</v>
      </c>
      <c r="B9353" t="n">
        <v>1.7207</v>
      </c>
      <c r="C9353" t="n">
        <v>1.4944</v>
      </c>
    </row>
    <row r="9354">
      <c r="A9354" t="n">
        <v>1.414</v>
      </c>
      <c r="B9354" t="n">
        <v>1.6751</v>
      </c>
      <c r="C9354" t="n">
        <v>1.4239</v>
      </c>
    </row>
    <row r="9355">
      <c r="A9355" t="n">
        <v>1.6449</v>
      </c>
      <c r="B9355" t="n">
        <v>1.4815</v>
      </c>
      <c r="C9355" t="n">
        <v>1.43</v>
      </c>
    </row>
    <row r="9356">
      <c r="A9356" t="n">
        <v>1.7261</v>
      </c>
      <c r="B9356" t="n">
        <v>1.4337</v>
      </c>
      <c r="C9356" t="n">
        <v>1.4533</v>
      </c>
    </row>
    <row r="9357">
      <c r="A9357" t="n">
        <v>1.4754</v>
      </c>
      <c r="B9357" t="n">
        <v>1.4117</v>
      </c>
      <c r="C9357" t="n">
        <v>1.4422</v>
      </c>
    </row>
    <row r="9358">
      <c r="A9358" t="n">
        <v>1.4323</v>
      </c>
      <c r="B9358" t="n">
        <v>1.6695</v>
      </c>
      <c r="C9358" t="n">
        <v>1.6192</v>
      </c>
    </row>
    <row r="9359">
      <c r="A9359" t="n">
        <v>1.4315</v>
      </c>
      <c r="B9359" t="n">
        <v>1.5955</v>
      </c>
      <c r="C9359" t="n">
        <v>1.7586</v>
      </c>
    </row>
    <row r="9360">
      <c r="A9360" t="n">
        <v>1.6067</v>
      </c>
      <c r="B9360" t="n">
        <v>1.4087</v>
      </c>
      <c r="C9360" t="n">
        <v>1.5108</v>
      </c>
    </row>
    <row r="9361">
      <c r="A9361" t="n">
        <v>1.5251</v>
      </c>
      <c r="B9361" t="n">
        <v>1.4521</v>
      </c>
      <c r="C9361" t="n">
        <v>1.4309</v>
      </c>
    </row>
    <row r="9362">
      <c r="A9362" t="n">
        <v>1.6145</v>
      </c>
      <c r="B9362" t="n">
        <v>1.4091</v>
      </c>
      <c r="C9362" t="n">
        <v>1.9767</v>
      </c>
    </row>
    <row r="9363">
      <c r="A9363" t="n">
        <v>1.4628</v>
      </c>
      <c r="B9363" t="n">
        <v>1.3846</v>
      </c>
      <c r="C9363" t="n">
        <v>1.535</v>
      </c>
    </row>
    <row r="9364">
      <c r="A9364" t="n">
        <v>1.4348</v>
      </c>
      <c r="B9364" t="n">
        <v>1.4378</v>
      </c>
      <c r="C9364" t="n">
        <v>1.4317</v>
      </c>
    </row>
    <row r="9365">
      <c r="A9365" t="n">
        <v>1.4015</v>
      </c>
      <c r="B9365" t="n">
        <v>1.4577</v>
      </c>
      <c r="C9365" t="n">
        <v>1.4224</v>
      </c>
    </row>
    <row r="9366">
      <c r="A9366" t="n">
        <v>1.4273</v>
      </c>
      <c r="B9366" t="n">
        <v>1.4575</v>
      </c>
      <c r="C9366" t="n">
        <v>1.5046</v>
      </c>
    </row>
    <row r="9367">
      <c r="A9367" t="n">
        <v>1.4988</v>
      </c>
      <c r="B9367" t="n">
        <v>1.4437</v>
      </c>
      <c r="C9367" t="n">
        <v>1.4475</v>
      </c>
    </row>
    <row r="9368">
      <c r="A9368" t="n">
        <v>1.7198</v>
      </c>
      <c r="B9368" t="n">
        <v>1.6625</v>
      </c>
      <c r="C9368" t="n">
        <v>1.6432</v>
      </c>
    </row>
    <row r="9369">
      <c r="A9369" t="n">
        <v>1.731</v>
      </c>
      <c r="B9369" t="n">
        <v>1.5111</v>
      </c>
      <c r="C9369" t="n">
        <v>1.7023</v>
      </c>
    </row>
    <row r="9370">
      <c r="A9370" t="n">
        <v>1.6999</v>
      </c>
      <c r="B9370" t="n">
        <v>1.4538</v>
      </c>
      <c r="C9370" t="n">
        <v>1.496</v>
      </c>
    </row>
    <row r="9371">
      <c r="A9371" t="n">
        <v>1.5069</v>
      </c>
      <c r="B9371" t="n">
        <v>1.4278</v>
      </c>
      <c r="C9371" t="n">
        <v>1.4578</v>
      </c>
    </row>
    <row r="9372">
      <c r="A9372" t="n">
        <v>1.6044</v>
      </c>
      <c r="B9372" t="n">
        <v>1.4287</v>
      </c>
      <c r="C9372" t="n">
        <v>1.4176</v>
      </c>
    </row>
    <row r="9373">
      <c r="A9373" t="n">
        <v>1.51</v>
      </c>
      <c r="B9373" t="n">
        <v>1.4383</v>
      </c>
      <c r="C9373" t="n">
        <v>1.6256</v>
      </c>
    </row>
    <row r="9374">
      <c r="A9374" t="n">
        <v>1.4197</v>
      </c>
      <c r="B9374" t="n">
        <v>1.6277</v>
      </c>
      <c r="C9374" t="n">
        <v>1.5092</v>
      </c>
    </row>
    <row r="9375">
      <c r="A9375" t="n">
        <v>1.4444</v>
      </c>
      <c r="B9375" t="n">
        <v>1.7402</v>
      </c>
      <c r="C9375" t="n">
        <v>1.65</v>
      </c>
    </row>
    <row r="9376">
      <c r="A9376" t="n">
        <v>1.4381</v>
      </c>
      <c r="B9376" t="n">
        <v>1.518</v>
      </c>
      <c r="C9376" t="n">
        <v>1.4969</v>
      </c>
    </row>
    <row r="9377">
      <c r="A9377" t="n">
        <v>1.4134</v>
      </c>
      <c r="B9377" t="n">
        <v>1.4925</v>
      </c>
      <c r="C9377" t="n">
        <v>1.4573</v>
      </c>
    </row>
    <row r="9378">
      <c r="A9378" t="n">
        <v>1.9648</v>
      </c>
      <c r="B9378" t="n">
        <v>2.05</v>
      </c>
      <c r="C9378" t="n">
        <v>1.6206</v>
      </c>
    </row>
    <row r="9379">
      <c r="A9379" t="n">
        <v>1.7326</v>
      </c>
      <c r="B9379" t="n">
        <v>1.526</v>
      </c>
      <c r="C9379" t="n">
        <v>1.5006</v>
      </c>
    </row>
    <row r="9380">
      <c r="A9380" t="n">
        <v>1.6678</v>
      </c>
      <c r="B9380" t="n">
        <v>1.4296</v>
      </c>
      <c r="C9380" t="n">
        <v>1.6384</v>
      </c>
    </row>
    <row r="9381">
      <c r="A9381" t="n">
        <v>1.5102</v>
      </c>
      <c r="B9381" t="n">
        <v>1.3957</v>
      </c>
      <c r="C9381" t="n">
        <v>1.5047</v>
      </c>
    </row>
    <row r="9382">
      <c r="A9382" t="n">
        <v>1.6352</v>
      </c>
      <c r="B9382" t="n">
        <v>1.4472</v>
      </c>
      <c r="C9382" t="n">
        <v>1.4015</v>
      </c>
    </row>
    <row r="9383">
      <c r="A9383" t="n">
        <v>1.4933</v>
      </c>
      <c r="B9383" t="n">
        <v>1.4378</v>
      </c>
      <c r="C9383" t="n">
        <v>1.4026</v>
      </c>
    </row>
    <row r="9384">
      <c r="A9384" t="n">
        <v>1.4233</v>
      </c>
      <c r="B9384" t="n">
        <v>1.5955</v>
      </c>
      <c r="C9384" t="n">
        <v>1.4225</v>
      </c>
    </row>
    <row r="9385">
      <c r="A9385" t="n">
        <v>1.3844</v>
      </c>
      <c r="B9385" t="n">
        <v>1.5542</v>
      </c>
      <c r="C9385" t="n">
        <v>1.4526</v>
      </c>
    </row>
    <row r="9386">
      <c r="A9386" t="n">
        <v>1.4144</v>
      </c>
      <c r="B9386" t="n">
        <v>1.4379</v>
      </c>
      <c r="C9386" t="n">
        <v>1.4248</v>
      </c>
    </row>
    <row r="9387">
      <c r="A9387" t="n">
        <v>1.4371</v>
      </c>
      <c r="B9387" t="n">
        <v>1.4079</v>
      </c>
      <c r="C9387" t="n">
        <v>1.4493</v>
      </c>
    </row>
    <row r="9388">
      <c r="A9388" t="n">
        <v>1.4093</v>
      </c>
      <c r="B9388" t="n">
        <v>1.6832</v>
      </c>
      <c r="C9388" t="n">
        <v>1.661</v>
      </c>
    </row>
    <row r="9389">
      <c r="A9389" t="n">
        <v>1.4401</v>
      </c>
      <c r="B9389" t="n">
        <v>1.663</v>
      </c>
      <c r="C9389" t="n">
        <v>1.5143</v>
      </c>
    </row>
    <row r="9390">
      <c r="A9390" t="n">
        <v>1.6259</v>
      </c>
      <c r="B9390" t="n">
        <v>1.5197</v>
      </c>
      <c r="C9390" t="n">
        <v>1.4534</v>
      </c>
    </row>
    <row r="9391">
      <c r="A9391" t="n">
        <v>1.5156</v>
      </c>
      <c r="B9391" t="n">
        <v>1.6395</v>
      </c>
      <c r="C9391" t="n">
        <v>1.3737</v>
      </c>
    </row>
    <row r="9392">
      <c r="A9392" t="n">
        <v>1.4062</v>
      </c>
      <c r="B9392" t="n">
        <v>1.4937</v>
      </c>
      <c r="C9392" t="n">
        <v>1.4395</v>
      </c>
    </row>
    <row r="9393">
      <c r="A9393" t="n">
        <v>1.4177</v>
      </c>
      <c r="B9393" t="n">
        <v>1.4543</v>
      </c>
      <c r="C9393" t="n">
        <v>1.433</v>
      </c>
    </row>
    <row r="9394">
      <c r="A9394" t="n">
        <v>1.4142</v>
      </c>
      <c r="B9394" t="n">
        <v>1.4215</v>
      </c>
      <c r="C9394" t="n">
        <v>1.7538</v>
      </c>
    </row>
    <row r="9395">
      <c r="A9395" t="n">
        <v>1.4125</v>
      </c>
      <c r="B9395" t="n">
        <v>1.4335</v>
      </c>
      <c r="C9395" t="n">
        <v>1.6689</v>
      </c>
    </row>
    <row r="9396">
      <c r="A9396" t="n">
        <v>1.639</v>
      </c>
      <c r="B9396" t="n">
        <v>1.4311</v>
      </c>
      <c r="C9396" t="n">
        <v>1.5104</v>
      </c>
    </row>
    <row r="9397">
      <c r="A9397" t="n">
        <v>1.5443</v>
      </c>
      <c r="B9397" t="n">
        <v>1.4325</v>
      </c>
      <c r="C9397" t="n">
        <v>1.4311</v>
      </c>
    </row>
    <row r="9398">
      <c r="A9398" t="n">
        <v>1.6455</v>
      </c>
      <c r="B9398" t="n">
        <v>1.4494</v>
      </c>
      <c r="C9398" t="n">
        <v>1.4285</v>
      </c>
    </row>
    <row r="9399">
      <c r="A9399" t="n">
        <v>1.4943</v>
      </c>
      <c r="B9399" t="n">
        <v>1.6041</v>
      </c>
      <c r="C9399" t="n">
        <v>1.6997</v>
      </c>
    </row>
    <row r="9400">
      <c r="A9400" t="n">
        <v>1.4636</v>
      </c>
      <c r="B9400" t="n">
        <v>1.4847</v>
      </c>
      <c r="C9400" t="n">
        <v>1.6801</v>
      </c>
    </row>
    <row r="9401">
      <c r="A9401" t="n">
        <v>1.6177</v>
      </c>
      <c r="B9401" t="n">
        <v>1.4497</v>
      </c>
      <c r="C9401" t="n">
        <v>1.5105</v>
      </c>
    </row>
    <row r="9402">
      <c r="A9402" t="n">
        <v>1.5388</v>
      </c>
      <c r="B9402" t="n">
        <v>1.3813</v>
      </c>
      <c r="C9402" t="n">
        <v>1.4461</v>
      </c>
    </row>
    <row r="9403">
      <c r="A9403" t="n">
        <v>1.6436</v>
      </c>
      <c r="B9403" t="n">
        <v>1.4437</v>
      </c>
      <c r="C9403" t="n">
        <v>1.4203</v>
      </c>
    </row>
    <row r="9404">
      <c r="A9404" t="n">
        <v>1.4583</v>
      </c>
      <c r="B9404" t="n">
        <v>1.4607</v>
      </c>
      <c r="C9404" t="n">
        <v>1.6017</v>
      </c>
    </row>
    <row r="9405">
      <c r="A9405" t="n">
        <v>1.4737</v>
      </c>
      <c r="B9405" t="n">
        <v>1.6611</v>
      </c>
      <c r="C9405" t="n">
        <v>1.6258</v>
      </c>
    </row>
    <row r="9406">
      <c r="A9406" t="n">
        <v>1.401</v>
      </c>
      <c r="B9406" t="n">
        <v>1.7072</v>
      </c>
      <c r="C9406" t="n">
        <v>1.4301</v>
      </c>
    </row>
    <row r="9407">
      <c r="A9407" t="n">
        <v>1.4138</v>
      </c>
      <c r="B9407" t="n">
        <v>1.4911</v>
      </c>
      <c r="C9407" t="n">
        <v>1.46</v>
      </c>
    </row>
    <row r="9408">
      <c r="A9408" t="n">
        <v>1.4258</v>
      </c>
      <c r="B9408" t="n">
        <v>1.4398</v>
      </c>
      <c r="C9408" t="n">
        <v>1.4149</v>
      </c>
    </row>
    <row r="9409">
      <c r="A9409" t="n">
        <v>1.6581</v>
      </c>
      <c r="B9409" t="n">
        <v>1.427</v>
      </c>
      <c r="C9409" t="n">
        <v>1.4381</v>
      </c>
    </row>
    <row r="9410">
      <c r="A9410" t="n">
        <v>2.0151</v>
      </c>
      <c r="B9410" t="n">
        <v>1.9824</v>
      </c>
      <c r="C9410" t="n">
        <v>1.4404</v>
      </c>
    </row>
    <row r="9411">
      <c r="A9411" t="n">
        <v>1.7026</v>
      </c>
      <c r="B9411" t="n">
        <v>1.721</v>
      </c>
      <c r="C9411" t="n">
        <v>1.4583</v>
      </c>
    </row>
    <row r="9412">
      <c r="A9412" t="n">
        <v>1.5281</v>
      </c>
      <c r="B9412" t="n">
        <v>1.6629</v>
      </c>
      <c r="C9412" t="n">
        <v>1.7025</v>
      </c>
    </row>
    <row r="9413">
      <c r="A9413" t="n">
        <v>1.6197</v>
      </c>
      <c r="B9413" t="n">
        <v>1.5411</v>
      </c>
      <c r="C9413" t="n">
        <v>1.6888</v>
      </c>
    </row>
    <row r="9414">
      <c r="A9414" t="n">
        <v>1.4895</v>
      </c>
      <c r="B9414" t="n">
        <v>1.6182</v>
      </c>
      <c r="C9414" t="n">
        <v>1.4833</v>
      </c>
    </row>
    <row r="9415">
      <c r="A9415" t="n">
        <v>1.4323</v>
      </c>
      <c r="B9415" t="n">
        <v>1.4856</v>
      </c>
      <c r="C9415" t="n">
        <v>1.4377</v>
      </c>
    </row>
    <row r="9416">
      <c r="A9416" t="n">
        <v>1.616</v>
      </c>
      <c r="B9416" t="n">
        <v>1.4483</v>
      </c>
      <c r="C9416" t="n">
        <v>1.4495</v>
      </c>
    </row>
    <row r="9417">
      <c r="A9417" t="n">
        <v>1.5462</v>
      </c>
      <c r="B9417" t="n">
        <v>1.6487</v>
      </c>
      <c r="C9417" t="n">
        <v>1.6757</v>
      </c>
    </row>
    <row r="9418">
      <c r="A9418" t="n">
        <v>1.6401</v>
      </c>
      <c r="B9418" t="n">
        <v>1.5266</v>
      </c>
      <c r="C9418" t="n">
        <v>1.6741</v>
      </c>
    </row>
    <row r="9419">
      <c r="A9419" t="n">
        <v>1.4746</v>
      </c>
      <c r="B9419" t="n">
        <v>1.619</v>
      </c>
      <c r="C9419" t="n">
        <v>1.4942</v>
      </c>
    </row>
    <row r="9420">
      <c r="A9420" t="n">
        <v>1.4182</v>
      </c>
      <c r="B9420" t="n">
        <v>1.5011</v>
      </c>
      <c r="C9420" t="n">
        <v>1.4414</v>
      </c>
    </row>
    <row r="9421">
      <c r="A9421" t="n">
        <v>1.4334</v>
      </c>
      <c r="B9421" t="n">
        <v>1.4371</v>
      </c>
      <c r="C9421" t="n">
        <v>1.4505</v>
      </c>
    </row>
    <row r="9422">
      <c r="A9422" t="n">
        <v>1.4148</v>
      </c>
      <c r="B9422" t="n">
        <v>1.4427</v>
      </c>
      <c r="C9422" t="n">
        <v>1.6477</v>
      </c>
    </row>
    <row r="9423">
      <c r="A9423" t="n">
        <v>1.4284</v>
      </c>
      <c r="B9423" t="n">
        <v>1.4496</v>
      </c>
      <c r="C9423" t="n">
        <v>1.5725</v>
      </c>
    </row>
    <row r="9424">
      <c r="A9424" t="n">
        <v>1.6102</v>
      </c>
      <c r="B9424" t="n">
        <v>1.4517</v>
      </c>
      <c r="C9424" t="n">
        <v>1.3982</v>
      </c>
    </row>
    <row r="9425">
      <c r="A9425" t="n">
        <v>1.791</v>
      </c>
      <c r="B9425" t="n">
        <v>1.6623</v>
      </c>
      <c r="C9425" t="n">
        <v>1.4511</v>
      </c>
    </row>
    <row r="9426">
      <c r="A9426" t="n">
        <v>1.4858</v>
      </c>
      <c r="B9426" t="n">
        <v>1.6832</v>
      </c>
      <c r="C9426" t="n">
        <v>1.7675</v>
      </c>
    </row>
    <row r="9427">
      <c r="A9427" t="n">
        <v>1.4468</v>
      </c>
      <c r="B9427" t="n">
        <v>1.4834</v>
      </c>
      <c r="C9427" t="n">
        <v>1.5997</v>
      </c>
    </row>
    <row r="9428">
      <c r="A9428" t="n">
        <v>1.4496</v>
      </c>
      <c r="B9428" t="n">
        <v>1.5062</v>
      </c>
      <c r="C9428" t="n">
        <v>1.5765</v>
      </c>
    </row>
    <row r="9429">
      <c r="A9429" t="n">
        <v>1.6087</v>
      </c>
      <c r="B9429" t="n">
        <v>1.4393</v>
      </c>
      <c r="C9429" t="n">
        <v>1.4263</v>
      </c>
    </row>
    <row r="9430">
      <c r="A9430" t="n">
        <v>1.4875</v>
      </c>
      <c r="B9430" t="n">
        <v>1.6459</v>
      </c>
      <c r="C9430" t="n">
        <v>1.4122</v>
      </c>
    </row>
    <row r="9431">
      <c r="A9431" t="n">
        <v>1.3894</v>
      </c>
      <c r="B9431" t="n">
        <v>1.6771</v>
      </c>
      <c r="C9431" t="n">
        <v>1.3997</v>
      </c>
    </row>
    <row r="9432">
      <c r="A9432" t="n">
        <v>1.4537</v>
      </c>
      <c r="B9432" t="n">
        <v>1.4784</v>
      </c>
      <c r="C9432" t="n">
        <v>1.4842</v>
      </c>
    </row>
    <row r="9433">
      <c r="A9433" t="n">
        <v>1.6949</v>
      </c>
      <c r="B9433" t="n">
        <v>1.4614</v>
      </c>
      <c r="C9433" t="n">
        <v>1.4229</v>
      </c>
    </row>
    <row r="9434">
      <c r="A9434" t="n">
        <v>1.6981</v>
      </c>
      <c r="B9434" t="n">
        <v>1.453</v>
      </c>
      <c r="C9434" t="n">
        <v>1.463</v>
      </c>
    </row>
    <row r="9435">
      <c r="A9435" t="n">
        <v>1.5299</v>
      </c>
      <c r="B9435" t="n">
        <v>1.5937</v>
      </c>
      <c r="C9435" t="n">
        <v>1.6179</v>
      </c>
    </row>
    <row r="9436">
      <c r="A9436" t="n">
        <v>1.6604</v>
      </c>
      <c r="B9436" t="n">
        <v>1.5485</v>
      </c>
      <c r="C9436" t="n">
        <v>1.5239</v>
      </c>
    </row>
    <row r="9437">
      <c r="A9437" t="n">
        <v>1.4789</v>
      </c>
      <c r="B9437" t="n">
        <v>1.6484</v>
      </c>
      <c r="C9437" t="n">
        <v>1.4162</v>
      </c>
    </row>
    <row r="9438">
      <c r="A9438" t="n">
        <v>1.4594</v>
      </c>
      <c r="B9438" t="n">
        <v>1.4811</v>
      </c>
      <c r="C9438" t="n">
        <v>1.4435</v>
      </c>
    </row>
    <row r="9439">
      <c r="A9439" t="n">
        <v>1.3947</v>
      </c>
      <c r="B9439" t="n">
        <v>1.45</v>
      </c>
      <c r="C9439" t="n">
        <v>1.3902</v>
      </c>
    </row>
    <row r="9440">
      <c r="A9440" t="n">
        <v>1.4097</v>
      </c>
      <c r="B9440" t="n">
        <v>1.4097</v>
      </c>
      <c r="C9440" t="n">
        <v>1.4463</v>
      </c>
    </row>
    <row r="9441">
      <c r="A9441" t="n">
        <v>1.4317</v>
      </c>
      <c r="B9441" t="n">
        <v>1.4254</v>
      </c>
      <c r="C9441" t="n">
        <v>1.4431</v>
      </c>
    </row>
    <row r="9442">
      <c r="A9442" t="n">
        <v>1.9889</v>
      </c>
      <c r="B9442" t="n">
        <v>1.756</v>
      </c>
      <c r="C9442" t="n">
        <v>1.449</v>
      </c>
    </row>
    <row r="9443">
      <c r="A9443" t="n">
        <v>1.7134</v>
      </c>
      <c r="B9443" t="n">
        <v>1.4762</v>
      </c>
      <c r="C9443" t="n">
        <v>1.6803</v>
      </c>
    </row>
    <row r="9444">
      <c r="A9444" t="n">
        <v>1.69</v>
      </c>
      <c r="B9444" t="n">
        <v>1.6728</v>
      </c>
      <c r="C9444" t="n">
        <v>1.8797</v>
      </c>
    </row>
    <row r="9445">
      <c r="A9445" t="n">
        <v>1.576</v>
      </c>
      <c r="B9445" t="n">
        <v>1.7243</v>
      </c>
      <c r="C9445" t="n">
        <v>1.4788</v>
      </c>
    </row>
    <row r="9446">
      <c r="A9446" t="n">
        <v>1.4145</v>
      </c>
      <c r="B9446" t="n">
        <v>1.5155</v>
      </c>
      <c r="C9446" t="n">
        <v>1.4381</v>
      </c>
    </row>
    <row r="9447">
      <c r="A9447" t="n">
        <v>1.441</v>
      </c>
      <c r="B9447" t="n">
        <v>1.6186</v>
      </c>
      <c r="C9447" t="n">
        <v>1.4369</v>
      </c>
    </row>
    <row r="9448">
      <c r="A9448" t="n">
        <v>1.4062</v>
      </c>
      <c r="B9448" t="n">
        <v>1.542</v>
      </c>
      <c r="C9448" t="n">
        <v>1.6717</v>
      </c>
    </row>
    <row r="9449">
      <c r="A9449" t="n">
        <v>1.3924</v>
      </c>
      <c r="B9449" t="n">
        <v>1.422</v>
      </c>
      <c r="C9449" t="n">
        <v>1.674</v>
      </c>
    </row>
    <row r="9450">
      <c r="A9450" t="n">
        <v>1.4385</v>
      </c>
      <c r="B9450" t="n">
        <v>1.3861</v>
      </c>
      <c r="C9450" t="n">
        <v>1.4988</v>
      </c>
    </row>
    <row r="9451">
      <c r="A9451" t="n">
        <v>1.4839</v>
      </c>
      <c r="B9451" t="n">
        <v>1.4408</v>
      </c>
      <c r="C9451" t="n">
        <v>1.4362</v>
      </c>
    </row>
    <row r="9452">
      <c r="A9452" t="n">
        <v>1.3845</v>
      </c>
      <c r="B9452" t="n">
        <v>1.4165</v>
      </c>
      <c r="C9452" t="n">
        <v>1.4727</v>
      </c>
    </row>
    <row r="9453">
      <c r="A9453" t="n">
        <v>1.4605</v>
      </c>
      <c r="B9453" t="n">
        <v>1.5917</v>
      </c>
      <c r="C9453" t="n">
        <v>1.611</v>
      </c>
    </row>
    <row r="9454">
      <c r="A9454" t="n">
        <v>1.6464</v>
      </c>
      <c r="B9454" t="n">
        <v>1.7714</v>
      </c>
      <c r="C9454" t="n">
        <v>1.5164</v>
      </c>
    </row>
    <row r="9455">
      <c r="A9455" t="n">
        <v>1.5223</v>
      </c>
      <c r="B9455" t="n">
        <v>1.4893</v>
      </c>
      <c r="C9455" t="n">
        <v>1.6585</v>
      </c>
    </row>
    <row r="9456">
      <c r="A9456" t="n">
        <v>1.6808</v>
      </c>
      <c r="B9456" t="n">
        <v>1.4165</v>
      </c>
      <c r="C9456" t="n">
        <v>1.4899</v>
      </c>
    </row>
    <row r="9457">
      <c r="A9457" t="n">
        <v>1.7114</v>
      </c>
      <c r="B9457" t="n">
        <v>1.4427</v>
      </c>
      <c r="C9457" t="n">
        <v>1.4336</v>
      </c>
    </row>
    <row r="9458">
      <c r="A9458" t="n">
        <v>1.496</v>
      </c>
      <c r="B9458" t="n">
        <v>1.5983</v>
      </c>
      <c r="C9458" t="n">
        <v>1.9896</v>
      </c>
    </row>
    <row r="9459">
      <c r="A9459" t="n">
        <v>1.6386</v>
      </c>
      <c r="B9459" t="n">
        <v>1.4863</v>
      </c>
      <c r="C9459" t="n">
        <v>1.702</v>
      </c>
    </row>
    <row r="9460">
      <c r="A9460" t="n">
        <v>1.4734</v>
      </c>
      <c r="B9460" t="n">
        <v>1.6965</v>
      </c>
      <c r="C9460" t="n">
        <v>1.4856</v>
      </c>
    </row>
    <row r="9461">
      <c r="A9461" t="n">
        <v>1.392</v>
      </c>
      <c r="B9461" t="n">
        <v>1.4823</v>
      </c>
      <c r="C9461" t="n">
        <v>1.4572</v>
      </c>
    </row>
    <row r="9462">
      <c r="A9462" t="n">
        <v>1.3847</v>
      </c>
      <c r="B9462" t="n">
        <v>1.4156</v>
      </c>
      <c r="C9462" t="n">
        <v>1.448</v>
      </c>
    </row>
    <row r="9463">
      <c r="A9463" t="n">
        <v>1.4456</v>
      </c>
      <c r="B9463" t="n">
        <v>1.4147</v>
      </c>
      <c r="C9463" t="n">
        <v>1.6497</v>
      </c>
    </row>
    <row r="9464">
      <c r="A9464" t="n">
        <v>1.4271</v>
      </c>
      <c r="B9464" t="n">
        <v>1.4239</v>
      </c>
      <c r="C9464" t="n">
        <v>1.6814</v>
      </c>
    </row>
    <row r="9465">
      <c r="A9465" t="n">
        <v>1.6349</v>
      </c>
      <c r="B9465" t="n">
        <v>1.42</v>
      </c>
      <c r="C9465" t="n">
        <v>1.4911</v>
      </c>
    </row>
    <row r="9466">
      <c r="A9466" t="n">
        <v>1.7989</v>
      </c>
      <c r="B9466" t="n">
        <v>1.6481</v>
      </c>
      <c r="C9466" t="n">
        <v>1.4274</v>
      </c>
    </row>
    <row r="9467">
      <c r="A9467" t="n">
        <v>1.4644</v>
      </c>
      <c r="B9467" t="n">
        <v>1.7474</v>
      </c>
      <c r="C9467" t="n">
        <v>1.4447</v>
      </c>
    </row>
    <row r="9468">
      <c r="A9468" t="n">
        <v>1.4296</v>
      </c>
      <c r="B9468" t="n">
        <v>1.4603</v>
      </c>
      <c r="C9468" t="n">
        <v>1.5992</v>
      </c>
    </row>
    <row r="9469">
      <c r="A9469" t="n">
        <v>1.4335</v>
      </c>
      <c r="B9469" t="n">
        <v>1.4706</v>
      </c>
      <c r="C9469" t="n">
        <v>1.5313</v>
      </c>
    </row>
    <row r="9470">
      <c r="A9470" t="n">
        <v>1.6713</v>
      </c>
      <c r="B9470" t="n">
        <v>1.4432</v>
      </c>
      <c r="C9470" t="n">
        <v>1.6455</v>
      </c>
    </row>
    <row r="9471">
      <c r="A9471" t="n">
        <v>1.7865</v>
      </c>
      <c r="B9471" t="n">
        <v>1.6234</v>
      </c>
      <c r="C9471" t="n">
        <v>1.4858</v>
      </c>
    </row>
    <row r="9472">
      <c r="A9472" t="n">
        <v>1.4887</v>
      </c>
      <c r="B9472" t="n">
        <v>1.7408</v>
      </c>
      <c r="C9472" t="n">
        <v>1.4258</v>
      </c>
    </row>
    <row r="9473">
      <c r="A9473" t="n">
        <v>1.4209</v>
      </c>
      <c r="B9473" t="n">
        <v>1.4864</v>
      </c>
      <c r="C9473" t="n">
        <v>1.4227</v>
      </c>
    </row>
    <row r="9474">
      <c r="A9474" t="n">
        <v>1.9772</v>
      </c>
      <c r="B9474" t="n">
        <v>1.7731</v>
      </c>
      <c r="C9474" t="n">
        <v>1.4801</v>
      </c>
    </row>
    <row r="9475">
      <c r="A9475" t="n">
        <v>1.5193</v>
      </c>
      <c r="B9475" t="n">
        <v>1.7108</v>
      </c>
      <c r="C9475" t="n">
        <v>1.4205</v>
      </c>
    </row>
    <row r="9476">
      <c r="A9476" t="n">
        <v>1.6553</v>
      </c>
      <c r="B9476" t="n">
        <v>1.5325</v>
      </c>
      <c r="C9476" t="n">
        <v>1.3997</v>
      </c>
    </row>
    <row r="9477">
      <c r="A9477" t="n">
        <v>1.6496</v>
      </c>
      <c r="B9477" t="n">
        <v>1.6456</v>
      </c>
      <c r="C9477" t="n">
        <v>1.4626</v>
      </c>
    </row>
    <row r="9478">
      <c r="A9478" t="n">
        <v>1.5174</v>
      </c>
      <c r="B9478" t="n">
        <v>1.6713</v>
      </c>
      <c r="C9478" t="n">
        <v>1.6816</v>
      </c>
    </row>
    <row r="9479">
      <c r="A9479" t="n">
        <v>1.6013</v>
      </c>
      <c r="B9479" t="n">
        <v>1.5482</v>
      </c>
      <c r="C9479" t="n">
        <v>1.5139</v>
      </c>
    </row>
    <row r="9480">
      <c r="A9480" t="n">
        <v>1.536</v>
      </c>
      <c r="B9480" t="n">
        <v>1.6671</v>
      </c>
      <c r="C9480" t="n">
        <v>1.4912</v>
      </c>
    </row>
    <row r="9481">
      <c r="A9481" t="n">
        <v>1.4351</v>
      </c>
      <c r="B9481" t="n">
        <v>1.5223</v>
      </c>
      <c r="C9481" t="n">
        <v>1.6303</v>
      </c>
    </row>
    <row r="9482">
      <c r="A9482" t="n">
        <v>1.4108</v>
      </c>
      <c r="B9482" t="n">
        <v>1.4824</v>
      </c>
      <c r="C9482" t="n">
        <v>1.565</v>
      </c>
    </row>
    <row r="9483">
      <c r="A9483" t="n">
        <v>1.4014</v>
      </c>
      <c r="B9483" t="n">
        <v>1.3967</v>
      </c>
      <c r="C9483" t="n">
        <v>1.635</v>
      </c>
    </row>
    <row r="9484">
      <c r="A9484" t="n">
        <v>1.4391</v>
      </c>
      <c r="B9484" t="n">
        <v>1.4802</v>
      </c>
      <c r="C9484" t="n">
        <v>1.476</v>
      </c>
    </row>
    <row r="9485">
      <c r="A9485" t="n">
        <v>1.5995</v>
      </c>
      <c r="B9485" t="n">
        <v>1.4444</v>
      </c>
      <c r="C9485" t="n">
        <v>1.4384</v>
      </c>
    </row>
    <row r="9486">
      <c r="A9486" t="n">
        <v>1.5505</v>
      </c>
      <c r="B9486" t="n">
        <v>1.4907</v>
      </c>
      <c r="C9486" t="n">
        <v>1.776</v>
      </c>
    </row>
    <row r="9487">
      <c r="A9487" t="n">
        <v>1.438</v>
      </c>
      <c r="B9487" t="n">
        <v>1.697</v>
      </c>
      <c r="C9487" t="n">
        <v>1.5208</v>
      </c>
    </row>
    <row r="9488">
      <c r="A9488" t="n">
        <v>1.4027</v>
      </c>
      <c r="B9488" t="n">
        <v>1.5107</v>
      </c>
      <c r="C9488" t="n">
        <v>1.4167</v>
      </c>
    </row>
    <row r="9489">
      <c r="A9489" t="n">
        <v>1.4018</v>
      </c>
      <c r="B9489" t="n">
        <v>1.4522</v>
      </c>
      <c r="C9489" t="n">
        <v>1.4435</v>
      </c>
    </row>
    <row r="9490">
      <c r="A9490" t="n">
        <v>1.422</v>
      </c>
      <c r="B9490" t="n">
        <v>1.4456</v>
      </c>
      <c r="C9490" t="n">
        <v>1.7142</v>
      </c>
    </row>
    <row r="9491">
      <c r="A9491" t="n">
        <v>1.4385</v>
      </c>
      <c r="B9491" t="n">
        <v>1.6264</v>
      </c>
      <c r="C9491" t="n">
        <v>1.6594</v>
      </c>
    </row>
    <row r="9492">
      <c r="A9492" t="n">
        <v>1.4461</v>
      </c>
      <c r="B9492" t="n">
        <v>1.8736</v>
      </c>
      <c r="C9492" t="n">
        <v>1.5656</v>
      </c>
    </row>
    <row r="9493">
      <c r="A9493" t="n">
        <v>1.6001</v>
      </c>
      <c r="B9493" t="n">
        <v>1.5067</v>
      </c>
      <c r="C9493" t="n">
        <v>1.637</v>
      </c>
    </row>
    <row r="9494">
      <c r="A9494" t="n">
        <v>1.5242</v>
      </c>
      <c r="B9494" t="n">
        <v>1.4476</v>
      </c>
      <c r="C9494" t="n">
        <v>1.4884</v>
      </c>
    </row>
    <row r="9495">
      <c r="A9495" t="n">
        <v>1.6468</v>
      </c>
      <c r="B9495" t="n">
        <v>1.4648</v>
      </c>
      <c r="C9495" t="n">
        <v>1.4638</v>
      </c>
    </row>
    <row r="9496">
      <c r="A9496" t="n">
        <v>1.4854</v>
      </c>
      <c r="B9496" t="n">
        <v>1.6536</v>
      </c>
      <c r="C9496" t="n">
        <v>1.6375</v>
      </c>
    </row>
    <row r="9497">
      <c r="A9497" t="n">
        <v>1.4455</v>
      </c>
      <c r="B9497" t="n">
        <v>1.6655</v>
      </c>
      <c r="C9497" t="n">
        <v>1.5626</v>
      </c>
    </row>
    <row r="9498">
      <c r="A9498" t="n">
        <v>1.6375</v>
      </c>
      <c r="B9498" t="n">
        <v>1.47</v>
      </c>
      <c r="C9498" t="n">
        <v>1.6625</v>
      </c>
    </row>
    <row r="9499">
      <c r="A9499" t="n">
        <v>1.5199</v>
      </c>
      <c r="B9499" t="n">
        <v>1.4234</v>
      </c>
      <c r="C9499" t="n">
        <v>1.4772</v>
      </c>
    </row>
    <row r="9500">
      <c r="A9500" t="n">
        <v>1.5842</v>
      </c>
      <c r="B9500" t="n">
        <v>1.4365</v>
      </c>
      <c r="C9500" t="n">
        <v>1.4534</v>
      </c>
    </row>
    <row r="9501">
      <c r="A9501" t="n">
        <v>1.5218</v>
      </c>
      <c r="B9501" t="n">
        <v>1.6003</v>
      </c>
      <c r="C9501" t="n">
        <v>1.4548</v>
      </c>
    </row>
    <row r="9502">
      <c r="A9502" t="n">
        <v>1.4344</v>
      </c>
      <c r="B9502" t="n">
        <v>1.5449</v>
      </c>
      <c r="C9502" t="n">
        <v>1.4189</v>
      </c>
    </row>
    <row r="9503">
      <c r="A9503" t="n">
        <v>1.398</v>
      </c>
      <c r="B9503" t="n">
        <v>1.6814</v>
      </c>
      <c r="C9503" t="n">
        <v>1.4539</v>
      </c>
    </row>
    <row r="9504">
      <c r="A9504" t="n">
        <v>1.4197</v>
      </c>
      <c r="B9504" t="n">
        <v>1.4517</v>
      </c>
      <c r="C9504" t="n">
        <v>1.4087</v>
      </c>
    </row>
    <row r="9505">
      <c r="A9505" t="n">
        <v>1.432</v>
      </c>
      <c r="B9505" t="n">
        <v>1.441</v>
      </c>
      <c r="C9505" t="n">
        <v>1.4724</v>
      </c>
    </row>
    <row r="9506">
      <c r="A9506" t="n">
        <v>1.7874</v>
      </c>
      <c r="B9506" t="n">
        <v>1.7164</v>
      </c>
      <c r="C9506" t="n">
        <v>1.6741</v>
      </c>
    </row>
    <row r="9507">
      <c r="A9507" t="n">
        <v>1.7023</v>
      </c>
      <c r="B9507" t="n">
        <v>1.4573</v>
      </c>
      <c r="C9507" t="n">
        <v>1.5015</v>
      </c>
    </row>
    <row r="9508">
      <c r="A9508" t="n">
        <v>1.4935</v>
      </c>
      <c r="B9508" t="n">
        <v>1.6521</v>
      </c>
      <c r="C9508" t="n">
        <v>1.4417</v>
      </c>
    </row>
    <row r="9509">
      <c r="A9509" t="n">
        <v>1.6911</v>
      </c>
      <c r="B9509" t="n">
        <v>1.5357</v>
      </c>
      <c r="C9509" t="n">
        <v>1.6516</v>
      </c>
    </row>
    <row r="9510">
      <c r="A9510" t="n">
        <v>1.6742</v>
      </c>
      <c r="B9510" t="n">
        <v>1.4126</v>
      </c>
      <c r="C9510" t="n">
        <v>1.5229</v>
      </c>
    </row>
    <row r="9511">
      <c r="A9511" t="n">
        <v>1.5061</v>
      </c>
      <c r="B9511" t="n">
        <v>1.4221</v>
      </c>
      <c r="C9511" t="n">
        <v>1.5937</v>
      </c>
    </row>
    <row r="9512">
      <c r="A9512" t="n">
        <v>1.4</v>
      </c>
      <c r="B9512" t="n">
        <v>1.5124</v>
      </c>
      <c r="C9512" t="n">
        <v>1.4695</v>
      </c>
    </row>
    <row r="9513">
      <c r="A9513" t="n">
        <v>1.4062</v>
      </c>
      <c r="B9513" t="n">
        <v>1.471</v>
      </c>
      <c r="C9513" t="n">
        <v>1.4262</v>
      </c>
    </row>
    <row r="9514">
      <c r="A9514" t="n">
        <v>1.4379</v>
      </c>
      <c r="B9514" t="n">
        <v>1.402</v>
      </c>
      <c r="C9514" t="n">
        <v>1.4622</v>
      </c>
    </row>
    <row r="9515">
      <c r="A9515" t="n">
        <v>1.4507</v>
      </c>
      <c r="B9515" t="n">
        <v>1.5182</v>
      </c>
      <c r="C9515" t="n">
        <v>1.5113</v>
      </c>
    </row>
    <row r="9516">
      <c r="A9516" t="n">
        <v>1.6109</v>
      </c>
      <c r="B9516" t="n">
        <v>1.6965</v>
      </c>
      <c r="C9516" t="n">
        <v>1.4247</v>
      </c>
    </row>
    <row r="9517">
      <c r="A9517" t="n">
        <v>1.5213</v>
      </c>
      <c r="B9517" t="n">
        <v>1.5084</v>
      </c>
      <c r="C9517" t="n">
        <v>1.3608</v>
      </c>
    </row>
    <row r="9518">
      <c r="A9518" t="n">
        <v>1.6225</v>
      </c>
      <c r="B9518" t="n">
        <v>1.4744</v>
      </c>
      <c r="C9518" t="n">
        <v>1.4889</v>
      </c>
    </row>
    <row r="9519">
      <c r="A9519" t="n">
        <v>1.4657</v>
      </c>
      <c r="B9519" t="n">
        <v>1.3872</v>
      </c>
      <c r="C9519" t="n">
        <v>1.6893</v>
      </c>
    </row>
    <row r="9520">
      <c r="A9520" t="n">
        <v>1.4224</v>
      </c>
      <c r="B9520" t="n">
        <v>1.4695</v>
      </c>
      <c r="C9520" t="n">
        <v>1.4722</v>
      </c>
    </row>
    <row r="9521">
      <c r="A9521" t="n">
        <v>1.4661</v>
      </c>
      <c r="B9521" t="n">
        <v>1.6995</v>
      </c>
      <c r="C9521" t="n">
        <v>1.4524</v>
      </c>
    </row>
    <row r="9522">
      <c r="A9522" t="n">
        <v>1.456</v>
      </c>
      <c r="B9522" t="n">
        <v>1.5372</v>
      </c>
      <c r="C9522" t="n">
        <v>1.9818</v>
      </c>
    </row>
    <row r="9523">
      <c r="A9523" t="n">
        <v>1.4377</v>
      </c>
      <c r="B9523" t="n">
        <v>1.4399</v>
      </c>
      <c r="C9523" t="n">
        <v>1.7138</v>
      </c>
    </row>
    <row r="9524">
      <c r="A9524" t="n">
        <v>1.3786</v>
      </c>
      <c r="B9524" t="n">
        <v>1.4345</v>
      </c>
      <c r="C9524" t="n">
        <v>1.4939</v>
      </c>
    </row>
    <row r="9525">
      <c r="A9525" t="n">
        <v>1.4398</v>
      </c>
      <c r="B9525" t="n">
        <v>1.4252</v>
      </c>
      <c r="C9525" t="n">
        <v>1.481</v>
      </c>
    </row>
    <row r="9526">
      <c r="A9526" t="n">
        <v>1.6201</v>
      </c>
      <c r="B9526" t="n">
        <v>1.4377</v>
      </c>
      <c r="C9526" t="n">
        <v>1.4363</v>
      </c>
    </row>
    <row r="9527">
      <c r="A9527" t="n">
        <v>1.4891</v>
      </c>
      <c r="B9527" t="n">
        <v>1.6153</v>
      </c>
      <c r="C9527" t="n">
        <v>1.6628</v>
      </c>
    </row>
    <row r="9528">
      <c r="A9528" t="n">
        <v>1.449</v>
      </c>
      <c r="B9528" t="n">
        <v>1.5591</v>
      </c>
      <c r="C9528" t="n">
        <v>1.5084</v>
      </c>
    </row>
    <row r="9529">
      <c r="A9529" t="n">
        <v>1.4157</v>
      </c>
      <c r="B9529" t="n">
        <v>1.4616</v>
      </c>
      <c r="C9529" t="n">
        <v>1.4306</v>
      </c>
    </row>
    <row r="9530">
      <c r="A9530" t="n">
        <v>1.4129</v>
      </c>
      <c r="B9530" t="n">
        <v>1.4459</v>
      </c>
      <c r="C9530" t="n">
        <v>1.4321</v>
      </c>
    </row>
    <row r="9531">
      <c r="A9531" t="n">
        <v>1.4514</v>
      </c>
      <c r="B9531" t="n">
        <v>1.4006</v>
      </c>
      <c r="C9531" t="n">
        <v>1.4199</v>
      </c>
    </row>
    <row r="9532">
      <c r="A9532" t="n">
        <v>1.6818</v>
      </c>
      <c r="B9532" t="n">
        <v>1.4399</v>
      </c>
      <c r="C9532" t="n">
        <v>1.4089</v>
      </c>
    </row>
    <row r="9533">
      <c r="A9533" t="n">
        <v>1.6553</v>
      </c>
      <c r="B9533" t="n">
        <v>1.4464</v>
      </c>
      <c r="C9533" t="n">
        <v>1.4543</v>
      </c>
    </row>
    <row r="9534">
      <c r="A9534" t="n">
        <v>1.4957</v>
      </c>
      <c r="B9534" t="n">
        <v>1.4611</v>
      </c>
      <c r="C9534" t="n">
        <v>1.5363</v>
      </c>
    </row>
    <row r="9535">
      <c r="A9535" t="n">
        <v>1.458</v>
      </c>
      <c r="B9535" t="n">
        <v>1.6906</v>
      </c>
      <c r="C9535" t="n">
        <v>1.4654</v>
      </c>
    </row>
    <row r="9536">
      <c r="A9536" t="n">
        <v>1.4242</v>
      </c>
      <c r="B9536" t="n">
        <v>1.7071</v>
      </c>
      <c r="C9536" t="n">
        <v>1.4845</v>
      </c>
    </row>
    <row r="9537">
      <c r="A9537" t="n">
        <v>1.683</v>
      </c>
      <c r="B9537" t="n">
        <v>1.5061</v>
      </c>
      <c r="C9537" t="n">
        <v>1.6619</v>
      </c>
    </row>
    <row r="9538">
      <c r="A9538" t="n">
        <v>2.0444</v>
      </c>
      <c r="B9538" t="n">
        <v>1.8216</v>
      </c>
      <c r="C9538" t="n">
        <v>1.4871</v>
      </c>
    </row>
    <row r="9539">
      <c r="A9539" t="n">
        <v>1.6879</v>
      </c>
      <c r="B9539" t="n">
        <v>1.69</v>
      </c>
      <c r="C9539" t="n">
        <v>1.4648</v>
      </c>
    </row>
    <row r="9540">
      <c r="A9540" t="n">
        <v>1.5368</v>
      </c>
      <c r="B9540" t="n">
        <v>1.4928</v>
      </c>
      <c r="C9540" t="n">
        <v>1.4095</v>
      </c>
    </row>
    <row r="9541">
      <c r="A9541" t="n">
        <v>1.6495</v>
      </c>
      <c r="B9541" t="n">
        <v>1.426</v>
      </c>
      <c r="C9541" t="n">
        <v>1.4456</v>
      </c>
    </row>
    <row r="9542">
      <c r="A9542" t="n">
        <v>1.4653</v>
      </c>
      <c r="B9542" t="n">
        <v>1.4411</v>
      </c>
      <c r="C9542" t="n">
        <v>1.6693</v>
      </c>
    </row>
    <row r="9543">
      <c r="A9543" t="n">
        <v>1.4435</v>
      </c>
      <c r="B9543" t="n">
        <v>1.4246</v>
      </c>
      <c r="C9543" t="n">
        <v>1.5219</v>
      </c>
    </row>
    <row r="9544">
      <c r="A9544" t="n">
        <v>1.3969</v>
      </c>
      <c r="B9544" t="n">
        <v>1.4972</v>
      </c>
      <c r="C9544" t="n">
        <v>1.6694</v>
      </c>
    </row>
    <row r="9545">
      <c r="A9545" t="n">
        <v>1.4176</v>
      </c>
      <c r="B9545" t="n">
        <v>1.6756</v>
      </c>
      <c r="C9545" t="n">
        <v>1.6582</v>
      </c>
    </row>
    <row r="9546">
      <c r="A9546" t="n">
        <v>1.4535</v>
      </c>
      <c r="B9546" t="n">
        <v>1.7168</v>
      </c>
      <c r="C9546" t="n">
        <v>1.5378</v>
      </c>
    </row>
    <row r="9547">
      <c r="A9547" t="n">
        <v>1.6927</v>
      </c>
      <c r="B9547" t="n">
        <v>1.4849</v>
      </c>
      <c r="C9547" t="n">
        <v>1.6002</v>
      </c>
    </row>
    <row r="9548">
      <c r="A9548" t="n">
        <v>1.6754</v>
      </c>
      <c r="B9548" t="n">
        <v>1.4303</v>
      </c>
      <c r="C9548" t="n">
        <v>1.5074</v>
      </c>
    </row>
    <row r="9549">
      <c r="A9549" t="n">
        <v>1.4854</v>
      </c>
      <c r="B9549" t="n">
        <v>1.4491</v>
      </c>
      <c r="C9549" t="n">
        <v>1.4387</v>
      </c>
    </row>
    <row r="9550">
      <c r="A9550" t="n">
        <v>1.4573</v>
      </c>
      <c r="B9550" t="n">
        <v>1.6116</v>
      </c>
      <c r="C9550" t="n">
        <v>1.4791</v>
      </c>
    </row>
    <row r="9551">
      <c r="A9551" t="n">
        <v>1.4227</v>
      </c>
      <c r="B9551" t="n">
        <v>1.803</v>
      </c>
      <c r="C9551" t="n">
        <v>1.4554</v>
      </c>
    </row>
    <row r="9552">
      <c r="A9552" t="n">
        <v>1.6001</v>
      </c>
      <c r="B9552" t="n">
        <v>1.4709</v>
      </c>
      <c r="C9552" t="n">
        <v>1.4233</v>
      </c>
    </row>
    <row r="9553">
      <c r="A9553" t="n">
        <v>1.8616</v>
      </c>
      <c r="B9553" t="n">
        <v>1.4607</v>
      </c>
      <c r="C9553" t="n">
        <v>1.4168</v>
      </c>
    </row>
    <row r="9554">
      <c r="A9554" t="n">
        <v>1.4622</v>
      </c>
      <c r="B9554" t="n">
        <v>1.4538</v>
      </c>
      <c r="C9554" t="n">
        <v>2.0461</v>
      </c>
    </row>
    <row r="9555">
      <c r="A9555" t="n">
        <v>1.4497</v>
      </c>
      <c r="B9555" t="n">
        <v>1.5935</v>
      </c>
      <c r="C9555" t="n">
        <v>1.7129</v>
      </c>
    </row>
    <row r="9556">
      <c r="A9556" t="n">
        <v>1.4374</v>
      </c>
      <c r="B9556" t="n">
        <v>1.7933</v>
      </c>
      <c r="C9556" t="n">
        <v>1.5056</v>
      </c>
    </row>
    <row r="9557">
      <c r="A9557" t="n">
        <v>1.5996</v>
      </c>
      <c r="B9557" t="n">
        <v>1.4927</v>
      </c>
      <c r="C9557" t="n">
        <v>1.617</v>
      </c>
    </row>
    <row r="9558">
      <c r="A9558" t="n">
        <v>1.8093</v>
      </c>
      <c r="B9558" t="n">
        <v>1.4342</v>
      </c>
      <c r="C9558" t="n">
        <v>1.4976</v>
      </c>
    </row>
    <row r="9559">
      <c r="A9559" t="n">
        <v>1.5054</v>
      </c>
      <c r="B9559" t="n">
        <v>1.4393</v>
      </c>
      <c r="C9559" t="n">
        <v>1.419</v>
      </c>
    </row>
    <row r="9560">
      <c r="A9560" t="n">
        <v>1.4188</v>
      </c>
      <c r="B9560" t="n">
        <v>1.6207</v>
      </c>
      <c r="C9560" t="n">
        <v>1.7013</v>
      </c>
    </row>
    <row r="9561">
      <c r="A9561" t="n">
        <v>1.4407</v>
      </c>
      <c r="B9561" t="n">
        <v>1.5455</v>
      </c>
      <c r="C9561" t="n">
        <v>1.5498</v>
      </c>
    </row>
    <row r="9562">
      <c r="A9562" t="n">
        <v>1.6047</v>
      </c>
      <c r="B9562" t="n">
        <v>1.6717</v>
      </c>
      <c r="C9562" t="n">
        <v>1.5995</v>
      </c>
    </row>
    <row r="9563">
      <c r="A9563" t="n">
        <v>1.5334</v>
      </c>
      <c r="B9563" t="n">
        <v>1.5163</v>
      </c>
      <c r="C9563" t="n">
        <v>1.5236</v>
      </c>
    </row>
    <row r="9564">
      <c r="A9564" t="n">
        <v>1.6501</v>
      </c>
      <c r="B9564" t="n">
        <v>1.4516</v>
      </c>
      <c r="C9564" t="n">
        <v>1.4619</v>
      </c>
    </row>
    <row r="9565">
      <c r="A9565" t="n">
        <v>1.4948</v>
      </c>
      <c r="B9565" t="n">
        <v>1.6155</v>
      </c>
      <c r="C9565" t="n">
        <v>1.7084</v>
      </c>
    </row>
    <row r="9566">
      <c r="A9566" t="n">
        <v>1.4285</v>
      </c>
      <c r="B9566" t="n">
        <v>1.9352</v>
      </c>
      <c r="C9566" t="n">
        <v>1.538</v>
      </c>
    </row>
    <row r="9567">
      <c r="A9567" t="n">
        <v>1.6447</v>
      </c>
      <c r="B9567" t="n">
        <v>1.5409</v>
      </c>
      <c r="C9567" t="n">
        <v>1.6264</v>
      </c>
    </row>
    <row r="9568">
      <c r="A9568" t="n">
        <v>1.5181</v>
      </c>
      <c r="B9568" t="n">
        <v>1.4652</v>
      </c>
      <c r="C9568" t="n">
        <v>1.4957</v>
      </c>
    </row>
    <row r="9569">
      <c r="A9569" t="n">
        <v>1.5926</v>
      </c>
      <c r="B9569" t="n">
        <v>1.4935</v>
      </c>
      <c r="C9569" t="n">
        <v>1.4774</v>
      </c>
    </row>
    <row r="9570">
      <c r="A9570" t="n">
        <v>1.9784</v>
      </c>
      <c r="B9570" t="n">
        <v>1.9772</v>
      </c>
      <c r="C9570" t="n">
        <v>1.4164</v>
      </c>
    </row>
    <row r="9571">
      <c r="A9571" t="n">
        <v>1.7468</v>
      </c>
      <c r="B9571" t="n">
        <v>1.6484</v>
      </c>
      <c r="C9571" t="n">
        <v>1.4129</v>
      </c>
    </row>
    <row r="9572">
      <c r="A9572" t="n">
        <v>1.4871</v>
      </c>
      <c r="B9572" t="n">
        <v>1.6486</v>
      </c>
      <c r="C9572" t="n">
        <v>1.4351</v>
      </c>
    </row>
    <row r="9573">
      <c r="A9573" t="n">
        <v>1.727</v>
      </c>
      <c r="B9573" t="n">
        <v>1.5738</v>
      </c>
      <c r="C9573" t="n">
        <v>1.6672</v>
      </c>
    </row>
    <row r="9574">
      <c r="A9574" t="n">
        <v>1.6531</v>
      </c>
      <c r="B9574" t="n">
        <v>1.6732</v>
      </c>
      <c r="C9574" t="n">
        <v>1.6449</v>
      </c>
    </row>
    <row r="9575">
      <c r="A9575" t="n">
        <v>1.5028</v>
      </c>
      <c r="B9575" t="n">
        <v>1.7746</v>
      </c>
      <c r="C9575" t="n">
        <v>1.494</v>
      </c>
    </row>
    <row r="9576">
      <c r="A9576" t="n">
        <v>1.6233</v>
      </c>
      <c r="B9576" t="n">
        <v>1.529</v>
      </c>
      <c r="C9576" t="n">
        <v>1.4551</v>
      </c>
    </row>
    <row r="9577">
      <c r="A9577" t="n">
        <v>1.5045</v>
      </c>
      <c r="B9577" t="n">
        <v>1.4411</v>
      </c>
      <c r="C9577" t="n">
        <v>1.4293</v>
      </c>
    </row>
    <row r="9578">
      <c r="A9578" t="n">
        <v>1.4348</v>
      </c>
      <c r="B9578" t="n">
        <v>1.532</v>
      </c>
      <c r="C9578" t="n">
        <v>1.6898</v>
      </c>
    </row>
    <row r="9579">
      <c r="A9579" t="n">
        <v>1.4177</v>
      </c>
      <c r="B9579" t="n">
        <v>1.3954</v>
      </c>
      <c r="C9579" t="n">
        <v>1.686</v>
      </c>
    </row>
    <row r="9580">
      <c r="A9580" t="n">
        <v>1.43</v>
      </c>
      <c r="B9580" t="n">
        <v>1.4846</v>
      </c>
      <c r="C9580" t="n">
        <v>1.4821</v>
      </c>
    </row>
    <row r="9581">
      <c r="A9581" t="n">
        <v>1.4586</v>
      </c>
      <c r="B9581" t="n">
        <v>1.7432</v>
      </c>
      <c r="C9581" t="n">
        <v>1.4516</v>
      </c>
    </row>
    <row r="9582">
      <c r="A9582" t="n">
        <v>1.6858</v>
      </c>
      <c r="B9582" t="n">
        <v>1.6297</v>
      </c>
      <c r="C9582" t="n">
        <v>1.4395</v>
      </c>
    </row>
    <row r="9583">
      <c r="A9583" t="n">
        <v>1.6988</v>
      </c>
      <c r="B9583" t="n">
        <v>1.9058</v>
      </c>
      <c r="C9583" t="n">
        <v>1.6002</v>
      </c>
    </row>
    <row r="9584">
      <c r="A9584" t="n">
        <v>1.4863</v>
      </c>
      <c r="B9584" t="n">
        <v>1.5164</v>
      </c>
      <c r="C9584" t="n">
        <v>1.5486</v>
      </c>
    </row>
    <row r="9585">
      <c r="A9585" t="n">
        <v>1.4475</v>
      </c>
      <c r="B9585" t="n">
        <v>1.4435</v>
      </c>
      <c r="C9585" t="n">
        <v>1.6533</v>
      </c>
    </row>
    <row r="9586">
      <c r="A9586" t="n">
        <v>1.4469</v>
      </c>
      <c r="B9586" t="n">
        <v>1.5114</v>
      </c>
      <c r="C9586" t="n">
        <v>1.822</v>
      </c>
    </row>
    <row r="9587">
      <c r="A9587" t="n">
        <v>1.5787</v>
      </c>
      <c r="B9587" t="n">
        <v>1.6886</v>
      </c>
      <c r="C9587" t="n">
        <v>1.7935</v>
      </c>
    </row>
    <row r="9588">
      <c r="A9588" t="n">
        <v>1.5715</v>
      </c>
      <c r="B9588" t="n">
        <v>1.7312</v>
      </c>
      <c r="C9588" t="n">
        <v>1.5608</v>
      </c>
    </row>
    <row r="9589">
      <c r="A9589" t="n">
        <v>1.4182</v>
      </c>
      <c r="B9589" t="n">
        <v>1.746</v>
      </c>
      <c r="C9589" t="n">
        <v>1.4182</v>
      </c>
    </row>
    <row r="9590">
      <c r="A9590" t="n">
        <v>1.4115</v>
      </c>
      <c r="B9590" t="n">
        <v>1.5646</v>
      </c>
      <c r="C9590" t="n">
        <v>1.4587</v>
      </c>
    </row>
    <row r="9591">
      <c r="A9591" t="n">
        <v>1.7042</v>
      </c>
      <c r="B9591" t="n">
        <v>1.6147</v>
      </c>
      <c r="C9591" t="n">
        <v>1.452</v>
      </c>
    </row>
    <row r="9592">
      <c r="A9592" t="n">
        <v>1.6967</v>
      </c>
      <c r="B9592" t="n">
        <v>1.53</v>
      </c>
      <c r="C9592" t="n">
        <v>1.4312</v>
      </c>
    </row>
    <row r="9593">
      <c r="A9593" t="n">
        <v>1.505</v>
      </c>
      <c r="B9593" t="n">
        <v>1.4236</v>
      </c>
      <c r="C9593" t="n">
        <v>1.6909</v>
      </c>
    </row>
    <row r="9594">
      <c r="A9594" t="n">
        <v>1.703</v>
      </c>
      <c r="B9594" t="n">
        <v>1.4267</v>
      </c>
      <c r="C9594" t="n">
        <v>1.6972</v>
      </c>
    </row>
    <row r="9595">
      <c r="A9595" t="n">
        <v>1.4757</v>
      </c>
      <c r="B9595" t="n">
        <v>1.4411</v>
      </c>
      <c r="C9595" t="n">
        <v>1.4684</v>
      </c>
    </row>
    <row r="9596">
      <c r="A9596" t="n">
        <v>1.4247</v>
      </c>
      <c r="B9596" t="n">
        <v>1.481</v>
      </c>
      <c r="C9596" t="n">
        <v>1.4299</v>
      </c>
    </row>
    <row r="9597">
      <c r="A9597" t="n">
        <v>1.5982</v>
      </c>
      <c r="B9597" t="n">
        <v>1.6838</v>
      </c>
      <c r="C9597" t="n">
        <v>1.4519</v>
      </c>
    </row>
    <row r="9598">
      <c r="A9598" t="n">
        <v>1.516</v>
      </c>
      <c r="B9598" t="n">
        <v>1.6779</v>
      </c>
      <c r="C9598" t="n">
        <v>1.606</v>
      </c>
    </row>
    <row r="9599">
      <c r="A9599" t="n">
        <v>1.6091</v>
      </c>
      <c r="B9599" t="n">
        <v>1.4963</v>
      </c>
      <c r="C9599" t="n">
        <v>1.5143</v>
      </c>
    </row>
    <row r="9600">
      <c r="A9600" t="n">
        <v>1.4939</v>
      </c>
      <c r="B9600" t="n">
        <v>1.4561</v>
      </c>
      <c r="C9600" t="n">
        <v>1.6398</v>
      </c>
    </row>
    <row r="9601">
      <c r="A9601" t="n">
        <v>1.4261</v>
      </c>
      <c r="B9601" t="n">
        <v>1.5428</v>
      </c>
      <c r="C9601" t="n">
        <v>1.4821</v>
      </c>
    </row>
    <row r="9602">
      <c r="A9602" t="n">
        <v>1.7274</v>
      </c>
      <c r="B9602" t="n">
        <v>2.0024</v>
      </c>
      <c r="C9602" t="n">
        <v>1.4414</v>
      </c>
    </row>
    <row r="9603">
      <c r="A9603" t="n">
        <v>1.4648</v>
      </c>
      <c r="B9603" t="n">
        <v>1.7421</v>
      </c>
      <c r="C9603" t="n">
        <v>1.4127</v>
      </c>
    </row>
    <row r="9604">
      <c r="A9604" t="n">
        <v>1.6335</v>
      </c>
      <c r="B9604" t="n">
        <v>1.6829</v>
      </c>
      <c r="C9604" t="n">
        <v>1.4265</v>
      </c>
    </row>
    <row r="9605">
      <c r="A9605" t="n">
        <v>1.4925</v>
      </c>
      <c r="B9605" t="n">
        <v>1.7078</v>
      </c>
      <c r="C9605" t="n">
        <v>1.4376</v>
      </c>
    </row>
    <row r="9606">
      <c r="A9606" t="n">
        <v>1.6696</v>
      </c>
      <c r="B9606" t="n">
        <v>1.5243</v>
      </c>
      <c r="C9606" t="n">
        <v>1.6675</v>
      </c>
    </row>
    <row r="9607">
      <c r="A9607" t="n">
        <v>1.6831</v>
      </c>
      <c r="B9607" t="n">
        <v>1.4613</v>
      </c>
      <c r="C9607" t="n">
        <v>1.6852</v>
      </c>
    </row>
    <row r="9608">
      <c r="A9608" t="n">
        <v>1.4892</v>
      </c>
      <c r="B9608" t="n">
        <v>1.4875</v>
      </c>
      <c r="C9608" t="n">
        <v>1.4776</v>
      </c>
    </row>
    <row r="9609">
      <c r="A9609" t="n">
        <v>1.6107</v>
      </c>
      <c r="B9609" t="n">
        <v>1.6726</v>
      </c>
      <c r="C9609" t="n">
        <v>1.4248</v>
      </c>
    </row>
    <row r="9610">
      <c r="A9610" t="n">
        <v>1.518</v>
      </c>
      <c r="B9610" t="n">
        <v>1.8068</v>
      </c>
      <c r="C9610" t="n">
        <v>1.4182</v>
      </c>
    </row>
    <row r="9611">
      <c r="A9611" t="n">
        <v>1.414</v>
      </c>
      <c r="B9611" t="n">
        <v>1.8207</v>
      </c>
      <c r="C9611" t="n">
        <v>1.6108</v>
      </c>
    </row>
    <row r="9612">
      <c r="A9612" t="n">
        <v>1.4289</v>
      </c>
      <c r="B9612" t="n">
        <v>1.5864</v>
      </c>
      <c r="C9612" t="n">
        <v>1.7642</v>
      </c>
    </row>
    <row r="9613">
      <c r="A9613" t="n">
        <v>1.4204</v>
      </c>
      <c r="B9613" t="n">
        <v>1.6606</v>
      </c>
      <c r="C9613" t="n">
        <v>1.4881</v>
      </c>
    </row>
    <row r="9614">
      <c r="A9614" t="n">
        <v>1.4173</v>
      </c>
      <c r="B9614" t="n">
        <v>1.4562</v>
      </c>
      <c r="C9614" t="n">
        <v>1.435</v>
      </c>
    </row>
    <row r="9615">
      <c r="A9615" t="n">
        <v>1.6069</v>
      </c>
      <c r="B9615" t="n">
        <v>1.4738</v>
      </c>
      <c r="C9615" t="n">
        <v>1.4356</v>
      </c>
    </row>
    <row r="9616">
      <c r="A9616" t="n">
        <v>1.5603</v>
      </c>
      <c r="B9616" t="n">
        <v>1.4116</v>
      </c>
      <c r="C9616" t="n">
        <v>1.3998</v>
      </c>
    </row>
    <row r="9617">
      <c r="A9617" t="n">
        <v>1.4307</v>
      </c>
      <c r="B9617" t="n">
        <v>1.4061</v>
      </c>
      <c r="C9617" t="n">
        <v>1.4596</v>
      </c>
    </row>
    <row r="9618">
      <c r="A9618" t="n">
        <v>1.4173</v>
      </c>
      <c r="B9618" t="n">
        <v>1.4771</v>
      </c>
      <c r="C9618" t="n">
        <v>2.0114</v>
      </c>
    </row>
    <row r="9619">
      <c r="A9619" t="n">
        <v>1.4228</v>
      </c>
      <c r="B9619" t="n">
        <v>1.466</v>
      </c>
      <c r="C9619" t="n">
        <v>1.5055</v>
      </c>
    </row>
    <row r="9620">
      <c r="A9620" t="n">
        <v>1.4117</v>
      </c>
      <c r="B9620" t="n">
        <v>1.6801</v>
      </c>
      <c r="C9620" t="n">
        <v>1.462</v>
      </c>
    </row>
    <row r="9621">
      <c r="A9621" t="n">
        <v>1.4219</v>
      </c>
      <c r="B9621" t="n">
        <v>1.6006</v>
      </c>
      <c r="C9621" t="n">
        <v>1.4111</v>
      </c>
    </row>
    <row r="9622">
      <c r="A9622" t="n">
        <v>1.4219</v>
      </c>
      <c r="B9622" t="n">
        <v>1.4574</v>
      </c>
      <c r="C9622" t="n">
        <v>1.4635</v>
      </c>
    </row>
    <row r="9623">
      <c r="A9623" t="n">
        <v>1.5961</v>
      </c>
      <c r="B9623" t="n">
        <v>1.5412</v>
      </c>
      <c r="C9623" t="n">
        <v>1.7048</v>
      </c>
    </row>
    <row r="9624">
      <c r="A9624" t="n">
        <v>1.5173</v>
      </c>
      <c r="B9624" t="n">
        <v>1.6979</v>
      </c>
      <c r="C9624" t="n">
        <v>1.5117</v>
      </c>
    </row>
    <row r="9625">
      <c r="A9625" t="n">
        <v>1.6363</v>
      </c>
      <c r="B9625" t="n">
        <v>1.6859</v>
      </c>
      <c r="C9625" t="n">
        <v>1.4476</v>
      </c>
    </row>
    <row r="9626">
      <c r="A9626" t="n">
        <v>1.4531</v>
      </c>
      <c r="B9626" t="n">
        <v>1.8275</v>
      </c>
      <c r="C9626" t="n">
        <v>1.4682</v>
      </c>
    </row>
    <row r="9627">
      <c r="A9627" t="n">
        <v>1.3986</v>
      </c>
      <c r="B9627" t="n">
        <v>1.917</v>
      </c>
      <c r="C9627" t="n">
        <v>1.4316</v>
      </c>
    </row>
    <row r="9628">
      <c r="A9628" t="n">
        <v>1.4031</v>
      </c>
      <c r="B9628" t="n">
        <v>1.5</v>
      </c>
      <c r="C9628" t="n">
        <v>1.4097</v>
      </c>
    </row>
    <row r="9629">
      <c r="A9629" t="n">
        <v>1.4238</v>
      </c>
      <c r="B9629" t="n">
        <v>1.4224</v>
      </c>
      <c r="C9629" t="n">
        <v>1.7137</v>
      </c>
    </row>
    <row r="9630">
      <c r="A9630" t="n">
        <v>1.4834</v>
      </c>
      <c r="B9630" t="n">
        <v>1.4563</v>
      </c>
      <c r="C9630" t="n">
        <v>1.7597</v>
      </c>
    </row>
    <row r="9631">
      <c r="A9631" t="n">
        <v>1.7244</v>
      </c>
      <c r="B9631" t="n">
        <v>1.6196</v>
      </c>
      <c r="C9631" t="n">
        <v>1.4708</v>
      </c>
    </row>
    <row r="9632">
      <c r="A9632" t="n">
        <v>1.6813</v>
      </c>
      <c r="B9632" t="n">
        <v>1.5168</v>
      </c>
      <c r="C9632" t="n">
        <v>1.4472</v>
      </c>
    </row>
    <row r="9633">
      <c r="A9633" t="n">
        <v>1.4905</v>
      </c>
      <c r="B9633" t="n">
        <v>1.6703</v>
      </c>
      <c r="C9633" t="n">
        <v>1.4426</v>
      </c>
    </row>
    <row r="9634">
      <c r="A9634" t="n">
        <v>1.7922</v>
      </c>
      <c r="B9634" t="n">
        <v>1.8047</v>
      </c>
      <c r="C9634" t="n">
        <v>1.586</v>
      </c>
    </row>
    <row r="9635">
      <c r="A9635" t="n">
        <v>1.6345</v>
      </c>
      <c r="B9635" t="n">
        <v>1.4199</v>
      </c>
      <c r="C9635" t="n">
        <v>1.774</v>
      </c>
    </row>
    <row r="9636">
      <c r="A9636" t="n">
        <v>1.5337</v>
      </c>
      <c r="B9636" t="n">
        <v>1.6738</v>
      </c>
      <c r="C9636" t="n">
        <v>1.5236</v>
      </c>
    </row>
    <row r="9637">
      <c r="A9637" t="n">
        <v>1.432</v>
      </c>
      <c r="B9637" t="n">
        <v>1.7413</v>
      </c>
      <c r="C9637" t="n">
        <v>1.4405</v>
      </c>
    </row>
    <row r="9638">
      <c r="A9638" t="n">
        <v>1.3923</v>
      </c>
      <c r="B9638" t="n">
        <v>1.4875</v>
      </c>
      <c r="C9638" t="n">
        <v>1.4288</v>
      </c>
    </row>
    <row r="9639">
      <c r="A9639" t="n">
        <v>1.4197</v>
      </c>
      <c r="B9639" t="n">
        <v>1.682</v>
      </c>
      <c r="C9639" t="n">
        <v>1.6234</v>
      </c>
    </row>
    <row r="9640">
      <c r="A9640" t="n">
        <v>1.4355</v>
      </c>
      <c r="B9640" t="n">
        <v>1.7272</v>
      </c>
      <c r="C9640" t="n">
        <v>1.6224</v>
      </c>
    </row>
    <row r="9641">
      <c r="A9641" t="n">
        <v>1.6064</v>
      </c>
      <c r="B9641" t="n">
        <v>1.5423</v>
      </c>
      <c r="C9641" t="n">
        <v>1.4575</v>
      </c>
    </row>
    <row r="9642">
      <c r="A9642" t="n">
        <v>1.8446</v>
      </c>
      <c r="B9642" t="n">
        <v>1.455</v>
      </c>
      <c r="C9642" t="n">
        <v>1.4627</v>
      </c>
    </row>
    <row r="9643">
      <c r="A9643" t="n">
        <v>1.4946</v>
      </c>
      <c r="B9643" t="n">
        <v>1.4256</v>
      </c>
      <c r="C9643" t="n">
        <v>1.426</v>
      </c>
    </row>
    <row r="9644">
      <c r="A9644" t="n">
        <v>1.4032</v>
      </c>
      <c r="B9644" t="n">
        <v>1.4089</v>
      </c>
      <c r="C9644" t="n">
        <v>1.4178</v>
      </c>
    </row>
    <row r="9645">
      <c r="A9645" t="n">
        <v>1.409</v>
      </c>
      <c r="B9645" t="n">
        <v>1.4538</v>
      </c>
      <c r="C9645" t="n">
        <v>1.4263</v>
      </c>
    </row>
    <row r="9646">
      <c r="A9646" t="n">
        <v>1.6095</v>
      </c>
      <c r="B9646" t="n">
        <v>1.6857</v>
      </c>
      <c r="C9646" t="n">
        <v>1.4144</v>
      </c>
    </row>
    <row r="9647">
      <c r="A9647" t="n">
        <v>1.514</v>
      </c>
      <c r="B9647" t="n">
        <v>1.6754</v>
      </c>
      <c r="C9647" t="n">
        <v>1.6131</v>
      </c>
    </row>
    <row r="9648">
      <c r="A9648" t="n">
        <v>1.6468</v>
      </c>
      <c r="B9648" t="n">
        <v>1.4877</v>
      </c>
      <c r="C9648" t="n">
        <v>1.8426</v>
      </c>
    </row>
    <row r="9649">
      <c r="A9649" t="n">
        <v>1.4638</v>
      </c>
      <c r="B9649" t="n">
        <v>1.4297</v>
      </c>
      <c r="C9649" t="n">
        <v>1.4718</v>
      </c>
    </row>
    <row r="9650">
      <c r="A9650" t="n">
        <v>1.4034</v>
      </c>
      <c r="B9650" t="n">
        <v>1.4338</v>
      </c>
      <c r="C9650" t="n">
        <v>1.7806</v>
      </c>
    </row>
    <row r="9651">
      <c r="A9651" t="n">
        <v>1.3962</v>
      </c>
      <c r="B9651" t="n">
        <v>1.62</v>
      </c>
      <c r="C9651" t="n">
        <v>1.6619</v>
      </c>
    </row>
    <row r="9652">
      <c r="A9652" t="n">
        <v>1.4116</v>
      </c>
      <c r="B9652" t="n">
        <v>1.5187</v>
      </c>
      <c r="C9652" t="n">
        <v>1.4999</v>
      </c>
    </row>
    <row r="9653">
      <c r="A9653" t="n">
        <v>1.4677</v>
      </c>
      <c r="B9653" t="n">
        <v>1.7029</v>
      </c>
      <c r="C9653" t="n">
        <v>1.4375</v>
      </c>
    </row>
    <row r="9654">
      <c r="A9654" t="n">
        <v>1.42</v>
      </c>
      <c r="B9654" t="n">
        <v>1.5134</v>
      </c>
      <c r="C9654" t="n">
        <v>1.4266</v>
      </c>
    </row>
    <row r="9655">
      <c r="A9655" t="n">
        <v>1.4586</v>
      </c>
      <c r="B9655" t="n">
        <v>1.4612</v>
      </c>
      <c r="C9655" t="n">
        <v>1.4469</v>
      </c>
    </row>
    <row r="9656">
      <c r="A9656" t="n">
        <v>1.5954</v>
      </c>
      <c r="B9656" t="n">
        <v>1.6303</v>
      </c>
      <c r="C9656" t="n">
        <v>1.4516</v>
      </c>
    </row>
    <row r="9657">
      <c r="A9657" t="n">
        <v>1.5086</v>
      </c>
      <c r="B9657" t="n">
        <v>1.5749</v>
      </c>
      <c r="C9657" t="n">
        <v>1.6128</v>
      </c>
    </row>
    <row r="9658">
      <c r="A9658" t="n">
        <v>1.4178</v>
      </c>
      <c r="B9658" t="n">
        <v>1.4323</v>
      </c>
      <c r="C9658" t="n">
        <v>1.5784</v>
      </c>
    </row>
    <row r="9659">
      <c r="A9659" t="n">
        <v>1.3979</v>
      </c>
      <c r="B9659" t="n">
        <v>1.4396</v>
      </c>
      <c r="C9659" t="n">
        <v>1.4355</v>
      </c>
    </row>
    <row r="9660">
      <c r="A9660" t="n">
        <v>1.4172</v>
      </c>
      <c r="B9660" t="n">
        <v>1.4044</v>
      </c>
      <c r="C9660" t="n">
        <v>1.4292</v>
      </c>
    </row>
    <row r="9661">
      <c r="A9661" t="n">
        <v>1.425</v>
      </c>
      <c r="B9661" t="n">
        <v>1.4071</v>
      </c>
      <c r="C9661" t="n">
        <v>1.4263</v>
      </c>
    </row>
    <row r="9662">
      <c r="A9662" t="n">
        <v>1.602</v>
      </c>
      <c r="B9662" t="n">
        <v>1.452</v>
      </c>
      <c r="C9662" t="n">
        <v>1.4502</v>
      </c>
    </row>
    <row r="9663">
      <c r="A9663" t="n">
        <v>1.5358</v>
      </c>
      <c r="B9663" t="n">
        <v>1.4545</v>
      </c>
      <c r="C9663" t="n">
        <v>1.4287</v>
      </c>
    </row>
    <row r="9664">
      <c r="A9664" t="n">
        <v>1.6548</v>
      </c>
      <c r="B9664" t="n">
        <v>1.636</v>
      </c>
      <c r="C9664" t="n">
        <v>1.4029</v>
      </c>
    </row>
    <row r="9665">
      <c r="A9665" t="n">
        <v>1.4729</v>
      </c>
      <c r="B9665" t="n">
        <v>1.5145</v>
      </c>
      <c r="C9665" t="n">
        <v>1.6369</v>
      </c>
    </row>
    <row r="9666">
      <c r="A9666" t="n">
        <v>1.7399</v>
      </c>
      <c r="B9666" t="n">
        <v>1.7482</v>
      </c>
      <c r="C9666" t="n">
        <v>1.7438</v>
      </c>
    </row>
    <row r="9667">
      <c r="A9667" t="n">
        <v>1.6531</v>
      </c>
      <c r="B9667" t="n">
        <v>1.4391</v>
      </c>
      <c r="C9667" t="n">
        <v>1.4654</v>
      </c>
    </row>
    <row r="9668">
      <c r="A9668" t="n">
        <v>1.7147</v>
      </c>
      <c r="B9668" t="n">
        <v>1.4274</v>
      </c>
      <c r="C9668" t="n">
        <v>1.4428</v>
      </c>
    </row>
    <row r="9669">
      <c r="A9669" t="n">
        <v>1.4895</v>
      </c>
      <c r="B9669" t="n">
        <v>1.6143</v>
      </c>
      <c r="C9669" t="n">
        <v>1.4561</v>
      </c>
    </row>
    <row r="9670">
      <c r="A9670" t="n">
        <v>1.4446</v>
      </c>
      <c r="B9670" t="n">
        <v>1.5495</v>
      </c>
      <c r="C9670" t="n">
        <v>1.374</v>
      </c>
    </row>
    <row r="9671">
      <c r="A9671" t="n">
        <v>1.4364</v>
      </c>
      <c r="B9671" t="n">
        <v>1.6341</v>
      </c>
      <c r="C9671" t="n">
        <v>1.4745</v>
      </c>
    </row>
    <row r="9672">
      <c r="A9672" t="n">
        <v>1.6023</v>
      </c>
      <c r="B9672" t="n">
        <v>1.4822</v>
      </c>
      <c r="C9672" t="n">
        <v>1.6595</v>
      </c>
    </row>
    <row r="9673">
      <c r="A9673" t="n">
        <v>1.7521</v>
      </c>
      <c r="B9673" t="n">
        <v>1.4368</v>
      </c>
      <c r="C9673" t="n">
        <v>1.4909</v>
      </c>
    </row>
    <row r="9674">
      <c r="A9674" t="n">
        <v>1.4801</v>
      </c>
      <c r="B9674" t="n">
        <v>1.4023</v>
      </c>
      <c r="C9674" t="n">
        <v>1.7018</v>
      </c>
    </row>
    <row r="9675">
      <c r="A9675" t="n">
        <v>1.4194</v>
      </c>
      <c r="B9675" t="n">
        <v>1.4228</v>
      </c>
      <c r="C9675" t="n">
        <v>1.6734</v>
      </c>
    </row>
    <row r="9676">
      <c r="A9676" t="n">
        <v>1.4314</v>
      </c>
      <c r="B9676" t="n">
        <v>1.427</v>
      </c>
      <c r="C9676" t="n">
        <v>1.5117</v>
      </c>
    </row>
    <row r="9677">
      <c r="A9677" t="n">
        <v>1.3893</v>
      </c>
      <c r="B9677" t="n">
        <v>1.6107</v>
      </c>
      <c r="C9677" t="n">
        <v>1.6393</v>
      </c>
    </row>
    <row r="9678">
      <c r="A9678" t="n">
        <v>1.4381</v>
      </c>
      <c r="B9678" t="n">
        <v>1.7653</v>
      </c>
      <c r="C9678" t="n">
        <v>1.4956</v>
      </c>
    </row>
    <row r="9679">
      <c r="A9679" t="n">
        <v>1.7217</v>
      </c>
      <c r="B9679" t="n">
        <v>1.4832</v>
      </c>
      <c r="C9679" t="n">
        <v>1.4043</v>
      </c>
    </row>
    <row r="9680">
      <c r="A9680" t="n">
        <v>1.4926</v>
      </c>
      <c r="B9680" t="n">
        <v>1.4245</v>
      </c>
      <c r="C9680" t="n">
        <v>1.4308</v>
      </c>
    </row>
    <row r="9681">
      <c r="A9681" t="n">
        <v>1.718</v>
      </c>
      <c r="B9681" t="n">
        <v>1.4454</v>
      </c>
      <c r="C9681" t="n">
        <v>1.4304</v>
      </c>
    </row>
    <row r="9682">
      <c r="A9682" t="n">
        <v>1.6692</v>
      </c>
      <c r="B9682" t="n">
        <v>1.4721</v>
      </c>
      <c r="C9682" t="n">
        <v>1.7525</v>
      </c>
    </row>
    <row r="9683">
      <c r="A9683" t="n">
        <v>1.4727</v>
      </c>
      <c r="B9683" t="n">
        <v>1.4713</v>
      </c>
      <c r="C9683" t="n">
        <v>1.4543</v>
      </c>
    </row>
    <row r="9684">
      <c r="A9684" t="n">
        <v>1.6113</v>
      </c>
      <c r="B9684" t="n">
        <v>1.6268</v>
      </c>
      <c r="C9684" t="n">
        <v>1.4337</v>
      </c>
    </row>
    <row r="9685">
      <c r="A9685" t="n">
        <v>1.522</v>
      </c>
      <c r="B9685" t="n">
        <v>1.509</v>
      </c>
      <c r="C9685" t="n">
        <v>1.3612</v>
      </c>
    </row>
    <row r="9686">
      <c r="A9686" t="n">
        <v>1.4022</v>
      </c>
      <c r="B9686" t="n">
        <v>1.4132</v>
      </c>
      <c r="C9686" t="n">
        <v>1.4225</v>
      </c>
    </row>
    <row r="9687">
      <c r="A9687" t="n">
        <v>1.4141</v>
      </c>
      <c r="B9687" t="n">
        <v>1.4579</v>
      </c>
      <c r="C9687" t="n">
        <v>1.4436</v>
      </c>
    </row>
    <row r="9688">
      <c r="A9688" t="n">
        <v>1.4504</v>
      </c>
      <c r="B9688" t="n">
        <v>1.4484</v>
      </c>
      <c r="C9688" t="n">
        <v>1.4767</v>
      </c>
    </row>
    <row r="9689">
      <c r="A9689" t="n">
        <v>1.4297</v>
      </c>
      <c r="B9689" t="n">
        <v>1.4432</v>
      </c>
      <c r="C9689" t="n">
        <v>1.4541</v>
      </c>
    </row>
    <row r="9690">
      <c r="A9690" t="n">
        <v>1.64</v>
      </c>
      <c r="B9690" t="n">
        <v>1.6627</v>
      </c>
      <c r="C9690" t="n">
        <v>1.4564</v>
      </c>
    </row>
    <row r="9691">
      <c r="A9691" t="n">
        <v>1.7202</v>
      </c>
      <c r="B9691" t="n">
        <v>1.7001</v>
      </c>
      <c r="C9691" t="n">
        <v>1.6617</v>
      </c>
    </row>
    <row r="9692">
      <c r="A9692" t="n">
        <v>1.4918</v>
      </c>
      <c r="B9692" t="n">
        <v>1.4736</v>
      </c>
      <c r="C9692" t="n">
        <v>1.6807</v>
      </c>
    </row>
    <row r="9693">
      <c r="A9693" t="n">
        <v>1.4453</v>
      </c>
      <c r="B9693" t="n">
        <v>1.4698</v>
      </c>
      <c r="C9693" t="n">
        <v>1.4997</v>
      </c>
    </row>
    <row r="9694">
      <c r="A9694" t="n">
        <v>1.4711</v>
      </c>
      <c r="B9694" t="n">
        <v>1.4594</v>
      </c>
      <c r="C9694" t="n">
        <v>1.4692</v>
      </c>
    </row>
    <row r="9695">
      <c r="A9695" t="n">
        <v>1.6283</v>
      </c>
      <c r="B9695" t="n">
        <v>1.6165</v>
      </c>
      <c r="C9695" t="n">
        <v>1.438</v>
      </c>
    </row>
    <row r="9696">
      <c r="A9696" t="n">
        <v>1.4933</v>
      </c>
      <c r="B9696" t="n">
        <v>1.7534</v>
      </c>
      <c r="C9696" t="n">
        <v>1.6239</v>
      </c>
    </row>
    <row r="9697">
      <c r="A9697" t="n">
        <v>1.6444</v>
      </c>
      <c r="B9697" t="n">
        <v>1.4935</v>
      </c>
      <c r="C9697" t="n">
        <v>1.7749</v>
      </c>
    </row>
    <row r="9698">
      <c r="A9698" t="n">
        <v>1.7817</v>
      </c>
      <c r="B9698" t="n">
        <v>1.757</v>
      </c>
      <c r="C9698" t="n">
        <v>1.4991</v>
      </c>
    </row>
    <row r="9699">
      <c r="A9699" t="n">
        <v>1.4518</v>
      </c>
      <c r="B9699" t="n">
        <v>1.6444</v>
      </c>
      <c r="C9699" t="n">
        <v>1.4585</v>
      </c>
    </row>
    <row r="9700">
      <c r="A9700" t="n">
        <v>1.6605</v>
      </c>
      <c r="B9700" t="n">
        <v>1.5308</v>
      </c>
      <c r="C9700" t="n">
        <v>1.428</v>
      </c>
    </row>
    <row r="9701">
      <c r="A9701" t="n">
        <v>1.6655</v>
      </c>
      <c r="B9701" t="n">
        <v>1.6182</v>
      </c>
      <c r="C9701" t="n">
        <v>1.6352</v>
      </c>
    </row>
    <row r="9702">
      <c r="A9702" t="n">
        <v>1.4799</v>
      </c>
      <c r="B9702" t="n">
        <v>1.7776</v>
      </c>
      <c r="C9702" t="n">
        <v>1.826</v>
      </c>
    </row>
    <row r="9703">
      <c r="A9703" t="n">
        <v>1.4409</v>
      </c>
      <c r="B9703" t="n">
        <v>1.5285</v>
      </c>
      <c r="C9703" t="n">
        <v>1.4827</v>
      </c>
    </row>
    <row r="9704">
      <c r="A9704" t="n">
        <v>1.4403</v>
      </c>
      <c r="B9704" t="n">
        <v>1.5885</v>
      </c>
      <c r="C9704" t="n">
        <v>1.4505</v>
      </c>
    </row>
    <row r="9705">
      <c r="A9705" t="n">
        <v>1.6126</v>
      </c>
      <c r="B9705" t="n">
        <v>1.5607</v>
      </c>
      <c r="C9705" t="n">
        <v>1.4315</v>
      </c>
    </row>
    <row r="9706">
      <c r="A9706" t="n">
        <v>1.5239</v>
      </c>
      <c r="B9706" t="n">
        <v>1.4926</v>
      </c>
      <c r="C9706" t="n">
        <v>1.6006</v>
      </c>
    </row>
    <row r="9707">
      <c r="A9707" t="n">
        <v>1.6402</v>
      </c>
      <c r="B9707" t="n">
        <v>1.3867</v>
      </c>
      <c r="C9707" t="n">
        <v>1.5275</v>
      </c>
    </row>
    <row r="9708">
      <c r="A9708" t="n">
        <v>1.4707</v>
      </c>
      <c r="B9708" t="n">
        <v>1.4191</v>
      </c>
      <c r="C9708" t="n">
        <v>1.6297</v>
      </c>
    </row>
    <row r="9709">
      <c r="A9709" t="n">
        <v>1.4363</v>
      </c>
      <c r="B9709" t="n">
        <v>1.4135</v>
      </c>
      <c r="C9709" t="n">
        <v>1.4879</v>
      </c>
    </row>
    <row r="9710">
      <c r="A9710" t="n">
        <v>1.3703</v>
      </c>
      <c r="B9710" t="n">
        <v>1.5996</v>
      </c>
      <c r="C9710" t="n">
        <v>1.4445</v>
      </c>
    </row>
    <row r="9711">
      <c r="A9711" t="n">
        <v>1.4304</v>
      </c>
      <c r="B9711" t="n">
        <v>1.7046</v>
      </c>
      <c r="C9711" t="n">
        <v>1.6711</v>
      </c>
    </row>
    <row r="9712">
      <c r="A9712" t="n">
        <v>1.4245</v>
      </c>
      <c r="B9712" t="n">
        <v>1.4667</v>
      </c>
      <c r="C9712" t="n">
        <v>1.5382</v>
      </c>
    </row>
    <row r="9713">
      <c r="A9713" t="n">
        <v>1.6745</v>
      </c>
      <c r="B9713" t="n">
        <v>1.4231</v>
      </c>
      <c r="C9713" t="n">
        <v>1.6642</v>
      </c>
    </row>
    <row r="9714">
      <c r="A9714" t="n">
        <v>1.7515</v>
      </c>
      <c r="B9714" t="n">
        <v>1.4402</v>
      </c>
      <c r="C9714" t="n">
        <v>1.8087</v>
      </c>
    </row>
    <row r="9715">
      <c r="A9715" t="n">
        <v>1.4976</v>
      </c>
      <c r="B9715" t="n">
        <v>1.6169</v>
      </c>
      <c r="C9715" t="n">
        <v>1.4464</v>
      </c>
    </row>
    <row r="9716">
      <c r="A9716" t="n">
        <v>1.423</v>
      </c>
      <c r="B9716" t="n">
        <v>1.5238</v>
      </c>
      <c r="C9716" t="n">
        <v>1.7022</v>
      </c>
    </row>
    <row r="9717">
      <c r="A9717" t="n">
        <v>1.4458</v>
      </c>
      <c r="B9717" t="n">
        <v>1.655</v>
      </c>
      <c r="C9717" t="n">
        <v>1.6889</v>
      </c>
    </row>
    <row r="9718">
      <c r="A9718" t="n">
        <v>1.6193</v>
      </c>
      <c r="B9718" t="n">
        <v>1.498</v>
      </c>
      <c r="C9718" t="n">
        <v>1.4688</v>
      </c>
    </row>
    <row r="9719">
      <c r="A9719" t="n">
        <v>1.6918</v>
      </c>
      <c r="B9719" t="n">
        <v>1.4458</v>
      </c>
      <c r="C9719" t="n">
        <v>1.4532</v>
      </c>
    </row>
    <row r="9720">
      <c r="A9720" t="n">
        <v>1.499</v>
      </c>
      <c r="B9720" t="n">
        <v>1.4099</v>
      </c>
      <c r="C9720" t="n">
        <v>1.434</v>
      </c>
    </row>
    <row r="9721">
      <c r="A9721" t="n">
        <v>1.4525</v>
      </c>
      <c r="B9721" t="n">
        <v>1.4231</v>
      </c>
      <c r="C9721" t="n">
        <v>1.6002</v>
      </c>
    </row>
    <row r="9722">
      <c r="A9722" t="n">
        <v>1.4186</v>
      </c>
      <c r="B9722" t="n">
        <v>1.6669</v>
      </c>
      <c r="C9722" t="n">
        <v>1.7385</v>
      </c>
    </row>
    <row r="9723">
      <c r="A9723" t="n">
        <v>1.6433</v>
      </c>
      <c r="B9723" t="n">
        <v>1.5299</v>
      </c>
      <c r="C9723" t="n">
        <v>1.5135</v>
      </c>
    </row>
    <row r="9724">
      <c r="A9724" t="n">
        <v>1.4986</v>
      </c>
      <c r="B9724" t="n">
        <v>1.7173</v>
      </c>
      <c r="C9724" t="n">
        <v>1.4227</v>
      </c>
    </row>
    <row r="9725">
      <c r="A9725" t="n">
        <v>1.634</v>
      </c>
      <c r="B9725" t="n">
        <v>1.6469</v>
      </c>
      <c r="C9725" t="n">
        <v>1.452</v>
      </c>
    </row>
    <row r="9726">
      <c r="A9726" t="n">
        <v>1.4933</v>
      </c>
      <c r="B9726" t="n">
        <v>1.5277</v>
      </c>
      <c r="C9726" t="n">
        <v>1.6235</v>
      </c>
    </row>
    <row r="9727">
      <c r="A9727" t="n">
        <v>1.4294</v>
      </c>
      <c r="B9727" t="n">
        <v>1.6634</v>
      </c>
      <c r="C9727" t="n">
        <v>1.4954</v>
      </c>
    </row>
    <row r="9728">
      <c r="A9728" t="n">
        <v>1.3952</v>
      </c>
      <c r="B9728" t="n">
        <v>1.4644</v>
      </c>
      <c r="C9728" t="n">
        <v>1.6383</v>
      </c>
    </row>
    <row r="9729">
      <c r="A9729" t="n">
        <v>1.426</v>
      </c>
      <c r="B9729" t="n">
        <v>1.4292</v>
      </c>
      <c r="C9729" t="n">
        <v>1.5109</v>
      </c>
    </row>
    <row r="9730">
      <c r="A9730" t="n">
        <v>1.7437</v>
      </c>
      <c r="B9730" t="n">
        <v>1.9864</v>
      </c>
      <c r="C9730" t="n">
        <v>1.4422</v>
      </c>
    </row>
    <row r="9731">
      <c r="A9731" t="n">
        <v>1.4609</v>
      </c>
      <c r="B9731" t="n">
        <v>1.6844</v>
      </c>
      <c r="C9731" t="n">
        <v>1.3992</v>
      </c>
    </row>
    <row r="9732">
      <c r="A9732" t="n">
        <v>1.6566</v>
      </c>
      <c r="B9732" t="n">
        <v>1.4975</v>
      </c>
      <c r="C9732" t="n">
        <v>1.428</v>
      </c>
    </row>
    <row r="9733">
      <c r="A9733" t="n">
        <v>1.494</v>
      </c>
      <c r="B9733" t="n">
        <v>1.4366</v>
      </c>
      <c r="C9733" t="n">
        <v>1.4112</v>
      </c>
    </row>
    <row r="9734">
      <c r="A9734" t="n">
        <v>1.4391</v>
      </c>
      <c r="B9734" t="n">
        <v>1.462</v>
      </c>
      <c r="C9734" t="n">
        <v>1.7319</v>
      </c>
    </row>
    <row r="9735">
      <c r="A9735" t="n">
        <v>1.4319</v>
      </c>
      <c r="B9735" t="n">
        <v>1.6005</v>
      </c>
      <c r="C9735" t="n">
        <v>1.7426</v>
      </c>
    </row>
    <row r="9736">
      <c r="A9736" t="n">
        <v>1.6232</v>
      </c>
      <c r="B9736" t="n">
        <v>1.5263</v>
      </c>
      <c r="C9736" t="n">
        <v>1.5328</v>
      </c>
    </row>
    <row r="9737">
      <c r="A9737" t="n">
        <v>1.6902</v>
      </c>
      <c r="B9737" t="n">
        <v>1.6267</v>
      </c>
      <c r="C9737" t="n">
        <v>1.4716</v>
      </c>
    </row>
    <row r="9738">
      <c r="A9738" t="n">
        <v>1.4976</v>
      </c>
      <c r="B9738" t="n">
        <v>1.4976</v>
      </c>
      <c r="C9738" t="n">
        <v>1.7343</v>
      </c>
    </row>
    <row r="9739">
      <c r="A9739" t="n">
        <v>1.4373</v>
      </c>
      <c r="B9739" t="n">
        <v>1.4511</v>
      </c>
      <c r="C9739" t="n">
        <v>1.5069</v>
      </c>
    </row>
    <row r="9740">
      <c r="A9740" t="n">
        <v>1.4167</v>
      </c>
      <c r="B9740" t="n">
        <v>1.3794</v>
      </c>
      <c r="C9740" t="n">
        <v>1.7254</v>
      </c>
    </row>
    <row r="9741">
      <c r="A9741" t="n">
        <v>1.5821</v>
      </c>
      <c r="B9741" t="n">
        <v>1.425</v>
      </c>
      <c r="C9741" t="n">
        <v>1.6808</v>
      </c>
    </row>
    <row r="9742">
      <c r="A9742" t="n">
        <v>1.5473</v>
      </c>
      <c r="B9742" t="n">
        <v>1.4445</v>
      </c>
      <c r="C9742" t="n">
        <v>1.52</v>
      </c>
    </row>
    <row r="9743">
      <c r="A9743" t="n">
        <v>1.6681</v>
      </c>
      <c r="B9743" t="n">
        <v>1.3771</v>
      </c>
      <c r="C9743" t="n">
        <v>1.6362</v>
      </c>
    </row>
    <row r="9744">
      <c r="A9744" t="n">
        <v>1.462</v>
      </c>
      <c r="B9744" t="n">
        <v>1.486</v>
      </c>
      <c r="C9744" t="n">
        <v>1.5093</v>
      </c>
    </row>
    <row r="9745">
      <c r="A9745" t="n">
        <v>1.4058</v>
      </c>
      <c r="B9745" t="n">
        <v>1.6312</v>
      </c>
      <c r="C9745" t="n">
        <v>1.4221</v>
      </c>
    </row>
    <row r="9746">
      <c r="A9746" t="n">
        <v>1.4136</v>
      </c>
      <c r="B9746" t="n">
        <v>1.5017</v>
      </c>
      <c r="C9746" t="n">
        <v>1.7521</v>
      </c>
    </row>
    <row r="9747">
      <c r="A9747" t="n">
        <v>1.4279</v>
      </c>
      <c r="B9747" t="n">
        <v>1.4463</v>
      </c>
      <c r="C9747" t="n">
        <v>1.4822</v>
      </c>
    </row>
    <row r="9748">
      <c r="A9748" t="n">
        <v>1.4071</v>
      </c>
      <c r="B9748" t="n">
        <v>1.4117</v>
      </c>
      <c r="C9748" t="n">
        <v>1.6169</v>
      </c>
    </row>
    <row r="9749">
      <c r="A9749" t="n">
        <v>1.3882</v>
      </c>
      <c r="B9749" t="n">
        <v>1.4251</v>
      </c>
      <c r="C9749" t="n">
        <v>1.5039</v>
      </c>
    </row>
    <row r="9750">
      <c r="A9750" t="n">
        <v>1.455</v>
      </c>
      <c r="B9750" t="n">
        <v>1.4382</v>
      </c>
      <c r="C9750" t="n">
        <v>1.4465</v>
      </c>
    </row>
    <row r="9751">
      <c r="A9751" t="n">
        <v>1.6081</v>
      </c>
      <c r="B9751" t="n">
        <v>1.6631</v>
      </c>
      <c r="C9751" t="n">
        <v>1.3921</v>
      </c>
    </row>
    <row r="9752">
      <c r="A9752" t="n">
        <v>1.5115</v>
      </c>
      <c r="B9752" t="n">
        <v>1.6661</v>
      </c>
      <c r="C9752" t="n">
        <v>1.457</v>
      </c>
    </row>
    <row r="9753">
      <c r="A9753" t="n">
        <v>1.6729</v>
      </c>
      <c r="B9753" t="n">
        <v>1.4868</v>
      </c>
      <c r="C9753" t="n">
        <v>1.4452</v>
      </c>
    </row>
    <row r="9754">
      <c r="A9754" t="n">
        <v>1.6416</v>
      </c>
      <c r="B9754" t="n">
        <v>1.4554</v>
      </c>
      <c r="C9754" t="n">
        <v>1.6424</v>
      </c>
    </row>
    <row r="9755">
      <c r="A9755" t="n">
        <v>1.4961</v>
      </c>
      <c r="B9755" t="n">
        <v>1.4174</v>
      </c>
      <c r="C9755" t="n">
        <v>1.732</v>
      </c>
    </row>
    <row r="9756">
      <c r="A9756" t="n">
        <v>1.6104</v>
      </c>
      <c r="B9756" t="n">
        <v>1.6077</v>
      </c>
      <c r="C9756" t="n">
        <v>1.4862</v>
      </c>
    </row>
    <row r="9757">
      <c r="A9757" t="n">
        <v>1.5015</v>
      </c>
      <c r="B9757" t="n">
        <v>1.5058</v>
      </c>
      <c r="C9757" t="n">
        <v>1.421</v>
      </c>
    </row>
    <row r="9758">
      <c r="A9758" t="n">
        <v>1.4009</v>
      </c>
      <c r="B9758" t="n">
        <v>1.6184</v>
      </c>
      <c r="C9758" t="n">
        <v>1.4354</v>
      </c>
    </row>
    <row r="9759">
      <c r="A9759" t="n">
        <v>1.4168</v>
      </c>
      <c r="B9759" t="n">
        <v>1.4973</v>
      </c>
      <c r="C9759" t="n">
        <v>1.6239</v>
      </c>
    </row>
    <row r="9760">
      <c r="A9760" t="n">
        <v>1.4078</v>
      </c>
      <c r="B9760" t="n">
        <v>1.44</v>
      </c>
      <c r="C9760" t="n">
        <v>1.7911</v>
      </c>
    </row>
    <row r="9761">
      <c r="A9761" t="n">
        <v>1.4156</v>
      </c>
      <c r="B9761" t="n">
        <v>1.3773</v>
      </c>
      <c r="C9761" t="n">
        <v>1.4925</v>
      </c>
    </row>
    <row r="9762">
      <c r="A9762" t="n">
        <v>1.7514</v>
      </c>
      <c r="B9762" t="n">
        <v>1.7644</v>
      </c>
      <c r="C9762" t="n">
        <v>1.4517</v>
      </c>
    </row>
    <row r="9763">
      <c r="A9763" t="n">
        <v>1.6767</v>
      </c>
      <c r="B9763" t="n">
        <v>1.6413</v>
      </c>
      <c r="C9763" t="n">
        <v>1.426</v>
      </c>
    </row>
    <row r="9764">
      <c r="A9764" t="n">
        <v>1.4845</v>
      </c>
      <c r="B9764" t="n">
        <v>1.5331</v>
      </c>
      <c r="C9764" t="n">
        <v>1.6179</v>
      </c>
    </row>
    <row r="9765">
      <c r="A9765" t="n">
        <v>1.4637</v>
      </c>
      <c r="B9765" t="n">
        <v>1.4928</v>
      </c>
      <c r="C9765" t="n">
        <v>1.8385</v>
      </c>
    </row>
    <row r="9766">
      <c r="A9766" t="n">
        <v>1.4471</v>
      </c>
      <c r="B9766" t="n">
        <v>1.744</v>
      </c>
      <c r="C9766" t="n">
        <v>1.4875</v>
      </c>
    </row>
    <row r="9767">
      <c r="A9767" t="n">
        <v>1.7052</v>
      </c>
      <c r="B9767" t="n">
        <v>1.5765</v>
      </c>
      <c r="C9767" t="n">
        <v>1.4395</v>
      </c>
    </row>
    <row r="9768">
      <c r="A9768" t="n">
        <v>1.6615</v>
      </c>
      <c r="B9768" t="n">
        <v>1.7275</v>
      </c>
      <c r="C9768" t="n">
        <v>1.4376</v>
      </c>
    </row>
    <row r="9769">
      <c r="A9769" t="n">
        <v>1.5069</v>
      </c>
      <c r="B9769" t="n">
        <v>1.5546</v>
      </c>
      <c r="C9769" t="n">
        <v>1.6365</v>
      </c>
    </row>
    <row r="9770">
      <c r="A9770" t="n">
        <v>1.4213</v>
      </c>
      <c r="B9770" t="n">
        <v>1.4645</v>
      </c>
      <c r="C9770" t="n">
        <v>1.8708</v>
      </c>
    </row>
    <row r="9771">
      <c r="A9771" t="n">
        <v>1.4333</v>
      </c>
      <c r="B9771" t="n">
        <v>1.6471</v>
      </c>
      <c r="C9771" t="n">
        <v>1.4859</v>
      </c>
    </row>
    <row r="9772">
      <c r="A9772" t="n">
        <v>1.5972</v>
      </c>
      <c r="B9772" t="n">
        <v>1.7912</v>
      </c>
      <c r="C9772" t="n">
        <v>1.42</v>
      </c>
    </row>
    <row r="9773">
      <c r="A9773" t="n">
        <v>1.5147</v>
      </c>
      <c r="B9773" t="n">
        <v>1.581</v>
      </c>
      <c r="C9773" t="n">
        <v>1.4696</v>
      </c>
    </row>
    <row r="9774">
      <c r="A9774" t="n">
        <v>1.6403</v>
      </c>
      <c r="B9774" t="n">
        <v>1.5751</v>
      </c>
      <c r="C9774" t="n">
        <v>1.6216</v>
      </c>
    </row>
    <row r="9775">
      <c r="A9775" t="n">
        <v>1.49</v>
      </c>
      <c r="B9775" t="n">
        <v>1.7089</v>
      </c>
      <c r="C9775" t="n">
        <v>1.7943</v>
      </c>
    </row>
    <row r="9776">
      <c r="A9776" t="n">
        <v>1.4058</v>
      </c>
      <c r="B9776" t="n">
        <v>1.504</v>
      </c>
      <c r="C9776" t="n">
        <v>1.4721</v>
      </c>
    </row>
    <row r="9777">
      <c r="A9777" t="n">
        <v>1.3877</v>
      </c>
      <c r="B9777" t="n">
        <v>1.7276</v>
      </c>
      <c r="C9777" t="n">
        <v>1.4575</v>
      </c>
    </row>
    <row r="9778">
      <c r="A9778" t="n">
        <v>1.4156</v>
      </c>
      <c r="B9778" t="n">
        <v>1.6795</v>
      </c>
      <c r="C9778" t="n">
        <v>1.7427</v>
      </c>
    </row>
    <row r="9779">
      <c r="A9779" t="n">
        <v>1.4241</v>
      </c>
      <c r="B9779" t="n">
        <v>1.5049</v>
      </c>
      <c r="C9779" t="n">
        <v>1.4419</v>
      </c>
    </row>
    <row r="9780">
      <c r="A9780" t="n">
        <v>1.4122</v>
      </c>
      <c r="B9780" t="n">
        <v>1.7041</v>
      </c>
      <c r="C9780" t="n">
        <v>1.6585</v>
      </c>
    </row>
    <row r="9781">
      <c r="A9781" t="n">
        <v>1.4703</v>
      </c>
      <c r="B9781" t="n">
        <v>1.4938</v>
      </c>
      <c r="C9781" t="n">
        <v>1.4927</v>
      </c>
    </row>
    <row r="9782">
      <c r="A9782" t="n">
        <v>1.6159</v>
      </c>
      <c r="B9782" t="n">
        <v>1.4401</v>
      </c>
      <c r="C9782" t="n">
        <v>1.4699</v>
      </c>
    </row>
    <row r="9783">
      <c r="A9783" t="n">
        <v>1.5249</v>
      </c>
      <c r="B9783" t="n">
        <v>1.63</v>
      </c>
      <c r="C9783" t="n">
        <v>1.4537</v>
      </c>
    </row>
    <row r="9784">
      <c r="A9784" t="n">
        <v>1.4389</v>
      </c>
      <c r="B9784" t="n">
        <v>1.5057</v>
      </c>
      <c r="C9784" t="n">
        <v>1.3946</v>
      </c>
    </row>
    <row r="9785">
      <c r="A9785" t="n">
        <v>1.4023</v>
      </c>
      <c r="B9785" t="n">
        <v>1.5955</v>
      </c>
      <c r="C9785" t="n">
        <v>1.441</v>
      </c>
    </row>
    <row r="9786">
      <c r="A9786" t="n">
        <v>1.4402</v>
      </c>
      <c r="B9786" t="n">
        <v>1.5134</v>
      </c>
      <c r="C9786" t="n">
        <v>1.7118</v>
      </c>
    </row>
    <row r="9787">
      <c r="A9787" t="n">
        <v>1.4209</v>
      </c>
      <c r="B9787" t="n">
        <v>1.4097</v>
      </c>
      <c r="C9787" t="n">
        <v>1.5041</v>
      </c>
    </row>
    <row r="9788">
      <c r="A9788" t="n">
        <v>1.681</v>
      </c>
      <c r="B9788" t="n">
        <v>1.3964</v>
      </c>
      <c r="C9788" t="n">
        <v>1.439</v>
      </c>
    </row>
    <row r="9789">
      <c r="A9789" t="n">
        <v>1.6761</v>
      </c>
      <c r="B9789" t="n">
        <v>1.4177</v>
      </c>
      <c r="C9789" t="n">
        <v>1.4511</v>
      </c>
    </row>
    <row r="9790">
      <c r="A9790" t="n">
        <v>1.4808</v>
      </c>
      <c r="B9790" t="n">
        <v>1.4435</v>
      </c>
      <c r="C9790" t="n">
        <v>1.4075</v>
      </c>
    </row>
    <row r="9791">
      <c r="A9791" t="n">
        <v>1.411</v>
      </c>
      <c r="B9791" t="n">
        <v>1.6436</v>
      </c>
      <c r="C9791" t="n">
        <v>1.4283</v>
      </c>
    </row>
    <row r="9792">
      <c r="A9792" t="n">
        <v>1.4731</v>
      </c>
      <c r="B9792" t="n">
        <v>1.8108</v>
      </c>
      <c r="C9792" t="n">
        <v>1.6389</v>
      </c>
    </row>
    <row r="9793">
      <c r="A9793" t="n">
        <v>1.3975</v>
      </c>
      <c r="B9793" t="n">
        <v>1.4712</v>
      </c>
      <c r="C9793" t="n">
        <v>1.4737</v>
      </c>
    </row>
    <row r="9794">
      <c r="A9794" t="n">
        <v>1.729</v>
      </c>
      <c r="B9794" t="n">
        <v>1.7559</v>
      </c>
      <c r="C9794" t="n">
        <v>1.4006</v>
      </c>
    </row>
    <row r="9795">
      <c r="A9795" t="n">
        <v>1.6707</v>
      </c>
      <c r="B9795" t="n">
        <v>1.6214</v>
      </c>
      <c r="C9795" t="n">
        <v>1.4566</v>
      </c>
    </row>
    <row r="9796">
      <c r="A9796" t="n">
        <v>1.4819</v>
      </c>
      <c r="B9796" t="n">
        <v>1.5099</v>
      </c>
      <c r="C9796" t="n">
        <v>1.7004</v>
      </c>
    </row>
    <row r="9797">
      <c r="A9797" t="n">
        <v>1.4536</v>
      </c>
      <c r="B9797" t="n">
        <v>1.6231</v>
      </c>
      <c r="C9797" t="n">
        <v>1.6849</v>
      </c>
    </row>
    <row r="9798">
      <c r="A9798" t="n">
        <v>1.4277</v>
      </c>
      <c r="B9798" t="n">
        <v>1.7477</v>
      </c>
      <c r="C9798" t="n">
        <v>1.5503</v>
      </c>
    </row>
    <row r="9799">
      <c r="A9799" t="n">
        <v>1.4777</v>
      </c>
      <c r="B9799" t="n">
        <v>1.5507</v>
      </c>
      <c r="C9799" t="n">
        <v>1.635</v>
      </c>
    </row>
    <row r="9800">
      <c r="A9800" t="n">
        <v>1.4366</v>
      </c>
      <c r="B9800" t="n">
        <v>1.6062</v>
      </c>
      <c r="C9800" t="n">
        <v>1.4984</v>
      </c>
    </row>
    <row r="9801">
      <c r="A9801" t="n">
        <v>1.4076</v>
      </c>
      <c r="B9801" t="n">
        <v>1.5002</v>
      </c>
      <c r="C9801" t="n">
        <v>1.4304</v>
      </c>
    </row>
    <row r="9802">
      <c r="A9802" t="n">
        <v>1.4584</v>
      </c>
      <c r="B9802" t="n">
        <v>1.4205</v>
      </c>
      <c r="C9802" t="n">
        <v>1.3986</v>
      </c>
    </row>
    <row r="9803">
      <c r="A9803" t="n">
        <v>1.64</v>
      </c>
      <c r="B9803" t="n">
        <v>1.4089</v>
      </c>
      <c r="C9803" t="n">
        <v>1.4409</v>
      </c>
    </row>
    <row r="9804">
      <c r="A9804" t="n">
        <v>1.4946</v>
      </c>
      <c r="B9804" t="n">
        <v>1.4373</v>
      </c>
      <c r="C9804" t="n">
        <v>1.4503</v>
      </c>
    </row>
    <row r="9805">
      <c r="A9805" t="n">
        <v>1.4359</v>
      </c>
      <c r="B9805" t="n">
        <v>1.4352</v>
      </c>
      <c r="C9805" t="n">
        <v>1.6417</v>
      </c>
    </row>
    <row r="9806">
      <c r="A9806" t="n">
        <v>1.3884</v>
      </c>
      <c r="B9806" t="n">
        <v>1.6242</v>
      </c>
      <c r="C9806" t="n">
        <v>1.7218</v>
      </c>
    </row>
    <row r="9807">
      <c r="A9807" t="n">
        <v>1.4201</v>
      </c>
      <c r="B9807" t="n">
        <v>1.819</v>
      </c>
      <c r="C9807" t="n">
        <v>1.4836</v>
      </c>
    </row>
    <row r="9808">
      <c r="A9808" t="n">
        <v>1.4118</v>
      </c>
      <c r="B9808" t="n">
        <v>1.5182</v>
      </c>
      <c r="C9808" t="n">
        <v>1.4227</v>
      </c>
    </row>
    <row r="9809">
      <c r="A9809" t="n">
        <v>1.6517</v>
      </c>
      <c r="B9809" t="n">
        <v>1.4205</v>
      </c>
      <c r="C9809" t="n">
        <v>1.4413</v>
      </c>
    </row>
    <row r="9810">
      <c r="A9810" t="n">
        <v>1.6935</v>
      </c>
      <c r="B9810" t="n">
        <v>1.4562</v>
      </c>
      <c r="C9810" t="n">
        <v>1.9882</v>
      </c>
    </row>
    <row r="9811">
      <c r="A9811" t="n">
        <v>1.4762</v>
      </c>
      <c r="B9811" t="n">
        <v>1.7177</v>
      </c>
      <c r="C9811" t="n">
        <v>1.6301</v>
      </c>
    </row>
    <row r="9812">
      <c r="A9812" t="n">
        <v>1.4209</v>
      </c>
      <c r="B9812" t="n">
        <v>1.7739</v>
      </c>
      <c r="C9812" t="n">
        <v>1.6727</v>
      </c>
    </row>
    <row r="9813">
      <c r="A9813" t="n">
        <v>1.431</v>
      </c>
      <c r="B9813" t="n">
        <v>1.5097</v>
      </c>
      <c r="C9813" t="n">
        <v>1.5209</v>
      </c>
    </row>
    <row r="9814">
      <c r="A9814" t="n">
        <v>1.6142</v>
      </c>
      <c r="B9814" t="n">
        <v>1.4496</v>
      </c>
      <c r="C9814" t="n">
        <v>1.6401</v>
      </c>
    </row>
    <row r="9815">
      <c r="A9815" t="n">
        <v>1.5254</v>
      </c>
      <c r="B9815" t="n">
        <v>1.4331</v>
      </c>
      <c r="C9815" t="n">
        <v>1.5255</v>
      </c>
    </row>
    <row r="9816">
      <c r="A9816" t="n">
        <v>1.6304</v>
      </c>
      <c r="B9816" t="n">
        <v>1.615</v>
      </c>
      <c r="C9816" t="n">
        <v>1.437</v>
      </c>
    </row>
    <row r="9817">
      <c r="A9817" t="n">
        <v>1.4824</v>
      </c>
      <c r="B9817" t="n">
        <v>1.6942</v>
      </c>
      <c r="C9817" t="n">
        <v>1.487</v>
      </c>
    </row>
    <row r="9818">
      <c r="A9818" t="n">
        <v>1.4101</v>
      </c>
      <c r="B9818" t="n">
        <v>1.4713</v>
      </c>
      <c r="C9818" t="n">
        <v>1.4518</v>
      </c>
    </row>
    <row r="9819">
      <c r="A9819" t="n">
        <v>1.3896</v>
      </c>
      <c r="B9819" t="n">
        <v>1.4439</v>
      </c>
      <c r="C9819" t="n">
        <v>1.4254</v>
      </c>
    </row>
    <row r="9820">
      <c r="A9820" t="n">
        <v>1.4155</v>
      </c>
      <c r="B9820" t="n">
        <v>1.4443</v>
      </c>
      <c r="C9820" t="n">
        <v>1.4268</v>
      </c>
    </row>
    <row r="9821">
      <c r="A9821" t="n">
        <v>1.4467</v>
      </c>
      <c r="B9821" t="n">
        <v>1.5972</v>
      </c>
      <c r="C9821" t="n">
        <v>1.5756</v>
      </c>
    </row>
    <row r="9822">
      <c r="A9822" t="n">
        <v>1.6504</v>
      </c>
      <c r="B9822" t="n">
        <v>1.9003</v>
      </c>
      <c r="C9822" t="n">
        <v>1.4318</v>
      </c>
    </row>
    <row r="9823">
      <c r="A9823" t="n">
        <v>1.6879</v>
      </c>
      <c r="B9823" t="n">
        <v>1.5099</v>
      </c>
      <c r="C9823" t="n">
        <v>1.4098</v>
      </c>
    </row>
    <row r="9824">
      <c r="A9824" t="n">
        <v>1.4783</v>
      </c>
      <c r="B9824" t="n">
        <v>1.5344</v>
      </c>
      <c r="C9824" t="n">
        <v>1.4373</v>
      </c>
    </row>
    <row r="9825">
      <c r="A9825" t="n">
        <v>1.4314</v>
      </c>
      <c r="B9825" t="n">
        <v>1.8229</v>
      </c>
      <c r="C9825" t="n">
        <v>1.4463</v>
      </c>
    </row>
    <row r="9826">
      <c r="A9826" t="n">
        <v>1.7633</v>
      </c>
      <c r="B9826" t="n">
        <v>2.0022</v>
      </c>
      <c r="C9826" t="n">
        <v>1.4173</v>
      </c>
    </row>
    <row r="9827">
      <c r="A9827" t="n">
        <v>1.4112</v>
      </c>
      <c r="B9827" t="n">
        <v>1.4484</v>
      </c>
      <c r="C9827" t="n">
        <v>1.458</v>
      </c>
    </row>
    <row r="9828">
      <c r="A9828" t="n">
        <v>1.7005</v>
      </c>
      <c r="B9828" t="n">
        <v>1.3952</v>
      </c>
      <c r="C9828" t="n">
        <v>1.7364</v>
      </c>
    </row>
    <row r="9829">
      <c r="A9829" t="n">
        <v>1.5039</v>
      </c>
      <c r="B9829" t="n">
        <v>1.5529</v>
      </c>
      <c r="C9829" t="n">
        <v>1.6503</v>
      </c>
    </row>
    <row r="9830">
      <c r="A9830" t="n">
        <v>1.43</v>
      </c>
      <c r="B9830" t="n">
        <v>1.6867</v>
      </c>
      <c r="C9830" t="n">
        <v>1.4966</v>
      </c>
    </row>
    <row r="9831">
      <c r="A9831" t="n">
        <v>1.4441</v>
      </c>
      <c r="B9831" t="n">
        <v>1.561</v>
      </c>
      <c r="C9831" t="n">
        <v>1.4636</v>
      </c>
    </row>
    <row r="9832">
      <c r="A9832" t="n">
        <v>1.629</v>
      </c>
      <c r="B9832" t="n">
        <v>1.4961</v>
      </c>
      <c r="C9832" t="n">
        <v>1.4265</v>
      </c>
    </row>
    <row r="9833">
      <c r="A9833" t="n">
        <v>1.5311</v>
      </c>
      <c r="B9833" t="n">
        <v>1.3909</v>
      </c>
      <c r="C9833" t="n">
        <v>1.6232</v>
      </c>
    </row>
    <row r="9834">
      <c r="A9834" t="n">
        <v>1.7884</v>
      </c>
      <c r="B9834" t="n">
        <v>1.5159</v>
      </c>
      <c r="C9834" t="n">
        <v>1.5502</v>
      </c>
    </row>
    <row r="9835">
      <c r="A9835" t="n">
        <v>1.4953</v>
      </c>
      <c r="B9835" t="n">
        <v>1.6852</v>
      </c>
      <c r="C9835" t="n">
        <v>1.3988</v>
      </c>
    </row>
    <row r="9836">
      <c r="A9836" t="n">
        <v>1.4396</v>
      </c>
      <c r="B9836" t="n">
        <v>1.4989</v>
      </c>
      <c r="C9836" t="n">
        <v>1.4432</v>
      </c>
    </row>
    <row r="9837">
      <c r="A9837" t="n">
        <v>1.5979</v>
      </c>
      <c r="B9837" t="n">
        <v>1.7199</v>
      </c>
      <c r="C9837" t="n">
        <v>1.6579</v>
      </c>
    </row>
    <row r="9838">
      <c r="A9838" t="n">
        <v>1.585</v>
      </c>
      <c r="B9838" t="n">
        <v>1.7588</v>
      </c>
      <c r="C9838" t="n">
        <v>1.6643</v>
      </c>
    </row>
    <row r="9839">
      <c r="A9839" t="n">
        <v>1.4129</v>
      </c>
      <c r="B9839" t="n">
        <v>1.5678</v>
      </c>
      <c r="C9839" t="n">
        <v>1.5323</v>
      </c>
    </row>
    <row r="9840">
      <c r="A9840" t="n">
        <v>1.4333</v>
      </c>
      <c r="B9840" t="n">
        <v>1.4354</v>
      </c>
      <c r="C9840" t="n">
        <v>1.6407</v>
      </c>
    </row>
    <row r="9841">
      <c r="A9841" t="n">
        <v>1.3896</v>
      </c>
      <c r="B9841" t="n">
        <v>1.4544</v>
      </c>
      <c r="C9841" t="n">
        <v>1.4666</v>
      </c>
    </row>
    <row r="9842">
      <c r="A9842" t="n">
        <v>1.3955</v>
      </c>
      <c r="B9842" t="n">
        <v>1.3946</v>
      </c>
      <c r="C9842" t="n">
        <v>1.7611</v>
      </c>
    </row>
    <row r="9843">
      <c r="A9843" t="n">
        <v>1.4443</v>
      </c>
      <c r="B9843" t="n">
        <v>1.5407</v>
      </c>
      <c r="C9843" t="n">
        <v>1.6678</v>
      </c>
    </row>
    <row r="9844">
      <c r="A9844" t="n">
        <v>1.4547</v>
      </c>
      <c r="B9844" t="n">
        <v>1.5167</v>
      </c>
      <c r="C9844" t="n">
        <v>1.6659</v>
      </c>
    </row>
    <row r="9845">
      <c r="A9845" t="n">
        <v>1.6028</v>
      </c>
      <c r="B9845" t="n">
        <v>1.7819</v>
      </c>
      <c r="C9845" t="n">
        <v>1.5355</v>
      </c>
    </row>
    <row r="9846">
      <c r="A9846" t="n">
        <v>1.5278</v>
      </c>
      <c r="B9846" t="n">
        <v>1.5004</v>
      </c>
      <c r="C9846" t="n">
        <v>1.4873</v>
      </c>
    </row>
    <row r="9847">
      <c r="A9847" t="n">
        <v>1.663</v>
      </c>
      <c r="B9847" t="n">
        <v>1.4288</v>
      </c>
      <c r="C9847" t="n">
        <v>1.4158</v>
      </c>
    </row>
    <row r="9848">
      <c r="A9848" t="n">
        <v>1.468</v>
      </c>
      <c r="B9848" t="n">
        <v>1.4085</v>
      </c>
      <c r="C9848" t="n">
        <v>1.6237</v>
      </c>
    </row>
    <row r="9849">
      <c r="A9849" t="n">
        <v>1.4493</v>
      </c>
      <c r="B9849" t="n">
        <v>1.4261</v>
      </c>
      <c r="C9849" t="n">
        <v>1.7406</v>
      </c>
    </row>
    <row r="9850">
      <c r="A9850" t="n">
        <v>1.4242</v>
      </c>
      <c r="B9850" t="n">
        <v>1.4851</v>
      </c>
      <c r="C9850" t="n">
        <v>1.4893</v>
      </c>
    </row>
    <row r="9851">
      <c r="A9851" t="n">
        <v>1.4392</v>
      </c>
      <c r="B9851" t="n">
        <v>1.6157</v>
      </c>
      <c r="C9851" t="n">
        <v>1.4628</v>
      </c>
    </row>
    <row r="9852">
      <c r="A9852" t="n">
        <v>1.4572</v>
      </c>
      <c r="B9852" t="n">
        <v>1.5688</v>
      </c>
      <c r="C9852" t="n">
        <v>1.4612</v>
      </c>
    </row>
    <row r="9853">
      <c r="A9853" t="n">
        <v>1.3923</v>
      </c>
      <c r="B9853" t="n">
        <v>1.5036</v>
      </c>
      <c r="C9853" t="n">
        <v>1.6045</v>
      </c>
    </row>
    <row r="9854">
      <c r="A9854" t="n">
        <v>1.4276</v>
      </c>
      <c r="B9854" t="n">
        <v>1.404</v>
      </c>
      <c r="C9854" t="n">
        <v>1.8083</v>
      </c>
    </row>
    <row r="9855">
      <c r="A9855" t="n">
        <v>1.6046</v>
      </c>
      <c r="B9855" t="n">
        <v>1.4371</v>
      </c>
      <c r="C9855" t="n">
        <v>1.5015</v>
      </c>
    </row>
    <row r="9856">
      <c r="A9856" t="n">
        <v>1.488</v>
      </c>
      <c r="B9856" t="n">
        <v>1.4316</v>
      </c>
      <c r="C9856" t="n">
        <v>1.452</v>
      </c>
    </row>
    <row r="9857">
      <c r="A9857" t="n">
        <v>1.3917</v>
      </c>
      <c r="B9857" t="n">
        <v>1.4355</v>
      </c>
      <c r="C9857" t="n">
        <v>1.4481</v>
      </c>
    </row>
    <row r="9858">
      <c r="A9858" t="n">
        <v>1.7169</v>
      </c>
      <c r="B9858" t="n">
        <v>1.7614</v>
      </c>
      <c r="C9858" t="n">
        <v>1.6249</v>
      </c>
    </row>
    <row r="9859">
      <c r="A9859" t="n">
        <v>1.4573</v>
      </c>
      <c r="B9859" t="n">
        <v>1.4557</v>
      </c>
      <c r="C9859" t="n">
        <v>1.5237</v>
      </c>
    </row>
    <row r="9860">
      <c r="A9860" t="n">
        <v>1.5921</v>
      </c>
      <c r="B9860" t="n">
        <v>1.6405</v>
      </c>
      <c r="C9860" t="n">
        <v>1.6572</v>
      </c>
    </row>
    <row r="9861">
      <c r="A9861" t="n">
        <v>1.5216</v>
      </c>
      <c r="B9861" t="n">
        <v>1.5316</v>
      </c>
      <c r="C9861" t="n">
        <v>1.4886</v>
      </c>
    </row>
    <row r="9862">
      <c r="A9862" t="n">
        <v>1.4297</v>
      </c>
      <c r="B9862" t="n">
        <v>1.4745</v>
      </c>
      <c r="C9862" t="n">
        <v>1.4327</v>
      </c>
    </row>
    <row r="9863">
      <c r="A9863" t="n">
        <v>1.4052</v>
      </c>
      <c r="B9863" t="n">
        <v>1.4469</v>
      </c>
      <c r="C9863" t="n">
        <v>1.6098</v>
      </c>
    </row>
    <row r="9864">
      <c r="A9864" t="n">
        <v>1.4098</v>
      </c>
      <c r="B9864" t="n">
        <v>1.6832</v>
      </c>
      <c r="C9864" t="n">
        <v>1.5066</v>
      </c>
    </row>
    <row r="9865">
      <c r="A9865" t="n">
        <v>1.425</v>
      </c>
      <c r="B9865" t="n">
        <v>1.6752</v>
      </c>
      <c r="C9865" t="n">
        <v>1.6124</v>
      </c>
    </row>
    <row r="9866">
      <c r="A9866" t="n">
        <v>1.6092</v>
      </c>
      <c r="B9866" t="n">
        <v>1.4764</v>
      </c>
      <c r="C9866" t="n">
        <v>1.5161</v>
      </c>
    </row>
    <row r="9867">
      <c r="A9867" t="n">
        <v>1.5444</v>
      </c>
      <c r="B9867" t="n">
        <v>1.458</v>
      </c>
      <c r="C9867" t="n">
        <v>1.4352</v>
      </c>
    </row>
    <row r="9868">
      <c r="A9868" t="n">
        <v>1.6709</v>
      </c>
      <c r="B9868" t="n">
        <v>1.4423</v>
      </c>
      <c r="C9868" t="n">
        <v>1.4105</v>
      </c>
    </row>
    <row r="9869">
      <c r="A9869" t="n">
        <v>1.4601</v>
      </c>
      <c r="B9869" t="n">
        <v>1.5859</v>
      </c>
      <c r="C9869" t="n">
        <v>1.4134</v>
      </c>
    </row>
    <row r="9870">
      <c r="A9870" t="n">
        <v>1.4278</v>
      </c>
      <c r="B9870" t="n">
        <v>1.5208</v>
      </c>
      <c r="C9870" t="n">
        <v>1.4046</v>
      </c>
    </row>
    <row r="9871">
      <c r="A9871" t="n">
        <v>1.399</v>
      </c>
      <c r="B9871" t="n">
        <v>1.6618</v>
      </c>
      <c r="C9871" t="n">
        <v>1.5952</v>
      </c>
    </row>
    <row r="9872">
      <c r="A9872" t="n">
        <v>1.4023</v>
      </c>
      <c r="B9872" t="n">
        <v>1.4652</v>
      </c>
      <c r="C9872" t="n">
        <v>1.5795</v>
      </c>
    </row>
    <row r="9873">
      <c r="A9873" t="n">
        <v>1.4415</v>
      </c>
      <c r="B9873" t="n">
        <v>1.4375</v>
      </c>
      <c r="C9873" t="n">
        <v>1.4401</v>
      </c>
    </row>
    <row r="9874">
      <c r="A9874" t="n">
        <v>1.6428</v>
      </c>
      <c r="B9874" t="n">
        <v>1.6014</v>
      </c>
      <c r="C9874" t="n">
        <v>1.7363</v>
      </c>
    </row>
    <row r="9875">
      <c r="A9875" t="n">
        <v>1.6571</v>
      </c>
      <c r="B9875" t="n">
        <v>1.5238</v>
      </c>
      <c r="C9875" t="n">
        <v>1.4402</v>
      </c>
    </row>
    <row r="9876">
      <c r="A9876" t="n">
        <v>1.5081</v>
      </c>
      <c r="B9876" t="n">
        <v>1.623</v>
      </c>
      <c r="C9876" t="n">
        <v>1.3985</v>
      </c>
    </row>
    <row r="9877">
      <c r="A9877" t="n">
        <v>1.4357</v>
      </c>
      <c r="B9877" t="n">
        <v>1.5048</v>
      </c>
      <c r="C9877" t="n">
        <v>1.4637</v>
      </c>
    </row>
    <row r="9878">
      <c r="A9878" t="n">
        <v>1.4217</v>
      </c>
      <c r="B9878" t="n">
        <v>1.3838</v>
      </c>
      <c r="C9878" t="n">
        <v>1.6466</v>
      </c>
    </row>
    <row r="9879">
      <c r="A9879" t="n">
        <v>1.6345</v>
      </c>
      <c r="B9879" t="n">
        <v>1.4583</v>
      </c>
      <c r="C9879" t="n">
        <v>1.5255</v>
      </c>
    </row>
    <row r="9880">
      <c r="A9880" t="n">
        <v>1.5137</v>
      </c>
      <c r="B9880" t="n">
        <v>1.4275</v>
      </c>
      <c r="C9880" t="n">
        <v>1.4007</v>
      </c>
    </row>
    <row r="9881">
      <c r="A9881" t="n">
        <v>1.6197</v>
      </c>
      <c r="B9881" t="n">
        <v>1.4445</v>
      </c>
      <c r="C9881" t="n">
        <v>1.4129</v>
      </c>
    </row>
    <row r="9882">
      <c r="A9882" t="n">
        <v>1.4823</v>
      </c>
      <c r="B9882" t="n">
        <v>1.66</v>
      </c>
      <c r="C9882" t="n">
        <v>1.4351</v>
      </c>
    </row>
    <row r="9883">
      <c r="A9883" t="n">
        <v>1.457</v>
      </c>
      <c r="B9883" t="n">
        <v>1.7847</v>
      </c>
      <c r="C9883" t="n">
        <v>1.4572</v>
      </c>
    </row>
    <row r="9884">
      <c r="A9884" t="n">
        <v>1.3846</v>
      </c>
      <c r="B9884" t="n">
        <v>1.466</v>
      </c>
      <c r="C9884" t="n">
        <v>1.613</v>
      </c>
    </row>
    <row r="9885">
      <c r="A9885" t="n">
        <v>1.4318</v>
      </c>
      <c r="B9885" t="n">
        <v>1.4281</v>
      </c>
      <c r="C9885" t="n">
        <v>1.5265</v>
      </c>
    </row>
    <row r="9886">
      <c r="A9886" t="n">
        <v>1.4591</v>
      </c>
      <c r="B9886" t="n">
        <v>1.5067</v>
      </c>
      <c r="C9886" t="n">
        <v>1.6267</v>
      </c>
    </row>
    <row r="9887">
      <c r="A9887" t="n">
        <v>1.3986</v>
      </c>
      <c r="B9887" t="n">
        <v>1.6232</v>
      </c>
      <c r="C9887" t="n">
        <v>1.489</v>
      </c>
    </row>
    <row r="9888">
      <c r="A9888" t="n">
        <v>1.4777</v>
      </c>
      <c r="B9888" t="n">
        <v>1.7889</v>
      </c>
      <c r="C9888" t="n">
        <v>1.4297</v>
      </c>
    </row>
    <row r="9889">
      <c r="A9889" t="n">
        <v>1.6128</v>
      </c>
      <c r="B9889" t="n">
        <v>1.4862</v>
      </c>
      <c r="C9889" t="n">
        <v>1.3969</v>
      </c>
    </row>
    <row r="9890">
      <c r="A9890" t="n">
        <v>1.8001</v>
      </c>
      <c r="B9890" t="n">
        <v>1.7744</v>
      </c>
      <c r="C9890" t="n">
        <v>1.435</v>
      </c>
    </row>
    <row r="9891">
      <c r="A9891" t="n">
        <v>1.4537</v>
      </c>
      <c r="B9891" t="n">
        <v>1.6302</v>
      </c>
      <c r="C9891" t="n">
        <v>1.4101</v>
      </c>
    </row>
    <row r="9892">
      <c r="A9892" t="n">
        <v>1.6516</v>
      </c>
      <c r="B9892" t="n">
        <v>1.5104</v>
      </c>
      <c r="C9892" t="n">
        <v>1.6449</v>
      </c>
    </row>
    <row r="9893">
      <c r="A9893" t="n">
        <v>1.7152</v>
      </c>
      <c r="B9893" t="n">
        <v>1.6884</v>
      </c>
      <c r="C9893" t="n">
        <v>1.6884</v>
      </c>
    </row>
    <row r="9894">
      <c r="A9894" t="n">
        <v>1.4941</v>
      </c>
      <c r="B9894" t="n">
        <v>1.6615</v>
      </c>
      <c r="C9894" t="n">
        <v>1.49</v>
      </c>
    </row>
    <row r="9895">
      <c r="A9895" t="n">
        <v>1.4473</v>
      </c>
      <c r="B9895" t="n">
        <v>1.5267</v>
      </c>
      <c r="C9895" t="n">
        <v>1.4236</v>
      </c>
    </row>
    <row r="9896">
      <c r="A9896" t="n">
        <v>1.4433</v>
      </c>
      <c r="B9896" t="n">
        <v>1.6673</v>
      </c>
      <c r="C9896" t="n">
        <v>1.448</v>
      </c>
    </row>
    <row r="9897">
      <c r="A9897" t="n">
        <v>1.6096</v>
      </c>
      <c r="B9897" t="n">
        <v>1.4982</v>
      </c>
      <c r="C9897" t="n">
        <v>1.6406</v>
      </c>
    </row>
    <row r="9898">
      <c r="A9898" t="n">
        <v>1.54</v>
      </c>
      <c r="B9898" t="n">
        <v>1.4342</v>
      </c>
      <c r="C9898" t="n">
        <v>1.779</v>
      </c>
    </row>
    <row r="9899">
      <c r="A9899" t="n">
        <v>1.3993</v>
      </c>
      <c r="B9899" t="n">
        <v>1.3707</v>
      </c>
      <c r="C9899" t="n">
        <v>1.4861</v>
      </c>
    </row>
    <row r="9900">
      <c r="A9900" t="n">
        <v>1.4187</v>
      </c>
      <c r="B9900" t="n">
        <v>1.4396</v>
      </c>
      <c r="C9900" t="n">
        <v>1.4429</v>
      </c>
    </row>
    <row r="9901">
      <c r="A9901" t="n">
        <v>1.4101</v>
      </c>
      <c r="B9901" t="n">
        <v>1.4693</v>
      </c>
      <c r="C9901" t="n">
        <v>1.4164</v>
      </c>
    </row>
    <row r="9902">
      <c r="A9902" t="n">
        <v>1.4202</v>
      </c>
      <c r="B9902" t="n">
        <v>1.6801</v>
      </c>
      <c r="C9902" t="n">
        <v>1.4069</v>
      </c>
    </row>
    <row r="9903">
      <c r="A9903" t="n">
        <v>1.4293</v>
      </c>
      <c r="B9903" t="n">
        <v>1.7332</v>
      </c>
      <c r="C9903" t="n">
        <v>1.4414</v>
      </c>
    </row>
    <row r="9904">
      <c r="A9904" t="n">
        <v>1.4709</v>
      </c>
      <c r="B9904" t="n">
        <v>1.4891</v>
      </c>
      <c r="C9904" t="n">
        <v>1.7339</v>
      </c>
    </row>
    <row r="9905">
      <c r="A9905" t="n">
        <v>1.5965</v>
      </c>
      <c r="B9905" t="n">
        <v>1.4484</v>
      </c>
      <c r="C9905" t="n">
        <v>1.5129</v>
      </c>
    </row>
    <row r="9906">
      <c r="A9906" t="n">
        <v>1.5236</v>
      </c>
      <c r="B9906" t="n">
        <v>1.4849</v>
      </c>
      <c r="C9906" t="n">
        <v>1.7562</v>
      </c>
    </row>
    <row r="9907">
      <c r="A9907" t="n">
        <v>1.6501</v>
      </c>
      <c r="B9907" t="n">
        <v>1.6483</v>
      </c>
      <c r="C9907" t="n">
        <v>1.5954</v>
      </c>
    </row>
    <row r="9908">
      <c r="A9908" t="n">
        <v>1.4703</v>
      </c>
      <c r="B9908" t="n">
        <v>1.7676</v>
      </c>
      <c r="C9908" t="n">
        <v>1.5154</v>
      </c>
    </row>
    <row r="9909">
      <c r="A9909" t="n">
        <v>1.4649</v>
      </c>
      <c r="B9909" t="n">
        <v>1.559</v>
      </c>
      <c r="C9909" t="n">
        <v>1.6202</v>
      </c>
    </row>
    <row r="9910">
      <c r="A9910" t="n">
        <v>1.4197</v>
      </c>
      <c r="B9910" t="n">
        <v>1.5544</v>
      </c>
      <c r="C9910" t="n">
        <v>1.4852</v>
      </c>
    </row>
    <row r="9911">
      <c r="A9911" t="n">
        <v>1.4187</v>
      </c>
      <c r="B9911" t="n">
        <v>1.6091</v>
      </c>
      <c r="C9911" t="n">
        <v>1.4205</v>
      </c>
    </row>
    <row r="9912">
      <c r="A9912" t="n">
        <v>1.4599</v>
      </c>
      <c r="B9912" t="n">
        <v>1.5076</v>
      </c>
      <c r="C9912" t="n">
        <v>1.4036</v>
      </c>
    </row>
    <row r="9913">
      <c r="A9913" t="n">
        <v>1.4206</v>
      </c>
      <c r="B9913" t="n">
        <v>1.7862</v>
      </c>
      <c r="C9913" t="n">
        <v>1.4101</v>
      </c>
    </row>
    <row r="9914">
      <c r="A9914" t="n">
        <v>1.4598</v>
      </c>
      <c r="B9914" t="n">
        <v>1.6363</v>
      </c>
      <c r="C9914" t="n">
        <v>1.4506</v>
      </c>
    </row>
    <row r="9915">
      <c r="A9915" t="n">
        <v>1.6682</v>
      </c>
      <c r="B9915" t="n">
        <v>1.5271</v>
      </c>
      <c r="C9915" t="n">
        <v>1.6392</v>
      </c>
    </row>
    <row r="9916">
      <c r="A9916" t="n">
        <v>1.5107</v>
      </c>
      <c r="B9916" t="n">
        <v>1.6193</v>
      </c>
      <c r="C9916" t="n">
        <v>1.6087</v>
      </c>
    </row>
    <row r="9917">
      <c r="A9917" t="n">
        <v>1.4389</v>
      </c>
      <c r="B9917" t="n">
        <v>1.4611</v>
      </c>
      <c r="C9917" t="n">
        <v>1.8948</v>
      </c>
    </row>
    <row r="9918">
      <c r="A9918" t="n">
        <v>1.5933</v>
      </c>
      <c r="B9918" t="n">
        <v>1.4285</v>
      </c>
      <c r="C9918" t="n">
        <v>2.1572</v>
      </c>
    </row>
    <row r="9919">
      <c r="A9919" t="n">
        <v>1.5129</v>
      </c>
      <c r="B9919" t="n">
        <v>1.4775</v>
      </c>
      <c r="C9919" t="n">
        <v>1.9134</v>
      </c>
    </row>
    <row r="9920">
      <c r="A9920" t="n">
        <v>1.5968</v>
      </c>
      <c r="B9920" t="n">
        <v>1.4076</v>
      </c>
      <c r="C9920" t="n">
        <v>2.0729</v>
      </c>
    </row>
    <row r="9921">
      <c r="A9921" t="n">
        <v>1.5073</v>
      </c>
      <c r="B9921" t="n">
        <v>1.4247</v>
      </c>
      <c r="C9921" t="n">
        <v>1.9172</v>
      </c>
    </row>
    <row r="9922">
      <c r="A9922" t="n">
        <v>1.7432</v>
      </c>
      <c r="B9922" t="n">
        <v>2.0436</v>
      </c>
      <c r="C9922" t="n">
        <v>1.8792</v>
      </c>
    </row>
    <row r="9923">
      <c r="A9923" t="n">
        <v>1.597</v>
      </c>
      <c r="B9923" t="n">
        <v>1.6807</v>
      </c>
      <c r="C9923" t="n">
        <v>1.7579</v>
      </c>
    </row>
    <row r="9924">
      <c r="A9924" t="n">
        <v>1.5372</v>
      </c>
      <c r="B9924" t="n">
        <v>1.6731</v>
      </c>
      <c r="C9924" t="n">
        <v>1.5318</v>
      </c>
    </row>
    <row r="9925">
      <c r="A9925" t="n">
        <v>1.655</v>
      </c>
      <c r="B9925" t="n">
        <v>1.581</v>
      </c>
      <c r="C9925" t="n">
        <v>1.4982</v>
      </c>
    </row>
    <row r="9926">
      <c r="A9926" t="n">
        <v>1.4639</v>
      </c>
      <c r="B9926" t="n">
        <v>1.4345</v>
      </c>
      <c r="C9926" t="n">
        <v>1.4733</v>
      </c>
    </row>
    <row r="9927">
      <c r="A9927" t="n">
        <v>1.4461</v>
      </c>
      <c r="B9927" t="n">
        <v>1.4504</v>
      </c>
      <c r="C9927" t="n">
        <v>1.4487</v>
      </c>
    </row>
    <row r="9928">
      <c r="A9928" t="n">
        <v>1.6399</v>
      </c>
      <c r="B9928" t="n">
        <v>1.404</v>
      </c>
      <c r="C9928" t="n">
        <v>1.4526</v>
      </c>
    </row>
    <row r="9929">
      <c r="A9929" t="n">
        <v>1.4995</v>
      </c>
      <c r="B9929" t="n">
        <v>1.4055</v>
      </c>
      <c r="C9929" t="n">
        <v>1.4829</v>
      </c>
    </row>
    <row r="9930">
      <c r="A9930" t="n">
        <v>1.6067</v>
      </c>
      <c r="B9930" t="n">
        <v>1.4595</v>
      </c>
      <c r="C9930" t="n">
        <v>1.456</v>
      </c>
    </row>
    <row r="9931">
      <c r="A9931" t="n">
        <v>1.5552</v>
      </c>
      <c r="B9931" t="n">
        <v>1.4595</v>
      </c>
      <c r="C9931" t="n">
        <v>1.4442</v>
      </c>
    </row>
    <row r="9932">
      <c r="A9932" t="n">
        <v>1.412</v>
      </c>
      <c r="B9932" t="n">
        <v>1.6305</v>
      </c>
      <c r="C9932" t="n">
        <v>1.5019</v>
      </c>
    </row>
    <row r="9933">
      <c r="A9933" t="n">
        <v>1.4138</v>
      </c>
      <c r="B9933" t="n">
        <v>1.7807</v>
      </c>
      <c r="C9933" t="n">
        <v>1.468</v>
      </c>
    </row>
    <row r="9934">
      <c r="A9934" t="n">
        <v>1.3937</v>
      </c>
      <c r="B9934" t="n">
        <v>1.5005</v>
      </c>
      <c r="C9934" t="n">
        <v>1.5212</v>
      </c>
    </row>
    <row r="9935">
      <c r="A9935" t="n">
        <v>1.4254</v>
      </c>
      <c r="B9935" t="n">
        <v>1.4151</v>
      </c>
      <c r="C9935" t="n">
        <v>1.5045</v>
      </c>
    </row>
    <row r="9936">
      <c r="A9936" t="n">
        <v>1.4029</v>
      </c>
      <c r="B9936" t="n">
        <v>1.4414</v>
      </c>
      <c r="C9936" t="n">
        <v>1.4607</v>
      </c>
    </row>
    <row r="9937">
      <c r="A9937" t="n">
        <v>1.4496</v>
      </c>
      <c r="B9937" t="n">
        <v>1.6346</v>
      </c>
      <c r="C9937" t="n">
        <v>1.4633</v>
      </c>
    </row>
    <row r="9938">
      <c r="A9938" t="n">
        <v>1.6026</v>
      </c>
      <c r="B9938" t="n">
        <v>1.8058</v>
      </c>
      <c r="C9938" t="n">
        <v>1.8324</v>
      </c>
    </row>
    <row r="9939">
      <c r="A9939" t="n">
        <v>1.5101</v>
      </c>
      <c r="B9939" t="n">
        <v>1.4879</v>
      </c>
      <c r="C9939" t="n">
        <v>1.4658</v>
      </c>
    </row>
    <row r="9940">
      <c r="A9940" t="n">
        <v>1.4463</v>
      </c>
      <c r="B9940" t="n">
        <v>1.4901</v>
      </c>
      <c r="C9940" t="n">
        <v>1.4933</v>
      </c>
    </row>
    <row r="9941">
      <c r="A9941" t="n">
        <v>1.4</v>
      </c>
      <c r="B9941" t="n">
        <v>1.4283</v>
      </c>
      <c r="C9941" t="n">
        <v>1.4817</v>
      </c>
    </row>
    <row r="9942">
      <c r="A9942" t="n">
        <v>1.4254</v>
      </c>
      <c r="B9942" t="n">
        <v>1.6567</v>
      </c>
      <c r="C9942" t="n">
        <v>1.4978</v>
      </c>
    </row>
    <row r="9943">
      <c r="A9943" t="n">
        <v>1.4088</v>
      </c>
      <c r="B9943" t="n">
        <v>1.7146</v>
      </c>
      <c r="C9943" t="n">
        <v>1.5195</v>
      </c>
    </row>
    <row r="9944">
      <c r="A9944" t="n">
        <v>1.5861</v>
      </c>
      <c r="B9944" t="n">
        <v>1.4679</v>
      </c>
      <c r="C9944" t="n">
        <v>1.4683</v>
      </c>
    </row>
    <row r="9945">
      <c r="A9945" t="n">
        <v>1.5413</v>
      </c>
      <c r="B9945" t="n">
        <v>1.4285</v>
      </c>
      <c r="C9945" t="n">
        <v>1.5016</v>
      </c>
    </row>
    <row r="9946">
      <c r="A9946" t="n">
        <v>1.7614</v>
      </c>
      <c r="B9946" t="n">
        <v>1.4287</v>
      </c>
      <c r="C9946" t="n">
        <v>1.4767</v>
      </c>
    </row>
    <row r="9947">
      <c r="A9947" t="n">
        <v>1.4686</v>
      </c>
      <c r="B9947" t="n">
        <v>1.6026</v>
      </c>
      <c r="C9947" t="n">
        <v>1.5138</v>
      </c>
    </row>
    <row r="9948">
      <c r="A9948" t="n">
        <v>1.4446</v>
      </c>
      <c r="B9948" t="n">
        <v>1.5682</v>
      </c>
      <c r="C9948" t="n">
        <v>1.7232</v>
      </c>
    </row>
    <row r="9949">
      <c r="A9949" t="n">
        <v>1.6065</v>
      </c>
      <c r="B9949" t="n">
        <v>1.6421</v>
      </c>
      <c r="C9949" t="n">
        <v>1.8453</v>
      </c>
    </row>
    <row r="9950">
      <c r="A9950" t="n">
        <v>1.4834</v>
      </c>
      <c r="B9950" t="n">
        <v>1.4769</v>
      </c>
      <c r="C9950" t="n">
        <v>1.5424</v>
      </c>
    </row>
    <row r="9951">
      <c r="A9951" t="n">
        <v>1.5999</v>
      </c>
      <c r="B9951" t="n">
        <v>1.4508</v>
      </c>
      <c r="C9951" t="n">
        <v>1.6379</v>
      </c>
    </row>
    <row r="9952">
      <c r="A9952" t="n">
        <v>1.5009</v>
      </c>
      <c r="B9952" t="n">
        <v>1.4034</v>
      </c>
      <c r="C9952" t="n">
        <v>1.498</v>
      </c>
    </row>
    <row r="9953">
      <c r="A9953" t="n">
        <v>1.4145</v>
      </c>
      <c r="B9953" t="n">
        <v>1.4086</v>
      </c>
      <c r="C9953" t="n">
        <v>1.4461</v>
      </c>
    </row>
    <row r="9954">
      <c r="A9954" t="n">
        <v>2.0853</v>
      </c>
      <c r="B9954" t="n">
        <v>1.8084</v>
      </c>
      <c r="C9954" t="n">
        <v>1.4087</v>
      </c>
    </row>
    <row r="9955">
      <c r="A9955" t="n">
        <v>1.7146</v>
      </c>
      <c r="B9955" t="n">
        <v>1.4829</v>
      </c>
      <c r="C9955" t="n">
        <v>1.458</v>
      </c>
    </row>
    <row r="9956">
      <c r="A9956" t="n">
        <v>1.4782</v>
      </c>
      <c r="B9956" t="n">
        <v>1.6525</v>
      </c>
      <c r="C9956" t="n">
        <v>1.4395</v>
      </c>
    </row>
    <row r="9957">
      <c r="A9957" t="n">
        <v>1.4361</v>
      </c>
      <c r="B9957" t="n">
        <v>1.6719</v>
      </c>
      <c r="C9957" t="n">
        <v>1.4036</v>
      </c>
    </row>
    <row r="9958">
      <c r="A9958" t="n">
        <v>1.4723</v>
      </c>
      <c r="B9958" t="n">
        <v>1.5646</v>
      </c>
      <c r="C9958" t="n">
        <v>1.4662</v>
      </c>
    </row>
    <row r="9959">
      <c r="A9959" t="n">
        <v>1.6735</v>
      </c>
      <c r="B9959" t="n">
        <v>1.6407</v>
      </c>
      <c r="C9959" t="n">
        <v>1.6744</v>
      </c>
    </row>
    <row r="9960">
      <c r="A9960" t="n">
        <v>1.7423</v>
      </c>
      <c r="B9960" t="n">
        <v>1.485</v>
      </c>
      <c r="C9960" t="n">
        <v>1.4717</v>
      </c>
    </row>
    <row r="9961">
      <c r="A9961" t="n">
        <v>1.4808</v>
      </c>
      <c r="B9961" t="n">
        <v>1.4062</v>
      </c>
      <c r="C9961" t="n">
        <v>1.4764</v>
      </c>
    </row>
    <row r="9962">
      <c r="A9962" t="n">
        <v>1.432</v>
      </c>
      <c r="B9962" t="n">
        <v>1.3718</v>
      </c>
      <c r="C9962" t="n">
        <v>1.4869</v>
      </c>
    </row>
    <row r="9963">
      <c r="A9963" t="n">
        <v>1.4193</v>
      </c>
      <c r="B9963" t="n">
        <v>1.4145</v>
      </c>
      <c r="C9963" t="n">
        <v>1.4571</v>
      </c>
    </row>
    <row r="9964">
      <c r="A9964" t="n">
        <v>1.6104</v>
      </c>
      <c r="B9964" t="n">
        <v>1.439</v>
      </c>
      <c r="C9964" t="n">
        <v>1.6468</v>
      </c>
    </row>
    <row r="9965">
      <c r="A9965" t="n">
        <v>1.6375</v>
      </c>
      <c r="B9965" t="n">
        <v>1.6551</v>
      </c>
      <c r="C9965" t="n">
        <v>1.5151</v>
      </c>
    </row>
    <row r="9966">
      <c r="A9966" t="n">
        <v>1.4742</v>
      </c>
      <c r="B9966" t="n">
        <v>1.7129</v>
      </c>
      <c r="C9966" t="n">
        <v>1.4218</v>
      </c>
    </row>
    <row r="9967">
      <c r="A9967" t="n">
        <v>1.4525</v>
      </c>
      <c r="B9967" t="n">
        <v>1.4985</v>
      </c>
      <c r="C9967" t="n">
        <v>1.4171</v>
      </c>
    </row>
    <row r="9968">
      <c r="A9968" t="n">
        <v>1.4008</v>
      </c>
      <c r="B9968" t="n">
        <v>1.428</v>
      </c>
      <c r="C9968" t="n">
        <v>1.4224</v>
      </c>
    </row>
    <row r="9969">
      <c r="A9969" t="n">
        <v>1.4218</v>
      </c>
      <c r="B9969" t="n">
        <v>1.4566</v>
      </c>
      <c r="C9969" t="n">
        <v>1.4399</v>
      </c>
    </row>
    <row r="9970">
      <c r="A9970" t="n">
        <v>1.4377</v>
      </c>
      <c r="B9970" t="n">
        <v>1.6233</v>
      </c>
      <c r="C9970" t="n">
        <v>2.0212</v>
      </c>
    </row>
    <row r="9971">
      <c r="A9971" t="n">
        <v>1.4347</v>
      </c>
      <c r="B9971" t="n">
        <v>1.567</v>
      </c>
      <c r="C9971" t="n">
        <v>1.7759</v>
      </c>
    </row>
    <row r="9972">
      <c r="A9972" t="n">
        <v>1.6975</v>
      </c>
      <c r="B9972" t="n">
        <v>1.4273</v>
      </c>
      <c r="C9972" t="n">
        <v>1.6694</v>
      </c>
    </row>
    <row r="9973">
      <c r="A9973" t="n">
        <v>1.6773</v>
      </c>
      <c r="B9973" t="n">
        <v>1.434</v>
      </c>
      <c r="C9973" t="n">
        <v>1.5607</v>
      </c>
    </row>
    <row r="9974">
      <c r="A9974" t="n">
        <v>1.4698</v>
      </c>
      <c r="B9974" t="n">
        <v>1.3985</v>
      </c>
      <c r="C9974" t="n">
        <v>1.7017</v>
      </c>
    </row>
    <row r="9975">
      <c r="A9975" t="n">
        <v>1.428</v>
      </c>
      <c r="B9975" t="n">
        <v>1.4308</v>
      </c>
      <c r="C9975" t="n">
        <v>1.4811</v>
      </c>
    </row>
    <row r="9976">
      <c r="A9976" t="n">
        <v>1.4382</v>
      </c>
      <c r="B9976" t="n">
        <v>1.4664</v>
      </c>
      <c r="C9976" t="n">
        <v>1.4662</v>
      </c>
    </row>
    <row r="9977">
      <c r="A9977" t="n">
        <v>1.618</v>
      </c>
      <c r="B9977" t="n">
        <v>1.442</v>
      </c>
      <c r="C9977" t="n">
        <v>1.7196</v>
      </c>
    </row>
    <row r="9978">
      <c r="A9978" t="n">
        <v>1.5151</v>
      </c>
      <c r="B9978" t="n">
        <v>1.6618</v>
      </c>
      <c r="C9978" t="n">
        <v>1.5753</v>
      </c>
    </row>
    <row r="9979">
      <c r="A9979" t="n">
        <v>1.6685</v>
      </c>
      <c r="B9979" t="n">
        <v>1.7073</v>
      </c>
      <c r="C9979" t="n">
        <v>1.4218</v>
      </c>
    </row>
    <row r="9980">
      <c r="A9980" t="n">
        <v>1.4746</v>
      </c>
      <c r="B9980" t="n">
        <v>1.4779</v>
      </c>
      <c r="C9980" t="n">
        <v>1.4337</v>
      </c>
    </row>
    <row r="9981">
      <c r="A9981" t="n">
        <v>1.4559</v>
      </c>
      <c r="B9981" t="n">
        <v>1.4418</v>
      </c>
      <c r="C9981" t="n">
        <v>1.406</v>
      </c>
    </row>
    <row r="9982">
      <c r="A9982" t="n">
        <v>1.3931</v>
      </c>
      <c r="B9982" t="n">
        <v>1.4315</v>
      </c>
      <c r="C9982" t="n">
        <v>1.4418</v>
      </c>
    </row>
    <row r="9983">
      <c r="A9983" t="n">
        <v>1.4226</v>
      </c>
      <c r="B9983" t="n">
        <v>1.6156</v>
      </c>
      <c r="C9983" t="n">
        <v>1.4852</v>
      </c>
    </row>
    <row r="9984">
      <c r="A9984" t="n">
        <v>1.4255</v>
      </c>
      <c r="B9984" t="n">
        <v>1.5312</v>
      </c>
      <c r="C9984" t="n">
        <v>1.4487</v>
      </c>
    </row>
    <row r="9985">
      <c r="A9985" t="n">
        <v>1.7035</v>
      </c>
      <c r="B9985" t="n">
        <v>1.6349</v>
      </c>
      <c r="C9985" t="n">
        <v>1.6653</v>
      </c>
    </row>
    <row r="9986">
      <c r="A9986" t="n">
        <v>2.0084</v>
      </c>
      <c r="B9986" t="n">
        <v>1.7839</v>
      </c>
      <c r="C9986" t="n">
        <v>1.6725</v>
      </c>
    </row>
    <row r="9987">
      <c r="A9987" t="n">
        <v>1.6381</v>
      </c>
      <c r="B9987" t="n">
        <v>1.4698</v>
      </c>
      <c r="C9987" t="n">
        <v>1.4671</v>
      </c>
    </row>
    <row r="9988">
      <c r="A9988" t="n">
        <v>1.5388</v>
      </c>
      <c r="B9988" t="n">
        <v>1.6657</v>
      </c>
      <c r="C9988" t="n">
        <v>1.4319</v>
      </c>
    </row>
    <row r="9989">
      <c r="A9989" t="n">
        <v>1.6236</v>
      </c>
      <c r="B9989" t="n">
        <v>1.7335</v>
      </c>
      <c r="C9989" t="n">
        <v>1.4351</v>
      </c>
    </row>
    <row r="9990">
      <c r="A9990" t="n">
        <v>1.472</v>
      </c>
      <c r="B9990" t="n">
        <v>1.4928</v>
      </c>
      <c r="C9990" t="n">
        <v>1.5979</v>
      </c>
    </row>
    <row r="9991">
      <c r="A9991" t="n">
        <v>1.4419</v>
      </c>
      <c r="B9991" t="n">
        <v>1.6695</v>
      </c>
      <c r="C9991" t="n">
        <v>1.5355</v>
      </c>
    </row>
    <row r="9992">
      <c r="A9992" t="n">
        <v>1.3829</v>
      </c>
      <c r="B9992" t="n">
        <v>1.6644</v>
      </c>
      <c r="C9992" t="n">
        <v>1.644</v>
      </c>
    </row>
    <row r="9993">
      <c r="A9993" t="n">
        <v>1.4399</v>
      </c>
      <c r="B9993" t="n">
        <v>1.4916</v>
      </c>
      <c r="C9993" t="n">
        <v>1.4739</v>
      </c>
    </row>
    <row r="9994">
      <c r="A9994" t="n">
        <v>1.4712</v>
      </c>
      <c r="B9994" t="n">
        <v>1.6587</v>
      </c>
      <c r="C9994" t="n">
        <v>1.447</v>
      </c>
    </row>
    <row r="9995">
      <c r="A9995" t="n">
        <v>1.4104</v>
      </c>
      <c r="B9995" t="n">
        <v>1.6372</v>
      </c>
      <c r="C9995" t="n">
        <v>1.4187</v>
      </c>
    </row>
    <row r="9996">
      <c r="A9996" t="n">
        <v>1.4666</v>
      </c>
      <c r="B9996" t="n">
        <v>1.5258</v>
      </c>
      <c r="C9996" t="n">
        <v>1.3896</v>
      </c>
    </row>
    <row r="9997">
      <c r="A9997" t="n">
        <v>1.6502</v>
      </c>
      <c r="B9997" t="n">
        <v>1.6439</v>
      </c>
      <c r="C9997" t="n">
        <v>1.4252</v>
      </c>
    </row>
    <row r="9998">
      <c r="A9998" t="n">
        <v>1.455</v>
      </c>
      <c r="B9998" t="n">
        <v>1.4934</v>
      </c>
      <c r="C9998" t="n">
        <v>1.6934</v>
      </c>
    </row>
    <row r="9999">
      <c r="A9999" t="n">
        <v>1.3967</v>
      </c>
      <c r="B9999" t="n">
        <v>1.4136</v>
      </c>
      <c r="C9999" t="n">
        <v>1.7127</v>
      </c>
    </row>
    <row r="10000">
      <c r="A10000" t="n">
        <v>1.4402</v>
      </c>
      <c r="B10000" t="n">
        <v>1.436</v>
      </c>
      <c r="C10000" t="n">
        <v>1.5335</v>
      </c>
    </row>
    <row r="10001">
      <c r="A10001" t="n">
        <v>1.401</v>
      </c>
      <c r="B10001" t="n">
        <v>1.4132</v>
      </c>
      <c r="C10001" t="n">
        <v>1.4448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4" customWidth="1" min="5" max="5"/>
    <col width="18" customWidth="1" min="6" max="6"/>
    <col width="10" customWidth="1" min="7" max="7"/>
    <col width="10" customWidth="1" min="8" max="8"/>
  </cols>
  <sheetData>
    <row r="1">
      <c r="A1" s="4" t="inlineStr">
        <is>
          <t>Rules</t>
        </is>
      </c>
      <c r="B1" s="4" t="inlineStr">
        <is>
          <t>Ciphers</t>
        </is>
      </c>
      <c r="C1" s="4" t="inlineStr">
        <is>
          <t>Round</t>
        </is>
      </c>
      <c r="D1" s="4" t="inlineStr">
        <is>
          <t>Connections</t>
        </is>
      </c>
      <c r="E1" s="4" t="inlineStr">
        <is>
          <t>Wall seconds</t>
        </is>
      </c>
      <c r="F1" s="4" t="inlineStr">
        <is>
          <t>Handshakes per s</t>
        </is>
      </c>
      <c r="G1" s="4" t="inlineStr">
        <is>
          <t>Blocks</t>
        </is>
      </c>
      <c r="H1" s="4" t="inlineStr">
        <is>
          <t>Dropped</t>
        </is>
      </c>
    </row>
    <row r="2">
      <c r="A2" s="2" t="n">
        <v>1</v>
      </c>
      <c r="B2" s="2" t="n">
        <v>30</v>
      </c>
      <c r="C2" s="2" t="n">
        <v>1</v>
      </c>
      <c r="D2" s="2" t="n">
        <v>12389</v>
      </c>
      <c r="E2" s="2" t="n">
        <v>20.11</v>
      </c>
      <c r="F2" s="2" t="n">
        <v>616.062</v>
      </c>
      <c r="G2" s="2" t="n">
        <v>0</v>
      </c>
      <c r="H2" s="2" t="n">
        <v>0</v>
      </c>
    </row>
    <row r="3">
      <c r="A3" s="2" t="n">
        <v>1</v>
      </c>
      <c r="B3" s="2" t="n">
        <v>30</v>
      </c>
      <c r="C3" s="2" t="n">
        <v>2</v>
      </c>
      <c r="D3" s="2" t="n">
        <v>12940</v>
      </c>
      <c r="E3" s="2" t="n">
        <v>20.7</v>
      </c>
      <c r="F3" s="2" t="n">
        <v>625.121</v>
      </c>
      <c r="G3" s="2" t="n">
        <v>0</v>
      </c>
      <c r="H3" s="2" t="n">
        <v>0</v>
      </c>
    </row>
    <row r="4">
      <c r="A4" s="2" t="n">
        <v>1</v>
      </c>
      <c r="B4" s="2" t="n">
        <v>30</v>
      </c>
      <c r="C4" s="2" t="n">
        <v>3</v>
      </c>
      <c r="D4" s="2" t="n">
        <v>12738</v>
      </c>
      <c r="E4" s="2" t="n">
        <v>20.72</v>
      </c>
      <c r="F4" s="2" t="n">
        <v>614.768</v>
      </c>
      <c r="G4" s="2" t="n">
        <v>0</v>
      </c>
      <c r="H4" s="2" t="n">
        <v>0</v>
      </c>
    </row>
    <row r="5">
      <c r="A5" s="2" t="n">
        <v>1</v>
      </c>
      <c r="B5" s="2" t="n">
        <v>30</v>
      </c>
      <c r="C5" s="2" t="n">
        <v>4</v>
      </c>
      <c r="D5" s="2" t="n">
        <v>12625</v>
      </c>
      <c r="E5" s="2" t="n">
        <v>20.72</v>
      </c>
      <c r="F5" s="2" t="n">
        <v>609.3150000000001</v>
      </c>
      <c r="G5" s="2" t="n">
        <v>0</v>
      </c>
      <c r="H5" s="2" t="n">
        <v>0</v>
      </c>
    </row>
    <row r="6">
      <c r="A6" s="2" t="n">
        <v>1</v>
      </c>
      <c r="B6" s="2" t="n">
        <v>30</v>
      </c>
      <c r="C6" s="2" t="n">
        <v>5</v>
      </c>
      <c r="D6" s="2" t="n">
        <v>12500</v>
      </c>
      <c r="E6" s="2" t="n">
        <v>20.69</v>
      </c>
      <c r="F6" s="2" t="n">
        <v>604.157</v>
      </c>
      <c r="G6" s="2" t="n">
        <v>0</v>
      </c>
      <c r="H6" s="2" t="n">
        <v>0</v>
      </c>
    </row>
    <row r="7">
      <c r="A7" s="2" t="n">
        <v>1</v>
      </c>
      <c r="B7" s="2" t="n">
        <v>1</v>
      </c>
      <c r="C7" s="2" t="n">
        <v>1</v>
      </c>
      <c r="D7" s="2" t="n">
        <v>13381</v>
      </c>
      <c r="E7" s="2" t="n">
        <v>20.69</v>
      </c>
      <c r="F7" s="2" t="n">
        <v>646.7380000000001</v>
      </c>
      <c r="G7" s="2" t="n">
        <v>0</v>
      </c>
      <c r="H7" s="2" t="n">
        <v>0</v>
      </c>
    </row>
    <row r="8">
      <c r="A8" s="2" t="n">
        <v>1</v>
      </c>
      <c r="B8" s="2" t="n">
        <v>1</v>
      </c>
      <c r="C8" s="2" t="n">
        <v>2</v>
      </c>
      <c r="D8" s="2" t="n">
        <v>13417</v>
      </c>
      <c r="E8" s="2" t="n">
        <v>20.7</v>
      </c>
      <c r="F8" s="2" t="n">
        <v>648.164</v>
      </c>
      <c r="G8" s="2" t="n">
        <v>0</v>
      </c>
      <c r="H8" s="2" t="n">
        <v>0</v>
      </c>
    </row>
    <row r="9">
      <c r="A9" s="2" t="n">
        <v>1</v>
      </c>
      <c r="B9" s="2" t="n">
        <v>1</v>
      </c>
      <c r="C9" s="2" t="n">
        <v>3</v>
      </c>
      <c r="D9" s="2" t="n">
        <v>13216</v>
      </c>
      <c r="E9" s="2" t="n">
        <v>20.69</v>
      </c>
      <c r="F9" s="2" t="n">
        <v>638.763</v>
      </c>
      <c r="G9" s="2" t="n">
        <v>0</v>
      </c>
      <c r="H9" s="2" t="n">
        <v>0</v>
      </c>
    </row>
    <row r="10">
      <c r="A10" s="2" t="n">
        <v>1</v>
      </c>
      <c r="B10" s="2" t="n">
        <v>1</v>
      </c>
      <c r="C10" s="2" t="n">
        <v>4</v>
      </c>
      <c r="D10" s="2" t="n">
        <v>13092</v>
      </c>
      <c r="E10" s="2" t="n">
        <v>20.68</v>
      </c>
      <c r="F10" s="2" t="n">
        <v>633.075</v>
      </c>
      <c r="G10" s="2" t="n">
        <v>0</v>
      </c>
      <c r="H10" s="2" t="n">
        <v>0</v>
      </c>
    </row>
    <row r="11">
      <c r="A11" s="2" t="n">
        <v>1</v>
      </c>
      <c r="B11" s="2" t="n">
        <v>1</v>
      </c>
      <c r="C11" s="2" t="n">
        <v>5</v>
      </c>
      <c r="D11" s="2" t="n">
        <v>13319</v>
      </c>
      <c r="E11" s="2" t="n">
        <v>20.69</v>
      </c>
      <c r="F11" s="2" t="n">
        <v>643.741</v>
      </c>
      <c r="G11" s="2" t="n">
        <v>0</v>
      </c>
      <c r="H11" s="2" t="n">
        <v>0</v>
      </c>
    </row>
    <row r="12">
      <c r="A12" s="2" t="n">
        <v>16</v>
      </c>
      <c r="B12" s="2" t="n">
        <v>30</v>
      </c>
      <c r="C12" s="2" t="n">
        <v>1</v>
      </c>
      <c r="D12" s="2" t="n">
        <v>12659</v>
      </c>
      <c r="E12" s="2" t="n">
        <v>20.69</v>
      </c>
      <c r="F12" s="2" t="n">
        <v>611.841</v>
      </c>
      <c r="G12" s="2" t="n">
        <v>0</v>
      </c>
      <c r="H12" s="2" t="n">
        <v>0</v>
      </c>
    </row>
    <row r="13">
      <c r="A13" s="2" t="n">
        <v>16</v>
      </c>
      <c r="B13" s="2" t="n">
        <v>30</v>
      </c>
      <c r="C13" s="2" t="n">
        <v>2</v>
      </c>
      <c r="D13" s="2" t="n">
        <v>12855</v>
      </c>
      <c r="E13" s="2" t="n">
        <v>20.7</v>
      </c>
      <c r="F13" s="2" t="n">
        <v>621.014</v>
      </c>
      <c r="G13" s="2" t="n">
        <v>0</v>
      </c>
      <c r="H13" s="2" t="n">
        <v>0</v>
      </c>
    </row>
    <row r="14">
      <c r="A14" s="2" t="n">
        <v>16</v>
      </c>
      <c r="B14" s="2" t="n">
        <v>30</v>
      </c>
      <c r="C14" s="2" t="n">
        <v>3</v>
      </c>
      <c r="D14" s="2" t="n">
        <v>12771</v>
      </c>
      <c r="E14" s="2" t="n">
        <v>20.68</v>
      </c>
      <c r="F14" s="2" t="n">
        <v>617.553</v>
      </c>
      <c r="G14" s="2" t="n">
        <v>0</v>
      </c>
      <c r="H14" s="2" t="n">
        <v>0</v>
      </c>
    </row>
    <row r="15">
      <c r="A15" s="2" t="n">
        <v>16</v>
      </c>
      <c r="B15" s="2" t="n">
        <v>30</v>
      </c>
      <c r="C15" s="2" t="n">
        <v>4</v>
      </c>
      <c r="D15" s="2" t="n">
        <v>12603</v>
      </c>
      <c r="E15" s="2" t="n">
        <v>20.69</v>
      </c>
      <c r="F15" s="2" t="n">
        <v>609.135</v>
      </c>
      <c r="G15" s="2" t="n">
        <v>0</v>
      </c>
      <c r="H15" s="2" t="n">
        <v>0</v>
      </c>
    </row>
    <row r="16">
      <c r="A16" s="2" t="n">
        <v>16</v>
      </c>
      <c r="B16" s="2" t="n">
        <v>30</v>
      </c>
      <c r="C16" s="2" t="n">
        <v>5</v>
      </c>
      <c r="D16" s="2" t="n">
        <v>12553</v>
      </c>
      <c r="E16" s="2" t="n">
        <v>20.7</v>
      </c>
      <c r="F16" s="2" t="n">
        <v>606.425</v>
      </c>
      <c r="G16" s="2" t="n">
        <v>0</v>
      </c>
      <c r="H16" s="2" t="n">
        <v>0</v>
      </c>
    </row>
    <row r="17">
      <c r="A17" s="2" t="n">
        <v>64</v>
      </c>
      <c r="B17" s="2" t="n">
        <v>30</v>
      </c>
      <c r="C17" s="2" t="n">
        <v>1</v>
      </c>
      <c r="D17" s="2" t="n">
        <v>12835</v>
      </c>
      <c r="E17" s="2" t="n">
        <v>20.69</v>
      </c>
      <c r="F17" s="2" t="n">
        <v>620.348</v>
      </c>
      <c r="G17" s="2" t="n">
        <v>0</v>
      </c>
      <c r="H17" s="2" t="n">
        <v>0</v>
      </c>
    </row>
    <row r="18">
      <c r="A18" s="2" t="n">
        <v>64</v>
      </c>
      <c r="B18" s="2" t="n">
        <v>30</v>
      </c>
      <c r="C18" s="2" t="n">
        <v>2</v>
      </c>
      <c r="D18" s="2" t="n">
        <v>12881</v>
      </c>
      <c r="E18" s="2" t="n">
        <v>20.69</v>
      </c>
      <c r="F18" s="2" t="n">
        <v>622.571</v>
      </c>
      <c r="G18" s="2" t="n">
        <v>0</v>
      </c>
      <c r="H18" s="2" t="n">
        <v>0</v>
      </c>
    </row>
    <row r="19">
      <c r="A19" s="2" t="n">
        <v>64</v>
      </c>
      <c r="B19" s="2" t="n">
        <v>30</v>
      </c>
      <c r="C19" s="2" t="n">
        <v>3</v>
      </c>
      <c r="D19" s="2" t="n">
        <v>12831</v>
      </c>
      <c r="E19" s="2" t="n">
        <v>20.68</v>
      </c>
      <c r="F19" s="2" t="n">
        <v>620.455</v>
      </c>
      <c r="G19" s="2" t="n">
        <v>0</v>
      </c>
      <c r="H19" s="2" t="n">
        <v>0</v>
      </c>
    </row>
    <row r="20">
      <c r="A20" s="2" t="n">
        <v>64</v>
      </c>
      <c r="B20" s="2" t="n">
        <v>30</v>
      </c>
      <c r="C20" s="2" t="n">
        <v>4</v>
      </c>
      <c r="D20" s="2" t="n">
        <v>12567</v>
      </c>
      <c r="E20" s="2" t="n">
        <v>20.69</v>
      </c>
      <c r="F20" s="2" t="n">
        <v>607.395</v>
      </c>
      <c r="G20" s="2" t="n">
        <v>0</v>
      </c>
      <c r="H20" s="2" t="n">
        <v>0</v>
      </c>
    </row>
    <row r="21">
      <c r="A21" s="2" t="n">
        <v>64</v>
      </c>
      <c r="B21" s="2" t="n">
        <v>30</v>
      </c>
      <c r="C21" s="2" t="n">
        <v>5</v>
      </c>
      <c r="D21" s="2" t="n">
        <v>12779</v>
      </c>
      <c r="E21" s="2" t="n">
        <v>20.69</v>
      </c>
      <c r="F21" s="2" t="n">
        <v>617.641</v>
      </c>
      <c r="G21" s="2" t="n">
        <v>0</v>
      </c>
      <c r="H21" s="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14" customWidth="1" min="3" max="3"/>
    <col width="18" customWidth="1" min="4" max="4"/>
    <col width="10" customWidth="1" min="5" max="5"/>
    <col width="10" customWidth="1" min="6" max="6"/>
  </cols>
  <sheetData>
    <row r="1">
      <c r="A1" s="4" t="inlineStr">
        <is>
          <t>Parallel clients</t>
        </is>
      </c>
      <c r="B1" s="4" t="inlineStr">
        <is>
          <t>Connections</t>
        </is>
      </c>
      <c r="C1" s="4" t="inlineStr">
        <is>
          <t>Wall seconds</t>
        </is>
      </c>
      <c r="D1" s="4" t="inlineStr">
        <is>
          <t>Handshakes per s</t>
        </is>
      </c>
      <c r="E1" s="4" t="inlineStr">
        <is>
          <t>Detected</t>
        </is>
      </c>
      <c r="F1" s="4" t="inlineStr">
        <is>
          <t>Dropped</t>
        </is>
      </c>
    </row>
    <row r="2">
      <c r="A2" s="2" t="n">
        <v>1</v>
      </c>
      <c r="B2" s="2" t="n">
        <v>12740</v>
      </c>
      <c r="C2" s="2" t="n">
        <v>20.77</v>
      </c>
      <c r="D2" s="2" t="n">
        <v>613.385</v>
      </c>
      <c r="E2" s="2" t="n">
        <v>12740</v>
      </c>
      <c r="F2" s="2" t="n">
        <v>0</v>
      </c>
    </row>
    <row r="3">
      <c r="A3" s="2" t="n">
        <v>2</v>
      </c>
      <c r="B3" s="2" t="n">
        <v>15232</v>
      </c>
      <c r="C3" s="2" t="n">
        <v>20.76</v>
      </c>
      <c r="D3" s="2" t="n">
        <v>733.7190000000001</v>
      </c>
      <c r="E3" s="2" t="n">
        <v>15232</v>
      </c>
      <c r="F3" s="2" t="n">
        <v>0</v>
      </c>
    </row>
    <row r="4">
      <c r="A4" s="2" t="n">
        <v>4</v>
      </c>
      <c r="B4" s="2" t="n">
        <v>15065</v>
      </c>
      <c r="C4" s="2" t="n">
        <v>20.74</v>
      </c>
      <c r="D4" s="2" t="n">
        <v>726.374</v>
      </c>
      <c r="E4" s="2" t="n">
        <v>15065</v>
      </c>
      <c r="F4" s="2" t="n">
        <v>0</v>
      </c>
    </row>
    <row r="5">
      <c r="A5" s="2" t="n">
        <v>8</v>
      </c>
      <c r="B5" s="2" t="n">
        <v>14006</v>
      </c>
      <c r="C5" s="2" t="n">
        <v>20.74</v>
      </c>
      <c r="D5" s="2" t="n">
        <v>675.313</v>
      </c>
      <c r="E5" s="2" t="n">
        <v>14006</v>
      </c>
      <c r="F5" s="2"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s>
  <sheetData>
    <row r="1">
      <c r="A1" s="4" t="inlineStr">
        <is>
          <t>Item</t>
        </is>
      </c>
      <c r="B1" s="4" t="inlineStr">
        <is>
          <t>Value</t>
        </is>
      </c>
      <c r="C1" s="4" t="inlineStr">
        <is>
          <t>Unit</t>
        </is>
      </c>
    </row>
    <row r="2">
      <c r="A2" s="2" t="inlineStr">
        <is>
          <t>Program, translated</t>
        </is>
      </c>
      <c r="B2" s="2" t="n">
        <v>4336</v>
      </c>
      <c r="C2" s="2" t="inlineStr">
        <is>
          <t>bytes</t>
        </is>
      </c>
    </row>
    <row r="3">
      <c r="A3" s="2" t="inlineStr">
        <is>
          <t>Program, JIT</t>
        </is>
      </c>
      <c r="B3" s="2" t="n">
        <v>2427</v>
      </c>
      <c r="C3" s="2" t="inlineStr">
        <is>
          <t>bytes</t>
        </is>
      </c>
    </row>
    <row r="4">
      <c r="A4" s="2" t="inlineStr">
        <is>
          <t>Verified instructions</t>
        </is>
      </c>
      <c r="B4" s="2" t="n">
        <v>13431</v>
      </c>
      <c r="C4" s="2" t="inlineStr">
        <is>
          <t>instructions</t>
        </is>
      </c>
    </row>
    <row r="5">
      <c r="A5" s="2" t="inlineStr">
        <is>
          <t>Map events (ringbuf)</t>
        </is>
      </c>
      <c r="B5" s="2" t="n">
        <v>275776</v>
      </c>
      <c r="C5" s="2" t="inlineStr">
        <is>
          <t>bytes</t>
        </is>
      </c>
    </row>
    <row r="6">
      <c r="A6" s="2" t="inlineStr">
        <is>
          <t>Map scratch (percpu_array)</t>
        </is>
      </c>
      <c r="B6" s="2" t="n">
        <v>1848</v>
      </c>
      <c r="C6" s="2" t="inlineStr">
        <is>
          <t>bytes</t>
        </is>
      </c>
    </row>
    <row r="7">
      <c r="A7" s="2" t="inlineStr">
        <is>
          <t>Map cgroup_rule (hash)</t>
        </is>
      </c>
      <c r="B7" s="2" t="n">
        <v>329152</v>
      </c>
      <c r="C7" s="2" t="inlineStr">
        <is>
          <t>bytes</t>
        </is>
      </c>
    </row>
    <row r="8">
      <c r="A8" s="2" t="inlineStr">
        <is>
          <t>Map rules (array)</t>
        </is>
      </c>
      <c r="B8" s="2" t="n">
        <v>533304</v>
      </c>
      <c r="C8" s="2" t="inlineStr">
        <is>
          <t>bytes</t>
        </is>
      </c>
    </row>
    <row r="9">
      <c r="A9" s="2" t="inlineStr">
        <is>
          <t>Map stats (array)</t>
        </is>
      </c>
      <c r="B9" s="2" t="n">
        <v>328</v>
      </c>
      <c r="C9" s="2" t="inlineStr">
        <is>
          <t>bytes</t>
        </is>
      </c>
    </row>
    <row r="10">
      <c r="A10" s="2" t="inlineStr">
        <is>
          <t>Map skbounce.rodata (array)</t>
        </is>
      </c>
      <c r="B10" s="2" t="n">
        <v>8192</v>
      </c>
      <c r="C10" s="2" t="inlineStr">
        <is>
          <t>bytes</t>
        </is>
      </c>
    </row>
    <row r="11">
      <c r="A11" s="2" t="inlineStr">
        <is>
          <t>Userspace resident memory</t>
        </is>
      </c>
      <c r="B11" s="2" t="n">
        <v>13176</v>
      </c>
      <c r="C11" s="2" t="inlineStr">
        <is>
          <t>KiB</t>
        </is>
      </c>
    </row>
    <row r="12">
      <c r="A12" s="2" t="inlineStr">
        <is>
          <t>Userspace CPU time</t>
        </is>
      </c>
      <c r="B12" s="2" t="n">
        <v>0.68</v>
      </c>
      <c r="C12" s="2" t="inlineStr">
        <is>
          <t>s</t>
        </is>
      </c>
    </row>
    <row r="13">
      <c r="A13" s="2" t="inlineStr">
        <is>
          <t>Over a run of</t>
        </is>
      </c>
      <c r="B13" s="2" t="n">
        <v>20</v>
      </c>
      <c r="C13" s="2" t="inlineStr">
        <is>
          <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9" customWidth="1" min="3" max="3"/>
    <col width="19" customWidth="1" min="4" max="4"/>
    <col width="18" customWidth="1" min="5" max="5"/>
    <col width="17" customWidth="1" min="6" max="6"/>
    <col width="10" customWidth="1" min="7" max="7"/>
    <col width="14" customWidth="1" min="8" max="8"/>
    <col width="10" customWidth="1" min="9" max="9"/>
  </cols>
  <sheetData>
    <row r="1">
      <c r="A1" s="4" t="inlineStr">
        <is>
          <t>Client</t>
        </is>
      </c>
      <c r="B1" s="4" t="inlineStr">
        <is>
          <t>Policy</t>
        </is>
      </c>
      <c r="C1" s="4" t="inlineStr">
        <is>
          <t>skbouncer verdict</t>
        </is>
      </c>
      <c r="D1" s="4" t="inlineStr">
        <is>
          <t>Reference verdict</t>
        </is>
      </c>
      <c r="E1" s="4" t="inlineStr">
        <is>
          <t>on_unknown block</t>
        </is>
      </c>
      <c r="F1" s="4" t="inlineStr">
        <is>
          <t>Server received</t>
        </is>
      </c>
      <c r="G1" s="4" t="inlineStr">
        <is>
          <t>Blocked</t>
        </is>
      </c>
      <c r="H1" s="4" t="inlineStr">
        <is>
          <t>Should block</t>
        </is>
      </c>
      <c r="I1" s="4" t="inlineStr">
        <is>
          <t>Agrees</t>
        </is>
      </c>
    </row>
    <row r="2">
      <c r="A2" s="2" t="inlineStr">
        <is>
          <t>openssl 3.5.8 default</t>
        </is>
      </c>
      <c r="B2" s="2" t="inlineStr">
        <is>
          <t>min13</t>
        </is>
      </c>
      <c r="C2" s="2" t="inlineStr">
        <is>
          <t>violation</t>
        </is>
      </c>
      <c r="D2" s="2" t="inlineStr">
        <is>
          <t>violation</t>
        </is>
      </c>
      <c r="E2" s="2" t="b">
        <v>0</v>
      </c>
      <c r="F2" s="2" t="b">
        <v>0</v>
      </c>
      <c r="G2" s="2">
        <f>NOT(F2)</f>
        <v/>
      </c>
      <c r="H2" s="2">
        <f>IF(C2="unknown",E2,D2="violation")</f>
        <v/>
      </c>
      <c r="I2" s="2">
        <f>G2=H2</f>
        <v/>
      </c>
    </row>
    <row r="3">
      <c r="A3" s="2" t="inlineStr">
        <is>
          <t>openssl 3.5.8 default</t>
        </is>
      </c>
      <c r="B3" s="2" t="inlineStr">
        <is>
          <t>ciphers</t>
        </is>
      </c>
      <c r="C3" s="2" t="inlineStr">
        <is>
          <t>violation</t>
        </is>
      </c>
      <c r="D3" s="2" t="inlineStr">
        <is>
          <t>violation</t>
        </is>
      </c>
      <c r="E3" s="2" t="b">
        <v>0</v>
      </c>
      <c r="F3" s="2" t="b">
        <v>0</v>
      </c>
      <c r="G3" s="2">
        <f>NOT(F3)</f>
        <v/>
      </c>
      <c r="H3" s="2">
        <f>IF(C3="unknown",E3,D3="violation")</f>
        <v/>
      </c>
      <c r="I3" s="2">
        <f>G3=H3</f>
        <v/>
      </c>
    </row>
    <row r="4">
      <c r="A4" s="2" t="inlineStr">
        <is>
          <t>openssl 3.5.8 default</t>
        </is>
      </c>
      <c r="B4" s="2" t="inlineStr">
        <is>
          <t>min13_block</t>
        </is>
      </c>
      <c r="C4" s="2" t="inlineStr">
        <is>
          <t>violation</t>
        </is>
      </c>
      <c r="D4" s="2" t="inlineStr">
        <is>
          <t>violation</t>
        </is>
      </c>
      <c r="E4" s="2" t="b">
        <v>1</v>
      </c>
      <c r="F4" s="2" t="b">
        <v>0</v>
      </c>
      <c r="G4" s="2">
        <f>NOT(F4)</f>
        <v/>
      </c>
      <c r="H4" s="2">
        <f>IF(C4="unknown",E4,D4="violation")</f>
        <v/>
      </c>
      <c r="I4" s="2">
        <f>G4=H4</f>
        <v/>
      </c>
    </row>
    <row r="5">
      <c r="A5" s="2" t="inlineStr">
        <is>
          <t>openssl X25519 only (classical)</t>
        </is>
      </c>
      <c r="B5" s="2" t="inlineStr">
        <is>
          <t>min13</t>
        </is>
      </c>
      <c r="C5" s="2" t="inlineStr">
        <is>
          <t>violation</t>
        </is>
      </c>
      <c r="D5" s="2" t="inlineStr">
        <is>
          <t>violation</t>
        </is>
      </c>
      <c r="E5" s="2" t="b">
        <v>0</v>
      </c>
      <c r="F5" s="2" t="b">
        <v>0</v>
      </c>
      <c r="G5" s="2">
        <f>NOT(F5)</f>
        <v/>
      </c>
      <c r="H5" s="2">
        <f>IF(C5="unknown",E5,D5="violation")</f>
        <v/>
      </c>
      <c r="I5" s="2">
        <f>G5=H5</f>
        <v/>
      </c>
    </row>
    <row r="6">
      <c r="A6" s="2" t="inlineStr">
        <is>
          <t>openssl X25519 only (classical)</t>
        </is>
      </c>
      <c r="B6" s="2" t="inlineStr">
        <is>
          <t>ciphers</t>
        </is>
      </c>
      <c r="C6" s="2" t="inlineStr">
        <is>
          <t>violation</t>
        </is>
      </c>
      <c r="D6" s="2" t="inlineStr">
        <is>
          <t>violation</t>
        </is>
      </c>
      <c r="E6" s="2" t="b">
        <v>0</v>
      </c>
      <c r="F6" s="2" t="b">
        <v>0</v>
      </c>
      <c r="G6" s="2">
        <f>NOT(F6)</f>
        <v/>
      </c>
      <c r="H6" s="2">
        <f>IF(C6="unknown",E6,D6="violation")</f>
        <v/>
      </c>
      <c r="I6" s="2">
        <f>G6=H6</f>
        <v/>
      </c>
    </row>
    <row r="7">
      <c r="A7" s="2" t="inlineStr">
        <is>
          <t>openssl X25519 only (classical)</t>
        </is>
      </c>
      <c r="B7" s="2" t="inlineStr">
        <is>
          <t>min13_block</t>
        </is>
      </c>
      <c r="C7" s="2" t="inlineStr">
        <is>
          <t>violation</t>
        </is>
      </c>
      <c r="D7" s="2" t="inlineStr">
        <is>
          <t>violation</t>
        </is>
      </c>
      <c r="E7" s="2" t="b">
        <v>1</v>
      </c>
      <c r="F7" s="2" t="b">
        <v>0</v>
      </c>
      <c r="G7" s="2">
        <f>NOT(F7)</f>
        <v/>
      </c>
      <c r="H7" s="2">
        <f>IF(C7="unknown",E7,D7="violation")</f>
        <v/>
      </c>
      <c r="I7" s="2">
        <f>G7=H7</f>
        <v/>
      </c>
    </row>
    <row r="8">
      <c r="A8" s="2" t="inlineStr">
        <is>
          <t>openssl secp256r1 only (classical)</t>
        </is>
      </c>
      <c r="B8" s="2" t="inlineStr">
        <is>
          <t>min13</t>
        </is>
      </c>
      <c r="C8" s="2" t="inlineStr">
        <is>
          <t>violation</t>
        </is>
      </c>
      <c r="D8" s="2" t="inlineStr">
        <is>
          <t>violation</t>
        </is>
      </c>
      <c r="E8" s="2" t="b">
        <v>0</v>
      </c>
      <c r="F8" s="2" t="b">
        <v>0</v>
      </c>
      <c r="G8" s="2">
        <f>NOT(F8)</f>
        <v/>
      </c>
      <c r="H8" s="2">
        <f>IF(C8="unknown",E8,D8="violation")</f>
        <v/>
      </c>
      <c r="I8" s="2">
        <f>G8=H8</f>
        <v/>
      </c>
    </row>
    <row r="9">
      <c r="A9" s="2" t="inlineStr">
        <is>
          <t>openssl secp256r1 only (classical)</t>
        </is>
      </c>
      <c r="B9" s="2" t="inlineStr">
        <is>
          <t>ciphers</t>
        </is>
      </c>
      <c r="C9" s="2" t="inlineStr">
        <is>
          <t>violation</t>
        </is>
      </c>
      <c r="D9" s="2" t="inlineStr">
        <is>
          <t>violation</t>
        </is>
      </c>
      <c r="E9" s="2" t="b">
        <v>0</v>
      </c>
      <c r="F9" s="2" t="b">
        <v>0</v>
      </c>
      <c r="G9" s="2">
        <f>NOT(F9)</f>
        <v/>
      </c>
      <c r="H9" s="2">
        <f>IF(C9="unknown",E9,D9="violation")</f>
        <v/>
      </c>
      <c r="I9" s="2">
        <f>G9=H9</f>
        <v/>
      </c>
    </row>
    <row r="10">
      <c r="A10" s="2" t="inlineStr">
        <is>
          <t>openssl secp256r1 only (classical)</t>
        </is>
      </c>
      <c r="B10" s="2" t="inlineStr">
        <is>
          <t>min13_block</t>
        </is>
      </c>
      <c r="C10" s="2" t="inlineStr">
        <is>
          <t>violation</t>
        </is>
      </c>
      <c r="D10" s="2" t="inlineStr">
        <is>
          <t>violation</t>
        </is>
      </c>
      <c r="E10" s="2" t="b">
        <v>1</v>
      </c>
      <c r="F10" s="2" t="b">
        <v>0</v>
      </c>
      <c r="G10" s="2">
        <f>NOT(F10)</f>
        <v/>
      </c>
      <c r="H10" s="2">
        <f>IF(C10="unknown",E10,D10="violation")</f>
        <v/>
      </c>
      <c r="I10" s="2">
        <f>G10=H10</f>
        <v/>
      </c>
    </row>
    <row r="11">
      <c r="A11" s="2" t="inlineStr">
        <is>
          <t>openssl X25519MLKEM768 only</t>
        </is>
      </c>
      <c r="B11" s="2" t="inlineStr">
        <is>
          <t>min13</t>
        </is>
      </c>
      <c r="C11" s="2" t="inlineStr">
        <is>
          <t>violation</t>
        </is>
      </c>
      <c r="D11" s="2" t="inlineStr">
        <is>
          <t>violation</t>
        </is>
      </c>
      <c r="E11" s="2" t="b">
        <v>0</v>
      </c>
      <c r="F11" s="2" t="b">
        <v>0</v>
      </c>
      <c r="G11" s="2">
        <f>NOT(F11)</f>
        <v/>
      </c>
      <c r="H11" s="2">
        <f>IF(C11="unknown",E11,D11="violation")</f>
        <v/>
      </c>
      <c r="I11" s="2">
        <f>G11=H11</f>
        <v/>
      </c>
    </row>
    <row r="12">
      <c r="A12" s="2" t="inlineStr">
        <is>
          <t>openssl X25519MLKEM768 only</t>
        </is>
      </c>
      <c r="B12" s="2" t="inlineStr">
        <is>
          <t>ciphers</t>
        </is>
      </c>
      <c r="C12" s="2" t="inlineStr">
        <is>
          <t>violation</t>
        </is>
      </c>
      <c r="D12" s="2" t="inlineStr">
        <is>
          <t>violation</t>
        </is>
      </c>
      <c r="E12" s="2" t="b">
        <v>0</v>
      </c>
      <c r="F12" s="2" t="b">
        <v>0</v>
      </c>
      <c r="G12" s="2">
        <f>NOT(F12)</f>
        <v/>
      </c>
      <c r="H12" s="2">
        <f>IF(C12="unknown",E12,D12="violation")</f>
        <v/>
      </c>
      <c r="I12" s="2">
        <f>G12=H12</f>
        <v/>
      </c>
    </row>
    <row r="13">
      <c r="A13" s="2" t="inlineStr">
        <is>
          <t>openssl X25519MLKEM768 only</t>
        </is>
      </c>
      <c r="B13" s="2" t="inlineStr">
        <is>
          <t>min13_block</t>
        </is>
      </c>
      <c r="C13" s="2" t="inlineStr">
        <is>
          <t>violation</t>
        </is>
      </c>
      <c r="D13" s="2" t="inlineStr">
        <is>
          <t>violation</t>
        </is>
      </c>
      <c r="E13" s="2" t="b">
        <v>1</v>
      </c>
      <c r="F13" s="2" t="b">
        <v>0</v>
      </c>
      <c r="G13" s="2">
        <f>NOT(F13)</f>
        <v/>
      </c>
      <c r="H13" s="2">
        <f>IF(C13="unknown",E13,D13="violation")</f>
        <v/>
      </c>
      <c r="I13" s="2">
        <f>G13=H13</f>
        <v/>
      </c>
    </row>
    <row r="14">
      <c r="A14" s="2" t="inlineStr">
        <is>
          <t>openssl SecP256r1MLKEM768</t>
        </is>
      </c>
      <c r="B14" s="2" t="inlineStr">
        <is>
          <t>min13</t>
        </is>
      </c>
      <c r="C14" s="2" t="inlineStr">
        <is>
          <t>violation</t>
        </is>
      </c>
      <c r="D14" s="2" t="inlineStr">
        <is>
          <t>violation</t>
        </is>
      </c>
      <c r="E14" s="2" t="b">
        <v>0</v>
      </c>
      <c r="F14" s="2" t="b">
        <v>0</v>
      </c>
      <c r="G14" s="2">
        <f>NOT(F14)</f>
        <v/>
      </c>
      <c r="H14" s="2">
        <f>IF(C14="unknown",E14,D14="violation")</f>
        <v/>
      </c>
      <c r="I14" s="2">
        <f>G14=H14</f>
        <v/>
      </c>
    </row>
    <row r="15">
      <c r="A15" s="2" t="inlineStr">
        <is>
          <t>openssl SecP256r1MLKEM768</t>
        </is>
      </c>
      <c r="B15" s="2" t="inlineStr">
        <is>
          <t>ciphers</t>
        </is>
      </c>
      <c r="C15" s="2" t="inlineStr">
        <is>
          <t>violation</t>
        </is>
      </c>
      <c r="D15" s="2" t="inlineStr">
        <is>
          <t>violation</t>
        </is>
      </c>
      <c r="E15" s="2" t="b">
        <v>0</v>
      </c>
      <c r="F15" s="2" t="b">
        <v>0</v>
      </c>
      <c r="G15" s="2">
        <f>NOT(F15)</f>
        <v/>
      </c>
      <c r="H15" s="2">
        <f>IF(C15="unknown",E15,D15="violation")</f>
        <v/>
      </c>
      <c r="I15" s="2">
        <f>G15=H15</f>
        <v/>
      </c>
    </row>
    <row r="16">
      <c r="A16" s="2" t="inlineStr">
        <is>
          <t>openssl SecP256r1MLKEM768</t>
        </is>
      </c>
      <c r="B16" s="2" t="inlineStr">
        <is>
          <t>min13_block</t>
        </is>
      </c>
      <c r="C16" s="2" t="inlineStr">
        <is>
          <t>violation</t>
        </is>
      </c>
      <c r="D16" s="2" t="inlineStr">
        <is>
          <t>violation</t>
        </is>
      </c>
      <c r="E16" s="2" t="b">
        <v>1</v>
      </c>
      <c r="F16" s="2" t="b">
        <v>0</v>
      </c>
      <c r="G16" s="2">
        <f>NOT(F16)</f>
        <v/>
      </c>
      <c r="H16" s="2">
        <f>IF(C16="unknown",E16,D16="violation")</f>
        <v/>
      </c>
      <c r="I16" s="2">
        <f>G16=H16</f>
        <v/>
      </c>
    </row>
    <row r="17">
      <c r="A17" s="2" t="inlineStr">
        <is>
          <t>openssl SecP384r1MLKEM1024</t>
        </is>
      </c>
      <c r="B17" s="2" t="inlineStr">
        <is>
          <t>min13</t>
        </is>
      </c>
      <c r="C17" s="2" t="inlineStr">
        <is>
          <t>violation</t>
        </is>
      </c>
      <c r="D17" s="2" t="inlineStr">
        <is>
          <t>violation</t>
        </is>
      </c>
      <c r="E17" s="2" t="b">
        <v>0</v>
      </c>
      <c r="F17" s="2" t="b">
        <v>0</v>
      </c>
      <c r="G17" s="2">
        <f>NOT(F17)</f>
        <v/>
      </c>
      <c r="H17" s="2">
        <f>IF(C17="unknown",E17,D17="violation")</f>
        <v/>
      </c>
      <c r="I17" s="2">
        <f>G17=H17</f>
        <v/>
      </c>
    </row>
    <row r="18">
      <c r="A18" s="2" t="inlineStr">
        <is>
          <t>openssl SecP384r1MLKEM1024</t>
        </is>
      </c>
      <c r="B18" s="2" t="inlineStr">
        <is>
          <t>ciphers</t>
        </is>
      </c>
      <c r="C18" s="2" t="inlineStr">
        <is>
          <t>violation</t>
        </is>
      </c>
      <c r="D18" s="2" t="inlineStr">
        <is>
          <t>violation</t>
        </is>
      </c>
      <c r="E18" s="2" t="b">
        <v>0</v>
      </c>
      <c r="F18" s="2" t="b">
        <v>0</v>
      </c>
      <c r="G18" s="2">
        <f>NOT(F18)</f>
        <v/>
      </c>
      <c r="H18" s="2">
        <f>IF(C18="unknown",E18,D18="violation")</f>
        <v/>
      </c>
      <c r="I18" s="2">
        <f>G18=H18</f>
        <v/>
      </c>
    </row>
    <row r="19">
      <c r="A19" s="2" t="inlineStr">
        <is>
          <t>openssl SecP384r1MLKEM1024</t>
        </is>
      </c>
      <c r="B19" s="2" t="inlineStr">
        <is>
          <t>min13_block</t>
        </is>
      </c>
      <c r="C19" s="2" t="inlineStr">
        <is>
          <t>violation</t>
        </is>
      </c>
      <c r="D19" s="2" t="inlineStr">
        <is>
          <t>violation</t>
        </is>
      </c>
      <c r="E19" s="2" t="b">
        <v>1</v>
      </c>
      <c r="F19" s="2" t="b">
        <v>0</v>
      </c>
      <c r="G19" s="2">
        <f>NOT(F19)</f>
        <v/>
      </c>
      <c r="H19" s="2">
        <f>IF(C19="unknown",E19,D19="violation")</f>
        <v/>
      </c>
      <c r="I19" s="2">
        <f>G19=H19</f>
        <v/>
      </c>
    </row>
    <row r="20">
      <c r="A20" s="2" t="inlineStr">
        <is>
          <t>openssl MLKEM768 (pure PQ)</t>
        </is>
      </c>
      <c r="B20" s="2" t="inlineStr">
        <is>
          <t>min13</t>
        </is>
      </c>
      <c r="C20" s="2" t="inlineStr">
        <is>
          <t>violation</t>
        </is>
      </c>
      <c r="D20" s="2" t="inlineStr">
        <is>
          <t>violation</t>
        </is>
      </c>
      <c r="E20" s="2" t="b">
        <v>0</v>
      </c>
      <c r="F20" s="2" t="b">
        <v>0</v>
      </c>
      <c r="G20" s="2">
        <f>NOT(F20)</f>
        <v/>
      </c>
      <c r="H20" s="2">
        <f>IF(C20="unknown",E20,D20="violation")</f>
        <v/>
      </c>
      <c r="I20" s="2">
        <f>G20=H20</f>
        <v/>
      </c>
    </row>
    <row r="21">
      <c r="A21" s="2" t="inlineStr">
        <is>
          <t>openssl MLKEM768 (pure PQ)</t>
        </is>
      </c>
      <c r="B21" s="2" t="inlineStr">
        <is>
          <t>ciphers</t>
        </is>
      </c>
      <c r="C21" s="2" t="inlineStr">
        <is>
          <t>violation</t>
        </is>
      </c>
      <c r="D21" s="2" t="inlineStr">
        <is>
          <t>violation</t>
        </is>
      </c>
      <c r="E21" s="2" t="b">
        <v>0</v>
      </c>
      <c r="F21" s="2" t="b">
        <v>0</v>
      </c>
      <c r="G21" s="2">
        <f>NOT(F21)</f>
        <v/>
      </c>
      <c r="H21" s="2">
        <f>IF(C21="unknown",E21,D21="violation")</f>
        <v/>
      </c>
      <c r="I21" s="2">
        <f>G21=H21</f>
        <v/>
      </c>
    </row>
    <row r="22">
      <c r="A22" s="2" t="inlineStr">
        <is>
          <t>openssl MLKEM768 (pure PQ)</t>
        </is>
      </c>
      <c r="B22" s="2" t="inlineStr">
        <is>
          <t>min13_block</t>
        </is>
      </c>
      <c r="C22" s="2" t="inlineStr">
        <is>
          <t>violation</t>
        </is>
      </c>
      <c r="D22" s="2" t="inlineStr">
        <is>
          <t>violation</t>
        </is>
      </c>
      <c r="E22" s="2" t="b">
        <v>1</v>
      </c>
      <c r="F22" s="2" t="b">
        <v>0</v>
      </c>
      <c r="G22" s="2">
        <f>NOT(F22)</f>
        <v/>
      </c>
      <c r="H22" s="2">
        <f>IF(C22="unknown",E22,D22="violation")</f>
        <v/>
      </c>
      <c r="I22" s="2">
        <f>G22=H22</f>
        <v/>
      </c>
    </row>
    <row r="23">
      <c r="A23" s="2" t="inlineStr">
        <is>
          <t>openssl MLKEM1024 (pure PQ)</t>
        </is>
      </c>
      <c r="B23" s="2" t="inlineStr">
        <is>
          <t>min13</t>
        </is>
      </c>
      <c r="C23" s="2" t="inlineStr">
        <is>
          <t>violation</t>
        </is>
      </c>
      <c r="D23" s="2" t="inlineStr">
        <is>
          <t>violation</t>
        </is>
      </c>
      <c r="E23" s="2" t="b">
        <v>0</v>
      </c>
      <c r="F23" s="2" t="b">
        <v>0</v>
      </c>
      <c r="G23" s="2">
        <f>NOT(F23)</f>
        <v/>
      </c>
      <c r="H23" s="2">
        <f>IF(C23="unknown",E23,D23="violation")</f>
        <v/>
      </c>
      <c r="I23" s="2">
        <f>G23=H23</f>
        <v/>
      </c>
    </row>
    <row r="24">
      <c r="A24" s="2" t="inlineStr">
        <is>
          <t>openssl MLKEM1024 (pure PQ)</t>
        </is>
      </c>
      <c r="B24" s="2" t="inlineStr">
        <is>
          <t>ciphers</t>
        </is>
      </c>
      <c r="C24" s="2" t="inlineStr">
        <is>
          <t>violation</t>
        </is>
      </c>
      <c r="D24" s="2" t="inlineStr">
        <is>
          <t>violation</t>
        </is>
      </c>
      <c r="E24" s="2" t="b">
        <v>0</v>
      </c>
      <c r="F24" s="2" t="b">
        <v>0</v>
      </c>
      <c r="G24" s="2">
        <f>NOT(F24)</f>
        <v/>
      </c>
      <c r="H24" s="2">
        <f>IF(C24="unknown",E24,D24="violation")</f>
        <v/>
      </c>
      <c r="I24" s="2">
        <f>G24=H24</f>
        <v/>
      </c>
    </row>
    <row r="25">
      <c r="A25" s="2" t="inlineStr">
        <is>
          <t>openssl MLKEM1024 (pure PQ)</t>
        </is>
      </c>
      <c r="B25" s="2" t="inlineStr">
        <is>
          <t>min13_block</t>
        </is>
      </c>
      <c r="C25" s="2" t="inlineStr">
        <is>
          <t>violation</t>
        </is>
      </c>
      <c r="D25" s="2" t="inlineStr">
        <is>
          <t>violation</t>
        </is>
      </c>
      <c r="E25" s="2" t="b">
        <v>1</v>
      </c>
      <c r="F25" s="2" t="b">
        <v>0</v>
      </c>
      <c r="G25" s="2">
        <f>NOT(F25)</f>
        <v/>
      </c>
      <c r="H25" s="2">
        <f>IF(C25="unknown",E25,D25="violation")</f>
        <v/>
      </c>
      <c r="I25" s="2">
        <f>G25=H25</f>
        <v/>
      </c>
    </row>
    <row r="26">
      <c r="A26" s="2" t="inlineStr">
        <is>
          <t>openssl TLS 1.2 only</t>
        </is>
      </c>
      <c r="B26" s="2" t="inlineStr">
        <is>
          <t>min13</t>
        </is>
      </c>
      <c r="C26" s="2" t="inlineStr">
        <is>
          <t>violation</t>
        </is>
      </c>
      <c r="D26" s="2" t="inlineStr">
        <is>
          <t>violation</t>
        </is>
      </c>
      <c r="E26" s="2" t="b">
        <v>0</v>
      </c>
      <c r="F26" s="2" t="b">
        <v>0</v>
      </c>
      <c r="G26" s="2">
        <f>NOT(F26)</f>
        <v/>
      </c>
      <c r="H26" s="2">
        <f>IF(C26="unknown",E26,D26="violation")</f>
        <v/>
      </c>
      <c r="I26" s="2">
        <f>G26=H26</f>
        <v/>
      </c>
    </row>
    <row r="27">
      <c r="A27" s="2" t="inlineStr">
        <is>
          <t>openssl TLS 1.2 only</t>
        </is>
      </c>
      <c r="B27" s="2" t="inlineStr">
        <is>
          <t>ciphers</t>
        </is>
      </c>
      <c r="C27" s="2" t="inlineStr">
        <is>
          <t>violation</t>
        </is>
      </c>
      <c r="D27" s="2" t="inlineStr">
        <is>
          <t>violation</t>
        </is>
      </c>
      <c r="E27" s="2" t="b">
        <v>0</v>
      </c>
      <c r="F27" s="2" t="b">
        <v>0</v>
      </c>
      <c r="G27" s="2">
        <f>NOT(F27)</f>
        <v/>
      </c>
      <c r="H27" s="2">
        <f>IF(C27="unknown",E27,D27="violation")</f>
        <v/>
      </c>
      <c r="I27" s="2">
        <f>G27=H27</f>
        <v/>
      </c>
    </row>
    <row r="28">
      <c r="A28" s="2" t="inlineStr">
        <is>
          <t>openssl TLS 1.2 only</t>
        </is>
      </c>
      <c r="B28" s="2" t="inlineStr">
        <is>
          <t>min13_block</t>
        </is>
      </c>
      <c r="C28" s="2" t="inlineStr">
        <is>
          <t>violation</t>
        </is>
      </c>
      <c r="D28" s="2" t="inlineStr">
        <is>
          <t>violation</t>
        </is>
      </c>
      <c r="E28" s="2" t="b">
        <v>1</v>
      </c>
      <c r="F28" s="2" t="b">
        <v>0</v>
      </c>
      <c r="G28" s="2">
        <f>NOT(F28)</f>
        <v/>
      </c>
      <c r="H28" s="2">
        <f>IF(C28="unknown",E28,D28="violation")</f>
        <v/>
      </c>
      <c r="I28" s="2">
        <f>G28=H28</f>
        <v/>
      </c>
    </row>
    <row r="29">
      <c r="A29" s="2" t="inlineStr">
        <is>
          <t>curl 8.22 (OpenSSL 3.5.8)</t>
        </is>
      </c>
      <c r="B29" s="2" t="inlineStr">
        <is>
          <t>min13</t>
        </is>
      </c>
      <c r="C29" s="2" t="inlineStr">
        <is>
          <t>violation</t>
        </is>
      </c>
      <c r="D29" s="2" t="inlineStr">
        <is>
          <t>violation</t>
        </is>
      </c>
      <c r="E29" s="2" t="b">
        <v>0</v>
      </c>
      <c r="F29" s="2" t="b">
        <v>0</v>
      </c>
      <c r="G29" s="2">
        <f>NOT(F29)</f>
        <v/>
      </c>
      <c r="H29" s="2">
        <f>IF(C29="unknown",E29,D29="violation")</f>
        <v/>
      </c>
      <c r="I29" s="2">
        <f>G29=H29</f>
        <v/>
      </c>
    </row>
    <row r="30">
      <c r="A30" s="2" t="inlineStr">
        <is>
          <t>curl 8.22 (OpenSSL 3.5.8)</t>
        </is>
      </c>
      <c r="B30" s="2" t="inlineStr">
        <is>
          <t>ciphers</t>
        </is>
      </c>
      <c r="C30" s="2" t="inlineStr">
        <is>
          <t>violation</t>
        </is>
      </c>
      <c r="D30" s="2" t="inlineStr">
        <is>
          <t>violation</t>
        </is>
      </c>
      <c r="E30" s="2" t="b">
        <v>0</v>
      </c>
      <c r="F30" s="2" t="b">
        <v>0</v>
      </c>
      <c r="G30" s="2">
        <f>NOT(F30)</f>
        <v/>
      </c>
      <c r="H30" s="2">
        <f>IF(C30="unknown",E30,D30="violation")</f>
        <v/>
      </c>
      <c r="I30" s="2">
        <f>G30=H30</f>
        <v/>
      </c>
    </row>
    <row r="31">
      <c r="A31" s="2" t="inlineStr">
        <is>
          <t>curl 8.22 (OpenSSL 3.5.8)</t>
        </is>
      </c>
      <c r="B31" s="2" t="inlineStr">
        <is>
          <t>min13_block</t>
        </is>
      </c>
      <c r="C31" s="2" t="inlineStr">
        <is>
          <t>violation</t>
        </is>
      </c>
      <c r="D31" s="2" t="inlineStr">
        <is>
          <t>violation</t>
        </is>
      </c>
      <c r="E31" s="2" t="b">
        <v>1</v>
      </c>
      <c r="F31" s="2" t="b">
        <v>0</v>
      </c>
      <c r="G31" s="2">
        <f>NOT(F31)</f>
        <v/>
      </c>
      <c r="H31" s="2">
        <f>IF(C31="unknown",E31,D31="violation")</f>
        <v/>
      </c>
      <c r="I31" s="2">
        <f>G31=H31</f>
        <v/>
      </c>
    </row>
    <row r="32">
      <c r="A32" s="2" t="inlineStr">
        <is>
          <t>python 3.14 urllib (OpenSSL 3.5.8)</t>
        </is>
      </c>
      <c r="B32" s="2" t="inlineStr">
        <is>
          <t>min13</t>
        </is>
      </c>
      <c r="C32" s="2" t="inlineStr">
        <is>
          <t>violation</t>
        </is>
      </c>
      <c r="D32" s="2" t="inlineStr">
        <is>
          <t>violation</t>
        </is>
      </c>
      <c r="E32" s="2" t="b">
        <v>0</v>
      </c>
      <c r="F32" s="2" t="b">
        <v>0</v>
      </c>
      <c r="G32" s="2">
        <f>NOT(F32)</f>
        <v/>
      </c>
      <c r="H32" s="2">
        <f>IF(C32="unknown",E32,D32="violation")</f>
        <v/>
      </c>
      <c r="I32" s="2">
        <f>G32=H32</f>
        <v/>
      </c>
    </row>
    <row r="33">
      <c r="A33" s="2" t="inlineStr">
        <is>
          <t>python 3.14 urllib (OpenSSL 3.5.8)</t>
        </is>
      </c>
      <c r="B33" s="2" t="inlineStr">
        <is>
          <t>ciphers</t>
        </is>
      </c>
      <c r="C33" s="2" t="inlineStr">
        <is>
          <t>violation</t>
        </is>
      </c>
      <c r="D33" s="2" t="inlineStr">
        <is>
          <t>violation</t>
        </is>
      </c>
      <c r="E33" s="2" t="b">
        <v>0</v>
      </c>
      <c r="F33" s="2" t="b">
        <v>0</v>
      </c>
      <c r="G33" s="2">
        <f>NOT(F33)</f>
        <v/>
      </c>
      <c r="H33" s="2">
        <f>IF(C33="unknown",E33,D33="violation")</f>
        <v/>
      </c>
      <c r="I33" s="2">
        <f>G33=H33</f>
        <v/>
      </c>
    </row>
    <row r="34">
      <c r="A34" s="2" t="inlineStr">
        <is>
          <t>python 3.14 urllib (OpenSSL 3.5.8)</t>
        </is>
      </c>
      <c r="B34" s="2" t="inlineStr">
        <is>
          <t>min13_block</t>
        </is>
      </c>
      <c r="C34" s="2" t="inlineStr">
        <is>
          <t>violation</t>
        </is>
      </c>
      <c r="D34" s="2" t="inlineStr">
        <is>
          <t>violation</t>
        </is>
      </c>
      <c r="E34" s="2" t="b">
        <v>1</v>
      </c>
      <c r="F34" s="2" t="b">
        <v>0</v>
      </c>
      <c r="G34" s="2">
        <f>NOT(F34)</f>
        <v/>
      </c>
      <c r="H34" s="2">
        <f>IF(C34="unknown",E34,D34="violation")</f>
        <v/>
      </c>
      <c r="I34" s="2">
        <f>G34=H34</f>
        <v/>
      </c>
    </row>
    <row r="35">
      <c r="A35" s="2" t="inlineStr">
        <is>
          <t>node 26 https (OpenSSL 3.5.8)</t>
        </is>
      </c>
      <c r="B35" s="2" t="inlineStr">
        <is>
          <t>min13</t>
        </is>
      </c>
      <c r="C35" s="2" t="inlineStr">
        <is>
          <t>violation</t>
        </is>
      </c>
      <c r="D35" s="2" t="inlineStr">
        <is>
          <t>violation</t>
        </is>
      </c>
      <c r="E35" s="2" t="b">
        <v>0</v>
      </c>
      <c r="F35" s="2" t="b">
        <v>0</v>
      </c>
      <c r="G35" s="2">
        <f>NOT(F35)</f>
        <v/>
      </c>
      <c r="H35" s="2">
        <f>IF(C35="unknown",E35,D35="violation")</f>
        <v/>
      </c>
      <c r="I35" s="2">
        <f>G35=H35</f>
        <v/>
      </c>
    </row>
    <row r="36">
      <c r="A36" s="2" t="inlineStr">
        <is>
          <t>node 26 https (OpenSSL 3.5.8)</t>
        </is>
      </c>
      <c r="B36" s="2" t="inlineStr">
        <is>
          <t>ciphers</t>
        </is>
      </c>
      <c r="C36" s="2" t="inlineStr">
        <is>
          <t>violation</t>
        </is>
      </c>
      <c r="D36" s="2" t="inlineStr">
        <is>
          <t>violation</t>
        </is>
      </c>
      <c r="E36" s="2" t="b">
        <v>0</v>
      </c>
      <c r="F36" s="2" t="b">
        <v>0</v>
      </c>
      <c r="G36" s="2">
        <f>NOT(F36)</f>
        <v/>
      </c>
      <c r="H36" s="2">
        <f>IF(C36="unknown",E36,D36="violation")</f>
        <v/>
      </c>
      <c r="I36" s="2">
        <f>G36=H36</f>
        <v/>
      </c>
    </row>
    <row r="37">
      <c r="A37" s="2" t="inlineStr">
        <is>
          <t>node 26 https (OpenSSL 3.5.8)</t>
        </is>
      </c>
      <c r="B37" s="2" t="inlineStr">
        <is>
          <t>min13_block</t>
        </is>
      </c>
      <c r="C37" s="2" t="inlineStr">
        <is>
          <t>violation</t>
        </is>
      </c>
      <c r="D37" s="2" t="inlineStr">
        <is>
          <t>violation</t>
        </is>
      </c>
      <c r="E37" s="2" t="b">
        <v>1</v>
      </c>
      <c r="F37" s="2" t="b">
        <v>0</v>
      </c>
      <c r="G37" s="2">
        <f>NOT(F37)</f>
        <v/>
      </c>
      <c r="H37" s="2">
        <f>IF(C37="unknown",E37,D37="violation")</f>
        <v/>
      </c>
      <c r="I37" s="2">
        <f>G37=H37</f>
        <v/>
      </c>
    </row>
    <row r="38">
      <c r="A38" s="2" t="inlineStr">
        <is>
          <t>go 1.27 net/http (crypto/tls)</t>
        </is>
      </c>
      <c r="B38" s="2" t="inlineStr">
        <is>
          <t>min13</t>
        </is>
      </c>
      <c r="C38" s="2" t="inlineStr">
        <is>
          <t>violation</t>
        </is>
      </c>
      <c r="D38" s="2" t="inlineStr">
        <is>
          <t>violation</t>
        </is>
      </c>
      <c r="E38" s="2" t="b">
        <v>0</v>
      </c>
      <c r="F38" s="2" t="b">
        <v>0</v>
      </c>
      <c r="G38" s="2">
        <f>NOT(F38)</f>
        <v/>
      </c>
      <c r="H38" s="2">
        <f>IF(C38="unknown",E38,D38="violation")</f>
        <v/>
      </c>
      <c r="I38" s="2">
        <f>G38=H38</f>
        <v/>
      </c>
    </row>
    <row r="39">
      <c r="A39" s="2" t="inlineStr">
        <is>
          <t>go 1.27 net/http (crypto/tls)</t>
        </is>
      </c>
      <c r="B39" s="2" t="inlineStr">
        <is>
          <t>ciphers</t>
        </is>
      </c>
      <c r="C39" s="2" t="inlineStr">
        <is>
          <t>violation</t>
        </is>
      </c>
      <c r="D39" s="2" t="inlineStr">
        <is>
          <t>violation</t>
        </is>
      </c>
      <c r="E39" s="2" t="b">
        <v>0</v>
      </c>
      <c r="F39" s="2" t="b">
        <v>0</v>
      </c>
      <c r="G39" s="2">
        <f>NOT(F39)</f>
        <v/>
      </c>
      <c r="H39" s="2">
        <f>IF(C39="unknown",E39,D39="violation")</f>
        <v/>
      </c>
      <c r="I39" s="2">
        <f>G39=H39</f>
        <v/>
      </c>
    </row>
    <row r="40">
      <c r="A40" s="2" t="inlineStr">
        <is>
          <t>go 1.27 net/http (crypto/tls)</t>
        </is>
      </c>
      <c r="B40" s="2" t="inlineStr">
        <is>
          <t>min13_block</t>
        </is>
      </c>
      <c r="C40" s="2" t="inlineStr">
        <is>
          <t>violation</t>
        </is>
      </c>
      <c r="D40" s="2" t="inlineStr">
        <is>
          <t>violation</t>
        </is>
      </c>
      <c r="E40" s="2" t="b">
        <v>1</v>
      </c>
      <c r="F40" s="2" t="b">
        <v>0</v>
      </c>
      <c r="G40" s="2">
        <f>NOT(F40)</f>
        <v/>
      </c>
      <c r="H40" s="2">
        <f>IF(C40="unknown",E40,D40="violation")</f>
        <v/>
      </c>
      <c r="I40" s="2">
        <f>G40=H40</f>
        <v/>
      </c>
    </row>
    <row r="41">
      <c r="A41" s="2" t="inlineStr">
        <is>
          <t>browser chrome116</t>
        </is>
      </c>
      <c r="B41" s="2" t="inlineStr">
        <is>
          <t>min13</t>
        </is>
      </c>
      <c r="C41" s="2" t="inlineStr">
        <is>
          <t>violation</t>
        </is>
      </c>
      <c r="D41" s="2" t="inlineStr">
        <is>
          <t>violation</t>
        </is>
      </c>
      <c r="E41" s="2" t="b">
        <v>0</v>
      </c>
      <c r="F41" s="2" t="b">
        <v>0</v>
      </c>
      <c r="G41" s="2">
        <f>NOT(F41)</f>
        <v/>
      </c>
      <c r="H41" s="2">
        <f>IF(C41="unknown",E41,D41="violation")</f>
        <v/>
      </c>
      <c r="I41" s="2">
        <f>G41=H41</f>
        <v/>
      </c>
    </row>
    <row r="42">
      <c r="A42" s="2" t="inlineStr">
        <is>
          <t>browser chrome116</t>
        </is>
      </c>
      <c r="B42" s="2" t="inlineStr">
        <is>
          <t>ciphers</t>
        </is>
      </c>
      <c r="C42" s="2" t="inlineStr">
        <is>
          <t>violation</t>
        </is>
      </c>
      <c r="D42" s="2" t="inlineStr">
        <is>
          <t>violation</t>
        </is>
      </c>
      <c r="E42" s="2" t="b">
        <v>0</v>
      </c>
      <c r="F42" s="2" t="b">
        <v>0</v>
      </c>
      <c r="G42" s="2">
        <f>NOT(F42)</f>
        <v/>
      </c>
      <c r="H42" s="2">
        <f>IF(C42="unknown",E42,D42="violation")</f>
        <v/>
      </c>
      <c r="I42" s="2">
        <f>G42=H42</f>
        <v/>
      </c>
    </row>
    <row r="43">
      <c r="A43" s="2" t="inlineStr">
        <is>
          <t>browser chrome116</t>
        </is>
      </c>
      <c r="B43" s="2" t="inlineStr">
        <is>
          <t>min13_block</t>
        </is>
      </c>
      <c r="C43" s="2" t="inlineStr">
        <is>
          <t>violation</t>
        </is>
      </c>
      <c r="D43" s="2" t="inlineStr">
        <is>
          <t>violation</t>
        </is>
      </c>
      <c r="E43" s="2" t="b">
        <v>1</v>
      </c>
      <c r="F43" s="2" t="b">
        <v>0</v>
      </c>
      <c r="G43" s="2">
        <f>NOT(F43)</f>
        <v/>
      </c>
      <c r="H43" s="2">
        <f>IF(C43="unknown",E43,D43="violation")</f>
        <v/>
      </c>
      <c r="I43" s="2">
        <f>G43=H43</f>
        <v/>
      </c>
    </row>
    <row r="44">
      <c r="A44" s="2" t="inlineStr">
        <is>
          <t>browser chrome124</t>
        </is>
      </c>
      <c r="B44" s="2" t="inlineStr">
        <is>
          <t>min13</t>
        </is>
      </c>
      <c r="C44" s="2" t="inlineStr">
        <is>
          <t>violation</t>
        </is>
      </c>
      <c r="D44" s="2" t="inlineStr">
        <is>
          <t>violation</t>
        </is>
      </c>
      <c r="E44" s="2" t="b">
        <v>0</v>
      </c>
      <c r="F44" s="2" t="b">
        <v>0</v>
      </c>
      <c r="G44" s="2">
        <f>NOT(F44)</f>
        <v/>
      </c>
      <c r="H44" s="2">
        <f>IF(C44="unknown",E44,D44="violation")</f>
        <v/>
      </c>
      <c r="I44" s="2">
        <f>G44=H44</f>
        <v/>
      </c>
    </row>
    <row r="45">
      <c r="A45" s="2" t="inlineStr">
        <is>
          <t>browser chrome124</t>
        </is>
      </c>
      <c r="B45" s="2" t="inlineStr">
        <is>
          <t>ciphers</t>
        </is>
      </c>
      <c r="C45" s="2" t="inlineStr">
        <is>
          <t>violation</t>
        </is>
      </c>
      <c r="D45" s="2" t="inlineStr">
        <is>
          <t>violation</t>
        </is>
      </c>
      <c r="E45" s="2" t="b">
        <v>0</v>
      </c>
      <c r="F45" s="2" t="b">
        <v>0</v>
      </c>
      <c r="G45" s="2">
        <f>NOT(F45)</f>
        <v/>
      </c>
      <c r="H45" s="2">
        <f>IF(C45="unknown",E45,D45="violation")</f>
        <v/>
      </c>
      <c r="I45" s="2">
        <f>G45=H45</f>
        <v/>
      </c>
    </row>
    <row r="46">
      <c r="A46" s="2" t="inlineStr">
        <is>
          <t>browser chrome124</t>
        </is>
      </c>
      <c r="B46" s="2" t="inlineStr">
        <is>
          <t>min13_block</t>
        </is>
      </c>
      <c r="C46" s="2" t="inlineStr">
        <is>
          <t>violation</t>
        </is>
      </c>
      <c r="D46" s="2" t="inlineStr">
        <is>
          <t>violation</t>
        </is>
      </c>
      <c r="E46" s="2" t="b">
        <v>1</v>
      </c>
      <c r="F46" s="2" t="b">
        <v>0</v>
      </c>
      <c r="G46" s="2">
        <f>NOT(F46)</f>
        <v/>
      </c>
      <c r="H46" s="2">
        <f>IF(C46="unknown",E46,D46="violation")</f>
        <v/>
      </c>
      <c r="I46" s="2">
        <f>G46=H46</f>
        <v/>
      </c>
    </row>
    <row r="47">
      <c r="A47" s="2" t="inlineStr">
        <is>
          <t>browser chrome131</t>
        </is>
      </c>
      <c r="B47" s="2" t="inlineStr">
        <is>
          <t>min13</t>
        </is>
      </c>
      <c r="C47" s="2" t="inlineStr">
        <is>
          <t>unknown</t>
        </is>
      </c>
      <c r="D47" s="2" t="inlineStr">
        <is>
          <t>violation</t>
        </is>
      </c>
      <c r="E47" s="2" t="b">
        <v>0</v>
      </c>
      <c r="F47" s="2" t="b">
        <v>1</v>
      </c>
      <c r="G47" s="2">
        <f>NOT(F47)</f>
        <v/>
      </c>
      <c r="H47" s="2">
        <f>IF(C47="unknown",E47,D47="violation")</f>
        <v/>
      </c>
      <c r="I47" s="2">
        <f>G47=H47</f>
        <v/>
      </c>
    </row>
    <row r="48">
      <c r="A48" s="2" t="inlineStr">
        <is>
          <t>browser chrome131</t>
        </is>
      </c>
      <c r="B48" s="2" t="inlineStr">
        <is>
          <t>ciphers</t>
        </is>
      </c>
      <c r="C48" s="2" t="inlineStr">
        <is>
          <t>violation</t>
        </is>
      </c>
      <c r="D48" s="2" t="inlineStr">
        <is>
          <t>violation</t>
        </is>
      </c>
      <c r="E48" s="2" t="b">
        <v>0</v>
      </c>
      <c r="F48" s="2" t="b">
        <v>0</v>
      </c>
      <c r="G48" s="2">
        <f>NOT(F48)</f>
        <v/>
      </c>
      <c r="H48" s="2">
        <f>IF(C48="unknown",E48,D48="violation")</f>
        <v/>
      </c>
      <c r="I48" s="2">
        <f>G48=H48</f>
        <v/>
      </c>
    </row>
    <row r="49">
      <c r="A49" s="2" t="inlineStr">
        <is>
          <t>browser chrome131</t>
        </is>
      </c>
      <c r="B49" s="2" t="inlineStr">
        <is>
          <t>min13_block</t>
        </is>
      </c>
      <c r="C49" s="2" t="inlineStr">
        <is>
          <t>violation</t>
        </is>
      </c>
      <c r="D49" s="2" t="inlineStr">
        <is>
          <t>violation</t>
        </is>
      </c>
      <c r="E49" s="2" t="b">
        <v>1</v>
      </c>
      <c r="F49" s="2" t="b">
        <v>0</v>
      </c>
      <c r="G49" s="2">
        <f>NOT(F49)</f>
        <v/>
      </c>
      <c r="H49" s="2">
        <f>IF(C49="unknown",E49,D49="violation")</f>
        <v/>
      </c>
      <c r="I49" s="2">
        <f>G49=H49</f>
        <v/>
      </c>
    </row>
    <row r="50">
      <c r="A50" s="2" t="inlineStr">
        <is>
          <t>browser chrome150</t>
        </is>
      </c>
      <c r="B50" s="2" t="inlineStr">
        <is>
          <t>min13</t>
        </is>
      </c>
      <c r="C50" s="2" t="inlineStr">
        <is>
          <t>violation</t>
        </is>
      </c>
      <c r="D50" s="2" t="inlineStr">
        <is>
          <t>violation</t>
        </is>
      </c>
      <c r="E50" s="2" t="b">
        <v>0</v>
      </c>
      <c r="F50" s="2" t="b">
        <v>0</v>
      </c>
      <c r="G50" s="2">
        <f>NOT(F50)</f>
        <v/>
      </c>
      <c r="H50" s="2">
        <f>IF(C50="unknown",E50,D50="violation")</f>
        <v/>
      </c>
      <c r="I50" s="2">
        <f>G50=H50</f>
        <v/>
      </c>
    </row>
    <row r="51">
      <c r="A51" s="2" t="inlineStr">
        <is>
          <t>browser chrome150</t>
        </is>
      </c>
      <c r="B51" s="2" t="inlineStr">
        <is>
          <t>ciphers</t>
        </is>
      </c>
      <c r="C51" s="2" t="inlineStr">
        <is>
          <t>violation</t>
        </is>
      </c>
      <c r="D51" s="2" t="inlineStr">
        <is>
          <t>violation</t>
        </is>
      </c>
      <c r="E51" s="2" t="b">
        <v>0</v>
      </c>
      <c r="F51" s="2" t="b">
        <v>0</v>
      </c>
      <c r="G51" s="2">
        <f>NOT(F51)</f>
        <v/>
      </c>
      <c r="H51" s="2">
        <f>IF(C51="unknown",E51,D51="violation")</f>
        <v/>
      </c>
      <c r="I51" s="2">
        <f>G51=H51</f>
        <v/>
      </c>
    </row>
    <row r="52">
      <c r="A52" s="2" t="inlineStr">
        <is>
          <t>browser chrome150</t>
        </is>
      </c>
      <c r="B52" s="2" t="inlineStr">
        <is>
          <t>min13_block</t>
        </is>
      </c>
      <c r="C52" s="2" t="inlineStr">
        <is>
          <t>unknown</t>
        </is>
      </c>
      <c r="D52" s="2" t="inlineStr">
        <is>
          <t>violation</t>
        </is>
      </c>
      <c r="E52" s="2" t="b">
        <v>1</v>
      </c>
      <c r="F52" s="2" t="b">
        <v>0</v>
      </c>
      <c r="G52" s="2">
        <f>NOT(F52)</f>
        <v/>
      </c>
      <c r="H52" s="2">
        <f>IF(C52="unknown",E52,D52="violation")</f>
        <v/>
      </c>
      <c r="I52" s="2">
        <f>G52=H52</f>
        <v/>
      </c>
    </row>
    <row r="53">
      <c r="A53" s="2" t="inlineStr">
        <is>
          <t>browser edge101</t>
        </is>
      </c>
      <c r="B53" s="2" t="inlineStr">
        <is>
          <t>min13</t>
        </is>
      </c>
      <c r="C53" s="2" t="inlineStr">
        <is>
          <t>violation</t>
        </is>
      </c>
      <c r="D53" s="2" t="inlineStr">
        <is>
          <t>violation</t>
        </is>
      </c>
      <c r="E53" s="2" t="b">
        <v>0</v>
      </c>
      <c r="F53" s="2" t="b">
        <v>0</v>
      </c>
      <c r="G53" s="2">
        <f>NOT(F53)</f>
        <v/>
      </c>
      <c r="H53" s="2">
        <f>IF(C53="unknown",E53,D53="violation")</f>
        <v/>
      </c>
      <c r="I53" s="2">
        <f>G53=H53</f>
        <v/>
      </c>
    </row>
    <row r="54">
      <c r="A54" s="2" t="inlineStr">
        <is>
          <t>browser edge101</t>
        </is>
      </c>
      <c r="B54" s="2" t="inlineStr">
        <is>
          <t>ciphers</t>
        </is>
      </c>
      <c r="C54" s="2" t="inlineStr">
        <is>
          <t>violation</t>
        </is>
      </c>
      <c r="D54" s="2" t="inlineStr">
        <is>
          <t>violation</t>
        </is>
      </c>
      <c r="E54" s="2" t="b">
        <v>0</v>
      </c>
      <c r="F54" s="2" t="b">
        <v>0</v>
      </c>
      <c r="G54" s="2">
        <f>NOT(F54)</f>
        <v/>
      </c>
      <c r="H54" s="2">
        <f>IF(C54="unknown",E54,D54="violation")</f>
        <v/>
      </c>
      <c r="I54" s="2">
        <f>G54=H54</f>
        <v/>
      </c>
    </row>
    <row r="55">
      <c r="A55" s="2" t="inlineStr">
        <is>
          <t>browser edge101</t>
        </is>
      </c>
      <c r="B55" s="2" t="inlineStr">
        <is>
          <t>min13_block</t>
        </is>
      </c>
      <c r="C55" s="2" t="inlineStr">
        <is>
          <t>violation</t>
        </is>
      </c>
      <c r="D55" s="2" t="inlineStr">
        <is>
          <t>violation</t>
        </is>
      </c>
      <c r="E55" s="2" t="b">
        <v>1</v>
      </c>
      <c r="F55" s="2" t="b">
        <v>0</v>
      </c>
      <c r="G55" s="2">
        <f>NOT(F55)</f>
        <v/>
      </c>
      <c r="H55" s="2">
        <f>IF(C55="unknown",E55,D55="violation")</f>
        <v/>
      </c>
      <c r="I55" s="2">
        <f>G55=H55</f>
        <v/>
      </c>
    </row>
    <row r="56">
      <c r="A56" s="2" t="inlineStr">
        <is>
          <t>browser firefox133</t>
        </is>
      </c>
      <c r="B56" s="2" t="inlineStr">
        <is>
          <t>min13</t>
        </is>
      </c>
      <c r="C56" s="2" t="inlineStr">
        <is>
          <t>unknown</t>
        </is>
      </c>
      <c r="D56" s="2" t="inlineStr">
        <is>
          <t>violation</t>
        </is>
      </c>
      <c r="E56" s="2" t="b">
        <v>0</v>
      </c>
      <c r="F56" s="2" t="b">
        <v>1</v>
      </c>
      <c r="G56" s="2">
        <f>NOT(F56)</f>
        <v/>
      </c>
      <c r="H56" s="2">
        <f>IF(C56="unknown",E56,D56="violation")</f>
        <v/>
      </c>
      <c r="I56" s="2">
        <f>G56=H56</f>
        <v/>
      </c>
    </row>
    <row r="57">
      <c r="A57" s="2" t="inlineStr">
        <is>
          <t>browser firefox133</t>
        </is>
      </c>
      <c r="B57" s="2" t="inlineStr">
        <is>
          <t>ciphers</t>
        </is>
      </c>
      <c r="C57" s="2" t="inlineStr">
        <is>
          <t>violation</t>
        </is>
      </c>
      <c r="D57" s="2" t="inlineStr">
        <is>
          <t>violation</t>
        </is>
      </c>
      <c r="E57" s="2" t="b">
        <v>0</v>
      </c>
      <c r="F57" s="2" t="b">
        <v>0</v>
      </c>
      <c r="G57" s="2">
        <f>NOT(F57)</f>
        <v/>
      </c>
      <c r="H57" s="2">
        <f>IF(C57="unknown",E57,D57="violation")</f>
        <v/>
      </c>
      <c r="I57" s="2">
        <f>G57=H57</f>
        <v/>
      </c>
    </row>
    <row r="58">
      <c r="A58" s="2" t="inlineStr">
        <is>
          <t>browser firefox133</t>
        </is>
      </c>
      <c r="B58" s="2" t="inlineStr">
        <is>
          <t>min13_block</t>
        </is>
      </c>
      <c r="C58" s="2" t="inlineStr">
        <is>
          <t>unknown</t>
        </is>
      </c>
      <c r="D58" s="2" t="inlineStr">
        <is>
          <t>violation</t>
        </is>
      </c>
      <c r="E58" s="2" t="b">
        <v>1</v>
      </c>
      <c r="F58" s="2" t="b">
        <v>0</v>
      </c>
      <c r="G58" s="2">
        <f>NOT(F58)</f>
        <v/>
      </c>
      <c r="H58" s="2">
        <f>IF(C58="unknown",E58,D58="violation")</f>
        <v/>
      </c>
      <c r="I58" s="2">
        <f>G58=H58</f>
        <v/>
      </c>
    </row>
    <row r="59">
      <c r="A59" s="2" t="inlineStr">
        <is>
          <t>browser firefox147</t>
        </is>
      </c>
      <c r="B59" s="2" t="inlineStr">
        <is>
          <t>min13</t>
        </is>
      </c>
      <c r="C59" s="2" t="inlineStr">
        <is>
          <t>unknown</t>
        </is>
      </c>
      <c r="D59" s="2" t="inlineStr">
        <is>
          <t>violation</t>
        </is>
      </c>
      <c r="E59" s="2" t="b">
        <v>0</v>
      </c>
      <c r="F59" s="2" t="b">
        <v>1</v>
      </c>
      <c r="G59" s="2">
        <f>NOT(F59)</f>
        <v/>
      </c>
      <c r="H59" s="2">
        <f>IF(C59="unknown",E59,D59="violation")</f>
        <v/>
      </c>
      <c r="I59" s="2">
        <f>G59=H59</f>
        <v/>
      </c>
    </row>
    <row r="60">
      <c r="A60" s="2" t="inlineStr">
        <is>
          <t>browser firefox147</t>
        </is>
      </c>
      <c r="B60" s="2" t="inlineStr">
        <is>
          <t>ciphers</t>
        </is>
      </c>
      <c r="C60" s="2" t="inlineStr">
        <is>
          <t>violation</t>
        </is>
      </c>
      <c r="D60" s="2" t="inlineStr">
        <is>
          <t>violation</t>
        </is>
      </c>
      <c r="E60" s="2" t="b">
        <v>0</v>
      </c>
      <c r="F60" s="2" t="b">
        <v>0</v>
      </c>
      <c r="G60" s="2">
        <f>NOT(F60)</f>
        <v/>
      </c>
      <c r="H60" s="2">
        <f>IF(C60="unknown",E60,D60="violation")</f>
        <v/>
      </c>
      <c r="I60" s="2">
        <f>G60=H60</f>
        <v/>
      </c>
    </row>
    <row r="61">
      <c r="A61" s="2" t="inlineStr">
        <is>
          <t>browser firefox147</t>
        </is>
      </c>
      <c r="B61" s="2" t="inlineStr">
        <is>
          <t>min13_block</t>
        </is>
      </c>
      <c r="C61" s="2" t="inlineStr">
        <is>
          <t>unknown</t>
        </is>
      </c>
      <c r="D61" s="2" t="inlineStr">
        <is>
          <t>violation</t>
        </is>
      </c>
      <c r="E61" s="2" t="b">
        <v>1</v>
      </c>
      <c r="F61" s="2" t="b">
        <v>0</v>
      </c>
      <c r="G61" s="2">
        <f>NOT(F61)</f>
        <v/>
      </c>
      <c r="H61" s="2">
        <f>IF(C61="unknown",E61,D61="violation")</f>
        <v/>
      </c>
      <c r="I61" s="2">
        <f>G61=H61</f>
        <v/>
      </c>
    </row>
    <row r="62">
      <c r="A62" s="2" t="inlineStr">
        <is>
          <t>browser safari184</t>
        </is>
      </c>
      <c r="B62" s="2" t="inlineStr">
        <is>
          <t>min13</t>
        </is>
      </c>
      <c r="C62" s="2" t="inlineStr">
        <is>
          <t>violation</t>
        </is>
      </c>
      <c r="D62" s="2" t="inlineStr">
        <is>
          <t>violation</t>
        </is>
      </c>
      <c r="E62" s="2" t="b">
        <v>0</v>
      </c>
      <c r="F62" s="2" t="b">
        <v>0</v>
      </c>
      <c r="G62" s="2">
        <f>NOT(F62)</f>
        <v/>
      </c>
      <c r="H62" s="2">
        <f>IF(C62="unknown",E62,D62="violation")</f>
        <v/>
      </c>
      <c r="I62" s="2">
        <f>G62=H62</f>
        <v/>
      </c>
    </row>
    <row r="63">
      <c r="A63" s="2" t="inlineStr">
        <is>
          <t>browser safari184</t>
        </is>
      </c>
      <c r="B63" s="2" t="inlineStr">
        <is>
          <t>ciphers</t>
        </is>
      </c>
      <c r="C63" s="2" t="inlineStr">
        <is>
          <t>violation</t>
        </is>
      </c>
      <c r="D63" s="2" t="inlineStr">
        <is>
          <t>violation</t>
        </is>
      </c>
      <c r="E63" s="2" t="b">
        <v>0</v>
      </c>
      <c r="F63" s="2" t="b">
        <v>0</v>
      </c>
      <c r="G63" s="2">
        <f>NOT(F63)</f>
        <v/>
      </c>
      <c r="H63" s="2">
        <f>IF(C63="unknown",E63,D63="violation")</f>
        <v/>
      </c>
      <c r="I63" s="2">
        <f>G63=H63</f>
        <v/>
      </c>
    </row>
    <row r="64">
      <c r="A64" s="2" t="inlineStr">
        <is>
          <t>browser safari184</t>
        </is>
      </c>
      <c r="B64" s="2" t="inlineStr">
        <is>
          <t>min13_block</t>
        </is>
      </c>
      <c r="C64" s="2" t="inlineStr">
        <is>
          <t>violation</t>
        </is>
      </c>
      <c r="D64" s="2" t="inlineStr">
        <is>
          <t>violation</t>
        </is>
      </c>
      <c r="E64" s="2" t="b">
        <v>1</v>
      </c>
      <c r="F64" s="2" t="b">
        <v>0</v>
      </c>
      <c r="G64" s="2">
        <f>NOT(F64)</f>
        <v/>
      </c>
      <c r="H64" s="2">
        <f>IF(C64="unknown",E64,D64="violation")</f>
        <v/>
      </c>
      <c r="I64" s="2">
        <f>G64=H64</f>
        <v/>
      </c>
    </row>
    <row r="65">
      <c r="A65" s="2" t="inlineStr">
        <is>
          <t>browser safari260</t>
        </is>
      </c>
      <c r="B65" s="2" t="inlineStr">
        <is>
          <t>min13</t>
        </is>
      </c>
      <c r="C65" s="2" t="inlineStr">
        <is>
          <t>unknown</t>
        </is>
      </c>
      <c r="D65" s="2" t="inlineStr">
        <is>
          <t>violation</t>
        </is>
      </c>
      <c r="E65" s="2" t="b">
        <v>0</v>
      </c>
      <c r="F65" s="2" t="b">
        <v>1</v>
      </c>
      <c r="G65" s="2">
        <f>NOT(F65)</f>
        <v/>
      </c>
      <c r="H65" s="2">
        <f>IF(C65="unknown",E65,D65="violation")</f>
        <v/>
      </c>
      <c r="I65" s="2">
        <f>G65=H65</f>
        <v/>
      </c>
    </row>
    <row r="66">
      <c r="A66" s="2" t="inlineStr">
        <is>
          <t>browser safari260</t>
        </is>
      </c>
      <c r="B66" s="2" t="inlineStr">
        <is>
          <t>ciphers</t>
        </is>
      </c>
      <c r="C66" s="2" t="inlineStr">
        <is>
          <t>violation</t>
        </is>
      </c>
      <c r="D66" s="2" t="inlineStr">
        <is>
          <t>violation</t>
        </is>
      </c>
      <c r="E66" s="2" t="b">
        <v>0</v>
      </c>
      <c r="F66" s="2" t="b">
        <v>0</v>
      </c>
      <c r="G66" s="2">
        <f>NOT(F66)</f>
        <v/>
      </c>
      <c r="H66" s="2">
        <f>IF(C66="unknown",E66,D66="violation")</f>
        <v/>
      </c>
      <c r="I66" s="2">
        <f>G66=H66</f>
        <v/>
      </c>
    </row>
    <row r="67">
      <c r="A67" s="2" t="inlineStr">
        <is>
          <t>browser safari260</t>
        </is>
      </c>
      <c r="B67" s="2" t="inlineStr">
        <is>
          <t>min13_block</t>
        </is>
      </c>
      <c r="C67" s="2" t="inlineStr">
        <is>
          <t>unknown</t>
        </is>
      </c>
      <c r="D67" s="2" t="inlineStr">
        <is>
          <t>violation</t>
        </is>
      </c>
      <c r="E67" s="2" t="b">
        <v>1</v>
      </c>
      <c r="F67" s="2" t="b">
        <v>0</v>
      </c>
      <c r="G67" s="2">
        <f>NOT(F67)</f>
        <v/>
      </c>
      <c r="H67" s="2">
        <f>IF(C67="unknown",E67,D67="violation")</f>
        <v/>
      </c>
      <c r="I67" s="2">
        <f>G67=H67</f>
        <v/>
      </c>
    </row>
    <row r="68">
      <c r="A68" s="2" t="inlineStr">
        <is>
          <t>browser safari260_ios</t>
        </is>
      </c>
      <c r="B68" s="2" t="inlineStr">
        <is>
          <t>min13</t>
        </is>
      </c>
      <c r="C68" s="2" t="inlineStr">
        <is>
          <t>violation</t>
        </is>
      </c>
      <c r="D68" s="2" t="inlineStr">
        <is>
          <t>violation</t>
        </is>
      </c>
      <c r="E68" s="2" t="b">
        <v>0</v>
      </c>
      <c r="F68" s="2" t="b">
        <v>0</v>
      </c>
      <c r="G68" s="2">
        <f>NOT(F68)</f>
        <v/>
      </c>
      <c r="H68" s="2">
        <f>IF(C68="unknown",E68,D68="violation")</f>
        <v/>
      </c>
      <c r="I68" s="2">
        <f>G68=H68</f>
        <v/>
      </c>
    </row>
    <row r="69">
      <c r="A69" s="2" t="inlineStr">
        <is>
          <t>browser safari260_ios</t>
        </is>
      </c>
      <c r="B69" s="2" t="inlineStr">
        <is>
          <t>ciphers</t>
        </is>
      </c>
      <c r="C69" s="2" t="inlineStr">
        <is>
          <t>violation</t>
        </is>
      </c>
      <c r="D69" s="2" t="inlineStr">
        <is>
          <t>violation</t>
        </is>
      </c>
      <c r="E69" s="2" t="b">
        <v>0</v>
      </c>
      <c r="F69" s="2" t="b">
        <v>0</v>
      </c>
      <c r="G69" s="2">
        <f>NOT(F69)</f>
        <v/>
      </c>
      <c r="H69" s="2">
        <f>IF(C69="unknown",E69,D69="violation")</f>
        <v/>
      </c>
      <c r="I69" s="2">
        <f>G69=H69</f>
        <v/>
      </c>
    </row>
    <row r="70">
      <c r="A70" s="2" t="inlineStr">
        <is>
          <t>browser safari260_ios</t>
        </is>
      </c>
      <c r="B70" s="2" t="inlineStr">
        <is>
          <t>min13_block</t>
        </is>
      </c>
      <c r="C70" s="2" t="inlineStr">
        <is>
          <t>violation</t>
        </is>
      </c>
      <c r="D70" s="2" t="inlineStr">
        <is>
          <t>violation</t>
        </is>
      </c>
      <c r="E70" s="2" t="b">
        <v>1</v>
      </c>
      <c r="F70" s="2" t="b">
        <v>0</v>
      </c>
      <c r="G70" s="2">
        <f>NOT(F70)</f>
        <v/>
      </c>
      <c r="H70" s="2">
        <f>IF(C70="unknown",E70,D70="violation")</f>
        <v/>
      </c>
      <c r="I70" s="2">
        <f>G70=H70</f>
        <v/>
      </c>
    </row>
    <row r="71">
      <c r="A71" s="2" t="inlineStr">
        <is>
          <t>browser tor145</t>
        </is>
      </c>
      <c r="B71" s="2" t="inlineStr">
        <is>
          <t>min13</t>
        </is>
      </c>
      <c r="C71" s="2" t="inlineStr">
        <is>
          <t>violation</t>
        </is>
      </c>
      <c r="D71" s="2" t="inlineStr">
        <is>
          <t>violation</t>
        </is>
      </c>
      <c r="E71" s="2" t="b">
        <v>0</v>
      </c>
      <c r="F71" s="2" t="b">
        <v>0</v>
      </c>
      <c r="G71" s="2">
        <f>NOT(F71)</f>
        <v/>
      </c>
      <c r="H71" s="2">
        <f>IF(C71="unknown",E71,D71="violation")</f>
        <v/>
      </c>
      <c r="I71" s="2">
        <f>G71=H71</f>
        <v/>
      </c>
    </row>
    <row r="72">
      <c r="A72" s="2" t="inlineStr">
        <is>
          <t>browser tor145</t>
        </is>
      </c>
      <c r="B72" s="2" t="inlineStr">
        <is>
          <t>ciphers</t>
        </is>
      </c>
      <c r="C72" s="2" t="inlineStr">
        <is>
          <t>violation</t>
        </is>
      </c>
      <c r="D72" s="2" t="inlineStr">
        <is>
          <t>violation</t>
        </is>
      </c>
      <c r="E72" s="2" t="b">
        <v>0</v>
      </c>
      <c r="F72" s="2" t="b">
        <v>0</v>
      </c>
      <c r="G72" s="2">
        <f>NOT(F72)</f>
        <v/>
      </c>
      <c r="H72" s="2">
        <f>IF(C72="unknown",E72,D72="violation")</f>
        <v/>
      </c>
      <c r="I72" s="2">
        <f>G72=H72</f>
        <v/>
      </c>
    </row>
    <row r="73">
      <c r="A73" s="2" t="inlineStr">
        <is>
          <t>browser tor145</t>
        </is>
      </c>
      <c r="B73" s="2" t="inlineStr">
        <is>
          <t>min13_block</t>
        </is>
      </c>
      <c r="C73" s="2" t="inlineStr">
        <is>
          <t>violation</t>
        </is>
      </c>
      <c r="D73" s="2" t="inlineStr">
        <is>
          <t>violation</t>
        </is>
      </c>
      <c r="E73" s="2" t="b">
        <v>1</v>
      </c>
      <c r="F73" s="2" t="b">
        <v>0</v>
      </c>
      <c r="G73" s="2">
        <f>NOT(F73)</f>
        <v/>
      </c>
      <c r="H73" s="2">
        <f>IF(C73="unknown",E73,D73="violation")</f>
        <v/>
      </c>
      <c r="I73" s="2">
        <f>G73=H73</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26" customWidth="1" min="3" max="3"/>
    <col width="10" customWidth="1" min="4" max="4"/>
  </cols>
  <sheetData>
    <row r="1">
      <c r="A1" s="4" t="inlineStr">
        <is>
          <t>Scenario</t>
        </is>
      </c>
      <c r="B1" s="4" t="inlineStr">
        <is>
          <t>Audit verdict</t>
        </is>
      </c>
      <c r="C1" s="4" t="inlineStr">
        <is>
          <t>Enforce: server received</t>
        </is>
      </c>
      <c r="D1" s="4" t="inlineStr">
        <is>
          <t>Blocked</t>
        </is>
      </c>
    </row>
    <row r="2">
      <c r="A2" s="2" t="inlineStr">
        <is>
          <t>legacy</t>
        </is>
      </c>
      <c r="B2" s="2" t="inlineStr">
        <is>
          <t>violation</t>
        </is>
      </c>
      <c r="C2" s="2" t="b">
        <v>0</v>
      </c>
      <c r="D2" s="2">
        <f>NOT(C2)</f>
        <v/>
      </c>
    </row>
    <row r="3">
      <c r="A3" s="2" t="inlineStr">
        <is>
          <t>cbc_sha1</t>
        </is>
      </c>
      <c r="B3" s="2" t="inlineStr">
        <is>
          <t>violation</t>
        </is>
      </c>
      <c r="C3" s="2" t="b">
        <v>0</v>
      </c>
      <c r="D3" s="2">
        <f>NOT(C3)</f>
        <v/>
      </c>
    </row>
    <row r="4">
      <c r="A4" s="2" t="inlineStr">
        <is>
          <t>pq_unknown</t>
        </is>
      </c>
      <c r="B4" s="2" t="inlineStr">
        <is>
          <t>unknown</t>
        </is>
      </c>
      <c r="C4" s="2" t="b">
        <v>0</v>
      </c>
      <c r="D4" s="2">
        <f>NOT(C4)</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34" customWidth="1" min="1" max="1"/>
    <col width="23" customWidth="1" min="2" max="2"/>
    <col width="17" customWidth="1" min="3" max="3"/>
    <col width="13" customWidth="1" min="4" max="4"/>
  </cols>
  <sheetData>
    <row r="1">
      <c r="A1" s="4" t="inlineStr">
        <is>
          <t>Client</t>
        </is>
      </c>
      <c r="B1" s="4" t="inlineStr">
        <is>
          <t>Seconds until failure</t>
        </is>
      </c>
      <c r="C1" s="4" t="inlineStr">
        <is>
          <t>Capped at 300 s</t>
        </is>
      </c>
      <c r="D1" s="4" t="inlineStr">
        <is>
          <t>Exit status</t>
        </is>
      </c>
    </row>
    <row r="2">
      <c r="A2" s="2" t="inlineStr">
        <is>
          <t>openssl 3.5.8 default</t>
        </is>
      </c>
      <c r="B2" s="2" t="n">
        <v>300.04</v>
      </c>
      <c r="C2" s="2" t="b">
        <v>1</v>
      </c>
      <c r="D2" s="2" t="n">
        <v>143</v>
      </c>
    </row>
    <row r="3">
      <c r="A3" s="2" t="inlineStr">
        <is>
          <t>openssl X25519 only (classical)</t>
        </is>
      </c>
      <c r="B3" s="2" t="n">
        <v>300.04</v>
      </c>
      <c r="C3" s="2" t="b">
        <v>1</v>
      </c>
      <c r="D3" s="2" t="n">
        <v>143</v>
      </c>
    </row>
    <row r="4">
      <c r="A4" s="2" t="inlineStr">
        <is>
          <t>openssl secp256r1 only (classical)</t>
        </is>
      </c>
      <c r="B4" s="2" t="n">
        <v>300.04</v>
      </c>
      <c r="C4" s="2" t="b">
        <v>1</v>
      </c>
      <c r="D4" s="2" t="n">
        <v>143</v>
      </c>
    </row>
    <row r="5">
      <c r="A5" s="2" t="inlineStr">
        <is>
          <t>openssl X25519MLKEM768 only</t>
        </is>
      </c>
      <c r="B5" s="2" t="n">
        <v>300.05</v>
      </c>
      <c r="C5" s="2" t="b">
        <v>1</v>
      </c>
      <c r="D5" s="2" t="n">
        <v>143</v>
      </c>
    </row>
    <row r="6">
      <c r="A6" s="2" t="inlineStr">
        <is>
          <t>openssl SecP256r1MLKEM768</t>
        </is>
      </c>
      <c r="B6" s="2" t="n">
        <v>300.05</v>
      </c>
      <c r="C6" s="2" t="b">
        <v>1</v>
      </c>
      <c r="D6" s="2" t="n">
        <v>143</v>
      </c>
    </row>
    <row r="7">
      <c r="A7" s="2" t="inlineStr">
        <is>
          <t>openssl SecP384r1MLKEM1024</t>
        </is>
      </c>
      <c r="B7" s="2" t="n">
        <v>300.04</v>
      </c>
      <c r="C7" s="2" t="b">
        <v>1</v>
      </c>
      <c r="D7" s="2" t="n">
        <v>143</v>
      </c>
    </row>
    <row r="8">
      <c r="A8" s="2" t="inlineStr">
        <is>
          <t>openssl MLKEM768 (pure PQ)</t>
        </is>
      </c>
      <c r="B8" s="2" t="n">
        <v>300.04</v>
      </c>
      <c r="C8" s="2" t="b">
        <v>1</v>
      </c>
      <c r="D8" s="2" t="n">
        <v>143</v>
      </c>
    </row>
    <row r="9">
      <c r="A9" s="2" t="inlineStr">
        <is>
          <t>openssl MLKEM1024 (pure PQ)</t>
        </is>
      </c>
      <c r="B9" s="2" t="n">
        <v>300.05</v>
      </c>
      <c r="C9" s="2" t="b">
        <v>1</v>
      </c>
      <c r="D9" s="2" t="n">
        <v>143</v>
      </c>
    </row>
    <row r="10">
      <c r="A10" s="2" t="inlineStr">
        <is>
          <t>openssl TLS 1.2 only</t>
        </is>
      </c>
      <c r="B10" s="2" t="n">
        <v>300.04</v>
      </c>
      <c r="C10" s="2" t="b">
        <v>1</v>
      </c>
      <c r="D10" s="2" t="n">
        <v>143</v>
      </c>
    </row>
    <row r="11">
      <c r="A11" s="2" t="inlineStr">
        <is>
          <t>curl 8.22 (OpenSSL 3.5.8)</t>
        </is>
      </c>
      <c r="B11" s="2" t="n">
        <v>5.01</v>
      </c>
      <c r="C11" s="2" t="b">
        <v>0</v>
      </c>
      <c r="D11" s="2" t="n">
        <v>28</v>
      </c>
    </row>
    <row r="12">
      <c r="A12" s="2" t="inlineStr">
        <is>
          <t>python 3.14 urllib (OpenSSL 3.5.8)</t>
        </is>
      </c>
      <c r="B12" s="2" t="n">
        <v>5.5</v>
      </c>
      <c r="C12" s="2" t="b">
        <v>0</v>
      </c>
      <c r="D12" s="2" t="n">
        <v>1</v>
      </c>
    </row>
    <row r="13">
      <c r="A13" s="2" t="inlineStr">
        <is>
          <t>node 26 https (OpenSSL 3.5.8)</t>
        </is>
      </c>
      <c r="B13" s="2" t="n">
        <v>300.04</v>
      </c>
      <c r="C13" s="2" t="b">
        <v>1</v>
      </c>
      <c r="D13" s="2" t="n">
        <v>143</v>
      </c>
    </row>
    <row r="14">
      <c r="A14" s="2" t="inlineStr">
        <is>
          <t>go 1.27 net/http (crypto/tls)</t>
        </is>
      </c>
      <c r="B14" s="2" t="n">
        <v>5.06</v>
      </c>
      <c r="C14" s="2" t="b">
        <v>0</v>
      </c>
      <c r="D14" s="2" t="n">
        <v>0</v>
      </c>
    </row>
    <row r="15">
      <c r="A15" s="2" t="inlineStr">
        <is>
          <t>browser chrome116</t>
        </is>
      </c>
      <c r="B15" s="2" t="n">
        <v>5.01</v>
      </c>
      <c r="C15" s="2" t="b">
        <v>0</v>
      </c>
      <c r="D15" s="2" t="n">
        <v>28</v>
      </c>
    </row>
    <row r="16">
      <c r="A16" s="2" t="inlineStr">
        <is>
          <t>browser chrome124</t>
        </is>
      </c>
      <c r="B16" s="2" t="n">
        <v>5</v>
      </c>
      <c r="C16" s="2" t="b">
        <v>0</v>
      </c>
      <c r="D16" s="2" t="n">
        <v>28</v>
      </c>
    </row>
    <row r="17">
      <c r="A17" s="2" t="inlineStr">
        <is>
          <t>browser chrome131</t>
        </is>
      </c>
      <c r="B17" s="2" t="n">
        <v>5.01</v>
      </c>
      <c r="C17" s="2" t="b">
        <v>0</v>
      </c>
      <c r="D17" s="2" t="n">
        <v>28</v>
      </c>
    </row>
    <row r="18">
      <c r="A18" s="2" t="inlineStr">
        <is>
          <t>browser chrome150</t>
        </is>
      </c>
      <c r="B18" s="2" t="n">
        <v>0.01</v>
      </c>
      <c r="C18" s="2" t="b">
        <v>0</v>
      </c>
      <c r="D18" s="2" t="n">
        <v>52</v>
      </c>
    </row>
    <row r="19">
      <c r="A19" s="2" t="inlineStr">
        <is>
          <t>browser edge101</t>
        </is>
      </c>
      <c r="B19" s="2" t="n">
        <v>5.01</v>
      </c>
      <c r="C19" s="2" t="b">
        <v>0</v>
      </c>
      <c r="D19" s="2" t="n">
        <v>28</v>
      </c>
    </row>
    <row r="20">
      <c r="A20" s="2" t="inlineStr">
        <is>
          <t>browser firefox133</t>
        </is>
      </c>
      <c r="B20" s="2" t="n">
        <v>0.02</v>
      </c>
      <c r="C20" s="2" t="b">
        <v>0</v>
      </c>
      <c r="D20" s="2" t="n">
        <v>52</v>
      </c>
    </row>
    <row r="21">
      <c r="A21" s="2" t="inlineStr">
        <is>
          <t>browser firefox147</t>
        </is>
      </c>
      <c r="B21" s="2" t="n">
        <v>0.02</v>
      </c>
      <c r="C21" s="2" t="b">
        <v>0</v>
      </c>
      <c r="D21" s="2" t="n">
        <v>52</v>
      </c>
    </row>
    <row r="22">
      <c r="A22" s="2" t="inlineStr">
        <is>
          <t>browser safari184</t>
        </is>
      </c>
      <c r="B22" s="2" t="n">
        <v>5</v>
      </c>
      <c r="C22" s="2" t="b">
        <v>0</v>
      </c>
      <c r="D22" s="2" t="n">
        <v>28</v>
      </c>
    </row>
    <row r="23">
      <c r="A23" s="2" t="inlineStr">
        <is>
          <t>browser safari260</t>
        </is>
      </c>
      <c r="B23" s="2" t="n">
        <v>0.01</v>
      </c>
      <c r="C23" s="2" t="b">
        <v>0</v>
      </c>
      <c r="D23" s="2" t="n">
        <v>52</v>
      </c>
    </row>
    <row r="24">
      <c r="A24" s="2" t="inlineStr">
        <is>
          <t>browser safari260_ios</t>
        </is>
      </c>
      <c r="B24" s="2" t="n">
        <v>5.01</v>
      </c>
      <c r="C24" s="2" t="b">
        <v>0</v>
      </c>
      <c r="D24" s="2" t="n">
        <v>28</v>
      </c>
    </row>
    <row r="25">
      <c r="A25" s="2" t="inlineStr">
        <is>
          <t>browser tor145</t>
        </is>
      </c>
      <c r="B25" s="2" t="n">
        <v>5</v>
      </c>
      <c r="C25" s="2" t="b">
        <v>0</v>
      </c>
      <c r="D25" s="2" t="n">
        <v>28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9" customWidth="1" min="1" max="1"/>
    <col width="28" customWidth="1" min="2" max="2"/>
    <col width="20" customWidth="1" min="3" max="3"/>
    <col width="10" customWidth="1" min="4" max="4"/>
    <col width="10" customWidth="1" min="5" max="5"/>
    <col width="13" customWidth="1" min="6" max="6"/>
    <col width="15" customWidth="1" min="7" max="7"/>
    <col width="10" customWidth="1" min="8" max="8"/>
    <col width="18" customWidth="1" min="9" max="9"/>
    <col width="16" customWidth="1" min="10" max="10"/>
  </cols>
  <sheetData>
    <row r="1">
      <c r="A1" s="4" t="inlineStr">
        <is>
          <t>Containers in run</t>
        </is>
      </c>
      <c r="B1" s="4" t="inlineStr">
        <is>
          <t>Container</t>
        </is>
      </c>
      <c r="C1" s="4" t="inlineStr">
        <is>
          <t>Shares a namespace</t>
        </is>
      </c>
      <c r="D1" s="4" t="inlineStr">
        <is>
          <t>veth</t>
        </is>
      </c>
      <c r="E1" s="4" t="inlineStr">
        <is>
          <t>IP</t>
        </is>
      </c>
      <c r="F1" s="4" t="inlineStr">
        <is>
          <t>Server port</t>
        </is>
      </c>
      <c r="G1" s="4" t="inlineStr">
        <is>
          <t>Handshakes ok</t>
        </is>
      </c>
      <c r="H1" s="4" t="inlineStr">
        <is>
          <t>Events</t>
        </is>
      </c>
      <c r="I1" s="4" t="inlineStr">
        <is>
          <t>Events naming it</t>
        </is>
      </c>
      <c r="J1" s="4" t="inlineStr">
        <is>
          <t>Unnamed events</t>
        </is>
      </c>
    </row>
    <row r="2">
      <c r="A2" s="2" t="inlineStr">
        <is>
          <t>10</t>
        </is>
      </c>
      <c r="B2" s="2" t="inlineStr">
        <is>
          <t>skb-attrib-607112-s1</t>
        </is>
      </c>
      <c r="C2" s="2" t="b">
        <v>0</v>
      </c>
      <c r="D2" s="2" t="inlineStr">
        <is>
          <t>vethb4f7b7c</t>
        </is>
      </c>
      <c r="E2" s="2" t="inlineStr">
        <is>
          <t>172.18.0.3</t>
        </is>
      </c>
      <c r="F2" s="2" t="n">
        <v>5001</v>
      </c>
      <c r="G2" s="2" t="n">
        <v>5</v>
      </c>
      <c r="H2" s="2" t="n">
        <v>5</v>
      </c>
      <c r="I2" s="2" t="n">
        <v>5</v>
      </c>
      <c r="J2" s="2" t="n">
        <v>0</v>
      </c>
    </row>
    <row r="3">
      <c r="A3" s="2" t="inlineStr">
        <is>
          <t>10</t>
        </is>
      </c>
      <c r="B3" s="2" t="inlineStr">
        <is>
          <t>skb-attrib-607112-s2</t>
        </is>
      </c>
      <c r="C3" s="2" t="b">
        <v>0</v>
      </c>
      <c r="D3" s="2" t="inlineStr">
        <is>
          <t>veth19adcc7</t>
        </is>
      </c>
      <c r="E3" s="2" t="inlineStr">
        <is>
          <t>172.18.0.4</t>
        </is>
      </c>
      <c r="F3" s="2" t="n">
        <v>5002</v>
      </c>
      <c r="G3" s="2" t="n">
        <v>5</v>
      </c>
      <c r="H3" s="2" t="n">
        <v>5</v>
      </c>
      <c r="I3" s="2" t="n">
        <v>5</v>
      </c>
      <c r="J3" s="2" t="n">
        <v>0</v>
      </c>
    </row>
    <row r="4">
      <c r="A4" s="2" t="inlineStr">
        <is>
          <t>10</t>
        </is>
      </c>
      <c r="B4" s="2" t="inlineStr">
        <is>
          <t>skb-attrib-607112-s3</t>
        </is>
      </c>
      <c r="C4" s="2" t="b">
        <v>0</v>
      </c>
      <c r="D4" s="2" t="inlineStr">
        <is>
          <t>veth6cf06ce</t>
        </is>
      </c>
      <c r="E4" s="2" t="inlineStr">
        <is>
          <t>172.18.0.5</t>
        </is>
      </c>
      <c r="F4" s="2" t="n">
        <v>5003</v>
      </c>
      <c r="G4" s="2" t="n">
        <v>5</v>
      </c>
      <c r="H4" s="2" t="n">
        <v>5</v>
      </c>
      <c r="I4" s="2" t="n">
        <v>5</v>
      </c>
      <c r="J4" s="2" t="n">
        <v>0</v>
      </c>
    </row>
    <row r="5">
      <c r="A5" s="2" t="inlineStr">
        <is>
          <t>10</t>
        </is>
      </c>
      <c r="B5" s="2" t="inlineStr">
        <is>
          <t>skb-attrib-607112-s4</t>
        </is>
      </c>
      <c r="C5" s="2" t="b">
        <v>0</v>
      </c>
      <c r="D5" s="2" t="inlineStr">
        <is>
          <t>veth2243a54</t>
        </is>
      </c>
      <c r="E5" s="2" t="inlineStr">
        <is>
          <t>172.18.0.6</t>
        </is>
      </c>
      <c r="F5" s="2" t="n">
        <v>5004</v>
      </c>
      <c r="G5" s="2" t="n">
        <v>5</v>
      </c>
      <c r="H5" s="2" t="n">
        <v>5</v>
      </c>
      <c r="I5" s="2" t="n">
        <v>5</v>
      </c>
      <c r="J5" s="2" t="n">
        <v>0</v>
      </c>
    </row>
    <row r="6">
      <c r="A6" s="2" t="inlineStr">
        <is>
          <t>10</t>
        </is>
      </c>
      <c r="B6" s="2" t="inlineStr">
        <is>
          <t>skb-attrib-607112-s5</t>
        </is>
      </c>
      <c r="C6" s="2" t="b">
        <v>0</v>
      </c>
      <c r="D6" s="2" t="inlineStr">
        <is>
          <t>vethbc9be02</t>
        </is>
      </c>
      <c r="E6" s="2" t="inlineStr">
        <is>
          <t>172.18.0.7</t>
        </is>
      </c>
      <c r="F6" s="2" t="n">
        <v>5005</v>
      </c>
      <c r="G6" s="2" t="n">
        <v>5</v>
      </c>
      <c r="H6" s="2" t="n">
        <v>5</v>
      </c>
      <c r="I6" s="2" t="n">
        <v>5</v>
      </c>
      <c r="J6" s="2" t="n">
        <v>0</v>
      </c>
    </row>
    <row r="7">
      <c r="A7" s="2" t="inlineStr">
        <is>
          <t>10</t>
        </is>
      </c>
      <c r="B7" s="2" t="inlineStr">
        <is>
          <t>skb-attrib-607112-g1-1</t>
        </is>
      </c>
      <c r="C7" s="2" t="b">
        <v>1</v>
      </c>
      <c r="D7" s="2" t="inlineStr">
        <is>
          <t>vethe0699ce</t>
        </is>
      </c>
      <c r="E7" s="2" t="inlineStr">
        <is>
          <t>172.18.0.8</t>
        </is>
      </c>
      <c r="F7" s="2" t="n">
        <v>5006</v>
      </c>
      <c r="G7" s="2" t="n">
        <v>5</v>
      </c>
      <c r="H7" s="2" t="n">
        <v>5</v>
      </c>
      <c r="I7" s="2" t="n">
        <v>5</v>
      </c>
      <c r="J7" s="2" t="n">
        <v>0</v>
      </c>
    </row>
    <row r="8">
      <c r="A8" s="2" t="inlineStr">
        <is>
          <t>10</t>
        </is>
      </c>
      <c r="B8" s="2" t="inlineStr">
        <is>
          <t>skb-attrib-607112-g1-2</t>
        </is>
      </c>
      <c r="C8" s="2" t="b">
        <v>1</v>
      </c>
      <c r="D8" s="2" t="inlineStr">
        <is>
          <t>vethe0699ce</t>
        </is>
      </c>
      <c r="E8" s="2" t="inlineStr">
        <is>
          <t>172.18.0.8</t>
        </is>
      </c>
      <c r="F8" s="2" t="n">
        <v>5007</v>
      </c>
      <c r="G8" s="2" t="n">
        <v>5</v>
      </c>
      <c r="H8" s="2" t="n">
        <v>5</v>
      </c>
      <c r="I8" s="2" t="n">
        <v>5</v>
      </c>
      <c r="J8" s="2" t="n">
        <v>0</v>
      </c>
    </row>
    <row r="9">
      <c r="A9" s="2" t="inlineStr">
        <is>
          <t>10</t>
        </is>
      </c>
      <c r="B9" s="2" t="inlineStr">
        <is>
          <t>skb-attrib-607112-g1-3</t>
        </is>
      </c>
      <c r="C9" s="2" t="b">
        <v>1</v>
      </c>
      <c r="D9" s="2" t="inlineStr">
        <is>
          <t>vethe0699ce</t>
        </is>
      </c>
      <c r="E9" s="2" t="inlineStr">
        <is>
          <t>172.18.0.8</t>
        </is>
      </c>
      <c r="F9" s="2" t="n">
        <v>5008</v>
      </c>
      <c r="G9" s="2" t="n">
        <v>5</v>
      </c>
      <c r="H9" s="2" t="n">
        <v>5</v>
      </c>
      <c r="I9" s="2" t="n">
        <v>5</v>
      </c>
      <c r="J9" s="2" t="n">
        <v>0</v>
      </c>
    </row>
    <row r="10">
      <c r="A10" s="2" t="inlineStr">
        <is>
          <t>10</t>
        </is>
      </c>
      <c r="B10" s="2" t="inlineStr">
        <is>
          <t>skb-attrib-607112-g1-4</t>
        </is>
      </c>
      <c r="C10" s="2" t="b">
        <v>1</v>
      </c>
      <c r="D10" s="2" t="inlineStr">
        <is>
          <t>vethe0699ce</t>
        </is>
      </c>
      <c r="E10" s="2" t="inlineStr">
        <is>
          <t>172.18.0.8</t>
        </is>
      </c>
      <c r="F10" s="2" t="n">
        <v>5009</v>
      </c>
      <c r="G10" s="2" t="n">
        <v>5</v>
      </c>
      <c r="H10" s="2" t="n">
        <v>5</v>
      </c>
      <c r="I10" s="2" t="n">
        <v>5</v>
      </c>
      <c r="J10" s="2" t="n">
        <v>0</v>
      </c>
    </row>
    <row r="11">
      <c r="A11" s="2" t="inlineStr">
        <is>
          <t>10</t>
        </is>
      </c>
      <c r="B11" s="2" t="inlineStr">
        <is>
          <t>skb-attrib-607112-g1-5</t>
        </is>
      </c>
      <c r="C11" s="2" t="b">
        <v>1</v>
      </c>
      <c r="D11" s="2" t="inlineStr">
        <is>
          <t>vethe0699ce</t>
        </is>
      </c>
      <c r="E11" s="2" t="inlineStr">
        <is>
          <t>172.18.0.8</t>
        </is>
      </c>
      <c r="F11" s="2" t="n">
        <v>5010</v>
      </c>
      <c r="G11" s="2" t="n">
        <v>5</v>
      </c>
      <c r="H11" s="2" t="n">
        <v>5</v>
      </c>
      <c r="I11" s="2" t="n">
        <v>5</v>
      </c>
      <c r="J11" s="2" t="n">
        <v>0</v>
      </c>
    </row>
    <row r="12">
      <c r="A12" s="2" t="inlineStr">
        <is>
          <t>50</t>
        </is>
      </c>
      <c r="B12" s="2" t="inlineStr">
        <is>
          <t>skb-attrib-610300-s1</t>
        </is>
      </c>
      <c r="C12" s="2" t="b">
        <v>0</v>
      </c>
      <c r="D12" s="2" t="inlineStr">
        <is>
          <t>veth2575d61</t>
        </is>
      </c>
      <c r="E12" s="2" t="inlineStr">
        <is>
          <t>172.18.0.3</t>
        </is>
      </c>
      <c r="F12" s="2" t="n">
        <v>5001</v>
      </c>
      <c r="G12" s="2" t="n">
        <v>5</v>
      </c>
      <c r="H12" s="2" t="n">
        <v>5</v>
      </c>
      <c r="I12" s="2" t="n">
        <v>5</v>
      </c>
      <c r="J12" s="2" t="n">
        <v>0</v>
      </c>
    </row>
    <row r="13">
      <c r="A13" s="2" t="inlineStr">
        <is>
          <t>50</t>
        </is>
      </c>
      <c r="B13" s="2" t="inlineStr">
        <is>
          <t>skb-attrib-610300-s2</t>
        </is>
      </c>
      <c r="C13" s="2" t="b">
        <v>0</v>
      </c>
      <c r="D13" s="2" t="inlineStr">
        <is>
          <t>vethff43bca</t>
        </is>
      </c>
      <c r="E13" s="2" t="inlineStr">
        <is>
          <t>172.18.0.4</t>
        </is>
      </c>
      <c r="F13" s="2" t="n">
        <v>5002</v>
      </c>
      <c r="G13" s="2" t="n">
        <v>5</v>
      </c>
      <c r="H13" s="2" t="n">
        <v>5</v>
      </c>
      <c r="I13" s="2" t="n">
        <v>5</v>
      </c>
      <c r="J13" s="2" t="n">
        <v>0</v>
      </c>
    </row>
    <row r="14">
      <c r="A14" s="2" t="inlineStr">
        <is>
          <t>50</t>
        </is>
      </c>
      <c r="B14" s="2" t="inlineStr">
        <is>
          <t>skb-attrib-610300-s3</t>
        </is>
      </c>
      <c r="C14" s="2" t="b">
        <v>0</v>
      </c>
      <c r="D14" s="2" t="inlineStr">
        <is>
          <t>veth1ff4895</t>
        </is>
      </c>
      <c r="E14" s="2" t="inlineStr">
        <is>
          <t>172.18.0.5</t>
        </is>
      </c>
      <c r="F14" s="2" t="n">
        <v>5003</v>
      </c>
      <c r="G14" s="2" t="n">
        <v>5</v>
      </c>
      <c r="H14" s="2" t="n">
        <v>5</v>
      </c>
      <c r="I14" s="2" t="n">
        <v>5</v>
      </c>
      <c r="J14" s="2" t="n">
        <v>0</v>
      </c>
    </row>
    <row r="15">
      <c r="A15" s="2" t="inlineStr">
        <is>
          <t>50</t>
        </is>
      </c>
      <c r="B15" s="2" t="inlineStr">
        <is>
          <t>skb-attrib-610300-s4</t>
        </is>
      </c>
      <c r="C15" s="2" t="b">
        <v>0</v>
      </c>
      <c r="D15" s="2" t="inlineStr">
        <is>
          <t>veth5883d2f</t>
        </is>
      </c>
      <c r="E15" s="2" t="inlineStr">
        <is>
          <t>172.18.0.6</t>
        </is>
      </c>
      <c r="F15" s="2" t="n">
        <v>5004</v>
      </c>
      <c r="G15" s="2" t="n">
        <v>5</v>
      </c>
      <c r="H15" s="2" t="n">
        <v>5</v>
      </c>
      <c r="I15" s="2" t="n">
        <v>5</v>
      </c>
      <c r="J15" s="2" t="n">
        <v>0</v>
      </c>
    </row>
    <row r="16">
      <c r="A16" s="2" t="inlineStr">
        <is>
          <t>50</t>
        </is>
      </c>
      <c r="B16" s="2" t="inlineStr">
        <is>
          <t>skb-attrib-610300-s5</t>
        </is>
      </c>
      <c r="C16" s="2" t="b">
        <v>0</v>
      </c>
      <c r="D16" s="2" t="inlineStr">
        <is>
          <t>veth6800bfb</t>
        </is>
      </c>
      <c r="E16" s="2" t="inlineStr">
        <is>
          <t>172.18.0.7</t>
        </is>
      </c>
      <c r="F16" s="2" t="n">
        <v>5005</v>
      </c>
      <c r="G16" s="2" t="n">
        <v>5</v>
      </c>
      <c r="H16" s="2" t="n">
        <v>5</v>
      </c>
      <c r="I16" s="2" t="n">
        <v>5</v>
      </c>
      <c r="J16" s="2" t="n">
        <v>0</v>
      </c>
    </row>
    <row r="17">
      <c r="A17" s="2" t="inlineStr">
        <is>
          <t>50</t>
        </is>
      </c>
      <c r="B17" s="2" t="inlineStr">
        <is>
          <t>skb-attrib-610300-s6</t>
        </is>
      </c>
      <c r="C17" s="2" t="b">
        <v>0</v>
      </c>
      <c r="D17" s="2" t="inlineStr">
        <is>
          <t>veth62ef9aa</t>
        </is>
      </c>
      <c r="E17" s="2" t="inlineStr">
        <is>
          <t>172.18.0.8</t>
        </is>
      </c>
      <c r="F17" s="2" t="n">
        <v>5006</v>
      </c>
      <c r="G17" s="2" t="n">
        <v>5</v>
      </c>
      <c r="H17" s="2" t="n">
        <v>5</v>
      </c>
      <c r="I17" s="2" t="n">
        <v>5</v>
      </c>
      <c r="J17" s="2" t="n">
        <v>0</v>
      </c>
    </row>
    <row r="18">
      <c r="A18" s="2" t="inlineStr">
        <is>
          <t>50</t>
        </is>
      </c>
      <c r="B18" s="2" t="inlineStr">
        <is>
          <t>skb-attrib-610300-s7</t>
        </is>
      </c>
      <c r="C18" s="2" t="b">
        <v>0</v>
      </c>
      <c r="D18" s="2" t="inlineStr">
        <is>
          <t>veth13b76b5</t>
        </is>
      </c>
      <c r="E18" s="2" t="inlineStr">
        <is>
          <t>172.18.0.9</t>
        </is>
      </c>
      <c r="F18" s="2" t="n">
        <v>5007</v>
      </c>
      <c r="G18" s="2" t="n">
        <v>5</v>
      </c>
      <c r="H18" s="2" t="n">
        <v>5</v>
      </c>
      <c r="I18" s="2" t="n">
        <v>5</v>
      </c>
      <c r="J18" s="2" t="n">
        <v>0</v>
      </c>
    </row>
    <row r="19">
      <c r="A19" s="2" t="inlineStr">
        <is>
          <t>50</t>
        </is>
      </c>
      <c r="B19" s="2" t="inlineStr">
        <is>
          <t>skb-attrib-610300-s8</t>
        </is>
      </c>
      <c r="C19" s="2" t="b">
        <v>0</v>
      </c>
      <c r="D19" s="2" t="inlineStr">
        <is>
          <t>veth07e5232</t>
        </is>
      </c>
      <c r="E19" s="2" t="inlineStr">
        <is>
          <t>172.18.0.10</t>
        </is>
      </c>
      <c r="F19" s="2" t="n">
        <v>5008</v>
      </c>
      <c r="G19" s="2" t="n">
        <v>5</v>
      </c>
      <c r="H19" s="2" t="n">
        <v>5</v>
      </c>
      <c r="I19" s="2" t="n">
        <v>5</v>
      </c>
      <c r="J19" s="2" t="n">
        <v>0</v>
      </c>
    </row>
    <row r="20">
      <c r="A20" s="2" t="inlineStr">
        <is>
          <t>50</t>
        </is>
      </c>
      <c r="B20" s="2" t="inlineStr">
        <is>
          <t>skb-attrib-610300-s9</t>
        </is>
      </c>
      <c r="C20" s="2" t="b">
        <v>0</v>
      </c>
      <c r="D20" s="2" t="inlineStr">
        <is>
          <t>veth7466e6d</t>
        </is>
      </c>
      <c r="E20" s="2" t="inlineStr">
        <is>
          <t>172.18.0.11</t>
        </is>
      </c>
      <c r="F20" s="2" t="n">
        <v>5009</v>
      </c>
      <c r="G20" s="2" t="n">
        <v>5</v>
      </c>
      <c r="H20" s="2" t="n">
        <v>5</v>
      </c>
      <c r="I20" s="2" t="n">
        <v>5</v>
      </c>
      <c r="J20" s="2" t="n">
        <v>0</v>
      </c>
    </row>
    <row r="21">
      <c r="A21" s="2" t="inlineStr">
        <is>
          <t>50</t>
        </is>
      </c>
      <c r="B21" s="2" t="inlineStr">
        <is>
          <t>skb-attrib-610300-s10</t>
        </is>
      </c>
      <c r="C21" s="2" t="b">
        <v>0</v>
      </c>
      <c r="D21" s="2" t="inlineStr">
        <is>
          <t>veth9cbe5e9</t>
        </is>
      </c>
      <c r="E21" s="2" t="inlineStr">
        <is>
          <t>172.18.0.12</t>
        </is>
      </c>
      <c r="F21" s="2" t="n">
        <v>5010</v>
      </c>
      <c r="G21" s="2" t="n">
        <v>5</v>
      </c>
      <c r="H21" s="2" t="n">
        <v>5</v>
      </c>
      <c r="I21" s="2" t="n">
        <v>5</v>
      </c>
      <c r="J21" s="2" t="n">
        <v>0</v>
      </c>
    </row>
    <row r="22">
      <c r="A22" s="2" t="inlineStr">
        <is>
          <t>50</t>
        </is>
      </c>
      <c r="B22" s="2" t="inlineStr">
        <is>
          <t>skb-attrib-610300-s11</t>
        </is>
      </c>
      <c r="C22" s="2" t="b">
        <v>0</v>
      </c>
      <c r="D22" s="2" t="inlineStr">
        <is>
          <t>veth991a1a8</t>
        </is>
      </c>
      <c r="E22" s="2" t="inlineStr">
        <is>
          <t>172.18.0.13</t>
        </is>
      </c>
      <c r="F22" s="2" t="n">
        <v>5011</v>
      </c>
      <c r="G22" s="2" t="n">
        <v>5</v>
      </c>
      <c r="H22" s="2" t="n">
        <v>5</v>
      </c>
      <c r="I22" s="2" t="n">
        <v>5</v>
      </c>
      <c r="J22" s="2" t="n">
        <v>0</v>
      </c>
    </row>
    <row r="23">
      <c r="A23" s="2" t="inlineStr">
        <is>
          <t>50</t>
        </is>
      </c>
      <c r="B23" s="2" t="inlineStr">
        <is>
          <t>skb-attrib-610300-s12</t>
        </is>
      </c>
      <c r="C23" s="2" t="b">
        <v>0</v>
      </c>
      <c r="D23" s="2" t="inlineStr">
        <is>
          <t>veth9ebaff8</t>
        </is>
      </c>
      <c r="E23" s="2" t="inlineStr">
        <is>
          <t>172.18.0.14</t>
        </is>
      </c>
      <c r="F23" s="2" t="n">
        <v>5012</v>
      </c>
      <c r="G23" s="2" t="n">
        <v>5</v>
      </c>
      <c r="H23" s="2" t="n">
        <v>5</v>
      </c>
      <c r="I23" s="2" t="n">
        <v>5</v>
      </c>
      <c r="J23" s="2" t="n">
        <v>0</v>
      </c>
    </row>
    <row r="24">
      <c r="A24" s="2" t="inlineStr">
        <is>
          <t>50</t>
        </is>
      </c>
      <c r="B24" s="2" t="inlineStr">
        <is>
          <t>skb-attrib-610300-s13</t>
        </is>
      </c>
      <c r="C24" s="2" t="b">
        <v>0</v>
      </c>
      <c r="D24" s="2" t="inlineStr">
        <is>
          <t>veth873c45b</t>
        </is>
      </c>
      <c r="E24" s="2" t="inlineStr">
        <is>
          <t>172.18.0.15</t>
        </is>
      </c>
      <c r="F24" s="2" t="n">
        <v>5013</v>
      </c>
      <c r="G24" s="2" t="n">
        <v>5</v>
      </c>
      <c r="H24" s="2" t="n">
        <v>5</v>
      </c>
      <c r="I24" s="2" t="n">
        <v>5</v>
      </c>
      <c r="J24" s="2" t="n">
        <v>0</v>
      </c>
    </row>
    <row r="25">
      <c r="A25" s="2" t="inlineStr">
        <is>
          <t>50</t>
        </is>
      </c>
      <c r="B25" s="2" t="inlineStr">
        <is>
          <t>skb-attrib-610300-s14</t>
        </is>
      </c>
      <c r="C25" s="2" t="b">
        <v>0</v>
      </c>
      <c r="D25" s="2" t="inlineStr">
        <is>
          <t>veth4a73f47</t>
        </is>
      </c>
      <c r="E25" s="2" t="inlineStr">
        <is>
          <t>172.18.0.16</t>
        </is>
      </c>
      <c r="F25" s="2" t="n">
        <v>5014</v>
      </c>
      <c r="G25" s="2" t="n">
        <v>5</v>
      </c>
      <c r="H25" s="2" t="n">
        <v>5</v>
      </c>
      <c r="I25" s="2" t="n">
        <v>5</v>
      </c>
      <c r="J25" s="2" t="n">
        <v>0</v>
      </c>
    </row>
    <row r="26">
      <c r="A26" s="2" t="inlineStr">
        <is>
          <t>50</t>
        </is>
      </c>
      <c r="B26" s="2" t="inlineStr">
        <is>
          <t>skb-attrib-610300-s15</t>
        </is>
      </c>
      <c r="C26" s="2" t="b">
        <v>0</v>
      </c>
      <c r="D26" s="2" t="inlineStr">
        <is>
          <t>veth97df234</t>
        </is>
      </c>
      <c r="E26" s="2" t="inlineStr">
        <is>
          <t>172.18.0.17</t>
        </is>
      </c>
      <c r="F26" s="2" t="n">
        <v>5015</v>
      </c>
      <c r="G26" s="2" t="n">
        <v>5</v>
      </c>
      <c r="H26" s="2" t="n">
        <v>5</v>
      </c>
      <c r="I26" s="2" t="n">
        <v>5</v>
      </c>
      <c r="J26" s="2" t="n">
        <v>0</v>
      </c>
    </row>
    <row r="27">
      <c r="A27" s="2" t="inlineStr">
        <is>
          <t>50</t>
        </is>
      </c>
      <c r="B27" s="2" t="inlineStr">
        <is>
          <t>skb-attrib-610300-s16</t>
        </is>
      </c>
      <c r="C27" s="2" t="b">
        <v>0</v>
      </c>
      <c r="D27" s="2" t="inlineStr">
        <is>
          <t>vethc83521d</t>
        </is>
      </c>
      <c r="E27" s="2" t="inlineStr">
        <is>
          <t>172.18.0.18</t>
        </is>
      </c>
      <c r="F27" s="2" t="n">
        <v>5016</v>
      </c>
      <c r="G27" s="2" t="n">
        <v>5</v>
      </c>
      <c r="H27" s="2" t="n">
        <v>5</v>
      </c>
      <c r="I27" s="2" t="n">
        <v>5</v>
      </c>
      <c r="J27" s="2" t="n">
        <v>0</v>
      </c>
    </row>
    <row r="28">
      <c r="A28" s="2" t="inlineStr">
        <is>
          <t>50</t>
        </is>
      </c>
      <c r="B28" s="2" t="inlineStr">
        <is>
          <t>skb-attrib-610300-s17</t>
        </is>
      </c>
      <c r="C28" s="2" t="b">
        <v>0</v>
      </c>
      <c r="D28" s="2" t="inlineStr">
        <is>
          <t>veth05a1180</t>
        </is>
      </c>
      <c r="E28" s="2" t="inlineStr">
        <is>
          <t>172.18.0.19</t>
        </is>
      </c>
      <c r="F28" s="2" t="n">
        <v>5017</v>
      </c>
      <c r="G28" s="2" t="n">
        <v>5</v>
      </c>
      <c r="H28" s="2" t="n">
        <v>5</v>
      </c>
      <c r="I28" s="2" t="n">
        <v>5</v>
      </c>
      <c r="J28" s="2" t="n">
        <v>0</v>
      </c>
    </row>
    <row r="29">
      <c r="A29" s="2" t="inlineStr">
        <is>
          <t>50</t>
        </is>
      </c>
      <c r="B29" s="2" t="inlineStr">
        <is>
          <t>skb-attrib-610300-s18</t>
        </is>
      </c>
      <c r="C29" s="2" t="b">
        <v>0</v>
      </c>
      <c r="D29" s="2" t="inlineStr">
        <is>
          <t>vethca24bc7</t>
        </is>
      </c>
      <c r="E29" s="2" t="inlineStr">
        <is>
          <t>172.18.0.20</t>
        </is>
      </c>
      <c r="F29" s="2" t="n">
        <v>5018</v>
      </c>
      <c r="G29" s="2" t="n">
        <v>5</v>
      </c>
      <c r="H29" s="2" t="n">
        <v>5</v>
      </c>
      <c r="I29" s="2" t="n">
        <v>5</v>
      </c>
      <c r="J29" s="2" t="n">
        <v>0</v>
      </c>
    </row>
    <row r="30">
      <c r="A30" s="2" t="inlineStr">
        <is>
          <t>50</t>
        </is>
      </c>
      <c r="B30" s="2" t="inlineStr">
        <is>
          <t>skb-attrib-610300-s19</t>
        </is>
      </c>
      <c r="C30" s="2" t="b">
        <v>0</v>
      </c>
      <c r="D30" s="2" t="inlineStr">
        <is>
          <t>veth53b1d1d</t>
        </is>
      </c>
      <c r="E30" s="2" t="inlineStr">
        <is>
          <t>172.18.0.21</t>
        </is>
      </c>
      <c r="F30" s="2" t="n">
        <v>5019</v>
      </c>
      <c r="G30" s="2" t="n">
        <v>5</v>
      </c>
      <c r="H30" s="2" t="n">
        <v>5</v>
      </c>
      <c r="I30" s="2" t="n">
        <v>5</v>
      </c>
      <c r="J30" s="2" t="n">
        <v>0</v>
      </c>
    </row>
    <row r="31">
      <c r="A31" s="2" t="inlineStr">
        <is>
          <t>50</t>
        </is>
      </c>
      <c r="B31" s="2" t="inlineStr">
        <is>
          <t>skb-attrib-610300-s20</t>
        </is>
      </c>
      <c r="C31" s="2" t="b">
        <v>0</v>
      </c>
      <c r="D31" s="2" t="inlineStr">
        <is>
          <t>veth87ffb68</t>
        </is>
      </c>
      <c r="E31" s="2" t="inlineStr">
        <is>
          <t>172.18.0.22</t>
        </is>
      </c>
      <c r="F31" s="2" t="n">
        <v>5020</v>
      </c>
      <c r="G31" s="2" t="n">
        <v>5</v>
      </c>
      <c r="H31" s="2" t="n">
        <v>5</v>
      </c>
      <c r="I31" s="2" t="n">
        <v>5</v>
      </c>
      <c r="J31" s="2" t="n">
        <v>0</v>
      </c>
    </row>
    <row r="32">
      <c r="A32" s="2" t="inlineStr">
        <is>
          <t>50</t>
        </is>
      </c>
      <c r="B32" s="2" t="inlineStr">
        <is>
          <t>skb-attrib-610300-s21</t>
        </is>
      </c>
      <c r="C32" s="2" t="b">
        <v>0</v>
      </c>
      <c r="D32" s="2" t="inlineStr">
        <is>
          <t>veth5cad190</t>
        </is>
      </c>
      <c r="E32" s="2" t="inlineStr">
        <is>
          <t>172.18.0.23</t>
        </is>
      </c>
      <c r="F32" s="2" t="n">
        <v>5021</v>
      </c>
      <c r="G32" s="2" t="n">
        <v>5</v>
      </c>
      <c r="H32" s="2" t="n">
        <v>5</v>
      </c>
      <c r="I32" s="2" t="n">
        <v>5</v>
      </c>
      <c r="J32" s="2" t="n">
        <v>0</v>
      </c>
    </row>
    <row r="33">
      <c r="A33" s="2" t="inlineStr">
        <is>
          <t>50</t>
        </is>
      </c>
      <c r="B33" s="2" t="inlineStr">
        <is>
          <t>skb-attrib-610300-s22</t>
        </is>
      </c>
      <c r="C33" s="2" t="b">
        <v>0</v>
      </c>
      <c r="D33" s="2" t="inlineStr">
        <is>
          <t>veth4b6a5f7</t>
        </is>
      </c>
      <c r="E33" s="2" t="inlineStr">
        <is>
          <t>172.18.0.24</t>
        </is>
      </c>
      <c r="F33" s="2" t="n">
        <v>5022</v>
      </c>
      <c r="G33" s="2" t="n">
        <v>5</v>
      </c>
      <c r="H33" s="2" t="n">
        <v>5</v>
      </c>
      <c r="I33" s="2" t="n">
        <v>5</v>
      </c>
      <c r="J33" s="2" t="n">
        <v>0</v>
      </c>
    </row>
    <row r="34">
      <c r="A34" s="2" t="inlineStr">
        <is>
          <t>50</t>
        </is>
      </c>
      <c r="B34" s="2" t="inlineStr">
        <is>
          <t>skb-attrib-610300-s23</t>
        </is>
      </c>
      <c r="C34" s="2" t="b">
        <v>0</v>
      </c>
      <c r="D34" s="2" t="inlineStr">
        <is>
          <t>veth564037f</t>
        </is>
      </c>
      <c r="E34" s="2" t="inlineStr">
        <is>
          <t>172.18.0.25</t>
        </is>
      </c>
      <c r="F34" s="2" t="n">
        <v>5023</v>
      </c>
      <c r="G34" s="2" t="n">
        <v>5</v>
      </c>
      <c r="H34" s="2" t="n">
        <v>5</v>
      </c>
      <c r="I34" s="2" t="n">
        <v>5</v>
      </c>
      <c r="J34" s="2" t="n">
        <v>0</v>
      </c>
    </row>
    <row r="35">
      <c r="A35" s="2" t="inlineStr">
        <is>
          <t>50</t>
        </is>
      </c>
      <c r="B35" s="2" t="inlineStr">
        <is>
          <t>skb-attrib-610300-s24</t>
        </is>
      </c>
      <c r="C35" s="2" t="b">
        <v>0</v>
      </c>
      <c r="D35" s="2" t="inlineStr">
        <is>
          <t>veth0f9ab8a</t>
        </is>
      </c>
      <c r="E35" s="2" t="inlineStr">
        <is>
          <t>172.18.0.26</t>
        </is>
      </c>
      <c r="F35" s="2" t="n">
        <v>5024</v>
      </c>
      <c r="G35" s="2" t="n">
        <v>5</v>
      </c>
      <c r="H35" s="2" t="n">
        <v>5</v>
      </c>
      <c r="I35" s="2" t="n">
        <v>5</v>
      </c>
      <c r="J35" s="2" t="n">
        <v>0</v>
      </c>
    </row>
    <row r="36">
      <c r="A36" s="2" t="inlineStr">
        <is>
          <t>50</t>
        </is>
      </c>
      <c r="B36" s="2" t="inlineStr">
        <is>
          <t>skb-attrib-610300-s25</t>
        </is>
      </c>
      <c r="C36" s="2" t="b">
        <v>0</v>
      </c>
      <c r="D36" s="2" t="inlineStr">
        <is>
          <t>veth35b3afc</t>
        </is>
      </c>
      <c r="E36" s="2" t="inlineStr">
        <is>
          <t>172.18.0.27</t>
        </is>
      </c>
      <c r="F36" s="2" t="n">
        <v>5025</v>
      </c>
      <c r="G36" s="2" t="n">
        <v>5</v>
      </c>
      <c r="H36" s="2" t="n">
        <v>5</v>
      </c>
      <c r="I36" s="2" t="n">
        <v>5</v>
      </c>
      <c r="J36" s="2" t="n">
        <v>0</v>
      </c>
    </row>
    <row r="37">
      <c r="A37" s="2" t="inlineStr">
        <is>
          <t>50</t>
        </is>
      </c>
      <c r="B37" s="2" t="inlineStr">
        <is>
          <t>skb-attrib-610300-g1-1</t>
        </is>
      </c>
      <c r="C37" s="2" t="b">
        <v>1</v>
      </c>
      <c r="D37" s="2" t="inlineStr">
        <is>
          <t>veth3e97de0</t>
        </is>
      </c>
      <c r="E37" s="2" t="inlineStr">
        <is>
          <t>172.18.0.28</t>
        </is>
      </c>
      <c r="F37" s="2" t="n">
        <v>5026</v>
      </c>
      <c r="G37" s="2" t="n">
        <v>5</v>
      </c>
      <c r="H37" s="2" t="n">
        <v>5</v>
      </c>
      <c r="I37" s="2" t="n">
        <v>5</v>
      </c>
      <c r="J37" s="2" t="n">
        <v>0</v>
      </c>
    </row>
    <row r="38">
      <c r="A38" s="2" t="inlineStr">
        <is>
          <t>50</t>
        </is>
      </c>
      <c r="B38" s="2" t="inlineStr">
        <is>
          <t>skb-attrib-610300-g1-2</t>
        </is>
      </c>
      <c r="C38" s="2" t="b">
        <v>1</v>
      </c>
      <c r="D38" s="2" t="inlineStr">
        <is>
          <t>veth3e97de0</t>
        </is>
      </c>
      <c r="E38" s="2" t="inlineStr">
        <is>
          <t>172.18.0.28</t>
        </is>
      </c>
      <c r="F38" s="2" t="n">
        <v>5027</v>
      </c>
      <c r="G38" s="2" t="n">
        <v>5</v>
      </c>
      <c r="H38" s="2" t="n">
        <v>5</v>
      </c>
      <c r="I38" s="2" t="n">
        <v>5</v>
      </c>
      <c r="J38" s="2" t="n">
        <v>0</v>
      </c>
    </row>
    <row r="39">
      <c r="A39" s="2" t="inlineStr">
        <is>
          <t>50</t>
        </is>
      </c>
      <c r="B39" s="2" t="inlineStr">
        <is>
          <t>skb-attrib-610300-g1-3</t>
        </is>
      </c>
      <c r="C39" s="2" t="b">
        <v>1</v>
      </c>
      <c r="D39" s="2" t="inlineStr">
        <is>
          <t>veth3e97de0</t>
        </is>
      </c>
      <c r="E39" s="2" t="inlineStr">
        <is>
          <t>172.18.0.28</t>
        </is>
      </c>
      <c r="F39" s="2" t="n">
        <v>5028</v>
      </c>
      <c r="G39" s="2" t="n">
        <v>5</v>
      </c>
      <c r="H39" s="2" t="n">
        <v>5</v>
      </c>
      <c r="I39" s="2" t="n">
        <v>5</v>
      </c>
      <c r="J39" s="2" t="n">
        <v>0</v>
      </c>
    </row>
    <row r="40">
      <c r="A40" s="2" t="inlineStr">
        <is>
          <t>50</t>
        </is>
      </c>
      <c r="B40" s="2" t="inlineStr">
        <is>
          <t>skb-attrib-610300-g1-4</t>
        </is>
      </c>
      <c r="C40" s="2" t="b">
        <v>1</v>
      </c>
      <c r="D40" s="2" t="inlineStr">
        <is>
          <t>veth3e97de0</t>
        </is>
      </c>
      <c r="E40" s="2" t="inlineStr">
        <is>
          <t>172.18.0.28</t>
        </is>
      </c>
      <c r="F40" s="2" t="n">
        <v>5029</v>
      </c>
      <c r="G40" s="2" t="n">
        <v>5</v>
      </c>
      <c r="H40" s="2" t="n">
        <v>5</v>
      </c>
      <c r="I40" s="2" t="n">
        <v>5</v>
      </c>
      <c r="J40" s="2" t="n">
        <v>0</v>
      </c>
    </row>
    <row r="41">
      <c r="A41" s="2" t="inlineStr">
        <is>
          <t>50</t>
        </is>
      </c>
      <c r="B41" s="2" t="inlineStr">
        <is>
          <t>skb-attrib-610300-g1-5</t>
        </is>
      </c>
      <c r="C41" s="2" t="b">
        <v>1</v>
      </c>
      <c r="D41" s="2" t="inlineStr">
        <is>
          <t>veth3e97de0</t>
        </is>
      </c>
      <c r="E41" s="2" t="inlineStr">
        <is>
          <t>172.18.0.28</t>
        </is>
      </c>
      <c r="F41" s="2" t="n">
        <v>5030</v>
      </c>
      <c r="G41" s="2" t="n">
        <v>5</v>
      </c>
      <c r="H41" s="2" t="n">
        <v>5</v>
      </c>
      <c r="I41" s="2" t="n">
        <v>5</v>
      </c>
      <c r="J41" s="2" t="n">
        <v>0</v>
      </c>
    </row>
    <row r="42">
      <c r="A42" s="2" t="inlineStr">
        <is>
          <t>50</t>
        </is>
      </c>
      <c r="B42" s="2" t="inlineStr">
        <is>
          <t>skb-attrib-610300-g2-1</t>
        </is>
      </c>
      <c r="C42" s="2" t="b">
        <v>1</v>
      </c>
      <c r="D42" s="2" t="inlineStr">
        <is>
          <t>veth8ac334e</t>
        </is>
      </c>
      <c r="E42" s="2" t="inlineStr">
        <is>
          <t>172.18.0.29</t>
        </is>
      </c>
      <c r="F42" s="2" t="n">
        <v>5031</v>
      </c>
      <c r="G42" s="2" t="n">
        <v>5</v>
      </c>
      <c r="H42" s="2" t="n">
        <v>5</v>
      </c>
      <c r="I42" s="2" t="n">
        <v>5</v>
      </c>
      <c r="J42" s="2" t="n">
        <v>0</v>
      </c>
    </row>
    <row r="43">
      <c r="A43" s="2" t="inlineStr">
        <is>
          <t>50</t>
        </is>
      </c>
      <c r="B43" s="2" t="inlineStr">
        <is>
          <t>skb-attrib-610300-g2-2</t>
        </is>
      </c>
      <c r="C43" s="2" t="b">
        <v>1</v>
      </c>
      <c r="D43" s="2" t="inlineStr">
        <is>
          <t>veth8ac334e</t>
        </is>
      </c>
      <c r="E43" s="2" t="inlineStr">
        <is>
          <t>172.18.0.29</t>
        </is>
      </c>
      <c r="F43" s="2" t="n">
        <v>5032</v>
      </c>
      <c r="G43" s="2" t="n">
        <v>5</v>
      </c>
      <c r="H43" s="2" t="n">
        <v>5</v>
      </c>
      <c r="I43" s="2" t="n">
        <v>5</v>
      </c>
      <c r="J43" s="2" t="n">
        <v>0</v>
      </c>
    </row>
    <row r="44">
      <c r="A44" s="2" t="inlineStr">
        <is>
          <t>50</t>
        </is>
      </c>
      <c r="B44" s="2" t="inlineStr">
        <is>
          <t>skb-attrib-610300-g2-3</t>
        </is>
      </c>
      <c r="C44" s="2" t="b">
        <v>1</v>
      </c>
      <c r="D44" s="2" t="inlineStr">
        <is>
          <t>veth8ac334e</t>
        </is>
      </c>
      <c r="E44" s="2" t="inlineStr">
        <is>
          <t>172.18.0.29</t>
        </is>
      </c>
      <c r="F44" s="2" t="n">
        <v>5033</v>
      </c>
      <c r="G44" s="2" t="n">
        <v>5</v>
      </c>
      <c r="H44" s="2" t="n">
        <v>5</v>
      </c>
      <c r="I44" s="2" t="n">
        <v>5</v>
      </c>
      <c r="J44" s="2" t="n">
        <v>0</v>
      </c>
    </row>
    <row r="45">
      <c r="A45" s="2" t="inlineStr">
        <is>
          <t>50</t>
        </is>
      </c>
      <c r="B45" s="2" t="inlineStr">
        <is>
          <t>skb-attrib-610300-g2-4</t>
        </is>
      </c>
      <c r="C45" s="2" t="b">
        <v>1</v>
      </c>
      <c r="D45" s="2" t="inlineStr">
        <is>
          <t>veth8ac334e</t>
        </is>
      </c>
      <c r="E45" s="2" t="inlineStr">
        <is>
          <t>172.18.0.29</t>
        </is>
      </c>
      <c r="F45" s="2" t="n">
        <v>5034</v>
      </c>
      <c r="G45" s="2" t="n">
        <v>5</v>
      </c>
      <c r="H45" s="2" t="n">
        <v>5</v>
      </c>
      <c r="I45" s="2" t="n">
        <v>5</v>
      </c>
      <c r="J45" s="2" t="n">
        <v>0</v>
      </c>
    </row>
    <row r="46">
      <c r="A46" s="2" t="inlineStr">
        <is>
          <t>50</t>
        </is>
      </c>
      <c r="B46" s="2" t="inlineStr">
        <is>
          <t>skb-attrib-610300-g2-5</t>
        </is>
      </c>
      <c r="C46" s="2" t="b">
        <v>1</v>
      </c>
      <c r="D46" s="2" t="inlineStr">
        <is>
          <t>veth8ac334e</t>
        </is>
      </c>
      <c r="E46" s="2" t="inlineStr">
        <is>
          <t>172.18.0.29</t>
        </is>
      </c>
      <c r="F46" s="2" t="n">
        <v>5035</v>
      </c>
      <c r="G46" s="2" t="n">
        <v>5</v>
      </c>
      <c r="H46" s="2" t="n">
        <v>5</v>
      </c>
      <c r="I46" s="2" t="n">
        <v>5</v>
      </c>
      <c r="J46" s="2" t="n">
        <v>0</v>
      </c>
    </row>
    <row r="47">
      <c r="A47" s="2" t="inlineStr">
        <is>
          <t>50</t>
        </is>
      </c>
      <c r="B47" s="2" t="inlineStr">
        <is>
          <t>skb-attrib-610300-g3-1</t>
        </is>
      </c>
      <c r="C47" s="2" t="b">
        <v>1</v>
      </c>
      <c r="D47" s="2" t="inlineStr">
        <is>
          <t>veth4b46ad7</t>
        </is>
      </c>
      <c r="E47" s="2" t="inlineStr">
        <is>
          <t>172.18.0.30</t>
        </is>
      </c>
      <c r="F47" s="2" t="n">
        <v>5036</v>
      </c>
      <c r="G47" s="2" t="n">
        <v>5</v>
      </c>
      <c r="H47" s="2" t="n">
        <v>5</v>
      </c>
      <c r="I47" s="2" t="n">
        <v>5</v>
      </c>
      <c r="J47" s="2" t="n">
        <v>0</v>
      </c>
    </row>
    <row r="48">
      <c r="A48" s="2" t="inlineStr">
        <is>
          <t>50</t>
        </is>
      </c>
      <c r="B48" s="2" t="inlineStr">
        <is>
          <t>skb-attrib-610300-g3-2</t>
        </is>
      </c>
      <c r="C48" s="2" t="b">
        <v>1</v>
      </c>
      <c r="D48" s="2" t="inlineStr">
        <is>
          <t>veth4b46ad7</t>
        </is>
      </c>
      <c r="E48" s="2" t="inlineStr">
        <is>
          <t>172.18.0.30</t>
        </is>
      </c>
      <c r="F48" s="2" t="n">
        <v>5037</v>
      </c>
      <c r="G48" s="2" t="n">
        <v>5</v>
      </c>
      <c r="H48" s="2" t="n">
        <v>5</v>
      </c>
      <c r="I48" s="2" t="n">
        <v>5</v>
      </c>
      <c r="J48" s="2" t="n">
        <v>0</v>
      </c>
    </row>
    <row r="49">
      <c r="A49" s="2" t="inlineStr">
        <is>
          <t>50</t>
        </is>
      </c>
      <c r="B49" s="2" t="inlineStr">
        <is>
          <t>skb-attrib-610300-g3-3</t>
        </is>
      </c>
      <c r="C49" s="2" t="b">
        <v>1</v>
      </c>
      <c r="D49" s="2" t="inlineStr">
        <is>
          <t>veth4b46ad7</t>
        </is>
      </c>
      <c r="E49" s="2" t="inlineStr">
        <is>
          <t>172.18.0.30</t>
        </is>
      </c>
      <c r="F49" s="2" t="n">
        <v>5038</v>
      </c>
      <c r="G49" s="2" t="n">
        <v>5</v>
      </c>
      <c r="H49" s="2" t="n">
        <v>5</v>
      </c>
      <c r="I49" s="2" t="n">
        <v>5</v>
      </c>
      <c r="J49" s="2" t="n">
        <v>0</v>
      </c>
    </row>
    <row r="50">
      <c r="A50" s="2" t="inlineStr">
        <is>
          <t>50</t>
        </is>
      </c>
      <c r="B50" s="2" t="inlineStr">
        <is>
          <t>skb-attrib-610300-g3-4</t>
        </is>
      </c>
      <c r="C50" s="2" t="b">
        <v>1</v>
      </c>
      <c r="D50" s="2" t="inlineStr">
        <is>
          <t>veth4b46ad7</t>
        </is>
      </c>
      <c r="E50" s="2" t="inlineStr">
        <is>
          <t>172.18.0.30</t>
        </is>
      </c>
      <c r="F50" s="2" t="n">
        <v>5039</v>
      </c>
      <c r="G50" s="2" t="n">
        <v>5</v>
      </c>
      <c r="H50" s="2" t="n">
        <v>5</v>
      </c>
      <c r="I50" s="2" t="n">
        <v>5</v>
      </c>
      <c r="J50" s="2" t="n">
        <v>0</v>
      </c>
    </row>
    <row r="51">
      <c r="A51" s="2" t="inlineStr">
        <is>
          <t>50</t>
        </is>
      </c>
      <c r="B51" s="2" t="inlineStr">
        <is>
          <t>skb-attrib-610300-g3-5</t>
        </is>
      </c>
      <c r="C51" s="2" t="b">
        <v>1</v>
      </c>
      <c r="D51" s="2" t="inlineStr">
        <is>
          <t>veth4b46ad7</t>
        </is>
      </c>
      <c r="E51" s="2" t="inlineStr">
        <is>
          <t>172.18.0.30</t>
        </is>
      </c>
      <c r="F51" s="2" t="n">
        <v>5040</v>
      </c>
      <c r="G51" s="2" t="n">
        <v>5</v>
      </c>
      <c r="H51" s="2" t="n">
        <v>5</v>
      </c>
      <c r="I51" s="2" t="n">
        <v>5</v>
      </c>
      <c r="J51" s="2" t="n">
        <v>0</v>
      </c>
    </row>
    <row r="52">
      <c r="A52" s="2" t="inlineStr">
        <is>
          <t>50</t>
        </is>
      </c>
      <c r="B52" s="2" t="inlineStr">
        <is>
          <t>skb-attrib-610300-g4-1</t>
        </is>
      </c>
      <c r="C52" s="2" t="b">
        <v>1</v>
      </c>
      <c r="D52" s="2" t="inlineStr">
        <is>
          <t>veth4c94272</t>
        </is>
      </c>
      <c r="E52" s="2" t="inlineStr">
        <is>
          <t>172.18.0.31</t>
        </is>
      </c>
      <c r="F52" s="2" t="n">
        <v>5041</v>
      </c>
      <c r="G52" s="2" t="n">
        <v>5</v>
      </c>
      <c r="H52" s="2" t="n">
        <v>5</v>
      </c>
      <c r="I52" s="2" t="n">
        <v>5</v>
      </c>
      <c r="J52" s="2" t="n">
        <v>0</v>
      </c>
    </row>
    <row r="53">
      <c r="A53" s="2" t="inlineStr">
        <is>
          <t>50</t>
        </is>
      </c>
      <c r="B53" s="2" t="inlineStr">
        <is>
          <t>skb-attrib-610300-g4-2</t>
        </is>
      </c>
      <c r="C53" s="2" t="b">
        <v>1</v>
      </c>
      <c r="D53" s="2" t="inlineStr">
        <is>
          <t>veth4c94272</t>
        </is>
      </c>
      <c r="E53" s="2" t="inlineStr">
        <is>
          <t>172.18.0.31</t>
        </is>
      </c>
      <c r="F53" s="2" t="n">
        <v>5042</v>
      </c>
      <c r="G53" s="2" t="n">
        <v>5</v>
      </c>
      <c r="H53" s="2" t="n">
        <v>5</v>
      </c>
      <c r="I53" s="2" t="n">
        <v>5</v>
      </c>
      <c r="J53" s="2" t="n">
        <v>0</v>
      </c>
    </row>
    <row r="54">
      <c r="A54" s="2" t="inlineStr">
        <is>
          <t>50</t>
        </is>
      </c>
      <c r="B54" s="2" t="inlineStr">
        <is>
          <t>skb-attrib-610300-g4-3</t>
        </is>
      </c>
      <c r="C54" s="2" t="b">
        <v>1</v>
      </c>
      <c r="D54" s="2" t="inlineStr">
        <is>
          <t>veth4c94272</t>
        </is>
      </c>
      <c r="E54" s="2" t="inlineStr">
        <is>
          <t>172.18.0.31</t>
        </is>
      </c>
      <c r="F54" s="2" t="n">
        <v>5043</v>
      </c>
      <c r="G54" s="2" t="n">
        <v>5</v>
      </c>
      <c r="H54" s="2" t="n">
        <v>5</v>
      </c>
      <c r="I54" s="2" t="n">
        <v>5</v>
      </c>
      <c r="J54" s="2" t="n">
        <v>0</v>
      </c>
    </row>
    <row r="55">
      <c r="A55" s="2" t="inlineStr">
        <is>
          <t>50</t>
        </is>
      </c>
      <c r="B55" s="2" t="inlineStr">
        <is>
          <t>skb-attrib-610300-g4-4</t>
        </is>
      </c>
      <c r="C55" s="2" t="b">
        <v>1</v>
      </c>
      <c r="D55" s="2" t="inlineStr">
        <is>
          <t>veth4c94272</t>
        </is>
      </c>
      <c r="E55" s="2" t="inlineStr">
        <is>
          <t>172.18.0.31</t>
        </is>
      </c>
      <c r="F55" s="2" t="n">
        <v>5044</v>
      </c>
      <c r="G55" s="2" t="n">
        <v>5</v>
      </c>
      <c r="H55" s="2" t="n">
        <v>5</v>
      </c>
      <c r="I55" s="2" t="n">
        <v>5</v>
      </c>
      <c r="J55" s="2" t="n">
        <v>0</v>
      </c>
    </row>
    <row r="56">
      <c r="A56" s="2" t="inlineStr">
        <is>
          <t>50</t>
        </is>
      </c>
      <c r="B56" s="2" t="inlineStr">
        <is>
          <t>skb-attrib-610300-g4-5</t>
        </is>
      </c>
      <c r="C56" s="2" t="b">
        <v>1</v>
      </c>
      <c r="D56" s="2" t="inlineStr">
        <is>
          <t>veth4c94272</t>
        </is>
      </c>
      <c r="E56" s="2" t="inlineStr">
        <is>
          <t>172.18.0.31</t>
        </is>
      </c>
      <c r="F56" s="2" t="n">
        <v>5045</v>
      </c>
      <c r="G56" s="2" t="n">
        <v>5</v>
      </c>
      <c r="H56" s="2" t="n">
        <v>5</v>
      </c>
      <c r="I56" s="2" t="n">
        <v>5</v>
      </c>
      <c r="J56" s="2" t="n">
        <v>0</v>
      </c>
    </row>
    <row r="57">
      <c r="A57" s="2" t="inlineStr">
        <is>
          <t>50</t>
        </is>
      </c>
      <c r="B57" s="2" t="inlineStr">
        <is>
          <t>skb-attrib-610300-g5-1</t>
        </is>
      </c>
      <c r="C57" s="2" t="b">
        <v>1</v>
      </c>
      <c r="D57" s="2" t="inlineStr">
        <is>
          <t>veth1e67700</t>
        </is>
      </c>
      <c r="E57" s="2" t="inlineStr">
        <is>
          <t>172.18.0.32</t>
        </is>
      </c>
      <c r="F57" s="2" t="n">
        <v>5046</v>
      </c>
      <c r="G57" s="2" t="n">
        <v>5</v>
      </c>
      <c r="H57" s="2" t="n">
        <v>5</v>
      </c>
      <c r="I57" s="2" t="n">
        <v>5</v>
      </c>
      <c r="J57" s="2" t="n">
        <v>0</v>
      </c>
    </row>
    <row r="58">
      <c r="A58" s="2" t="inlineStr">
        <is>
          <t>50</t>
        </is>
      </c>
      <c r="B58" s="2" t="inlineStr">
        <is>
          <t>skb-attrib-610300-g5-2</t>
        </is>
      </c>
      <c r="C58" s="2" t="b">
        <v>1</v>
      </c>
      <c r="D58" s="2" t="inlineStr">
        <is>
          <t>veth1e67700</t>
        </is>
      </c>
      <c r="E58" s="2" t="inlineStr">
        <is>
          <t>172.18.0.32</t>
        </is>
      </c>
      <c r="F58" s="2" t="n">
        <v>5047</v>
      </c>
      <c r="G58" s="2" t="n">
        <v>5</v>
      </c>
      <c r="H58" s="2" t="n">
        <v>5</v>
      </c>
      <c r="I58" s="2" t="n">
        <v>5</v>
      </c>
      <c r="J58" s="2" t="n">
        <v>0</v>
      </c>
    </row>
    <row r="59">
      <c r="A59" s="2" t="inlineStr">
        <is>
          <t>50</t>
        </is>
      </c>
      <c r="B59" s="2" t="inlineStr">
        <is>
          <t>skb-attrib-610300-g5-3</t>
        </is>
      </c>
      <c r="C59" s="2" t="b">
        <v>1</v>
      </c>
      <c r="D59" s="2" t="inlineStr">
        <is>
          <t>veth1e67700</t>
        </is>
      </c>
      <c r="E59" s="2" t="inlineStr">
        <is>
          <t>172.18.0.32</t>
        </is>
      </c>
      <c r="F59" s="2" t="n">
        <v>5048</v>
      </c>
      <c r="G59" s="2" t="n">
        <v>5</v>
      </c>
      <c r="H59" s="2" t="n">
        <v>5</v>
      </c>
      <c r="I59" s="2" t="n">
        <v>5</v>
      </c>
      <c r="J59" s="2" t="n">
        <v>0</v>
      </c>
    </row>
    <row r="60">
      <c r="A60" s="2" t="inlineStr">
        <is>
          <t>50</t>
        </is>
      </c>
      <c r="B60" s="2" t="inlineStr">
        <is>
          <t>skb-attrib-610300-g5-4</t>
        </is>
      </c>
      <c r="C60" s="2" t="b">
        <v>1</v>
      </c>
      <c r="D60" s="2" t="inlineStr">
        <is>
          <t>veth1e67700</t>
        </is>
      </c>
      <c r="E60" s="2" t="inlineStr">
        <is>
          <t>172.18.0.32</t>
        </is>
      </c>
      <c r="F60" s="2" t="n">
        <v>5049</v>
      </c>
      <c r="G60" s="2" t="n">
        <v>5</v>
      </c>
      <c r="H60" s="2" t="n">
        <v>5</v>
      </c>
      <c r="I60" s="2" t="n">
        <v>5</v>
      </c>
      <c r="J60" s="2" t="n">
        <v>0</v>
      </c>
    </row>
    <row r="61">
      <c r="A61" s="2" t="inlineStr">
        <is>
          <t>50</t>
        </is>
      </c>
      <c r="B61" s="2" t="inlineStr">
        <is>
          <t>skb-attrib-610300-g5-5</t>
        </is>
      </c>
      <c r="C61" s="2" t="b">
        <v>1</v>
      </c>
      <c r="D61" s="2" t="inlineStr">
        <is>
          <t>veth1e67700</t>
        </is>
      </c>
      <c r="E61" s="2" t="inlineStr">
        <is>
          <t>172.18.0.32</t>
        </is>
      </c>
      <c r="F61" s="2" t="n">
        <v>5050</v>
      </c>
      <c r="G61" s="2" t="n">
        <v>5</v>
      </c>
      <c r="H61" s="2" t="n">
        <v>5</v>
      </c>
      <c r="I61" s="2" t="n">
        <v>5</v>
      </c>
      <c r="J61" s="2"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4" t="inlineStr">
        <is>
          <t>Item</t>
        </is>
      </c>
      <c r="B1" s="4" t="inlineStr">
        <is>
          <t>Value</t>
        </is>
      </c>
    </row>
    <row r="2">
      <c r="A2" s="2" t="inlineStr">
        <is>
          <t>date</t>
        </is>
      </c>
      <c r="B2" s="2" t="inlineStr">
        <is>
          <t>2026-10-06T07:29:12+00:00</t>
        </is>
      </c>
    </row>
    <row r="3">
      <c r="A3" s="2" t="inlineStr">
        <is>
          <t>host</t>
        </is>
      </c>
      <c r="B3" s="2" t="inlineStr">
        <is>
          <t>ip-172-31-20-52</t>
        </is>
      </c>
    </row>
    <row r="4">
      <c r="A4" s="2" t="inlineStr">
        <is>
          <t>instance</t>
        </is>
      </c>
      <c r="B4" s="2" t="inlineStr">
        <is>
          <t>c7i.2xlarge ap-southeast-1</t>
        </is>
      </c>
    </row>
    <row r="5">
      <c r="A5" s="2" t="inlineStr">
        <is>
          <t>cpu</t>
        </is>
      </c>
      <c r="B5" s="2" t="inlineStr">
        <is>
          <t>8 x Intel(R) Xeon(R) Platinum 8488C</t>
        </is>
      </c>
    </row>
    <row r="6">
      <c r="A6" s="2" t="inlineStr">
        <is>
          <t>memory</t>
        </is>
      </c>
      <c r="B6" s="2" t="inlineStr">
        <is>
          <t>15 GiB</t>
        </is>
      </c>
    </row>
    <row r="7">
      <c r="A7" s="2" t="inlineStr">
        <is>
          <t>os</t>
        </is>
      </c>
      <c r="B7" s="2" t="inlineStr">
        <is>
          <t>Ubuntu 26.04.1 LTS</t>
        </is>
      </c>
    </row>
    <row r="8">
      <c r="A8" s="2" t="inlineStr">
        <is>
          <t>kernel</t>
        </is>
      </c>
      <c r="B8" s="2" t="inlineStr">
        <is>
          <t>7.0.0-1013-aws</t>
        </is>
      </c>
    </row>
    <row r="9">
      <c r="A9" s="2" t="inlineStr">
        <is>
          <t>kernel holds</t>
        </is>
      </c>
      <c r="B9" s="2" t="inlineStr">
        <is>
          <t>18 packages</t>
        </is>
      </c>
    </row>
    <row r="10">
      <c r="A10" s="2" t="inlineStr">
        <is>
          <t>skbouncer</t>
        </is>
      </c>
      <c r="B10" s="2" t="inlineStr">
        <is>
          <t>skbouncer eval-2 a0c3e9cd0f701e8ba7089a26788bdafde51f45ac</t>
        </is>
      </c>
    </row>
    <row r="11">
      <c r="A11" s="2" t="inlineStr">
        <is>
          <t>clang</t>
        </is>
      </c>
      <c r="B11" s="2" t="inlineStr">
        <is>
          <t>21.1.8 (6ubuntu1)</t>
        </is>
      </c>
    </row>
    <row r="12">
      <c r="A12" s="2" t="inlineStr">
        <is>
          <t>libbpf</t>
        </is>
      </c>
      <c r="B12" s="2" t="inlineStr">
        <is>
          <t>1.6.3</t>
        </is>
      </c>
    </row>
    <row r="13">
      <c r="A13" s="2" t="inlineStr">
        <is>
          <t>libcurl</t>
        </is>
      </c>
      <c r="B13" s="2" t="inlineStr">
        <is>
          <t>8.18.0</t>
        </is>
      </c>
    </row>
    <row r="14">
      <c r="A14" s="2" t="inlineStr">
        <is>
          <t>bpftool</t>
        </is>
      </c>
      <c r="B14" s="2" t="inlineStr">
        <is>
          <t>7.7.0</t>
        </is>
      </c>
    </row>
    <row r="15">
      <c r="A15" s="2" t="inlineStr">
        <is>
          <t>docker</t>
        </is>
      </c>
      <c r="B15" s="2" t="inlineStr">
        <is>
          <t>29.1.3</t>
        </is>
      </c>
    </row>
    <row r="16">
      <c r="A16" s="2" t="inlineStr">
        <is>
          <t>openssl (skb-tls-test)</t>
        </is>
      </c>
      <c r="B16" s="2" t="inlineStr">
        <is>
          <t>OpenSSL 3.5.8 25 Aug 2026 (Library: OpenSSL 3.5.8 25 Aug 2026)</t>
        </is>
      </c>
    </row>
    <row r="17">
      <c r="A17" s="2" t="inlineStr">
        <is>
          <t>image skb-tls-test</t>
        </is>
      </c>
      <c r="B17" s="2" t="inlineStr">
        <is>
          <t>sha256:931ab96fc02eda96a1758c4a47d5da10488755e21af300a40c86a6f7f02f2bc2</t>
        </is>
      </c>
    </row>
    <row r="18">
      <c r="A18" s="2" t="inlineStr">
        <is>
          <t>image node:alpine</t>
        </is>
      </c>
      <c r="B18" s="2" t="inlineStr">
        <is>
          <t>sha256:0b36e8c136b94cd4fcf02188228e76c31ad5872eef3fec8cbd2eee500cfd9e80</t>
        </is>
      </c>
    </row>
    <row r="19">
      <c r="A19" s="2" t="inlineStr">
        <is>
          <t>image python:3-alpine</t>
        </is>
      </c>
      <c r="B19" s="2" t="inlineStr">
        <is>
          <t>sha256:9e9fde4d32eedce0b661d9ab91e826b62dddf28e928c230ec55f1866cac66b01</t>
        </is>
      </c>
    </row>
    <row r="20">
      <c r="A20" s="2" t="inlineStr">
        <is>
          <t>image golang:alpine</t>
        </is>
      </c>
      <c r="B20" s="2" t="inlineStr">
        <is>
          <t>sha256:8a5910f31396cd4d89662f56c68b3ae31d374308270a1c3bd96672ee5ed43414</t>
        </is>
      </c>
    </row>
    <row r="21">
      <c r="A21" s="2" t="inlineStr">
        <is>
          <t>image lexiforest/curl-impersonate:latest</t>
        </is>
      </c>
      <c r="B21" s="2" t="inlineStr">
        <is>
          <t>sha256:4efe86831dde3ce4762c6064d40ff7d2e9b5dfa9063de22a15a26829812a132e</t>
        </is>
      </c>
    </row>
    <row r="22">
      <c r="A22" s="2" t="inlineStr">
        <is>
          <t>image curlimages/curl:latest</t>
        </is>
      </c>
      <c r="B22" s="2" t="inlineStr">
        <is>
          <t>sha256:58adaa4e8dca9c988bae2aba4ab3434a0bb2da16bbe3f92dec39ec7785166777</t>
        </is>
      </c>
    </row>
    <row r="23">
      <c r="A23" s="2" t="inlineStr">
        <is>
          <t>image alpine:3.24.2</t>
        </is>
      </c>
      <c r="B23" s="2" t="inlineStr">
        <is>
          <t>sha256:294b683cb724975bec92580e1e685676bd4b50bda910ddb8c51d4cabeaec77e6</t>
        </is>
      </c>
    </row>
    <row r="24">
      <c r="A24" s="2" t="inlineStr">
        <is>
          <t>uplink enp39s0</t>
        </is>
      </c>
      <c r="B24" s="2" t="inlineStr">
        <is>
          <t xml:space="preserve">mtu 9001 tcp-segmentation-offload=off generic-segmentation-offload=on generic-receive-offload=on </t>
        </is>
      </c>
    </row>
    <row r="25">
      <c r="A25" s="2" t="inlineStr">
        <is>
          <t>docker0</t>
        </is>
      </c>
      <c r="B25" s="2" t="inlineStr">
        <is>
          <t>mtu 1500</t>
        </is>
      </c>
    </row>
    <row r="26">
      <c r="A26" s="2" t="inlineStr">
        <is>
          <t>tcp_timestamps</t>
        </is>
      </c>
      <c r="B26" s="2" t="inlineStr">
        <is>
          <t>1</t>
        </is>
      </c>
    </row>
    <row r="27">
      <c r="A27" s="2" t="inlineStr">
        <is>
          <t>container veth</t>
        </is>
      </c>
      <c r="B27" s="2" t="inlineStr">
        <is>
          <t xml:space="preserve">mtu 1500 tcp-segmentation-offload=on generic-segmentation-offload=on generic-receive-offload=off </t>
        </is>
      </c>
    </row>
    <row r="28">
      <c r="A28" s="2" t="inlineStr">
        <is>
          <t>chrony</t>
        </is>
      </c>
      <c r="B28" s="2" t="inlineStr">
        <is>
          <t xml:space="preserve">A9FEA97B (169.254.169.123); 0.000000922 seconds slow of NTP time; Normal; </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c r="A1" s="4" t="inlineStr">
        <is>
          <t>Item</t>
        </is>
      </c>
      <c r="B1" s="4" t="inlineStr">
        <is>
          <t>Note</t>
        </is>
      </c>
    </row>
    <row r="2">
      <c r="A2" s="2" t="inlineStr">
        <is>
          <t>Source</t>
        </is>
      </c>
      <c r="B2" s="2" t="inlineStr">
        <is>
          <t>eval/results/results-eval-2.tar.xz, tag eval-2</t>
        </is>
      </c>
    </row>
    <row r="3">
      <c r="A3" s="2" t="inlineStr">
        <is>
          <t>Run</t>
        </is>
      </c>
      <c r="B3" s="2" t="inlineStr">
        <is>
          <t>2026-10-06 on c7i.2xlarge ap-southeast-1, kernel 7.0.0-1013-aws (sheet Environment)</t>
        </is>
      </c>
    </row>
    <row r="4">
      <c r="A4" s="2" t="inlineStr">
        <is>
          <t>Criteria</t>
        </is>
      </c>
      <c r="B4" s="2" t="inlineStr">
        <is>
          <t>eval/PLAN.md. Figures on the Criteria sheet are formulas over the data sheets.</t>
        </is>
      </c>
    </row>
    <row r="5">
      <c r="A5" s="2" t="inlineStr">
        <is>
          <t>Reference verdicts</t>
        </is>
      </c>
      <c r="B5" s="2" t="inlineStr">
        <is>
          <t>eval/score.py reference_verdict(): policy/README.md applied to the server's own decode</t>
        </is>
      </c>
    </row>
    <row r="6">
      <c r="A6" s="2" t="inlineStr">
        <is>
          <t>Grades</t>
        </is>
      </c>
      <c r="B6" s="2" t="inlineStr">
        <is>
          <t>Durumeric et al., NDSS 2017, section V-A; cipher properties from IANA's registry</t>
        </is>
      </c>
    </row>
    <row r="7">
      <c r="A7" s="2" t="inlineStr">
        <is>
          <t>Fuzz decode</t>
        </is>
      </c>
      <c r="B7" s="2" t="inlineStr">
        <is>
          <t>tests/check_m7_3.py decode(): an independent decode of each mutated ClientHello as sent</t>
        </is>
      </c>
    </row>
    <row r="8">
      <c r="A8" s="2" t="inlineStr">
        <is>
          <t>Experiment 5 raw events</t>
        </is>
      </c>
      <c r="B8" s="2" t="inlineStr">
        <is>
          <t>Per-handshake event streams are in the archive only; the sheets hold per-run counters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2026-10-06T09:40:56Z</dcterms:created>
  <dcterms:modified xsi:type="dcterms:W3CDTF">2026-10-06T09:40:58Z</dcterms:modified>
</cp:coreProperties>
</file>